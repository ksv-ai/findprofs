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s\findprofs\"/>
    </mc:Choice>
  </mc:AlternateContent>
  <xr:revisionPtr revIDLastSave="0" documentId="8_{4AA7FB28-F930-4CEC-83DF-D49675B92872}" xr6:coauthVersionLast="47" xr6:coauthVersionMax="47" xr10:uidLastSave="{00000000-0000-0000-0000-000000000000}"/>
  <bookViews>
    <workbookView xWindow="-96" yWindow="0" windowWidth="11712" windowHeight="12336" xr2:uid="{8C226B4E-4034-4924-8374-F543E574374C}"/>
  </bookViews>
  <sheets>
    <sheet name="faculty_status_audit" sheetId="1" r:id="rId1"/>
  </sheets>
  <definedNames>
    <definedName name="_xlnm._FilterDatabase" localSheetId="0" hidden="1">faculty_status_audit!$D$1:$D$1270</definedName>
  </definedNames>
  <calcPr calcId="0"/>
</workbook>
</file>

<file path=xl/calcChain.xml><?xml version="1.0" encoding="utf-8"?>
<calcChain xmlns="http://schemas.openxmlformats.org/spreadsheetml/2006/main">
  <c r="L425" i="1" l="1"/>
  <c r="L427" i="1"/>
  <c r="L428" i="1"/>
  <c r="L5" i="1"/>
  <c r="L6" i="1"/>
  <c r="L430" i="1"/>
  <c r="L8" i="1"/>
  <c r="L9" i="1"/>
  <c r="L431" i="1"/>
  <c r="L432" i="1"/>
  <c r="L433" i="1"/>
  <c r="L385" i="1"/>
  <c r="L434" i="1"/>
  <c r="L435" i="1"/>
  <c r="L436" i="1"/>
  <c r="L437" i="1"/>
  <c r="L438" i="1"/>
  <c r="L439" i="1"/>
  <c r="L440" i="1"/>
  <c r="L441" i="1"/>
  <c r="L443" i="1"/>
  <c r="L444" i="1"/>
  <c r="L445" i="1"/>
  <c r="L446" i="1"/>
  <c r="L26" i="1"/>
  <c r="L27" i="1"/>
  <c r="L386" i="1"/>
  <c r="L447" i="1"/>
  <c r="L448" i="1"/>
  <c r="L449" i="1"/>
  <c r="L450" i="1"/>
  <c r="L451" i="1"/>
  <c r="L452" i="1"/>
  <c r="L453" i="1"/>
  <c r="L36" i="1"/>
  <c r="L37" i="1"/>
  <c r="L38" i="1"/>
  <c r="L39" i="1"/>
  <c r="L40" i="1"/>
  <c r="L41" i="1"/>
  <c r="L42" i="1"/>
  <c r="L454" i="1"/>
  <c r="L455" i="1"/>
  <c r="L461" i="1"/>
  <c r="L462" i="1"/>
  <c r="L463" i="1"/>
  <c r="L464" i="1"/>
  <c r="L49" i="1"/>
  <c r="L465" i="1"/>
  <c r="L51" i="1"/>
  <c r="L2" i="1"/>
  <c r="L466" i="1"/>
  <c r="L467" i="1"/>
  <c r="L469" i="1"/>
  <c r="L470" i="1"/>
  <c r="L471" i="1"/>
  <c r="L58" i="1"/>
  <c r="L59" i="1"/>
  <c r="L60" i="1"/>
  <c r="L61" i="1"/>
  <c r="L62" i="1"/>
  <c r="L63" i="1"/>
  <c r="L472" i="1"/>
  <c r="L473" i="1"/>
  <c r="L475" i="1"/>
  <c r="L478" i="1"/>
  <c r="L479" i="1"/>
  <c r="L480" i="1"/>
  <c r="L481" i="1"/>
  <c r="L482" i="1"/>
  <c r="L72" i="1"/>
  <c r="L73" i="1"/>
  <c r="L74" i="1"/>
  <c r="L75" i="1"/>
  <c r="L483" i="1"/>
  <c r="L486" i="1"/>
  <c r="L487" i="1"/>
  <c r="L488" i="1"/>
  <c r="L489" i="1"/>
  <c r="L81" i="1"/>
  <c r="L82" i="1"/>
  <c r="L83" i="1"/>
  <c r="L490" i="1"/>
  <c r="L3" i="1"/>
  <c r="L4" i="1"/>
  <c r="L491" i="1"/>
  <c r="L88" i="1"/>
  <c r="L89" i="1"/>
  <c r="L90" i="1"/>
  <c r="L7" i="1"/>
  <c r="L10" i="1"/>
  <c r="L11" i="1"/>
  <c r="L12" i="1"/>
  <c r="L13" i="1"/>
  <c r="L14" i="1"/>
  <c r="L97" i="1"/>
  <c r="L98" i="1"/>
  <c r="L99" i="1"/>
  <c r="L100" i="1"/>
  <c r="L101" i="1"/>
  <c r="L102" i="1"/>
  <c r="L15" i="1"/>
  <c r="L16" i="1"/>
  <c r="L17" i="1"/>
  <c r="L18" i="1"/>
  <c r="L19" i="1"/>
  <c r="L108" i="1"/>
  <c r="L20" i="1"/>
  <c r="L21" i="1"/>
  <c r="L492" i="1"/>
  <c r="L494" i="1"/>
  <c r="L113" i="1"/>
  <c r="L495" i="1"/>
  <c r="L22" i="1"/>
  <c r="L116" i="1"/>
  <c r="L496" i="1"/>
  <c r="L499" i="1"/>
  <c r="L500" i="1"/>
  <c r="L501" i="1"/>
  <c r="L387" i="1"/>
  <c r="L502" i="1"/>
  <c r="L123" i="1"/>
  <c r="L503" i="1"/>
  <c r="L125" i="1"/>
  <c r="L126" i="1"/>
  <c r="L127" i="1"/>
  <c r="L128" i="1"/>
  <c r="L129" i="1"/>
  <c r="L504" i="1"/>
  <c r="L505" i="1"/>
  <c r="L391" i="1"/>
  <c r="L506" i="1"/>
  <c r="L507" i="1"/>
  <c r="L392" i="1"/>
  <c r="L513" i="1"/>
  <c r="L393" i="1"/>
  <c r="L514" i="1"/>
  <c r="L515" i="1"/>
  <c r="L516" i="1"/>
  <c r="L519" i="1"/>
  <c r="L520" i="1"/>
  <c r="L521" i="1"/>
  <c r="L523" i="1"/>
  <c r="L23" i="1"/>
  <c r="L525" i="1"/>
  <c r="L526" i="1"/>
  <c r="L527" i="1"/>
  <c r="L149" i="1"/>
  <c r="L150" i="1"/>
  <c r="L151" i="1"/>
  <c r="L152" i="1"/>
  <c r="L153" i="1"/>
  <c r="L154" i="1"/>
  <c r="L155" i="1"/>
  <c r="L156" i="1"/>
  <c r="L24" i="1"/>
  <c r="L25" i="1"/>
  <c r="L28" i="1"/>
  <c r="L29" i="1"/>
  <c r="L30" i="1"/>
  <c r="L31" i="1"/>
  <c r="L32" i="1"/>
  <c r="L33" i="1"/>
  <c r="L34" i="1"/>
  <c r="L166" i="1"/>
  <c r="L167" i="1"/>
  <c r="L168" i="1"/>
  <c r="L169" i="1"/>
  <c r="L170" i="1"/>
  <c r="L394" i="1"/>
  <c r="L395" i="1"/>
  <c r="L396" i="1"/>
  <c r="L528" i="1"/>
  <c r="L175" i="1"/>
  <c r="L176" i="1"/>
  <c r="L177" i="1"/>
  <c r="L178" i="1"/>
  <c r="L179" i="1"/>
  <c r="L180" i="1"/>
  <c r="L529" i="1"/>
  <c r="L182" i="1"/>
  <c r="L530" i="1"/>
  <c r="L531" i="1"/>
  <c r="L532" i="1"/>
  <c r="L534" i="1"/>
  <c r="L535" i="1"/>
  <c r="L536" i="1"/>
  <c r="L397" i="1"/>
  <c r="L541" i="1"/>
  <c r="L542" i="1"/>
  <c r="L547" i="1"/>
  <c r="L548" i="1"/>
  <c r="L194" i="1"/>
  <c r="L549" i="1"/>
  <c r="L550" i="1"/>
  <c r="L551" i="1"/>
  <c r="L552" i="1"/>
  <c r="L199" i="1"/>
  <c r="L200" i="1"/>
  <c r="L553" i="1"/>
  <c r="L554" i="1"/>
  <c r="L557" i="1"/>
  <c r="L558" i="1"/>
  <c r="L559" i="1"/>
  <c r="L560" i="1"/>
  <c r="L561" i="1"/>
  <c r="L562" i="1"/>
  <c r="L398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229" i="1"/>
  <c r="L230" i="1"/>
  <c r="L231" i="1"/>
  <c r="L232" i="1"/>
  <c r="L35" i="1"/>
  <c r="L43" i="1"/>
  <c r="L235" i="1"/>
  <c r="L236" i="1"/>
  <c r="L237" i="1"/>
  <c r="L582" i="1"/>
  <c r="L583" i="1"/>
  <c r="L584" i="1"/>
  <c r="L585" i="1"/>
  <c r="L586" i="1"/>
  <c r="L243" i="1"/>
  <c r="L587" i="1"/>
  <c r="L245" i="1"/>
  <c r="L246" i="1"/>
  <c r="L247" i="1"/>
  <c r="L588" i="1"/>
  <c r="L249" i="1"/>
  <c r="L44" i="1"/>
  <c r="L45" i="1"/>
  <c r="L589" i="1"/>
  <c r="L593" i="1"/>
  <c r="L46" i="1"/>
  <c r="L47" i="1"/>
  <c r="L595" i="1"/>
  <c r="L48" i="1"/>
  <c r="L596" i="1"/>
  <c r="L599" i="1"/>
  <c r="L600" i="1"/>
  <c r="L601" i="1"/>
  <c r="L602" i="1"/>
  <c r="L605" i="1"/>
  <c r="L264" i="1"/>
  <c r="L265" i="1"/>
  <c r="L266" i="1"/>
  <c r="L267" i="1"/>
  <c r="L50" i="1"/>
  <c r="L52" i="1"/>
  <c r="L53" i="1"/>
  <c r="L54" i="1"/>
  <c r="L55" i="1"/>
  <c r="L56" i="1"/>
  <c r="L57" i="1"/>
  <c r="L275" i="1"/>
  <c r="L276" i="1"/>
  <c r="L606" i="1"/>
  <c r="L615" i="1"/>
  <c r="L616" i="1"/>
  <c r="L617" i="1"/>
  <c r="L618" i="1"/>
  <c r="L64" i="1"/>
  <c r="L283" i="1"/>
  <c r="L284" i="1"/>
  <c r="L65" i="1"/>
  <c r="L66" i="1"/>
  <c r="L67" i="1"/>
  <c r="L68" i="1"/>
  <c r="L69" i="1"/>
  <c r="L70" i="1"/>
  <c r="L291" i="1"/>
  <c r="L292" i="1"/>
  <c r="L293" i="1"/>
  <c r="L294" i="1"/>
  <c r="L619" i="1"/>
  <c r="L620" i="1"/>
  <c r="L621" i="1"/>
  <c r="L298" i="1"/>
  <c r="L299" i="1"/>
  <c r="L300" i="1"/>
  <c r="L301" i="1"/>
  <c r="L302" i="1"/>
  <c r="L622" i="1"/>
  <c r="L304" i="1"/>
  <c r="L305" i="1"/>
  <c r="L623" i="1"/>
  <c r="L307" i="1"/>
  <c r="L308" i="1"/>
  <c r="L309" i="1"/>
  <c r="L310" i="1"/>
  <c r="L71" i="1"/>
  <c r="L624" i="1"/>
  <c r="L625" i="1"/>
  <c r="L76" i="1"/>
  <c r="L626" i="1"/>
  <c r="L627" i="1"/>
  <c r="L632" i="1"/>
  <c r="L77" i="1"/>
  <c r="L78" i="1"/>
  <c r="L79" i="1"/>
  <c r="L633" i="1"/>
  <c r="L80" i="1"/>
  <c r="L84" i="1"/>
  <c r="L399" i="1"/>
  <c r="L634" i="1"/>
  <c r="L326" i="1"/>
  <c r="L327" i="1"/>
  <c r="L328" i="1"/>
  <c r="L329" i="1"/>
  <c r="L330" i="1"/>
  <c r="L331" i="1"/>
  <c r="L635" i="1"/>
  <c r="L636" i="1"/>
  <c r="L637" i="1"/>
  <c r="L335" i="1"/>
  <c r="L643" i="1"/>
  <c r="L644" i="1"/>
  <c r="L645" i="1"/>
  <c r="L646" i="1"/>
  <c r="L647" i="1"/>
  <c r="L85" i="1"/>
  <c r="L648" i="1"/>
  <c r="L649" i="1"/>
  <c r="L344" i="1"/>
  <c r="L650" i="1"/>
  <c r="L651" i="1"/>
  <c r="L652" i="1"/>
  <c r="L653" i="1"/>
  <c r="L657" i="1"/>
  <c r="L350" i="1"/>
  <c r="L658" i="1"/>
  <c r="L659" i="1"/>
  <c r="L660" i="1"/>
  <c r="L661" i="1"/>
  <c r="L662" i="1"/>
  <c r="L663" i="1"/>
  <c r="L664" i="1"/>
  <c r="L400" i="1"/>
  <c r="L359" i="1"/>
  <c r="L665" i="1"/>
  <c r="L666" i="1"/>
  <c r="L672" i="1"/>
  <c r="L363" i="1"/>
  <c r="L364" i="1"/>
  <c r="L365" i="1"/>
  <c r="L86" i="1"/>
  <c r="L87" i="1"/>
  <c r="L91" i="1"/>
  <c r="L92" i="1"/>
  <c r="L93" i="1"/>
  <c r="L94" i="1"/>
  <c r="L95" i="1"/>
  <c r="L96" i="1"/>
  <c r="L103" i="1"/>
  <c r="L375" i="1"/>
  <c r="L376" i="1"/>
  <c r="L673" i="1"/>
  <c r="L674" i="1"/>
  <c r="L675" i="1"/>
  <c r="L676" i="1"/>
  <c r="L678" i="1"/>
  <c r="L679" i="1"/>
  <c r="L680" i="1"/>
  <c r="L681" i="1"/>
  <c r="L682" i="1"/>
  <c r="L687" i="1"/>
  <c r="L688" i="1"/>
  <c r="L388" i="1"/>
  <c r="L389" i="1"/>
  <c r="L390" i="1"/>
  <c r="L689" i="1"/>
  <c r="L691" i="1"/>
  <c r="L692" i="1"/>
  <c r="L694" i="1"/>
  <c r="L698" i="1"/>
  <c r="L699" i="1"/>
  <c r="L401" i="1"/>
  <c r="L701" i="1"/>
  <c r="L702" i="1"/>
  <c r="L703" i="1"/>
  <c r="L704" i="1"/>
  <c r="L402" i="1"/>
  <c r="L708" i="1"/>
  <c r="L104" i="1"/>
  <c r="L709" i="1"/>
  <c r="L710" i="1"/>
  <c r="L711" i="1"/>
  <c r="L712" i="1"/>
  <c r="L409" i="1"/>
  <c r="L713" i="1"/>
  <c r="L411" i="1"/>
  <c r="L715" i="1"/>
  <c r="L716" i="1"/>
  <c r="L717" i="1"/>
  <c r="L718" i="1"/>
  <c r="L416" i="1"/>
  <c r="L719" i="1"/>
  <c r="L721" i="1"/>
  <c r="L419" i="1"/>
  <c r="L420" i="1"/>
  <c r="L421" i="1"/>
  <c r="L422" i="1"/>
  <c r="L423" i="1"/>
  <c r="L424" i="1"/>
  <c r="L722" i="1"/>
  <c r="L426" i="1"/>
  <c r="L723" i="1"/>
  <c r="L724" i="1"/>
  <c r="L429" i="1"/>
  <c r="L725" i="1"/>
  <c r="L729" i="1"/>
  <c r="L730" i="1"/>
  <c r="L731" i="1"/>
  <c r="L732" i="1"/>
  <c r="L733" i="1"/>
  <c r="L737" i="1"/>
  <c r="L738" i="1"/>
  <c r="L739" i="1"/>
  <c r="L740" i="1"/>
  <c r="L742" i="1"/>
  <c r="L105" i="1"/>
  <c r="L442" i="1"/>
  <c r="L743" i="1"/>
  <c r="L748" i="1"/>
  <c r="L749" i="1"/>
  <c r="L750" i="1"/>
  <c r="L751" i="1"/>
  <c r="L752" i="1"/>
  <c r="L753" i="1"/>
  <c r="L754" i="1"/>
  <c r="L755" i="1"/>
  <c r="L758" i="1"/>
  <c r="L106" i="1"/>
  <c r="L107" i="1"/>
  <c r="L109" i="1"/>
  <c r="L456" i="1"/>
  <c r="L457" i="1"/>
  <c r="L458" i="1"/>
  <c r="L459" i="1"/>
  <c r="L460" i="1"/>
  <c r="L110" i="1"/>
  <c r="L111" i="1"/>
  <c r="L112" i="1"/>
  <c r="L114" i="1"/>
  <c r="L115" i="1"/>
  <c r="L117" i="1"/>
  <c r="L118" i="1"/>
  <c r="L468" i="1"/>
  <c r="L759" i="1"/>
  <c r="L760" i="1"/>
  <c r="L762" i="1"/>
  <c r="L763" i="1"/>
  <c r="L765" i="1"/>
  <c r="L474" i="1"/>
  <c r="L766" i="1"/>
  <c r="L476" i="1"/>
  <c r="L477" i="1"/>
  <c r="L767" i="1"/>
  <c r="L768" i="1"/>
  <c r="L769" i="1"/>
  <c r="L770" i="1"/>
  <c r="L771" i="1"/>
  <c r="L119" i="1"/>
  <c r="L484" i="1"/>
  <c r="L485" i="1"/>
  <c r="L120" i="1"/>
  <c r="L121" i="1"/>
  <c r="L122" i="1"/>
  <c r="L124" i="1"/>
  <c r="L130" i="1"/>
  <c r="L131" i="1"/>
  <c r="L132" i="1"/>
  <c r="L493" i="1"/>
  <c r="L772" i="1"/>
  <c r="L773" i="1"/>
  <c r="L774" i="1"/>
  <c r="L497" i="1"/>
  <c r="L498" i="1"/>
  <c r="L781" i="1"/>
  <c r="L782" i="1"/>
  <c r="L133" i="1"/>
  <c r="L783" i="1"/>
  <c r="L784" i="1"/>
  <c r="L785" i="1"/>
  <c r="L787" i="1"/>
  <c r="L788" i="1"/>
  <c r="L789" i="1"/>
  <c r="L508" i="1"/>
  <c r="L509" i="1"/>
  <c r="L510" i="1"/>
  <c r="L511" i="1"/>
  <c r="L512" i="1"/>
  <c r="L134" i="1"/>
  <c r="L135" i="1"/>
  <c r="L790" i="1"/>
  <c r="L136" i="1"/>
  <c r="L517" i="1"/>
  <c r="L518" i="1"/>
  <c r="L791" i="1"/>
  <c r="L792" i="1"/>
  <c r="L793" i="1"/>
  <c r="L522" i="1"/>
  <c r="L797" i="1"/>
  <c r="L524" i="1"/>
  <c r="L137" i="1"/>
  <c r="L798" i="1"/>
  <c r="L799" i="1"/>
  <c r="L800" i="1"/>
  <c r="L801" i="1"/>
  <c r="L802" i="1"/>
  <c r="L803" i="1"/>
  <c r="L804" i="1"/>
  <c r="L533" i="1"/>
  <c r="L805" i="1"/>
  <c r="L807" i="1"/>
  <c r="L808" i="1"/>
  <c r="L537" i="1"/>
  <c r="L538" i="1"/>
  <c r="L539" i="1"/>
  <c r="L540" i="1"/>
  <c r="L138" i="1"/>
  <c r="L139" i="1"/>
  <c r="L543" i="1"/>
  <c r="L544" i="1"/>
  <c r="L545" i="1"/>
  <c r="L546" i="1"/>
  <c r="L140" i="1"/>
  <c r="L141" i="1"/>
  <c r="L142" i="1"/>
  <c r="L143" i="1"/>
  <c r="L144" i="1"/>
  <c r="L145" i="1"/>
  <c r="L146" i="1"/>
  <c r="L147" i="1"/>
  <c r="L555" i="1"/>
  <c r="L556" i="1"/>
  <c r="L148" i="1"/>
  <c r="L157" i="1"/>
  <c r="L158" i="1"/>
  <c r="L159" i="1"/>
  <c r="L160" i="1"/>
  <c r="L809" i="1"/>
  <c r="L812" i="1"/>
  <c r="L813" i="1"/>
  <c r="L814" i="1"/>
  <c r="L815" i="1"/>
  <c r="L817" i="1"/>
  <c r="L818" i="1"/>
  <c r="L820" i="1"/>
  <c r="L822" i="1"/>
  <c r="L823" i="1"/>
  <c r="L824" i="1"/>
  <c r="L825" i="1"/>
  <c r="L826" i="1"/>
  <c r="L828" i="1"/>
  <c r="L832" i="1"/>
  <c r="L833" i="1"/>
  <c r="L834" i="1"/>
  <c r="L835" i="1"/>
  <c r="L836" i="1"/>
  <c r="L161" i="1"/>
  <c r="L837" i="1"/>
  <c r="L838" i="1"/>
  <c r="L162" i="1"/>
  <c r="L163" i="1"/>
  <c r="L164" i="1"/>
  <c r="L165" i="1"/>
  <c r="L841" i="1"/>
  <c r="L842" i="1"/>
  <c r="L590" i="1"/>
  <c r="L591" i="1"/>
  <c r="L592" i="1"/>
  <c r="L171" i="1"/>
  <c r="L594" i="1"/>
  <c r="L172" i="1"/>
  <c r="L173" i="1"/>
  <c r="L597" i="1"/>
  <c r="L598" i="1"/>
  <c r="L843" i="1"/>
  <c r="L844" i="1"/>
  <c r="L847" i="1"/>
  <c r="L848" i="1"/>
  <c r="L603" i="1"/>
  <c r="L604" i="1"/>
  <c r="L849" i="1"/>
  <c r="L850" i="1"/>
  <c r="L607" i="1"/>
  <c r="L608" i="1"/>
  <c r="L609" i="1"/>
  <c r="L610" i="1"/>
  <c r="L611" i="1"/>
  <c r="L612" i="1"/>
  <c r="L613" i="1"/>
  <c r="L614" i="1"/>
  <c r="L851" i="1"/>
  <c r="L853" i="1"/>
  <c r="L854" i="1"/>
  <c r="L174" i="1"/>
  <c r="L181" i="1"/>
  <c r="L183" i="1"/>
  <c r="L184" i="1"/>
  <c r="L855" i="1"/>
  <c r="L185" i="1"/>
  <c r="L856" i="1"/>
  <c r="L857" i="1"/>
  <c r="L861" i="1"/>
  <c r="L862" i="1"/>
  <c r="L628" i="1"/>
  <c r="L629" i="1"/>
  <c r="L630" i="1"/>
  <c r="L631" i="1"/>
  <c r="L863" i="1"/>
  <c r="L864" i="1"/>
  <c r="L865" i="1"/>
  <c r="L403" i="1"/>
  <c r="L404" i="1"/>
  <c r="L866" i="1"/>
  <c r="L638" i="1"/>
  <c r="L639" i="1"/>
  <c r="L640" i="1"/>
  <c r="L641" i="1"/>
  <c r="L642" i="1"/>
  <c r="L186" i="1"/>
  <c r="L187" i="1"/>
  <c r="L188" i="1"/>
  <c r="L189" i="1"/>
  <c r="L190" i="1"/>
  <c r="L191" i="1"/>
  <c r="L192" i="1"/>
  <c r="L193" i="1"/>
  <c r="L195" i="1"/>
  <c r="L196" i="1"/>
  <c r="L197" i="1"/>
  <c r="L654" i="1"/>
  <c r="L655" i="1"/>
  <c r="L656" i="1"/>
  <c r="L867" i="1"/>
  <c r="L870" i="1"/>
  <c r="L871" i="1"/>
  <c r="L873" i="1"/>
  <c r="L874" i="1"/>
  <c r="L875" i="1"/>
  <c r="L876" i="1"/>
  <c r="L883" i="1"/>
  <c r="L886" i="1"/>
  <c r="L887" i="1"/>
  <c r="L667" i="1"/>
  <c r="L668" i="1"/>
  <c r="L669" i="1"/>
  <c r="L670" i="1"/>
  <c r="L671" i="1"/>
  <c r="L892" i="1"/>
  <c r="L893" i="1"/>
  <c r="L894" i="1"/>
  <c r="L895" i="1"/>
  <c r="L896" i="1"/>
  <c r="L677" i="1"/>
  <c r="L897" i="1"/>
  <c r="L898" i="1"/>
  <c r="L899" i="1"/>
  <c r="L900" i="1"/>
  <c r="L901" i="1"/>
  <c r="L683" i="1"/>
  <c r="L684" i="1"/>
  <c r="L685" i="1"/>
  <c r="L686" i="1"/>
  <c r="L902" i="1"/>
  <c r="L903" i="1"/>
  <c r="L906" i="1"/>
  <c r="L690" i="1"/>
  <c r="L198" i="1"/>
  <c r="L907" i="1"/>
  <c r="L693" i="1"/>
  <c r="L201" i="1"/>
  <c r="L695" i="1"/>
  <c r="L696" i="1"/>
  <c r="L697" i="1"/>
  <c r="L202" i="1"/>
  <c r="L203" i="1"/>
  <c r="L700" i="1"/>
  <c r="L204" i="1"/>
  <c r="L205" i="1"/>
  <c r="L206" i="1"/>
  <c r="L207" i="1"/>
  <c r="L705" i="1"/>
  <c r="L706" i="1"/>
  <c r="L707" i="1"/>
  <c r="L908" i="1"/>
  <c r="L909" i="1"/>
  <c r="L910" i="1"/>
  <c r="L911" i="1"/>
  <c r="L912" i="1"/>
  <c r="L913" i="1"/>
  <c r="L714" i="1"/>
  <c r="L916" i="1"/>
  <c r="L917" i="1"/>
  <c r="L921" i="1"/>
  <c r="L922" i="1"/>
  <c r="L923" i="1"/>
  <c r="L720" i="1"/>
  <c r="L924" i="1"/>
  <c r="L208" i="1"/>
  <c r="L925" i="1"/>
  <c r="L926" i="1"/>
  <c r="L927" i="1"/>
  <c r="L726" i="1"/>
  <c r="L727" i="1"/>
  <c r="L728" i="1"/>
  <c r="L209" i="1"/>
  <c r="L928" i="1"/>
  <c r="L932" i="1"/>
  <c r="L933" i="1"/>
  <c r="L935" i="1"/>
  <c r="L734" i="1"/>
  <c r="L735" i="1"/>
  <c r="L736" i="1"/>
  <c r="L936" i="1"/>
  <c r="L210" i="1"/>
  <c r="L937" i="1"/>
  <c r="L940" i="1"/>
  <c r="L741" i="1"/>
  <c r="L941" i="1"/>
  <c r="L942" i="1"/>
  <c r="L744" i="1"/>
  <c r="L745" i="1"/>
  <c r="L746" i="1"/>
  <c r="L747" i="1"/>
  <c r="L946" i="1"/>
  <c r="L211" i="1"/>
  <c r="L212" i="1"/>
  <c r="L213" i="1"/>
  <c r="L214" i="1"/>
  <c r="L215" i="1"/>
  <c r="L216" i="1"/>
  <c r="L217" i="1"/>
  <c r="L756" i="1"/>
  <c r="L757" i="1"/>
  <c r="L947" i="1"/>
  <c r="L948" i="1"/>
  <c r="L218" i="1"/>
  <c r="L761" i="1"/>
  <c r="L949" i="1"/>
  <c r="L950" i="1"/>
  <c r="L764" i="1"/>
  <c r="L951" i="1"/>
  <c r="L954" i="1"/>
  <c r="L955" i="1"/>
  <c r="L956" i="1"/>
  <c r="L405" i="1"/>
  <c r="L406" i="1"/>
  <c r="L219" i="1"/>
  <c r="L957" i="1"/>
  <c r="L958" i="1"/>
  <c r="L960" i="1"/>
  <c r="L775" i="1"/>
  <c r="L776" i="1"/>
  <c r="L777" i="1"/>
  <c r="L778" i="1"/>
  <c r="L779" i="1"/>
  <c r="L780" i="1"/>
  <c r="L220" i="1"/>
  <c r="L221" i="1"/>
  <c r="L222" i="1"/>
  <c r="L223" i="1"/>
  <c r="L224" i="1"/>
  <c r="L786" i="1"/>
  <c r="L225" i="1"/>
  <c r="L226" i="1"/>
  <c r="L961" i="1"/>
  <c r="L962" i="1"/>
  <c r="L963" i="1"/>
  <c r="L976" i="1"/>
  <c r="L979" i="1"/>
  <c r="L794" i="1"/>
  <c r="L795" i="1"/>
  <c r="L796" i="1"/>
  <c r="L227" i="1"/>
  <c r="L228" i="1"/>
  <c r="L233" i="1"/>
  <c r="L234" i="1"/>
  <c r="L238" i="1"/>
  <c r="L239" i="1"/>
  <c r="L240" i="1"/>
  <c r="L241" i="1"/>
  <c r="L242" i="1"/>
  <c r="L806" i="1"/>
  <c r="L244" i="1"/>
  <c r="L248" i="1"/>
  <c r="L250" i="1"/>
  <c r="L810" i="1"/>
  <c r="L811" i="1"/>
  <c r="L980" i="1"/>
  <c r="L981" i="1"/>
  <c r="L984" i="1"/>
  <c r="L989" i="1"/>
  <c r="L816" i="1"/>
  <c r="L990" i="1"/>
  <c r="L991" i="1"/>
  <c r="L819" i="1"/>
  <c r="L994" i="1"/>
  <c r="L821" i="1"/>
  <c r="L251" i="1"/>
  <c r="L995" i="1"/>
  <c r="L997" i="1"/>
  <c r="L252" i="1"/>
  <c r="L253" i="1"/>
  <c r="L827" i="1"/>
  <c r="L999" i="1"/>
  <c r="L829" i="1"/>
  <c r="L830" i="1"/>
  <c r="L831" i="1"/>
  <c r="L1000" i="1"/>
  <c r="L1001" i="1"/>
  <c r="L1002" i="1"/>
  <c r="L1003" i="1"/>
  <c r="L254" i="1"/>
  <c r="L1004" i="1"/>
  <c r="L255" i="1"/>
  <c r="L839" i="1"/>
  <c r="L840" i="1"/>
  <c r="L1005" i="1"/>
  <c r="L1006" i="1"/>
  <c r="L1007" i="1"/>
  <c r="L407" i="1"/>
  <c r="L845" i="1"/>
  <c r="L846" i="1"/>
  <c r="L256" i="1"/>
  <c r="L257" i="1"/>
  <c r="L1010" i="1"/>
  <c r="L1014" i="1"/>
  <c r="L258" i="1"/>
  <c r="L852" i="1"/>
  <c r="L259" i="1"/>
  <c r="L260" i="1"/>
  <c r="L261" i="1"/>
  <c r="L262" i="1"/>
  <c r="L1015" i="1"/>
  <c r="L858" i="1"/>
  <c r="L859" i="1"/>
  <c r="L860" i="1"/>
  <c r="L1016" i="1"/>
  <c r="L1020" i="1"/>
  <c r="L1021" i="1"/>
  <c r="L1023" i="1"/>
  <c r="L1024" i="1"/>
  <c r="L1026" i="1"/>
  <c r="L1027" i="1"/>
  <c r="L868" i="1"/>
  <c r="L869" i="1"/>
  <c r="L263" i="1"/>
  <c r="L268" i="1"/>
  <c r="L872" i="1"/>
  <c r="L269" i="1"/>
  <c r="L270" i="1"/>
  <c r="L271" i="1"/>
  <c r="L272" i="1"/>
  <c r="L877" i="1"/>
  <c r="L878" i="1"/>
  <c r="L879" i="1"/>
  <c r="L880" i="1"/>
  <c r="L881" i="1"/>
  <c r="L882" i="1"/>
  <c r="L273" i="1"/>
  <c r="L884" i="1"/>
  <c r="L885" i="1"/>
  <c r="L274" i="1"/>
  <c r="L277" i="1"/>
  <c r="L888" i="1"/>
  <c r="L889" i="1"/>
  <c r="L890" i="1"/>
  <c r="L891" i="1"/>
  <c r="L1029" i="1"/>
  <c r="L408" i="1"/>
  <c r="L1030" i="1"/>
  <c r="L1031" i="1"/>
  <c r="L410" i="1"/>
  <c r="L412" i="1"/>
  <c r="L1032" i="1"/>
  <c r="L1033" i="1"/>
  <c r="L1040" i="1"/>
  <c r="L1041" i="1"/>
  <c r="L1042" i="1"/>
  <c r="L1043" i="1"/>
  <c r="L904" i="1"/>
  <c r="L905" i="1"/>
  <c r="L1044" i="1"/>
  <c r="L1045" i="1"/>
  <c r="L1046" i="1"/>
  <c r="L1047" i="1"/>
  <c r="L1048" i="1"/>
  <c r="L1049" i="1"/>
  <c r="L1050" i="1"/>
  <c r="L1051" i="1"/>
  <c r="L914" i="1"/>
  <c r="L915" i="1"/>
  <c r="L1052" i="1"/>
  <c r="L1054" i="1"/>
  <c r="L918" i="1"/>
  <c r="L919" i="1"/>
  <c r="L920" i="1"/>
  <c r="L1055" i="1"/>
  <c r="L1056" i="1"/>
  <c r="L1057" i="1"/>
  <c r="L1058" i="1"/>
  <c r="L1059" i="1"/>
  <c r="L1060" i="1"/>
  <c r="L1061" i="1"/>
  <c r="L1062" i="1"/>
  <c r="L929" i="1"/>
  <c r="L930" i="1"/>
  <c r="L931" i="1"/>
  <c r="L278" i="1"/>
  <c r="L279" i="1"/>
  <c r="L934" i="1"/>
  <c r="L280" i="1"/>
  <c r="L281" i="1"/>
  <c r="L282" i="1"/>
  <c r="L938" i="1"/>
  <c r="L939" i="1"/>
  <c r="L1063" i="1"/>
  <c r="L413" i="1"/>
  <c r="L1064" i="1"/>
  <c r="L943" i="1"/>
  <c r="L944" i="1"/>
  <c r="L945" i="1"/>
  <c r="L1065" i="1"/>
  <c r="L1066" i="1"/>
  <c r="L1067" i="1"/>
  <c r="L1068" i="1"/>
  <c r="L1069" i="1"/>
  <c r="L1070" i="1"/>
  <c r="L952" i="1"/>
  <c r="L953" i="1"/>
  <c r="L1071" i="1"/>
  <c r="L1072" i="1"/>
  <c r="L1073" i="1"/>
  <c r="L1077" i="1"/>
  <c r="L414" i="1"/>
  <c r="L959" i="1"/>
  <c r="L285" i="1"/>
  <c r="L286" i="1"/>
  <c r="L287" i="1"/>
  <c r="L288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415" i="1"/>
  <c r="L977" i="1"/>
  <c r="L978" i="1"/>
  <c r="L1078" i="1"/>
  <c r="L1079" i="1"/>
  <c r="L1080" i="1"/>
  <c r="L982" i="1"/>
  <c r="L983" i="1"/>
  <c r="L1081" i="1"/>
  <c r="L985" i="1"/>
  <c r="L986" i="1"/>
  <c r="L987" i="1"/>
  <c r="L988" i="1"/>
  <c r="L1082" i="1"/>
  <c r="L1083" i="1"/>
  <c r="L1084" i="1"/>
  <c r="L992" i="1"/>
  <c r="L993" i="1"/>
  <c r="L1085" i="1"/>
  <c r="L1086" i="1"/>
  <c r="L996" i="1"/>
  <c r="L1087" i="1"/>
  <c r="L998" i="1"/>
  <c r="L1088" i="1"/>
  <c r="L1089" i="1"/>
  <c r="L1090" i="1"/>
  <c r="L1091" i="1"/>
  <c r="L1094" i="1"/>
  <c r="L1096" i="1"/>
  <c r="L1097" i="1"/>
  <c r="L1098" i="1"/>
  <c r="L1099" i="1"/>
  <c r="L1008" i="1"/>
  <c r="L1009" i="1"/>
  <c r="L1101" i="1"/>
  <c r="L1011" i="1"/>
  <c r="L1012" i="1"/>
  <c r="L1013" i="1"/>
  <c r="L1102" i="1"/>
  <c r="L1103" i="1"/>
  <c r="L289" i="1"/>
  <c r="L1017" i="1"/>
  <c r="L1018" i="1"/>
  <c r="L1019" i="1"/>
  <c r="L290" i="1"/>
  <c r="L295" i="1"/>
  <c r="L1022" i="1"/>
  <c r="L1105" i="1"/>
  <c r="L1106" i="1"/>
  <c r="L1025" i="1"/>
  <c r="L1107" i="1"/>
  <c r="L1108" i="1"/>
  <c r="L1028" i="1"/>
  <c r="L296" i="1"/>
  <c r="L1109" i="1"/>
  <c r="L1111" i="1"/>
  <c r="L1112" i="1"/>
  <c r="L1113" i="1"/>
  <c r="L1034" i="1"/>
  <c r="L1035" i="1"/>
  <c r="L1036" i="1"/>
  <c r="L1037" i="1"/>
  <c r="L1038" i="1"/>
  <c r="L1039" i="1"/>
  <c r="L1114" i="1"/>
  <c r="L1118" i="1"/>
  <c r="L1119" i="1"/>
  <c r="L1120" i="1"/>
  <c r="L1121" i="1"/>
  <c r="L1122" i="1"/>
  <c r="L1125" i="1"/>
  <c r="L1126" i="1"/>
  <c r="L1128" i="1"/>
  <c r="L297" i="1"/>
  <c r="L303" i="1"/>
  <c r="L1129" i="1"/>
  <c r="L306" i="1"/>
  <c r="L1053" i="1"/>
  <c r="L311" i="1"/>
  <c r="L312" i="1"/>
  <c r="L313" i="1"/>
  <c r="L314" i="1"/>
  <c r="L315" i="1"/>
  <c r="L316" i="1"/>
  <c r="L1133" i="1"/>
  <c r="L317" i="1"/>
  <c r="L318" i="1"/>
  <c r="L319" i="1"/>
  <c r="L320" i="1"/>
  <c r="L321" i="1"/>
  <c r="L322" i="1"/>
  <c r="L323" i="1"/>
  <c r="L324" i="1"/>
  <c r="L325" i="1"/>
  <c r="L332" i="1"/>
  <c r="L333" i="1"/>
  <c r="L334" i="1"/>
  <c r="L336" i="1"/>
  <c r="L1074" i="1"/>
  <c r="L1075" i="1"/>
  <c r="L1076" i="1"/>
  <c r="L1134" i="1"/>
  <c r="L1135" i="1"/>
  <c r="L1136" i="1"/>
  <c r="L337" i="1"/>
  <c r="L1137" i="1"/>
  <c r="L338" i="1"/>
  <c r="L1139" i="1"/>
  <c r="L339" i="1"/>
  <c r="L1141" i="1"/>
  <c r="L1144" i="1"/>
  <c r="L1145" i="1"/>
  <c r="L1146" i="1"/>
  <c r="L1147" i="1"/>
  <c r="L1150" i="1"/>
  <c r="L1151" i="1"/>
  <c r="L1092" i="1"/>
  <c r="L1093" i="1"/>
  <c r="L1152" i="1"/>
  <c r="L1095" i="1"/>
  <c r="L340" i="1"/>
  <c r="L341" i="1"/>
  <c r="L342" i="1"/>
  <c r="L1153" i="1"/>
  <c r="L1100" i="1"/>
  <c r="L343" i="1"/>
  <c r="L345" i="1"/>
  <c r="L346" i="1"/>
  <c r="L1104" i="1"/>
  <c r="L347" i="1"/>
  <c r="L348" i="1"/>
  <c r="L417" i="1"/>
  <c r="L349" i="1"/>
  <c r="L351" i="1"/>
  <c r="L1110" i="1"/>
  <c r="L352" i="1"/>
  <c r="L353" i="1"/>
  <c r="L354" i="1"/>
  <c r="L355" i="1"/>
  <c r="L1115" i="1"/>
  <c r="L1116" i="1"/>
  <c r="L1117" i="1"/>
  <c r="L1159" i="1"/>
  <c r="L1160" i="1"/>
  <c r="L1161" i="1"/>
  <c r="L1162" i="1"/>
  <c r="L1163" i="1"/>
  <c r="L1123" i="1"/>
  <c r="L1124" i="1"/>
  <c r="L1164" i="1"/>
  <c r="L1165" i="1"/>
  <c r="L1127" i="1"/>
  <c r="L1166" i="1"/>
  <c r="L1167" i="1"/>
  <c r="L1130" i="1"/>
  <c r="L1131" i="1"/>
  <c r="L1132" i="1"/>
  <c r="L1168" i="1"/>
  <c r="L1170" i="1"/>
  <c r="L1171" i="1"/>
  <c r="L1172" i="1"/>
  <c r="L1173" i="1"/>
  <c r="L1138" i="1"/>
  <c r="L1174" i="1"/>
  <c r="L1140" i="1"/>
  <c r="L1175" i="1"/>
  <c r="L1142" i="1"/>
  <c r="L1143" i="1"/>
  <c r="L1176" i="1"/>
  <c r="L1177" i="1"/>
  <c r="L1181" i="1"/>
  <c r="L1182" i="1"/>
  <c r="L1148" i="1"/>
  <c r="L1149" i="1"/>
  <c r="L1183" i="1"/>
  <c r="L1184" i="1"/>
  <c r="L1185" i="1"/>
  <c r="L356" i="1"/>
  <c r="L1154" i="1"/>
  <c r="L1155" i="1"/>
  <c r="L1156" i="1"/>
  <c r="L1157" i="1"/>
  <c r="L1158" i="1"/>
  <c r="L1186" i="1"/>
  <c r="L1189" i="1"/>
  <c r="L1191" i="1"/>
  <c r="L1196" i="1"/>
  <c r="L1197" i="1"/>
  <c r="L1198" i="1"/>
  <c r="L1199" i="1"/>
  <c r="L1200" i="1"/>
  <c r="L357" i="1"/>
  <c r="L1201" i="1"/>
  <c r="L1169" i="1"/>
  <c r="L358" i="1"/>
  <c r="L360" i="1"/>
  <c r="L1203" i="1"/>
  <c r="L1204" i="1"/>
  <c r="L1206" i="1"/>
  <c r="L1210" i="1"/>
  <c r="L1211" i="1"/>
  <c r="L361" i="1"/>
  <c r="L1178" i="1"/>
  <c r="L1179" i="1"/>
  <c r="L1180" i="1"/>
  <c r="L362" i="1"/>
  <c r="L1212" i="1"/>
  <c r="L1213" i="1"/>
  <c r="L366" i="1"/>
  <c r="L1214" i="1"/>
  <c r="L1215" i="1"/>
  <c r="L1187" i="1"/>
  <c r="L1188" i="1"/>
  <c r="L1216" i="1"/>
  <c r="L1190" i="1"/>
  <c r="L367" i="1"/>
  <c r="L1192" i="1"/>
  <c r="L1193" i="1"/>
  <c r="L1194" i="1"/>
  <c r="L1195" i="1"/>
  <c r="L1217" i="1"/>
  <c r="L1220" i="1"/>
  <c r="L1221" i="1"/>
  <c r="L1222" i="1"/>
  <c r="L1228" i="1"/>
  <c r="L1229" i="1"/>
  <c r="L1202" i="1"/>
  <c r="L1230" i="1"/>
  <c r="L1233" i="1"/>
  <c r="L1205" i="1"/>
  <c r="L1234" i="1"/>
  <c r="L1207" i="1"/>
  <c r="L1208" i="1"/>
  <c r="L1209" i="1"/>
  <c r="L368" i="1"/>
  <c r="L369" i="1"/>
  <c r="L1235" i="1"/>
  <c r="L418" i="1"/>
  <c r="L1236" i="1"/>
  <c r="L370" i="1"/>
  <c r="L371" i="1"/>
  <c r="L372" i="1"/>
  <c r="L1218" i="1"/>
  <c r="L1219" i="1"/>
  <c r="L373" i="1"/>
  <c r="L374" i="1"/>
  <c r="L377" i="1"/>
  <c r="L1223" i="1"/>
  <c r="L1224" i="1"/>
  <c r="L1225" i="1"/>
  <c r="L1226" i="1"/>
  <c r="L1227" i="1"/>
  <c r="L1237" i="1"/>
  <c r="L1238" i="1"/>
  <c r="L1239" i="1"/>
  <c r="L1231" i="1"/>
  <c r="L1232" i="1"/>
  <c r="L1240" i="1"/>
  <c r="L1241" i="1"/>
  <c r="L1242" i="1"/>
  <c r="L1243" i="1"/>
  <c r="L1244" i="1"/>
  <c r="L1245" i="1"/>
  <c r="L1246" i="1"/>
  <c r="L1247" i="1"/>
  <c r="L1248" i="1"/>
  <c r="L378" i="1"/>
  <c r="L379" i="1"/>
  <c r="L380" i="1"/>
  <c r="L381" i="1"/>
  <c r="L382" i="1"/>
  <c r="L383" i="1"/>
  <c r="L384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</calcChain>
</file>

<file path=xl/sharedStrings.xml><?xml version="1.0" encoding="utf-8"?>
<sst xmlns="http://schemas.openxmlformats.org/spreadsheetml/2006/main" count="10164" uniqueCount="2717">
  <si>
    <t>S.N.</t>
  </si>
  <si>
    <t>Name</t>
  </si>
  <si>
    <t>University</t>
  </si>
  <si>
    <t>Department</t>
  </si>
  <si>
    <t>OpenAlex ID</t>
  </si>
  <si>
    <t>Detected Title</t>
  </si>
  <si>
    <t>Web Status Flag</t>
  </si>
  <si>
    <t>Last Active Year</t>
  </si>
  <si>
    <t>Papers (2022-2026)</t>
  </si>
  <si>
    <t>Recommended Action</t>
  </si>
  <si>
    <t>Activeness Rating</t>
  </si>
  <si>
    <t>Profile URL</t>
  </si>
  <si>
    <t>Marcus Herrmann</t>
  </si>
  <si>
    <t>Arizona State University</t>
  </si>
  <si>
    <t>Mech</t>
  </si>
  <si>
    <t>A5009928604</t>
  </si>
  <si>
    <t>Professor</t>
  </si>
  <si>
    <t>ACTIVE_PROFESSOR</t>
  </si>
  <si>
    <t>LAST_1996</t>
  </si>
  <si>
    <t>KEEP (Active Professor)</t>
  </si>
  <si>
    <t>Kiran Ramesh</t>
  </si>
  <si>
    <t>A5067959099</t>
  </si>
  <si>
    <t>Associate Professor</t>
  </si>
  <si>
    <t>ACTIVE_ASSOCIATE_PROF</t>
  </si>
  <si>
    <t>LAST_1984</t>
  </si>
  <si>
    <t>Kyle Squires</t>
  </si>
  <si>
    <t>A5014517076</t>
  </si>
  <si>
    <t>None</t>
  </si>
  <si>
    <t>HTTP_404</t>
  </si>
  <si>
    <t>LAST_1987</t>
  </si>
  <si>
    <t>Rodrigo B. Platte</t>
  </si>
  <si>
    <t>Math</t>
  </si>
  <si>
    <t>A5041997278</t>
  </si>
  <si>
    <t>LAST_1999</t>
  </si>
  <si>
    <t>Sebastien Motsch</t>
  </si>
  <si>
    <t>A5025292969</t>
  </si>
  <si>
    <t>LAST_2007</t>
  </si>
  <si>
    <t>Houlong Zhuang</t>
  </si>
  <si>
    <t>A5061932900</t>
  </si>
  <si>
    <t>LAST_2006</t>
  </si>
  <si>
    <t>Eric Kostelich</t>
  </si>
  <si>
    <t>A5046489748</t>
  </si>
  <si>
    <t>LAST_1985</t>
  </si>
  <si>
    <t>Bruno Welfert</t>
  </si>
  <si>
    <t>A5013289636</t>
  </si>
  <si>
    <t>LAST_1989</t>
  </si>
  <si>
    <t>Brian Thurow</t>
  </si>
  <si>
    <t>Auburn University</t>
  </si>
  <si>
    <t>Aero</t>
  </si>
  <si>
    <t>A5045194119</t>
  </si>
  <si>
    <t>LAST_2000</t>
  </si>
  <si>
    <t>Joe Majdalani</t>
  </si>
  <si>
    <t>A5110196700</t>
  </si>
  <si>
    <t>LAST_2008</t>
  </si>
  <si>
    <t>Roy Hartfield</t>
  </si>
  <si>
    <t>A5064732436</t>
  </si>
  <si>
    <t>James B. Michael</t>
  </si>
  <si>
    <t>NOT_FOUND (CANDIDATES_FOUND_NO_AFFIL_MATCH)</t>
  </si>
  <si>
    <t>NO_OA_ID</t>
  </si>
  <si>
    <t>REVIEW (Inactive: 0 papers since 2022)</t>
  </si>
  <si>
    <t>Nek Sharan</t>
  </si>
  <si>
    <t>A5083776721</t>
  </si>
  <si>
    <t>Assistant Professor</t>
  </si>
  <si>
    <t>ACTIVE_ASSISTANT_PROF</t>
  </si>
  <si>
    <t>LAST_2013</t>
  </si>
  <si>
    <t>David E Scarborough</t>
  </si>
  <si>
    <t>A5070852181</t>
  </si>
  <si>
    <t>LAST_1970</t>
  </si>
  <si>
    <t>Imon Chakraborty</t>
  </si>
  <si>
    <t>A5037732444</t>
  </si>
  <si>
    <t>LAST_2011</t>
  </si>
  <si>
    <t>Davide Guzzetti</t>
  </si>
  <si>
    <t>A5067499279</t>
  </si>
  <si>
    <t>Ehsan Taheri</t>
  </si>
  <si>
    <t>A5014636068</t>
  </si>
  <si>
    <t>LAST_2009</t>
  </si>
  <si>
    <t>Jay Khodadadi</t>
  </si>
  <si>
    <t>Paul R. Chiarot</t>
  </si>
  <si>
    <t>Binghamton University</t>
  </si>
  <si>
    <t>A5047035979</t>
  </si>
  <si>
    <t>LAST_1988</t>
  </si>
  <si>
    <t>Jifu Tan</t>
  </si>
  <si>
    <t>A5091228489</t>
  </si>
  <si>
    <t>No clear rank detected</t>
  </si>
  <si>
    <t>UNCERTAIN_WEB</t>
  </si>
  <si>
    <t>LAST_2010</t>
  </si>
  <si>
    <t>Cosan Daskiran</t>
  </si>
  <si>
    <t>A5052993927</t>
  </si>
  <si>
    <t>LAST_2015</t>
  </si>
  <si>
    <t>Sheryl Grace</t>
  </si>
  <si>
    <t>Boston University</t>
  </si>
  <si>
    <t>A5035905556</t>
  </si>
  <si>
    <t>LAST_1997</t>
  </si>
  <si>
    <t>James C. Bird</t>
  </si>
  <si>
    <t>A5030818407</t>
  </si>
  <si>
    <t>LAST_1830</t>
  </si>
  <si>
    <t>Douglas P. Holmes</t>
  </si>
  <si>
    <t>A5032824164</t>
  </si>
  <si>
    <t>LAST_1959</t>
  </si>
  <si>
    <t>Harold S. Park</t>
  </si>
  <si>
    <t>A5006794186</t>
  </si>
  <si>
    <t>LAST_1943</t>
  </si>
  <si>
    <t>Paul E. Barbone</t>
  </si>
  <si>
    <t>A5056425704</t>
  </si>
  <si>
    <t>LAST_1990</t>
  </si>
  <si>
    <t>Raymond Nagem</t>
  </si>
  <si>
    <t>A5020228355</t>
  </si>
  <si>
    <t>Sean B. Andersson</t>
  </si>
  <si>
    <t>A5081816980</t>
  </si>
  <si>
    <t>LAST_1981</t>
  </si>
  <si>
    <t>Kenneth S. Breuer</t>
  </si>
  <si>
    <t>Brown University</t>
  </si>
  <si>
    <t>Mech/Math</t>
  </si>
  <si>
    <t>A5067000740</t>
  </si>
  <si>
    <t>Emeritus</t>
  </si>
  <si>
    <t>FLAG_EMERITUS</t>
  </si>
  <si>
    <t>REMOVE (Emeritus / Retired)</t>
  </si>
  <si>
    <t>Daniel M. Harris</t>
  </si>
  <si>
    <t>A5020186460</t>
  </si>
  <si>
    <t>LAST_1905</t>
  </si>
  <si>
    <t>Mauro Rodriguez Jr.</t>
  </si>
  <si>
    <t>A5086175635</t>
  </si>
  <si>
    <t>Roberto Zenit</t>
  </si>
  <si>
    <t>A5019942742</t>
  </si>
  <si>
    <t>LAST_1992</t>
  </si>
  <si>
    <t>Monica Martinez Wilhelmus</t>
  </si>
  <si>
    <t>A5061343510</t>
  </si>
  <si>
    <t>LAST_2014</t>
  </si>
  <si>
    <t>George Em Karniadakis</t>
  </si>
  <si>
    <t>A5009658255</t>
  </si>
  <si>
    <t>Chi-Wang Shu</t>
  </si>
  <si>
    <t>A5047035333</t>
  </si>
  <si>
    <t>LAST_1963</t>
  </si>
  <si>
    <t>Mark Ainsworth</t>
  </si>
  <si>
    <t>A5091196582</t>
  </si>
  <si>
    <t>LAST_1953</t>
  </si>
  <si>
    <t>Johnny Guzmán</t>
  </si>
  <si>
    <t>A5036599010</t>
  </si>
  <si>
    <t>Jerome Darbon</t>
  </si>
  <si>
    <t>A5076546851</t>
  </si>
  <si>
    <t>LAST_2001</t>
  </si>
  <si>
    <t>Brendan Keith</t>
  </si>
  <si>
    <t>A5018678142</t>
  </si>
  <si>
    <t>LAST_1967</t>
  </si>
  <si>
    <t>Govind Menon</t>
  </si>
  <si>
    <t>A5065480740</t>
  </si>
  <si>
    <t>LAST_1976</t>
  </si>
  <si>
    <t>Yan Guo</t>
  </si>
  <si>
    <t>Joanna M. Austin</t>
  </si>
  <si>
    <t>California Institute of Technology</t>
  </si>
  <si>
    <t>A5032218189</t>
  </si>
  <si>
    <t>Lecturer</t>
  </si>
  <si>
    <t>FLAG_LECTURER</t>
  </si>
  <si>
    <t>LAST_1957</t>
  </si>
  <si>
    <t>REMOVE (Adjunct / Lecturer)</t>
  </si>
  <si>
    <t>H. Jane Bae</t>
  </si>
  <si>
    <t>A5051222488</t>
  </si>
  <si>
    <t>Guillaume Blanquart</t>
  </si>
  <si>
    <t>A5083125334</t>
  </si>
  <si>
    <t>LAST_2004</t>
  </si>
  <si>
    <t>Tim Colonius</t>
  </si>
  <si>
    <t>Mech/Aero</t>
  </si>
  <si>
    <t>A5033274288</t>
  </si>
  <si>
    <t>John O. Dabiri</t>
  </si>
  <si>
    <t>A5072842791</t>
  </si>
  <si>
    <t>Morteza (Mory) Gharib</t>
  </si>
  <si>
    <t>A5001942781</t>
  </si>
  <si>
    <t>LAST_1979</t>
  </si>
  <si>
    <t>Thomas Yizhao Hou</t>
  </si>
  <si>
    <t>A5113999511</t>
  </si>
  <si>
    <t>Adrian Lozano-Duran</t>
  </si>
  <si>
    <t>A5133656489</t>
  </si>
  <si>
    <t>LAST_2026</t>
  </si>
  <si>
    <t>Houman Owhadi</t>
  </si>
  <si>
    <t>A5034000581</t>
  </si>
  <si>
    <t>Joseph E. Shepherd</t>
  </si>
  <si>
    <t>A5090922059</t>
  </si>
  <si>
    <t>Amir Barati Farimani</t>
  </si>
  <si>
    <t>Carnegie Mellon University</t>
  </si>
  <si>
    <t>A5008745801</t>
  </si>
  <si>
    <t>Shelley L. Anna</t>
  </si>
  <si>
    <t>A5063320716</t>
  </si>
  <si>
    <t>LAST_1994</t>
  </si>
  <si>
    <t>Gerald J. Wang</t>
  </si>
  <si>
    <t>A5089348063</t>
  </si>
  <si>
    <t>Philip LeDuc</t>
  </si>
  <si>
    <t>A5059723823</t>
  </si>
  <si>
    <t>Carmel Majidi</t>
  </si>
  <si>
    <t>A5050506400</t>
  </si>
  <si>
    <t>Ian Tice</t>
  </si>
  <si>
    <t>A5067779463</t>
  </si>
  <si>
    <t>Adjunct</t>
  </si>
  <si>
    <t>FLAG_ADJUNCT</t>
  </si>
  <si>
    <t>David Kinderlehrer</t>
  </si>
  <si>
    <t>A5081068961</t>
  </si>
  <si>
    <t>LAST_1969</t>
  </si>
  <si>
    <t>Robert L. Pego</t>
  </si>
  <si>
    <t>A5013346577</t>
  </si>
  <si>
    <t>Dejan Slepčev</t>
  </si>
  <si>
    <t>A5004682327</t>
  </si>
  <si>
    <t>LAST_2002</t>
  </si>
  <si>
    <t>Giovanni Leoni</t>
  </si>
  <si>
    <t>A5061082633</t>
  </si>
  <si>
    <t>Nicholas M. Boffi</t>
  </si>
  <si>
    <t>A5054972412</t>
  </si>
  <si>
    <t>Joshua Bostwick</t>
  </si>
  <si>
    <t>Clemson University</t>
  </si>
  <si>
    <t>A5027986800</t>
  </si>
  <si>
    <t>Yi "Elise" Guo</t>
  </si>
  <si>
    <t>Ethan Kung</t>
  </si>
  <si>
    <t>A5083766821</t>
  </si>
  <si>
    <t>Zhen Li</t>
  </si>
  <si>
    <t>A5100332581</t>
  </si>
  <si>
    <t>LAST_1993</t>
  </si>
  <si>
    <t>Hassan Masoud</t>
  </si>
  <si>
    <t>A5032963628</t>
  </si>
  <si>
    <t>Phanindra Tallapragada</t>
  </si>
  <si>
    <t>A5079777763</t>
  </si>
  <si>
    <t>Chenning Tong</t>
  </si>
  <si>
    <t>A5081158272</t>
  </si>
  <si>
    <t>LAST_1991</t>
  </si>
  <si>
    <t>Yuhao Xu</t>
  </si>
  <si>
    <t>A5040629694</t>
  </si>
  <si>
    <t>Leo Rebholz</t>
  </si>
  <si>
    <t>A5028355904</t>
  </si>
  <si>
    <t>LAST_2005</t>
  </si>
  <si>
    <t>Quyuan Lin</t>
  </si>
  <si>
    <t>A5062005823</t>
  </si>
  <si>
    <t>LAST_2020</t>
  </si>
  <si>
    <t>Lea Jenkins</t>
  </si>
  <si>
    <t>A5059933204</t>
  </si>
  <si>
    <t>Pelin Guven Geredeli</t>
  </si>
  <si>
    <t>A5018592405</t>
  </si>
  <si>
    <t>Denis Aslangil</t>
  </si>
  <si>
    <t>Colorado School of Mines</t>
  </si>
  <si>
    <t>A5048996845</t>
  </si>
  <si>
    <t>Veronica Eliasson</t>
  </si>
  <si>
    <t>A5086260339</t>
  </si>
  <si>
    <t>Rajavasanth Rajasegar</t>
  </si>
  <si>
    <t>A5003972071</t>
  </si>
  <si>
    <t>Nils Tilton</t>
  </si>
  <si>
    <t>A5014669702</t>
  </si>
  <si>
    <t>Robert J. Kee</t>
  </si>
  <si>
    <t>A5058494124</t>
  </si>
  <si>
    <t>LAST_1966</t>
  </si>
  <si>
    <t>Brennan Sprinkle</t>
  </si>
  <si>
    <t>A5056496144</t>
  </si>
  <si>
    <t>Mahadevan Ganesh</t>
  </si>
  <si>
    <t>A5012913212</t>
  </si>
  <si>
    <t>Stephen Pankavich</t>
  </si>
  <si>
    <t>A5036033406</t>
  </si>
  <si>
    <t>Ciprian Dumitrache</t>
  </si>
  <si>
    <t>Colorado State University</t>
  </si>
  <si>
    <t>A5006804139</t>
  </si>
  <si>
    <t>LAST_2012</t>
  </si>
  <si>
    <t>Bret Windom</t>
  </si>
  <si>
    <t>A5054340607</t>
  </si>
  <si>
    <t>Azer Yalin</t>
  </si>
  <si>
    <t>A5002311146</t>
  </si>
  <si>
    <t>Subhas Karan Venayagamoorthy</t>
  </si>
  <si>
    <t>A5060491905</t>
  </si>
  <si>
    <t>David A. Randall</t>
  </si>
  <si>
    <t>A5000003309</t>
  </si>
  <si>
    <t>LAST_1940</t>
  </si>
  <si>
    <t>Susan C. van den Heever</t>
  </si>
  <si>
    <t>A5091179691</t>
  </si>
  <si>
    <t>Peter Jan van Leeuwen</t>
  </si>
  <si>
    <t>A5063378345</t>
  </si>
  <si>
    <t>LAST_1897</t>
  </si>
  <si>
    <t>Olivier Desjardins</t>
  </si>
  <si>
    <t>Cornell University</t>
  </si>
  <si>
    <t>Mech/Aero/Math</t>
  </si>
  <si>
    <t>A5072530647</t>
  </si>
  <si>
    <t>LAST_2003</t>
  </si>
  <si>
    <t>Gregory Paul Bewley</t>
  </si>
  <si>
    <t>A5139335616</t>
  </si>
  <si>
    <t>Z. Jane Wang</t>
  </si>
  <si>
    <t>A5006615632</t>
  </si>
  <si>
    <t>Jian-Xun Wang</t>
  </si>
  <si>
    <t>A5085043351</t>
  </si>
  <si>
    <t>Perrine Pepiot</t>
  </si>
  <si>
    <t>A5085424335</t>
  </si>
  <si>
    <t>Elaine Petro</t>
  </si>
  <si>
    <t>A5082232017</t>
  </si>
  <si>
    <t>Donald L. Koch</t>
  </si>
  <si>
    <t>A5069221650</t>
  </si>
  <si>
    <t>LAST_1962</t>
  </si>
  <si>
    <t>David Bindel</t>
  </si>
  <si>
    <t>A5073697071</t>
  </si>
  <si>
    <t>Alexander Vladimirsky</t>
  </si>
  <si>
    <t>A5028818054</t>
  </si>
  <si>
    <t>Alex Townsend</t>
  </si>
  <si>
    <t>A5003110773</t>
  </si>
  <si>
    <t>Anil Damle</t>
  </si>
  <si>
    <t>A5015625725</t>
  </si>
  <si>
    <t>Steven H. Strogatz</t>
  </si>
  <si>
    <t>A5029418921</t>
  </si>
  <si>
    <t>Silvia Ferrari</t>
  </si>
  <si>
    <t>A5101849469</t>
  </si>
  <si>
    <t>Mason Peck</t>
  </si>
  <si>
    <t>A5041492445</t>
  </si>
  <si>
    <t>LAST_1983</t>
  </si>
  <si>
    <t>Benoit Cushman-Roisin</t>
  </si>
  <si>
    <t>Dartmouth College</t>
  </si>
  <si>
    <t>A5006171263</t>
  </si>
  <si>
    <t>LAST_1980</t>
  </si>
  <si>
    <t>Colin R. Meyer</t>
  </si>
  <si>
    <t>A5042908854</t>
  </si>
  <si>
    <t>Yan Li</t>
  </si>
  <si>
    <t>A5100380336</t>
  </si>
  <si>
    <t>Hélène Seroussi</t>
  </si>
  <si>
    <t>A5046027378</t>
  </si>
  <si>
    <t>Mary Albert</t>
  </si>
  <si>
    <t>A5019935739</t>
  </si>
  <si>
    <t>LAST_1978</t>
  </si>
  <si>
    <t>Laura Ray</t>
  </si>
  <si>
    <t>A5000034078</t>
  </si>
  <si>
    <t>Alexander Fridman</t>
  </si>
  <si>
    <t>Drexel University</t>
  </si>
  <si>
    <t>A5109840842</t>
  </si>
  <si>
    <t>LAST_1968</t>
  </si>
  <si>
    <t>Hongseok Moses Noh</t>
  </si>
  <si>
    <t>A5110051597</t>
  </si>
  <si>
    <t>Ahmad Raeisi Najafi</t>
  </si>
  <si>
    <t>A5060339899</t>
  </si>
  <si>
    <t>James Tangorra</t>
  </si>
  <si>
    <t>A5044455194</t>
  </si>
  <si>
    <t>Sorin Siegler</t>
  </si>
  <si>
    <t>A5056477793</t>
  </si>
  <si>
    <t>LAST_1982</t>
  </si>
  <si>
    <t>Antonios Zavaliangos</t>
  </si>
  <si>
    <t>A5011250890</t>
  </si>
  <si>
    <t>Earl H. Dowell</t>
  </si>
  <si>
    <t>Duke University</t>
  </si>
  <si>
    <t>A5041097179</t>
  </si>
  <si>
    <t>Timeout</t>
  </si>
  <si>
    <t>WEB_TIMEOUT</t>
  </si>
  <si>
    <t>Kenneth C. Hall</t>
  </si>
  <si>
    <t>A5050653630</t>
  </si>
  <si>
    <t>LAST_1944</t>
  </si>
  <si>
    <t>Wilkins Aquino</t>
  </si>
  <si>
    <t>A5067331647</t>
  </si>
  <si>
    <t>Lawrie Virgin</t>
  </si>
  <si>
    <t>A5112324221</t>
  </si>
  <si>
    <t>Christopher Douglas</t>
  </si>
  <si>
    <t>Bavand Keshavarz</t>
  </si>
  <si>
    <t>A5020835030</t>
  </si>
  <si>
    <t>Guglielmo Scovazzi</t>
  </si>
  <si>
    <t>A5087990984</t>
  </si>
  <si>
    <t>Michael Zavlanos</t>
  </si>
  <si>
    <t>A5080808780</t>
  </si>
  <si>
    <t>Thomas Witelski</t>
  </si>
  <si>
    <t>A5053976950</t>
  </si>
  <si>
    <t>Jian-Guo Liu</t>
  </si>
  <si>
    <t>A5019169169</t>
  </si>
  <si>
    <t>Alexander Kiselev</t>
  </si>
  <si>
    <t>A5037975226</t>
  </si>
  <si>
    <t>LAST_1956</t>
  </si>
  <si>
    <t>Jianfeng Lu</t>
  </si>
  <si>
    <t>A5061472917</t>
  </si>
  <si>
    <t>James H. Nolen</t>
  </si>
  <si>
    <t>James W. Gregory</t>
  </si>
  <si>
    <t>Embry-Riddle Aeronautical University</t>
  </si>
  <si>
    <t>Anouck Girard</t>
  </si>
  <si>
    <t>A5074685221</t>
  </si>
  <si>
    <t>LAST_1972</t>
  </si>
  <si>
    <t>William Engblom</t>
  </si>
  <si>
    <t>A5097037524</t>
  </si>
  <si>
    <t>Andrea Da Ronch</t>
  </si>
  <si>
    <t>A5044501073</t>
  </si>
  <si>
    <t>Eric Perrell</t>
  </si>
  <si>
    <t>A5083648165</t>
  </si>
  <si>
    <t>Lance Traub</t>
  </si>
  <si>
    <t>Hever Moncayo</t>
  </si>
  <si>
    <t>A5092115716</t>
  </si>
  <si>
    <t>LAST_2023</t>
  </si>
  <si>
    <t>Richard Prazenica</t>
  </si>
  <si>
    <t>Troy Henderson</t>
  </si>
  <si>
    <t>A5136746287</t>
  </si>
  <si>
    <t>Chelakara S. Subramanian</t>
  </si>
  <si>
    <t>Florida Institute of Technology</t>
  </si>
  <si>
    <t>Aero/Math</t>
  </si>
  <si>
    <t>A5037372585</t>
  </si>
  <si>
    <t>Daniel Kirk</t>
  </si>
  <si>
    <t>A5108383999</t>
  </si>
  <si>
    <t>Reza Jahanbakhshi</t>
  </si>
  <si>
    <t>A5001751137</t>
  </si>
  <si>
    <t>Kibaek Lee</t>
  </si>
  <si>
    <t>A5011242044</t>
  </si>
  <si>
    <t>Camilo Riano-Rios</t>
  </si>
  <si>
    <t>A5087944428</t>
  </si>
  <si>
    <t>LAST_2019</t>
  </si>
  <si>
    <t>Madhur Tiwari</t>
  </si>
  <si>
    <t>A5072433088</t>
  </si>
  <si>
    <t>Manasvi Lingam</t>
  </si>
  <si>
    <t>A5011292867</t>
  </si>
  <si>
    <t>Alicia Aron Boymelgreen</t>
  </si>
  <si>
    <t>Florida International University</t>
  </si>
  <si>
    <t>NOT_FOUND (NOT_FOUND_BY_NAME)</t>
  </si>
  <si>
    <t>Tanaji Paul</t>
  </si>
  <si>
    <t>A5001680214</t>
  </si>
  <si>
    <t>Dwayne McDaniel</t>
  </si>
  <si>
    <t>A5071133207</t>
  </si>
  <si>
    <t>LAST_1958</t>
  </si>
  <si>
    <t>Hakima Bessaih</t>
  </si>
  <si>
    <t>A5015933074</t>
  </si>
  <si>
    <t>LAST_1995</t>
  </si>
  <si>
    <t>Ciprian G. S. Gal</t>
  </si>
  <si>
    <t>A5135726769</t>
  </si>
  <si>
    <t>Yanqiu Guo</t>
  </si>
  <si>
    <t>A5034769922</t>
  </si>
  <si>
    <t>Svetlana Roudenko</t>
  </si>
  <si>
    <t>A5026912162</t>
  </si>
  <si>
    <t>Wei Wang</t>
  </si>
  <si>
    <t>A5100424784</t>
  </si>
  <si>
    <t>Yuanchang Sun</t>
  </si>
  <si>
    <t>A5101562438</t>
  </si>
  <si>
    <t>OA_TIMEOUT</t>
  </si>
  <si>
    <t>Zhongming Wang</t>
  </si>
  <si>
    <t>A5022756745</t>
  </si>
  <si>
    <t>Louis Roder Tcheugoue Tebou</t>
  </si>
  <si>
    <t>A5027082017</t>
  </si>
  <si>
    <t>Rajan Kumar</t>
  </si>
  <si>
    <t>Florida State University</t>
  </si>
  <si>
    <t>A5050121154</t>
  </si>
  <si>
    <t>Farrukh Alvi</t>
  </si>
  <si>
    <t>A5077555235</t>
  </si>
  <si>
    <t>Chiang Shih</t>
  </si>
  <si>
    <t>A5065025312</t>
  </si>
  <si>
    <t>Kourosh Shoele</t>
  </si>
  <si>
    <t>A5030795163</t>
  </si>
  <si>
    <t>Unnikrishnan Sasidharan Nair</t>
  </si>
  <si>
    <t>A5103941679</t>
  </si>
  <si>
    <t>Neda Yaghoobian</t>
  </si>
  <si>
    <t>A5023437310</t>
  </si>
  <si>
    <t>Huixuan Wu</t>
  </si>
  <si>
    <t>A5082917656</t>
  </si>
  <si>
    <t>Jonathan Clark</t>
  </si>
  <si>
    <t>A5034041450</t>
  </si>
  <si>
    <t>Christian Hubicki</t>
  </si>
  <si>
    <t>A5033990176</t>
  </si>
  <si>
    <t>Tomasz Plewa</t>
  </si>
  <si>
    <t>A5015352424</t>
  </si>
  <si>
    <t>Bryan Quaife</t>
  </si>
  <si>
    <t>A5046140903</t>
  </si>
  <si>
    <t>Gordon Erlebacher</t>
  </si>
  <si>
    <t>A5075780861</t>
  </si>
  <si>
    <t>Xiaoqiang Wang</t>
  </si>
  <si>
    <t>A5100626794</t>
  </si>
  <si>
    <t>Mark Sussman</t>
  </si>
  <si>
    <t>A5001270898</t>
  </si>
  <si>
    <t>Leigh McCue-Weil</t>
  </si>
  <si>
    <t>George Mason University</t>
  </si>
  <si>
    <t>A5054085641</t>
  </si>
  <si>
    <t>HTTP_307</t>
  </si>
  <si>
    <t>Jeffrey L. Moran</t>
  </si>
  <si>
    <t>A5055942456</t>
  </si>
  <si>
    <t>Pouya Rezai</t>
  </si>
  <si>
    <t>A5012797210</t>
  </si>
  <si>
    <t>Daigo Shishika</t>
  </si>
  <si>
    <t>A5057044271</t>
  </si>
  <si>
    <t>Ali Beheshti</t>
  </si>
  <si>
    <t>A5052341108</t>
  </si>
  <si>
    <t>Harbir Antil</t>
  </si>
  <si>
    <t>A5021343350</t>
  </si>
  <si>
    <t>Padmanabhan Seshaiyer</t>
  </si>
  <si>
    <t>A5029673753</t>
  </si>
  <si>
    <t>Maria Emelianenko</t>
  </si>
  <si>
    <t>A5051572194</t>
  </si>
  <si>
    <t>Daniel M. Anderson</t>
  </si>
  <si>
    <t>A5101412590</t>
  </si>
  <si>
    <t>Timothy Sauer</t>
  </si>
  <si>
    <t>A5029217710</t>
  </si>
  <si>
    <t>Elias Balaras</t>
  </si>
  <si>
    <t>George Washington University</t>
  </si>
  <si>
    <t>A5057838298</t>
  </si>
  <si>
    <t>HTTP_403</t>
  </si>
  <si>
    <t>Lorena A. Barba</t>
  </si>
  <si>
    <t>A5028603986</t>
  </si>
  <si>
    <t>Philippe M. Bardet</t>
  </si>
  <si>
    <t>A5022754959</t>
  </si>
  <si>
    <t>Michael Keidar</t>
  </si>
  <si>
    <t>A5042249475</t>
  </si>
  <si>
    <t>Megan C. Leftwich</t>
  </si>
  <si>
    <t>A5003377580</t>
  </si>
  <si>
    <t>Matthew J. Rau</t>
  </si>
  <si>
    <t>A5050152409</t>
  </si>
  <si>
    <t>Kausik Sarkar</t>
  </si>
  <si>
    <t>A5034628285</t>
  </si>
  <si>
    <t>Taeyoung Lee</t>
  </si>
  <si>
    <t>A5020132536</t>
  </si>
  <si>
    <t>Peng Wei</t>
  </si>
  <si>
    <t>Petros Koumoutsakos</t>
  </si>
  <si>
    <t>Harvard University</t>
  </si>
  <si>
    <t>A5075516550</t>
  </si>
  <si>
    <t>LAST_1986</t>
  </si>
  <si>
    <t>Michael P. Brenner</t>
  </si>
  <si>
    <t>A5001027226</t>
  </si>
  <si>
    <t>L. Mahadevan</t>
  </si>
  <si>
    <t>A5063432831</t>
  </si>
  <si>
    <t>Robin Wordsworth</t>
  </si>
  <si>
    <t>A5008740857</t>
  </si>
  <si>
    <t>Nick Trefethen</t>
  </si>
  <si>
    <t>A5060738431</t>
  </si>
  <si>
    <t>Katia Bertoldi</t>
  </si>
  <si>
    <t>A5046326005</t>
  </si>
  <si>
    <t>Robert J. Wood</t>
  </si>
  <si>
    <t>A5068613839</t>
  </si>
  <si>
    <t>LAST_1952</t>
  </si>
  <si>
    <t>Daniel J. Jacob</t>
  </si>
  <si>
    <t>A5011740304</t>
  </si>
  <si>
    <t>Achille Messac</t>
  </si>
  <si>
    <t>Howard University</t>
  </si>
  <si>
    <t>A5061492615</t>
  </si>
  <si>
    <t>Katharine Gurski</t>
  </si>
  <si>
    <t>A5017236962</t>
  </si>
  <si>
    <t>LAST_1998</t>
  </si>
  <si>
    <t>Roberto De Leo</t>
  </si>
  <si>
    <t>A5066434888</t>
  </si>
  <si>
    <t>LAST_1971</t>
  </si>
  <si>
    <t>Louis N. Cattafesta III</t>
  </si>
  <si>
    <t>Illinois Institute of Technology</t>
  </si>
  <si>
    <t>A5028067429</t>
  </si>
  <si>
    <t>Kevin W. Cassel</t>
  </si>
  <si>
    <t>A5070252236</t>
  </si>
  <si>
    <t>Scott T. M. Dawson</t>
  </si>
  <si>
    <t>A5088595213</t>
  </si>
  <si>
    <t>Douglas W. Carter</t>
  </si>
  <si>
    <t>A5088325181</t>
  </si>
  <si>
    <t>Carrie M. Hall</t>
  </si>
  <si>
    <t>A5026464791</t>
  </si>
  <si>
    <t>LAST_1918</t>
  </si>
  <si>
    <t>Boris S. Pervan</t>
  </si>
  <si>
    <t>Matthew Spenko</t>
  </si>
  <si>
    <t>A5135300073</t>
  </si>
  <si>
    <t>Ankit Srivastava</t>
  </si>
  <si>
    <t>A5049187891</t>
  </si>
  <si>
    <t>Dietmar Rempfer</t>
  </si>
  <si>
    <t>A5029750366</t>
  </si>
  <si>
    <t>LAST_1977</t>
  </si>
  <si>
    <t>Hui Hu</t>
  </si>
  <si>
    <t>Iowa State University</t>
  </si>
  <si>
    <t>A5100422502</t>
  </si>
  <si>
    <t>Anupam Sharma</t>
  </si>
  <si>
    <t>A5023997097</t>
  </si>
  <si>
    <t>Partha Sarkar</t>
  </si>
  <si>
    <t>A5100601859</t>
  </si>
  <si>
    <t>Ping He</t>
  </si>
  <si>
    <t>A5047965851</t>
  </si>
  <si>
    <t>Sidharth G.S.</t>
  </si>
  <si>
    <t>A5078022458</t>
  </si>
  <si>
    <t>Han Gao</t>
  </si>
  <si>
    <t>A5062881243</t>
  </si>
  <si>
    <t>Theodore J. Heindel</t>
  </si>
  <si>
    <t>A5030098582</t>
  </si>
  <si>
    <t>Baskar Ganapathysubramanian</t>
  </si>
  <si>
    <t>A5011704511</t>
  </si>
  <si>
    <t>Alberto Passalacqua</t>
  </si>
  <si>
    <t>A5055354059</t>
  </si>
  <si>
    <t>Charles Meneveau</t>
  </si>
  <si>
    <t>Johns Hopkins University</t>
  </si>
  <si>
    <t>A5037572274</t>
  </si>
  <si>
    <t>Joseph Katz</t>
  </si>
  <si>
    <t>A5044925111</t>
  </si>
  <si>
    <t>Rajat Mittal</t>
  </si>
  <si>
    <t>A5068244186</t>
  </si>
  <si>
    <t>Tamer Zaki</t>
  </si>
  <si>
    <t>A5040500034</t>
  </si>
  <si>
    <t>Gretar Tryggvason</t>
  </si>
  <si>
    <t>A5075006459</t>
  </si>
  <si>
    <t>Rui Ni</t>
  </si>
  <si>
    <t>A5090831677</t>
  </si>
  <si>
    <t>Dennice Gayme</t>
  </si>
  <si>
    <t>A5074209155</t>
  </si>
  <si>
    <t>Julie Lundquist</t>
  </si>
  <si>
    <t>A5091611341</t>
  </si>
  <si>
    <t>Kaliat (K.T.) Ramesh</t>
  </si>
  <si>
    <t>A5033981216</t>
  </si>
  <si>
    <t>Gregory L. Eyink</t>
  </si>
  <si>
    <t>A5052696233</t>
  </si>
  <si>
    <t>Ioannis (Yannis) Kevrekidis</t>
  </si>
  <si>
    <t>A5036566464</t>
  </si>
  <si>
    <t>Fadil Santosa</t>
  </si>
  <si>
    <t>A5033911917</t>
  </si>
  <si>
    <t>Jincheng Yang</t>
  </si>
  <si>
    <t>A5072507546</t>
  </si>
  <si>
    <t>Suryanarayana Maddu</t>
  </si>
  <si>
    <t>A5012945471</t>
  </si>
  <si>
    <t>Mingjun Wei</t>
  </si>
  <si>
    <t>Kansas State University</t>
  </si>
  <si>
    <t>A5041729214</t>
  </si>
  <si>
    <t>Warren N. White</t>
  </si>
  <si>
    <t>A5110272170</t>
  </si>
  <si>
    <t>LAST_1975</t>
  </si>
  <si>
    <t>Amir Bahadori</t>
  </si>
  <si>
    <t>A5059158270</t>
  </si>
  <si>
    <t>Pietro Poggi-Corradini</t>
  </si>
  <si>
    <t>A5048685952</t>
  </si>
  <si>
    <t>Nathan Albin</t>
  </si>
  <si>
    <t>A5036022357</t>
  </si>
  <si>
    <t>Arindam Banerjee</t>
  </si>
  <si>
    <t>Lehigh University</t>
  </si>
  <si>
    <t>A5080657354</t>
  </si>
  <si>
    <t>Keith W. Moored</t>
  </si>
  <si>
    <t>A5005387643</t>
  </si>
  <si>
    <t>Alparslan Oztekin</t>
  </si>
  <si>
    <t>A5062609071</t>
  </si>
  <si>
    <t>Aditya K. Aiyer</t>
  </si>
  <si>
    <t>A5031998252</t>
  </si>
  <si>
    <t>Ebru Demir</t>
  </si>
  <si>
    <t>A5073254434</t>
  </si>
  <si>
    <t>Parisa Khodabakhshi</t>
  </si>
  <si>
    <t>A5007749090</t>
  </si>
  <si>
    <t>Subhrajit Bhattacharya</t>
  </si>
  <si>
    <t>A5101463763</t>
  </si>
  <si>
    <t>Daniel Conus</t>
  </si>
  <si>
    <t>A5071714134</t>
  </si>
  <si>
    <t>John W. M. Bush</t>
  </si>
  <si>
    <t>Massachusetts Institute of Technology</t>
  </si>
  <si>
    <t>A5067813676</t>
  </si>
  <si>
    <t>LAST_1961</t>
  </si>
  <si>
    <t>David L. Darmofal</t>
  </si>
  <si>
    <t>A5008751772</t>
  </si>
  <si>
    <t>Mark Drela</t>
  </si>
  <si>
    <t>A5038168295</t>
  </si>
  <si>
    <t>Jörn Dunkel</t>
  </si>
  <si>
    <t>A5086396945</t>
  </si>
  <si>
    <t>Ahmed F. Ghoniem</t>
  </si>
  <si>
    <t>A5101421714</t>
  </si>
  <si>
    <t>Pierre F. J. Lermusiaux</t>
  </si>
  <si>
    <t>A5062670983</t>
  </si>
  <si>
    <t>Paulo C. Lozano</t>
  </si>
  <si>
    <t>A5073378998</t>
  </si>
  <si>
    <t>LAST_1973</t>
  </si>
  <si>
    <t>Youssef M. Marzouk</t>
  </si>
  <si>
    <t>A5071702167</t>
  </si>
  <si>
    <t>Gareth H. McKinley</t>
  </si>
  <si>
    <t>A5055968208</t>
  </si>
  <si>
    <t>LAST_1960</t>
  </si>
  <si>
    <t>Themistoklis Sapsis</t>
  </si>
  <si>
    <t>A5037328807</t>
  </si>
  <si>
    <t>Zoltán S. Spakovszky</t>
  </si>
  <si>
    <t>A5012124771</t>
  </si>
  <si>
    <t>Willem (Wim) M. van Rees</t>
  </si>
  <si>
    <t>Qiqi Wang</t>
  </si>
  <si>
    <t>A5101519071</t>
  </si>
  <si>
    <t>David Olson</t>
  </si>
  <si>
    <t>Michigan State University</t>
  </si>
  <si>
    <t>A5044286863</t>
  </si>
  <si>
    <t>LAST_1964</t>
  </si>
  <si>
    <t>Junlin Yuan</t>
  </si>
  <si>
    <t>A5048328740</t>
  </si>
  <si>
    <t>Ricardo Mejia-Alvarez</t>
  </si>
  <si>
    <t>A5038048091</t>
  </si>
  <si>
    <t>Norbert Mueller</t>
  </si>
  <si>
    <t>A5110136826</t>
  </si>
  <si>
    <t>Zhaojian Li</t>
  </si>
  <si>
    <t>A5037274043</t>
  </si>
  <si>
    <t>Mohsen Zayernouri</t>
  </si>
  <si>
    <t>A5051268633</t>
  </si>
  <si>
    <t>Andrew J. Christlieb</t>
  </si>
  <si>
    <t>A5083347493</t>
  </si>
  <si>
    <t>Yingda Cheng</t>
  </si>
  <si>
    <t>A5002089116</t>
  </si>
  <si>
    <t>Keith Promislow</t>
  </si>
  <si>
    <t>A5024694851</t>
  </si>
  <si>
    <t>Jeffrey S. Allen</t>
  </si>
  <si>
    <t>Michigan Technological University</t>
  </si>
  <si>
    <t>A5051688820</t>
  </si>
  <si>
    <t>Seong-Young Lee</t>
  </si>
  <si>
    <t>A5069224231</t>
  </si>
  <si>
    <t>Bhisham Sharma</t>
  </si>
  <si>
    <t>A5034727765</t>
  </si>
  <si>
    <t>Susanta Ghosh</t>
  </si>
  <si>
    <t>A5012521601</t>
  </si>
  <si>
    <t>Andrew A. Oliva</t>
  </si>
  <si>
    <t>A5031862068</t>
  </si>
  <si>
    <t>Jason Blough</t>
  </si>
  <si>
    <t>A5009020533</t>
  </si>
  <si>
    <t>LAST_1931</t>
  </si>
  <si>
    <t>Jeffrey Naber</t>
  </si>
  <si>
    <t>A5042786475</t>
  </si>
  <si>
    <t>Yang Yang</t>
  </si>
  <si>
    <t>A5100604690</t>
  </si>
  <si>
    <t>Zhengfu Xu</t>
  </si>
  <si>
    <t>A5101993671</t>
  </si>
  <si>
    <t>Adrian Sescu</t>
  </si>
  <si>
    <t>Mississippi State University</t>
  </si>
  <si>
    <t>A5067871719</t>
  </si>
  <si>
    <t>Shreyas Narsipur</t>
  </si>
  <si>
    <t>A5065549631</t>
  </si>
  <si>
    <t>Craig Merrett</t>
  </si>
  <si>
    <t>A5025422292</t>
  </si>
  <si>
    <t>Vilas Shinde</t>
  </si>
  <si>
    <t>A5037505084</t>
  </si>
  <si>
    <t>Vivek Khare</t>
  </si>
  <si>
    <t>A5080045496</t>
  </si>
  <si>
    <t>Shanti Bhushan</t>
  </si>
  <si>
    <t>A5103870732</t>
  </si>
  <si>
    <t>Seongjai Kim</t>
  </si>
  <si>
    <t>A5052797183</t>
  </si>
  <si>
    <t>Christopher Barrett</t>
  </si>
  <si>
    <t>A5102734017</t>
  </si>
  <si>
    <t>Serhat Hosder</t>
  </si>
  <si>
    <t>Missouri University of Science and Technology</t>
  </si>
  <si>
    <t>A5041724810</t>
  </si>
  <si>
    <t>Davide Viganò</t>
  </si>
  <si>
    <t>A5124217746</t>
  </si>
  <si>
    <t>Daoru Han</t>
  </si>
  <si>
    <t>A5007740434</t>
  </si>
  <si>
    <t>Xiaosong Du</t>
  </si>
  <si>
    <t>A5052263813</t>
  </si>
  <si>
    <t>Siva Kumar Valluri</t>
  </si>
  <si>
    <t>A5080194506</t>
  </si>
  <si>
    <t>LAST_2016</t>
  </si>
  <si>
    <t>Henry Pernicka</t>
  </si>
  <si>
    <t>A5091110335</t>
  </si>
  <si>
    <t>Xiaoming He</t>
  </si>
  <si>
    <t>A5041708794</t>
  </si>
  <si>
    <t>Qingguo Hong</t>
  </si>
  <si>
    <t>A5014378909</t>
  </si>
  <si>
    <t>John Singler</t>
  </si>
  <si>
    <t>A5065565731</t>
  </si>
  <si>
    <t>Yanzhi Zhang</t>
  </si>
  <si>
    <t>A5040809339</t>
  </si>
  <si>
    <t>Mark Jankauski</t>
  </si>
  <si>
    <t>Montana State University</t>
  </si>
  <si>
    <t>A5071132339</t>
  </si>
  <si>
    <t>Yaofa Li</t>
  </si>
  <si>
    <t>A5051282109</t>
  </si>
  <si>
    <t>Sarah L. Codd</t>
  </si>
  <si>
    <t>A5056737263</t>
  </si>
  <si>
    <t>Dominique Zosso</t>
  </si>
  <si>
    <t>A5074775708</t>
  </si>
  <si>
    <t>Tomas Gedeon</t>
  </si>
  <si>
    <t>A5070531641</t>
  </si>
  <si>
    <t>Scott McCalla</t>
  </si>
  <si>
    <t>A5003184921</t>
  </si>
  <si>
    <t>Lou Kondic</t>
  </si>
  <si>
    <t>New Jersey Institute of Technology</t>
  </si>
  <si>
    <t>A5026028890</t>
  </si>
  <si>
    <t>Michael Siegel</t>
  </si>
  <si>
    <t>A5114065918</t>
  </si>
  <si>
    <t>Pushpendra Singh</t>
  </si>
  <si>
    <t>A5028236116</t>
  </si>
  <si>
    <t>LAST_1912</t>
  </si>
  <si>
    <t>Shahriar Afkhami</t>
  </si>
  <si>
    <t>A5103018495</t>
  </si>
  <si>
    <t>Simone Marras</t>
  </si>
  <si>
    <t>A5076271069</t>
  </si>
  <si>
    <t>Anthony Rosato</t>
  </si>
  <si>
    <t>A5041032297</t>
  </si>
  <si>
    <t>Denis Blackmore</t>
  </si>
  <si>
    <t>A5003281118</t>
  </si>
  <si>
    <t>Travis Askham</t>
  </si>
  <si>
    <t>A5066978688</t>
  </si>
  <si>
    <t>Anand U. Oza</t>
  </si>
  <si>
    <t>A5067537144</t>
  </si>
  <si>
    <t>Shawn Chester</t>
  </si>
  <si>
    <t>A5006142151</t>
  </si>
  <si>
    <t>Andreas Gross</t>
  </si>
  <si>
    <t>New Mexico State University</t>
  </si>
  <si>
    <t>A5107345045</t>
  </si>
  <si>
    <t>Abdessattar Abdelkefi</t>
  </si>
  <si>
    <t>A5054763931</t>
  </si>
  <si>
    <t>Fangjun Shu</t>
  </si>
  <si>
    <t>A5066746501</t>
  </si>
  <si>
    <t>Banavara Shashikanth</t>
  </si>
  <si>
    <t>A5042512482</t>
  </si>
  <si>
    <t>Qiong Liu</t>
  </si>
  <si>
    <t>A5100336311</t>
  </si>
  <si>
    <t>Shabnam Mohammadshahi</t>
  </si>
  <si>
    <t>A5014486469</t>
  </si>
  <si>
    <t>Francisco Torres Herrador</t>
  </si>
  <si>
    <t>A5039261352</t>
  </si>
  <si>
    <t>LAST_2018</t>
  </si>
  <si>
    <t>Jack R. Edwards</t>
  </si>
  <si>
    <t>North Carolina State University</t>
  </si>
  <si>
    <t>A5091273038</t>
  </si>
  <si>
    <t>LAST_1928</t>
  </si>
  <si>
    <t>Venkat Narayanaswamy</t>
  </si>
  <si>
    <t>A5000529327</t>
  </si>
  <si>
    <t>James Braun</t>
  </si>
  <si>
    <t>A5080584548</t>
  </si>
  <si>
    <t>Kenneth Granlund</t>
  </si>
  <si>
    <t>A5071382594</t>
  </si>
  <si>
    <t>Ashok Gopalarathnam</t>
  </si>
  <si>
    <t>A5004052432</t>
  </si>
  <si>
    <t>Darius Carter</t>
  </si>
  <si>
    <t>A5052298578</t>
  </si>
  <si>
    <t>Pramod Subbareddy</t>
  </si>
  <si>
    <t>Felix Ewere</t>
  </si>
  <si>
    <t>A5070434234</t>
  </si>
  <si>
    <t>Mohammad Farazmand</t>
  </si>
  <si>
    <t>A5000952198</t>
  </si>
  <si>
    <t>Semyon Tsynkov</t>
  </si>
  <si>
    <t>A5064610183</t>
  </si>
  <si>
    <t>Zhilin Li</t>
  </si>
  <si>
    <t>A5077703661</t>
  </si>
  <si>
    <t>Hien Tran</t>
  </si>
  <si>
    <t>Lorena Bociu</t>
  </si>
  <si>
    <t>A5077761935</t>
  </si>
  <si>
    <t>Yeonjong Shin</t>
  </si>
  <si>
    <t>A5023632213</t>
  </si>
  <si>
    <t>Yildirim Bora Suzen</t>
  </si>
  <si>
    <t>North Dakota State University</t>
  </si>
  <si>
    <t>A5012657014</t>
  </si>
  <si>
    <t>Yan Zhang</t>
  </si>
  <si>
    <t>A5100459168</t>
  </si>
  <si>
    <t>Yechun Wang</t>
  </si>
  <si>
    <t>A5008472420</t>
  </si>
  <si>
    <t>Ghodrat Karami</t>
  </si>
  <si>
    <t>A5006814696</t>
  </si>
  <si>
    <t>Xiangfa Wu</t>
  </si>
  <si>
    <t>A5085153340</t>
  </si>
  <si>
    <t>Chad Ulven</t>
  </si>
  <si>
    <t>A5090827744</t>
  </si>
  <si>
    <t>Inbae Jeong</t>
  </si>
  <si>
    <t>A5051903099</t>
  </si>
  <si>
    <t>Datta Gaitonde</t>
  </si>
  <si>
    <t>Ohio State University-Main Campus</t>
  </si>
  <si>
    <t>A5082589597</t>
  </si>
  <si>
    <t>Lian Duan</t>
  </si>
  <si>
    <t>A5044214596</t>
  </si>
  <si>
    <t>Mohammad Samimy</t>
  </si>
  <si>
    <t>A5015756609</t>
  </si>
  <si>
    <t>Jeffrey Bons</t>
  </si>
  <si>
    <t>A5107749698</t>
  </si>
  <si>
    <t>Jack McNamara</t>
  </si>
  <si>
    <t>A5036529817</t>
  </si>
  <si>
    <t>LAST_1951</t>
  </si>
  <si>
    <t>Dongbin Xiu</t>
  </si>
  <si>
    <t>A5030218917</t>
  </si>
  <si>
    <t>Steven T. Wereley</t>
  </si>
  <si>
    <t>Ohio University</t>
  </si>
  <si>
    <t>A5044643029</t>
  </si>
  <si>
    <t>Jay Wilhelm</t>
  </si>
  <si>
    <t>A5057524534</t>
  </si>
  <si>
    <t>Brian Wisner</t>
  </si>
  <si>
    <t>A5070352118</t>
  </si>
  <si>
    <t>Yahya Al-Majali</t>
  </si>
  <si>
    <t>A5081633426</t>
  </si>
  <si>
    <t>LAST_2017</t>
  </si>
  <si>
    <t>David Quiroz</t>
  </si>
  <si>
    <t>A5103256094</t>
  </si>
  <si>
    <t>Qiliang Wu</t>
  </si>
  <si>
    <t>A5052937382</t>
  </si>
  <si>
    <t>Jamey Jacob</t>
  </si>
  <si>
    <t>Oklahoma State University</t>
  </si>
  <si>
    <t>A5041719233</t>
  </si>
  <si>
    <t>Brian R. Elbing</t>
  </si>
  <si>
    <t>A5023721182</t>
  </si>
  <si>
    <t>Kursat Kara</t>
  </si>
  <si>
    <t>A5058789709</t>
  </si>
  <si>
    <t>Khaled A. Sallam</t>
  </si>
  <si>
    <t>A5068900410</t>
  </si>
  <si>
    <t>Chitrarth Prasad</t>
  </si>
  <si>
    <t>A5077897402</t>
  </si>
  <si>
    <t>LAST_1950</t>
  </si>
  <si>
    <t>Arvind Santhanakrishnan</t>
  </si>
  <si>
    <t>A5056758213</t>
  </si>
  <si>
    <t>He Bai</t>
  </si>
  <si>
    <t>A5040513070</t>
  </si>
  <si>
    <t>Wei Zhao</t>
  </si>
  <si>
    <t>Xu Zhang</t>
  </si>
  <si>
    <t>Sourabh V. Apte</t>
  </si>
  <si>
    <t>Oregon State University</t>
  </si>
  <si>
    <t>A5074157650</t>
  </si>
  <si>
    <t>Kyle Niemeyer</t>
  </si>
  <si>
    <t>A5083534268</t>
  </si>
  <si>
    <t>David L. Blunck</t>
  </si>
  <si>
    <t>A5006060597</t>
  </si>
  <si>
    <t>Malgorzata Peszynska</t>
  </si>
  <si>
    <t>A5068516473</t>
  </si>
  <si>
    <t>Nathan Gibson</t>
  </si>
  <si>
    <t>A5103104412</t>
  </si>
  <si>
    <t>Vrushali A. Bokil</t>
  </si>
  <si>
    <t>A5018487878</t>
  </si>
  <si>
    <t>Kenneth Brentner</t>
  </si>
  <si>
    <t>Pennsylvania State University-Main Campus</t>
  </si>
  <si>
    <t>A5079268809</t>
  </si>
  <si>
    <t>James Coder</t>
  </si>
  <si>
    <t>A5000763062</t>
  </si>
  <si>
    <t>Daning Huang</t>
  </si>
  <si>
    <t>A5069630107</t>
  </si>
  <si>
    <t>Sven Schmitz</t>
  </si>
  <si>
    <t>A5064060241</t>
  </si>
  <si>
    <t>Eric Greenwood</t>
  </si>
  <si>
    <t>A5024540860</t>
  </si>
  <si>
    <t>Robert Kunz</t>
  </si>
  <si>
    <t>A5023802568</t>
  </si>
  <si>
    <t>Xiang Yang</t>
  </si>
  <si>
    <t>Jacqueline O'Connor</t>
  </si>
  <si>
    <t>A5084098996</t>
  </si>
  <si>
    <t>LAST_1965</t>
  </si>
  <si>
    <t>Yuan Xuan</t>
  </si>
  <si>
    <t>A5101850575</t>
  </si>
  <si>
    <t>Anna Mazzucato</t>
  </si>
  <si>
    <t>A5034250050</t>
  </si>
  <si>
    <t>John Harlim</t>
  </si>
  <si>
    <t>A5112564733</t>
  </si>
  <si>
    <t>Marcus Hultmark</t>
  </si>
  <si>
    <t>Princeton University</t>
  </si>
  <si>
    <t>A5028198279</t>
  </si>
  <si>
    <t>Luc Deike</t>
  </si>
  <si>
    <t>A5042513241</t>
  </si>
  <si>
    <t>Michelle H. DiBenedetto</t>
  </si>
  <si>
    <t>A5019294850</t>
  </si>
  <si>
    <t>Luigi Martinelli</t>
  </si>
  <si>
    <t>A5043716841</t>
  </si>
  <si>
    <t>Michael E. Mueller</t>
  </si>
  <si>
    <t>A5075568528</t>
  </si>
  <si>
    <t>Clarence W. Rowley</t>
  </si>
  <si>
    <t>A5089973231</t>
  </si>
  <si>
    <t>Chung K. Law</t>
  </si>
  <si>
    <t>A5076177399</t>
  </si>
  <si>
    <t>Edgar Y. Choueiri</t>
  </si>
  <si>
    <t>A5013310973</t>
  </si>
  <si>
    <t>Yiguang Ju</t>
  </si>
  <si>
    <t>A5081250081</t>
  </si>
  <si>
    <t>Alison M. Ferris</t>
  </si>
  <si>
    <t>A5031987461</t>
  </si>
  <si>
    <t>Aimy Wissa</t>
  </si>
  <si>
    <t>A5076771658</t>
  </si>
  <si>
    <t>Peter Constantin</t>
  </si>
  <si>
    <t>A5037968657</t>
  </si>
  <si>
    <t>Amit Singer</t>
  </si>
  <si>
    <t>A5062844820</t>
  </si>
  <si>
    <t>Jeroen Tromp</t>
  </si>
  <si>
    <t>A5034672570</t>
  </si>
  <si>
    <t>Jonathan Poggie</t>
  </si>
  <si>
    <t>Purdue University</t>
  </si>
  <si>
    <t>A5081530885</t>
  </si>
  <si>
    <t>HTTP_500</t>
  </si>
  <si>
    <t>Steven P. Schneider</t>
  </si>
  <si>
    <t>A5110057663</t>
  </si>
  <si>
    <t>Gregory A. Blaisdell</t>
  </si>
  <si>
    <t>A5069345570</t>
  </si>
  <si>
    <t>Carson D. Slabaugh</t>
  </si>
  <si>
    <t>A5042060392</t>
  </si>
  <si>
    <t>Alina A. Alexeenko</t>
  </si>
  <si>
    <t>A5057568024</t>
  </si>
  <si>
    <t>Sally P. M. Bane</t>
  </si>
  <si>
    <t>A5005279392</t>
  </si>
  <si>
    <t>Kyle A. Hanquist</t>
  </si>
  <si>
    <t>Kazuki Maeda</t>
  </si>
  <si>
    <t>A5028678084</t>
  </si>
  <si>
    <t>Alexey Shashurin</t>
  </si>
  <si>
    <t>A5021284477</t>
  </si>
  <si>
    <t>Tom I-P. Shih</t>
  </si>
  <si>
    <t>A5110445139</t>
  </si>
  <si>
    <t>Timothée L. Pourpoint</t>
  </si>
  <si>
    <t>A5059251969</t>
  </si>
  <si>
    <t>Li Qiao</t>
  </si>
  <si>
    <t>Haifeng Wang</t>
  </si>
  <si>
    <t>A5100386408</t>
  </si>
  <si>
    <t>Robert P. Lucht</t>
  </si>
  <si>
    <t>A5018644100</t>
  </si>
  <si>
    <t>Carlo Scalo</t>
  </si>
  <si>
    <t>A5085802971</t>
  </si>
  <si>
    <t>Guillermo Paniagua</t>
  </si>
  <si>
    <t>A5038253130</t>
  </si>
  <si>
    <t>Nicole L. Key</t>
  </si>
  <si>
    <t>A5050868025</t>
  </si>
  <si>
    <t>Arezoo M. Ardekani</t>
  </si>
  <si>
    <t>A5048295740</t>
  </si>
  <si>
    <t>Hector Gomez</t>
  </si>
  <si>
    <t>A5050535603</t>
  </si>
  <si>
    <t>Guang Lin</t>
  </si>
  <si>
    <t>A5078138445</t>
  </si>
  <si>
    <t>Xiangxiong Zhang</t>
  </si>
  <si>
    <t>A5061066295</t>
  </si>
  <si>
    <t>Michael Amitay</t>
  </si>
  <si>
    <t>Rensselaer Polytechnic Institute</t>
  </si>
  <si>
    <t>A5005797408</t>
  </si>
  <si>
    <t>Jason Hicken</t>
  </si>
  <si>
    <t>A5088748633</t>
  </si>
  <si>
    <t>Ozgur Tumuklu</t>
  </si>
  <si>
    <t>A5015106554</t>
  </si>
  <si>
    <t>Shaowu Pan</t>
  </si>
  <si>
    <t>A5074526331</t>
  </si>
  <si>
    <t>Onkar Sahni</t>
  </si>
  <si>
    <t>A5047734191</t>
  </si>
  <si>
    <t>Lucy Zhang</t>
  </si>
  <si>
    <t>A5047861103</t>
  </si>
  <si>
    <t>Amir Hirsa</t>
  </si>
  <si>
    <t>A5025527156</t>
  </si>
  <si>
    <t>Mark S. Shephard</t>
  </si>
  <si>
    <t>A5080270359</t>
  </si>
  <si>
    <t>William D. Henshaw</t>
  </si>
  <si>
    <t>A5111584732</t>
  </si>
  <si>
    <t>LAST_1887</t>
  </si>
  <si>
    <t>Jeffrey W. Banks</t>
  </si>
  <si>
    <t>A5006563491</t>
  </si>
  <si>
    <t>Fengyan Li</t>
  </si>
  <si>
    <t>A5101926587</t>
  </si>
  <si>
    <t>Chjan Lim</t>
  </si>
  <si>
    <t>A5077796426</t>
  </si>
  <si>
    <t>Yuri V. Lvov</t>
  </si>
  <si>
    <t>A5044074311</t>
  </si>
  <si>
    <t>Tayfun E. Tezduyar</t>
  </si>
  <si>
    <t>Rice University</t>
  </si>
  <si>
    <t>A5040474854</t>
  </si>
  <si>
    <t>HTTP_406</t>
  </si>
  <si>
    <t>Beatrice Riviere</t>
  </si>
  <si>
    <t>A5046673531</t>
  </si>
  <si>
    <t>Matthias Heinkenschloss</t>
  </si>
  <si>
    <t>A5070192811</t>
  </si>
  <si>
    <t>Daniel J. Preston</t>
  </si>
  <si>
    <t>A5066327147</t>
  </si>
  <si>
    <t>Thomas G. Anderson</t>
  </si>
  <si>
    <t>A5090322046</t>
  </si>
  <si>
    <t>Pol D. Spanos</t>
  </si>
  <si>
    <t>A5110431873</t>
  </si>
  <si>
    <t>Lu Zhang</t>
  </si>
  <si>
    <t>A5100388599</t>
  </si>
  <si>
    <t>Edward DeMauro</t>
  </si>
  <si>
    <t>Rutgers University-New Brunswick</t>
  </si>
  <si>
    <t>Onur Bilgen</t>
  </si>
  <si>
    <t>A5041792744</t>
  </si>
  <si>
    <t>German Drazer</t>
  </si>
  <si>
    <t>A5041315704</t>
  </si>
  <si>
    <t>Hao Lin</t>
  </si>
  <si>
    <t>A5041539298</t>
  </si>
  <si>
    <t>Prosenjit Bagchi</t>
  </si>
  <si>
    <t>A5049930474</t>
  </si>
  <si>
    <t>F. Javier Diez-Garias</t>
  </si>
  <si>
    <t>Assimina A. Pelegri</t>
  </si>
  <si>
    <t>A5026532047</t>
  </si>
  <si>
    <t>Laurent Burlion</t>
  </si>
  <si>
    <t>A5091832524</t>
  </si>
  <si>
    <t>Jingang Yi</t>
  </si>
  <si>
    <t>A5090869394</t>
  </si>
  <si>
    <t>Liping Liu</t>
  </si>
  <si>
    <t>A5100352454</t>
  </si>
  <si>
    <t>Michael Vogelius</t>
  </si>
  <si>
    <t>A5005011894</t>
  </si>
  <si>
    <t>Juan J. Alonso</t>
  </si>
  <si>
    <t>Stanford University</t>
  </si>
  <si>
    <t>A5018052257</t>
  </si>
  <si>
    <t>Eric Darve</t>
  </si>
  <si>
    <t>A5061822097</t>
  </si>
  <si>
    <t>Charbel Farhat</t>
  </si>
  <si>
    <t>A5124067787</t>
  </si>
  <si>
    <t>Gianluca Iaccarino</t>
  </si>
  <si>
    <t>A5047377841</t>
  </si>
  <si>
    <t>Matthias Ihme</t>
  </si>
  <si>
    <t>A5057929380</t>
  </si>
  <si>
    <t>Sanjiva K. Lele</t>
  </si>
  <si>
    <t>A5077177539</t>
  </si>
  <si>
    <t>Ali Mani</t>
  </si>
  <si>
    <t>A5066321909</t>
  </si>
  <si>
    <t>Beverley J. McKeon</t>
  </si>
  <si>
    <t>A5082518804</t>
  </si>
  <si>
    <t>Parviz Moin</t>
  </si>
  <si>
    <t>A5003773421</t>
  </si>
  <si>
    <t>Hai Wang</t>
  </si>
  <si>
    <t>A5100382773</t>
  </si>
  <si>
    <t>LAST_1954</t>
  </si>
  <si>
    <t>Thomas Cubaud</t>
  </si>
  <si>
    <t>Stony Brook University (SUNY Stony Brook)</t>
  </si>
  <si>
    <t>A5056501020</t>
  </si>
  <si>
    <t>Spencer Zimmerman</t>
  </si>
  <si>
    <t>A5086122762</t>
  </si>
  <si>
    <t>Dimitris Assanis</t>
  </si>
  <si>
    <t>A5050567771</t>
  </si>
  <si>
    <t>Kedar Kirane</t>
  </si>
  <si>
    <t>A5052067147</t>
  </si>
  <si>
    <t>Shikui Chen</t>
  </si>
  <si>
    <t>A5079797506</t>
  </si>
  <si>
    <t>Roman Samulyak</t>
  </si>
  <si>
    <t>A5059484000</t>
  </si>
  <si>
    <t>Xiangmin Jiao</t>
  </si>
  <si>
    <t>A5033515755</t>
  </si>
  <si>
    <t>Xiaolin Li</t>
  </si>
  <si>
    <t>A5058441447</t>
  </si>
  <si>
    <t>Yiyang Sun</t>
  </si>
  <si>
    <t>Syracuse University</t>
  </si>
  <si>
    <t>A5086040995</t>
  </si>
  <si>
    <t>Fernando Zigunov</t>
  </si>
  <si>
    <t>A5053776308</t>
  </si>
  <si>
    <t>Jeongmin Ahn</t>
  </si>
  <si>
    <t>A5101477633</t>
  </si>
  <si>
    <t>Ben Akih-Kumgeh</t>
  </si>
  <si>
    <t>A5063622371</t>
  </si>
  <si>
    <t>Yeqing Wang</t>
  </si>
  <si>
    <t>A5064144710</t>
  </si>
  <si>
    <t>Amit K. Sanyal</t>
  </si>
  <si>
    <t>A5079524565</t>
  </si>
  <si>
    <t>Bing Dong</t>
  </si>
  <si>
    <t>A5050035609</t>
  </si>
  <si>
    <t>Teng Zhang</t>
  </si>
  <si>
    <t>A5100372485</t>
  </si>
  <si>
    <t>Kurosh Darvish</t>
  </si>
  <si>
    <t>Temple University</t>
  </si>
  <si>
    <t>A5076637135</t>
  </si>
  <si>
    <t>Parsaoran Hutapea</t>
  </si>
  <si>
    <t>A5071236120</t>
  </si>
  <si>
    <t>Haijun Liu</t>
  </si>
  <si>
    <t>A5100652355</t>
  </si>
  <si>
    <t>Mohammad F. Kiani</t>
  </si>
  <si>
    <t>A5011547126</t>
  </si>
  <si>
    <t>Philip Dames</t>
  </si>
  <si>
    <t>A5070031738</t>
  </si>
  <si>
    <t>Ling Liu</t>
  </si>
  <si>
    <t>A5100343991</t>
  </si>
  <si>
    <t>Damoon Soudbakhsh</t>
  </si>
  <si>
    <t>A5035570579</t>
  </si>
  <si>
    <t>Benjamin Seibold</t>
  </si>
  <si>
    <t>A5027964433</t>
  </si>
  <si>
    <t>LAST_1879</t>
  </si>
  <si>
    <t>Isaac Klapper</t>
  </si>
  <si>
    <t>A5000849190</t>
  </si>
  <si>
    <t>Rodney Bowersox</t>
  </si>
  <si>
    <t>Texas A&amp;M University-College Station</t>
  </si>
  <si>
    <t>A5069116457</t>
  </si>
  <si>
    <t>Diego Donzis</t>
  </si>
  <si>
    <t>A5075864982</t>
  </si>
  <si>
    <t>Sharath Girimaji</t>
  </si>
  <si>
    <t>A5029911175</t>
  </si>
  <si>
    <t>Paul Cizmas</t>
  </si>
  <si>
    <t>A5069442381</t>
  </si>
  <si>
    <t>Ivett Leyva</t>
  </si>
  <si>
    <t>A5081396743</t>
  </si>
  <si>
    <t>Taher Schobeiri</t>
  </si>
  <si>
    <t>A5111833834</t>
  </si>
  <si>
    <t>Jean-Luc Guermond</t>
  </si>
  <si>
    <t>A5045250454</t>
  </si>
  <si>
    <t>Bojan Popov</t>
  </si>
  <si>
    <t>Jian Sheng</t>
  </si>
  <si>
    <t>Texas A&amp;M University-Corpus Christi</t>
  </si>
  <si>
    <t>Other</t>
  </si>
  <si>
    <t>Zhaorui Li</t>
  </si>
  <si>
    <t>Lea-Der Chen</t>
  </si>
  <si>
    <t>A5070097171</t>
  </si>
  <si>
    <t>Jose Baca</t>
  </si>
  <si>
    <t>A5068841661</t>
  </si>
  <si>
    <t>Hua Zhang</t>
  </si>
  <si>
    <t>A5100408669</t>
  </si>
  <si>
    <t>Dugan Um</t>
  </si>
  <si>
    <t>A5055158183</t>
  </si>
  <si>
    <t>Philippe Tissot</t>
  </si>
  <si>
    <t>A5034844392</t>
  </si>
  <si>
    <t>S. M. Mallikarjunaiah</t>
  </si>
  <si>
    <t>A5064671544</t>
  </si>
  <si>
    <t>Selahattin Ozcelik</t>
  </si>
  <si>
    <t>Texas A&amp;M University-Kingsville</t>
  </si>
  <si>
    <t>A5006553853</t>
  </si>
  <si>
    <t>Larry D. Peel</t>
  </si>
  <si>
    <t>A5005087277</t>
  </si>
  <si>
    <t>Hong Zhou</t>
  </si>
  <si>
    <t>A5035298559</t>
  </si>
  <si>
    <t>Shah Alam</t>
  </si>
  <si>
    <t>Xue Yang</t>
  </si>
  <si>
    <t>A5101548928</t>
  </si>
  <si>
    <t>Hua Li</t>
  </si>
  <si>
    <t>Fazle Hussain</t>
  </si>
  <si>
    <t>Texas Tech University</t>
  </si>
  <si>
    <t>A5031163364</t>
  </si>
  <si>
    <t>Siva Parameswaran</t>
  </si>
  <si>
    <t>A5059271609</t>
  </si>
  <si>
    <t>Victor Maldonado</t>
  </si>
  <si>
    <t>A5102729317</t>
  </si>
  <si>
    <t>Sukalyan Bhattacharya</t>
  </si>
  <si>
    <t>A5047935545</t>
  </si>
  <si>
    <t>Michelle L. Pantoya</t>
  </si>
  <si>
    <t>A5057127680</t>
  </si>
  <si>
    <t>Song-Charng Kong</t>
  </si>
  <si>
    <t>A5089047836</t>
  </si>
  <si>
    <t>Dhawal Buaria</t>
  </si>
  <si>
    <t>A5027581862</t>
  </si>
  <si>
    <t>Zhaoming He</t>
  </si>
  <si>
    <t>Eugenio Aulisa</t>
  </si>
  <si>
    <t>A5074141344</t>
  </si>
  <si>
    <t>Victoria E. Howle</t>
  </si>
  <si>
    <t>A5038290728</t>
  </si>
  <si>
    <t>Wei Guo</t>
  </si>
  <si>
    <t>Vu Thai Luan</t>
  </si>
  <si>
    <t>A5137623677</t>
  </si>
  <si>
    <t>Yifan Wang</t>
  </si>
  <si>
    <t>A5100398535</t>
  </si>
  <si>
    <t>Joseph F. Vignola</t>
  </si>
  <si>
    <t>The Catholic University of America</t>
  </si>
  <si>
    <t>A5061474762</t>
  </si>
  <si>
    <t>Diego Turo</t>
  </si>
  <si>
    <t>A5066827008</t>
  </si>
  <si>
    <t>Xiaolong Luo</t>
  </si>
  <si>
    <t>A5030247401</t>
  </si>
  <si>
    <t>John A. Judge</t>
  </si>
  <si>
    <t>A5103414476</t>
  </si>
  <si>
    <t>Alexander B. Levin</t>
  </si>
  <si>
    <t>A5084284634</t>
  </si>
  <si>
    <t>Vijay Sookdeo</t>
  </si>
  <si>
    <t>A5018507687</t>
  </si>
  <si>
    <t>David B. Goldstein</t>
  </si>
  <si>
    <t>The University of Texas at Austin</t>
  </si>
  <si>
    <t>A5109883381</t>
  </si>
  <si>
    <t>Philip L. Varghese</t>
  </si>
  <si>
    <t>A5023011781</t>
  </si>
  <si>
    <t>Fabrizio Bisetti</t>
  </si>
  <si>
    <t>A5023116154</t>
  </si>
  <si>
    <t>Jesse Chan</t>
  </si>
  <si>
    <t>A5018693723</t>
  </si>
  <si>
    <t>Karen Willcox</t>
  </si>
  <si>
    <t>A5017431306</t>
  </si>
  <si>
    <t>Leszek Demkowicz</t>
  </si>
  <si>
    <t>A5082045365</t>
  </si>
  <si>
    <t>Clint N. Dawson</t>
  </si>
  <si>
    <t>A5089253713</t>
  </si>
  <si>
    <t>Tan Bui-Thanh</t>
  </si>
  <si>
    <t>A5008274019</t>
  </si>
  <si>
    <t>Robert D. Moser</t>
  </si>
  <si>
    <t>A5011004406</t>
  </si>
  <si>
    <t>George Biros</t>
  </si>
  <si>
    <t>A5044137409</t>
  </si>
  <si>
    <t>Omar Ghattas</t>
  </si>
  <si>
    <t>A5049331711</t>
  </si>
  <si>
    <t>Jeffrey S. Guasto</t>
  </si>
  <si>
    <t>Tufts University</t>
  </si>
  <si>
    <t>A5019172915</t>
  </si>
  <si>
    <t>Chris Rogers</t>
  </si>
  <si>
    <t>A5040667697</t>
  </si>
  <si>
    <t>Jason Rife</t>
  </si>
  <si>
    <t>A5022024681</t>
  </si>
  <si>
    <t>Anil Saigal</t>
  </si>
  <si>
    <t>A5052446481</t>
  </si>
  <si>
    <t>Robert White</t>
  </si>
  <si>
    <t>Igor Sokolov</t>
  </si>
  <si>
    <t>A5043516298</t>
  </si>
  <si>
    <t>Deborah Ann Sunter</t>
  </si>
  <si>
    <t>A5015483872</t>
  </si>
  <si>
    <t>Lisa J. Fauci</t>
  </si>
  <si>
    <t>Tulane University</t>
  </si>
  <si>
    <t>A5028274078</t>
  </si>
  <si>
    <t>Ricardo Cortez</t>
  </si>
  <si>
    <t>A5050545788</t>
  </si>
  <si>
    <t>Scott A. McKinley</t>
  </si>
  <si>
    <t>A5059131872</t>
  </si>
  <si>
    <t>Mahir Bilen Can</t>
  </si>
  <si>
    <t>A5036635471</t>
  </si>
  <si>
    <t>Ryan T. Glasser</t>
  </si>
  <si>
    <t>A5062235827</t>
  </si>
  <si>
    <t>Donald L. Gaver</t>
  </si>
  <si>
    <t>Justin R. Minder</t>
  </si>
  <si>
    <t>University at Albany (SUNY)</t>
  </si>
  <si>
    <t>A5059214025</t>
  </si>
  <si>
    <t>Brian H. Tang</t>
  </si>
  <si>
    <t>A5086614628</t>
  </si>
  <si>
    <t>Kristen Corbosiero</t>
  </si>
  <si>
    <t>A5012920503</t>
  </si>
  <si>
    <t>Andrea L. Lang</t>
  </si>
  <si>
    <t>A5135420505</t>
  </si>
  <si>
    <t>LAST_2024</t>
  </si>
  <si>
    <t>Paul DesJardin</t>
  </si>
  <si>
    <t>University at Buffalo (SUNY Buffalo)</t>
  </si>
  <si>
    <t>Matthew J. Ringuette</t>
  </si>
  <si>
    <t>Francine Battaglia</t>
  </si>
  <si>
    <t>A5071628578</t>
  </si>
  <si>
    <t>LAST_1886</t>
  </si>
  <si>
    <t>James Chen</t>
  </si>
  <si>
    <t>Cyrus Madnia</t>
  </si>
  <si>
    <t>David Salac</t>
  </si>
  <si>
    <t>A5087950364</t>
  </si>
  <si>
    <t>Hui Meng</t>
  </si>
  <si>
    <t>A5100695234</t>
  </si>
  <si>
    <t>Sangwoo Shin</t>
  </si>
  <si>
    <t>A5030164615</t>
  </si>
  <si>
    <t>Daozhi Han</t>
  </si>
  <si>
    <t>A5051140499</t>
  </si>
  <si>
    <t>Sergey Dyachenko</t>
  </si>
  <si>
    <t>Pasquale Cinnella</t>
  </si>
  <si>
    <t>University of Alabama at Birmingham</t>
  </si>
  <si>
    <t>A5107872274</t>
  </si>
  <si>
    <t>Roy Koomullil</t>
  </si>
  <si>
    <t>A5056332458</t>
  </si>
  <si>
    <t>David R. McDaniel</t>
  </si>
  <si>
    <t>A5111918102</t>
  </si>
  <si>
    <t>Robert Nichols</t>
  </si>
  <si>
    <t>A5110854272</t>
  </si>
  <si>
    <t>LAST_1974</t>
  </si>
  <si>
    <t>Andrés Morales</t>
  </si>
  <si>
    <t>Robert A. Frederick Jr.</t>
  </si>
  <si>
    <t>University of Alabama in Huntsville</t>
  </si>
  <si>
    <t>Jason T. Cassibry</t>
  </si>
  <si>
    <t>A5025128444</t>
  </si>
  <si>
    <t>Kunning G. Xu</t>
  </si>
  <si>
    <t>A5083071741</t>
  </si>
  <si>
    <t>John Bennewitz</t>
  </si>
  <si>
    <t>A5057043012</t>
  </si>
  <si>
    <t>Kader Frendi</t>
  </si>
  <si>
    <t>A5078585019</t>
  </si>
  <si>
    <t>Babak Shotorban</t>
  </si>
  <si>
    <t>A5018948140</t>
  </si>
  <si>
    <t>Sarma L. Rani</t>
  </si>
  <si>
    <t>A5037379518</t>
  </si>
  <si>
    <t>Gang Wang</t>
  </si>
  <si>
    <t>James Paul Hubner</t>
  </si>
  <si>
    <t>University of Alabama-Tuscaloosa</t>
  </si>
  <si>
    <t>Amy W. Lang</t>
  </si>
  <si>
    <t>Semih M. Olcmen</t>
  </si>
  <si>
    <t>John Panickacheril John</t>
  </si>
  <si>
    <t>A5043383748</t>
  </si>
  <si>
    <t>Jinwei Shen</t>
  </si>
  <si>
    <t>A5101444753</t>
  </si>
  <si>
    <t>Weihua Su</t>
  </si>
  <si>
    <t>A5020767969</t>
  </si>
  <si>
    <t>Redha Wahidi</t>
  </si>
  <si>
    <t>A5082245494</t>
  </si>
  <si>
    <t>C. Taber Wanstall</t>
  </si>
  <si>
    <t>A5084274602</t>
  </si>
  <si>
    <t>Ajay K. Agrawal</t>
  </si>
  <si>
    <t>A5010079917</t>
  </si>
  <si>
    <t>Kalyan Kumar Srinivasan</t>
  </si>
  <si>
    <t>A5076152416</t>
  </si>
  <si>
    <t>Alexey N. Volkov</t>
  </si>
  <si>
    <t>A5090638100</t>
  </si>
  <si>
    <t>Bhupendra Khandelwal</t>
  </si>
  <si>
    <t>A5039608451</t>
  </si>
  <si>
    <t>Sundar Rajan Krishnan</t>
  </si>
  <si>
    <t>A5047803926</t>
  </si>
  <si>
    <t>LAST_1955</t>
  </si>
  <si>
    <t>Shahriar (Sean) Amini</t>
  </si>
  <si>
    <t>Farzad Mashayek</t>
  </si>
  <si>
    <t>University of Arizona</t>
  </si>
  <si>
    <t>A5047138363</t>
  </si>
  <si>
    <t>Stuart A. Craig</t>
  </si>
  <si>
    <t>A5015112100</t>
  </si>
  <si>
    <t>Bernard Parent</t>
  </si>
  <si>
    <t>A5010258978</t>
  </si>
  <si>
    <t>James Threadgill</t>
  </si>
  <si>
    <t>A5022528180</t>
  </si>
  <si>
    <t>Sergey Shkarayev</t>
  </si>
  <si>
    <t>A5010987890</t>
  </si>
  <si>
    <t>Kyle Hanquist</t>
  </si>
  <si>
    <t>A5024422249</t>
  </si>
  <si>
    <t>Moysey Brio</t>
  </si>
  <si>
    <t>A5086272427</t>
  </si>
  <si>
    <t>Calvin Zhang-Molina</t>
  </si>
  <si>
    <t>A5044791018</t>
  </si>
  <si>
    <t>Nicholas Ercolani</t>
  </si>
  <si>
    <t>Keith Walters</t>
  </si>
  <si>
    <t>University of Arkansas</t>
  </si>
  <si>
    <t>A5110562539</t>
  </si>
  <si>
    <t>Paul C. Millett</t>
  </si>
  <si>
    <t>A5016467408</t>
  </si>
  <si>
    <t>Min Zou</t>
  </si>
  <si>
    <t>A5080429701</t>
  </si>
  <si>
    <t>David Jensen</t>
  </si>
  <si>
    <t>A5006681132</t>
  </si>
  <si>
    <t>Ariel Barton</t>
  </si>
  <si>
    <t>A5042679552</t>
  </si>
  <si>
    <t>Jiahui Chen</t>
  </si>
  <si>
    <t>A5089262981</t>
  </si>
  <si>
    <t>Yuanhang Zhu</t>
  </si>
  <si>
    <t>University of California, Riverside</t>
  </si>
  <si>
    <t>A5041542499</t>
  </si>
  <si>
    <t>Marko Princevac</t>
  </si>
  <si>
    <t>A5037426879</t>
  </si>
  <si>
    <t>Bhargav Rallabandi</t>
  </si>
  <si>
    <t>A5023808976</t>
  </si>
  <si>
    <t>Akula Venkatram</t>
  </si>
  <si>
    <t>A5053920882</t>
  </si>
  <si>
    <t>Maziar Raissi</t>
  </si>
  <si>
    <t>A5012536010</t>
  </si>
  <si>
    <t>Craig Schroeder</t>
  </si>
  <si>
    <t>A5061632559</t>
  </si>
  <si>
    <t>Michael R. Zachariah</t>
  </si>
  <si>
    <t>A5055704852</t>
  </si>
  <si>
    <t>Georgios Karavalakis</t>
  </si>
  <si>
    <t>A5060045729</t>
  </si>
  <si>
    <t>Daniele Venturi</t>
  </si>
  <si>
    <t>University of California, Santa Cruz</t>
  </si>
  <si>
    <t>A5102883506</t>
  </si>
  <si>
    <t>Nicholas H. Brummell</t>
  </si>
  <si>
    <t>A5035805409</t>
  </si>
  <si>
    <t>Ashesh Chattopadhyay</t>
  </si>
  <si>
    <t>A5011234657</t>
  </si>
  <si>
    <t>Pascale Garaud</t>
  </si>
  <si>
    <t>A5012919177</t>
  </si>
  <si>
    <t>Qi Gong</t>
  </si>
  <si>
    <t>A5069454917</t>
  </si>
  <si>
    <t>Javier Gonzalez-Rocha</t>
  </si>
  <si>
    <t>A5058119894</t>
  </si>
  <si>
    <t>Dongwook Lee</t>
  </si>
  <si>
    <t>A5100363866</t>
  </si>
  <si>
    <t>Ricardo G. Sanfelice</t>
  </si>
  <si>
    <t>A5028224738</t>
  </si>
  <si>
    <t>Christopher A. Edwards</t>
  </si>
  <si>
    <t>A5030115208</t>
  </si>
  <si>
    <t>LAST_1934</t>
  </si>
  <si>
    <t>Jerome Fiechter</t>
  </si>
  <si>
    <t>A5065872306</t>
  </si>
  <si>
    <t>Alexis Kaminski</t>
  </si>
  <si>
    <t>University of California-Berkeley</t>
  </si>
  <si>
    <t>A5060279166</t>
  </si>
  <si>
    <t>Simo Mäkiharju</t>
  </si>
  <si>
    <t>Mohammad-Reza Alam</t>
  </si>
  <si>
    <t>Shawn C. Shadden</t>
  </si>
  <si>
    <t>A5045646606</t>
  </si>
  <si>
    <t>Jyh-Yuan Chen</t>
  </si>
  <si>
    <t>Michael J. Gollner</t>
  </si>
  <si>
    <t>A5042965162</t>
  </si>
  <si>
    <t>Mark W. Mueller</t>
  </si>
  <si>
    <t>A5009591368</t>
  </si>
  <si>
    <t>Negar Mehr</t>
  </si>
  <si>
    <t>A5062267932</t>
  </si>
  <si>
    <t>Giuseppe Loianno</t>
  </si>
  <si>
    <t>A5077485450</t>
  </si>
  <si>
    <t>Claire J. Tomlin</t>
  </si>
  <si>
    <t>A5045155646</t>
  </si>
  <si>
    <t>Alexandre M. Bayen</t>
  </si>
  <si>
    <t>A5021116704</t>
  </si>
  <si>
    <t>James A. Sethian</t>
  </si>
  <si>
    <t>A5038419345</t>
  </si>
  <si>
    <t>Jon A. Wilkening</t>
  </si>
  <si>
    <t>Sunčica Čanić</t>
  </si>
  <si>
    <t>A5069167843</t>
  </si>
  <si>
    <t>Franziska Weber</t>
  </si>
  <si>
    <t>Seongkyu Lee</t>
  </si>
  <si>
    <t>University of California-Davis</t>
  </si>
  <si>
    <t>A5030054230</t>
  </si>
  <si>
    <t>Camli Badrya</t>
  </si>
  <si>
    <t>A5055976807</t>
  </si>
  <si>
    <t>Christina Harvey</t>
  </si>
  <si>
    <t>A5046867764</t>
  </si>
  <si>
    <t>Ralph C. Aldredge</t>
  </si>
  <si>
    <t>Jeanette Cobian-Iñiguez</t>
  </si>
  <si>
    <t>Mohsen Habibi</t>
  </si>
  <si>
    <t>A5043573145</t>
  </si>
  <si>
    <t>Steve Shkoller</t>
  </si>
  <si>
    <t>A5026934211</t>
  </si>
  <si>
    <t>Joseph Biello</t>
  </si>
  <si>
    <t>Sameer Iyer</t>
  </si>
  <si>
    <t>A5060891659</t>
  </si>
  <si>
    <t>Joseph Teran</t>
  </si>
  <si>
    <t>A5006484961</t>
  </si>
  <si>
    <t>Albert Fannjiang</t>
  </si>
  <si>
    <t>A5048863527</t>
  </si>
  <si>
    <t>Perry Johnson</t>
  </si>
  <si>
    <t>University of California-Irvine</t>
  </si>
  <si>
    <t>Haithem Taha</t>
  </si>
  <si>
    <t>Dimitri Papamoschou</t>
  </si>
  <si>
    <t>A5024893863</t>
  </si>
  <si>
    <t>Feng Liu</t>
  </si>
  <si>
    <t>A5100415288</t>
  </si>
  <si>
    <t>Kelly Stephani</t>
  </si>
  <si>
    <t>Marco Panesi</t>
  </si>
  <si>
    <t>A5071159349</t>
  </si>
  <si>
    <t>Manuel Gamero-Castaño</t>
  </si>
  <si>
    <t>A5038144270</t>
  </si>
  <si>
    <t>Xian Shi</t>
  </si>
  <si>
    <t>William A. Sirignano</t>
  </si>
  <si>
    <t>A5037427199</t>
  </si>
  <si>
    <t>Jacob Brouwer</t>
  </si>
  <si>
    <t>Ramin Bostanabad</t>
  </si>
  <si>
    <t>A5062806994</t>
  </si>
  <si>
    <t>John Lowengrub</t>
  </si>
  <si>
    <t>A5010714351</t>
  </si>
  <si>
    <t>Long Chen</t>
  </si>
  <si>
    <t>A5100336358</t>
  </si>
  <si>
    <t>Jack Xin</t>
  </si>
  <si>
    <t>A5059708262</t>
  </si>
  <si>
    <t>Kunihiko Taira</t>
  </si>
  <si>
    <t>University of California-Los Angeles</t>
  </si>
  <si>
    <t>A5035955909</t>
  </si>
  <si>
    <t>Xiaolin Zhong</t>
  </si>
  <si>
    <t>A5033534832</t>
  </si>
  <si>
    <t>Anya Jones</t>
  </si>
  <si>
    <t>A5032571396</t>
  </si>
  <si>
    <t>LAST_1941</t>
  </si>
  <si>
    <t>Ann R. Karagozian</t>
  </si>
  <si>
    <t>A5039250706</t>
  </si>
  <si>
    <t>Raymond Mitchell Spearrin</t>
  </si>
  <si>
    <t>A5005653356</t>
  </si>
  <si>
    <t>M. Khalid Jawed</t>
  </si>
  <si>
    <t>A5055368146</t>
  </si>
  <si>
    <t>Artur Davoyan</t>
  </si>
  <si>
    <t>A5004879471</t>
  </si>
  <si>
    <t>Brett T. Lopez</t>
  </si>
  <si>
    <t>A5079219281</t>
  </si>
  <si>
    <t>Jason L. Speyer</t>
  </si>
  <si>
    <t>A5069195481</t>
  </si>
  <si>
    <t>Andrea L. Bertozzi</t>
  </si>
  <si>
    <t>A5090707978</t>
  </si>
  <si>
    <t>Stanley Osher</t>
  </si>
  <si>
    <t>A5002037883</t>
  </si>
  <si>
    <t>Jacob Bedrossian</t>
  </si>
  <si>
    <t>A5081815930</t>
  </si>
  <si>
    <t>Marcus Roper</t>
  </si>
  <si>
    <t>A5088072422</t>
  </si>
  <si>
    <t>Chenfanfu Jiang</t>
  </si>
  <si>
    <t>A5068163735</t>
  </si>
  <si>
    <t>Hayden Schaeffer</t>
  </si>
  <si>
    <t>A5086926394</t>
  </si>
  <si>
    <t>Sutanu Sarkar</t>
  </si>
  <si>
    <t>University of California-San Diego</t>
  </si>
  <si>
    <t>A5111894817</t>
  </si>
  <si>
    <t>Stefan Llewellyn Smith</t>
  </si>
  <si>
    <t>A5028755953</t>
  </si>
  <si>
    <t>Antonio L. Sanchez</t>
  </si>
  <si>
    <t>A5033779364</t>
  </si>
  <si>
    <t>Abhishek Saha</t>
  </si>
  <si>
    <t>A5002436821</t>
  </si>
  <si>
    <t>Oliver T. Schmidt</t>
  </si>
  <si>
    <t>A5062168975</t>
  </si>
  <si>
    <t>Boris Kramer</t>
  </si>
  <si>
    <t>A5110936070</t>
  </si>
  <si>
    <t>David Saintillan</t>
  </si>
  <si>
    <t>A5063860508</t>
  </si>
  <si>
    <t>John T. Hwang</t>
  </si>
  <si>
    <t>A5041402377</t>
  </si>
  <si>
    <t>Jan Kleissl</t>
  </si>
  <si>
    <t>A5024143856</t>
  </si>
  <si>
    <t>Miroslav Krstic</t>
  </si>
  <si>
    <t>A5018293076</t>
  </si>
  <si>
    <t>Farhat Beg</t>
  </si>
  <si>
    <t>A5083481557</t>
  </si>
  <si>
    <t>Melvin Leok</t>
  </si>
  <si>
    <t>A5047012686</t>
  </si>
  <si>
    <t>Michael Holst</t>
  </si>
  <si>
    <t>A5109004096</t>
  </si>
  <si>
    <t>Jiawang Nie</t>
  </si>
  <si>
    <t>A5018024598</t>
  </si>
  <si>
    <t>Rayan Saab</t>
  </si>
  <si>
    <t>A5055778695</t>
  </si>
  <si>
    <t>Eckart Meiburg</t>
  </si>
  <si>
    <t>University of California-Santa Barbara</t>
  </si>
  <si>
    <t>A5087013416</t>
  </si>
  <si>
    <t>Paolo Luzzatto-Fegiz</t>
  </si>
  <si>
    <t>A5038955642</t>
  </si>
  <si>
    <t>Emilie Dressaire</t>
  </si>
  <si>
    <t>A5021958524</t>
  </si>
  <si>
    <t>Frederic Gibou</t>
  </si>
  <si>
    <t>A5081112761</t>
  </si>
  <si>
    <t>Igor Mezic</t>
  </si>
  <si>
    <t>A5014334832</t>
  </si>
  <si>
    <t>Jeff Moehlis</t>
  </si>
  <si>
    <t>A5077998932</t>
  </si>
  <si>
    <t>Linda Petzold</t>
  </si>
  <si>
    <t>A5021640058</t>
  </si>
  <si>
    <t>Paul Atzberger</t>
  </si>
  <si>
    <t>A5018833756</t>
  </si>
  <si>
    <t>Hector Ceniceros</t>
  </si>
  <si>
    <t>A5016417542</t>
  </si>
  <si>
    <t>Carlos Garcia-Cervera</t>
  </si>
  <si>
    <t>A5031944460</t>
  </si>
  <si>
    <t>Xu Yang</t>
  </si>
  <si>
    <t>Kareem Ahmed</t>
  </si>
  <si>
    <t>University of Central Florida</t>
  </si>
  <si>
    <t>A5051850761</t>
  </si>
  <si>
    <t>Subith Vasu</t>
  </si>
  <si>
    <t>A5065729423</t>
  </si>
  <si>
    <t>Alain Kassab</t>
  </si>
  <si>
    <t>A5068734730</t>
  </si>
  <si>
    <t>Samik Bhattacharya</t>
  </si>
  <si>
    <t>A5019434976</t>
  </si>
  <si>
    <t>Jeffrey L. Kauffman</t>
  </si>
  <si>
    <t>A5028069702</t>
  </si>
  <si>
    <t>LAST_1916</t>
  </si>
  <si>
    <t>Tuhin Das</t>
  </si>
  <si>
    <t>A5042244876</t>
  </si>
  <si>
    <t>Hansen A. Mansy</t>
  </si>
  <si>
    <t>A5113834305</t>
  </si>
  <si>
    <t>Brian E. Moore</t>
  </si>
  <si>
    <t>A5140645752</t>
  </si>
  <si>
    <t>Alexander Katsevich</t>
  </si>
  <si>
    <t>A5034138273</t>
  </si>
  <si>
    <t>Zhisheng Shuai</t>
  </si>
  <si>
    <t>A5076385958</t>
  </si>
  <si>
    <t>Prashant Khare</t>
  </si>
  <si>
    <t>University of Cincinnati</t>
  </si>
  <si>
    <t>A5072628945</t>
  </si>
  <si>
    <t>Ephraim J. Gutmark</t>
  </si>
  <si>
    <t>A5079281009</t>
  </si>
  <si>
    <t>Daniel R. Cuppoletti</t>
  </si>
  <si>
    <t>A5039533300</t>
  </si>
  <si>
    <t>Shaaban A. Abdallah</t>
  </si>
  <si>
    <t>Kelly Cohen</t>
  </si>
  <si>
    <t>A5034113408</t>
  </si>
  <si>
    <t>Abhinav Sinha</t>
  </si>
  <si>
    <t>A5022385451</t>
  </si>
  <si>
    <t>Gui-Rong Liu</t>
  </si>
  <si>
    <t>A5112396029</t>
  </si>
  <si>
    <t>Ahmed Allam</t>
  </si>
  <si>
    <t>A5040270868</t>
  </si>
  <si>
    <t>Manish Kumar</t>
  </si>
  <si>
    <t>A5100383545</t>
  </si>
  <si>
    <t>Iain D. Boyd</t>
  </si>
  <si>
    <t>University of Colorado Boulder</t>
  </si>
  <si>
    <t>A5029805261</t>
  </si>
  <si>
    <t>Robyn Macdonald</t>
  </si>
  <si>
    <t>A5017038842</t>
  </si>
  <si>
    <t>Kenneth E. Jansen</t>
  </si>
  <si>
    <t>A5069574368</t>
  </si>
  <si>
    <t>John A. Evans</t>
  </si>
  <si>
    <t>A5016099408</t>
  </si>
  <si>
    <t>LAST_1889</t>
  </si>
  <si>
    <t>Alireza Doostan</t>
  </si>
  <si>
    <t>A5005638433</t>
  </si>
  <si>
    <t>Brian Argrow</t>
  </si>
  <si>
    <t>A5088395268</t>
  </si>
  <si>
    <t>Hisham Ali</t>
  </si>
  <si>
    <t>Peter Hamlington</t>
  </si>
  <si>
    <t>A5080791181</t>
  </si>
  <si>
    <t>Nicole Labbe</t>
  </si>
  <si>
    <t>A5083124153</t>
  </si>
  <si>
    <t>Mark Hoefer</t>
  </si>
  <si>
    <t>A5043830810</t>
  </si>
  <si>
    <t>Bengt Fornberg</t>
  </si>
  <si>
    <t>A5029242127</t>
  </si>
  <si>
    <t>Gregory Beylkin</t>
  </si>
  <si>
    <t>A5054096786</t>
  </si>
  <si>
    <t>Tianfeng Lu</t>
  </si>
  <si>
    <t>University of Connecticut</t>
  </si>
  <si>
    <t>A5022013436</t>
  </si>
  <si>
    <t>Georgios Matheou</t>
  </si>
  <si>
    <t>A5091254897</t>
  </si>
  <si>
    <t>Xinyu Zhao</t>
  </si>
  <si>
    <t>A5100709184</t>
  </si>
  <si>
    <t>Chih-Jen Sung</t>
  </si>
  <si>
    <t>A5007095988</t>
  </si>
  <si>
    <t>Baki Cetegen</t>
  </si>
  <si>
    <t>A5067619919</t>
  </si>
  <si>
    <t>Julian Norato</t>
  </si>
  <si>
    <t>A5068284510</t>
  </si>
  <si>
    <t>Jeongho Kim</t>
  </si>
  <si>
    <t>A5100396233</t>
  </si>
  <si>
    <t>Dmitriy Leykekhman</t>
  </si>
  <si>
    <t>A5016780750</t>
  </si>
  <si>
    <t>Markus Peer Rumpfkeil</t>
  </si>
  <si>
    <t>University of Dayton</t>
  </si>
  <si>
    <t>A5054806727</t>
  </si>
  <si>
    <t>Sidaard Gunasekaran</t>
  </si>
  <si>
    <t>A5035069208</t>
  </si>
  <si>
    <t>Darrell S. Crowe</t>
  </si>
  <si>
    <t>A5025812364</t>
  </si>
  <si>
    <t>Abdullah Al Amin</t>
  </si>
  <si>
    <t>A5091755527</t>
  </si>
  <si>
    <t>Robert L. Lowe</t>
  </si>
  <si>
    <t>A5031056075</t>
  </si>
  <si>
    <t>Joseph Kuehl</t>
  </si>
  <si>
    <t>University of Delaware</t>
  </si>
  <si>
    <t>A5029343690</t>
  </si>
  <si>
    <t>David L. Burris</t>
  </si>
  <si>
    <t>A5014060936</t>
  </si>
  <si>
    <t>R. Valery Roy</t>
  </si>
  <si>
    <t>A5008113640</t>
  </si>
  <si>
    <t>Philippe Guyenne</t>
  </si>
  <si>
    <t>A5085782000</t>
  </si>
  <si>
    <t>Tobin A. Driscoll</t>
  </si>
  <si>
    <t>A5062904806</t>
  </si>
  <si>
    <t>Pak-Wing Fok</t>
  </si>
  <si>
    <t>A5029188907</t>
  </si>
  <si>
    <t>Fabrice Veron</t>
  </si>
  <si>
    <t>A5065215632</t>
  </si>
  <si>
    <t>S. "Bala" Balachandar</t>
  </si>
  <si>
    <t>University of Florida</t>
  </si>
  <si>
    <t>A5035789002</t>
  </si>
  <si>
    <t>Corin Segal</t>
  </si>
  <si>
    <t>A5078884030</t>
  </si>
  <si>
    <t>Lawrence S. Ukeiley</t>
  </si>
  <si>
    <t>A5009893032</t>
  </si>
  <si>
    <t>Subrata Roy</t>
  </si>
  <si>
    <t>A5065161171</t>
  </si>
  <si>
    <t>LAST_1900</t>
  </si>
  <si>
    <t>Kamran Mohseni</t>
  </si>
  <si>
    <t>A5064775139</t>
  </si>
  <si>
    <t>Patrick Musgrave</t>
  </si>
  <si>
    <t>A5015064505</t>
  </si>
  <si>
    <t>Claire Grégoire</t>
  </si>
  <si>
    <t>A5061105302</t>
  </si>
  <si>
    <t>Chunmei Wang</t>
  </si>
  <si>
    <t>A5100754261</t>
  </si>
  <si>
    <t>William W. Hager</t>
  </si>
  <si>
    <t>A5002362913</t>
  </si>
  <si>
    <t>R. Benjamin Davis</t>
  </si>
  <si>
    <t>University of Georgia</t>
  </si>
  <si>
    <t>A5074717370</t>
  </si>
  <si>
    <t>LAST_1839</t>
  </si>
  <si>
    <t>Brandon Rotavera</t>
  </si>
  <si>
    <t>A5071330264</t>
  </si>
  <si>
    <t>Matthew V. Bilskie</t>
  </si>
  <si>
    <t>A5057728869</t>
  </si>
  <si>
    <t>Xianqiao Wang</t>
  </si>
  <si>
    <t>A5075797472</t>
  </si>
  <si>
    <t>C. Brock Woodson</t>
  </si>
  <si>
    <t>A5042782080</t>
  </si>
  <si>
    <t>Félix L. Santiago-Collazo</t>
  </si>
  <si>
    <t>A5004814671</t>
  </si>
  <si>
    <t>Lin Mu</t>
  </si>
  <si>
    <t>A5060319992</t>
  </si>
  <si>
    <t>Retired</t>
  </si>
  <si>
    <t>FLAG_RETIRED</t>
  </si>
  <si>
    <t>Kwok Fai Cheung</t>
  </si>
  <si>
    <t>University of Hawaii at Manoa</t>
  </si>
  <si>
    <t>A5011809976</t>
  </si>
  <si>
    <t>Justin E. Stopa</t>
  </si>
  <si>
    <t>A5056087611</t>
  </si>
  <si>
    <t>Eva-Marie Nosal</t>
  </si>
  <si>
    <t>A5025019523</t>
  </si>
  <si>
    <t>Ersegun Deniz Gedikli</t>
  </si>
  <si>
    <t>A5055210929</t>
  </si>
  <si>
    <t>Dilmurat Azimov</t>
  </si>
  <si>
    <t>A5078687178</t>
  </si>
  <si>
    <t>Yi Y. Zuo</t>
  </si>
  <si>
    <t>A5008318872</t>
  </si>
  <si>
    <t>Karolos Grigoriadis</t>
  </si>
  <si>
    <t>University of Houston</t>
  </si>
  <si>
    <t>A5008167219</t>
  </si>
  <si>
    <t>Di Yang</t>
  </si>
  <si>
    <t>A5041883718</t>
  </si>
  <si>
    <t>Daniel Floryan</t>
  </si>
  <si>
    <t>A5086567929</t>
  </si>
  <si>
    <t>Myoungkyu Lee</t>
  </si>
  <si>
    <t>A5057828898</t>
  </si>
  <si>
    <t>Annalisa Quaini</t>
  </si>
  <si>
    <t>A5000102598</t>
  </si>
  <si>
    <t>Maxim Olshanskii</t>
  </si>
  <si>
    <t>A5077985757</t>
  </si>
  <si>
    <t>Jiwen He</t>
  </si>
  <si>
    <t>A5058245677</t>
  </si>
  <si>
    <t>Tsorng-Whay Pan</t>
  </si>
  <si>
    <t>A5086903998</t>
  </si>
  <si>
    <t>Loïc Cappanera</t>
  </si>
  <si>
    <t>A5009446749</t>
  </si>
  <si>
    <t>Andreas Mang</t>
  </si>
  <si>
    <t>A5017333493</t>
  </si>
  <si>
    <t>Tao Xing</t>
  </si>
  <si>
    <t>University of Idaho</t>
  </si>
  <si>
    <t>A5019984418</t>
  </si>
  <si>
    <t>Gianluca Blois</t>
  </si>
  <si>
    <t>A5051535355</t>
  </si>
  <si>
    <t>Vibhav Durgesh</t>
  </si>
  <si>
    <t>A5057212020</t>
  </si>
  <si>
    <t>Kamal Kumar</t>
  </si>
  <si>
    <t>A5048734026</t>
  </si>
  <si>
    <t>Daniel J. Robertson</t>
  </si>
  <si>
    <t>A5084805362</t>
  </si>
  <si>
    <t>LAST_1915</t>
  </si>
  <si>
    <t>Lyudmyla Barannyk</t>
  </si>
  <si>
    <t>A5031264092</t>
  </si>
  <si>
    <t>Daniele Tonina</t>
  </si>
  <si>
    <t>A5090835300</t>
  </si>
  <si>
    <t>Zachariah Etienne</t>
  </si>
  <si>
    <t>A5010073173</t>
  </si>
  <si>
    <t>Constantine M. Megaridis</t>
  </si>
  <si>
    <t>University of Illinois Chicago</t>
  </si>
  <si>
    <t>A5015154815</t>
  </si>
  <si>
    <t>Alexander Yarin</t>
  </si>
  <si>
    <t>A5080937639</t>
  </si>
  <si>
    <t>Parisa Mirbod</t>
  </si>
  <si>
    <t>A5005089075</t>
  </si>
  <si>
    <t>Jonathan Komperda</t>
  </si>
  <si>
    <t>A5037889170</t>
  </si>
  <si>
    <t>Patrick T. Lynch</t>
  </si>
  <si>
    <t>A5084107598</t>
  </si>
  <si>
    <t>Sheng-Wei Chi</t>
  </si>
  <si>
    <t>David Nicholls</t>
  </si>
  <si>
    <t>Jie Yang</t>
  </si>
  <si>
    <t>A5100404947</t>
  </si>
  <si>
    <t>Jonathan B. Freund</t>
  </si>
  <si>
    <t>University of Illinois Urbana-Champaign</t>
  </si>
  <si>
    <t>A5027423603</t>
  </si>
  <si>
    <t>Daniel J. Bodony</t>
  </si>
  <si>
    <t>A5011367707</t>
  </si>
  <si>
    <t>Gregory S. Elliott</t>
  </si>
  <si>
    <t>A5044198101</t>
  </si>
  <si>
    <t>Andres Goza</t>
  </si>
  <si>
    <t>A5042992875</t>
  </si>
  <si>
    <t>Francesco Panerai</t>
  </si>
  <si>
    <t>A5027907797</t>
  </si>
  <si>
    <t>Joshua L. Rovey</t>
  </si>
  <si>
    <t>A5084820611</t>
  </si>
  <si>
    <t>Theresa Ann Saxton-Fox</t>
  </si>
  <si>
    <t>Laura Villafane Roca</t>
  </si>
  <si>
    <t>A5146638722</t>
  </si>
  <si>
    <t>Phillip J. Ansell</t>
  </si>
  <si>
    <t>A5005382721</t>
  </si>
  <si>
    <t>Paul Fischer</t>
  </si>
  <si>
    <t>A5101625386</t>
  </si>
  <si>
    <t>Leonardo Chamorro</t>
  </si>
  <si>
    <t>A5054479931</t>
  </si>
  <si>
    <t>Mattia Gazzola</t>
  </si>
  <si>
    <t>A5106466015</t>
  </si>
  <si>
    <t>Seid Koric</t>
  </si>
  <si>
    <t>A5032466147</t>
  </si>
  <si>
    <t>Luke Olson</t>
  </si>
  <si>
    <t>A5027808971</t>
  </si>
  <si>
    <t>Andreas Kloeckner</t>
  </si>
  <si>
    <t>A5038003633</t>
  </si>
  <si>
    <t>Frederick Stern</t>
  </si>
  <si>
    <t>University of Iowa</t>
  </si>
  <si>
    <t>A5071178969</t>
  </si>
  <si>
    <t>LAST_1937</t>
  </si>
  <si>
    <t>James Buchholz</t>
  </si>
  <si>
    <t>A5074239955</t>
  </si>
  <si>
    <t>Casey Harwood</t>
  </si>
  <si>
    <t>A5074957771</t>
  </si>
  <si>
    <t>Ching-Long Lin</t>
  </si>
  <si>
    <t>A5006854308</t>
  </si>
  <si>
    <t>H.S. Udaykumar</t>
  </si>
  <si>
    <t>A5089702832</t>
  </si>
  <si>
    <t>Albert Ratner</t>
  </si>
  <si>
    <t>A5133049131</t>
  </si>
  <si>
    <t>Hiroyuki Sugiyama</t>
  </si>
  <si>
    <t>A5047424129</t>
  </si>
  <si>
    <t>Shaoping Xiao</t>
  </si>
  <si>
    <t>A5025292957</t>
  </si>
  <si>
    <t>Venanzio Cichella</t>
  </si>
  <si>
    <t>A5014268576</t>
  </si>
  <si>
    <t>Tong Li</t>
  </si>
  <si>
    <t>Zhi Jian Wang</t>
  </si>
  <si>
    <t>University of Kansas</t>
  </si>
  <si>
    <t>A5066756438</t>
  </si>
  <si>
    <t>Shawn Keshmiri</t>
  </si>
  <si>
    <t>A5006497319</t>
  </si>
  <si>
    <t>Emily Arnold</t>
  </si>
  <si>
    <t>A5000544440</t>
  </si>
  <si>
    <t>Haiyang Chao</t>
  </si>
  <si>
    <t>A5057060512</t>
  </si>
  <si>
    <t>Cheng Huang</t>
  </si>
  <si>
    <t>Amir M. Mirzendehdel</t>
  </si>
  <si>
    <t>A5006261007</t>
  </si>
  <si>
    <t>Christopher Depcik</t>
  </si>
  <si>
    <t>A5036665517</t>
  </si>
  <si>
    <t>Erik Van Vleck</t>
  </si>
  <si>
    <t>A5012033652</t>
  </si>
  <si>
    <t>Weizhang Huang</t>
  </si>
  <si>
    <t>A5041682967</t>
  </si>
  <si>
    <t>Xuemin Tu</t>
  </si>
  <si>
    <t>A5009472962</t>
  </si>
  <si>
    <t>Alexandre Martin</t>
  </si>
  <si>
    <t>University of Kentucky</t>
  </si>
  <si>
    <t>A5090307979</t>
  </si>
  <si>
    <t>LAST_1849</t>
  </si>
  <si>
    <t>Savio Poovathingal</t>
  </si>
  <si>
    <t>A5062170265</t>
  </si>
  <si>
    <t>Sean C. C. Bailey</t>
  </si>
  <si>
    <t>A5043696262</t>
  </si>
  <si>
    <t>Dan Fries</t>
  </si>
  <si>
    <t>A5062559853</t>
  </si>
  <si>
    <t>Michael Renfro</t>
  </si>
  <si>
    <t>A5075881841</t>
  </si>
  <si>
    <t>Jesse B. Hoagg</t>
  </si>
  <si>
    <t>A5064538163</t>
  </si>
  <si>
    <t>Suzanne Weaver Smith</t>
  </si>
  <si>
    <t>A5039896168</t>
  </si>
  <si>
    <t>LAST_1917</t>
  </si>
  <si>
    <t>Qiang Ye</t>
  </si>
  <si>
    <t>A5100417954</t>
  </si>
  <si>
    <t>David Murrugarra</t>
  </si>
  <si>
    <t>A5028197670</t>
  </si>
  <si>
    <t>Yongsheng Lian</t>
  </si>
  <si>
    <t>University of Louisville</t>
  </si>
  <si>
    <t>A5041938500</t>
  </si>
  <si>
    <t>Stuart J. Williams</t>
  </si>
  <si>
    <t>A5046282663</t>
  </si>
  <si>
    <t>Badri Narayanan</t>
  </si>
  <si>
    <t>A5014353341</t>
  </si>
  <si>
    <t>Emmanuel Collins</t>
  </si>
  <si>
    <t>Ryan Luke</t>
  </si>
  <si>
    <t>Alica Miller</t>
  </si>
  <si>
    <t>A5090851595</t>
  </si>
  <si>
    <t>Andrew Goupee</t>
  </si>
  <si>
    <t>University of Maine</t>
  </si>
  <si>
    <t>A5080950503</t>
  </si>
  <si>
    <t>Amrit Shankar Verma</t>
  </si>
  <si>
    <t>A5089400387</t>
  </si>
  <si>
    <t>Ahmed Aboelezz</t>
  </si>
  <si>
    <t>A5016522890</t>
  </si>
  <si>
    <t>Kewei Xu</t>
  </si>
  <si>
    <t>A5100440755</t>
  </si>
  <si>
    <t>Wilhelm Friess</t>
  </si>
  <si>
    <t>A5135511372</t>
  </si>
  <si>
    <t>Senthil S. Vel</t>
  </si>
  <si>
    <t>A5014859187</t>
  </si>
  <si>
    <t>Stuart Laurence</t>
  </si>
  <si>
    <t>University of Maryland-College Park</t>
  </si>
  <si>
    <t>A5062244356</t>
  </si>
  <si>
    <t>Christoph Brehm</t>
  </si>
  <si>
    <t>A5021458652</t>
  </si>
  <si>
    <t>Johan Larsson</t>
  </si>
  <si>
    <t>A5052059941</t>
  </si>
  <si>
    <t>Amir Riaz</t>
  </si>
  <si>
    <t>A5110877159</t>
  </si>
  <si>
    <t>Inderjit Chopra</t>
  </si>
  <si>
    <t>A5003013152</t>
  </si>
  <si>
    <t>Eitan Tadmor</t>
  </si>
  <si>
    <t>A5072355478</t>
  </si>
  <si>
    <t>Haizhao Yang</t>
  </si>
  <si>
    <t>A5079602544</t>
  </si>
  <si>
    <t>Konstantina Trivisa</t>
  </si>
  <si>
    <t>A5045947845</t>
  </si>
  <si>
    <t>Yahya Modarres-Sadeghi</t>
  </si>
  <si>
    <t>University of Massachusetts Amherst</t>
  </si>
  <si>
    <t>A5086743852</t>
  </si>
  <si>
    <t>Stephen M. de Bruyn Kops</t>
  </si>
  <si>
    <t>A5010817082</t>
  </si>
  <si>
    <t>Matthew Lackner</t>
  </si>
  <si>
    <t>A5078300862</t>
  </si>
  <si>
    <t>David P. Schmidt</t>
  </si>
  <si>
    <t>A5068753065</t>
  </si>
  <si>
    <t>Jonathan P. Rothstein</t>
  </si>
  <si>
    <t>A5089604205</t>
  </si>
  <si>
    <t>J. Blair Perot</t>
  </si>
  <si>
    <t>A5089940851</t>
  </si>
  <si>
    <t>Krish Thiagarajan Sharman</t>
  </si>
  <si>
    <t>A5066769243</t>
  </si>
  <si>
    <t>Markos A. Katsoulakis</t>
  </si>
  <si>
    <t>A5045079747</t>
  </si>
  <si>
    <t>Luc Rey-Bellet</t>
  </si>
  <si>
    <t>A5066349615</t>
  </si>
  <si>
    <t>Daniel Foti</t>
  </si>
  <si>
    <t>University of Memphis</t>
  </si>
  <si>
    <t>A5032566975</t>
  </si>
  <si>
    <t>Yuan Gao</t>
  </si>
  <si>
    <t>A5100722719</t>
  </si>
  <si>
    <t>Yue Guan</t>
  </si>
  <si>
    <t>A5079664074</t>
  </si>
  <si>
    <t>Yong Hoon Lee</t>
  </si>
  <si>
    <t>A5007488043</t>
  </si>
  <si>
    <t>Jeffrey G. Marchetta</t>
  </si>
  <si>
    <t>A5081707044</t>
  </si>
  <si>
    <t>Ali Fatemi</t>
  </si>
  <si>
    <t>A5033752949</t>
  </si>
  <si>
    <t>Vipin Agarwal</t>
  </si>
  <si>
    <t>A5068661241</t>
  </si>
  <si>
    <t>Hongqiu Chen</t>
  </si>
  <si>
    <t>A5108442075</t>
  </si>
  <si>
    <t>Irena Lasiecka</t>
  </si>
  <si>
    <t>A5053756814</t>
  </si>
  <si>
    <t>Roberto Triggiani</t>
  </si>
  <si>
    <t>A5002934693</t>
  </si>
  <si>
    <t>Jerome A. Goldstein</t>
  </si>
  <si>
    <t>A5109396278</t>
  </si>
  <si>
    <t>Majid Noroozi</t>
  </si>
  <si>
    <t>A5112504440</t>
  </si>
  <si>
    <t>Andrews T. Anum</t>
  </si>
  <si>
    <t>A5050550988</t>
  </si>
  <si>
    <t>LAST_2022</t>
  </si>
  <si>
    <t>GeCheng Zha</t>
  </si>
  <si>
    <t>University of Miami</t>
  </si>
  <si>
    <t>A5020167653</t>
  </si>
  <si>
    <t>Qingda Yang</t>
  </si>
  <si>
    <t>A5034594036</t>
  </si>
  <si>
    <t>Giacomo Po</t>
  </si>
  <si>
    <t>A5088887903</t>
  </si>
  <si>
    <t>Kaan Inal</t>
  </si>
  <si>
    <t>A5072219664</t>
  </si>
  <si>
    <t>Francesco Travascio</t>
  </si>
  <si>
    <t>A5045617737</t>
  </si>
  <si>
    <t>Shigui Ruan</t>
  </si>
  <si>
    <t>A5091820514</t>
  </si>
  <si>
    <t>Chris Cosner</t>
  </si>
  <si>
    <t>A5058151904</t>
  </si>
  <si>
    <t>Bruno Benedetti</t>
  </si>
  <si>
    <t>A5009586086</t>
  </si>
  <si>
    <t>Krzysztof J. Fidkowski</t>
  </si>
  <si>
    <t>University of Michigan-Ann Arbor</t>
  </si>
  <si>
    <t>Karthik Duraisamy</t>
  </si>
  <si>
    <t>A5035881605</t>
  </si>
  <si>
    <t>Venkat Raman</t>
  </si>
  <si>
    <t>Joaquim R. R. A. Martins</t>
  </si>
  <si>
    <t>A5002602051</t>
  </si>
  <si>
    <t>Mirko Gamba</t>
  </si>
  <si>
    <t>A5082990554</t>
  </si>
  <si>
    <t>Alex Gorodetsky</t>
  </si>
  <si>
    <t>Benjamin A. Jorns</t>
  </si>
  <si>
    <t>Gökçin Çınar</t>
  </si>
  <si>
    <t>A5081968438</t>
  </si>
  <si>
    <t>Kenneth G. Powell</t>
  </si>
  <si>
    <t>A5038923330</t>
  </si>
  <si>
    <t>Jesse Capecelatro</t>
  </si>
  <si>
    <t>A5027745718</t>
  </si>
  <si>
    <t>Eric Johnsen</t>
  </si>
  <si>
    <t>A5081692041</t>
  </si>
  <si>
    <t>Bogdan I. Epureanu</t>
  </si>
  <si>
    <t>A5068549665</t>
  </si>
  <si>
    <t>Margaret S. Wooldridge</t>
  </si>
  <si>
    <t>A5070688212</t>
  </si>
  <si>
    <t>Robert Krasny</t>
  </si>
  <si>
    <t>A5030223056</t>
  </si>
  <si>
    <t>Shravan K. Veerapaneni</t>
  </si>
  <si>
    <t>Graham V. Candler</t>
  </si>
  <si>
    <t>University of Minnesota-Twin Cities</t>
  </si>
  <si>
    <t>A5124069005</t>
  </si>
  <si>
    <t>Thomas Schwartzentruber</t>
  </si>
  <si>
    <t>A5002942865</t>
  </si>
  <si>
    <t>Ellen K. Longmire</t>
  </si>
  <si>
    <t>A5032508993</t>
  </si>
  <si>
    <t>Joseph W. Nichols</t>
  </si>
  <si>
    <t>A5103811963</t>
  </si>
  <si>
    <t>Lian Shen</t>
  </si>
  <si>
    <t>A5091431846</t>
  </si>
  <si>
    <t>Jiarong Hong</t>
  </si>
  <si>
    <t>A5087376315</t>
  </si>
  <si>
    <t>Suo Yang</t>
  </si>
  <si>
    <t>A5079644726</t>
  </si>
  <si>
    <t>Sean Garrick</t>
  </si>
  <si>
    <t>A5016690776</t>
  </si>
  <si>
    <t>Bernardo Cockburn</t>
  </si>
  <si>
    <t>A5091258269</t>
  </si>
  <si>
    <t>Douglas N. Arnold</t>
  </si>
  <si>
    <t>A5067734351</t>
  </si>
  <si>
    <t>Xiaopeng Zhao</t>
  </si>
  <si>
    <t>University of Mississippi</t>
  </si>
  <si>
    <t>A5029265845</t>
  </si>
  <si>
    <t>Farhad Farzbod</t>
  </si>
  <si>
    <t>A5056733477</t>
  </si>
  <si>
    <t>Shan Jiang</t>
  </si>
  <si>
    <t>A5033970065</t>
  </si>
  <si>
    <t>Arunachalam M. Rajendran</t>
  </si>
  <si>
    <t>Hailin Sang</t>
  </si>
  <si>
    <t>A5076040083</t>
  </si>
  <si>
    <t>Craig Kluever</t>
  </si>
  <si>
    <t>University of Missouri-Columbia</t>
  </si>
  <si>
    <t>Roseanna N. Zia</t>
  </si>
  <si>
    <t>A5075841937</t>
  </si>
  <si>
    <t>Ming Xin</t>
  </si>
  <si>
    <t>Travis R. Sippel</t>
  </si>
  <si>
    <t>A5032373033</t>
  </si>
  <si>
    <t>Amirfarhang Mehdizadeh</t>
  </si>
  <si>
    <t>University of Missouri-Kansas City</t>
  </si>
  <si>
    <t>A5027279388</t>
  </si>
  <si>
    <t>Zahra Niroobakhsh</t>
  </si>
  <si>
    <t>A5029039172</t>
  </si>
  <si>
    <t>Travis Fields</t>
  </si>
  <si>
    <t>A5021054975</t>
  </si>
  <si>
    <t>ZhiQiang Chen</t>
  </si>
  <si>
    <t>A5100434658</t>
  </si>
  <si>
    <t>Shuhao Cao</t>
  </si>
  <si>
    <t>A5066985452</t>
  </si>
  <si>
    <t>Qiao Zhuang</t>
  </si>
  <si>
    <t>A5074889926</t>
  </si>
  <si>
    <t>Majid Bani-Yaghoub</t>
  </si>
  <si>
    <t>A5060185995</t>
  </si>
  <si>
    <t>Jae Sung Park</t>
  </si>
  <si>
    <t>University of Nebraska-Lincoln</t>
  </si>
  <si>
    <t>George Gogos</t>
  </si>
  <si>
    <t>A5026408627</t>
  </si>
  <si>
    <t>Florin Bobaru</t>
  </si>
  <si>
    <t>A5033842463</t>
  </si>
  <si>
    <t>Piyush Grover</t>
  </si>
  <si>
    <t>A5075822666</t>
  </si>
  <si>
    <t>Asaf Dana</t>
  </si>
  <si>
    <t>A5020220667</t>
  </si>
  <si>
    <t>Carl Nelson</t>
  </si>
  <si>
    <t>Adam Larios</t>
  </si>
  <si>
    <t>A5067799906</t>
  </si>
  <si>
    <t>Petronela Radu</t>
  </si>
  <si>
    <t>A5054047964</t>
  </si>
  <si>
    <t>Hui Zhao</t>
  </si>
  <si>
    <t>University of Nevada, Las Vegas</t>
  </si>
  <si>
    <t>Yi-Tung Chen</t>
  </si>
  <si>
    <t>Andrew Jang-ho Bae</t>
  </si>
  <si>
    <t>Monika Neda</t>
  </si>
  <si>
    <t>A5039585373</t>
  </si>
  <si>
    <t>Jichun Li</t>
  </si>
  <si>
    <t>A5051289477</t>
  </si>
  <si>
    <t>Pengtao Sun</t>
  </si>
  <si>
    <t>A5027962680</t>
  </si>
  <si>
    <t>Aditya G. Nair</t>
  </si>
  <si>
    <t>University of Nevada, Reno</t>
  </si>
  <si>
    <t>A5037019234</t>
  </si>
  <si>
    <t>Facundo Booman</t>
  </si>
  <si>
    <t>Floris van Breugel</t>
  </si>
  <si>
    <t>A5025801221</t>
  </si>
  <si>
    <t>Hoang-Vu Phan</t>
  </si>
  <si>
    <t>A5024622489</t>
  </si>
  <si>
    <t>Matteo Aureli</t>
  </si>
  <si>
    <t>A5031158953</t>
  </si>
  <si>
    <t>James Hanna</t>
  </si>
  <si>
    <t>A5047301295</t>
  </si>
  <si>
    <t>Yanyao Jiang</t>
  </si>
  <si>
    <t>A5044964823</t>
  </si>
  <si>
    <t>Aleksey Telyakovskiy</t>
  </si>
  <si>
    <t>A5072390222</t>
  </si>
  <si>
    <t>Christopher M. White</t>
  </si>
  <si>
    <t>University of New Hampshire</t>
  </si>
  <si>
    <t>A5018012809</t>
  </si>
  <si>
    <t>Martin Wosnik</t>
  </si>
  <si>
    <t>A5091065839</t>
  </si>
  <si>
    <t>Tracy Mandel</t>
  </si>
  <si>
    <t>A5089486402</t>
  </si>
  <si>
    <t>Nathan Laxague</t>
  </si>
  <si>
    <t>A5003786387</t>
  </si>
  <si>
    <t>Diane Foster</t>
  </si>
  <si>
    <t>Marko Knezevic</t>
  </si>
  <si>
    <t>A5091375664</t>
  </si>
  <si>
    <t>Svetlana Poroseva</t>
  </si>
  <si>
    <t>University of New Mexico</t>
  </si>
  <si>
    <t>A5062691610</t>
  </si>
  <si>
    <t>Peter Vorobieff</t>
  </si>
  <si>
    <t>A5140854970</t>
  </si>
  <si>
    <t>Claus Danielson</t>
  </si>
  <si>
    <t>A5072891938</t>
  </si>
  <si>
    <t>Wenbin Wan</t>
  </si>
  <si>
    <t>A5100544289</t>
  </si>
  <si>
    <t>Monika Nitsche</t>
  </si>
  <si>
    <t>A5005132508</t>
  </si>
  <si>
    <t>Mohammad Motamed</t>
  </si>
  <si>
    <t>A5047447127</t>
  </si>
  <si>
    <t>Pavel M. Lushnikov</t>
  </si>
  <si>
    <t>A5038496636</t>
  </si>
  <si>
    <t>Jacob B. Schroder</t>
  </si>
  <si>
    <t>A5038235793</t>
  </si>
  <si>
    <t>Jehanzeb H. Chaudhry</t>
  </si>
  <si>
    <t>A5063753824</t>
  </si>
  <si>
    <t>Boyce E. Griffith</t>
  </si>
  <si>
    <t>University of North Carolina at Chapel Hill</t>
  </si>
  <si>
    <t>A5058957444</t>
  </si>
  <si>
    <t>M. Gregory Forest</t>
  </si>
  <si>
    <t>A5030886600</t>
  </si>
  <si>
    <t>Sorin Mitran</t>
  </si>
  <si>
    <t>A5013203508</t>
  </si>
  <si>
    <t>Pedro J. Sáenz</t>
  </si>
  <si>
    <t>A5085277462</t>
  </si>
  <si>
    <t>Jingfang Huang</t>
  </si>
  <si>
    <t>A5103071826</t>
  </si>
  <si>
    <t>Jeremy L. Marzuola</t>
  </si>
  <si>
    <t>A5055763634</t>
  </si>
  <si>
    <t>Daphne Klotsa</t>
  </si>
  <si>
    <t>A5049581686</t>
  </si>
  <si>
    <t>Brian L. White</t>
  </si>
  <si>
    <t>Jason Metcalfe</t>
  </si>
  <si>
    <t>A5041599947</t>
  </si>
  <si>
    <t>Shahar Kovalsky</t>
  </si>
  <si>
    <t>A5074707764</t>
  </si>
  <si>
    <t>Mesbah Uddin</t>
  </si>
  <si>
    <t>University of North Carolina at Charlotte</t>
  </si>
  <si>
    <t>A5027492067</t>
  </si>
  <si>
    <t>Praveen Ramaprabhu</t>
  </si>
  <si>
    <t>A5030784440</t>
  </si>
  <si>
    <t>Russell Keanini</t>
  </si>
  <si>
    <t>A5109060770</t>
  </si>
  <si>
    <t>Alireza Tabarraei</t>
  </si>
  <si>
    <t>A5032056958</t>
  </si>
  <si>
    <t>Harish Cherukuri</t>
  </si>
  <si>
    <t>A5020981584</t>
  </si>
  <si>
    <t>Amirhossein Ghasemi</t>
  </si>
  <si>
    <t>A5021746158</t>
  </si>
  <si>
    <t>Duan Chen</t>
  </si>
  <si>
    <t>Michael Klibanov</t>
  </si>
  <si>
    <t>A5006099683</t>
  </si>
  <si>
    <t>Taufiquar Khan</t>
  </si>
  <si>
    <t>A5039681643</t>
  </si>
  <si>
    <t>Loc Nguyen</t>
  </si>
  <si>
    <t>Carson Running</t>
  </si>
  <si>
    <t>University of North Dakota</t>
  </si>
  <si>
    <t>A5055826110</t>
  </si>
  <si>
    <t>Chonglin Zhang</t>
  </si>
  <si>
    <t>A5026073958</t>
  </si>
  <si>
    <t>William Semke</t>
  </si>
  <si>
    <t>A5083202857</t>
  </si>
  <si>
    <t>Jacob Carstens</t>
  </si>
  <si>
    <t>A5027495418</t>
  </si>
  <si>
    <t>Aaron Kennedy</t>
  </si>
  <si>
    <t>A5047434297</t>
  </si>
  <si>
    <t>Pablo de León</t>
  </si>
  <si>
    <t>A5048366358</t>
  </si>
  <si>
    <t>Hamid Sadat</t>
  </si>
  <si>
    <t>University of North Texas</t>
  </si>
  <si>
    <t>A5009279490</t>
  </si>
  <si>
    <t>Zhenhua Huang</t>
  </si>
  <si>
    <t>A5082883497</t>
  </si>
  <si>
    <t>Maurizio Manzo</t>
  </si>
  <si>
    <t>A5013228404</t>
  </si>
  <si>
    <t>Jianguo Liu</t>
  </si>
  <si>
    <t>A5100333053</t>
  </si>
  <si>
    <t>Thomas Corke</t>
  </si>
  <si>
    <t>University of Notre Dame</t>
  </si>
  <si>
    <t>A5020254912</t>
  </si>
  <si>
    <t>Scott Morris</t>
  </si>
  <si>
    <t>A5082252574</t>
  </si>
  <si>
    <t>LAST_1800</t>
  </si>
  <si>
    <t>Thomas Juliano</t>
  </si>
  <si>
    <t>A5066900305</t>
  </si>
  <si>
    <t>Meng Wang</t>
  </si>
  <si>
    <t>A5100377147</t>
  </si>
  <si>
    <t>Stanislav Gordeyev</t>
  </si>
  <si>
    <t>A5040998021</t>
  </si>
  <si>
    <t>Hirotaka Sakaue</t>
  </si>
  <si>
    <t>A5047281501</t>
  </si>
  <si>
    <t>Joseph M. Powers</t>
  </si>
  <si>
    <t>A5035613424</t>
  </si>
  <si>
    <t>Shivam Barwey</t>
  </si>
  <si>
    <t>A5071906834</t>
  </si>
  <si>
    <t>Dasha Gloutak</t>
  </si>
  <si>
    <t>A5150617910</t>
  </si>
  <si>
    <t>Karel Matouš</t>
  </si>
  <si>
    <t>A5006423008</t>
  </si>
  <si>
    <t>Ryan McClarren</t>
  </si>
  <si>
    <t>A5036337528</t>
  </si>
  <si>
    <t>David Richter</t>
  </si>
  <si>
    <t>A5064260146</t>
  </si>
  <si>
    <t>Martina Bukač</t>
  </si>
  <si>
    <t>A5001963035</t>
  </si>
  <si>
    <t>Guosheng Fu</t>
  </si>
  <si>
    <t>A5000943631</t>
  </si>
  <si>
    <t>Zhiliang Xu</t>
  </si>
  <si>
    <t>A5100600731</t>
  </si>
  <si>
    <t>Ramkumar N. Parthasarathy</t>
  </si>
  <si>
    <t>University of Oklahoma</t>
  </si>
  <si>
    <t>A5059731718</t>
  </si>
  <si>
    <t>Yingtao Liu</t>
  </si>
  <si>
    <t>A5060697699</t>
  </si>
  <si>
    <t>Mrinal Saha</t>
  </si>
  <si>
    <t>A5086536349</t>
  </si>
  <si>
    <t>Kuang-Hua Chang</t>
  </si>
  <si>
    <t>A5018250672</t>
  </si>
  <si>
    <t>Shuozhi Xu</t>
  </si>
  <si>
    <t>A5052569938</t>
  </si>
  <si>
    <t>Zahed Siddique</t>
  </si>
  <si>
    <t>A5034178913</t>
  </si>
  <si>
    <t>Srikanth Bashetty</t>
  </si>
  <si>
    <t>A5064619859</t>
  </si>
  <si>
    <t>Diogo Merguizo Sanchez</t>
  </si>
  <si>
    <t>A5088373890</t>
  </si>
  <si>
    <t>Nikola P. Petrov</t>
  </si>
  <si>
    <t>A5042259094</t>
  </si>
  <si>
    <t>Paulo E. Arratia</t>
  </si>
  <si>
    <t>University of Pennsylvania</t>
  </si>
  <si>
    <t>A5075716876</t>
  </si>
  <si>
    <t>Igor Bargatin</t>
  </si>
  <si>
    <t>A5003368844</t>
  </si>
  <si>
    <t>Pedro Ponte Castañeda</t>
  </si>
  <si>
    <t>A5056557701</t>
  </si>
  <si>
    <t>Prashant K. Purohit</t>
  </si>
  <si>
    <t>A5044032256</t>
  </si>
  <si>
    <t>Cynthia Sung</t>
  </si>
  <si>
    <t>A5011962400</t>
  </si>
  <si>
    <t>Yoichiro Mori</t>
  </si>
  <si>
    <t>A5057292858</t>
  </si>
  <si>
    <t>Douglas J. Durian</t>
  </si>
  <si>
    <t>A5052862439</t>
  </si>
  <si>
    <t>Peyman Givi</t>
  </si>
  <si>
    <t>University of Pittsburgh</t>
  </si>
  <si>
    <t>A5078398236</t>
  </si>
  <si>
    <t>Inanc Senocak</t>
  </si>
  <si>
    <t>A5064341989</t>
  </si>
  <si>
    <t>Hessam Babaee</t>
  </si>
  <si>
    <t>A5052438518</t>
  </si>
  <si>
    <t>Juan Jose Mendoza-Arenas</t>
  </si>
  <si>
    <t>A5043433729</t>
  </si>
  <si>
    <t>William J. Layton</t>
  </si>
  <si>
    <t>A5064202954</t>
  </si>
  <si>
    <t>Dehua Wang</t>
  </si>
  <si>
    <t>A5100746448</t>
  </si>
  <si>
    <t>Michael J. Neilan</t>
  </si>
  <si>
    <t>A5039552338</t>
  </si>
  <si>
    <t>Catalin Trenchea</t>
  </si>
  <si>
    <t>A5070920996</t>
  </si>
  <si>
    <t>Armin Schikorra</t>
  </si>
  <si>
    <t>A5042899054</t>
  </si>
  <si>
    <t>Robin Ming Chen</t>
  </si>
  <si>
    <t>A5033993148</t>
  </si>
  <si>
    <t>Jason Dahl</t>
  </si>
  <si>
    <t>University of Rhode Island</t>
  </si>
  <si>
    <t>A5011667657</t>
  </si>
  <si>
    <t>Stéphan Grilli</t>
  </si>
  <si>
    <t>A5054860085</t>
  </si>
  <si>
    <t>M. Reza Hashemi</t>
  </si>
  <si>
    <t>A5060805462</t>
  </si>
  <si>
    <t>Stephen Licht</t>
  </si>
  <si>
    <t>A5071962424</t>
  </si>
  <si>
    <t>Lora Van Uffelen</t>
  </si>
  <si>
    <t>A5007991557</t>
  </si>
  <si>
    <t>Arun Shukla</t>
  </si>
  <si>
    <t>A5101420666</t>
  </si>
  <si>
    <t>Vahid Jahangiri</t>
  </si>
  <si>
    <t>A5053113679</t>
  </si>
  <si>
    <t>David Chelidze</t>
  </si>
  <si>
    <t>A5078819095</t>
  </si>
  <si>
    <t>Bradford Knight</t>
  </si>
  <si>
    <t>Hussein Aluie</t>
  </si>
  <si>
    <t>University of Rochester</t>
  </si>
  <si>
    <t>A5087073319</t>
  </si>
  <si>
    <t>Riccardo Betti</t>
  </si>
  <si>
    <t>A5068824450</t>
  </si>
  <si>
    <t>Douglas H. Kelley</t>
  </si>
  <si>
    <t>A5064607349</t>
  </si>
  <si>
    <t>Jessica Shang</t>
  </si>
  <si>
    <t>A5100724664</t>
  </si>
  <si>
    <t>Chuang Ren</t>
  </si>
  <si>
    <t>A5101526903</t>
  </si>
  <si>
    <t>Adam B. Sefkow</t>
  </si>
  <si>
    <t>A5060976626</t>
  </si>
  <si>
    <t>Danae N. Polsin</t>
  </si>
  <si>
    <t>A5075763728</t>
  </si>
  <si>
    <t>Varchas Gopalaswamy</t>
  </si>
  <si>
    <t>A5049495019</t>
  </si>
  <si>
    <t>Sean P. Regan</t>
  </si>
  <si>
    <t>A5106945148</t>
  </si>
  <si>
    <t>Tanvir I. Farouk</t>
  </si>
  <si>
    <t>University of South Carolina</t>
  </si>
  <si>
    <t>A5045569951</t>
  </si>
  <si>
    <t>Jamil Khan</t>
  </si>
  <si>
    <t>A5101410159</t>
  </si>
  <si>
    <t>Sang Hee Won</t>
  </si>
  <si>
    <t>A5086995500</t>
  </si>
  <si>
    <t>Guiren Wang</t>
  </si>
  <si>
    <t>A5031032143</t>
  </si>
  <si>
    <t>Jasim Imran</t>
  </si>
  <si>
    <t>A5087044762</t>
  </si>
  <si>
    <t>Lingyu Yu</t>
  </si>
  <si>
    <t>A5043313332</t>
  </si>
  <si>
    <t>Austin Downey</t>
  </si>
  <si>
    <t>A5014210633</t>
  </si>
  <si>
    <t>Ahmad Vasel-Be-Hagh</t>
  </si>
  <si>
    <t>University of South Florida</t>
  </si>
  <si>
    <t>A5069804863</t>
  </si>
  <si>
    <t>Sonya Tiomkin</t>
  </si>
  <si>
    <t>A5030864507</t>
  </si>
  <si>
    <t>Anshuman Pandey</t>
  </si>
  <si>
    <t>A5137449393</t>
  </si>
  <si>
    <t>LAST_2025</t>
  </si>
  <si>
    <t>Zachary Ayers</t>
  </si>
  <si>
    <t>Jeongwon Kim</t>
  </si>
  <si>
    <t>A5037208655</t>
  </si>
  <si>
    <t>Wenbin Mao</t>
  </si>
  <si>
    <t>A5021749995</t>
  </si>
  <si>
    <t>David Murphy</t>
  </si>
  <si>
    <t>A5044560051</t>
  </si>
  <si>
    <t>Andrea D'Ambrosio</t>
  </si>
  <si>
    <t>A5128427065</t>
  </si>
  <si>
    <t>Tansel Yucelen</t>
  </si>
  <si>
    <t>A5004807234</t>
  </si>
  <si>
    <t>Wen-Xiu Ma</t>
  </si>
  <si>
    <t>A5062594909</t>
  </si>
  <si>
    <t>Joel A. Rosenfeld</t>
  </si>
  <si>
    <t>A5058488295</t>
  </si>
  <si>
    <t>Razvan Teodorescu</t>
  </si>
  <si>
    <t>A5102767609</t>
  </si>
  <si>
    <t>Assad A. Oberai</t>
  </si>
  <si>
    <t>University of Southern California</t>
  </si>
  <si>
    <t>A5034704499</t>
  </si>
  <si>
    <t>Ivan Bermejo-Moreno</t>
  </si>
  <si>
    <t>A5014839664</t>
  </si>
  <si>
    <t>Mitul Luhar</t>
  </si>
  <si>
    <t>A5077636450</t>
  </si>
  <si>
    <t>Eva Kanso</t>
  </si>
  <si>
    <t>A5033815477</t>
  </si>
  <si>
    <t>Geoffrey R. Spedding</t>
  </si>
  <si>
    <t>A5062984544</t>
  </si>
  <si>
    <t>Fokion N. Egolfopoulos</t>
  </si>
  <si>
    <t>A5081584853</t>
  </si>
  <si>
    <t>Paul D. Ronney</t>
  </si>
  <si>
    <t>A5017215286</t>
  </si>
  <si>
    <t>Julian A. Domaradzki</t>
  </si>
  <si>
    <t>A5056016778</t>
  </si>
  <si>
    <t>Carlos Pantano-Rubino</t>
  </si>
  <si>
    <t>A5068581536</t>
  </si>
  <si>
    <t>Mihailo R. Jovanovic</t>
  </si>
  <si>
    <t>A5087790067</t>
  </si>
  <si>
    <t>Niema M. Pahlevan</t>
  </si>
  <si>
    <t>A5003076379</t>
  </si>
  <si>
    <t>Ishwar K. Puri</t>
  </si>
  <si>
    <t>A5072805195</t>
  </si>
  <si>
    <t>Roger Ghanem</t>
  </si>
  <si>
    <t>A5006138292</t>
  </si>
  <si>
    <t>Joseph Jiong Wang</t>
  </si>
  <si>
    <t>A5069491860</t>
  </si>
  <si>
    <t>Dan A. Erwin</t>
  </si>
  <si>
    <t>A5109368993</t>
  </si>
  <si>
    <t>Juhi Jang</t>
  </si>
  <si>
    <t>A5020031889</t>
  </si>
  <si>
    <t>Igor Kukavica</t>
  </si>
  <si>
    <t>A5015052144</t>
  </si>
  <si>
    <t>Paul K. Newton</t>
  </si>
  <si>
    <t>A5003429104</t>
  </si>
  <si>
    <t>Mohammed Ziane</t>
  </si>
  <si>
    <t>A5052225945</t>
  </si>
  <si>
    <t>Phillip Kreth</t>
  </si>
  <si>
    <t>University of Tennessee Space Institute / UTK</t>
  </si>
  <si>
    <t>Mark Gragston</t>
  </si>
  <si>
    <t>A5006834173</t>
  </si>
  <si>
    <t>Esteban Cisneros-Garibay</t>
  </si>
  <si>
    <t>Trevor Moeller</t>
  </si>
  <si>
    <t>A5058563233</t>
  </si>
  <si>
    <t>Reza Abedi</t>
  </si>
  <si>
    <t>Kivanc Ekici</t>
  </si>
  <si>
    <t>University of Tennessee-Knoxville</t>
  </si>
  <si>
    <t>A5049854190</t>
  </si>
  <si>
    <t>Damiano Baccarella</t>
  </si>
  <si>
    <t>A5061111238</t>
  </si>
  <si>
    <t>Omer San</t>
  </si>
  <si>
    <t>A5085671233</t>
  </si>
  <si>
    <t>Devina Sanjaya</t>
  </si>
  <si>
    <t>Andrew K. Dickerson</t>
  </si>
  <si>
    <t>A5038488927</t>
  </si>
  <si>
    <t>Zhili Zhang</t>
  </si>
  <si>
    <t>John Schmisseur</t>
  </si>
  <si>
    <t>University of Tennessee-Knoxville / UT Space Institute</t>
  </si>
  <si>
    <t>Peng Zhao</t>
  </si>
  <si>
    <t>A5057131883</t>
  </si>
  <si>
    <t>Frank K. Lu</t>
  </si>
  <si>
    <t>University of Texas at Arlington</t>
  </si>
  <si>
    <t>A5077491391</t>
  </si>
  <si>
    <t>Chaoqun Liu</t>
  </si>
  <si>
    <t>A5042452305</t>
  </si>
  <si>
    <t>Kamesh Subbarao</t>
  </si>
  <si>
    <t>A5057626643</t>
  </si>
  <si>
    <t>Animesh Chakravarthy</t>
  </si>
  <si>
    <t>A5080258275</t>
  </si>
  <si>
    <t>Bernd Chudoba</t>
  </si>
  <si>
    <t>A5058534544</t>
  </si>
  <si>
    <t>Shiyao Lin</t>
  </si>
  <si>
    <t>A5108829083</t>
  </si>
  <si>
    <t>Souvik Roy</t>
  </si>
  <si>
    <t>A5000402733</t>
  </si>
  <si>
    <t>Ren-Cang Li</t>
  </si>
  <si>
    <t>A5011252539</t>
  </si>
  <si>
    <t>Hristo Kojouharov</t>
  </si>
  <si>
    <t>A5080018927</t>
  </si>
  <si>
    <t>William Anderson</t>
  </si>
  <si>
    <t>University of Texas at Dallas</t>
  </si>
  <si>
    <t>Stefano Leonardi</t>
  </si>
  <si>
    <t>A5020876546</t>
  </si>
  <si>
    <t>Giacomo Valerio Iungo</t>
  </si>
  <si>
    <t>A5079765625</t>
  </si>
  <si>
    <t>Kianoosh Yousefi</t>
  </si>
  <si>
    <t>A5005875380</t>
  </si>
  <si>
    <t>Yaqing Jin</t>
  </si>
  <si>
    <t>A5045438428</t>
  </si>
  <si>
    <t>Arif Malik</t>
  </si>
  <si>
    <t>A5053098813</t>
  </si>
  <si>
    <t>Dong Qian</t>
  </si>
  <si>
    <t>A5100613833</t>
  </si>
  <si>
    <t>Yonas Tadesse</t>
  </si>
  <si>
    <t>A5067149414</t>
  </si>
  <si>
    <t>Ahsan Choudhuri</t>
  </si>
  <si>
    <t>University of Texas at El Paso</t>
  </si>
  <si>
    <t>A5113664282</t>
  </si>
  <si>
    <t>Jack Chessa</t>
  </si>
  <si>
    <t>A5044690542</t>
  </si>
  <si>
    <t>Evgeny Shafirovich</t>
  </si>
  <si>
    <t>A5045905399</t>
  </si>
  <si>
    <t>Angel Flores-Abad</t>
  </si>
  <si>
    <t>A5060171293</t>
  </si>
  <si>
    <t>Alejandra G. Castellanos</t>
  </si>
  <si>
    <t>A5034202479</t>
  </si>
  <si>
    <t>Son-Young Yi</t>
  </si>
  <si>
    <t>A5086616564</t>
  </si>
  <si>
    <t>Natasha S. Sharma</t>
  </si>
  <si>
    <t>A5103032973</t>
  </si>
  <si>
    <t>Christopher S. Combs</t>
  </si>
  <si>
    <t>University of Texas at San Antonio</t>
  </si>
  <si>
    <t>A5044813104</t>
  </si>
  <si>
    <t>Guillermo Araya</t>
  </si>
  <si>
    <t>A5049645384</t>
  </si>
  <si>
    <t>Kiran Bhaganagar</t>
  </si>
  <si>
    <t>A5044471411</t>
  </si>
  <si>
    <t>Daniel I. Pineda</t>
  </si>
  <si>
    <t>A5013055856</t>
  </si>
  <si>
    <t>Zhi-Gang Feng</t>
  </si>
  <si>
    <t>A5101114106</t>
  </si>
  <si>
    <t>Harry Millwater</t>
  </si>
  <si>
    <t>A5001088412</t>
  </si>
  <si>
    <t>Hai-Chao Han</t>
  </si>
  <si>
    <t>A5053647070</t>
  </si>
  <si>
    <t>Yusheng Feng</t>
  </si>
  <si>
    <t>A5109416409</t>
  </si>
  <si>
    <t>Firat Y. Testik</t>
  </si>
  <si>
    <t>A5072712480</t>
  </si>
  <si>
    <t>Weiming Cao</t>
  </si>
  <si>
    <t>A5141191252</t>
  </si>
  <si>
    <t>Fengxin Chen</t>
  </si>
  <si>
    <t>A5020512049</t>
  </si>
  <si>
    <t>Ray Hixon</t>
  </si>
  <si>
    <t>University of Toledo</t>
  </si>
  <si>
    <t>A5088291292</t>
  </si>
  <si>
    <t>LAST_1926</t>
  </si>
  <si>
    <t>Omid Amili</t>
  </si>
  <si>
    <t>A5088669414</t>
  </si>
  <si>
    <t>George Choueiri</t>
  </si>
  <si>
    <t>A5038625692</t>
  </si>
  <si>
    <t>Qiuying Zhao</t>
  </si>
  <si>
    <t>A5014181892</t>
  </si>
  <si>
    <t>Alessandro Arsie</t>
  </si>
  <si>
    <t>A5025148002</t>
  </si>
  <si>
    <t>Ekaterina Shemyakova</t>
  </si>
  <si>
    <t>A5090645342</t>
  </si>
  <si>
    <t>Rob Stoll</t>
  </si>
  <si>
    <t>University of Utah</t>
  </si>
  <si>
    <t>A5087703276</t>
  </si>
  <si>
    <t>Henry Fu</t>
  </si>
  <si>
    <t>A5040658044</t>
  </si>
  <si>
    <t>Xiaowei He</t>
  </si>
  <si>
    <t>A5060690411</t>
  </si>
  <si>
    <t>Marc Calaf</t>
  </si>
  <si>
    <t>A5054861034</t>
  </si>
  <si>
    <t>Akil Narayan</t>
  </si>
  <si>
    <t>A5053971798</t>
  </si>
  <si>
    <t>Yekaterina Epshteyn</t>
  </si>
  <si>
    <t>A5064616672</t>
  </si>
  <si>
    <t>Aaron Fogelson</t>
  </si>
  <si>
    <t>A5044179575</t>
  </si>
  <si>
    <t>Fernando Guevara Vasquez</t>
  </si>
  <si>
    <t>A5042143507</t>
  </si>
  <si>
    <t>Braxton Osting</t>
  </si>
  <si>
    <t>A5002446254</t>
  </si>
  <si>
    <t>Christopher Goyne</t>
  </si>
  <si>
    <t>University of Virginia</t>
  </si>
  <si>
    <t>A5089395782</t>
  </si>
  <si>
    <t>Eric Loth</t>
  </si>
  <si>
    <t>A5081900719</t>
  </si>
  <si>
    <t>LAST_1914</t>
  </si>
  <si>
    <t>Haibo Dong</t>
  </si>
  <si>
    <t>A5067836089</t>
  </si>
  <si>
    <t>Daniel Quinn</t>
  </si>
  <si>
    <t>Chloe Dedic</t>
  </si>
  <si>
    <t>A5091139273</t>
  </si>
  <si>
    <t>Harsha Chelliah</t>
  </si>
  <si>
    <t>A5030067990</t>
  </si>
  <si>
    <t>Hilary Bart-Smith</t>
  </si>
  <si>
    <t>A5021002960</t>
  </si>
  <si>
    <t>Antonino Ferrante</t>
  </si>
  <si>
    <t>University of Washington-Seattle</t>
  </si>
  <si>
    <t>A5044914295</t>
  </si>
  <si>
    <t>Robert Breidenthal</t>
  </si>
  <si>
    <t>A5055469469</t>
  </si>
  <si>
    <t>Uri Shumlak</t>
  </si>
  <si>
    <t>Bhuvana Srinivasan</t>
  </si>
  <si>
    <t>A5110049201</t>
  </si>
  <si>
    <t>Justin Little</t>
  </si>
  <si>
    <t>Dana Dabiri</t>
  </si>
  <si>
    <t>A5061729533</t>
  </si>
  <si>
    <t>Eli Livne</t>
  </si>
  <si>
    <t>A5113692764</t>
  </si>
  <si>
    <t>Steven L. Brunton</t>
  </si>
  <si>
    <t>A5062653961</t>
  </si>
  <si>
    <t>Alberto Aliseda</t>
  </si>
  <si>
    <t>A5035975242</t>
  </si>
  <si>
    <t>John Palmore Jr.</t>
  </si>
  <si>
    <t>Brian Polagye</t>
  </si>
  <si>
    <t>A5039502986</t>
  </si>
  <si>
    <t>Krithika Manohar</t>
  </si>
  <si>
    <t>A5060988111</t>
  </si>
  <si>
    <t>Bernard Deconinck</t>
  </si>
  <si>
    <t>A5017877336</t>
  </si>
  <si>
    <t>J. Nathan Kutz</t>
  </si>
  <si>
    <t>A5083450863</t>
  </si>
  <si>
    <t>Jingwei Hu</t>
  </si>
  <si>
    <t>A5027890066</t>
  </si>
  <si>
    <t>Michael D. Graham</t>
  </si>
  <si>
    <t>University of Wisconsin-Madison</t>
  </si>
  <si>
    <t>A5023202198</t>
  </si>
  <si>
    <t>Jennifer Franck</t>
  </si>
  <si>
    <t>Prateek Jaiswal</t>
  </si>
  <si>
    <t>A5018713742</t>
  </si>
  <si>
    <t>Mario F. Trujillo</t>
  </si>
  <si>
    <t>A5018648551</t>
  </si>
  <si>
    <t>Douglas Carter</t>
  </si>
  <si>
    <t>Thomas Breunung</t>
  </si>
  <si>
    <t>A5091725677</t>
  </si>
  <si>
    <t>Curt Bronkhorst</t>
  </si>
  <si>
    <t>Shiva Rudraraju</t>
  </si>
  <si>
    <t>A5030806653</t>
  </si>
  <si>
    <t>Chris Hegna</t>
  </si>
  <si>
    <t>Hong Qin</t>
  </si>
  <si>
    <t>Fabian Waleffe</t>
  </si>
  <si>
    <t>A5005436745</t>
  </si>
  <si>
    <t>Jean-Luc Thiffeault</t>
  </si>
  <si>
    <t>Saverio E. Spagnolie</t>
  </si>
  <si>
    <t>A5029063995</t>
  </si>
  <si>
    <t>Nan Chen</t>
  </si>
  <si>
    <t>Qin Li</t>
  </si>
  <si>
    <t>A5100602929</t>
  </si>
  <si>
    <t>Ryoichi S. Amano</t>
  </si>
  <si>
    <t>University of Wisconsin-Milwaukee</t>
  </si>
  <si>
    <t>A5031963028</t>
  </si>
  <si>
    <t>John R. Reisel</t>
  </si>
  <si>
    <t>Ilya Avdeev</t>
  </si>
  <si>
    <t>A5065129077</t>
  </si>
  <si>
    <t>Nathan Salowitz</t>
  </si>
  <si>
    <t>A5063950022</t>
  </si>
  <si>
    <t>William D. Musinski</t>
  </si>
  <si>
    <t>A5005595633</t>
  </si>
  <si>
    <t>Jonathan W. Naughton</t>
  </si>
  <si>
    <t>University of Wyoming</t>
  </si>
  <si>
    <t>A5038476460</t>
  </si>
  <si>
    <t>Dimitri Mavriplis</t>
  </si>
  <si>
    <t>A5013819769</t>
  </si>
  <si>
    <t>Michael Stoellinger</t>
  </si>
  <si>
    <t>A5083847449</t>
  </si>
  <si>
    <t>Erica L. Belmont</t>
  </si>
  <si>
    <t>Ray S. Fertig III</t>
  </si>
  <si>
    <t>Koen Groot</t>
  </si>
  <si>
    <t>A5061255496</t>
  </si>
  <si>
    <t>Xiang Zhang</t>
  </si>
  <si>
    <t>A5100368854</t>
  </si>
  <si>
    <t>Bart Geerts</t>
  </si>
  <si>
    <t>A5010610341</t>
  </si>
  <si>
    <t>Jeffrey French</t>
  </si>
  <si>
    <t>A5000433267</t>
  </si>
  <si>
    <t>Christopher J. Roy</t>
  </si>
  <si>
    <t>Virginia Tech</t>
  </si>
  <si>
    <t>A5015860555</t>
  </si>
  <si>
    <t>William Devenport</t>
  </si>
  <si>
    <t>A5035033537</t>
  </si>
  <si>
    <t>K. Todd Lowe</t>
  </si>
  <si>
    <t>A5010277024</t>
  </si>
  <si>
    <t>Colin Adams</t>
  </si>
  <si>
    <t>Christine Gilbert</t>
  </si>
  <si>
    <t>A5012268169</t>
  </si>
  <si>
    <t>Pradeep Raj</t>
  </si>
  <si>
    <t>Danesh Tafti</t>
  </si>
  <si>
    <t>A5044512850</t>
  </si>
  <si>
    <t>Mark A. Stremler</t>
  </si>
  <si>
    <t>A5001772332</t>
  </si>
  <si>
    <t>Traian Iliescu</t>
  </si>
  <si>
    <t>A5063855550</t>
  </si>
  <si>
    <t>Lizette Zietsman</t>
  </si>
  <si>
    <t>A5015292098</t>
  </si>
  <si>
    <t>Konstantin Matveev</t>
  </si>
  <si>
    <t>Washington State University</t>
  </si>
  <si>
    <t>A5007425874</t>
  </si>
  <si>
    <t>Jin Liu</t>
  </si>
  <si>
    <t>A5108047622</t>
  </si>
  <si>
    <t>Prashanta Dutta</t>
  </si>
  <si>
    <t>A5085000036</t>
  </si>
  <si>
    <t>Jow-Lian Ding</t>
  </si>
  <si>
    <t>Bala Krishnamoorthy</t>
  </si>
  <si>
    <t>A5039677345</t>
  </si>
  <si>
    <t>Robert Dillon</t>
  </si>
  <si>
    <t>Lynn Schreyer</t>
  </si>
  <si>
    <t>Hong-Ming Yin</t>
  </si>
  <si>
    <t>A5044497477</t>
  </si>
  <si>
    <t>Ramesh K. Agarwal</t>
  </si>
  <si>
    <t>Washington University in St. Louis</t>
  </si>
  <si>
    <t>A5001406774</t>
  </si>
  <si>
    <t>Philip Bayly</t>
  </si>
  <si>
    <t>A5045394358</t>
  </si>
  <si>
    <t>Amit Pathak</t>
  </si>
  <si>
    <t>A5031107951</t>
  </si>
  <si>
    <t>Ari Stern</t>
  </si>
  <si>
    <t>A5112708866</t>
  </si>
  <si>
    <t>Renato Feres</t>
  </si>
  <si>
    <t>A5024158065</t>
  </si>
  <si>
    <t>Gbemeho Agbaglah</t>
  </si>
  <si>
    <t>Wayne State University</t>
  </si>
  <si>
    <t>A5087764436</t>
  </si>
  <si>
    <t>Omid Samimi Abianeh</t>
  </si>
  <si>
    <t>A5072408380</t>
  </si>
  <si>
    <t>Sean Wu</t>
  </si>
  <si>
    <t>A5101984003</t>
  </si>
  <si>
    <t>Chin-An Tan</t>
  </si>
  <si>
    <t>A5005024712</t>
  </si>
  <si>
    <t>Nabil Chalhoub</t>
  </si>
  <si>
    <t>A5084925333</t>
  </si>
  <si>
    <t>M. Arif Hasan</t>
  </si>
  <si>
    <t>A5013431736</t>
  </si>
  <si>
    <t>Longsheng Feng</t>
  </si>
  <si>
    <t>A5038736444</t>
  </si>
  <si>
    <t>Mahbub Islam</t>
  </si>
  <si>
    <t>A5046600331</t>
  </si>
  <si>
    <t>Mohammad A. Bukhari</t>
  </si>
  <si>
    <t>A5041466042</t>
  </si>
  <si>
    <t>V'yacheslav Akkerman</t>
  </si>
  <si>
    <t>West Virginia University</t>
  </si>
  <si>
    <t>A5048179550</t>
  </si>
  <si>
    <t>Jason N. Gross</t>
  </si>
  <si>
    <t>A5015236603</t>
  </si>
  <si>
    <t>Yu Gu</t>
  </si>
  <si>
    <t>Hailin Li</t>
  </si>
  <si>
    <t>A5065859286</t>
  </si>
  <si>
    <t>Piyush M. Mehta</t>
  </si>
  <si>
    <t>A5069356140</t>
  </si>
  <si>
    <t>Mario Perhinschi</t>
  </si>
  <si>
    <t>A5112635295</t>
  </si>
  <si>
    <t>Hang Woon Lee</t>
  </si>
  <si>
    <t>A5091265465</t>
  </si>
  <si>
    <t>Nadia Kianvashrad</t>
  </si>
  <si>
    <t>Wichita State University</t>
  </si>
  <si>
    <t>A5063734092</t>
  </si>
  <si>
    <t>Atri Dutta</t>
  </si>
  <si>
    <t>A5068592979</t>
  </si>
  <si>
    <t>James E. Steck</t>
  </si>
  <si>
    <t>A5041044613</t>
  </si>
  <si>
    <t>Suresh Keshavanarayana</t>
  </si>
  <si>
    <t>A5053278414</t>
  </si>
  <si>
    <t>Ramazan Asmatulu</t>
  </si>
  <si>
    <t>A5031968172</t>
  </si>
  <si>
    <t>Christopher C. Green</t>
  </si>
  <si>
    <t>A5050732142</t>
  </si>
  <si>
    <t>Tianshi Lu</t>
  </si>
  <si>
    <t>A5024060935</t>
  </si>
  <si>
    <t>Mohamed M. S. Nasser</t>
  </si>
  <si>
    <t>A5051511553</t>
  </si>
  <si>
    <t>Zifeng Yang</t>
  </si>
  <si>
    <t>Wright State University</t>
  </si>
  <si>
    <t>A5063704361</t>
  </si>
  <si>
    <t>J. Mitch Wolff</t>
  </si>
  <si>
    <t>A5003916352</t>
  </si>
  <si>
    <t>Hamed Attariani</t>
  </si>
  <si>
    <t>A5003738174</t>
  </si>
  <si>
    <t>Sheng Li</t>
  </si>
  <si>
    <t>Weifu Fang</t>
  </si>
  <si>
    <t>A5070538513</t>
  </si>
  <si>
    <t>Ayse Sahin</t>
  </si>
  <si>
    <t>Mitchell Smooke</t>
  </si>
  <si>
    <t>Yale University</t>
  </si>
  <si>
    <t>A5078993938</t>
  </si>
  <si>
    <t>Alessandro Gomez</t>
  </si>
  <si>
    <t>A5008883110</t>
  </si>
  <si>
    <t>Amir A. Pahlavan</t>
  </si>
  <si>
    <t>A5038718370</t>
  </si>
  <si>
    <t>Corey S. O'Hern</t>
  </si>
  <si>
    <t>A5052304826</t>
  </si>
  <si>
    <t>Bauyrzhan Primkulov</t>
  </si>
  <si>
    <t>A5071172974</t>
  </si>
  <si>
    <t>Vladimir Rokhlin</t>
  </si>
  <si>
    <t>A5009388223</t>
  </si>
  <si>
    <t>Ronald Coifman</t>
  </si>
  <si>
    <t>A5141977219</t>
  </si>
  <si>
    <t>Madhusudhan Venkadesan</t>
  </si>
  <si>
    <t>A5079466047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</si>
</sst>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C11E-2E04-456C-AE22-B1126AAA2DB3}">
  <sheetPr filterMode="1"/>
  <dimension ref="A1:L1270"/>
  <sheetViews>
    <sheetView tabSelected="1" workbookViewId="0">
      <pane xSplit="3" ySplit="1" topLeftCell="G1241" activePane="bottomRight" state="frozen"/>
      <selection pane="topRight" activeCell="D1" sqref="D1"/>
      <selection pane="bottomLeft" activeCell="A2" sqref="A2"/>
      <selection pane="bottomRight" activeCell="B1244" sqref="B1244"/>
    </sheetView>
  </sheetViews>
  <sheetFormatPr defaultRowHeight="14.4" x14ac:dyDescent="0.3"/>
  <cols>
    <col min="2" max="2" width="19.109375" customWidth="1"/>
    <col min="3" max="3" width="18" customWidth="1"/>
    <col min="4" max="4" width="11.21875" customWidth="1"/>
    <col min="12" max="12" width="66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51</v>
      </c>
      <c r="B2" t="s">
        <v>175</v>
      </c>
      <c r="C2" t="s">
        <v>149</v>
      </c>
      <c r="D2" t="s">
        <v>161</v>
      </c>
      <c r="E2" t="s">
        <v>176</v>
      </c>
      <c r="F2" t="s">
        <v>114</v>
      </c>
      <c r="G2" t="s">
        <v>115</v>
      </c>
      <c r="H2" t="s">
        <v>45</v>
      </c>
      <c r="I2">
        <v>1</v>
      </c>
      <c r="J2" t="s">
        <v>116</v>
      </c>
      <c r="K2">
        <v>3</v>
      </c>
      <c r="L2" t="str">
        <f>HYPERLINK("https://aerospace.caltech.edu/people/jeshep","https://aerospace.caltech.edu/people/jeshep")</f>
        <v>https://aerospace.caltech.edu/people/jeshep</v>
      </c>
    </row>
    <row r="3" spans="1:12" x14ac:dyDescent="0.3">
      <c r="A3">
        <v>84</v>
      </c>
      <c r="B3" t="s">
        <v>255</v>
      </c>
      <c r="C3" t="s">
        <v>252</v>
      </c>
      <c r="D3" t="s">
        <v>14</v>
      </c>
      <c r="E3" t="s">
        <v>256</v>
      </c>
      <c r="F3" t="s">
        <v>114</v>
      </c>
      <c r="G3" t="s">
        <v>115</v>
      </c>
      <c r="H3" t="s">
        <v>39</v>
      </c>
      <c r="I3">
        <v>60</v>
      </c>
      <c r="J3" t="s">
        <v>116</v>
      </c>
      <c r="K3">
        <v>1</v>
      </c>
      <c r="L3" t="str">
        <f>HYPERLINK("https://www.engr.colostate.edu/me/people/","https://www.engr.colostate.edu/me/people/")</f>
        <v>https://www.engr.colostate.edu/me/people/</v>
      </c>
    </row>
    <row r="4" spans="1:12" x14ac:dyDescent="0.3">
      <c r="A4">
        <v>85</v>
      </c>
      <c r="B4" t="s">
        <v>257</v>
      </c>
      <c r="C4" t="s">
        <v>252</v>
      </c>
      <c r="D4" t="s">
        <v>14</v>
      </c>
      <c r="E4" t="s">
        <v>258</v>
      </c>
      <c r="F4" t="s">
        <v>114</v>
      </c>
      <c r="G4" t="s">
        <v>115</v>
      </c>
      <c r="H4" t="s">
        <v>18</v>
      </c>
      <c r="I4">
        <v>38</v>
      </c>
      <c r="J4" t="s">
        <v>116</v>
      </c>
      <c r="K4">
        <v>1</v>
      </c>
      <c r="L4" t="str">
        <f>HYPERLINK("https://www.engr.colostate.edu/me/people/","https://www.engr.colostate.edu/me/people/")</f>
        <v>https://www.engr.colostate.edu/me/people/</v>
      </c>
    </row>
    <row r="5" spans="1:12" hidden="1" x14ac:dyDescent="0.3">
      <c r="A5">
        <v>4</v>
      </c>
      <c r="B5" t="s">
        <v>30</v>
      </c>
      <c r="C5" t="s">
        <v>13</v>
      </c>
      <c r="D5" t="s">
        <v>31</v>
      </c>
      <c r="E5" t="s">
        <v>32</v>
      </c>
      <c r="F5" t="s">
        <v>22</v>
      </c>
      <c r="G5" t="s">
        <v>23</v>
      </c>
      <c r="H5" t="s">
        <v>33</v>
      </c>
      <c r="I5">
        <v>5</v>
      </c>
      <c r="J5" t="s">
        <v>19</v>
      </c>
      <c r="K5">
        <v>1</v>
      </c>
      <c r="L5" t="str">
        <f>HYPERLINK("https://search.asu.edu/profile/913016","https://search.asu.edu/profile/913016")</f>
        <v>https://search.asu.edu/profile/913016</v>
      </c>
    </row>
    <row r="6" spans="1:12" hidden="1" x14ac:dyDescent="0.3">
      <c r="A6">
        <v>5</v>
      </c>
      <c r="B6" t="s">
        <v>34</v>
      </c>
      <c r="C6" t="s">
        <v>13</v>
      </c>
      <c r="D6" t="s">
        <v>31</v>
      </c>
      <c r="E6" t="s">
        <v>35</v>
      </c>
      <c r="F6" t="s">
        <v>16</v>
      </c>
      <c r="G6" t="s">
        <v>17</v>
      </c>
      <c r="H6" t="s">
        <v>36</v>
      </c>
      <c r="I6">
        <v>22</v>
      </c>
      <c r="J6" t="s">
        <v>19</v>
      </c>
      <c r="K6">
        <v>1</v>
      </c>
      <c r="L6" t="str">
        <f>HYPERLINK("https://search.asu.edu/profile/2223626","https://search.asu.edu/profile/2223626")</f>
        <v>https://search.asu.edu/profile/2223626</v>
      </c>
    </row>
    <row r="7" spans="1:12" x14ac:dyDescent="0.3">
      <c r="A7">
        <v>90</v>
      </c>
      <c r="B7" t="s">
        <v>269</v>
      </c>
      <c r="C7" t="s">
        <v>270</v>
      </c>
      <c r="D7" t="s">
        <v>271</v>
      </c>
      <c r="E7" t="s">
        <v>272</v>
      </c>
      <c r="F7" t="s">
        <v>151</v>
      </c>
      <c r="G7" t="s">
        <v>152</v>
      </c>
      <c r="H7" t="s">
        <v>273</v>
      </c>
      <c r="I7">
        <v>40</v>
      </c>
      <c r="J7" t="s">
        <v>154</v>
      </c>
      <c r="K7">
        <v>1</v>
      </c>
      <c r="L7" t="str">
        <f>HYPERLINK("https://www.duffield.cornell.edu/people/olivier-desjardins/","https://www.duffield.cornell.edu/people/olivier-desjardins/")</f>
        <v>https://www.duffield.cornell.edu/people/olivier-desjardins/</v>
      </c>
    </row>
    <row r="8" spans="1:12" hidden="1" x14ac:dyDescent="0.3">
      <c r="A8">
        <v>7</v>
      </c>
      <c r="B8" t="s">
        <v>40</v>
      </c>
      <c r="C8" t="s">
        <v>13</v>
      </c>
      <c r="D8" t="s">
        <v>31</v>
      </c>
      <c r="E8" t="s">
        <v>41</v>
      </c>
      <c r="F8" t="s">
        <v>16</v>
      </c>
      <c r="G8" t="s">
        <v>17</v>
      </c>
      <c r="H8" t="s">
        <v>42</v>
      </c>
      <c r="I8">
        <v>9</v>
      </c>
      <c r="J8" t="s">
        <v>19</v>
      </c>
      <c r="K8">
        <v>1</v>
      </c>
      <c r="L8" t="str">
        <f>HYPERLINK("https://search.asu.edu/profile/57462","https://search.asu.edu/profile/57462")</f>
        <v>https://search.asu.edu/profile/57462</v>
      </c>
    </row>
    <row r="9" spans="1:12" hidden="1" x14ac:dyDescent="0.3">
      <c r="A9">
        <v>8</v>
      </c>
      <c r="B9" t="s">
        <v>43</v>
      </c>
      <c r="C9" t="s">
        <v>13</v>
      </c>
      <c r="D9" t="s">
        <v>31</v>
      </c>
      <c r="E9" t="s">
        <v>44</v>
      </c>
      <c r="F9" t="s">
        <v>27</v>
      </c>
      <c r="G9" t="s">
        <v>28</v>
      </c>
      <c r="H9" t="s">
        <v>45</v>
      </c>
      <c r="I9">
        <v>7</v>
      </c>
      <c r="J9" t="s">
        <v>19</v>
      </c>
      <c r="K9">
        <v>1</v>
      </c>
      <c r="L9" t="str">
        <f>HYPERLINK("https://search.asu.edu/profile/57474","https://search.asu.edu/profile/57474")</f>
        <v>https://search.asu.edu/profile/57474</v>
      </c>
    </row>
    <row r="10" spans="1:12" x14ac:dyDescent="0.3">
      <c r="A10">
        <v>91</v>
      </c>
      <c r="B10" t="s">
        <v>274</v>
      </c>
      <c r="C10" t="s">
        <v>270</v>
      </c>
      <c r="D10" t="s">
        <v>161</v>
      </c>
      <c r="E10" t="s">
        <v>275</v>
      </c>
      <c r="F10" t="s">
        <v>151</v>
      </c>
      <c r="G10" t="s">
        <v>152</v>
      </c>
      <c r="H10" t="s">
        <v>172</v>
      </c>
      <c r="I10">
        <v>1</v>
      </c>
      <c r="J10" t="s">
        <v>154</v>
      </c>
      <c r="K10">
        <v>1</v>
      </c>
      <c r="L10" t="str">
        <f>HYPERLINK("https://www.duffield.cornell.edu/people/gregory-paul-bewley/","https://www.duffield.cornell.edu/people/gregory-paul-bewley/")</f>
        <v>https://www.duffield.cornell.edu/people/gregory-paul-bewley/</v>
      </c>
    </row>
    <row r="11" spans="1:12" x14ac:dyDescent="0.3">
      <c r="A11">
        <v>92</v>
      </c>
      <c r="B11" t="s">
        <v>276</v>
      </c>
      <c r="C11" t="s">
        <v>270</v>
      </c>
      <c r="D11" t="s">
        <v>271</v>
      </c>
      <c r="E11" t="s">
        <v>277</v>
      </c>
      <c r="F11" t="s">
        <v>151</v>
      </c>
      <c r="G11" t="s">
        <v>152</v>
      </c>
      <c r="H11" t="s">
        <v>50</v>
      </c>
      <c r="I11">
        <v>5</v>
      </c>
      <c r="J11" t="s">
        <v>154</v>
      </c>
      <c r="K11">
        <v>1</v>
      </c>
      <c r="L11" t="str">
        <f>HYPERLINK("https://www.duffield.cornell.edu/people/jane-wang/","https://www.duffield.cornell.edu/people/jane-wang/")</f>
        <v>https://www.duffield.cornell.edu/people/jane-wang/</v>
      </c>
    </row>
    <row r="12" spans="1:12" x14ac:dyDescent="0.3">
      <c r="A12">
        <v>93</v>
      </c>
      <c r="B12" t="s">
        <v>278</v>
      </c>
      <c r="C12" t="s">
        <v>270</v>
      </c>
      <c r="D12" t="s">
        <v>271</v>
      </c>
      <c r="E12" t="s">
        <v>279</v>
      </c>
      <c r="F12" t="s">
        <v>151</v>
      </c>
      <c r="G12" t="s">
        <v>152</v>
      </c>
      <c r="H12" t="s">
        <v>220</v>
      </c>
      <c r="I12">
        <v>117</v>
      </c>
      <c r="J12" t="s">
        <v>154</v>
      </c>
      <c r="K12">
        <v>1</v>
      </c>
      <c r="L12" t="str">
        <f>HYPERLINK("https://www.duffield.cornell.edu/people/jian-xun-wang/","https://www.duffield.cornell.edu/people/jian-xun-wang/")</f>
        <v>https://www.duffield.cornell.edu/people/jian-xun-wang/</v>
      </c>
    </row>
    <row r="13" spans="1:12" x14ac:dyDescent="0.3">
      <c r="A13">
        <v>94</v>
      </c>
      <c r="B13" t="s">
        <v>280</v>
      </c>
      <c r="C13" t="s">
        <v>270</v>
      </c>
      <c r="D13" t="s">
        <v>271</v>
      </c>
      <c r="E13" t="s">
        <v>281</v>
      </c>
      <c r="F13" t="s">
        <v>151</v>
      </c>
      <c r="G13" t="s">
        <v>152</v>
      </c>
      <c r="H13" t="s">
        <v>225</v>
      </c>
      <c r="I13">
        <v>5</v>
      </c>
      <c r="J13" t="s">
        <v>154</v>
      </c>
      <c r="K13">
        <v>1</v>
      </c>
      <c r="L13" t="str">
        <f>HYPERLINK("https://www.duffield.cornell.edu/people/perrine-pepiot/","https://www.duffield.cornell.edu/people/perrine-pepiot/")</f>
        <v>https://www.duffield.cornell.edu/people/perrine-pepiot/</v>
      </c>
    </row>
    <row r="14" spans="1:12" x14ac:dyDescent="0.3">
      <c r="A14">
        <v>95</v>
      </c>
      <c r="B14" t="s">
        <v>282</v>
      </c>
      <c r="C14" t="s">
        <v>270</v>
      </c>
      <c r="D14" t="s">
        <v>161</v>
      </c>
      <c r="E14" t="s">
        <v>283</v>
      </c>
      <c r="F14" t="s">
        <v>151</v>
      </c>
      <c r="G14" t="s">
        <v>152</v>
      </c>
      <c r="H14" t="s">
        <v>85</v>
      </c>
      <c r="I14">
        <v>58</v>
      </c>
      <c r="J14" t="s">
        <v>154</v>
      </c>
      <c r="K14">
        <v>1</v>
      </c>
      <c r="L14" t="str">
        <f>HYPERLINK("https://www.duffield.cornell.edu/people/elaine-petro/","https://www.duffield.cornell.edu/people/elaine-petro/")</f>
        <v>https://www.duffield.cornell.edu/people/elaine-petro/</v>
      </c>
    </row>
    <row r="15" spans="1:12" x14ac:dyDescent="0.3">
      <c r="A15">
        <v>102</v>
      </c>
      <c r="B15" t="s">
        <v>297</v>
      </c>
      <c r="C15" t="s">
        <v>270</v>
      </c>
      <c r="D15" t="s">
        <v>271</v>
      </c>
      <c r="E15" t="s">
        <v>298</v>
      </c>
      <c r="F15" t="s">
        <v>151</v>
      </c>
      <c r="G15" t="s">
        <v>152</v>
      </c>
      <c r="H15" t="s">
        <v>167</v>
      </c>
      <c r="I15">
        <v>35</v>
      </c>
      <c r="J15" t="s">
        <v>154</v>
      </c>
      <c r="K15">
        <v>1</v>
      </c>
      <c r="L15" t="str">
        <f>HYPERLINK("https://www.duffield.cornell.edu/people/silvia-ferrari/","https://www.duffield.cornell.edu/people/silvia-ferrari/")</f>
        <v>https://www.duffield.cornell.edu/people/silvia-ferrari/</v>
      </c>
    </row>
    <row r="16" spans="1:12" x14ac:dyDescent="0.3">
      <c r="A16">
        <v>103</v>
      </c>
      <c r="B16" t="s">
        <v>299</v>
      </c>
      <c r="C16" t="s">
        <v>270</v>
      </c>
      <c r="D16" t="s">
        <v>161</v>
      </c>
      <c r="E16" t="s">
        <v>300</v>
      </c>
      <c r="F16" t="s">
        <v>151</v>
      </c>
      <c r="G16" t="s">
        <v>152</v>
      </c>
      <c r="H16" t="s">
        <v>301</v>
      </c>
      <c r="I16">
        <v>39</v>
      </c>
      <c r="J16" t="s">
        <v>154</v>
      </c>
      <c r="K16">
        <v>1</v>
      </c>
      <c r="L16" t="str">
        <f>HYPERLINK("https://www.duffield.cornell.edu/people/mason-peck/","https://www.duffield.cornell.edu/people/mason-peck/")</f>
        <v>https://www.duffield.cornell.edu/people/mason-peck/</v>
      </c>
    </row>
    <row r="17" spans="1:12" x14ac:dyDescent="0.3">
      <c r="A17">
        <v>104</v>
      </c>
      <c r="B17" t="s">
        <v>302</v>
      </c>
      <c r="C17" t="s">
        <v>303</v>
      </c>
      <c r="D17" t="s">
        <v>14</v>
      </c>
      <c r="E17" t="s">
        <v>304</v>
      </c>
      <c r="F17" t="s">
        <v>191</v>
      </c>
      <c r="G17" t="s">
        <v>192</v>
      </c>
      <c r="H17" t="s">
        <v>305</v>
      </c>
      <c r="I17">
        <v>2</v>
      </c>
      <c r="J17" t="s">
        <v>154</v>
      </c>
      <c r="K17">
        <v>1</v>
      </c>
      <c r="L17" t="str">
        <f>HYPERLINK("https://engineering.dartmouth.edu/community/faculty/benoit-cushman-roisin","https://engineering.dartmouth.edu/community/faculty/benoit-cushman-roisin")</f>
        <v>https://engineering.dartmouth.edu/community/faculty/benoit-cushman-roisin</v>
      </c>
    </row>
    <row r="18" spans="1:12" x14ac:dyDescent="0.3">
      <c r="A18">
        <v>105</v>
      </c>
      <c r="B18" t="s">
        <v>306</v>
      </c>
      <c r="C18" t="s">
        <v>303</v>
      </c>
      <c r="D18" t="s">
        <v>14</v>
      </c>
      <c r="E18" t="s">
        <v>307</v>
      </c>
      <c r="F18" t="s">
        <v>151</v>
      </c>
      <c r="G18" t="s">
        <v>152</v>
      </c>
      <c r="H18" t="s">
        <v>18</v>
      </c>
      <c r="I18">
        <v>86</v>
      </c>
      <c r="J18" t="s">
        <v>154</v>
      </c>
      <c r="K18">
        <v>1</v>
      </c>
      <c r="L18" t="str">
        <f>HYPERLINK("https://engineering.dartmouth.edu/community/faculty/colin-meyer","https://engineering.dartmouth.edu/community/faculty/colin-meyer")</f>
        <v>https://engineering.dartmouth.edu/community/faculty/colin-meyer</v>
      </c>
    </row>
    <row r="19" spans="1:12" x14ac:dyDescent="0.3">
      <c r="A19">
        <v>106</v>
      </c>
      <c r="B19" t="s">
        <v>308</v>
      </c>
      <c r="C19" t="s">
        <v>303</v>
      </c>
      <c r="D19" t="s">
        <v>14</v>
      </c>
      <c r="E19" t="s">
        <v>309</v>
      </c>
      <c r="F19" t="s">
        <v>151</v>
      </c>
      <c r="G19" t="s">
        <v>152</v>
      </c>
      <c r="H19" t="s">
        <v>24</v>
      </c>
      <c r="I19">
        <v>415</v>
      </c>
      <c r="J19" t="s">
        <v>154</v>
      </c>
      <c r="K19">
        <v>1</v>
      </c>
      <c r="L19" t="str">
        <f>HYPERLINK("https://engineering.dartmouth.edu/community/faculty/yan-li","https://engineering.dartmouth.edu/community/faculty/yan-li")</f>
        <v>https://engineering.dartmouth.edu/community/faculty/yan-li</v>
      </c>
    </row>
    <row r="20" spans="1:12" x14ac:dyDescent="0.3">
      <c r="A20">
        <v>108</v>
      </c>
      <c r="B20" t="s">
        <v>312</v>
      </c>
      <c r="C20" t="s">
        <v>303</v>
      </c>
      <c r="D20" t="s">
        <v>14</v>
      </c>
      <c r="E20" t="s">
        <v>313</v>
      </c>
      <c r="F20" t="s">
        <v>151</v>
      </c>
      <c r="G20" t="s">
        <v>152</v>
      </c>
      <c r="H20" t="s">
        <v>314</v>
      </c>
      <c r="I20">
        <v>9</v>
      </c>
      <c r="J20" t="s">
        <v>154</v>
      </c>
      <c r="K20">
        <v>1</v>
      </c>
      <c r="L20" t="str">
        <f>HYPERLINK("https://engineering.dartmouth.edu/community/faculty/mary-albert","https://engineering.dartmouth.edu/community/faculty/mary-albert")</f>
        <v>https://engineering.dartmouth.edu/community/faculty/mary-albert</v>
      </c>
    </row>
    <row r="21" spans="1:12" x14ac:dyDescent="0.3">
      <c r="A21">
        <v>109</v>
      </c>
      <c r="B21" t="s">
        <v>315</v>
      </c>
      <c r="C21" t="s">
        <v>303</v>
      </c>
      <c r="D21" t="s">
        <v>14</v>
      </c>
      <c r="E21" t="s">
        <v>316</v>
      </c>
      <c r="F21" t="s">
        <v>151</v>
      </c>
      <c r="G21" t="s">
        <v>152</v>
      </c>
      <c r="H21" t="s">
        <v>167</v>
      </c>
      <c r="I21">
        <v>9</v>
      </c>
      <c r="J21" t="s">
        <v>154</v>
      </c>
      <c r="K21">
        <v>1</v>
      </c>
      <c r="L21" t="str">
        <f>HYPERLINK("https://engineering.dartmouth.edu/community/faculty/laura-ray","https://engineering.dartmouth.edu/community/faculty/laura-ray")</f>
        <v>https://engineering.dartmouth.edu/community/faculty/laura-ray</v>
      </c>
    </row>
    <row r="22" spans="1:12" x14ac:dyDescent="0.3">
      <c r="A22">
        <v>114</v>
      </c>
      <c r="B22" t="s">
        <v>327</v>
      </c>
      <c r="C22" t="s">
        <v>318</v>
      </c>
      <c r="D22" t="s">
        <v>14</v>
      </c>
      <c r="E22" t="s">
        <v>328</v>
      </c>
      <c r="F22" t="s">
        <v>114</v>
      </c>
      <c r="G22" t="s">
        <v>115</v>
      </c>
      <c r="H22" t="s">
        <v>329</v>
      </c>
      <c r="I22">
        <v>31</v>
      </c>
      <c r="J22" t="s">
        <v>116</v>
      </c>
      <c r="K22">
        <v>3</v>
      </c>
      <c r="L22" t="str">
        <f>HYPERLINK("https://drexel.edu/engineering/about/faculty-staff/S/siegler-sorin/","https://drexel.edu/engineering/about/faculty-staff/S/siegler-sorin/")</f>
        <v>https://drexel.edu/engineering/about/faculty-staff/S/siegler-sorin/</v>
      </c>
    </row>
    <row r="23" spans="1:12" x14ac:dyDescent="0.3">
      <c r="A23">
        <v>144</v>
      </c>
      <c r="B23" t="s">
        <v>394</v>
      </c>
      <c r="C23" t="s">
        <v>380</v>
      </c>
      <c r="D23" t="s">
        <v>381</v>
      </c>
      <c r="E23" t="s">
        <v>395</v>
      </c>
      <c r="F23" t="s">
        <v>151</v>
      </c>
      <c r="G23" t="s">
        <v>152</v>
      </c>
      <c r="H23" t="s">
        <v>64</v>
      </c>
      <c r="I23">
        <v>47</v>
      </c>
      <c r="J23" t="s">
        <v>154</v>
      </c>
      <c r="K23">
        <v>1</v>
      </c>
      <c r="L23" t="str">
        <f>HYPERLINK("https://www.fit.edu/faculty-profiles/l/lingam-manasvi/","https://www.fit.edu/faculty-profiles/l/lingam-manasvi/")</f>
        <v>https://www.fit.edu/faculty-profiles/l/lingam-manasvi/</v>
      </c>
    </row>
    <row r="24" spans="1:12" x14ac:dyDescent="0.3">
      <c r="A24">
        <v>156</v>
      </c>
      <c r="B24" t="s">
        <v>422</v>
      </c>
      <c r="C24" t="s">
        <v>423</v>
      </c>
      <c r="D24" t="s">
        <v>14</v>
      </c>
      <c r="E24" t="s">
        <v>424</v>
      </c>
      <c r="F24" t="s">
        <v>114</v>
      </c>
      <c r="G24" t="s">
        <v>115</v>
      </c>
      <c r="H24" t="s">
        <v>417</v>
      </c>
      <c r="I24">
        <v>0</v>
      </c>
      <c r="J24" t="s">
        <v>116</v>
      </c>
      <c r="K24">
        <v>1</v>
      </c>
      <c r="L24" t="str">
        <f>HYPERLINK("https://eng.famu.fsu.edu/mae/people","https://eng.famu.fsu.edu/mae/people")</f>
        <v>https://eng.famu.fsu.edu/mae/people</v>
      </c>
    </row>
    <row r="25" spans="1:12" x14ac:dyDescent="0.3">
      <c r="A25">
        <v>157</v>
      </c>
      <c r="B25" t="s">
        <v>425</v>
      </c>
      <c r="C25" t="s">
        <v>423</v>
      </c>
      <c r="D25" t="s">
        <v>14</v>
      </c>
      <c r="E25" t="s">
        <v>426</v>
      </c>
      <c r="F25" t="s">
        <v>114</v>
      </c>
      <c r="G25" t="s">
        <v>115</v>
      </c>
      <c r="H25" t="s">
        <v>417</v>
      </c>
      <c r="I25">
        <v>0</v>
      </c>
      <c r="J25" t="s">
        <v>116</v>
      </c>
      <c r="K25">
        <v>1</v>
      </c>
      <c r="L25" t="str">
        <f>HYPERLINK("https://eng.famu.fsu.edu/mae/people","https://eng.famu.fsu.edu/mae/people")</f>
        <v>https://eng.famu.fsu.edu/mae/people</v>
      </c>
    </row>
    <row r="26" spans="1:12" hidden="1" x14ac:dyDescent="0.3">
      <c r="A26">
        <v>25</v>
      </c>
      <c r="B26" t="s">
        <v>99</v>
      </c>
      <c r="C26" t="s">
        <v>90</v>
      </c>
      <c r="D26" t="s">
        <v>31</v>
      </c>
      <c r="E26" t="s">
        <v>100</v>
      </c>
      <c r="F26" t="s">
        <v>27</v>
      </c>
      <c r="G26" t="s">
        <v>28</v>
      </c>
      <c r="H26" t="s">
        <v>101</v>
      </c>
      <c r="I26">
        <v>39</v>
      </c>
      <c r="J26" t="s">
        <v>19</v>
      </c>
      <c r="K26">
        <v>1</v>
      </c>
      <c r="L26" t="str">
        <f>HYPERLINK("https://www.bu.edu/eng/profile/harold-park-phd/","https://www.bu.edu/eng/profile/harold-park-phd/")</f>
        <v>https://www.bu.edu/eng/profile/harold-park-phd/</v>
      </c>
    </row>
    <row r="27" spans="1:12" hidden="1" x14ac:dyDescent="0.3">
      <c r="A27">
        <v>26</v>
      </c>
      <c r="B27" t="s">
        <v>102</v>
      </c>
      <c r="C27" t="s">
        <v>90</v>
      </c>
      <c r="D27" t="s">
        <v>31</v>
      </c>
      <c r="E27" t="s">
        <v>103</v>
      </c>
      <c r="F27" t="s">
        <v>27</v>
      </c>
      <c r="G27" t="s">
        <v>28</v>
      </c>
      <c r="H27" t="s">
        <v>104</v>
      </c>
      <c r="I27">
        <v>5</v>
      </c>
      <c r="J27" t="s">
        <v>19</v>
      </c>
      <c r="K27">
        <v>1</v>
      </c>
      <c r="L27" t="str">
        <f>HYPERLINK("https://www.bu.edu/eng/profile/paul-e-barbone-phd/","https://www.bu.edu/eng/profile/paul-e-barbone-phd/")</f>
        <v>https://www.bu.edu/eng/profile/paul-e-barbone-phd/</v>
      </c>
    </row>
    <row r="28" spans="1:12" x14ac:dyDescent="0.3">
      <c r="A28">
        <v>158</v>
      </c>
      <c r="B28" t="s">
        <v>427</v>
      </c>
      <c r="C28" t="s">
        <v>423</v>
      </c>
      <c r="D28" t="s">
        <v>14</v>
      </c>
      <c r="E28" t="s">
        <v>428</v>
      </c>
      <c r="F28" t="s">
        <v>114</v>
      </c>
      <c r="G28" t="s">
        <v>115</v>
      </c>
      <c r="H28" t="s">
        <v>417</v>
      </c>
      <c r="I28">
        <v>0</v>
      </c>
      <c r="J28" t="s">
        <v>116</v>
      </c>
      <c r="K28">
        <v>1</v>
      </c>
      <c r="L28" t="str">
        <f>HYPERLINK("https://eng.famu.fsu.edu/mae/people","https://eng.famu.fsu.edu/mae/people")</f>
        <v>https://eng.famu.fsu.edu/mae/people</v>
      </c>
    </row>
    <row r="29" spans="1:12" x14ac:dyDescent="0.3">
      <c r="A29">
        <v>159</v>
      </c>
      <c r="B29" t="s">
        <v>429</v>
      </c>
      <c r="C29" t="s">
        <v>423</v>
      </c>
      <c r="D29" t="s">
        <v>14</v>
      </c>
      <c r="E29" t="s">
        <v>430</v>
      </c>
      <c r="F29" t="s">
        <v>114</v>
      </c>
      <c r="G29" t="s">
        <v>115</v>
      </c>
      <c r="H29" t="s">
        <v>417</v>
      </c>
      <c r="I29">
        <v>0</v>
      </c>
      <c r="J29" t="s">
        <v>116</v>
      </c>
      <c r="K29">
        <v>1</v>
      </c>
      <c r="L29" t="str">
        <f>HYPERLINK("https://eng.famu.fsu.edu/mae/people","https://eng.famu.fsu.edu/mae/people")</f>
        <v>https://eng.famu.fsu.edu/mae/people</v>
      </c>
    </row>
    <row r="30" spans="1:12" x14ac:dyDescent="0.3">
      <c r="A30">
        <v>160</v>
      </c>
      <c r="B30" t="s">
        <v>431</v>
      </c>
      <c r="C30" t="s">
        <v>423</v>
      </c>
      <c r="D30" t="s">
        <v>14</v>
      </c>
      <c r="E30" t="s">
        <v>432</v>
      </c>
      <c r="F30" t="s">
        <v>114</v>
      </c>
      <c r="G30" t="s">
        <v>115</v>
      </c>
      <c r="H30" t="s">
        <v>417</v>
      </c>
      <c r="I30">
        <v>0</v>
      </c>
      <c r="J30" t="s">
        <v>116</v>
      </c>
      <c r="K30">
        <v>1</v>
      </c>
      <c r="L30" t="str">
        <f>HYPERLINK("https://eng.famu.fsu.edu/mae/people","https://eng.famu.fsu.edu/mae/people")</f>
        <v>https://eng.famu.fsu.edu/mae/people</v>
      </c>
    </row>
    <row r="31" spans="1:12" x14ac:dyDescent="0.3">
      <c r="A31">
        <v>161</v>
      </c>
      <c r="B31" t="s">
        <v>433</v>
      </c>
      <c r="C31" t="s">
        <v>423</v>
      </c>
      <c r="D31" t="s">
        <v>14</v>
      </c>
      <c r="E31" t="s">
        <v>434</v>
      </c>
      <c r="F31" t="s">
        <v>114</v>
      </c>
      <c r="G31" t="s">
        <v>115</v>
      </c>
      <c r="H31" t="s">
        <v>417</v>
      </c>
      <c r="I31">
        <v>0</v>
      </c>
      <c r="J31" t="s">
        <v>116</v>
      </c>
      <c r="K31">
        <v>1</v>
      </c>
      <c r="L31" t="str">
        <f>HYPERLINK("https://eng.famu.fsu.edu/mae/people","https://eng.famu.fsu.edu/mae/people")</f>
        <v>https://eng.famu.fsu.edu/mae/people</v>
      </c>
    </row>
    <row r="32" spans="1:12" x14ac:dyDescent="0.3">
      <c r="A32">
        <v>162</v>
      </c>
      <c r="B32" t="s">
        <v>435</v>
      </c>
      <c r="C32" t="s">
        <v>423</v>
      </c>
      <c r="D32" t="s">
        <v>14</v>
      </c>
      <c r="E32" t="s">
        <v>436</v>
      </c>
      <c r="F32" t="s">
        <v>114</v>
      </c>
      <c r="G32" t="s">
        <v>115</v>
      </c>
      <c r="H32" t="s">
        <v>417</v>
      </c>
      <c r="I32">
        <v>0</v>
      </c>
      <c r="J32" t="s">
        <v>116</v>
      </c>
      <c r="K32">
        <v>1</v>
      </c>
      <c r="L32" t="str">
        <f>HYPERLINK("https://eng.famu.fsu.edu/mae/people","https://eng.famu.fsu.edu/mae/people")</f>
        <v>https://eng.famu.fsu.edu/mae/people</v>
      </c>
    </row>
    <row r="33" spans="1:12" x14ac:dyDescent="0.3">
      <c r="A33">
        <v>163</v>
      </c>
      <c r="B33" t="s">
        <v>437</v>
      </c>
      <c r="C33" t="s">
        <v>423</v>
      </c>
      <c r="D33" t="s">
        <v>14</v>
      </c>
      <c r="E33" t="s">
        <v>438</v>
      </c>
      <c r="F33" t="s">
        <v>114</v>
      </c>
      <c r="G33" t="s">
        <v>115</v>
      </c>
      <c r="H33" t="s">
        <v>417</v>
      </c>
      <c r="I33">
        <v>0</v>
      </c>
      <c r="J33" t="s">
        <v>116</v>
      </c>
      <c r="K33">
        <v>1</v>
      </c>
      <c r="L33" t="str">
        <f>HYPERLINK("https://eng.famu.fsu.edu/mae/people","https://eng.famu.fsu.edu/mae/people")</f>
        <v>https://eng.famu.fsu.edu/mae/people</v>
      </c>
    </row>
    <row r="34" spans="1:12" x14ac:dyDescent="0.3">
      <c r="A34">
        <v>164</v>
      </c>
      <c r="B34" t="s">
        <v>439</v>
      </c>
      <c r="C34" t="s">
        <v>423</v>
      </c>
      <c r="D34" t="s">
        <v>14</v>
      </c>
      <c r="E34" t="s">
        <v>440</v>
      </c>
      <c r="F34" t="s">
        <v>114</v>
      </c>
      <c r="G34" t="s">
        <v>115</v>
      </c>
      <c r="H34" t="s">
        <v>417</v>
      </c>
      <c r="I34">
        <v>0</v>
      </c>
      <c r="J34" t="s">
        <v>116</v>
      </c>
      <c r="K34">
        <v>1</v>
      </c>
      <c r="L34" t="str">
        <f>HYPERLINK("https://eng.famu.fsu.edu/mae/people","https://eng.famu.fsu.edu/mae/people")</f>
        <v>https://eng.famu.fsu.edu/mae/people</v>
      </c>
    </row>
    <row r="35" spans="1:12" x14ac:dyDescent="0.3">
      <c r="A35">
        <v>232</v>
      </c>
      <c r="B35" t="s">
        <v>588</v>
      </c>
      <c r="C35" t="s">
        <v>589</v>
      </c>
      <c r="D35" t="s">
        <v>14</v>
      </c>
      <c r="E35" t="s">
        <v>590</v>
      </c>
      <c r="F35" t="s">
        <v>114</v>
      </c>
      <c r="G35" t="s">
        <v>115</v>
      </c>
      <c r="H35" t="s">
        <v>143</v>
      </c>
      <c r="I35">
        <v>13</v>
      </c>
      <c r="J35" t="s">
        <v>116</v>
      </c>
      <c r="K35">
        <v>1</v>
      </c>
      <c r="L35" t="str">
        <f>HYPERLINK("https://www.mne.k-state.edu/about/people/faculty/wei/","https://www.mne.k-state.edu/about/people/faculty/wei/")</f>
        <v>https://www.mne.k-state.edu/about/people/faculty/wei/</v>
      </c>
    </row>
    <row r="36" spans="1:12" hidden="1" x14ac:dyDescent="0.3">
      <c r="A36">
        <v>35</v>
      </c>
      <c r="B36" t="s">
        <v>130</v>
      </c>
      <c r="C36" t="s">
        <v>111</v>
      </c>
      <c r="D36" t="s">
        <v>31</v>
      </c>
      <c r="E36" t="s">
        <v>131</v>
      </c>
      <c r="F36" t="s">
        <v>114</v>
      </c>
      <c r="G36" t="s">
        <v>115</v>
      </c>
      <c r="H36" t="s">
        <v>132</v>
      </c>
      <c r="I36">
        <v>120</v>
      </c>
      <c r="J36" t="s">
        <v>116</v>
      </c>
      <c r="K36">
        <v>1</v>
      </c>
      <c r="L36" t="str">
        <f>HYPERLINK("https://appliedmath.brown.edu/people/faculty","https://appliedmath.brown.edu/people/faculty")</f>
        <v>https://appliedmath.brown.edu/people/faculty</v>
      </c>
    </row>
    <row r="37" spans="1:12" hidden="1" x14ac:dyDescent="0.3">
      <c r="A37">
        <v>36</v>
      </c>
      <c r="B37" t="s">
        <v>133</v>
      </c>
      <c r="C37" t="s">
        <v>111</v>
      </c>
      <c r="D37" t="s">
        <v>31</v>
      </c>
      <c r="E37" t="s">
        <v>134</v>
      </c>
      <c r="F37" t="s">
        <v>114</v>
      </c>
      <c r="G37" t="s">
        <v>115</v>
      </c>
      <c r="H37" t="s">
        <v>135</v>
      </c>
      <c r="I37">
        <v>83</v>
      </c>
      <c r="J37" t="s">
        <v>116</v>
      </c>
      <c r="K37">
        <v>1</v>
      </c>
      <c r="L37" t="str">
        <f>HYPERLINK("https://appliedmath.brown.edu/people/faculty","https://appliedmath.brown.edu/people/faculty")</f>
        <v>https://appliedmath.brown.edu/people/faculty</v>
      </c>
    </row>
    <row r="38" spans="1:12" hidden="1" x14ac:dyDescent="0.3">
      <c r="A38">
        <v>37</v>
      </c>
      <c r="B38" t="s">
        <v>136</v>
      </c>
      <c r="C38" t="s">
        <v>111</v>
      </c>
      <c r="D38" t="s">
        <v>31</v>
      </c>
      <c r="E38" t="s">
        <v>137</v>
      </c>
      <c r="F38" t="s">
        <v>114</v>
      </c>
      <c r="G38" t="s">
        <v>115</v>
      </c>
      <c r="H38" t="s">
        <v>33</v>
      </c>
      <c r="I38">
        <v>37</v>
      </c>
      <c r="J38" t="s">
        <v>116</v>
      </c>
      <c r="K38">
        <v>1</v>
      </c>
      <c r="L38" t="str">
        <f>HYPERLINK("https://appliedmath.brown.edu/people/faculty","https://appliedmath.brown.edu/people/faculty")</f>
        <v>https://appliedmath.brown.edu/people/faculty</v>
      </c>
    </row>
    <row r="39" spans="1:12" hidden="1" x14ac:dyDescent="0.3">
      <c r="A39">
        <v>38</v>
      </c>
      <c r="B39" t="s">
        <v>138</v>
      </c>
      <c r="C39" t="s">
        <v>111</v>
      </c>
      <c r="D39" t="s">
        <v>31</v>
      </c>
      <c r="E39" t="s">
        <v>139</v>
      </c>
      <c r="F39" t="s">
        <v>114</v>
      </c>
      <c r="G39" t="s">
        <v>115</v>
      </c>
      <c r="H39" t="s">
        <v>140</v>
      </c>
      <c r="I39">
        <v>51</v>
      </c>
      <c r="J39" t="s">
        <v>116</v>
      </c>
      <c r="K39">
        <v>1</v>
      </c>
      <c r="L39" t="str">
        <f>HYPERLINK("https://appliedmath.brown.edu/people/faculty","https://appliedmath.brown.edu/people/faculty")</f>
        <v>https://appliedmath.brown.edu/people/faculty</v>
      </c>
    </row>
    <row r="40" spans="1:12" hidden="1" x14ac:dyDescent="0.3">
      <c r="A40">
        <v>39</v>
      </c>
      <c r="B40" t="s">
        <v>141</v>
      </c>
      <c r="C40" t="s">
        <v>111</v>
      </c>
      <c r="D40" t="s">
        <v>31</v>
      </c>
      <c r="E40" t="s">
        <v>142</v>
      </c>
      <c r="F40" t="s">
        <v>114</v>
      </c>
      <c r="G40" t="s">
        <v>115</v>
      </c>
      <c r="H40" t="s">
        <v>143</v>
      </c>
      <c r="I40">
        <v>42</v>
      </c>
      <c r="J40" t="s">
        <v>116</v>
      </c>
      <c r="K40">
        <v>1</v>
      </c>
      <c r="L40" t="str">
        <f>HYPERLINK("https://appliedmath.brown.edu/people/faculty","https://appliedmath.brown.edu/people/faculty")</f>
        <v>https://appliedmath.brown.edu/people/faculty</v>
      </c>
    </row>
    <row r="41" spans="1:12" hidden="1" x14ac:dyDescent="0.3">
      <c r="A41">
        <v>40</v>
      </c>
      <c r="B41" t="s">
        <v>144</v>
      </c>
      <c r="C41" t="s">
        <v>111</v>
      </c>
      <c r="D41" t="s">
        <v>31</v>
      </c>
      <c r="E41" t="s">
        <v>145</v>
      </c>
      <c r="F41" t="s">
        <v>114</v>
      </c>
      <c r="G41" t="s">
        <v>115</v>
      </c>
      <c r="H41" t="s">
        <v>146</v>
      </c>
      <c r="I41">
        <v>34</v>
      </c>
      <c r="J41" t="s">
        <v>116</v>
      </c>
      <c r="K41">
        <v>1</v>
      </c>
      <c r="L41" t="str">
        <f>HYPERLINK("https://appliedmath.brown.edu/people/faculty","https://appliedmath.brown.edu/people/faculty")</f>
        <v>https://appliedmath.brown.edu/people/faculty</v>
      </c>
    </row>
    <row r="42" spans="1:12" hidden="1" x14ac:dyDescent="0.3">
      <c r="A42">
        <v>41</v>
      </c>
      <c r="B42" t="s">
        <v>147</v>
      </c>
      <c r="C42" t="s">
        <v>111</v>
      </c>
      <c r="D42" t="s">
        <v>31</v>
      </c>
      <c r="E42" t="s">
        <v>57</v>
      </c>
      <c r="F42" t="s">
        <v>114</v>
      </c>
      <c r="G42" t="s">
        <v>115</v>
      </c>
      <c r="H42" t="s">
        <v>58</v>
      </c>
      <c r="I42">
        <v>0</v>
      </c>
      <c r="J42" t="s">
        <v>116</v>
      </c>
      <c r="K42">
        <v>1</v>
      </c>
      <c r="L42" t="str">
        <f>HYPERLINK("https://appliedmath.brown.edu/people/faculty","https://appliedmath.brown.edu/people/faculty")</f>
        <v>https://appliedmath.brown.edu/people/faculty</v>
      </c>
    </row>
    <row r="43" spans="1:12" x14ac:dyDescent="0.3">
      <c r="A43">
        <v>233</v>
      </c>
      <c r="B43" t="s">
        <v>591</v>
      </c>
      <c r="C43" t="s">
        <v>589</v>
      </c>
      <c r="D43" t="s">
        <v>14</v>
      </c>
      <c r="E43" t="s">
        <v>592</v>
      </c>
      <c r="F43" t="s">
        <v>114</v>
      </c>
      <c r="G43" t="s">
        <v>115</v>
      </c>
      <c r="H43" t="s">
        <v>593</v>
      </c>
      <c r="I43">
        <v>0</v>
      </c>
      <c r="J43" t="s">
        <v>116</v>
      </c>
      <c r="K43">
        <v>3</v>
      </c>
      <c r="L43" t="str">
        <f>HYPERLINK("https://www.mne.k-state.edu/about/people/faculty/","https://www.mne.k-state.edu/about/people/faculty/")</f>
        <v>https://www.mne.k-state.edu/about/people/faculty/</v>
      </c>
    </row>
    <row r="44" spans="1:12" x14ac:dyDescent="0.3">
      <c r="A44">
        <v>249</v>
      </c>
      <c r="B44" t="s">
        <v>627</v>
      </c>
      <c r="C44" t="s">
        <v>618</v>
      </c>
      <c r="D44" t="s">
        <v>14</v>
      </c>
      <c r="E44" t="s">
        <v>628</v>
      </c>
      <c r="F44" t="s">
        <v>114</v>
      </c>
      <c r="G44" t="s">
        <v>115</v>
      </c>
      <c r="H44" t="s">
        <v>305</v>
      </c>
      <c r="I44">
        <v>31</v>
      </c>
      <c r="J44" t="s">
        <v>116</v>
      </c>
      <c r="K44">
        <v>1</v>
      </c>
      <c r="L44" t="str">
        <f>HYPERLINK("https://meche.mit.edu/people/faculty/ghoniem@mit.edu","https://meche.mit.edu/people/faculty/ghoniem@mit.edu")</f>
        <v>https://meche.mit.edu/people/faculty/ghoniem@mit.edu</v>
      </c>
    </row>
    <row r="45" spans="1:12" x14ac:dyDescent="0.3">
      <c r="A45">
        <v>250</v>
      </c>
      <c r="B45" t="s">
        <v>629</v>
      </c>
      <c r="C45" t="s">
        <v>618</v>
      </c>
      <c r="D45" t="s">
        <v>14</v>
      </c>
      <c r="E45" t="s">
        <v>630</v>
      </c>
      <c r="F45" t="s">
        <v>114</v>
      </c>
      <c r="G45" t="s">
        <v>115</v>
      </c>
      <c r="H45" t="s">
        <v>18</v>
      </c>
      <c r="I45">
        <v>69</v>
      </c>
      <c r="J45" t="s">
        <v>116</v>
      </c>
      <c r="K45">
        <v>1</v>
      </c>
      <c r="L45" t="str">
        <f>HYPERLINK("https://meche.mit.edu/people/faculty/pierrel@mit.edu","https://meche.mit.edu/people/faculty/pierrel@mit.edu")</f>
        <v>https://meche.mit.edu/people/faculty/pierrel@mit.edu</v>
      </c>
    </row>
    <row r="46" spans="1:12" x14ac:dyDescent="0.3">
      <c r="A46">
        <v>253</v>
      </c>
      <c r="B46" t="s">
        <v>636</v>
      </c>
      <c r="C46" t="s">
        <v>618</v>
      </c>
      <c r="D46" t="s">
        <v>14</v>
      </c>
      <c r="E46" t="s">
        <v>637</v>
      </c>
      <c r="F46" t="s">
        <v>114</v>
      </c>
      <c r="G46" t="s">
        <v>115</v>
      </c>
      <c r="H46" t="s">
        <v>638</v>
      </c>
      <c r="I46">
        <v>112</v>
      </c>
      <c r="J46" t="s">
        <v>116</v>
      </c>
      <c r="K46">
        <v>1</v>
      </c>
      <c r="L46" t="str">
        <f>HYPERLINK("https://meche.mit.edu/people/faculty/gareth@mit.edu","https://meche.mit.edu/people/faculty/gareth@mit.edu")</f>
        <v>https://meche.mit.edu/people/faculty/gareth@mit.edu</v>
      </c>
    </row>
    <row r="47" spans="1:12" x14ac:dyDescent="0.3">
      <c r="A47">
        <v>254</v>
      </c>
      <c r="B47" t="s">
        <v>639</v>
      </c>
      <c r="C47" t="s">
        <v>618</v>
      </c>
      <c r="D47" t="s">
        <v>14</v>
      </c>
      <c r="E47" t="s">
        <v>640</v>
      </c>
      <c r="F47" t="s">
        <v>114</v>
      </c>
      <c r="G47" t="s">
        <v>115</v>
      </c>
      <c r="H47" t="s">
        <v>225</v>
      </c>
      <c r="I47">
        <v>99</v>
      </c>
      <c r="J47" t="s">
        <v>116</v>
      </c>
      <c r="K47">
        <v>1</v>
      </c>
      <c r="L47" t="str">
        <f>HYPERLINK("https://meche.mit.edu/people/faculty/sapsis@mit.edu","https://meche.mit.edu/people/faculty/sapsis@mit.edu")</f>
        <v>https://meche.mit.edu/people/faculty/sapsis@mit.edu</v>
      </c>
    </row>
    <row r="48" spans="1:12" x14ac:dyDescent="0.3">
      <c r="A48">
        <v>256</v>
      </c>
      <c r="B48" t="s">
        <v>643</v>
      </c>
      <c r="C48" t="s">
        <v>618</v>
      </c>
      <c r="D48" t="s">
        <v>14</v>
      </c>
      <c r="E48" t="s">
        <v>398</v>
      </c>
      <c r="F48" t="s">
        <v>114</v>
      </c>
      <c r="G48" t="s">
        <v>115</v>
      </c>
      <c r="H48" t="s">
        <v>58</v>
      </c>
      <c r="I48">
        <v>0</v>
      </c>
      <c r="J48" t="s">
        <v>116</v>
      </c>
      <c r="K48">
        <v>1</v>
      </c>
      <c r="L48" t="str">
        <f>HYPERLINK("https://meche.mit.edu/people/faculty/wvanrees@mit.edu","https://meche.mit.edu/people/faculty/wvanrees@mit.edu")</f>
        <v>https://meche.mit.edu/people/faculty/wvanrees@mit.edu</v>
      </c>
    </row>
    <row r="49" spans="1:12" hidden="1" x14ac:dyDescent="0.3">
      <c r="A49">
        <v>48</v>
      </c>
      <c r="B49" t="s">
        <v>168</v>
      </c>
      <c r="C49" t="s">
        <v>149</v>
      </c>
      <c r="D49" t="s">
        <v>31</v>
      </c>
      <c r="E49" t="s">
        <v>169</v>
      </c>
      <c r="F49" t="s">
        <v>22</v>
      </c>
      <c r="G49" t="s">
        <v>23</v>
      </c>
      <c r="H49" t="s">
        <v>80</v>
      </c>
      <c r="I49">
        <v>49</v>
      </c>
      <c r="J49" t="s">
        <v>19</v>
      </c>
      <c r="K49">
        <v>1</v>
      </c>
      <c r="L49" t="str">
        <f>HYPERLINK("https://www.cms.caltech.edu/people/hou","https://www.cms.caltech.edu/people/hou")</f>
        <v>https://www.cms.caltech.edu/people/hou</v>
      </c>
    </row>
    <row r="50" spans="1:12" x14ac:dyDescent="0.3">
      <c r="A50">
        <v>267</v>
      </c>
      <c r="B50" t="s">
        <v>666</v>
      </c>
      <c r="C50" t="s">
        <v>667</v>
      </c>
      <c r="D50" t="s">
        <v>161</v>
      </c>
      <c r="E50" t="s">
        <v>668</v>
      </c>
      <c r="F50" t="s">
        <v>151</v>
      </c>
      <c r="G50" t="s">
        <v>152</v>
      </c>
      <c r="H50" t="s">
        <v>286</v>
      </c>
      <c r="I50">
        <v>40</v>
      </c>
      <c r="J50" t="s">
        <v>154</v>
      </c>
      <c r="K50">
        <v>1</v>
      </c>
      <c r="L50" t="str">
        <f>HYPERLINK("https://www.mtu.edu/mechanical-aerospace/people/faculty/allen/","https://www.mtu.edu/mechanical-aerospace/people/faculty/allen/")</f>
        <v>https://www.mtu.edu/mechanical-aerospace/people/faculty/allen/</v>
      </c>
    </row>
    <row r="51" spans="1:12" hidden="1" x14ac:dyDescent="0.3">
      <c r="A51">
        <v>50</v>
      </c>
      <c r="B51" t="s">
        <v>173</v>
      </c>
      <c r="C51" t="s">
        <v>149</v>
      </c>
      <c r="D51" t="s">
        <v>31</v>
      </c>
      <c r="E51" t="s">
        <v>174</v>
      </c>
      <c r="F51" t="s">
        <v>16</v>
      </c>
      <c r="G51" t="s">
        <v>17</v>
      </c>
      <c r="H51" t="s">
        <v>140</v>
      </c>
      <c r="I51">
        <v>101</v>
      </c>
      <c r="J51" t="s">
        <v>19</v>
      </c>
      <c r="K51">
        <v>1</v>
      </c>
      <c r="L51" t="str">
        <f>HYPERLINK("https://www.cms.caltech.edu/people/owhadi","https://www.cms.caltech.edu/people/owhadi")</f>
        <v>https://www.cms.caltech.edu/people/owhadi</v>
      </c>
    </row>
    <row r="52" spans="1:12" x14ac:dyDescent="0.3">
      <c r="A52">
        <v>268</v>
      </c>
      <c r="B52" t="s">
        <v>669</v>
      </c>
      <c r="C52" t="s">
        <v>667</v>
      </c>
      <c r="D52" t="s">
        <v>161</v>
      </c>
      <c r="E52" t="s">
        <v>670</v>
      </c>
      <c r="F52" t="s">
        <v>191</v>
      </c>
      <c r="G52" t="s">
        <v>192</v>
      </c>
      <c r="H52" t="s">
        <v>220</v>
      </c>
      <c r="I52">
        <v>19</v>
      </c>
      <c r="J52" t="s">
        <v>154</v>
      </c>
      <c r="K52">
        <v>1</v>
      </c>
      <c r="L52" t="str">
        <f>HYPERLINK("https://www.mtu.edu/mechanical-aerospace/people/faculty/lee/","https://www.mtu.edu/mechanical-aerospace/people/faculty/lee/")</f>
        <v>https://www.mtu.edu/mechanical-aerospace/people/faculty/lee/</v>
      </c>
    </row>
    <row r="53" spans="1:12" x14ac:dyDescent="0.3">
      <c r="A53">
        <v>269</v>
      </c>
      <c r="B53" t="s">
        <v>671</v>
      </c>
      <c r="C53" t="s">
        <v>667</v>
      </c>
      <c r="D53" t="s">
        <v>161</v>
      </c>
      <c r="E53" t="s">
        <v>672</v>
      </c>
      <c r="F53" t="s">
        <v>151</v>
      </c>
      <c r="G53" t="s">
        <v>152</v>
      </c>
      <c r="H53" t="s">
        <v>70</v>
      </c>
      <c r="I53">
        <v>46</v>
      </c>
      <c r="J53" t="s">
        <v>154</v>
      </c>
      <c r="K53">
        <v>1</v>
      </c>
      <c r="L53" t="str">
        <f>HYPERLINK("https://www.mtu.edu/mechanical-aerospace/people/faculty/sharma/","https://www.mtu.edu/mechanical-aerospace/people/faculty/sharma/")</f>
        <v>https://www.mtu.edu/mechanical-aerospace/people/faculty/sharma/</v>
      </c>
    </row>
    <row r="54" spans="1:12" x14ac:dyDescent="0.3">
      <c r="A54">
        <v>270</v>
      </c>
      <c r="B54" t="s">
        <v>673</v>
      </c>
      <c r="C54" t="s">
        <v>667</v>
      </c>
      <c r="D54" t="s">
        <v>161</v>
      </c>
      <c r="E54" t="s">
        <v>674</v>
      </c>
      <c r="F54" t="s">
        <v>151</v>
      </c>
      <c r="G54" t="s">
        <v>152</v>
      </c>
      <c r="H54" t="s">
        <v>508</v>
      </c>
      <c r="I54">
        <v>18</v>
      </c>
      <c r="J54" t="s">
        <v>154</v>
      </c>
      <c r="K54">
        <v>1</v>
      </c>
      <c r="L54" t="str">
        <f>HYPERLINK("https://www.mtu.edu/mechanical-aerospace/people/faculty/ghosh/","https://www.mtu.edu/mechanical-aerospace/people/faculty/ghosh/")</f>
        <v>https://www.mtu.edu/mechanical-aerospace/people/faculty/ghosh/</v>
      </c>
    </row>
    <row r="55" spans="1:12" x14ac:dyDescent="0.3">
      <c r="A55">
        <v>271</v>
      </c>
      <c r="B55" t="s">
        <v>675</v>
      </c>
      <c r="C55" t="s">
        <v>667</v>
      </c>
      <c r="D55" t="s">
        <v>161</v>
      </c>
      <c r="E55" t="s">
        <v>676</v>
      </c>
      <c r="F55" t="s">
        <v>151</v>
      </c>
      <c r="G55" t="s">
        <v>152</v>
      </c>
      <c r="H55" t="s">
        <v>70</v>
      </c>
      <c r="I55">
        <v>11</v>
      </c>
      <c r="J55" t="s">
        <v>154</v>
      </c>
      <c r="K55">
        <v>1</v>
      </c>
      <c r="L55" t="str">
        <f>HYPERLINK("https://www.mtu.edu/mechanical-aerospace/people/faculty/oliva/","https://www.mtu.edu/mechanical-aerospace/people/faculty/oliva/")</f>
        <v>https://www.mtu.edu/mechanical-aerospace/people/faculty/oliva/</v>
      </c>
    </row>
    <row r="56" spans="1:12" x14ac:dyDescent="0.3">
      <c r="A56">
        <v>272</v>
      </c>
      <c r="B56" t="s">
        <v>677</v>
      </c>
      <c r="C56" t="s">
        <v>667</v>
      </c>
      <c r="D56" t="s">
        <v>161</v>
      </c>
      <c r="E56" t="s">
        <v>678</v>
      </c>
      <c r="F56" t="s">
        <v>191</v>
      </c>
      <c r="G56" t="s">
        <v>192</v>
      </c>
      <c r="H56" t="s">
        <v>679</v>
      </c>
      <c r="I56">
        <v>22</v>
      </c>
      <c r="J56" t="s">
        <v>154</v>
      </c>
      <c r="K56">
        <v>1</v>
      </c>
      <c r="L56" t="str">
        <f>HYPERLINK("https://www.mtu.edu/mechanical-aerospace/people/faculty/blough/","https://www.mtu.edu/mechanical-aerospace/people/faculty/blough/")</f>
        <v>https://www.mtu.edu/mechanical-aerospace/people/faculty/blough/</v>
      </c>
    </row>
    <row r="57" spans="1:12" x14ac:dyDescent="0.3">
      <c r="A57">
        <v>273</v>
      </c>
      <c r="B57" t="s">
        <v>680</v>
      </c>
      <c r="C57" t="s">
        <v>667</v>
      </c>
      <c r="D57" t="s">
        <v>161</v>
      </c>
      <c r="E57" t="s">
        <v>681</v>
      </c>
      <c r="F57" t="s">
        <v>114</v>
      </c>
      <c r="G57" t="s">
        <v>115</v>
      </c>
      <c r="H57" t="s">
        <v>29</v>
      </c>
      <c r="I57">
        <v>54</v>
      </c>
      <c r="J57" t="s">
        <v>116</v>
      </c>
      <c r="K57">
        <v>1</v>
      </c>
      <c r="L57" t="str">
        <f>HYPERLINK("https://www.mtu.edu/mechanical-aerospace/people/faculty/","https://www.mtu.edu/mechanical-aerospace/people/faculty/")</f>
        <v>https://www.mtu.edu/mechanical-aerospace/people/faculty/</v>
      </c>
    </row>
    <row r="58" spans="1:12" hidden="1" x14ac:dyDescent="0.3">
      <c r="A58">
        <v>57</v>
      </c>
      <c r="B58" t="s">
        <v>189</v>
      </c>
      <c r="C58" t="s">
        <v>178</v>
      </c>
      <c r="D58" t="s">
        <v>31</v>
      </c>
      <c r="E58" t="s">
        <v>190</v>
      </c>
      <c r="F58" t="s">
        <v>191</v>
      </c>
      <c r="G58" t="s">
        <v>192</v>
      </c>
      <c r="H58" t="s">
        <v>36</v>
      </c>
      <c r="I58">
        <v>21</v>
      </c>
      <c r="J58" t="s">
        <v>154</v>
      </c>
      <c r="K58">
        <v>1</v>
      </c>
      <c r="L58" t="str">
        <f>HYPERLINK("https://www.cmu.edu/math/people/faculty/tice.html","https://www.cmu.edu/math/people/faculty/tice.html")</f>
        <v>https://www.cmu.edu/math/people/faculty/tice.html</v>
      </c>
    </row>
    <row r="59" spans="1:12" hidden="1" x14ac:dyDescent="0.3">
      <c r="A59">
        <v>58</v>
      </c>
      <c r="B59" t="s">
        <v>193</v>
      </c>
      <c r="C59" t="s">
        <v>178</v>
      </c>
      <c r="D59" t="s">
        <v>31</v>
      </c>
      <c r="E59" t="s">
        <v>194</v>
      </c>
      <c r="F59" t="s">
        <v>114</v>
      </c>
      <c r="G59" t="s">
        <v>115</v>
      </c>
      <c r="H59" t="s">
        <v>195</v>
      </c>
      <c r="I59">
        <v>3</v>
      </c>
      <c r="J59" t="s">
        <v>116</v>
      </c>
      <c r="K59">
        <v>3</v>
      </c>
      <c r="L59" t="str">
        <f>HYPERLINK("https://www.cmu.edu/math/people/faculty/kinderlehrer.html","https://www.cmu.edu/math/people/faculty/kinderlehrer.html")</f>
        <v>https://www.cmu.edu/math/people/faculty/kinderlehrer.html</v>
      </c>
    </row>
    <row r="60" spans="1:12" hidden="1" x14ac:dyDescent="0.3">
      <c r="A60">
        <v>59</v>
      </c>
      <c r="B60" t="s">
        <v>196</v>
      </c>
      <c r="C60" t="s">
        <v>178</v>
      </c>
      <c r="D60" t="s">
        <v>31</v>
      </c>
      <c r="E60" t="s">
        <v>197</v>
      </c>
      <c r="F60" t="s">
        <v>114</v>
      </c>
      <c r="G60" t="s">
        <v>115</v>
      </c>
      <c r="H60" t="s">
        <v>167</v>
      </c>
      <c r="I60">
        <v>18</v>
      </c>
      <c r="J60" t="s">
        <v>116</v>
      </c>
      <c r="K60">
        <v>1</v>
      </c>
      <c r="L60" t="str">
        <f>HYPERLINK("https://www.cmu.edu/math/people/faculty/pego.html","https://www.cmu.edu/math/people/faculty/pego.html")</f>
        <v>https://www.cmu.edu/math/people/faculty/pego.html</v>
      </c>
    </row>
    <row r="61" spans="1:12" hidden="1" x14ac:dyDescent="0.3">
      <c r="A61">
        <v>60</v>
      </c>
      <c r="B61" t="s">
        <v>198</v>
      </c>
      <c r="C61" t="s">
        <v>178</v>
      </c>
      <c r="D61" t="s">
        <v>31</v>
      </c>
      <c r="E61" t="s">
        <v>199</v>
      </c>
      <c r="F61" t="s">
        <v>16</v>
      </c>
      <c r="G61" t="s">
        <v>17</v>
      </c>
      <c r="H61" t="s">
        <v>200</v>
      </c>
      <c r="I61">
        <v>15</v>
      </c>
      <c r="J61" t="s">
        <v>19</v>
      </c>
      <c r="K61">
        <v>1</v>
      </c>
      <c r="L61" t="str">
        <f>HYPERLINK("https://www.cmu.edu/math/people/faculty/slepcev.html","https://www.cmu.edu/math/people/faculty/slepcev.html")</f>
        <v>https://www.cmu.edu/math/people/faculty/slepcev.html</v>
      </c>
    </row>
    <row r="62" spans="1:12" hidden="1" x14ac:dyDescent="0.3">
      <c r="A62">
        <v>61</v>
      </c>
      <c r="B62" t="s">
        <v>201</v>
      </c>
      <c r="C62" t="s">
        <v>178</v>
      </c>
      <c r="D62" t="s">
        <v>31</v>
      </c>
      <c r="E62" t="s">
        <v>202</v>
      </c>
      <c r="F62" t="s">
        <v>191</v>
      </c>
      <c r="G62" t="s">
        <v>192</v>
      </c>
      <c r="H62" t="s">
        <v>132</v>
      </c>
      <c r="I62">
        <v>11</v>
      </c>
      <c r="J62" t="s">
        <v>154</v>
      </c>
      <c r="K62">
        <v>1</v>
      </c>
      <c r="L62" t="str">
        <f>HYPERLINK("https://www.cmu.edu/math/people/faculty/leoni.html","https://www.cmu.edu/math/people/faculty/leoni.html")</f>
        <v>https://www.cmu.edu/math/people/faculty/leoni.html</v>
      </c>
    </row>
    <row r="63" spans="1:12" hidden="1" x14ac:dyDescent="0.3">
      <c r="A63">
        <v>62</v>
      </c>
      <c r="B63" t="s">
        <v>203</v>
      </c>
      <c r="C63" t="s">
        <v>178</v>
      </c>
      <c r="D63" t="s">
        <v>31</v>
      </c>
      <c r="E63" t="s">
        <v>204</v>
      </c>
      <c r="F63" t="s">
        <v>62</v>
      </c>
      <c r="G63" t="s">
        <v>63</v>
      </c>
      <c r="H63" t="s">
        <v>64</v>
      </c>
      <c r="I63">
        <v>32</v>
      </c>
      <c r="J63" t="s">
        <v>19</v>
      </c>
      <c r="K63">
        <v>1</v>
      </c>
      <c r="L63" t="str">
        <f>HYPERLINK("https://www.cmu.edu/math/people/faculty/boffi.html","https://www.cmu.edu/math/people/faculty/boffi.html")</f>
        <v>https://www.cmu.edu/math/people/faculty/boffi.html</v>
      </c>
    </row>
    <row r="64" spans="1:12" x14ac:dyDescent="0.3">
      <c r="A64">
        <v>281</v>
      </c>
      <c r="B64" t="s">
        <v>697</v>
      </c>
      <c r="C64" t="s">
        <v>687</v>
      </c>
      <c r="D64" t="s">
        <v>14</v>
      </c>
      <c r="E64" t="s">
        <v>698</v>
      </c>
      <c r="F64" t="s">
        <v>114</v>
      </c>
      <c r="G64" t="s">
        <v>115</v>
      </c>
      <c r="H64" t="s">
        <v>273</v>
      </c>
      <c r="I64">
        <v>33</v>
      </c>
      <c r="J64" t="s">
        <v>116</v>
      </c>
      <c r="K64">
        <v>1</v>
      </c>
      <c r="L64" t="str">
        <f>HYPERLINK("https://www.me.msstate.edu/people/faculty/shanti-bhushan/","https://www.me.msstate.edu/people/faculty/shanti-bhushan/")</f>
        <v>https://www.me.msstate.edu/people/faculty/shanti-bhushan/</v>
      </c>
    </row>
    <row r="65" spans="1:12" x14ac:dyDescent="0.3">
      <c r="A65">
        <v>284</v>
      </c>
      <c r="B65" t="s">
        <v>703</v>
      </c>
      <c r="C65" t="s">
        <v>704</v>
      </c>
      <c r="D65" t="s">
        <v>161</v>
      </c>
      <c r="E65" t="s">
        <v>705</v>
      </c>
      <c r="F65" t="s">
        <v>114</v>
      </c>
      <c r="G65" t="s">
        <v>115</v>
      </c>
      <c r="H65" t="s">
        <v>140</v>
      </c>
      <c r="I65">
        <v>12</v>
      </c>
      <c r="J65" t="s">
        <v>116</v>
      </c>
      <c r="K65">
        <v>1</v>
      </c>
      <c r="L65" t="str">
        <f>HYPERLINK("https://mae.mst.edu/faculty-directory/","https://mae.mst.edu/faculty-directory/")</f>
        <v>https://mae.mst.edu/faculty-directory/</v>
      </c>
    </row>
    <row r="66" spans="1:12" x14ac:dyDescent="0.3">
      <c r="A66">
        <v>285</v>
      </c>
      <c r="B66" t="s">
        <v>706</v>
      </c>
      <c r="C66" t="s">
        <v>704</v>
      </c>
      <c r="D66" t="s">
        <v>161</v>
      </c>
      <c r="E66" t="s">
        <v>707</v>
      </c>
      <c r="F66" t="s">
        <v>114</v>
      </c>
      <c r="G66" t="s">
        <v>115</v>
      </c>
      <c r="H66" t="s">
        <v>172</v>
      </c>
      <c r="I66">
        <v>3</v>
      </c>
      <c r="J66" t="s">
        <v>116</v>
      </c>
      <c r="K66">
        <v>1</v>
      </c>
      <c r="L66" t="str">
        <f>HYPERLINK("https://mae.mst.edu/faculty-directory/","https://mae.mst.edu/faculty-directory/")</f>
        <v>https://mae.mst.edu/faculty-directory/</v>
      </c>
    </row>
    <row r="67" spans="1:12" x14ac:dyDescent="0.3">
      <c r="A67">
        <v>286</v>
      </c>
      <c r="B67" t="s">
        <v>708</v>
      </c>
      <c r="C67" t="s">
        <v>704</v>
      </c>
      <c r="D67" t="s">
        <v>161</v>
      </c>
      <c r="E67" t="s">
        <v>709</v>
      </c>
      <c r="F67" t="s">
        <v>114</v>
      </c>
      <c r="G67" t="s">
        <v>115</v>
      </c>
      <c r="H67" t="s">
        <v>85</v>
      </c>
      <c r="I67">
        <v>36</v>
      </c>
      <c r="J67" t="s">
        <v>116</v>
      </c>
      <c r="K67">
        <v>1</v>
      </c>
      <c r="L67" t="str">
        <f>HYPERLINK("https://mae.mst.edu/faculty-directory/","https://mae.mst.edu/faculty-directory/")</f>
        <v>https://mae.mst.edu/faculty-directory/</v>
      </c>
    </row>
    <row r="68" spans="1:12" x14ac:dyDescent="0.3">
      <c r="A68">
        <v>287</v>
      </c>
      <c r="B68" t="s">
        <v>710</v>
      </c>
      <c r="C68" t="s">
        <v>704</v>
      </c>
      <c r="D68" t="s">
        <v>161</v>
      </c>
      <c r="E68" t="s">
        <v>711</v>
      </c>
      <c r="F68" t="s">
        <v>114</v>
      </c>
      <c r="G68" t="s">
        <v>115</v>
      </c>
      <c r="H68" t="s">
        <v>213</v>
      </c>
      <c r="I68">
        <v>37</v>
      </c>
      <c r="J68" t="s">
        <v>116</v>
      </c>
      <c r="K68">
        <v>1</v>
      </c>
      <c r="L68" t="str">
        <f>HYPERLINK("https://mae.mst.edu/faculty-directory/","https://mae.mst.edu/faculty-directory/")</f>
        <v>https://mae.mst.edu/faculty-directory/</v>
      </c>
    </row>
    <row r="69" spans="1:12" x14ac:dyDescent="0.3">
      <c r="A69">
        <v>288</v>
      </c>
      <c r="B69" t="s">
        <v>712</v>
      </c>
      <c r="C69" t="s">
        <v>704</v>
      </c>
      <c r="D69" t="s">
        <v>161</v>
      </c>
      <c r="E69" t="s">
        <v>713</v>
      </c>
      <c r="F69" t="s">
        <v>114</v>
      </c>
      <c r="G69" t="s">
        <v>115</v>
      </c>
      <c r="H69" t="s">
        <v>714</v>
      </c>
      <c r="I69">
        <v>18</v>
      </c>
      <c r="J69" t="s">
        <v>116</v>
      </c>
      <c r="K69">
        <v>1</v>
      </c>
      <c r="L69" t="str">
        <f>HYPERLINK("https://mae.mst.edu/faculty-directory/","https://mae.mst.edu/faculty-directory/")</f>
        <v>https://mae.mst.edu/faculty-directory/</v>
      </c>
    </row>
    <row r="70" spans="1:12" x14ac:dyDescent="0.3">
      <c r="A70">
        <v>289</v>
      </c>
      <c r="B70" t="s">
        <v>715</v>
      </c>
      <c r="C70" t="s">
        <v>704</v>
      </c>
      <c r="D70" t="s">
        <v>161</v>
      </c>
      <c r="E70" t="s">
        <v>716</v>
      </c>
      <c r="F70" t="s">
        <v>114</v>
      </c>
      <c r="G70" t="s">
        <v>115</v>
      </c>
      <c r="H70" t="s">
        <v>495</v>
      </c>
      <c r="I70">
        <v>8</v>
      </c>
      <c r="J70" t="s">
        <v>116</v>
      </c>
      <c r="K70">
        <v>1</v>
      </c>
      <c r="L70" t="str">
        <f>HYPERLINK("https://mae.mst.edu/faculty-directory/","https://mae.mst.edu/faculty-directory/")</f>
        <v>https://mae.mst.edu/faculty-directory/</v>
      </c>
    </row>
    <row r="71" spans="1:12" x14ac:dyDescent="0.3">
      <c r="A71">
        <v>310</v>
      </c>
      <c r="B71" t="s">
        <v>760</v>
      </c>
      <c r="C71" t="s">
        <v>761</v>
      </c>
      <c r="D71" t="s">
        <v>161</v>
      </c>
      <c r="E71" t="s">
        <v>762</v>
      </c>
      <c r="F71" t="s">
        <v>114</v>
      </c>
      <c r="G71" t="s">
        <v>115</v>
      </c>
      <c r="H71" t="s">
        <v>24</v>
      </c>
      <c r="I71">
        <v>81</v>
      </c>
      <c r="J71" t="s">
        <v>116</v>
      </c>
      <c r="K71">
        <v>1</v>
      </c>
      <c r="L71" t="str">
        <f>HYPERLINK("https://mae.nmsu.edu/people/faculty.html","https://mae.nmsu.edu/people/faculty.html")</f>
        <v>https://mae.nmsu.edu/people/faculty.html</v>
      </c>
    </row>
    <row r="72" spans="1:12" hidden="1" x14ac:dyDescent="0.3">
      <c r="A72">
        <v>71</v>
      </c>
      <c r="B72" t="s">
        <v>223</v>
      </c>
      <c r="C72" t="s">
        <v>206</v>
      </c>
      <c r="D72" t="s">
        <v>31</v>
      </c>
      <c r="E72" t="s">
        <v>224</v>
      </c>
      <c r="F72" t="s">
        <v>16</v>
      </c>
      <c r="G72" t="s">
        <v>17</v>
      </c>
      <c r="H72" t="s">
        <v>225</v>
      </c>
      <c r="I72">
        <v>56</v>
      </c>
      <c r="J72" t="s">
        <v>19</v>
      </c>
      <c r="K72">
        <v>1</v>
      </c>
      <c r="L72" t="str">
        <f>HYPERLINK("https://www.clemson.edu/science/academics/departments/mathstat/about/profiles/rebholz","https://www.clemson.edu/science/academics/departments/mathstat/about/profiles/rebholz")</f>
        <v>https://www.clemson.edu/science/academics/departments/mathstat/about/profiles/rebholz</v>
      </c>
    </row>
    <row r="73" spans="1:12" hidden="1" x14ac:dyDescent="0.3">
      <c r="A73">
        <v>72</v>
      </c>
      <c r="B73" t="s">
        <v>226</v>
      </c>
      <c r="C73" t="s">
        <v>206</v>
      </c>
      <c r="D73" t="s">
        <v>31</v>
      </c>
      <c r="E73" t="s">
        <v>227</v>
      </c>
      <c r="F73" t="s">
        <v>62</v>
      </c>
      <c r="G73" t="s">
        <v>63</v>
      </c>
      <c r="H73" t="s">
        <v>228</v>
      </c>
      <c r="I73">
        <v>35</v>
      </c>
      <c r="J73" t="s">
        <v>19</v>
      </c>
      <c r="K73">
        <v>1</v>
      </c>
      <c r="L73" t="str">
        <f>HYPERLINK("https://www.clemson.edu/science/academics/departments/mathstat/about/profiles/quyuanl","https://www.clemson.edu/science/academics/departments/mathstat/about/profiles/quyuanl")</f>
        <v>https://www.clemson.edu/science/academics/departments/mathstat/about/profiles/quyuanl</v>
      </c>
    </row>
    <row r="74" spans="1:12" hidden="1" x14ac:dyDescent="0.3">
      <c r="A74">
        <v>73</v>
      </c>
      <c r="B74" t="s">
        <v>229</v>
      </c>
      <c r="C74" t="s">
        <v>206</v>
      </c>
      <c r="D74" t="s">
        <v>31</v>
      </c>
      <c r="E74" t="s">
        <v>230</v>
      </c>
      <c r="F74" t="s">
        <v>16</v>
      </c>
      <c r="G74" t="s">
        <v>17</v>
      </c>
      <c r="H74" t="s">
        <v>39</v>
      </c>
      <c r="I74">
        <v>0</v>
      </c>
      <c r="J74" t="s">
        <v>19</v>
      </c>
      <c r="K74">
        <v>1</v>
      </c>
      <c r="L74" t="str">
        <f>HYPERLINK("https://www.clemson.edu/science/academics/departments/mathstat/about/profiles/lea","https://www.clemson.edu/science/academics/departments/mathstat/about/profiles/lea")</f>
        <v>https://www.clemson.edu/science/academics/departments/mathstat/about/profiles/lea</v>
      </c>
    </row>
    <row r="75" spans="1:12" hidden="1" x14ac:dyDescent="0.3">
      <c r="A75">
        <v>74</v>
      </c>
      <c r="B75" t="s">
        <v>231</v>
      </c>
      <c r="C75" t="s">
        <v>206</v>
      </c>
      <c r="D75" t="s">
        <v>31</v>
      </c>
      <c r="E75" t="s">
        <v>232</v>
      </c>
      <c r="F75" t="s">
        <v>22</v>
      </c>
      <c r="G75" t="s">
        <v>23</v>
      </c>
      <c r="H75" t="s">
        <v>85</v>
      </c>
      <c r="I75">
        <v>12</v>
      </c>
      <c r="J75" t="s">
        <v>19</v>
      </c>
      <c r="K75">
        <v>1</v>
      </c>
      <c r="L75" t="str">
        <f>HYPERLINK("https://www.clemson.edu/science/academics/departments/mathstat/about/profiles/pgerede","https://www.clemson.edu/science/academics/departments/mathstat/about/profiles/pgerede")</f>
        <v>https://www.clemson.edu/science/academics/departments/mathstat/about/profiles/pgerede</v>
      </c>
    </row>
    <row r="76" spans="1:12" x14ac:dyDescent="0.3">
      <c r="A76">
        <v>313</v>
      </c>
      <c r="B76" t="s">
        <v>767</v>
      </c>
      <c r="C76" t="s">
        <v>761</v>
      </c>
      <c r="D76" t="s">
        <v>161</v>
      </c>
      <c r="E76" t="s">
        <v>768</v>
      </c>
      <c r="F76" t="s">
        <v>114</v>
      </c>
      <c r="G76" t="s">
        <v>115</v>
      </c>
      <c r="H76" t="s">
        <v>18</v>
      </c>
      <c r="I76">
        <v>6</v>
      </c>
      <c r="J76" t="s">
        <v>116</v>
      </c>
      <c r="K76">
        <v>1</v>
      </c>
      <c r="L76" t="str">
        <f>HYPERLINK("https://mae.nmsu.edu/people/faculty.html","https://mae.nmsu.edu/people/faculty.html")</f>
        <v>https://mae.nmsu.edu/people/faculty.html</v>
      </c>
    </row>
    <row r="77" spans="1:12" x14ac:dyDescent="0.3">
      <c r="A77">
        <v>317</v>
      </c>
      <c r="B77" t="s">
        <v>776</v>
      </c>
      <c r="C77" t="s">
        <v>777</v>
      </c>
      <c r="D77" t="s">
        <v>161</v>
      </c>
      <c r="E77" t="s">
        <v>778</v>
      </c>
      <c r="F77" t="s">
        <v>114</v>
      </c>
      <c r="G77" t="s">
        <v>115</v>
      </c>
      <c r="H77" t="s">
        <v>779</v>
      </c>
      <c r="I77">
        <v>28</v>
      </c>
      <c r="J77" t="s">
        <v>116</v>
      </c>
      <c r="K77">
        <v>1</v>
      </c>
      <c r="L77" t="str">
        <f>HYPERLINK("https://mae.ncsu.edu/people/jredward/","https://mae.ncsu.edu/people/jredward/")</f>
        <v>https://mae.ncsu.edu/people/jredward/</v>
      </c>
    </row>
    <row r="78" spans="1:12" x14ac:dyDescent="0.3">
      <c r="A78">
        <v>318</v>
      </c>
      <c r="B78" t="s">
        <v>780</v>
      </c>
      <c r="C78" t="s">
        <v>777</v>
      </c>
      <c r="D78" t="s">
        <v>161</v>
      </c>
      <c r="E78" t="s">
        <v>781</v>
      </c>
      <c r="F78" t="s">
        <v>114</v>
      </c>
      <c r="G78" t="s">
        <v>115</v>
      </c>
      <c r="H78" t="s">
        <v>39</v>
      </c>
      <c r="I78">
        <v>68</v>
      </c>
      <c r="J78" t="s">
        <v>116</v>
      </c>
      <c r="K78">
        <v>1</v>
      </c>
      <c r="L78" t="str">
        <f>HYPERLINK("https://mae.ncsu.edu/people/vnaraya3/","https://mae.ncsu.edu/people/vnaraya3/")</f>
        <v>https://mae.ncsu.edu/people/vnaraya3/</v>
      </c>
    </row>
    <row r="79" spans="1:12" x14ac:dyDescent="0.3">
      <c r="A79">
        <v>319</v>
      </c>
      <c r="B79" t="s">
        <v>782</v>
      </c>
      <c r="C79" t="s">
        <v>777</v>
      </c>
      <c r="D79" t="s">
        <v>161</v>
      </c>
      <c r="E79" t="s">
        <v>783</v>
      </c>
      <c r="F79" t="s">
        <v>114</v>
      </c>
      <c r="G79" t="s">
        <v>115</v>
      </c>
      <c r="H79" t="s">
        <v>495</v>
      </c>
      <c r="I79">
        <v>86</v>
      </c>
      <c r="J79" t="s">
        <v>116</v>
      </c>
      <c r="K79">
        <v>1</v>
      </c>
      <c r="L79" t="str">
        <f>HYPERLINK("https://mae.ncsu.edu/people/jbraun2/","https://mae.ncsu.edu/people/jbraun2/")</f>
        <v>https://mae.ncsu.edu/people/jbraun2/</v>
      </c>
    </row>
    <row r="80" spans="1:12" x14ac:dyDescent="0.3">
      <c r="A80">
        <v>321</v>
      </c>
      <c r="B80" t="s">
        <v>786</v>
      </c>
      <c r="C80" t="s">
        <v>777</v>
      </c>
      <c r="D80" t="s">
        <v>161</v>
      </c>
      <c r="E80" t="s">
        <v>787</v>
      </c>
      <c r="F80" t="s">
        <v>114</v>
      </c>
      <c r="G80" t="s">
        <v>115</v>
      </c>
      <c r="H80" t="s">
        <v>18</v>
      </c>
      <c r="I80">
        <v>32</v>
      </c>
      <c r="J80" t="s">
        <v>116</v>
      </c>
      <c r="K80">
        <v>1</v>
      </c>
      <c r="L80" t="str">
        <f>HYPERLINK("https://mae.ncsu.edu/people/agopalar/","https://mae.ncsu.edu/people/agopalar/")</f>
        <v>https://mae.ncsu.edu/people/agopalar/</v>
      </c>
    </row>
    <row r="81" spans="1:12" hidden="1" x14ac:dyDescent="0.3">
      <c r="A81">
        <v>80</v>
      </c>
      <c r="B81" t="s">
        <v>245</v>
      </c>
      <c r="C81" t="s">
        <v>234</v>
      </c>
      <c r="D81" t="s">
        <v>31</v>
      </c>
      <c r="E81" t="s">
        <v>246</v>
      </c>
      <c r="F81" t="s">
        <v>83</v>
      </c>
      <c r="G81" t="s">
        <v>84</v>
      </c>
      <c r="H81" t="s">
        <v>36</v>
      </c>
      <c r="I81">
        <v>25</v>
      </c>
      <c r="J81" t="s">
        <v>19</v>
      </c>
      <c r="K81">
        <v>1</v>
      </c>
      <c r="L81" t="str">
        <f>HYPERLINK("https://ams.mines.edu/research/applied-mathematics-and-wave-phenomena/","https://ams.mines.edu/research/applied-mathematics-and-wave-phenomena/")</f>
        <v>https://ams.mines.edu/research/applied-mathematics-and-wave-phenomena/</v>
      </c>
    </row>
    <row r="82" spans="1:12" hidden="1" x14ac:dyDescent="0.3">
      <c r="A82">
        <v>81</v>
      </c>
      <c r="B82" t="s">
        <v>247</v>
      </c>
      <c r="C82" t="s">
        <v>234</v>
      </c>
      <c r="D82" t="s">
        <v>31</v>
      </c>
      <c r="E82" t="s">
        <v>248</v>
      </c>
      <c r="F82" t="s">
        <v>83</v>
      </c>
      <c r="G82" t="s">
        <v>84</v>
      </c>
      <c r="H82" t="s">
        <v>45</v>
      </c>
      <c r="I82">
        <v>22</v>
      </c>
      <c r="J82" t="s">
        <v>19</v>
      </c>
      <c r="K82">
        <v>1</v>
      </c>
      <c r="L82" t="str">
        <f>HYPERLINK("https://ams.mines.edu/research/applied-mathematics-and-wave-phenomena/","https://ams.mines.edu/research/applied-mathematics-and-wave-phenomena/")</f>
        <v>https://ams.mines.edu/research/applied-mathematics-and-wave-phenomena/</v>
      </c>
    </row>
    <row r="83" spans="1:12" hidden="1" x14ac:dyDescent="0.3">
      <c r="A83">
        <v>82</v>
      </c>
      <c r="B83" t="s">
        <v>249</v>
      </c>
      <c r="C83" t="s">
        <v>234</v>
      </c>
      <c r="D83" t="s">
        <v>31</v>
      </c>
      <c r="E83" t="s">
        <v>250</v>
      </c>
      <c r="F83" t="s">
        <v>83</v>
      </c>
      <c r="G83" t="s">
        <v>84</v>
      </c>
      <c r="H83" t="s">
        <v>225</v>
      </c>
      <c r="I83">
        <v>30</v>
      </c>
      <c r="J83" t="s">
        <v>19</v>
      </c>
      <c r="K83">
        <v>1</v>
      </c>
      <c r="L83" t="str">
        <f>HYPERLINK("https://ams.mines.edu/research/applied-mathematics-and-wave-phenomena/","https://ams.mines.edu/research/applied-mathematics-and-wave-phenomena/")</f>
        <v>https://ams.mines.edu/research/applied-mathematics-and-wave-phenomena/</v>
      </c>
    </row>
    <row r="84" spans="1:12" x14ac:dyDescent="0.3">
      <c r="A84">
        <v>322</v>
      </c>
      <c r="B84" t="s">
        <v>788</v>
      </c>
      <c r="C84" t="s">
        <v>777</v>
      </c>
      <c r="D84" t="s">
        <v>161</v>
      </c>
      <c r="E84" t="s">
        <v>789</v>
      </c>
      <c r="F84" t="s">
        <v>114</v>
      </c>
      <c r="G84" t="s">
        <v>115</v>
      </c>
      <c r="H84" t="s">
        <v>775</v>
      </c>
      <c r="I84">
        <v>11</v>
      </c>
      <c r="J84" t="s">
        <v>116</v>
      </c>
      <c r="K84">
        <v>1</v>
      </c>
      <c r="L84" t="str">
        <f>HYPERLINK("https://mae.ncsu.edu/people/dcarte22/","https://mae.ncsu.edu/people/dcarte22/")</f>
        <v>https://mae.ncsu.edu/people/dcarte22/</v>
      </c>
    </row>
    <row r="85" spans="1:12" x14ac:dyDescent="0.3">
      <c r="A85">
        <v>340</v>
      </c>
      <c r="B85" t="s">
        <v>824</v>
      </c>
      <c r="C85" t="s">
        <v>820</v>
      </c>
      <c r="D85" t="s">
        <v>161</v>
      </c>
      <c r="E85" t="s">
        <v>825</v>
      </c>
      <c r="F85" t="s">
        <v>114</v>
      </c>
      <c r="G85" t="s">
        <v>115</v>
      </c>
      <c r="H85" t="s">
        <v>42</v>
      </c>
      <c r="I85">
        <v>15</v>
      </c>
      <c r="J85" t="s">
        <v>116</v>
      </c>
      <c r="K85">
        <v>3</v>
      </c>
      <c r="L85" t="str">
        <f>HYPERLINK("https://mae.osu.edu/people/samimy.1","https://mae.osu.edu/people/samimy.1")</f>
        <v>https://mae.osu.edu/people/samimy.1</v>
      </c>
    </row>
    <row r="86" spans="1:12" x14ac:dyDescent="0.3">
      <c r="A86">
        <v>365</v>
      </c>
      <c r="B86" t="s">
        <v>878</v>
      </c>
      <c r="C86" t="s">
        <v>879</v>
      </c>
      <c r="D86" t="s">
        <v>48</v>
      </c>
      <c r="E86" t="s">
        <v>880</v>
      </c>
      <c r="F86" t="s">
        <v>114</v>
      </c>
      <c r="G86" t="s">
        <v>115</v>
      </c>
      <c r="H86" t="s">
        <v>301</v>
      </c>
      <c r="I86">
        <v>23</v>
      </c>
      <c r="J86" t="s">
        <v>116</v>
      </c>
      <c r="K86">
        <v>1</v>
      </c>
      <c r="L86" t="str">
        <f>HYPERLINK("https://www.aero.psu.edu/department/directory-detail-g.aspx?q=KSB16","https://www.aero.psu.edu/department/directory-detail-g.aspx?q=KSB16")</f>
        <v>https://www.aero.psu.edu/department/directory-detail-g.aspx?q=KSB16</v>
      </c>
    </row>
    <row r="87" spans="1:12" x14ac:dyDescent="0.3">
      <c r="A87">
        <v>366</v>
      </c>
      <c r="B87" t="s">
        <v>881</v>
      </c>
      <c r="C87" t="s">
        <v>879</v>
      </c>
      <c r="D87" t="s">
        <v>48</v>
      </c>
      <c r="E87" t="s">
        <v>882</v>
      </c>
      <c r="F87" t="s">
        <v>114</v>
      </c>
      <c r="G87" t="s">
        <v>115</v>
      </c>
      <c r="H87" t="s">
        <v>85</v>
      </c>
      <c r="I87">
        <v>51</v>
      </c>
      <c r="J87" t="s">
        <v>116</v>
      </c>
      <c r="K87">
        <v>1</v>
      </c>
      <c r="L87" t="str">
        <f>HYPERLINK("https://www.aero.psu.edu/department/directory-detail-g.aspx?q=jgc5005","https://www.aero.psu.edu/department/directory-detail-g.aspx?q=jgc5005")</f>
        <v>https://www.aero.psu.edu/department/directory-detail-g.aspx?q=jgc5005</v>
      </c>
    </row>
    <row r="88" spans="1:12" hidden="1" x14ac:dyDescent="0.3">
      <c r="A88">
        <v>87</v>
      </c>
      <c r="B88" t="s">
        <v>261</v>
      </c>
      <c r="C88" t="s">
        <v>252</v>
      </c>
      <c r="D88" t="s">
        <v>31</v>
      </c>
      <c r="E88" t="s">
        <v>262</v>
      </c>
      <c r="F88" t="s">
        <v>114</v>
      </c>
      <c r="G88" t="s">
        <v>115</v>
      </c>
      <c r="H88" t="s">
        <v>263</v>
      </c>
      <c r="I88">
        <v>17</v>
      </c>
      <c r="J88" t="s">
        <v>116</v>
      </c>
      <c r="K88">
        <v>3</v>
      </c>
      <c r="L88" t="str">
        <f>HYPERLINK("https://www.atmos.colostate.edu/people/faculty/","https://www.atmos.colostate.edu/people/faculty/")</f>
        <v>https://www.atmos.colostate.edu/people/faculty/</v>
      </c>
    </row>
    <row r="89" spans="1:12" hidden="1" x14ac:dyDescent="0.3">
      <c r="A89">
        <v>88</v>
      </c>
      <c r="B89" t="s">
        <v>264</v>
      </c>
      <c r="C89" t="s">
        <v>252</v>
      </c>
      <c r="D89" t="s">
        <v>31</v>
      </c>
      <c r="E89" t="s">
        <v>265</v>
      </c>
      <c r="F89" t="s">
        <v>62</v>
      </c>
      <c r="G89" t="s">
        <v>63</v>
      </c>
      <c r="H89" t="s">
        <v>92</v>
      </c>
      <c r="I89">
        <v>87</v>
      </c>
      <c r="J89" t="s">
        <v>19</v>
      </c>
      <c r="K89">
        <v>1</v>
      </c>
      <c r="L89" t="str">
        <f>HYPERLINK("https://www.atmos.colostate.edu/people/faculty/van-den-heever/","https://www.atmos.colostate.edu/people/faculty/van-den-heever/")</f>
        <v>https://www.atmos.colostate.edu/people/faculty/van-den-heever/</v>
      </c>
    </row>
    <row r="90" spans="1:12" hidden="1" x14ac:dyDescent="0.3">
      <c r="A90">
        <v>89</v>
      </c>
      <c r="B90" t="s">
        <v>266</v>
      </c>
      <c r="C90" t="s">
        <v>252</v>
      </c>
      <c r="D90" t="s">
        <v>31</v>
      </c>
      <c r="E90" t="s">
        <v>267</v>
      </c>
      <c r="F90" t="s">
        <v>114</v>
      </c>
      <c r="G90" t="s">
        <v>115</v>
      </c>
      <c r="H90" t="s">
        <v>268</v>
      </c>
      <c r="I90">
        <v>99</v>
      </c>
      <c r="J90" t="s">
        <v>116</v>
      </c>
      <c r="K90">
        <v>3</v>
      </c>
      <c r="L90" t="str">
        <f>HYPERLINK("https://www.atmos.colostate.edu/people/faculty/","https://www.atmos.colostate.edu/people/faculty/")</f>
        <v>https://www.atmos.colostate.edu/people/faculty/</v>
      </c>
    </row>
    <row r="91" spans="1:12" x14ac:dyDescent="0.3">
      <c r="A91">
        <v>367</v>
      </c>
      <c r="B91" t="s">
        <v>883</v>
      </c>
      <c r="C91" t="s">
        <v>879</v>
      </c>
      <c r="D91" t="s">
        <v>48</v>
      </c>
      <c r="E91" t="s">
        <v>884</v>
      </c>
      <c r="F91" t="s">
        <v>114</v>
      </c>
      <c r="G91" t="s">
        <v>115</v>
      </c>
      <c r="H91" t="s">
        <v>495</v>
      </c>
      <c r="I91">
        <v>71</v>
      </c>
      <c r="J91" t="s">
        <v>116</v>
      </c>
      <c r="K91">
        <v>1</v>
      </c>
      <c r="L91" t="str">
        <f>HYPERLINK("https://www.aero.psu.edu/department/directory-detail-g.aspx?q=dfh5340","https://www.aero.psu.edu/department/directory-detail-g.aspx?q=dfh5340")</f>
        <v>https://www.aero.psu.edu/department/directory-detail-g.aspx?q=dfh5340</v>
      </c>
    </row>
    <row r="92" spans="1:12" x14ac:dyDescent="0.3">
      <c r="A92">
        <v>368</v>
      </c>
      <c r="B92" t="s">
        <v>885</v>
      </c>
      <c r="C92" t="s">
        <v>879</v>
      </c>
      <c r="D92" t="s">
        <v>48</v>
      </c>
      <c r="E92" t="s">
        <v>886</v>
      </c>
      <c r="F92" t="s">
        <v>114</v>
      </c>
      <c r="G92" t="s">
        <v>115</v>
      </c>
      <c r="H92" t="s">
        <v>92</v>
      </c>
      <c r="I92">
        <v>41</v>
      </c>
      <c r="J92" t="s">
        <v>116</v>
      </c>
      <c r="K92">
        <v>1</v>
      </c>
      <c r="L92" t="str">
        <f>HYPERLINK("https://www.aero.psu.edu/department/directory-detail-g.aspx?q=SUS52","https://www.aero.psu.edu/department/directory-detail-g.aspx?q=SUS52")</f>
        <v>https://www.aero.psu.edu/department/directory-detail-g.aspx?q=SUS52</v>
      </c>
    </row>
    <row r="93" spans="1:12" x14ac:dyDescent="0.3">
      <c r="A93">
        <v>369</v>
      </c>
      <c r="B93" t="s">
        <v>887</v>
      </c>
      <c r="C93" t="s">
        <v>879</v>
      </c>
      <c r="D93" t="s">
        <v>48</v>
      </c>
      <c r="E93" t="s">
        <v>888</v>
      </c>
      <c r="F93" t="s">
        <v>114</v>
      </c>
      <c r="G93" t="s">
        <v>115</v>
      </c>
      <c r="H93" t="s">
        <v>225</v>
      </c>
      <c r="I93">
        <v>37</v>
      </c>
      <c r="J93" t="s">
        <v>116</v>
      </c>
      <c r="K93">
        <v>1</v>
      </c>
      <c r="L93" t="str">
        <f>HYPERLINK("https://www.aero.psu.edu/department/directory-detail-g.aspx?q=erg5235","https://www.aero.psu.edu/department/directory-detail-g.aspx?q=erg5235")</f>
        <v>https://www.aero.psu.edu/department/directory-detail-g.aspx?q=erg5235</v>
      </c>
    </row>
    <row r="94" spans="1:12" x14ac:dyDescent="0.3">
      <c r="A94">
        <v>370</v>
      </c>
      <c r="B94" t="s">
        <v>889</v>
      </c>
      <c r="C94" t="s">
        <v>879</v>
      </c>
      <c r="D94" t="s">
        <v>14</v>
      </c>
      <c r="E94" t="s">
        <v>890</v>
      </c>
      <c r="F94" t="s">
        <v>114</v>
      </c>
      <c r="G94" t="s">
        <v>115</v>
      </c>
      <c r="H94" t="s">
        <v>135</v>
      </c>
      <c r="I94">
        <v>43</v>
      </c>
      <c r="J94" t="s">
        <v>116</v>
      </c>
      <c r="K94">
        <v>1</v>
      </c>
      <c r="L94" t="str">
        <f>HYPERLINK("https://www.me.psu.edu/department/directory-detail-g.aspx?q=RFK102","https://www.me.psu.edu/department/directory-detail-g.aspx?q=RFK102")</f>
        <v>https://www.me.psu.edu/department/directory-detail-g.aspx?q=RFK102</v>
      </c>
    </row>
    <row r="95" spans="1:12" x14ac:dyDescent="0.3">
      <c r="A95">
        <v>371</v>
      </c>
      <c r="B95" t="s">
        <v>891</v>
      </c>
      <c r="C95" t="s">
        <v>879</v>
      </c>
      <c r="D95" t="s">
        <v>14</v>
      </c>
      <c r="E95" t="s">
        <v>57</v>
      </c>
      <c r="F95" t="s">
        <v>114</v>
      </c>
      <c r="G95" t="s">
        <v>115</v>
      </c>
      <c r="H95" t="s">
        <v>58</v>
      </c>
      <c r="I95">
        <v>0</v>
      </c>
      <c r="J95" t="s">
        <v>116</v>
      </c>
      <c r="K95">
        <v>1</v>
      </c>
      <c r="L95" t="str">
        <f>HYPERLINK("https://www.me.psu.edu/department/directory-detail-g.aspx?q=xzy48","https://www.me.psu.edu/department/directory-detail-g.aspx?q=xzy48")</f>
        <v>https://www.me.psu.edu/department/directory-detail-g.aspx?q=xzy48</v>
      </c>
    </row>
    <row r="96" spans="1:12" x14ac:dyDescent="0.3">
      <c r="A96">
        <v>372</v>
      </c>
      <c r="B96" t="s">
        <v>892</v>
      </c>
      <c r="C96" t="s">
        <v>879</v>
      </c>
      <c r="D96" t="s">
        <v>14</v>
      </c>
      <c r="E96" t="s">
        <v>893</v>
      </c>
      <c r="F96" t="s">
        <v>114</v>
      </c>
      <c r="G96" t="s">
        <v>115</v>
      </c>
      <c r="H96" t="s">
        <v>894</v>
      </c>
      <c r="I96">
        <v>43</v>
      </c>
      <c r="J96" t="s">
        <v>116</v>
      </c>
      <c r="K96">
        <v>1</v>
      </c>
      <c r="L96" t="str">
        <f>HYPERLINK("https://www.me.psu.edu/department/directory-detail-g.aspx?q=JXO22","https://www.me.psu.edu/department/directory-detail-g.aspx?q=JXO22")</f>
        <v>https://www.me.psu.edu/department/directory-detail-g.aspx?q=JXO22</v>
      </c>
    </row>
    <row r="97" spans="1:12" hidden="1" x14ac:dyDescent="0.3">
      <c r="A97">
        <v>96</v>
      </c>
      <c r="B97" t="s">
        <v>284</v>
      </c>
      <c r="C97" t="s">
        <v>270</v>
      </c>
      <c r="D97" t="s">
        <v>31</v>
      </c>
      <c r="E97" t="s">
        <v>285</v>
      </c>
      <c r="F97" t="s">
        <v>151</v>
      </c>
      <c r="G97" t="s">
        <v>152</v>
      </c>
      <c r="H97" t="s">
        <v>286</v>
      </c>
      <c r="I97">
        <v>36</v>
      </c>
      <c r="J97" t="s">
        <v>154</v>
      </c>
      <c r="K97">
        <v>3</v>
      </c>
      <c r="L97" t="str">
        <f>HYPERLINK("https://www.duffield.cornell.edu/people/donald-l-koch/","https://www.duffield.cornell.edu/people/donald-l-koch/")</f>
        <v>https://www.duffield.cornell.edu/people/donald-l-koch/</v>
      </c>
    </row>
    <row r="98" spans="1:12" hidden="1" x14ac:dyDescent="0.3">
      <c r="A98">
        <v>97</v>
      </c>
      <c r="B98" t="s">
        <v>287</v>
      </c>
      <c r="C98" t="s">
        <v>270</v>
      </c>
      <c r="D98" t="s">
        <v>31</v>
      </c>
      <c r="E98" t="s">
        <v>288</v>
      </c>
      <c r="F98" t="s">
        <v>16</v>
      </c>
      <c r="G98" t="s">
        <v>17</v>
      </c>
      <c r="H98" t="s">
        <v>50</v>
      </c>
      <c r="I98">
        <v>27</v>
      </c>
      <c r="J98" t="s">
        <v>19</v>
      </c>
      <c r="K98">
        <v>1</v>
      </c>
      <c r="L98" t="str">
        <f>HYPERLINK("https://cam.cornell.edu/people/david-bindel/","https://cam.cornell.edu/people/david-bindel/")</f>
        <v>https://cam.cornell.edu/people/david-bindel/</v>
      </c>
    </row>
    <row r="99" spans="1:12" hidden="1" x14ac:dyDescent="0.3">
      <c r="A99">
        <v>98</v>
      </c>
      <c r="B99" t="s">
        <v>289</v>
      </c>
      <c r="C99" t="s">
        <v>270</v>
      </c>
      <c r="D99" t="s">
        <v>31</v>
      </c>
      <c r="E99" t="s">
        <v>290</v>
      </c>
      <c r="F99" t="s">
        <v>16</v>
      </c>
      <c r="G99" t="s">
        <v>17</v>
      </c>
      <c r="H99" t="s">
        <v>50</v>
      </c>
      <c r="I99">
        <v>21</v>
      </c>
      <c r="J99" t="s">
        <v>19</v>
      </c>
      <c r="K99">
        <v>1</v>
      </c>
      <c r="L99" t="str">
        <f>HYPERLINK("https://cam.cornell.edu/people/alexander-vladimirsky/","https://cam.cornell.edu/people/alexander-vladimirsky/")</f>
        <v>https://cam.cornell.edu/people/alexander-vladimirsky/</v>
      </c>
    </row>
    <row r="100" spans="1:12" hidden="1" x14ac:dyDescent="0.3">
      <c r="A100">
        <v>99</v>
      </c>
      <c r="B100" t="s">
        <v>291</v>
      </c>
      <c r="C100" t="s">
        <v>270</v>
      </c>
      <c r="D100" t="s">
        <v>31</v>
      </c>
      <c r="E100" t="s">
        <v>292</v>
      </c>
      <c r="F100" t="s">
        <v>22</v>
      </c>
      <c r="G100" t="s">
        <v>23</v>
      </c>
      <c r="H100" t="s">
        <v>273</v>
      </c>
      <c r="I100">
        <v>68</v>
      </c>
      <c r="J100" t="s">
        <v>19</v>
      </c>
      <c r="K100">
        <v>1</v>
      </c>
      <c r="L100" t="str">
        <f>HYPERLINK("https://cam.cornell.edu/people/alex-townsend/","https://cam.cornell.edu/people/alex-townsend/")</f>
        <v>https://cam.cornell.edu/people/alex-townsend/</v>
      </c>
    </row>
    <row r="101" spans="1:12" hidden="1" x14ac:dyDescent="0.3">
      <c r="A101">
        <v>100</v>
      </c>
      <c r="B101" t="s">
        <v>293</v>
      </c>
      <c r="C101" t="s">
        <v>270</v>
      </c>
      <c r="D101" t="s">
        <v>31</v>
      </c>
      <c r="E101" t="s">
        <v>294</v>
      </c>
      <c r="F101" t="s">
        <v>62</v>
      </c>
      <c r="G101" t="s">
        <v>63</v>
      </c>
      <c r="H101" t="s">
        <v>159</v>
      </c>
      <c r="I101">
        <v>25</v>
      </c>
      <c r="J101" t="s">
        <v>19</v>
      </c>
      <c r="K101">
        <v>1</v>
      </c>
      <c r="L101" t="str">
        <f>HYPERLINK("https://cam.cornell.edu/people/anil-damle/","https://cam.cornell.edu/people/anil-damle/")</f>
        <v>https://cam.cornell.edu/people/anil-damle/</v>
      </c>
    </row>
    <row r="102" spans="1:12" hidden="1" x14ac:dyDescent="0.3">
      <c r="A102">
        <v>101</v>
      </c>
      <c r="B102" t="s">
        <v>295</v>
      </c>
      <c r="C102" t="s">
        <v>270</v>
      </c>
      <c r="D102" t="s">
        <v>31</v>
      </c>
      <c r="E102" t="s">
        <v>296</v>
      </c>
      <c r="F102" t="s">
        <v>16</v>
      </c>
      <c r="G102" t="s">
        <v>17</v>
      </c>
      <c r="H102" t="s">
        <v>109</v>
      </c>
      <c r="I102">
        <v>28</v>
      </c>
      <c r="J102" t="s">
        <v>19</v>
      </c>
      <c r="K102">
        <v>1</v>
      </c>
      <c r="L102" t="str">
        <f>HYPERLINK("https://cam.cornell.edu/people/steven-strogatz/","https://cam.cornell.edu/people/steven-strogatz/")</f>
        <v>https://cam.cornell.edu/people/steven-strogatz/</v>
      </c>
    </row>
    <row r="103" spans="1:12" x14ac:dyDescent="0.3">
      <c r="A103">
        <v>373</v>
      </c>
      <c r="B103" t="s">
        <v>895</v>
      </c>
      <c r="C103" t="s">
        <v>879</v>
      </c>
      <c r="D103" t="s">
        <v>14</v>
      </c>
      <c r="E103" t="s">
        <v>896</v>
      </c>
      <c r="F103" t="s">
        <v>114</v>
      </c>
      <c r="G103" t="s">
        <v>115</v>
      </c>
      <c r="H103" t="s">
        <v>159</v>
      </c>
      <c r="I103">
        <v>12</v>
      </c>
      <c r="J103" t="s">
        <v>116</v>
      </c>
      <c r="K103">
        <v>1</v>
      </c>
      <c r="L103" t="str">
        <f>HYPERLINK("https://www.me.psu.edu/department/directory-detail-g.aspx?q=yxx139","https://www.me.psu.edu/department/directory-detail-g.aspx?q=yxx139")</f>
        <v>https://www.me.psu.edu/department/directory-detail-g.aspx?q=yxx139</v>
      </c>
    </row>
    <row r="104" spans="1:12" x14ac:dyDescent="0.3">
      <c r="A104">
        <v>403</v>
      </c>
      <c r="B104" t="s">
        <v>956</v>
      </c>
      <c r="C104" t="s">
        <v>931</v>
      </c>
      <c r="D104" t="s">
        <v>14</v>
      </c>
      <c r="E104" t="s">
        <v>957</v>
      </c>
      <c r="F104" t="s">
        <v>114</v>
      </c>
      <c r="G104" t="s">
        <v>115</v>
      </c>
      <c r="H104" t="s">
        <v>167</v>
      </c>
      <c r="I104">
        <v>42</v>
      </c>
      <c r="J104" t="s">
        <v>116</v>
      </c>
      <c r="K104">
        <v>1</v>
      </c>
      <c r="L104" t="str">
        <f>HYPERLINK("https://engineering.purdue.edu/ME/People/ptProfile?id=28413","https://engineering.purdue.edu/ME/People/ptProfile?id=28413")</f>
        <v>https://engineering.purdue.edu/ME/People/ptProfile?id=28413</v>
      </c>
    </row>
    <row r="105" spans="1:12" x14ac:dyDescent="0.3">
      <c r="A105">
        <v>440</v>
      </c>
      <c r="B105" t="s">
        <v>1033</v>
      </c>
      <c r="C105" t="s">
        <v>1017</v>
      </c>
      <c r="D105" t="s">
        <v>271</v>
      </c>
      <c r="E105" t="s">
        <v>1034</v>
      </c>
      <c r="F105" t="s">
        <v>114</v>
      </c>
      <c r="G105" t="s">
        <v>115</v>
      </c>
      <c r="H105" t="s">
        <v>18</v>
      </c>
      <c r="I105">
        <v>328</v>
      </c>
      <c r="J105" t="s">
        <v>116</v>
      </c>
      <c r="K105">
        <v>1</v>
      </c>
      <c r="L105" t="str">
        <f>HYPERLINK("https://math.rutgers.edu/people/department-directory/detail/344-department-directory/1778-liu-liping","https://math.rutgers.edu/people/department-directory/detail/344-department-directory/1778-liu-liping")</f>
        <v>https://math.rutgers.edu/people/department-directory/detail/344-department-directory/1778-liu-liping</v>
      </c>
    </row>
    <row r="106" spans="1:12" x14ac:dyDescent="0.3">
      <c r="A106">
        <v>452</v>
      </c>
      <c r="B106" t="s">
        <v>1059</v>
      </c>
      <c r="C106" t="s">
        <v>1060</v>
      </c>
      <c r="D106" t="s">
        <v>14</v>
      </c>
      <c r="E106" t="s">
        <v>1061</v>
      </c>
      <c r="F106" t="s">
        <v>114</v>
      </c>
      <c r="G106" t="s">
        <v>115</v>
      </c>
      <c r="H106" t="s">
        <v>50</v>
      </c>
      <c r="I106">
        <v>7</v>
      </c>
      <c r="J106" t="s">
        <v>116</v>
      </c>
      <c r="K106">
        <v>1</v>
      </c>
      <c r="L106" t="str">
        <f>HYPERLINK("https://www.stonybrook.edu/mechanical-engineering/people/faculty.html","https://www.stonybrook.edu/mechanical-engineering/people/faculty.html")</f>
        <v>https://www.stonybrook.edu/mechanical-engineering/people/faculty.html</v>
      </c>
    </row>
    <row r="107" spans="1:12" x14ac:dyDescent="0.3">
      <c r="A107">
        <v>453</v>
      </c>
      <c r="B107" t="s">
        <v>1062</v>
      </c>
      <c r="C107" t="s">
        <v>1060</v>
      </c>
      <c r="D107" t="s">
        <v>14</v>
      </c>
      <c r="E107" t="s">
        <v>1063</v>
      </c>
      <c r="F107" t="s">
        <v>114</v>
      </c>
      <c r="G107" t="s">
        <v>115</v>
      </c>
      <c r="H107" t="s">
        <v>88</v>
      </c>
      <c r="I107">
        <v>4</v>
      </c>
      <c r="J107" t="s">
        <v>116</v>
      </c>
      <c r="K107">
        <v>1</v>
      </c>
      <c r="L107" t="str">
        <f>HYPERLINK("https://www.stonybrook.edu/mechanical-engineering/people/faculty.html","https://www.stonybrook.edu/mechanical-engineering/people/faculty.html")</f>
        <v>https://www.stonybrook.edu/mechanical-engineering/people/faculty.html</v>
      </c>
    </row>
    <row r="108" spans="1:12" hidden="1" x14ac:dyDescent="0.3">
      <c r="A108">
        <v>107</v>
      </c>
      <c r="B108" t="s">
        <v>310</v>
      </c>
      <c r="C108" t="s">
        <v>303</v>
      </c>
      <c r="D108" t="s">
        <v>31</v>
      </c>
      <c r="E108" t="s">
        <v>311</v>
      </c>
      <c r="F108" t="s">
        <v>151</v>
      </c>
      <c r="G108" t="s">
        <v>152</v>
      </c>
      <c r="H108" t="s">
        <v>53</v>
      </c>
      <c r="I108">
        <v>96</v>
      </c>
      <c r="J108" t="s">
        <v>154</v>
      </c>
      <c r="K108">
        <v>3</v>
      </c>
      <c r="L108" t="str">
        <f>HYPERLINK("https://engineering.dartmouth.edu/community/faculty/helene-seroussi","https://engineering.dartmouth.edu/community/faculty/helene-seroussi")</f>
        <v>https://engineering.dartmouth.edu/community/faculty/helene-seroussi</v>
      </c>
    </row>
    <row r="109" spans="1:12" x14ac:dyDescent="0.3">
      <c r="A109">
        <v>454</v>
      </c>
      <c r="B109" t="s">
        <v>1064</v>
      </c>
      <c r="C109" t="s">
        <v>1060</v>
      </c>
      <c r="D109" t="s">
        <v>14</v>
      </c>
      <c r="E109" t="s">
        <v>1065</v>
      </c>
      <c r="F109" t="s">
        <v>114</v>
      </c>
      <c r="G109" t="s">
        <v>115</v>
      </c>
      <c r="H109" t="s">
        <v>24</v>
      </c>
      <c r="I109">
        <v>34</v>
      </c>
      <c r="J109" t="s">
        <v>116</v>
      </c>
      <c r="K109">
        <v>1</v>
      </c>
      <c r="L109" t="str">
        <f>HYPERLINK("https://www.stonybrook.edu/mechanical-engineering/people/faculty.html","https://www.stonybrook.edu/mechanical-engineering/people/faculty.html")</f>
        <v>https://www.stonybrook.edu/mechanical-engineering/people/faculty.html</v>
      </c>
    </row>
    <row r="110" spans="1:12" x14ac:dyDescent="0.3">
      <c r="A110">
        <v>460</v>
      </c>
      <c r="B110" t="s">
        <v>1076</v>
      </c>
      <c r="C110" t="s">
        <v>1077</v>
      </c>
      <c r="D110" t="s">
        <v>161</v>
      </c>
      <c r="E110" t="s">
        <v>1078</v>
      </c>
      <c r="F110" t="s">
        <v>114</v>
      </c>
      <c r="G110" t="s">
        <v>115</v>
      </c>
      <c r="H110" t="s">
        <v>24</v>
      </c>
      <c r="I110">
        <v>24</v>
      </c>
      <c r="J110" t="s">
        <v>116</v>
      </c>
      <c r="K110">
        <v>1</v>
      </c>
      <c r="L110" t="str">
        <f>HYPERLINK("https://ecs.syracuse.edu/faculty-staff/yiyang-sun","https://ecs.syracuse.edu/faculty-staff/yiyang-sun")</f>
        <v>https://ecs.syracuse.edu/faculty-staff/yiyang-sun</v>
      </c>
    </row>
    <row r="111" spans="1:12" x14ac:dyDescent="0.3">
      <c r="A111">
        <v>461</v>
      </c>
      <c r="B111" t="s">
        <v>1079</v>
      </c>
      <c r="C111" t="s">
        <v>1077</v>
      </c>
      <c r="D111" t="s">
        <v>161</v>
      </c>
      <c r="E111" t="s">
        <v>1080</v>
      </c>
      <c r="F111" t="s">
        <v>114</v>
      </c>
      <c r="G111" t="s">
        <v>115</v>
      </c>
      <c r="H111" t="s">
        <v>88</v>
      </c>
      <c r="I111">
        <v>43</v>
      </c>
      <c r="J111" t="s">
        <v>116</v>
      </c>
      <c r="K111">
        <v>1</v>
      </c>
      <c r="L111" t="str">
        <f>HYPERLINK("https://ecs.syracuse.edu/faculty-staff/fernando-zigunov","https://ecs.syracuse.edu/faculty-staff/fernando-zigunov")</f>
        <v>https://ecs.syracuse.edu/faculty-staff/fernando-zigunov</v>
      </c>
    </row>
    <row r="112" spans="1:12" x14ac:dyDescent="0.3">
      <c r="A112">
        <v>462</v>
      </c>
      <c r="B112" t="s">
        <v>1081</v>
      </c>
      <c r="C112" t="s">
        <v>1077</v>
      </c>
      <c r="D112" t="s">
        <v>161</v>
      </c>
      <c r="E112" t="s">
        <v>1082</v>
      </c>
      <c r="F112" t="s">
        <v>114</v>
      </c>
      <c r="G112" t="s">
        <v>115</v>
      </c>
      <c r="H112" t="s">
        <v>213</v>
      </c>
      <c r="I112">
        <v>33</v>
      </c>
      <c r="J112" t="s">
        <v>116</v>
      </c>
      <c r="K112">
        <v>1</v>
      </c>
      <c r="L112" t="str">
        <f>HYPERLINK("https://ecs.syracuse.edu/faculty-staff/jeongmin-ahn","https://ecs.syracuse.edu/faculty-staff/jeongmin-ahn")</f>
        <v>https://ecs.syracuse.edu/faculty-staff/jeongmin-ahn</v>
      </c>
    </row>
    <row r="113" spans="1:12" hidden="1" x14ac:dyDescent="0.3">
      <c r="A113">
        <v>112</v>
      </c>
      <c r="B113" t="s">
        <v>323</v>
      </c>
      <c r="C113" t="s">
        <v>318</v>
      </c>
      <c r="D113" t="s">
        <v>31</v>
      </c>
      <c r="E113" t="s">
        <v>324</v>
      </c>
      <c r="F113" t="s">
        <v>27</v>
      </c>
      <c r="G113" t="s">
        <v>28</v>
      </c>
      <c r="H113" t="s">
        <v>159</v>
      </c>
      <c r="I113">
        <v>75</v>
      </c>
      <c r="J113" t="s">
        <v>19</v>
      </c>
      <c r="K113">
        <v>1</v>
      </c>
      <c r="L113" t="str">
        <f>HYPERLINK("https://drexel.edu/engineering/about/faculty-staff/N/najafi-ahmad/","https://drexel.edu/engineering/about/faculty-staff/N/najafi-ahmad/")</f>
        <v>https://drexel.edu/engineering/about/faculty-staff/N/najafi-ahmad/</v>
      </c>
    </row>
    <row r="114" spans="1:12" x14ac:dyDescent="0.3">
      <c r="A114">
        <v>463</v>
      </c>
      <c r="B114" t="s">
        <v>1083</v>
      </c>
      <c r="C114" t="s">
        <v>1077</v>
      </c>
      <c r="D114" t="s">
        <v>161</v>
      </c>
      <c r="E114" t="s">
        <v>1084</v>
      </c>
      <c r="F114" t="s">
        <v>114</v>
      </c>
      <c r="G114" t="s">
        <v>115</v>
      </c>
      <c r="H114" t="s">
        <v>75</v>
      </c>
      <c r="I114">
        <v>4</v>
      </c>
      <c r="J114" t="s">
        <v>116</v>
      </c>
      <c r="K114">
        <v>1</v>
      </c>
      <c r="L114" t="str">
        <f>HYPERLINK("https://ecs.syracuse.edu/faculty-staff/ben-akih-kumgeh","https://ecs.syracuse.edu/faculty-staff/ben-akih-kumgeh")</f>
        <v>https://ecs.syracuse.edu/faculty-staff/ben-akih-kumgeh</v>
      </c>
    </row>
    <row r="115" spans="1:12" x14ac:dyDescent="0.3">
      <c r="A115">
        <v>464</v>
      </c>
      <c r="B115" t="s">
        <v>1085</v>
      </c>
      <c r="C115" t="s">
        <v>1077</v>
      </c>
      <c r="D115" t="s">
        <v>161</v>
      </c>
      <c r="E115" t="s">
        <v>1086</v>
      </c>
      <c r="F115" t="s">
        <v>114</v>
      </c>
      <c r="G115" t="s">
        <v>115</v>
      </c>
      <c r="H115" t="s">
        <v>124</v>
      </c>
      <c r="I115">
        <v>37</v>
      </c>
      <c r="J115" t="s">
        <v>116</v>
      </c>
      <c r="K115">
        <v>1</v>
      </c>
      <c r="L115" t="str">
        <f>HYPERLINK("https://ecs.syracuse.edu/faculty-staff/yeqing-wang","https://ecs.syracuse.edu/faculty-staff/yeqing-wang")</f>
        <v>https://ecs.syracuse.edu/faculty-staff/yeqing-wang</v>
      </c>
    </row>
    <row r="116" spans="1:12" hidden="1" x14ac:dyDescent="0.3">
      <c r="A116">
        <v>115</v>
      </c>
      <c r="B116" t="s">
        <v>330</v>
      </c>
      <c r="C116" t="s">
        <v>318</v>
      </c>
      <c r="D116" t="s">
        <v>31</v>
      </c>
      <c r="E116" t="s">
        <v>331</v>
      </c>
      <c r="F116" t="s">
        <v>62</v>
      </c>
      <c r="G116" t="s">
        <v>63</v>
      </c>
      <c r="H116" t="s">
        <v>104</v>
      </c>
      <c r="I116">
        <v>9</v>
      </c>
      <c r="J116" t="s">
        <v>19</v>
      </c>
      <c r="K116">
        <v>1</v>
      </c>
      <c r="L116" t="str">
        <f>HYPERLINK("https://drexel.edu/engineering/about/faculty-staff/Z/zavaliangos-antonios/","https://drexel.edu/engineering/about/faculty-staff/Z/zavaliangos-antonios/")</f>
        <v>https://drexel.edu/engineering/about/faculty-staff/Z/zavaliangos-antonios/</v>
      </c>
    </row>
    <row r="117" spans="1:12" x14ac:dyDescent="0.3">
      <c r="A117">
        <v>465</v>
      </c>
      <c r="B117" t="s">
        <v>1087</v>
      </c>
      <c r="C117" t="s">
        <v>1077</v>
      </c>
      <c r="D117" t="s">
        <v>161</v>
      </c>
      <c r="E117" t="s">
        <v>1088</v>
      </c>
      <c r="F117" t="s">
        <v>114</v>
      </c>
      <c r="G117" t="s">
        <v>115</v>
      </c>
      <c r="H117" t="s">
        <v>42</v>
      </c>
      <c r="I117">
        <v>40</v>
      </c>
      <c r="J117" t="s">
        <v>116</v>
      </c>
      <c r="K117">
        <v>1</v>
      </c>
      <c r="L117" t="str">
        <f>HYPERLINK("https://ecs.syracuse.edu/faculty-staff/amit-k-sanyal","https://ecs.syracuse.edu/faculty-staff/amit-k-sanyal")</f>
        <v>https://ecs.syracuse.edu/faculty-staff/amit-k-sanyal</v>
      </c>
    </row>
    <row r="118" spans="1:12" x14ac:dyDescent="0.3">
      <c r="A118">
        <v>466</v>
      </c>
      <c r="B118" t="s">
        <v>1089</v>
      </c>
      <c r="C118" t="s">
        <v>1077</v>
      </c>
      <c r="D118" t="s">
        <v>161</v>
      </c>
      <c r="E118" t="s">
        <v>1090</v>
      </c>
      <c r="F118" t="s">
        <v>114</v>
      </c>
      <c r="G118" t="s">
        <v>115</v>
      </c>
      <c r="H118" t="s">
        <v>50</v>
      </c>
      <c r="I118">
        <v>92</v>
      </c>
      <c r="J118" t="s">
        <v>116</v>
      </c>
      <c r="K118">
        <v>1</v>
      </c>
      <c r="L118" t="str">
        <f>HYPERLINK("https://ecs.syracuse.edu/faculty-staff/bing-dong","https://ecs.syracuse.edu/faculty-staff/bing-dong")</f>
        <v>https://ecs.syracuse.edu/faculty-staff/bing-dong</v>
      </c>
    </row>
    <row r="119" spans="1:12" x14ac:dyDescent="0.3">
      <c r="A119">
        <v>482</v>
      </c>
      <c r="B119" t="s">
        <v>1124</v>
      </c>
      <c r="C119" t="s">
        <v>1114</v>
      </c>
      <c r="D119" t="s">
        <v>14</v>
      </c>
      <c r="E119" t="s">
        <v>1125</v>
      </c>
      <c r="F119" t="s">
        <v>114</v>
      </c>
      <c r="G119" t="s">
        <v>115</v>
      </c>
      <c r="H119" t="s">
        <v>146</v>
      </c>
      <c r="I119">
        <v>16</v>
      </c>
      <c r="J119" t="s">
        <v>116</v>
      </c>
      <c r="K119">
        <v>3</v>
      </c>
      <c r="L119" t="str">
        <f>HYPERLINK("https://engineering.tamu.edu/mechanical/profiles/schobeiri-taher.html","https://engineering.tamu.edu/mechanical/profiles/schobeiri-taher.html")</f>
        <v>https://engineering.tamu.edu/mechanical/profiles/schobeiri-taher.html</v>
      </c>
    </row>
    <row r="120" spans="1:12" x14ac:dyDescent="0.3">
      <c r="A120">
        <v>485</v>
      </c>
      <c r="B120" t="s">
        <v>1129</v>
      </c>
      <c r="C120" t="s">
        <v>1130</v>
      </c>
      <c r="D120" t="s">
        <v>1131</v>
      </c>
      <c r="E120" t="s">
        <v>57</v>
      </c>
      <c r="F120" t="s">
        <v>151</v>
      </c>
      <c r="G120" t="s">
        <v>152</v>
      </c>
      <c r="H120" t="s">
        <v>58</v>
      </c>
      <c r="I120">
        <v>0</v>
      </c>
      <c r="J120" t="s">
        <v>154</v>
      </c>
      <c r="K120">
        <v>1</v>
      </c>
      <c r="L120" t="str">
        <f>HYPERLINK("https://www.tamucc.edu/engineering/departments/engineering/","https://www.tamucc.edu/engineering/departments/engineering/")</f>
        <v>https://www.tamucc.edu/engineering/departments/engineering/</v>
      </c>
    </row>
    <row r="121" spans="1:12" x14ac:dyDescent="0.3">
      <c r="A121">
        <v>486</v>
      </c>
      <c r="B121" t="s">
        <v>1132</v>
      </c>
      <c r="C121" t="s">
        <v>1130</v>
      </c>
      <c r="D121" t="s">
        <v>1131</v>
      </c>
      <c r="E121" t="s">
        <v>57</v>
      </c>
      <c r="F121" t="s">
        <v>151</v>
      </c>
      <c r="G121" t="s">
        <v>152</v>
      </c>
      <c r="H121" t="s">
        <v>58</v>
      </c>
      <c r="I121">
        <v>0</v>
      </c>
      <c r="J121" t="s">
        <v>154</v>
      </c>
      <c r="K121">
        <v>1</v>
      </c>
      <c r="L121" t="str">
        <f>HYPERLINK("https://www.tamucc.edu/engineering/departments/engineering/","https://www.tamucc.edu/engineering/departments/engineering/")</f>
        <v>https://www.tamucc.edu/engineering/departments/engineering/</v>
      </c>
    </row>
    <row r="122" spans="1:12" x14ac:dyDescent="0.3">
      <c r="A122">
        <v>487</v>
      </c>
      <c r="B122" t="s">
        <v>1133</v>
      </c>
      <c r="C122" t="s">
        <v>1130</v>
      </c>
      <c r="D122" t="s">
        <v>1131</v>
      </c>
      <c r="E122" t="s">
        <v>1134</v>
      </c>
      <c r="F122" t="s">
        <v>151</v>
      </c>
      <c r="G122" t="s">
        <v>152</v>
      </c>
      <c r="H122" t="s">
        <v>109</v>
      </c>
      <c r="I122">
        <v>4</v>
      </c>
      <c r="J122" t="s">
        <v>154</v>
      </c>
      <c r="K122">
        <v>1</v>
      </c>
      <c r="L122" t="str">
        <f>HYPERLINK("https://www.tamucc.edu/engineering/departments/engineering/","https://www.tamucc.edu/engineering/departments/engineering/")</f>
        <v>https://www.tamucc.edu/engineering/departments/engineering/</v>
      </c>
    </row>
    <row r="123" spans="1:12" hidden="1" x14ac:dyDescent="0.3">
      <c r="A123">
        <v>122</v>
      </c>
      <c r="B123" t="s">
        <v>347</v>
      </c>
      <c r="C123" t="s">
        <v>333</v>
      </c>
      <c r="D123" t="s">
        <v>31</v>
      </c>
      <c r="E123" t="s">
        <v>348</v>
      </c>
      <c r="F123" t="s">
        <v>335</v>
      </c>
      <c r="G123" t="s">
        <v>336</v>
      </c>
      <c r="H123" t="s">
        <v>50</v>
      </c>
      <c r="I123">
        <v>52</v>
      </c>
      <c r="J123" t="s">
        <v>19</v>
      </c>
      <c r="K123">
        <v>1</v>
      </c>
      <c r="L123" t="str">
        <f>HYPERLINK("https://cee.duke.edu/people/guglielmo-scovazzi/","https://cee.duke.edu/people/guglielmo-scovazzi/")</f>
        <v>https://cee.duke.edu/people/guglielmo-scovazzi/</v>
      </c>
    </row>
    <row r="124" spans="1:12" x14ac:dyDescent="0.3">
      <c r="A124">
        <v>488</v>
      </c>
      <c r="B124" t="s">
        <v>1135</v>
      </c>
      <c r="C124" t="s">
        <v>1130</v>
      </c>
      <c r="D124" t="s">
        <v>1131</v>
      </c>
      <c r="E124" t="s">
        <v>1136</v>
      </c>
      <c r="F124" t="s">
        <v>151</v>
      </c>
      <c r="G124" t="s">
        <v>152</v>
      </c>
      <c r="H124" t="s">
        <v>273</v>
      </c>
      <c r="I124">
        <v>23</v>
      </c>
      <c r="J124" t="s">
        <v>154</v>
      </c>
      <c r="K124">
        <v>1</v>
      </c>
      <c r="L124" t="str">
        <f>HYPERLINK("https://www.tamucc.edu/engineering/departments/engineering/","https://www.tamucc.edu/engineering/departments/engineering/")</f>
        <v>https://www.tamucc.edu/engineering/departments/engineering/</v>
      </c>
    </row>
    <row r="125" spans="1:12" hidden="1" x14ac:dyDescent="0.3">
      <c r="A125">
        <v>124</v>
      </c>
      <c r="B125" t="s">
        <v>351</v>
      </c>
      <c r="C125" t="s">
        <v>333</v>
      </c>
      <c r="D125" t="s">
        <v>31</v>
      </c>
      <c r="E125" t="s">
        <v>352</v>
      </c>
      <c r="F125" t="s">
        <v>335</v>
      </c>
      <c r="G125" t="s">
        <v>336</v>
      </c>
      <c r="H125" t="s">
        <v>220</v>
      </c>
      <c r="I125">
        <v>10</v>
      </c>
      <c r="J125" t="s">
        <v>19</v>
      </c>
      <c r="K125">
        <v>1</v>
      </c>
      <c r="L125" t="str">
        <f>HYPERLINK("https://math.duke.edu/~witelski/575","https://math.duke.edu/~witelski/575")</f>
        <v>https://math.duke.edu/~witelski/575</v>
      </c>
    </row>
    <row r="126" spans="1:12" hidden="1" x14ac:dyDescent="0.3">
      <c r="A126">
        <v>125</v>
      </c>
      <c r="B126" t="s">
        <v>353</v>
      </c>
      <c r="C126" t="s">
        <v>333</v>
      </c>
      <c r="D126" t="s">
        <v>31</v>
      </c>
      <c r="E126" t="s">
        <v>354</v>
      </c>
      <c r="F126" t="s">
        <v>335</v>
      </c>
      <c r="G126" t="s">
        <v>336</v>
      </c>
      <c r="H126" t="s">
        <v>213</v>
      </c>
      <c r="I126">
        <v>43</v>
      </c>
      <c r="J126" t="s">
        <v>19</v>
      </c>
      <c r="K126">
        <v>1</v>
      </c>
      <c r="L126" t="str">
        <f>HYPERLINK("https://scholars.duke.edu/person/jian-guo.liu","https://scholars.duke.edu/person/jian-guo.liu")</f>
        <v>https://scholars.duke.edu/person/jian-guo.liu</v>
      </c>
    </row>
    <row r="127" spans="1:12" hidden="1" x14ac:dyDescent="0.3">
      <c r="A127">
        <v>126</v>
      </c>
      <c r="B127" t="s">
        <v>355</v>
      </c>
      <c r="C127" t="s">
        <v>333</v>
      </c>
      <c r="D127" t="s">
        <v>31</v>
      </c>
      <c r="E127" t="s">
        <v>356</v>
      </c>
      <c r="F127" t="s">
        <v>335</v>
      </c>
      <c r="G127" t="s">
        <v>336</v>
      </c>
      <c r="H127" t="s">
        <v>357</v>
      </c>
      <c r="I127">
        <v>13</v>
      </c>
      <c r="J127" t="s">
        <v>19</v>
      </c>
      <c r="K127">
        <v>1</v>
      </c>
      <c r="L127" t="str">
        <f>HYPERLINK("https://scholars.duke.edu/person/alexander.kiselev","https://scholars.duke.edu/person/alexander.kiselev")</f>
        <v>https://scholars.duke.edu/person/alexander.kiselev</v>
      </c>
    </row>
    <row r="128" spans="1:12" hidden="1" x14ac:dyDescent="0.3">
      <c r="A128">
        <v>127</v>
      </c>
      <c r="B128" t="s">
        <v>358</v>
      </c>
      <c r="C128" t="s">
        <v>333</v>
      </c>
      <c r="D128" t="s">
        <v>31</v>
      </c>
      <c r="E128" t="s">
        <v>359</v>
      </c>
      <c r="F128" t="s">
        <v>335</v>
      </c>
      <c r="G128" t="s">
        <v>336</v>
      </c>
      <c r="H128" t="s">
        <v>140</v>
      </c>
      <c r="I128">
        <v>166</v>
      </c>
      <c r="J128" t="s">
        <v>19</v>
      </c>
      <c r="K128">
        <v>1</v>
      </c>
      <c r="L128" t="str">
        <f>HYPERLINK("https://scholars.duke.edu/person/jianfeng","https://scholars.duke.edu/person/jianfeng")</f>
        <v>https://scholars.duke.edu/person/jianfeng</v>
      </c>
    </row>
    <row r="129" spans="1:12" hidden="1" x14ac:dyDescent="0.3">
      <c r="A129">
        <v>128</v>
      </c>
      <c r="B129" t="s">
        <v>360</v>
      </c>
      <c r="C129" t="s">
        <v>333</v>
      </c>
      <c r="D129" t="s">
        <v>31</v>
      </c>
      <c r="E129" t="s">
        <v>57</v>
      </c>
      <c r="F129" t="s">
        <v>335</v>
      </c>
      <c r="G129" t="s">
        <v>336</v>
      </c>
      <c r="H129" t="s">
        <v>58</v>
      </c>
      <c r="I129">
        <v>0</v>
      </c>
      <c r="J129" t="s">
        <v>59</v>
      </c>
      <c r="K129">
        <v>2</v>
      </c>
      <c r="L129" t="str">
        <f>HYPERLINK("https://scholars.duke.edu/person/nolen","https://scholars.duke.edu/person/nolen")</f>
        <v>https://scholars.duke.edu/person/nolen</v>
      </c>
    </row>
    <row r="130" spans="1:12" x14ac:dyDescent="0.3">
      <c r="A130">
        <v>489</v>
      </c>
      <c r="B130" t="s">
        <v>1137</v>
      </c>
      <c r="C130" t="s">
        <v>1130</v>
      </c>
      <c r="D130" t="s">
        <v>1131</v>
      </c>
      <c r="E130" t="s">
        <v>1138</v>
      </c>
      <c r="F130" t="s">
        <v>151</v>
      </c>
      <c r="G130" t="s">
        <v>152</v>
      </c>
      <c r="H130" t="s">
        <v>29</v>
      </c>
      <c r="I130">
        <v>594</v>
      </c>
      <c r="J130" t="s">
        <v>154</v>
      </c>
      <c r="K130">
        <v>1</v>
      </c>
      <c r="L130" t="str">
        <f>HYPERLINK("https://www.tamucc.edu/engineering/departments/engineering/","https://www.tamucc.edu/engineering/departments/engineering/")</f>
        <v>https://www.tamucc.edu/engineering/departments/engineering/</v>
      </c>
    </row>
    <row r="131" spans="1:12" x14ac:dyDescent="0.3">
      <c r="A131">
        <v>490</v>
      </c>
      <c r="B131" t="s">
        <v>1139</v>
      </c>
      <c r="C131" t="s">
        <v>1130</v>
      </c>
      <c r="D131" t="s">
        <v>1131</v>
      </c>
      <c r="E131" t="s">
        <v>1140</v>
      </c>
      <c r="F131" t="s">
        <v>151</v>
      </c>
      <c r="G131" t="s">
        <v>152</v>
      </c>
      <c r="H131" t="s">
        <v>516</v>
      </c>
      <c r="I131">
        <v>18</v>
      </c>
      <c r="J131" t="s">
        <v>154</v>
      </c>
      <c r="K131">
        <v>1</v>
      </c>
      <c r="L131" t="str">
        <f>HYPERLINK("https://www.tamucc.edu/engineering/departments/engineering/","https://www.tamucc.edu/engineering/departments/engineering/")</f>
        <v>https://www.tamucc.edu/engineering/departments/engineering/</v>
      </c>
    </row>
    <row r="132" spans="1:12" x14ac:dyDescent="0.3">
      <c r="A132">
        <v>491</v>
      </c>
      <c r="B132" t="s">
        <v>1141</v>
      </c>
      <c r="C132" t="s">
        <v>1130</v>
      </c>
      <c r="D132" t="s">
        <v>1131</v>
      </c>
      <c r="E132" t="s">
        <v>1142</v>
      </c>
      <c r="F132" t="s">
        <v>151</v>
      </c>
      <c r="G132" t="s">
        <v>152</v>
      </c>
      <c r="H132" t="s">
        <v>649</v>
      </c>
      <c r="I132">
        <v>35</v>
      </c>
      <c r="J132" t="s">
        <v>154</v>
      </c>
      <c r="K132">
        <v>1</v>
      </c>
      <c r="L132" t="str">
        <f>HYPERLINK("https://www.tamucc.edu/engineering/departments/engineering/","https://www.tamucc.edu/engineering/departments/engineering/")</f>
        <v>https://www.tamucc.edu/engineering/departments/engineering/</v>
      </c>
    </row>
    <row r="133" spans="1:12" x14ac:dyDescent="0.3">
      <c r="A133">
        <v>500</v>
      </c>
      <c r="B133" t="s">
        <v>1159</v>
      </c>
      <c r="C133" t="s">
        <v>1157</v>
      </c>
      <c r="D133" t="s">
        <v>14</v>
      </c>
      <c r="E133" t="s">
        <v>1160</v>
      </c>
      <c r="F133" t="s">
        <v>114</v>
      </c>
      <c r="G133" t="s">
        <v>115</v>
      </c>
      <c r="H133" t="s">
        <v>495</v>
      </c>
      <c r="I133">
        <v>8</v>
      </c>
      <c r="J133" t="s">
        <v>116</v>
      </c>
      <c r="K133">
        <v>3</v>
      </c>
      <c r="L133" t="str">
        <f>HYPERLINK("https://www.depts.ttu.edu/me/faculty/siva_parameswaran/index.php","https://www.depts.ttu.edu/me/faculty/siva_parameswaran/index.php")</f>
        <v>https://www.depts.ttu.edu/me/faculty/siva_parameswaran/index.php</v>
      </c>
    </row>
    <row r="134" spans="1:12" x14ac:dyDescent="0.3">
      <c r="A134">
        <v>512</v>
      </c>
      <c r="B134" t="s">
        <v>1181</v>
      </c>
      <c r="C134" t="s">
        <v>1182</v>
      </c>
      <c r="D134" t="s">
        <v>14</v>
      </c>
      <c r="E134" t="s">
        <v>1183</v>
      </c>
      <c r="F134" t="s">
        <v>114</v>
      </c>
      <c r="G134" t="s">
        <v>115</v>
      </c>
      <c r="H134" t="s">
        <v>80</v>
      </c>
      <c r="I134">
        <v>35</v>
      </c>
      <c r="J134" t="s">
        <v>116</v>
      </c>
      <c r="K134">
        <v>1</v>
      </c>
      <c r="L134" t="str">
        <f>HYPERLINK("https://engineering.catholic.edu/research-and-faculty/faculty-profiles/mechanical/index.html","https://engineering.catholic.edu/research-and-faculty/faculty-profiles/mechanical/index.html")</f>
        <v>https://engineering.catholic.edu/research-and-faculty/faculty-profiles/mechanical/index.html</v>
      </c>
    </row>
    <row r="135" spans="1:12" x14ac:dyDescent="0.3">
      <c r="A135">
        <v>513</v>
      </c>
      <c r="B135" t="s">
        <v>1184</v>
      </c>
      <c r="C135" t="s">
        <v>1182</v>
      </c>
      <c r="D135" t="s">
        <v>14</v>
      </c>
      <c r="E135" t="s">
        <v>1185</v>
      </c>
      <c r="F135" t="s">
        <v>114</v>
      </c>
      <c r="G135" t="s">
        <v>115</v>
      </c>
      <c r="H135" t="s">
        <v>36</v>
      </c>
      <c r="I135">
        <v>39</v>
      </c>
      <c r="J135" t="s">
        <v>116</v>
      </c>
      <c r="K135">
        <v>1</v>
      </c>
      <c r="L135" t="str">
        <f>HYPERLINK("https://engineering.catholic.edu/research-and-faculty/faculty-profiles/mechanical/index.html","https://engineering.catholic.edu/research-and-faculty/faculty-profiles/mechanical/index.html")</f>
        <v>https://engineering.catholic.edu/research-and-faculty/faculty-profiles/mechanical/index.html</v>
      </c>
    </row>
    <row r="136" spans="1:12" x14ac:dyDescent="0.3">
      <c r="A136">
        <v>515</v>
      </c>
      <c r="B136" t="s">
        <v>1188</v>
      </c>
      <c r="C136" t="s">
        <v>1182</v>
      </c>
      <c r="D136" t="s">
        <v>14</v>
      </c>
      <c r="E136" t="s">
        <v>1189</v>
      </c>
      <c r="F136" t="s">
        <v>114</v>
      </c>
      <c r="G136" t="s">
        <v>115</v>
      </c>
      <c r="H136" t="s">
        <v>329</v>
      </c>
      <c r="I136">
        <v>5</v>
      </c>
      <c r="J136" t="s">
        <v>116</v>
      </c>
      <c r="K136">
        <v>1</v>
      </c>
      <c r="L136" t="str">
        <f>HYPERLINK("https://engineering.catholic.edu/research-and-faculty/faculty-profiles/mechanical/index.html","https://engineering.catholic.edu/research-and-faculty/faculty-profiles/mechanical/index.html")</f>
        <v>https://engineering.catholic.edu/research-and-faculty/faculty-profiles/mechanical/index.html</v>
      </c>
    </row>
    <row r="137" spans="1:12" x14ac:dyDescent="0.3">
      <c r="A137">
        <v>524</v>
      </c>
      <c r="B137" t="s">
        <v>1207</v>
      </c>
      <c r="C137" t="s">
        <v>1195</v>
      </c>
      <c r="D137" t="s">
        <v>271</v>
      </c>
      <c r="E137" t="s">
        <v>1208</v>
      </c>
      <c r="F137" t="s">
        <v>151</v>
      </c>
      <c r="G137" t="s">
        <v>152</v>
      </c>
      <c r="H137" t="s">
        <v>132</v>
      </c>
      <c r="I137">
        <v>65</v>
      </c>
      <c r="J137" t="s">
        <v>154</v>
      </c>
      <c r="K137">
        <v>1</v>
      </c>
      <c r="L137" t="str">
        <f>HYPERLINK("https://ae.utexas.edu/person/clint-n-dawson/","https://ae.utexas.edu/person/clint-n-dawson/")</f>
        <v>https://ae.utexas.edu/person/clint-n-dawson/</v>
      </c>
    </row>
    <row r="138" spans="1:12" x14ac:dyDescent="0.3">
      <c r="A138">
        <v>540</v>
      </c>
      <c r="B138" t="s">
        <v>1240</v>
      </c>
      <c r="C138" t="s">
        <v>1232</v>
      </c>
      <c r="D138" t="s">
        <v>1131</v>
      </c>
      <c r="E138" t="s">
        <v>1241</v>
      </c>
      <c r="F138" t="s">
        <v>151</v>
      </c>
      <c r="G138" t="s">
        <v>152</v>
      </c>
      <c r="H138" t="s">
        <v>53</v>
      </c>
      <c r="I138">
        <v>32</v>
      </c>
      <c r="J138" t="s">
        <v>154</v>
      </c>
      <c r="K138">
        <v>1</v>
      </c>
      <c r="L138" t="str">
        <f>HYPERLINK("https://catalog.tulane.edu/science-engineering/physics-engineering/","https://catalog.tulane.edu/science-engineering/physics-engineering/")</f>
        <v>https://catalog.tulane.edu/science-engineering/physics-engineering/</v>
      </c>
    </row>
    <row r="139" spans="1:12" x14ac:dyDescent="0.3">
      <c r="A139">
        <v>541</v>
      </c>
      <c r="B139" t="s">
        <v>1242</v>
      </c>
      <c r="C139" t="s">
        <v>1232</v>
      </c>
      <c r="D139" t="s">
        <v>1131</v>
      </c>
      <c r="E139" t="s">
        <v>398</v>
      </c>
      <c r="F139" t="s">
        <v>114</v>
      </c>
      <c r="G139" t="s">
        <v>115</v>
      </c>
      <c r="H139" t="s">
        <v>58</v>
      </c>
      <c r="I139">
        <v>0</v>
      </c>
      <c r="J139" t="s">
        <v>116</v>
      </c>
      <c r="K139">
        <v>1</v>
      </c>
      <c r="L139" t="str">
        <f>HYPERLINK("https://sse.tulane.edu/people","https://sse.tulane.edu/people")</f>
        <v>https://sse.tulane.edu/people</v>
      </c>
    </row>
    <row r="140" spans="1:12" x14ac:dyDescent="0.3">
      <c r="A140">
        <v>546</v>
      </c>
      <c r="B140" t="s">
        <v>1253</v>
      </c>
      <c r="C140" t="s">
        <v>1254</v>
      </c>
      <c r="D140" t="s">
        <v>161</v>
      </c>
      <c r="E140" t="s">
        <v>57</v>
      </c>
      <c r="F140" t="s">
        <v>114</v>
      </c>
      <c r="G140" t="s">
        <v>115</v>
      </c>
      <c r="H140" t="s">
        <v>58</v>
      </c>
      <c r="I140">
        <v>0</v>
      </c>
      <c r="J140" t="s">
        <v>116</v>
      </c>
      <c r="K140">
        <v>1</v>
      </c>
      <c r="L140" t="str">
        <f>HYPERLINK("https://engineering.buffalo.edu/mechanical-aerospace/people/faculty.html","https://engineering.buffalo.edu/mechanical-aerospace/people/faculty.html")</f>
        <v>https://engineering.buffalo.edu/mechanical-aerospace/people/faculty.html</v>
      </c>
    </row>
    <row r="141" spans="1:12" x14ac:dyDescent="0.3">
      <c r="A141">
        <v>547</v>
      </c>
      <c r="B141" t="s">
        <v>1255</v>
      </c>
      <c r="C141" t="s">
        <v>1254</v>
      </c>
      <c r="D141" t="s">
        <v>161</v>
      </c>
      <c r="E141" t="s">
        <v>57</v>
      </c>
      <c r="F141" t="s">
        <v>114</v>
      </c>
      <c r="G141" t="s">
        <v>115</v>
      </c>
      <c r="H141" t="s">
        <v>58</v>
      </c>
      <c r="I141">
        <v>0</v>
      </c>
      <c r="J141" t="s">
        <v>116</v>
      </c>
      <c r="K141">
        <v>1</v>
      </c>
      <c r="L141" t="str">
        <f>HYPERLINK("https://engineering.buffalo.edu/mechanical-aerospace/people/faculty.html","https://engineering.buffalo.edu/mechanical-aerospace/people/faculty.html")</f>
        <v>https://engineering.buffalo.edu/mechanical-aerospace/people/faculty.html</v>
      </c>
    </row>
    <row r="142" spans="1:12" x14ac:dyDescent="0.3">
      <c r="A142">
        <v>548</v>
      </c>
      <c r="B142" t="s">
        <v>1256</v>
      </c>
      <c r="C142" t="s">
        <v>1254</v>
      </c>
      <c r="D142" t="s">
        <v>161</v>
      </c>
      <c r="E142" t="s">
        <v>1257</v>
      </c>
      <c r="F142" t="s">
        <v>114</v>
      </c>
      <c r="G142" t="s">
        <v>115</v>
      </c>
      <c r="H142" t="s">
        <v>1258</v>
      </c>
      <c r="I142">
        <v>19</v>
      </c>
      <c r="J142" t="s">
        <v>116</v>
      </c>
      <c r="K142">
        <v>1</v>
      </c>
      <c r="L142" t="str">
        <f>HYPERLINK("https://engineering.buffalo.edu/mechanical-aerospace/people/faculty.html","https://engineering.buffalo.edu/mechanical-aerospace/people/faculty.html")</f>
        <v>https://engineering.buffalo.edu/mechanical-aerospace/people/faculty.html</v>
      </c>
    </row>
    <row r="143" spans="1:12" x14ac:dyDescent="0.3">
      <c r="A143">
        <v>549</v>
      </c>
      <c r="B143" t="s">
        <v>1259</v>
      </c>
      <c r="C143" t="s">
        <v>1254</v>
      </c>
      <c r="D143" t="s">
        <v>161</v>
      </c>
      <c r="E143" t="s">
        <v>57</v>
      </c>
      <c r="F143" t="s">
        <v>114</v>
      </c>
      <c r="G143" t="s">
        <v>115</v>
      </c>
      <c r="H143" t="s">
        <v>58</v>
      </c>
      <c r="I143">
        <v>0</v>
      </c>
      <c r="J143" t="s">
        <v>116</v>
      </c>
      <c r="K143">
        <v>1</v>
      </c>
      <c r="L143" t="str">
        <f>HYPERLINK("https://engineering.buffalo.edu/mechanical-aerospace/people/faculty.html","https://engineering.buffalo.edu/mechanical-aerospace/people/faculty.html")</f>
        <v>https://engineering.buffalo.edu/mechanical-aerospace/people/faculty.html</v>
      </c>
    </row>
    <row r="144" spans="1:12" x14ac:dyDescent="0.3">
      <c r="A144">
        <v>550</v>
      </c>
      <c r="B144" t="s">
        <v>1260</v>
      </c>
      <c r="C144" t="s">
        <v>1254</v>
      </c>
      <c r="D144" t="s">
        <v>161</v>
      </c>
      <c r="E144" t="s">
        <v>57</v>
      </c>
      <c r="F144" t="s">
        <v>114</v>
      </c>
      <c r="G144" t="s">
        <v>115</v>
      </c>
      <c r="H144" t="s">
        <v>58</v>
      </c>
      <c r="I144">
        <v>0</v>
      </c>
      <c r="J144" t="s">
        <v>116</v>
      </c>
      <c r="K144">
        <v>3</v>
      </c>
      <c r="L144" t="str">
        <f>HYPERLINK("https://engineering.buffalo.edu/mechanical-aerospace/people/faculty.html","https://engineering.buffalo.edu/mechanical-aerospace/people/faculty.html")</f>
        <v>https://engineering.buffalo.edu/mechanical-aerospace/people/faculty.html</v>
      </c>
    </row>
    <row r="145" spans="1:12" x14ac:dyDescent="0.3">
      <c r="A145">
        <v>551</v>
      </c>
      <c r="B145" t="s">
        <v>1261</v>
      </c>
      <c r="C145" t="s">
        <v>1254</v>
      </c>
      <c r="D145" t="s">
        <v>161</v>
      </c>
      <c r="E145" t="s">
        <v>1262</v>
      </c>
      <c r="F145" t="s">
        <v>114</v>
      </c>
      <c r="G145" t="s">
        <v>115</v>
      </c>
      <c r="H145" t="s">
        <v>159</v>
      </c>
      <c r="I145">
        <v>14</v>
      </c>
      <c r="J145" t="s">
        <v>116</v>
      </c>
      <c r="K145">
        <v>1</v>
      </c>
      <c r="L145" t="str">
        <f>HYPERLINK("https://engineering.buffalo.edu/mechanical-aerospace/people/faculty.html","https://engineering.buffalo.edu/mechanical-aerospace/people/faculty.html")</f>
        <v>https://engineering.buffalo.edu/mechanical-aerospace/people/faculty.html</v>
      </c>
    </row>
    <row r="146" spans="1:12" x14ac:dyDescent="0.3">
      <c r="A146">
        <v>552</v>
      </c>
      <c r="B146" t="s">
        <v>1263</v>
      </c>
      <c r="C146" t="s">
        <v>1254</v>
      </c>
      <c r="D146" t="s">
        <v>161</v>
      </c>
      <c r="E146" t="s">
        <v>1264</v>
      </c>
      <c r="F146" t="s">
        <v>114</v>
      </c>
      <c r="G146" t="s">
        <v>115</v>
      </c>
      <c r="H146" t="s">
        <v>220</v>
      </c>
      <c r="I146">
        <v>8</v>
      </c>
      <c r="J146" t="s">
        <v>116</v>
      </c>
      <c r="K146">
        <v>1</v>
      </c>
      <c r="L146" t="str">
        <f>HYPERLINK("https://engineering.buffalo.edu/mechanical-aerospace/people/faculty.html","https://engineering.buffalo.edu/mechanical-aerospace/people/faculty.html")</f>
        <v>https://engineering.buffalo.edu/mechanical-aerospace/people/faculty.html</v>
      </c>
    </row>
    <row r="147" spans="1:12" x14ac:dyDescent="0.3">
      <c r="A147">
        <v>553</v>
      </c>
      <c r="B147" t="s">
        <v>1265</v>
      </c>
      <c r="C147" t="s">
        <v>1254</v>
      </c>
      <c r="D147" t="s">
        <v>161</v>
      </c>
      <c r="E147" t="s">
        <v>1266</v>
      </c>
      <c r="F147" t="s">
        <v>114</v>
      </c>
      <c r="G147" t="s">
        <v>115</v>
      </c>
      <c r="H147" t="s">
        <v>92</v>
      </c>
      <c r="I147">
        <v>33</v>
      </c>
      <c r="J147" t="s">
        <v>116</v>
      </c>
      <c r="K147">
        <v>1</v>
      </c>
      <c r="L147" t="str">
        <f>HYPERLINK("https://engineering.buffalo.edu/mechanical-aerospace/people/faculty.html","https://engineering.buffalo.edu/mechanical-aerospace/people/faculty.html")</f>
        <v>https://engineering.buffalo.edu/mechanical-aerospace/people/faculty.html</v>
      </c>
    </row>
    <row r="148" spans="1:12" x14ac:dyDescent="0.3">
      <c r="A148">
        <v>556</v>
      </c>
      <c r="B148" t="s">
        <v>1270</v>
      </c>
      <c r="C148" t="s">
        <v>1271</v>
      </c>
      <c r="D148" t="s">
        <v>14</v>
      </c>
      <c r="E148" t="s">
        <v>1272</v>
      </c>
      <c r="F148" t="s">
        <v>114</v>
      </c>
      <c r="G148" t="s">
        <v>115</v>
      </c>
      <c r="H148" t="s">
        <v>39</v>
      </c>
      <c r="I148">
        <v>0</v>
      </c>
      <c r="J148" t="s">
        <v>116</v>
      </c>
      <c r="K148">
        <v>1</v>
      </c>
      <c r="L148" t="str">
        <f>HYPERLINK("https://www.uab.edu/engineering/mme/people/faculty","https://www.uab.edu/engineering/mme/people/faculty")</f>
        <v>https://www.uab.edu/engineering/mme/people/faculty</v>
      </c>
    </row>
    <row r="149" spans="1:12" hidden="1" x14ac:dyDescent="0.3">
      <c r="A149">
        <v>148</v>
      </c>
      <c r="B149" t="s">
        <v>404</v>
      </c>
      <c r="C149" t="s">
        <v>397</v>
      </c>
      <c r="D149" t="s">
        <v>31</v>
      </c>
      <c r="E149" t="s">
        <v>405</v>
      </c>
      <c r="F149" t="s">
        <v>22</v>
      </c>
      <c r="G149" t="s">
        <v>23</v>
      </c>
      <c r="H149" t="s">
        <v>406</v>
      </c>
      <c r="I149">
        <v>12</v>
      </c>
      <c r="J149" t="s">
        <v>19</v>
      </c>
      <c r="K149">
        <v>1</v>
      </c>
      <c r="L149" t="str">
        <f>HYPERLINK("https://case.fiu.edu/mathstat/research/applied-mathematics/","https://case.fiu.edu/mathstat/research/applied-mathematics/")</f>
        <v>https://case.fiu.edu/mathstat/research/applied-mathematics/</v>
      </c>
    </row>
    <row r="150" spans="1:12" hidden="1" x14ac:dyDescent="0.3">
      <c r="A150">
        <v>149</v>
      </c>
      <c r="B150" t="s">
        <v>407</v>
      </c>
      <c r="C150" t="s">
        <v>397</v>
      </c>
      <c r="D150" t="s">
        <v>31</v>
      </c>
      <c r="E150" t="s">
        <v>408</v>
      </c>
      <c r="F150" t="s">
        <v>22</v>
      </c>
      <c r="G150" t="s">
        <v>23</v>
      </c>
      <c r="H150" t="s">
        <v>172</v>
      </c>
      <c r="I150">
        <v>1</v>
      </c>
      <c r="J150" t="s">
        <v>19</v>
      </c>
      <c r="K150">
        <v>1</v>
      </c>
      <c r="L150" t="str">
        <f>HYPERLINK("https://case.fiu.edu/mathstat/research/applied-mathematics/","https://case.fiu.edu/mathstat/research/applied-mathematics/")</f>
        <v>https://case.fiu.edu/mathstat/research/applied-mathematics/</v>
      </c>
    </row>
    <row r="151" spans="1:12" hidden="1" x14ac:dyDescent="0.3">
      <c r="A151">
        <v>150</v>
      </c>
      <c r="B151" t="s">
        <v>409</v>
      </c>
      <c r="C151" t="s">
        <v>397</v>
      </c>
      <c r="D151" t="s">
        <v>31</v>
      </c>
      <c r="E151" t="s">
        <v>410</v>
      </c>
      <c r="F151" t="s">
        <v>22</v>
      </c>
      <c r="G151" t="s">
        <v>23</v>
      </c>
      <c r="H151" t="s">
        <v>254</v>
      </c>
      <c r="I151">
        <v>26</v>
      </c>
      <c r="J151" t="s">
        <v>19</v>
      </c>
      <c r="K151">
        <v>1</v>
      </c>
      <c r="L151" t="str">
        <f>HYPERLINK("https://case.fiu.edu/mathstat/research/applied-mathematics/","https://case.fiu.edu/mathstat/research/applied-mathematics/")</f>
        <v>https://case.fiu.edu/mathstat/research/applied-mathematics/</v>
      </c>
    </row>
    <row r="152" spans="1:12" hidden="1" x14ac:dyDescent="0.3">
      <c r="A152">
        <v>151</v>
      </c>
      <c r="B152" t="s">
        <v>411</v>
      </c>
      <c r="C152" t="s">
        <v>397</v>
      </c>
      <c r="D152" t="s">
        <v>31</v>
      </c>
      <c r="E152" t="s">
        <v>412</v>
      </c>
      <c r="F152" t="s">
        <v>22</v>
      </c>
      <c r="G152" t="s">
        <v>23</v>
      </c>
      <c r="H152" t="s">
        <v>200</v>
      </c>
      <c r="I152">
        <v>18</v>
      </c>
      <c r="J152" t="s">
        <v>19</v>
      </c>
      <c r="K152">
        <v>1</v>
      </c>
      <c r="L152" t="str">
        <f>HYPERLINK("https://case.fiu.edu/mathstat/research/applied-mathematics/","https://case.fiu.edu/mathstat/research/applied-mathematics/")</f>
        <v>https://case.fiu.edu/mathstat/research/applied-mathematics/</v>
      </c>
    </row>
    <row r="153" spans="1:12" hidden="1" x14ac:dyDescent="0.3">
      <c r="A153">
        <v>152</v>
      </c>
      <c r="B153" t="s">
        <v>413</v>
      </c>
      <c r="C153" t="s">
        <v>397</v>
      </c>
      <c r="D153" t="s">
        <v>31</v>
      </c>
      <c r="E153" t="s">
        <v>414</v>
      </c>
      <c r="F153" t="s">
        <v>22</v>
      </c>
      <c r="G153" t="s">
        <v>23</v>
      </c>
      <c r="H153" t="s">
        <v>220</v>
      </c>
      <c r="I153">
        <v>366</v>
      </c>
      <c r="J153" t="s">
        <v>19</v>
      </c>
      <c r="K153">
        <v>1</v>
      </c>
      <c r="L153" t="str">
        <f>HYPERLINK("https://case.fiu.edu/mathstat/research/applied-mathematics/","https://case.fiu.edu/mathstat/research/applied-mathematics/")</f>
        <v>https://case.fiu.edu/mathstat/research/applied-mathematics/</v>
      </c>
    </row>
    <row r="154" spans="1:12" hidden="1" x14ac:dyDescent="0.3">
      <c r="A154">
        <v>153</v>
      </c>
      <c r="B154" t="s">
        <v>415</v>
      </c>
      <c r="C154" t="s">
        <v>397</v>
      </c>
      <c r="D154" t="s">
        <v>31</v>
      </c>
      <c r="E154" t="s">
        <v>416</v>
      </c>
      <c r="F154" t="s">
        <v>22</v>
      </c>
      <c r="G154" t="s">
        <v>23</v>
      </c>
      <c r="H154" t="s">
        <v>417</v>
      </c>
      <c r="I154">
        <v>0</v>
      </c>
      <c r="J154" t="s">
        <v>19</v>
      </c>
      <c r="K154">
        <v>1</v>
      </c>
      <c r="L154" t="str">
        <f>HYPERLINK("https://case.fiu.edu/mathstat/research/applied-mathematics/","https://case.fiu.edu/mathstat/research/applied-mathematics/")</f>
        <v>https://case.fiu.edu/mathstat/research/applied-mathematics/</v>
      </c>
    </row>
    <row r="155" spans="1:12" hidden="1" x14ac:dyDescent="0.3">
      <c r="A155">
        <v>154</v>
      </c>
      <c r="B155" t="s">
        <v>418</v>
      </c>
      <c r="C155" t="s">
        <v>397</v>
      </c>
      <c r="D155" t="s">
        <v>31</v>
      </c>
      <c r="E155" t="s">
        <v>419</v>
      </c>
      <c r="F155" t="s">
        <v>22</v>
      </c>
      <c r="G155" t="s">
        <v>23</v>
      </c>
      <c r="H155" t="s">
        <v>417</v>
      </c>
      <c r="I155">
        <v>0</v>
      </c>
      <c r="J155" t="s">
        <v>19</v>
      </c>
      <c r="K155">
        <v>1</v>
      </c>
      <c r="L155" t="str">
        <f>HYPERLINK("https://case.fiu.edu/mathstat/research/applied-mathematics/","https://case.fiu.edu/mathstat/research/applied-mathematics/")</f>
        <v>https://case.fiu.edu/mathstat/research/applied-mathematics/</v>
      </c>
    </row>
    <row r="156" spans="1:12" hidden="1" x14ac:dyDescent="0.3">
      <c r="A156">
        <v>155</v>
      </c>
      <c r="B156" t="s">
        <v>420</v>
      </c>
      <c r="C156" t="s">
        <v>397</v>
      </c>
      <c r="D156" t="s">
        <v>31</v>
      </c>
      <c r="E156" t="s">
        <v>421</v>
      </c>
      <c r="F156" t="s">
        <v>22</v>
      </c>
      <c r="G156" t="s">
        <v>23</v>
      </c>
      <c r="H156" t="s">
        <v>417</v>
      </c>
      <c r="I156">
        <v>0</v>
      </c>
      <c r="J156" t="s">
        <v>19</v>
      </c>
      <c r="K156">
        <v>1</v>
      </c>
      <c r="L156" t="str">
        <f>HYPERLINK("https://case.fiu.edu/mathstat/research/applied-mathematics/","https://case.fiu.edu/mathstat/research/applied-mathematics/")</f>
        <v>https://case.fiu.edu/mathstat/research/applied-mathematics/</v>
      </c>
    </row>
    <row r="157" spans="1:12" x14ac:dyDescent="0.3">
      <c r="A157">
        <v>557</v>
      </c>
      <c r="B157" t="s">
        <v>1273</v>
      </c>
      <c r="C157" t="s">
        <v>1271</v>
      </c>
      <c r="D157" t="s">
        <v>14</v>
      </c>
      <c r="E157" t="s">
        <v>1274</v>
      </c>
      <c r="F157" t="s">
        <v>114</v>
      </c>
      <c r="G157" t="s">
        <v>115</v>
      </c>
      <c r="H157" t="s">
        <v>18</v>
      </c>
      <c r="I157">
        <v>12</v>
      </c>
      <c r="J157" t="s">
        <v>116</v>
      </c>
      <c r="K157">
        <v>1</v>
      </c>
      <c r="L157" t="str">
        <f>HYPERLINK("https://www.uab.edu/engineering/mme/people/faculty","https://www.uab.edu/engineering/mme/people/faculty")</f>
        <v>https://www.uab.edu/engineering/mme/people/faculty</v>
      </c>
    </row>
    <row r="158" spans="1:12" x14ac:dyDescent="0.3">
      <c r="A158">
        <v>558</v>
      </c>
      <c r="B158" t="s">
        <v>1275</v>
      </c>
      <c r="C158" t="s">
        <v>1271</v>
      </c>
      <c r="D158" t="s">
        <v>14</v>
      </c>
      <c r="E158" t="s">
        <v>1276</v>
      </c>
      <c r="F158" t="s">
        <v>114</v>
      </c>
      <c r="G158" t="s">
        <v>115</v>
      </c>
      <c r="H158" t="s">
        <v>39</v>
      </c>
      <c r="I158">
        <v>5</v>
      </c>
      <c r="J158" t="s">
        <v>116</v>
      </c>
      <c r="K158">
        <v>1</v>
      </c>
      <c r="L158" t="str">
        <f>HYPERLINK("https://www.uab.edu/engineering/mme/people/faculty","https://www.uab.edu/engineering/mme/people/faculty")</f>
        <v>https://www.uab.edu/engineering/mme/people/faculty</v>
      </c>
    </row>
    <row r="159" spans="1:12" x14ac:dyDescent="0.3">
      <c r="A159">
        <v>559</v>
      </c>
      <c r="B159" t="s">
        <v>1277</v>
      </c>
      <c r="C159" t="s">
        <v>1271</v>
      </c>
      <c r="D159" t="s">
        <v>14</v>
      </c>
      <c r="E159" t="s">
        <v>1278</v>
      </c>
      <c r="F159" t="s">
        <v>114</v>
      </c>
      <c r="G159" t="s">
        <v>115</v>
      </c>
      <c r="H159" t="s">
        <v>1279</v>
      </c>
      <c r="I159">
        <v>4</v>
      </c>
      <c r="J159" t="s">
        <v>116</v>
      </c>
      <c r="K159">
        <v>1</v>
      </c>
      <c r="L159" t="str">
        <f>HYPERLINK("https://www.uab.edu/engineering/mme/people/faculty","https://www.uab.edu/engineering/mme/people/faculty")</f>
        <v>https://www.uab.edu/engineering/mme/people/faculty</v>
      </c>
    </row>
    <row r="160" spans="1:12" x14ac:dyDescent="0.3">
      <c r="A160">
        <v>560</v>
      </c>
      <c r="B160" t="s">
        <v>1280</v>
      </c>
      <c r="C160" t="s">
        <v>1271</v>
      </c>
      <c r="D160" t="s">
        <v>14</v>
      </c>
      <c r="E160" t="s">
        <v>57</v>
      </c>
      <c r="F160" t="s">
        <v>114</v>
      </c>
      <c r="G160" t="s">
        <v>115</v>
      </c>
      <c r="H160" t="s">
        <v>58</v>
      </c>
      <c r="I160">
        <v>0</v>
      </c>
      <c r="J160" t="s">
        <v>116</v>
      </c>
      <c r="K160">
        <v>1</v>
      </c>
      <c r="L160" t="str">
        <f>HYPERLINK("https://www.uab.edu/engineering/mme/people/faculty","https://www.uab.edu/engineering/mme/people/faculty")</f>
        <v>https://www.uab.edu/engineering/mme/people/faculty</v>
      </c>
    </row>
    <row r="161" spans="1:12" x14ac:dyDescent="0.3">
      <c r="A161">
        <v>580</v>
      </c>
      <c r="B161" t="s">
        <v>1316</v>
      </c>
      <c r="C161" t="s">
        <v>1297</v>
      </c>
      <c r="D161" t="s">
        <v>14</v>
      </c>
      <c r="E161" t="s">
        <v>1317</v>
      </c>
      <c r="F161" t="s">
        <v>151</v>
      </c>
      <c r="G161" t="s">
        <v>152</v>
      </c>
      <c r="H161" t="s">
        <v>85</v>
      </c>
      <c r="I161">
        <v>36</v>
      </c>
      <c r="J161" t="s">
        <v>154</v>
      </c>
      <c r="K161">
        <v>1</v>
      </c>
      <c r="L161" t="str">
        <f>HYPERLINK("https://eng.ua.edu/eng-directory/dr-bhupendra-khandelwal/","https://eng.ua.edu/eng-directory/dr-bhupendra-khandelwal/")</f>
        <v>https://eng.ua.edu/eng-directory/dr-bhupendra-khandelwal/</v>
      </c>
    </row>
    <row r="162" spans="1:12" x14ac:dyDescent="0.3">
      <c r="A162">
        <v>583</v>
      </c>
      <c r="B162" t="s">
        <v>1322</v>
      </c>
      <c r="C162" t="s">
        <v>1323</v>
      </c>
      <c r="D162" t="s">
        <v>161</v>
      </c>
      <c r="E162" t="s">
        <v>1324</v>
      </c>
      <c r="F162" t="s">
        <v>114</v>
      </c>
      <c r="G162" t="s">
        <v>115</v>
      </c>
      <c r="H162" t="s">
        <v>213</v>
      </c>
      <c r="I162">
        <v>43</v>
      </c>
      <c r="J162" t="s">
        <v>116</v>
      </c>
      <c r="K162">
        <v>1</v>
      </c>
      <c r="L162" t="str">
        <f>HYPERLINK("https://ame.engineering.arizona.edu/faculty-staff/faculty/farzad-mashayek","https://ame.engineering.arizona.edu/faculty-staff/faculty/farzad-mashayek")</f>
        <v>https://ame.engineering.arizona.edu/faculty-staff/faculty/farzad-mashayek</v>
      </c>
    </row>
    <row r="163" spans="1:12" x14ac:dyDescent="0.3">
      <c r="A163">
        <v>584</v>
      </c>
      <c r="B163" t="s">
        <v>1325</v>
      </c>
      <c r="C163" t="s">
        <v>1323</v>
      </c>
      <c r="D163" t="s">
        <v>161</v>
      </c>
      <c r="E163" t="s">
        <v>1326</v>
      </c>
      <c r="F163" t="s">
        <v>114</v>
      </c>
      <c r="G163" t="s">
        <v>115</v>
      </c>
      <c r="H163" t="s">
        <v>29</v>
      </c>
      <c r="I163">
        <v>11</v>
      </c>
      <c r="J163" t="s">
        <v>116</v>
      </c>
      <c r="K163">
        <v>1</v>
      </c>
      <c r="L163" t="str">
        <f>HYPERLINK("https://ame.engineering.arizona.edu/faculty-staff/faculty/stuart-craig","https://ame.engineering.arizona.edu/faculty-staff/faculty/stuart-craig")</f>
        <v>https://ame.engineering.arizona.edu/faculty-staff/faculty/stuart-craig</v>
      </c>
    </row>
    <row r="164" spans="1:12" x14ac:dyDescent="0.3">
      <c r="A164">
        <v>585</v>
      </c>
      <c r="B164" t="s">
        <v>1327</v>
      </c>
      <c r="C164" t="s">
        <v>1323</v>
      </c>
      <c r="D164" t="s">
        <v>161</v>
      </c>
      <c r="E164" t="s">
        <v>1328</v>
      </c>
      <c r="F164" t="s">
        <v>114</v>
      </c>
      <c r="G164" t="s">
        <v>115</v>
      </c>
      <c r="H164" t="s">
        <v>516</v>
      </c>
      <c r="I164">
        <v>24</v>
      </c>
      <c r="J164" t="s">
        <v>116</v>
      </c>
      <c r="K164">
        <v>1</v>
      </c>
      <c r="L164" t="str">
        <f>HYPERLINK("https://ame.engineering.arizona.edu/faculty-staff/faculty/bernard-parent","https://ame.engineering.arizona.edu/faculty-staff/faculty/bernard-parent")</f>
        <v>https://ame.engineering.arizona.edu/faculty-staff/faculty/bernard-parent</v>
      </c>
    </row>
    <row r="165" spans="1:12" x14ac:dyDescent="0.3">
      <c r="A165">
        <v>586</v>
      </c>
      <c r="B165" t="s">
        <v>1329</v>
      </c>
      <c r="C165" t="s">
        <v>1323</v>
      </c>
      <c r="D165" t="s">
        <v>161</v>
      </c>
      <c r="E165" t="s">
        <v>1330</v>
      </c>
      <c r="F165" t="s">
        <v>114</v>
      </c>
      <c r="G165" t="s">
        <v>115</v>
      </c>
      <c r="H165" t="s">
        <v>127</v>
      </c>
      <c r="I165">
        <v>25</v>
      </c>
      <c r="J165" t="s">
        <v>116</v>
      </c>
      <c r="K165">
        <v>1</v>
      </c>
      <c r="L165" t="str">
        <f>HYPERLINK("https://ame.engineering.arizona.edu/faculty-staff/faculty/james-threadgill","https://ame.engineering.arizona.edu/faculty-staff/faculty/james-threadgill")</f>
        <v>https://ame.engineering.arizona.edu/faculty-staff/faculty/james-threadgill</v>
      </c>
    </row>
    <row r="166" spans="1:12" hidden="1" x14ac:dyDescent="0.3">
      <c r="A166">
        <v>165</v>
      </c>
      <c r="B166" t="s">
        <v>441</v>
      </c>
      <c r="C166" t="s">
        <v>423</v>
      </c>
      <c r="D166" t="s">
        <v>31</v>
      </c>
      <c r="E166" t="s">
        <v>442</v>
      </c>
      <c r="F166" t="s">
        <v>114</v>
      </c>
      <c r="G166" t="s">
        <v>115</v>
      </c>
      <c r="H166" t="s">
        <v>417</v>
      </c>
      <c r="I166">
        <v>0</v>
      </c>
      <c r="J166" t="s">
        <v>116</v>
      </c>
      <c r="K166">
        <v>3</v>
      </c>
      <c r="L166" t="str">
        <f>HYPERLINK("https://www.sc.fsu.edu/people/faculty","https://www.sc.fsu.edu/people/faculty")</f>
        <v>https://www.sc.fsu.edu/people/faculty</v>
      </c>
    </row>
    <row r="167" spans="1:12" hidden="1" x14ac:dyDescent="0.3">
      <c r="A167">
        <v>166</v>
      </c>
      <c r="B167" t="s">
        <v>443</v>
      </c>
      <c r="C167" t="s">
        <v>423</v>
      </c>
      <c r="D167" t="s">
        <v>31</v>
      </c>
      <c r="E167" t="s">
        <v>444</v>
      </c>
      <c r="F167" t="s">
        <v>114</v>
      </c>
      <c r="G167" t="s">
        <v>115</v>
      </c>
      <c r="H167" t="s">
        <v>417</v>
      </c>
      <c r="I167">
        <v>0</v>
      </c>
      <c r="J167" t="s">
        <v>116</v>
      </c>
      <c r="K167">
        <v>3</v>
      </c>
      <c r="L167" t="str">
        <f>HYPERLINK("https://www.sc.fsu.edu/people/faculty","https://www.sc.fsu.edu/people/faculty")</f>
        <v>https://www.sc.fsu.edu/people/faculty</v>
      </c>
    </row>
    <row r="168" spans="1:12" hidden="1" x14ac:dyDescent="0.3">
      <c r="A168">
        <v>167</v>
      </c>
      <c r="B168" t="s">
        <v>445</v>
      </c>
      <c r="C168" t="s">
        <v>423</v>
      </c>
      <c r="D168" t="s">
        <v>31</v>
      </c>
      <c r="E168" t="s">
        <v>446</v>
      </c>
      <c r="F168" t="s">
        <v>114</v>
      </c>
      <c r="G168" t="s">
        <v>115</v>
      </c>
      <c r="H168" t="s">
        <v>417</v>
      </c>
      <c r="I168">
        <v>0</v>
      </c>
      <c r="J168" t="s">
        <v>116</v>
      </c>
      <c r="K168">
        <v>3</v>
      </c>
      <c r="L168" t="str">
        <f>HYPERLINK("https://www.sc.fsu.edu/people/faculty","https://www.sc.fsu.edu/people/faculty")</f>
        <v>https://www.sc.fsu.edu/people/faculty</v>
      </c>
    </row>
    <row r="169" spans="1:12" hidden="1" x14ac:dyDescent="0.3">
      <c r="A169">
        <v>168</v>
      </c>
      <c r="B169" t="s">
        <v>447</v>
      </c>
      <c r="C169" t="s">
        <v>423</v>
      </c>
      <c r="D169" t="s">
        <v>31</v>
      </c>
      <c r="E169" t="s">
        <v>448</v>
      </c>
      <c r="F169" t="s">
        <v>114</v>
      </c>
      <c r="G169" t="s">
        <v>115</v>
      </c>
      <c r="H169" t="s">
        <v>417</v>
      </c>
      <c r="I169">
        <v>0</v>
      </c>
      <c r="J169" t="s">
        <v>116</v>
      </c>
      <c r="K169">
        <v>3</v>
      </c>
      <c r="L169" t="str">
        <f>HYPERLINK("https://www.sc.fsu.edu/people/faculty","https://www.sc.fsu.edu/people/faculty")</f>
        <v>https://www.sc.fsu.edu/people/faculty</v>
      </c>
    </row>
    <row r="170" spans="1:12" hidden="1" x14ac:dyDescent="0.3">
      <c r="A170">
        <v>169</v>
      </c>
      <c r="B170" t="s">
        <v>449</v>
      </c>
      <c r="C170" t="s">
        <v>423</v>
      </c>
      <c r="D170" t="s">
        <v>31</v>
      </c>
      <c r="E170" t="s">
        <v>450</v>
      </c>
      <c r="F170" t="s">
        <v>114</v>
      </c>
      <c r="G170" t="s">
        <v>115</v>
      </c>
      <c r="H170" t="s">
        <v>417</v>
      </c>
      <c r="I170">
        <v>0</v>
      </c>
      <c r="J170" t="s">
        <v>116</v>
      </c>
      <c r="K170">
        <v>3</v>
      </c>
      <c r="L170" t="str">
        <f>HYPERLINK("https://mathematics.fsu.edu/people","https://mathematics.fsu.edu/people")</f>
        <v>https://mathematics.fsu.edu/people</v>
      </c>
    </row>
    <row r="171" spans="1:12" x14ac:dyDescent="0.3">
      <c r="A171">
        <v>592</v>
      </c>
      <c r="B171" t="s">
        <v>1340</v>
      </c>
      <c r="C171" t="s">
        <v>1341</v>
      </c>
      <c r="D171" t="s">
        <v>14</v>
      </c>
      <c r="E171" t="s">
        <v>1342</v>
      </c>
      <c r="F171" t="s">
        <v>151</v>
      </c>
      <c r="G171" t="s">
        <v>152</v>
      </c>
      <c r="H171" t="s">
        <v>18</v>
      </c>
      <c r="I171">
        <v>17</v>
      </c>
      <c r="J171" t="s">
        <v>154</v>
      </c>
      <c r="K171">
        <v>1</v>
      </c>
      <c r="L171" t="str">
        <f>HYPERLINK("https://engineering.uark.edu/mechanical-engineering/faculty.php","https://engineering.uark.edu/mechanical-engineering/faculty.php")</f>
        <v>https://engineering.uark.edu/mechanical-engineering/faculty.php</v>
      </c>
    </row>
    <row r="172" spans="1:12" x14ac:dyDescent="0.3">
      <c r="A172">
        <v>594</v>
      </c>
      <c r="B172" t="s">
        <v>1345</v>
      </c>
      <c r="C172" t="s">
        <v>1341</v>
      </c>
      <c r="D172" t="s">
        <v>14</v>
      </c>
      <c r="E172" t="s">
        <v>1346</v>
      </c>
      <c r="F172" t="s">
        <v>151</v>
      </c>
      <c r="G172" t="s">
        <v>152</v>
      </c>
      <c r="H172" t="s">
        <v>516</v>
      </c>
      <c r="I172">
        <v>135</v>
      </c>
      <c r="J172" t="s">
        <v>154</v>
      </c>
      <c r="K172">
        <v>1</v>
      </c>
      <c r="L172" t="str">
        <f>HYPERLINK("https://engineering.uark.edu/mechanical-engineering/faculty.php","https://engineering.uark.edu/mechanical-engineering/faculty.php")</f>
        <v>https://engineering.uark.edu/mechanical-engineering/faculty.php</v>
      </c>
    </row>
    <row r="173" spans="1:12" x14ac:dyDescent="0.3">
      <c r="A173">
        <v>595</v>
      </c>
      <c r="B173" t="s">
        <v>1347</v>
      </c>
      <c r="C173" t="s">
        <v>1341</v>
      </c>
      <c r="D173" t="s">
        <v>14</v>
      </c>
      <c r="E173" t="s">
        <v>1348</v>
      </c>
      <c r="F173" t="s">
        <v>151</v>
      </c>
      <c r="G173" t="s">
        <v>152</v>
      </c>
      <c r="H173" t="s">
        <v>29</v>
      </c>
      <c r="I173">
        <v>15</v>
      </c>
      <c r="J173" t="s">
        <v>154</v>
      </c>
      <c r="K173">
        <v>1</v>
      </c>
      <c r="L173" t="str">
        <f>HYPERLINK("https://engineering.uark.edu/mechanical-engineering/faculty.php","https://engineering.uark.edu/mechanical-engineering/faculty.php")</f>
        <v>https://engineering.uark.edu/mechanical-engineering/faculty.php</v>
      </c>
    </row>
    <row r="174" spans="1:12" x14ac:dyDescent="0.3">
      <c r="A174">
        <v>617</v>
      </c>
      <c r="B174" t="s">
        <v>1395</v>
      </c>
      <c r="C174" t="s">
        <v>1393</v>
      </c>
      <c r="D174" t="s">
        <v>14</v>
      </c>
      <c r="E174" t="s">
        <v>57</v>
      </c>
      <c r="F174" t="s">
        <v>151</v>
      </c>
      <c r="G174" t="s">
        <v>152</v>
      </c>
      <c r="H174" t="s">
        <v>58</v>
      </c>
      <c r="I174">
        <v>0</v>
      </c>
      <c r="J174" t="s">
        <v>154</v>
      </c>
      <c r="K174">
        <v>1</v>
      </c>
      <c r="L174" t="str">
        <f>HYPERLINK("https://me.berkeley.edu/people/simo-makiharju/","https://me.berkeley.edu/people/simo-makiharju/")</f>
        <v>https://me.berkeley.edu/people/simo-makiharju/</v>
      </c>
    </row>
    <row r="175" spans="1:12" hidden="1" x14ac:dyDescent="0.3">
      <c r="A175">
        <v>174</v>
      </c>
      <c r="B175" t="s">
        <v>461</v>
      </c>
      <c r="C175" t="s">
        <v>452</v>
      </c>
      <c r="D175" t="s">
        <v>31</v>
      </c>
      <c r="E175" t="s">
        <v>462</v>
      </c>
      <c r="F175" t="s">
        <v>27</v>
      </c>
      <c r="G175" t="s">
        <v>454</v>
      </c>
      <c r="H175" t="s">
        <v>85</v>
      </c>
      <c r="I175">
        <v>21</v>
      </c>
      <c r="J175" t="s">
        <v>19</v>
      </c>
      <c r="K175">
        <v>1</v>
      </c>
      <c r="L175" t="str">
        <f>HYPERLINK("https://mechanical.gmu.edu/people/faculty","https://mechanical.gmu.edu/people/faculty")</f>
        <v>https://mechanical.gmu.edu/people/faculty</v>
      </c>
    </row>
    <row r="176" spans="1:12" hidden="1" x14ac:dyDescent="0.3">
      <c r="A176">
        <v>175</v>
      </c>
      <c r="B176" t="s">
        <v>463</v>
      </c>
      <c r="C176" t="s">
        <v>452</v>
      </c>
      <c r="D176" t="s">
        <v>31</v>
      </c>
      <c r="E176" t="s">
        <v>464</v>
      </c>
      <c r="F176" t="s">
        <v>114</v>
      </c>
      <c r="G176" t="s">
        <v>115</v>
      </c>
      <c r="H176" t="s">
        <v>36</v>
      </c>
      <c r="I176">
        <v>144</v>
      </c>
      <c r="J176" t="s">
        <v>116</v>
      </c>
      <c r="K176">
        <v>3</v>
      </c>
      <c r="L176" t="str">
        <f>HYPERLINK("https://science.gmu.edu/academics/departments-units/mathematical-sciences/faculty-and-staff","https://science.gmu.edu/academics/departments-units/mathematical-sciences/faculty-and-staff")</f>
        <v>https://science.gmu.edu/academics/departments-units/mathematical-sciences/faculty-and-staff</v>
      </c>
    </row>
    <row r="177" spans="1:12" hidden="1" x14ac:dyDescent="0.3">
      <c r="A177">
        <v>176</v>
      </c>
      <c r="B177" t="s">
        <v>465</v>
      </c>
      <c r="C177" t="s">
        <v>452</v>
      </c>
      <c r="D177" t="s">
        <v>31</v>
      </c>
      <c r="E177" t="s">
        <v>466</v>
      </c>
      <c r="F177" t="s">
        <v>114</v>
      </c>
      <c r="G177" t="s">
        <v>115</v>
      </c>
      <c r="H177" t="s">
        <v>92</v>
      </c>
      <c r="I177">
        <v>32</v>
      </c>
      <c r="J177" t="s">
        <v>116</v>
      </c>
      <c r="K177">
        <v>3</v>
      </c>
      <c r="L177" t="str">
        <f>HYPERLINK("https://science.gmu.edu/academics/departments-units/mathematical-sciences/faculty-and-staff","https://science.gmu.edu/academics/departments-units/mathematical-sciences/faculty-and-staff")</f>
        <v>https://science.gmu.edu/academics/departments-units/mathematical-sciences/faculty-and-staff</v>
      </c>
    </row>
    <row r="178" spans="1:12" hidden="1" x14ac:dyDescent="0.3">
      <c r="A178">
        <v>177</v>
      </c>
      <c r="B178" t="s">
        <v>467</v>
      </c>
      <c r="C178" t="s">
        <v>452</v>
      </c>
      <c r="D178" t="s">
        <v>31</v>
      </c>
      <c r="E178" t="s">
        <v>468</v>
      </c>
      <c r="F178" t="s">
        <v>114</v>
      </c>
      <c r="G178" t="s">
        <v>115</v>
      </c>
      <c r="H178" t="s">
        <v>50</v>
      </c>
      <c r="I178">
        <v>10</v>
      </c>
      <c r="J178" t="s">
        <v>116</v>
      </c>
      <c r="K178">
        <v>3</v>
      </c>
      <c r="L178" t="str">
        <f>HYPERLINK("https://science.gmu.edu/academics/departments-units/mathematical-sciences/faculty-and-staff","https://science.gmu.edu/academics/departments-units/mathematical-sciences/faculty-and-staff")</f>
        <v>https://science.gmu.edu/academics/departments-units/mathematical-sciences/faculty-and-staff</v>
      </c>
    </row>
    <row r="179" spans="1:12" hidden="1" x14ac:dyDescent="0.3">
      <c r="A179">
        <v>178</v>
      </c>
      <c r="B179" t="s">
        <v>469</v>
      </c>
      <c r="C179" t="s">
        <v>452</v>
      </c>
      <c r="D179" t="s">
        <v>31</v>
      </c>
      <c r="E179" t="s">
        <v>470</v>
      </c>
      <c r="F179" t="s">
        <v>114</v>
      </c>
      <c r="G179" t="s">
        <v>115</v>
      </c>
      <c r="H179" t="s">
        <v>329</v>
      </c>
      <c r="I179">
        <v>38</v>
      </c>
      <c r="J179" t="s">
        <v>116</v>
      </c>
      <c r="K179">
        <v>3</v>
      </c>
      <c r="L179" t="str">
        <f>HYPERLINK("https://science.gmu.edu/academics/departments-units/mathematical-sciences/faculty-and-staff","https://science.gmu.edu/academics/departments-units/mathematical-sciences/faculty-and-staff")</f>
        <v>https://science.gmu.edu/academics/departments-units/mathematical-sciences/faculty-and-staff</v>
      </c>
    </row>
    <row r="180" spans="1:12" hidden="1" x14ac:dyDescent="0.3">
      <c r="A180">
        <v>179</v>
      </c>
      <c r="B180" t="s">
        <v>471</v>
      </c>
      <c r="C180" t="s">
        <v>452</v>
      </c>
      <c r="D180" t="s">
        <v>31</v>
      </c>
      <c r="E180" t="s">
        <v>472</v>
      </c>
      <c r="F180" t="s">
        <v>114</v>
      </c>
      <c r="G180" t="s">
        <v>115</v>
      </c>
      <c r="H180" t="s">
        <v>365</v>
      </c>
      <c r="I180">
        <v>17</v>
      </c>
      <c r="J180" t="s">
        <v>116</v>
      </c>
      <c r="K180">
        <v>3</v>
      </c>
      <c r="L180" t="str">
        <f>HYPERLINK("https://science.gmu.edu/academics/departments-units/mathematical-sciences/faculty-and-staff","https://science.gmu.edu/academics/departments-units/mathematical-sciences/faculty-and-staff")</f>
        <v>https://science.gmu.edu/academics/departments-units/mathematical-sciences/faculty-and-staff</v>
      </c>
    </row>
    <row r="181" spans="1:12" x14ac:dyDescent="0.3">
      <c r="A181">
        <v>618</v>
      </c>
      <c r="B181" t="s">
        <v>1396</v>
      </c>
      <c r="C181" t="s">
        <v>1393</v>
      </c>
      <c r="D181" t="s">
        <v>14</v>
      </c>
      <c r="E181" t="s">
        <v>57</v>
      </c>
      <c r="F181" t="s">
        <v>151</v>
      </c>
      <c r="G181" t="s">
        <v>152</v>
      </c>
      <c r="H181" t="s">
        <v>58</v>
      </c>
      <c r="I181">
        <v>0</v>
      </c>
      <c r="J181" t="s">
        <v>154</v>
      </c>
      <c r="K181">
        <v>1</v>
      </c>
      <c r="L181" t="str">
        <f>HYPERLINK("https://me.berkeley.edu/people/m-reza-alam/","https://me.berkeley.edu/people/m-reza-alam/")</f>
        <v>https://me.berkeley.edu/people/m-reza-alam/</v>
      </c>
    </row>
    <row r="182" spans="1:12" hidden="1" x14ac:dyDescent="0.3">
      <c r="A182">
        <v>181</v>
      </c>
      <c r="B182" t="s">
        <v>477</v>
      </c>
      <c r="C182" t="s">
        <v>474</v>
      </c>
      <c r="D182" t="s">
        <v>31</v>
      </c>
      <c r="E182" t="s">
        <v>478</v>
      </c>
      <c r="F182" t="s">
        <v>27</v>
      </c>
      <c r="G182" t="s">
        <v>476</v>
      </c>
      <c r="H182" t="s">
        <v>18</v>
      </c>
      <c r="I182">
        <v>37</v>
      </c>
      <c r="J182" t="s">
        <v>19</v>
      </c>
      <c r="K182">
        <v>1</v>
      </c>
      <c r="L182" t="str">
        <f>HYPERLINK("https://mae.engineering.gwu.edu/faculty-directory","https://mae.engineering.gwu.edu/faculty-directory")</f>
        <v>https://mae.engineering.gwu.edu/faculty-directory</v>
      </c>
    </row>
    <row r="183" spans="1:12" x14ac:dyDescent="0.3">
      <c r="A183">
        <v>619</v>
      </c>
      <c r="B183" t="s">
        <v>1397</v>
      </c>
      <c r="C183" t="s">
        <v>1393</v>
      </c>
      <c r="D183" t="s">
        <v>14</v>
      </c>
      <c r="E183" t="s">
        <v>1398</v>
      </c>
      <c r="F183" t="s">
        <v>151</v>
      </c>
      <c r="G183" t="s">
        <v>152</v>
      </c>
      <c r="H183" t="s">
        <v>159</v>
      </c>
      <c r="I183">
        <v>25</v>
      </c>
      <c r="J183" t="s">
        <v>154</v>
      </c>
      <c r="K183">
        <v>1</v>
      </c>
      <c r="L183" t="str">
        <f>HYPERLINK("https://me.berkeley.edu/people/shawn-shadden/","https://me.berkeley.edu/people/shawn-shadden/")</f>
        <v>https://me.berkeley.edu/people/shawn-shadden/</v>
      </c>
    </row>
    <row r="184" spans="1:12" x14ac:dyDescent="0.3">
      <c r="A184">
        <v>620</v>
      </c>
      <c r="B184" t="s">
        <v>1399</v>
      </c>
      <c r="C184" t="s">
        <v>1393</v>
      </c>
      <c r="D184" t="s">
        <v>14</v>
      </c>
      <c r="E184" t="s">
        <v>57</v>
      </c>
      <c r="F184" t="s">
        <v>114</v>
      </c>
      <c r="G184" t="s">
        <v>115</v>
      </c>
      <c r="H184" t="s">
        <v>58</v>
      </c>
      <c r="I184">
        <v>0</v>
      </c>
      <c r="J184" t="s">
        <v>116</v>
      </c>
      <c r="K184">
        <v>3</v>
      </c>
      <c r="L184" t="str">
        <f>HYPERLINK("https://me.berkeley.edu/people/jyh-yuan-chen/","https://me.berkeley.edu/people/jyh-yuan-chen/")</f>
        <v>https://me.berkeley.edu/people/jyh-yuan-chen/</v>
      </c>
    </row>
    <row r="185" spans="1:12" x14ac:dyDescent="0.3">
      <c r="A185">
        <v>622</v>
      </c>
      <c r="B185" t="s">
        <v>1402</v>
      </c>
      <c r="C185" t="s">
        <v>1393</v>
      </c>
      <c r="D185" t="s">
        <v>161</v>
      </c>
      <c r="E185" t="s">
        <v>1403</v>
      </c>
      <c r="F185" t="s">
        <v>151</v>
      </c>
      <c r="G185" t="s">
        <v>152</v>
      </c>
      <c r="H185" t="s">
        <v>159</v>
      </c>
      <c r="I185">
        <v>51</v>
      </c>
      <c r="J185" t="s">
        <v>154</v>
      </c>
      <c r="K185">
        <v>1</v>
      </c>
      <c r="L185" t="str">
        <f>HYPERLINK("https://me.berkeley.edu/people/mark-mueller/","https://me.berkeley.edu/people/mark-mueller/")</f>
        <v>https://me.berkeley.edu/people/mark-mueller/</v>
      </c>
    </row>
    <row r="186" spans="1:12" x14ac:dyDescent="0.3">
      <c r="A186">
        <v>642</v>
      </c>
      <c r="B186" t="s">
        <v>1438</v>
      </c>
      <c r="C186" t="s">
        <v>1439</v>
      </c>
      <c r="D186" t="s">
        <v>161</v>
      </c>
      <c r="E186" t="s">
        <v>57</v>
      </c>
      <c r="F186" t="s">
        <v>114</v>
      </c>
      <c r="G186" t="s">
        <v>115</v>
      </c>
      <c r="H186" t="s">
        <v>58</v>
      </c>
      <c r="I186">
        <v>0</v>
      </c>
      <c r="J186" t="s">
        <v>116</v>
      </c>
      <c r="K186">
        <v>1</v>
      </c>
      <c r="L186" t="str">
        <f>HYPERLINK("https://engineering.uci.edu/dept/mae/faculty-staff/faculty","https://engineering.uci.edu/dept/mae/faculty-staff/faculty")</f>
        <v>https://engineering.uci.edu/dept/mae/faculty-staff/faculty</v>
      </c>
    </row>
    <row r="187" spans="1:12" x14ac:dyDescent="0.3">
      <c r="A187">
        <v>643</v>
      </c>
      <c r="B187" t="s">
        <v>1440</v>
      </c>
      <c r="C187" t="s">
        <v>1439</v>
      </c>
      <c r="D187" t="s">
        <v>161</v>
      </c>
      <c r="E187" t="s">
        <v>57</v>
      </c>
      <c r="F187" t="s">
        <v>114</v>
      </c>
      <c r="G187" t="s">
        <v>115</v>
      </c>
      <c r="H187" t="s">
        <v>58</v>
      </c>
      <c r="I187">
        <v>0</v>
      </c>
      <c r="J187" t="s">
        <v>116</v>
      </c>
      <c r="K187">
        <v>1</v>
      </c>
      <c r="L187" t="str">
        <f>HYPERLINK("https://engineering.uci.edu/dept/mae/faculty-staff/faculty","https://engineering.uci.edu/dept/mae/faculty-staff/faculty")</f>
        <v>https://engineering.uci.edu/dept/mae/faculty-staff/faculty</v>
      </c>
    </row>
    <row r="188" spans="1:12" x14ac:dyDescent="0.3">
      <c r="A188">
        <v>644</v>
      </c>
      <c r="B188" t="s">
        <v>1441</v>
      </c>
      <c r="C188" t="s">
        <v>1439</v>
      </c>
      <c r="D188" t="s">
        <v>161</v>
      </c>
      <c r="E188" t="s">
        <v>1442</v>
      </c>
      <c r="F188" t="s">
        <v>114</v>
      </c>
      <c r="G188" t="s">
        <v>115</v>
      </c>
      <c r="H188" t="s">
        <v>495</v>
      </c>
      <c r="I188">
        <v>20</v>
      </c>
      <c r="J188" t="s">
        <v>116</v>
      </c>
      <c r="K188">
        <v>1</v>
      </c>
      <c r="L188" t="str">
        <f>HYPERLINK("https://engineering.uci.edu/dept/mae/faculty-staff/faculty","https://engineering.uci.edu/dept/mae/faculty-staff/faculty")</f>
        <v>https://engineering.uci.edu/dept/mae/faculty-staff/faculty</v>
      </c>
    </row>
    <row r="189" spans="1:12" x14ac:dyDescent="0.3">
      <c r="A189">
        <v>645</v>
      </c>
      <c r="B189" t="s">
        <v>1443</v>
      </c>
      <c r="C189" t="s">
        <v>1439</v>
      </c>
      <c r="D189" t="s">
        <v>161</v>
      </c>
      <c r="E189" t="s">
        <v>1444</v>
      </c>
      <c r="F189" t="s">
        <v>114</v>
      </c>
      <c r="G189" t="s">
        <v>115</v>
      </c>
      <c r="H189" t="s">
        <v>213</v>
      </c>
      <c r="I189">
        <v>473</v>
      </c>
      <c r="J189" t="s">
        <v>116</v>
      </c>
      <c r="K189">
        <v>1</v>
      </c>
      <c r="L189" t="str">
        <f>HYPERLINK("https://engineering.uci.edu/dept/mae/faculty-staff/faculty","https://engineering.uci.edu/dept/mae/faculty-staff/faculty")</f>
        <v>https://engineering.uci.edu/dept/mae/faculty-staff/faculty</v>
      </c>
    </row>
    <row r="190" spans="1:12" x14ac:dyDescent="0.3">
      <c r="A190">
        <v>646</v>
      </c>
      <c r="B190" t="s">
        <v>1445</v>
      </c>
      <c r="C190" t="s">
        <v>1439</v>
      </c>
      <c r="D190" t="s">
        <v>161</v>
      </c>
      <c r="E190" t="s">
        <v>57</v>
      </c>
      <c r="F190" t="s">
        <v>114</v>
      </c>
      <c r="G190" t="s">
        <v>115</v>
      </c>
      <c r="H190" t="s">
        <v>58</v>
      </c>
      <c r="I190">
        <v>0</v>
      </c>
      <c r="J190" t="s">
        <v>116</v>
      </c>
      <c r="K190">
        <v>1</v>
      </c>
      <c r="L190" t="str">
        <f>HYPERLINK("https://engineering.uci.edu/dept/mae/faculty-staff/faculty","https://engineering.uci.edu/dept/mae/faculty-staff/faculty")</f>
        <v>https://engineering.uci.edu/dept/mae/faculty-staff/faculty</v>
      </c>
    </row>
    <row r="191" spans="1:12" x14ac:dyDescent="0.3">
      <c r="A191">
        <v>647</v>
      </c>
      <c r="B191" t="s">
        <v>1446</v>
      </c>
      <c r="C191" t="s">
        <v>1439</v>
      </c>
      <c r="D191" t="s">
        <v>161</v>
      </c>
      <c r="E191" t="s">
        <v>1447</v>
      </c>
      <c r="F191" t="s">
        <v>114</v>
      </c>
      <c r="G191" t="s">
        <v>115</v>
      </c>
      <c r="H191" t="s">
        <v>39</v>
      </c>
      <c r="I191">
        <v>129</v>
      </c>
      <c r="J191" t="s">
        <v>116</v>
      </c>
      <c r="K191">
        <v>1</v>
      </c>
      <c r="L191" t="str">
        <f>HYPERLINK("https://engineering.uci.edu/dept/mae/faculty-staff/faculty","https://engineering.uci.edu/dept/mae/faculty-staff/faculty")</f>
        <v>https://engineering.uci.edu/dept/mae/faculty-staff/faculty</v>
      </c>
    </row>
    <row r="192" spans="1:12" x14ac:dyDescent="0.3">
      <c r="A192">
        <v>648</v>
      </c>
      <c r="B192" t="s">
        <v>1448</v>
      </c>
      <c r="C192" t="s">
        <v>1439</v>
      </c>
      <c r="D192" t="s">
        <v>161</v>
      </c>
      <c r="E192" t="s">
        <v>1449</v>
      </c>
      <c r="F192" t="s">
        <v>114</v>
      </c>
      <c r="G192" t="s">
        <v>115</v>
      </c>
      <c r="H192" t="s">
        <v>516</v>
      </c>
      <c r="I192">
        <v>17</v>
      </c>
      <c r="J192" t="s">
        <v>116</v>
      </c>
      <c r="K192">
        <v>1</v>
      </c>
      <c r="L192" t="str">
        <f>HYPERLINK("https://engineering.uci.edu/dept/mae/faculty-staff/faculty","https://engineering.uci.edu/dept/mae/faculty-staff/faculty")</f>
        <v>https://engineering.uci.edu/dept/mae/faculty-staff/faculty</v>
      </c>
    </row>
    <row r="193" spans="1:12" x14ac:dyDescent="0.3">
      <c r="A193">
        <v>649</v>
      </c>
      <c r="B193" t="s">
        <v>1450</v>
      </c>
      <c r="C193" t="s">
        <v>1439</v>
      </c>
      <c r="D193" t="s">
        <v>161</v>
      </c>
      <c r="E193" t="s">
        <v>57</v>
      </c>
      <c r="F193" t="s">
        <v>114</v>
      </c>
      <c r="G193" t="s">
        <v>115</v>
      </c>
      <c r="H193" t="s">
        <v>58</v>
      </c>
      <c r="I193">
        <v>0</v>
      </c>
      <c r="J193" t="s">
        <v>116</v>
      </c>
      <c r="K193">
        <v>1</v>
      </c>
      <c r="L193" t="str">
        <f>HYPERLINK("https://engineering.uci.edu/dept/mae/faculty-staff/faculty","https://engineering.uci.edu/dept/mae/faculty-staff/faculty")</f>
        <v>https://engineering.uci.edu/dept/mae/faculty-staff/faculty</v>
      </c>
    </row>
    <row r="194" spans="1:12" hidden="1" x14ac:dyDescent="0.3">
      <c r="A194">
        <v>193</v>
      </c>
      <c r="B194" t="s">
        <v>502</v>
      </c>
      <c r="C194" t="s">
        <v>493</v>
      </c>
      <c r="D194" t="s">
        <v>31</v>
      </c>
      <c r="E194" t="s">
        <v>503</v>
      </c>
      <c r="F194" t="s">
        <v>16</v>
      </c>
      <c r="G194" t="s">
        <v>17</v>
      </c>
      <c r="H194" t="s">
        <v>33</v>
      </c>
      <c r="I194">
        <v>0</v>
      </c>
      <c r="J194" t="s">
        <v>19</v>
      </c>
      <c r="K194">
        <v>1</v>
      </c>
      <c r="L194" t="str">
        <f>HYPERLINK("https://seas.harvard.edu/person/nick-trefethen","https://seas.harvard.edu/person/nick-trefethen")</f>
        <v>https://seas.harvard.edu/person/nick-trefethen</v>
      </c>
    </row>
    <row r="195" spans="1:12" x14ac:dyDescent="0.3">
      <c r="A195">
        <v>650</v>
      </c>
      <c r="B195" t="s">
        <v>1451</v>
      </c>
      <c r="C195" t="s">
        <v>1439</v>
      </c>
      <c r="D195" t="s">
        <v>161</v>
      </c>
      <c r="E195" t="s">
        <v>1452</v>
      </c>
      <c r="F195" t="s">
        <v>114</v>
      </c>
      <c r="G195" t="s">
        <v>115</v>
      </c>
      <c r="H195" t="s">
        <v>286</v>
      </c>
      <c r="I195">
        <v>41</v>
      </c>
      <c r="J195" t="s">
        <v>116</v>
      </c>
      <c r="K195">
        <v>1</v>
      </c>
      <c r="L195" t="str">
        <f>HYPERLINK("https://engineering.uci.edu/dept/mae/faculty-staff/faculty","https://engineering.uci.edu/dept/mae/faculty-staff/faculty")</f>
        <v>https://engineering.uci.edu/dept/mae/faculty-staff/faculty</v>
      </c>
    </row>
    <row r="196" spans="1:12" x14ac:dyDescent="0.3">
      <c r="A196">
        <v>651</v>
      </c>
      <c r="B196" t="s">
        <v>1453</v>
      </c>
      <c r="C196" t="s">
        <v>1439</v>
      </c>
      <c r="D196" t="s">
        <v>161</v>
      </c>
      <c r="E196" t="s">
        <v>57</v>
      </c>
      <c r="F196" t="s">
        <v>114</v>
      </c>
      <c r="G196" t="s">
        <v>115</v>
      </c>
      <c r="H196" t="s">
        <v>58</v>
      </c>
      <c r="I196">
        <v>0</v>
      </c>
      <c r="J196" t="s">
        <v>116</v>
      </c>
      <c r="K196">
        <v>1</v>
      </c>
      <c r="L196" t="str">
        <f>HYPERLINK("https://engineering.uci.edu/dept/mae/faculty-staff/faculty","https://engineering.uci.edu/dept/mae/faculty-staff/faculty")</f>
        <v>https://engineering.uci.edu/dept/mae/faculty-staff/faculty</v>
      </c>
    </row>
    <row r="197" spans="1:12" x14ac:dyDescent="0.3">
      <c r="A197">
        <v>652</v>
      </c>
      <c r="B197" t="s">
        <v>1454</v>
      </c>
      <c r="C197" t="s">
        <v>1439</v>
      </c>
      <c r="D197" t="s">
        <v>161</v>
      </c>
      <c r="E197" t="s">
        <v>1455</v>
      </c>
      <c r="F197" t="s">
        <v>114</v>
      </c>
      <c r="G197" t="s">
        <v>115</v>
      </c>
      <c r="H197" t="s">
        <v>88</v>
      </c>
      <c r="I197">
        <v>68</v>
      </c>
      <c r="J197" t="s">
        <v>116</v>
      </c>
      <c r="K197">
        <v>1</v>
      </c>
      <c r="L197" t="str">
        <f>HYPERLINK("https://engineering.uci.edu/dept/mae/faculty-staff/faculty","https://engineering.uci.edu/dept/mae/faculty-staff/faculty")</f>
        <v>https://engineering.uci.edu/dept/mae/faculty-staff/faculty</v>
      </c>
    </row>
    <row r="198" spans="1:12" x14ac:dyDescent="0.3">
      <c r="A198">
        <v>690</v>
      </c>
      <c r="B198" t="s">
        <v>1534</v>
      </c>
      <c r="C198" t="s">
        <v>1526</v>
      </c>
      <c r="D198" t="s">
        <v>14</v>
      </c>
      <c r="E198" t="s">
        <v>1535</v>
      </c>
      <c r="F198" t="s">
        <v>151</v>
      </c>
      <c r="G198" t="s">
        <v>152</v>
      </c>
      <c r="H198" t="s">
        <v>417</v>
      </c>
      <c r="I198">
        <v>0</v>
      </c>
      <c r="J198" t="s">
        <v>154</v>
      </c>
      <c r="K198">
        <v>1</v>
      </c>
      <c r="L198" t="str">
        <f>HYPERLINK("https://me.ucsb.edu/people","https://me.ucsb.edu/people")</f>
        <v>https://me.ucsb.edu/people</v>
      </c>
    </row>
    <row r="199" spans="1:12" hidden="1" x14ac:dyDescent="0.3">
      <c r="A199">
        <v>198</v>
      </c>
      <c r="B199" t="s">
        <v>514</v>
      </c>
      <c r="C199" t="s">
        <v>512</v>
      </c>
      <c r="D199" t="s">
        <v>31</v>
      </c>
      <c r="E199" t="s">
        <v>515</v>
      </c>
      <c r="F199" t="s">
        <v>62</v>
      </c>
      <c r="G199" t="s">
        <v>63</v>
      </c>
      <c r="H199" t="s">
        <v>516</v>
      </c>
      <c r="I199">
        <v>8</v>
      </c>
      <c r="J199" t="s">
        <v>19</v>
      </c>
      <c r="K199">
        <v>1</v>
      </c>
      <c r="L199" t="str">
        <f>HYPERLINK("https://profiles.howard.edu/katharine-gurski","https://profiles.howard.edu/katharine-gurski")</f>
        <v>https://profiles.howard.edu/katharine-gurski</v>
      </c>
    </row>
    <row r="200" spans="1:12" hidden="1" x14ac:dyDescent="0.3">
      <c r="A200">
        <v>199</v>
      </c>
      <c r="B200" t="s">
        <v>517</v>
      </c>
      <c r="C200" t="s">
        <v>512</v>
      </c>
      <c r="D200" t="s">
        <v>31</v>
      </c>
      <c r="E200" t="s">
        <v>518</v>
      </c>
      <c r="F200" t="s">
        <v>27</v>
      </c>
      <c r="G200" t="s">
        <v>28</v>
      </c>
      <c r="H200" t="s">
        <v>519</v>
      </c>
      <c r="I200">
        <v>23</v>
      </c>
      <c r="J200" t="s">
        <v>19</v>
      </c>
      <c r="K200">
        <v>1</v>
      </c>
      <c r="L200" t="str">
        <f>HYPERLINK("https://profiles.howard.edu/roberto-deleo","https://profiles.howard.edu/roberto-deleo")</f>
        <v>https://profiles.howard.edu/roberto-deleo</v>
      </c>
    </row>
    <row r="201" spans="1:12" x14ac:dyDescent="0.3">
      <c r="A201">
        <v>693</v>
      </c>
      <c r="B201" t="s">
        <v>1540</v>
      </c>
      <c r="C201" t="s">
        <v>1526</v>
      </c>
      <c r="D201" t="s">
        <v>112</v>
      </c>
      <c r="E201" t="s">
        <v>1541</v>
      </c>
      <c r="F201" t="s">
        <v>151</v>
      </c>
      <c r="G201" t="s">
        <v>152</v>
      </c>
      <c r="H201" t="s">
        <v>159</v>
      </c>
      <c r="I201">
        <v>27</v>
      </c>
      <c r="J201" t="s">
        <v>154</v>
      </c>
      <c r="K201">
        <v>1</v>
      </c>
      <c r="L201" t="str">
        <f>HYPERLINK("https://me.ucsb.edu/people","https://me.ucsb.edu/people")</f>
        <v>https://me.ucsb.edu/people</v>
      </c>
    </row>
    <row r="202" spans="1:12" x14ac:dyDescent="0.3">
      <c r="A202">
        <v>697</v>
      </c>
      <c r="B202" t="s">
        <v>1547</v>
      </c>
      <c r="C202" t="s">
        <v>1548</v>
      </c>
      <c r="D202" t="s">
        <v>161</v>
      </c>
      <c r="E202" t="s">
        <v>1549</v>
      </c>
      <c r="F202" t="s">
        <v>114</v>
      </c>
      <c r="G202" t="s">
        <v>115</v>
      </c>
      <c r="H202" t="s">
        <v>301</v>
      </c>
      <c r="I202">
        <v>143</v>
      </c>
      <c r="J202" t="s">
        <v>116</v>
      </c>
      <c r="K202">
        <v>1</v>
      </c>
      <c r="L202" t="str">
        <f>HYPERLINK("https://mae.ucf.edu/faculty-directory/","https://mae.ucf.edu/faculty-directory/")</f>
        <v>https://mae.ucf.edu/faculty-directory/</v>
      </c>
    </row>
    <row r="203" spans="1:12" x14ac:dyDescent="0.3">
      <c r="A203">
        <v>698</v>
      </c>
      <c r="B203" t="s">
        <v>1550</v>
      </c>
      <c r="C203" t="s">
        <v>1548</v>
      </c>
      <c r="D203" t="s">
        <v>161</v>
      </c>
      <c r="E203" t="s">
        <v>1551</v>
      </c>
      <c r="F203" t="s">
        <v>114</v>
      </c>
      <c r="G203" t="s">
        <v>115</v>
      </c>
      <c r="H203" t="s">
        <v>225</v>
      </c>
      <c r="I203">
        <v>204</v>
      </c>
      <c r="J203" t="s">
        <v>116</v>
      </c>
      <c r="K203">
        <v>1</v>
      </c>
      <c r="L203" t="str">
        <f>HYPERLINK("https://mae.ucf.edu/faculty-directory/","https://mae.ucf.edu/faculty-directory/")</f>
        <v>https://mae.ucf.edu/faculty-directory/</v>
      </c>
    </row>
    <row r="204" spans="1:12" x14ac:dyDescent="0.3">
      <c r="A204">
        <v>700</v>
      </c>
      <c r="B204" t="s">
        <v>1554</v>
      </c>
      <c r="C204" t="s">
        <v>1548</v>
      </c>
      <c r="D204" t="s">
        <v>161</v>
      </c>
      <c r="E204" t="s">
        <v>1555</v>
      </c>
      <c r="F204" t="s">
        <v>114</v>
      </c>
      <c r="G204" t="s">
        <v>115</v>
      </c>
      <c r="H204" t="s">
        <v>67</v>
      </c>
      <c r="I204">
        <v>23</v>
      </c>
      <c r="J204" t="s">
        <v>116</v>
      </c>
      <c r="K204">
        <v>1</v>
      </c>
      <c r="L204" t="str">
        <f>HYPERLINK("https://mae.ucf.edu/faculty-directory/","https://mae.ucf.edu/faculty-directory/")</f>
        <v>https://mae.ucf.edu/faculty-directory/</v>
      </c>
    </row>
    <row r="205" spans="1:12" x14ac:dyDescent="0.3">
      <c r="A205">
        <v>701</v>
      </c>
      <c r="B205" t="s">
        <v>1556</v>
      </c>
      <c r="C205" t="s">
        <v>1548</v>
      </c>
      <c r="D205" t="s">
        <v>161</v>
      </c>
      <c r="E205" t="s">
        <v>1557</v>
      </c>
      <c r="F205" t="s">
        <v>114</v>
      </c>
      <c r="G205" t="s">
        <v>115</v>
      </c>
      <c r="H205" t="s">
        <v>1558</v>
      </c>
      <c r="I205">
        <v>32</v>
      </c>
      <c r="J205" t="s">
        <v>116</v>
      </c>
      <c r="K205">
        <v>1</v>
      </c>
      <c r="L205" t="str">
        <f>HYPERLINK("https://mae.ucf.edu/faculty-directory/","https://mae.ucf.edu/faculty-directory/")</f>
        <v>https://mae.ucf.edu/faculty-directory/</v>
      </c>
    </row>
    <row r="206" spans="1:12" x14ac:dyDescent="0.3">
      <c r="A206">
        <v>702</v>
      </c>
      <c r="B206" t="s">
        <v>1559</v>
      </c>
      <c r="C206" t="s">
        <v>1548</v>
      </c>
      <c r="D206" t="s">
        <v>161</v>
      </c>
      <c r="E206" t="s">
        <v>1560</v>
      </c>
      <c r="F206" t="s">
        <v>114</v>
      </c>
      <c r="G206" t="s">
        <v>115</v>
      </c>
      <c r="H206" t="s">
        <v>146</v>
      </c>
      <c r="I206">
        <v>33</v>
      </c>
      <c r="J206" t="s">
        <v>116</v>
      </c>
      <c r="K206">
        <v>1</v>
      </c>
      <c r="L206" t="str">
        <f>HYPERLINK("https://mae.ucf.edu/faculty-directory/","https://mae.ucf.edu/faculty-directory/")</f>
        <v>https://mae.ucf.edu/faculty-directory/</v>
      </c>
    </row>
    <row r="207" spans="1:12" x14ac:dyDescent="0.3">
      <c r="A207">
        <v>703</v>
      </c>
      <c r="B207" t="s">
        <v>1561</v>
      </c>
      <c r="C207" t="s">
        <v>1548</v>
      </c>
      <c r="D207" t="s">
        <v>161</v>
      </c>
      <c r="E207" t="s">
        <v>1562</v>
      </c>
      <c r="F207" t="s">
        <v>114</v>
      </c>
      <c r="G207" t="s">
        <v>115</v>
      </c>
      <c r="H207" t="s">
        <v>273</v>
      </c>
      <c r="I207">
        <v>22</v>
      </c>
      <c r="J207" t="s">
        <v>116</v>
      </c>
      <c r="K207">
        <v>1</v>
      </c>
      <c r="L207" t="str">
        <f>HYPERLINK("https://mae.ucf.edu/faculty-directory/","https://mae.ucf.edu/faculty-directory/")</f>
        <v>https://mae.ucf.edu/faculty-directory/</v>
      </c>
    </row>
    <row r="208" spans="1:12" x14ac:dyDescent="0.3">
      <c r="A208">
        <v>721</v>
      </c>
      <c r="B208" t="s">
        <v>1599</v>
      </c>
      <c r="C208" t="s">
        <v>1588</v>
      </c>
      <c r="D208" t="s">
        <v>381</v>
      </c>
      <c r="E208" t="s">
        <v>1600</v>
      </c>
      <c r="F208" t="s">
        <v>151</v>
      </c>
      <c r="G208" t="s">
        <v>152</v>
      </c>
      <c r="H208" t="s">
        <v>29</v>
      </c>
      <c r="I208">
        <v>41</v>
      </c>
      <c r="J208" t="s">
        <v>154</v>
      </c>
      <c r="K208">
        <v>1</v>
      </c>
      <c r="L208" t="str">
        <f>HYPERLINK("https://www.colorado.edu/aerospace/brian-argrow","https://www.colorado.edu/aerospace/brian-argrow")</f>
        <v>https://www.colorado.edu/aerospace/brian-argrow</v>
      </c>
    </row>
    <row r="209" spans="1:12" x14ac:dyDescent="0.3">
      <c r="A209">
        <v>728</v>
      </c>
      <c r="B209" t="s">
        <v>1612</v>
      </c>
      <c r="C209" t="s">
        <v>1613</v>
      </c>
      <c r="D209" t="s">
        <v>161</v>
      </c>
      <c r="E209" t="s">
        <v>1614</v>
      </c>
      <c r="F209" t="s">
        <v>114</v>
      </c>
      <c r="G209" t="s">
        <v>115</v>
      </c>
      <c r="H209" t="s">
        <v>140</v>
      </c>
      <c r="I209">
        <v>21</v>
      </c>
      <c r="J209" t="s">
        <v>116</v>
      </c>
      <c r="K209">
        <v>1</v>
      </c>
      <c r="L209" t="str">
        <f>HYPERLINK("https://mechanical-aerospace-manufacturing.engineering.uconn.edu/person/tianfeng-lu/","https://mechanical-aerospace-manufacturing.engineering.uconn.edu/person/tianfeng-lu/")</f>
        <v>https://mechanical-aerospace-manufacturing.engineering.uconn.edu/person/tianfeng-lu/</v>
      </c>
    </row>
    <row r="210" spans="1:12" x14ac:dyDescent="0.3">
      <c r="A210">
        <v>737</v>
      </c>
      <c r="B210" t="s">
        <v>1632</v>
      </c>
      <c r="C210" t="s">
        <v>1630</v>
      </c>
      <c r="D210" t="s">
        <v>161</v>
      </c>
      <c r="E210" t="s">
        <v>1633</v>
      </c>
      <c r="F210" t="s">
        <v>151</v>
      </c>
      <c r="G210" t="s">
        <v>152</v>
      </c>
      <c r="H210" t="s">
        <v>254</v>
      </c>
      <c r="I210">
        <v>58</v>
      </c>
      <c r="J210" t="s">
        <v>154</v>
      </c>
      <c r="K210">
        <v>1</v>
      </c>
      <c r="L210" t="str">
        <f>HYPERLINK("https://udayton.edu/directory/engineering/mechanical-and-aerospace/gunasekaran-sidaard.php","https://udayton.edu/directory/engineering/mechanical-and-aerospace/gunasekaran-sidaard.php")</f>
        <v>https://udayton.edu/directory/engineering/mechanical-and-aerospace/gunasekaran-sidaard.php</v>
      </c>
    </row>
    <row r="211" spans="1:12" x14ac:dyDescent="0.3">
      <c r="A211">
        <v>748</v>
      </c>
      <c r="B211" t="s">
        <v>1655</v>
      </c>
      <c r="C211" t="s">
        <v>1656</v>
      </c>
      <c r="D211" t="s">
        <v>161</v>
      </c>
      <c r="E211" t="s">
        <v>1657</v>
      </c>
      <c r="F211" t="s">
        <v>114</v>
      </c>
      <c r="G211" t="s">
        <v>115</v>
      </c>
      <c r="H211" t="s">
        <v>495</v>
      </c>
      <c r="I211">
        <v>111</v>
      </c>
      <c r="J211" t="s">
        <v>116</v>
      </c>
      <c r="K211">
        <v>1</v>
      </c>
      <c r="L211" t="str">
        <f>HYPERLINK("https://mae.ufl.edu/people/name/s-balachandar/","https://mae.ufl.edu/people/name/s-balachandar/")</f>
        <v>https://mae.ufl.edu/people/name/s-balachandar/</v>
      </c>
    </row>
    <row r="212" spans="1:12" x14ac:dyDescent="0.3">
      <c r="A212">
        <v>749</v>
      </c>
      <c r="B212" t="s">
        <v>1658</v>
      </c>
      <c r="C212" t="s">
        <v>1656</v>
      </c>
      <c r="D212" t="s">
        <v>161</v>
      </c>
      <c r="E212" t="s">
        <v>1659</v>
      </c>
      <c r="F212" t="s">
        <v>114</v>
      </c>
      <c r="G212" t="s">
        <v>115</v>
      </c>
      <c r="H212" t="s">
        <v>301</v>
      </c>
      <c r="I212">
        <v>0</v>
      </c>
      <c r="J212" t="s">
        <v>116</v>
      </c>
      <c r="K212">
        <v>1</v>
      </c>
      <c r="L212" t="str">
        <f>HYPERLINK("https://mae.ufl.edu/people/name/corin-segal/","https://mae.ufl.edu/people/name/corin-segal/")</f>
        <v>https://mae.ufl.edu/people/name/corin-segal/</v>
      </c>
    </row>
    <row r="213" spans="1:12" x14ac:dyDescent="0.3">
      <c r="A213">
        <v>750</v>
      </c>
      <c r="B213" t="s">
        <v>1660</v>
      </c>
      <c r="C213" t="s">
        <v>1656</v>
      </c>
      <c r="D213" t="s">
        <v>161</v>
      </c>
      <c r="E213" t="s">
        <v>1661</v>
      </c>
      <c r="F213" t="s">
        <v>114</v>
      </c>
      <c r="G213" t="s">
        <v>115</v>
      </c>
      <c r="H213" t="s">
        <v>104</v>
      </c>
      <c r="I213">
        <v>19</v>
      </c>
      <c r="J213" t="s">
        <v>116</v>
      </c>
      <c r="K213">
        <v>1</v>
      </c>
      <c r="L213" t="str">
        <f>HYPERLINK("https://mae.ufl.edu/people/name/lawrence-ukeiley/","https://mae.ufl.edu/people/name/lawrence-ukeiley/")</f>
        <v>https://mae.ufl.edu/people/name/lawrence-ukeiley/</v>
      </c>
    </row>
    <row r="214" spans="1:12" x14ac:dyDescent="0.3">
      <c r="A214">
        <v>751</v>
      </c>
      <c r="B214" t="s">
        <v>1662</v>
      </c>
      <c r="C214" t="s">
        <v>1656</v>
      </c>
      <c r="D214" t="s">
        <v>161</v>
      </c>
      <c r="E214" t="s">
        <v>1663</v>
      </c>
      <c r="F214" t="s">
        <v>114</v>
      </c>
      <c r="G214" t="s">
        <v>115</v>
      </c>
      <c r="H214" t="s">
        <v>1664</v>
      </c>
      <c r="I214">
        <v>41</v>
      </c>
      <c r="J214" t="s">
        <v>116</v>
      </c>
      <c r="K214">
        <v>1</v>
      </c>
      <c r="L214" t="str">
        <f>HYPERLINK("https://mae.ufl.edu/people/name/subrata-roy/","https://mae.ufl.edu/people/name/subrata-roy/")</f>
        <v>https://mae.ufl.edu/people/name/subrata-roy/</v>
      </c>
    </row>
    <row r="215" spans="1:12" x14ac:dyDescent="0.3">
      <c r="A215">
        <v>752</v>
      </c>
      <c r="B215" t="s">
        <v>1665</v>
      </c>
      <c r="C215" t="s">
        <v>1656</v>
      </c>
      <c r="D215" t="s">
        <v>161</v>
      </c>
      <c r="E215" t="s">
        <v>1666</v>
      </c>
      <c r="F215" t="s">
        <v>114</v>
      </c>
      <c r="G215" t="s">
        <v>115</v>
      </c>
      <c r="H215" t="s">
        <v>104</v>
      </c>
      <c r="I215">
        <v>10</v>
      </c>
      <c r="J215" t="s">
        <v>116</v>
      </c>
      <c r="K215">
        <v>1</v>
      </c>
      <c r="L215" t="str">
        <f>HYPERLINK("https://mae.ufl.edu/people/name/kamran-mohseni/","https://mae.ufl.edu/people/name/kamran-mohseni/")</f>
        <v>https://mae.ufl.edu/people/name/kamran-mohseni/</v>
      </c>
    </row>
    <row r="216" spans="1:12" x14ac:dyDescent="0.3">
      <c r="A216">
        <v>753</v>
      </c>
      <c r="B216" t="s">
        <v>1667</v>
      </c>
      <c r="C216" t="s">
        <v>1656</v>
      </c>
      <c r="D216" t="s">
        <v>161</v>
      </c>
      <c r="E216" t="s">
        <v>1668</v>
      </c>
      <c r="F216" t="s">
        <v>114</v>
      </c>
      <c r="G216" t="s">
        <v>115</v>
      </c>
      <c r="H216" t="s">
        <v>88</v>
      </c>
      <c r="I216">
        <v>24</v>
      </c>
      <c r="J216" t="s">
        <v>116</v>
      </c>
      <c r="K216">
        <v>1</v>
      </c>
      <c r="L216" t="str">
        <f>HYPERLINK("https://mae.ufl.edu/people/name/patrick-musgrave/","https://mae.ufl.edu/people/name/patrick-musgrave/")</f>
        <v>https://mae.ufl.edu/people/name/patrick-musgrave/</v>
      </c>
    </row>
    <row r="217" spans="1:12" x14ac:dyDescent="0.3">
      <c r="A217">
        <v>754</v>
      </c>
      <c r="B217" t="s">
        <v>1669</v>
      </c>
      <c r="C217" t="s">
        <v>1656</v>
      </c>
      <c r="D217" t="s">
        <v>161</v>
      </c>
      <c r="E217" t="s">
        <v>1670</v>
      </c>
      <c r="F217" t="s">
        <v>114</v>
      </c>
      <c r="G217" t="s">
        <v>115</v>
      </c>
      <c r="H217" t="s">
        <v>88</v>
      </c>
      <c r="I217">
        <v>40</v>
      </c>
      <c r="J217" t="s">
        <v>116</v>
      </c>
      <c r="K217">
        <v>1</v>
      </c>
      <c r="L217" t="str">
        <f>HYPERLINK("https://mae.ufl.edu/people/name/claire-gregoire/","https://mae.ufl.edu/people/name/claire-gregoire/")</f>
        <v>https://mae.ufl.edu/people/name/claire-gregoire/</v>
      </c>
    </row>
    <row r="218" spans="1:12" x14ac:dyDescent="0.3">
      <c r="A218">
        <v>759</v>
      </c>
      <c r="B218" t="s">
        <v>1681</v>
      </c>
      <c r="C218" t="s">
        <v>1676</v>
      </c>
      <c r="D218" t="s">
        <v>14</v>
      </c>
      <c r="E218" t="s">
        <v>1682</v>
      </c>
      <c r="F218" t="s">
        <v>191</v>
      </c>
      <c r="G218" t="s">
        <v>192</v>
      </c>
      <c r="H218" t="s">
        <v>70</v>
      </c>
      <c r="I218">
        <v>32</v>
      </c>
      <c r="J218" t="s">
        <v>154</v>
      </c>
      <c r="K218">
        <v>1</v>
      </c>
      <c r="L218" t="str">
        <f>HYPERLINK("https://engineering.uga.edu/directory/matthew-bilskie/","https://engineering.uga.edu/directory/matthew-bilskie/")</f>
        <v>https://engineering.uga.edu/directory/matthew-bilskie/</v>
      </c>
    </row>
    <row r="219" spans="1:12" x14ac:dyDescent="0.3">
      <c r="A219">
        <v>770</v>
      </c>
      <c r="B219" t="s">
        <v>1706</v>
      </c>
      <c r="C219" t="s">
        <v>1707</v>
      </c>
      <c r="D219" t="s">
        <v>161</v>
      </c>
      <c r="E219" t="s">
        <v>1708</v>
      </c>
      <c r="F219" t="s">
        <v>114</v>
      </c>
      <c r="G219" t="s">
        <v>115</v>
      </c>
      <c r="H219" t="s">
        <v>45</v>
      </c>
      <c r="I219">
        <v>18</v>
      </c>
      <c r="J219" t="s">
        <v>116</v>
      </c>
      <c r="K219">
        <v>1</v>
      </c>
      <c r="L219" t="str">
        <f>HYPERLINK("https://www.me.uh.edu/faculty","https://www.me.uh.edu/faculty")</f>
        <v>https://www.me.uh.edu/faculty</v>
      </c>
    </row>
    <row r="220" spans="1:12" x14ac:dyDescent="0.3">
      <c r="A220">
        <v>780</v>
      </c>
      <c r="B220" t="s">
        <v>1727</v>
      </c>
      <c r="C220" t="s">
        <v>1728</v>
      </c>
      <c r="D220" t="s">
        <v>14</v>
      </c>
      <c r="E220" t="s">
        <v>1729</v>
      </c>
      <c r="F220" t="s">
        <v>114</v>
      </c>
      <c r="G220" t="s">
        <v>115</v>
      </c>
      <c r="H220" t="s">
        <v>159</v>
      </c>
      <c r="I220">
        <v>40</v>
      </c>
      <c r="J220" t="s">
        <v>116</v>
      </c>
      <c r="K220">
        <v>1</v>
      </c>
      <c r="L220" t="str">
        <f>HYPERLINK("https://www.uidaho.edu/engineering/our-people","https://www.uidaho.edu/engineering/our-people")</f>
        <v>https://www.uidaho.edu/engineering/our-people</v>
      </c>
    </row>
    <row r="221" spans="1:12" x14ac:dyDescent="0.3">
      <c r="A221">
        <v>781</v>
      </c>
      <c r="B221" t="s">
        <v>1730</v>
      </c>
      <c r="C221" t="s">
        <v>1728</v>
      </c>
      <c r="D221" t="s">
        <v>14</v>
      </c>
      <c r="E221" t="s">
        <v>1731</v>
      </c>
      <c r="F221" t="s">
        <v>114</v>
      </c>
      <c r="G221" t="s">
        <v>115</v>
      </c>
      <c r="H221" t="s">
        <v>159</v>
      </c>
      <c r="I221">
        <v>7</v>
      </c>
      <c r="J221" t="s">
        <v>116</v>
      </c>
      <c r="K221">
        <v>1</v>
      </c>
      <c r="L221" t="str">
        <f>HYPERLINK("https://www.uidaho.edu/engineering/our-people","https://www.uidaho.edu/engineering/our-people")</f>
        <v>https://www.uidaho.edu/engineering/our-people</v>
      </c>
    </row>
    <row r="222" spans="1:12" x14ac:dyDescent="0.3">
      <c r="A222">
        <v>782</v>
      </c>
      <c r="B222" t="s">
        <v>1732</v>
      </c>
      <c r="C222" t="s">
        <v>1728</v>
      </c>
      <c r="D222" t="s">
        <v>14</v>
      </c>
      <c r="E222" t="s">
        <v>1733</v>
      </c>
      <c r="F222" t="s">
        <v>114</v>
      </c>
      <c r="G222" t="s">
        <v>115</v>
      </c>
      <c r="H222" t="s">
        <v>159</v>
      </c>
      <c r="I222">
        <v>19</v>
      </c>
      <c r="J222" t="s">
        <v>116</v>
      </c>
      <c r="K222">
        <v>1</v>
      </c>
      <c r="L222" t="str">
        <f>HYPERLINK("https://www.uidaho.edu/engineering/our-people","https://www.uidaho.edu/engineering/our-people")</f>
        <v>https://www.uidaho.edu/engineering/our-people</v>
      </c>
    </row>
    <row r="223" spans="1:12" x14ac:dyDescent="0.3">
      <c r="A223">
        <v>783</v>
      </c>
      <c r="B223" t="s">
        <v>1734</v>
      </c>
      <c r="C223" t="s">
        <v>1728</v>
      </c>
      <c r="D223" t="s">
        <v>14</v>
      </c>
      <c r="E223" t="s">
        <v>1735</v>
      </c>
      <c r="F223" t="s">
        <v>114</v>
      </c>
      <c r="G223" t="s">
        <v>115</v>
      </c>
      <c r="H223" t="s">
        <v>273</v>
      </c>
      <c r="I223">
        <v>8</v>
      </c>
      <c r="J223" t="s">
        <v>116</v>
      </c>
      <c r="K223">
        <v>1</v>
      </c>
      <c r="L223" t="str">
        <f>HYPERLINK("https://www.uidaho.edu/engineering/our-people","https://www.uidaho.edu/engineering/our-people")</f>
        <v>https://www.uidaho.edu/engineering/our-people</v>
      </c>
    </row>
    <row r="224" spans="1:12" x14ac:dyDescent="0.3">
      <c r="A224">
        <v>784</v>
      </c>
      <c r="B224" t="s">
        <v>1736</v>
      </c>
      <c r="C224" t="s">
        <v>1728</v>
      </c>
      <c r="D224" t="s">
        <v>14</v>
      </c>
      <c r="E224" t="s">
        <v>1737</v>
      </c>
      <c r="F224" t="s">
        <v>114</v>
      </c>
      <c r="G224" t="s">
        <v>115</v>
      </c>
      <c r="H224" t="s">
        <v>1738</v>
      </c>
      <c r="I224">
        <v>40</v>
      </c>
      <c r="J224" t="s">
        <v>116</v>
      </c>
      <c r="K224">
        <v>1</v>
      </c>
      <c r="L224" t="str">
        <f>HYPERLINK("https://www.uidaho.edu/engineering/our-people","https://www.uidaho.edu/engineering/our-people")</f>
        <v>https://www.uidaho.edu/engineering/our-people</v>
      </c>
    </row>
    <row r="225" spans="1:12" x14ac:dyDescent="0.3">
      <c r="A225">
        <v>786</v>
      </c>
      <c r="B225" t="s">
        <v>1741</v>
      </c>
      <c r="C225" t="s">
        <v>1728</v>
      </c>
      <c r="D225" t="s">
        <v>1131</v>
      </c>
      <c r="E225" t="s">
        <v>1742</v>
      </c>
      <c r="F225" t="s">
        <v>114</v>
      </c>
      <c r="G225" t="s">
        <v>115</v>
      </c>
      <c r="H225" t="s">
        <v>200</v>
      </c>
      <c r="I225">
        <v>66</v>
      </c>
      <c r="J225" t="s">
        <v>116</v>
      </c>
      <c r="K225">
        <v>1</v>
      </c>
      <c r="L225" t="str">
        <f>HYPERLINK("https://www.uidaho.edu/engineering/our-people","https://www.uidaho.edu/engineering/our-people")</f>
        <v>https://www.uidaho.edu/engineering/our-people</v>
      </c>
    </row>
    <row r="226" spans="1:12" x14ac:dyDescent="0.3">
      <c r="A226">
        <v>787</v>
      </c>
      <c r="B226" t="s">
        <v>1743</v>
      </c>
      <c r="C226" t="s">
        <v>1728</v>
      </c>
      <c r="D226" t="s">
        <v>1131</v>
      </c>
      <c r="E226" t="s">
        <v>1744</v>
      </c>
      <c r="F226" t="s">
        <v>114</v>
      </c>
      <c r="G226" t="s">
        <v>115</v>
      </c>
      <c r="H226" t="s">
        <v>140</v>
      </c>
      <c r="I226">
        <v>52</v>
      </c>
      <c r="J226" t="s">
        <v>116</v>
      </c>
      <c r="K226">
        <v>1</v>
      </c>
      <c r="L226" t="str">
        <f>HYPERLINK("https://www.uidaho.edu/science/our-people","https://www.uidaho.edu/science/our-people")</f>
        <v>https://www.uidaho.edu/science/our-people</v>
      </c>
    </row>
    <row r="227" spans="1:12" x14ac:dyDescent="0.3">
      <c r="A227">
        <v>796</v>
      </c>
      <c r="B227" t="s">
        <v>1760</v>
      </c>
      <c r="C227" t="s">
        <v>1761</v>
      </c>
      <c r="D227" t="s">
        <v>271</v>
      </c>
      <c r="E227" t="s">
        <v>1762</v>
      </c>
      <c r="F227" t="s">
        <v>114</v>
      </c>
      <c r="G227" t="s">
        <v>115</v>
      </c>
      <c r="H227" t="s">
        <v>417</v>
      </c>
      <c r="I227">
        <v>0</v>
      </c>
      <c r="J227" t="s">
        <v>116</v>
      </c>
      <c r="K227">
        <v>1</v>
      </c>
      <c r="L227" t="str">
        <f>HYPERLINK("https://aerospace.illinois.edu/directory/profile/jbfreund","https://aerospace.illinois.edu/directory/profile/jbfreund")</f>
        <v>https://aerospace.illinois.edu/directory/profile/jbfreund</v>
      </c>
    </row>
    <row r="228" spans="1:12" x14ac:dyDescent="0.3">
      <c r="A228">
        <v>797</v>
      </c>
      <c r="B228" t="s">
        <v>1763</v>
      </c>
      <c r="C228" t="s">
        <v>1761</v>
      </c>
      <c r="D228" t="s">
        <v>48</v>
      </c>
      <c r="E228" t="s">
        <v>1764</v>
      </c>
      <c r="F228" t="s">
        <v>114</v>
      </c>
      <c r="G228" t="s">
        <v>115</v>
      </c>
      <c r="H228" t="s">
        <v>200</v>
      </c>
      <c r="I228">
        <v>57</v>
      </c>
      <c r="J228" t="s">
        <v>116</v>
      </c>
      <c r="K228">
        <v>1</v>
      </c>
      <c r="L228" t="str">
        <f>HYPERLINK("https://aerospace.illinois.edu/directory/profile/bodony","https://aerospace.illinois.edu/directory/profile/bodony")</f>
        <v>https://aerospace.illinois.edu/directory/profile/bodony</v>
      </c>
    </row>
    <row r="229" spans="1:12" hidden="1" x14ac:dyDescent="0.3">
      <c r="A229">
        <v>228</v>
      </c>
      <c r="B229" t="s">
        <v>580</v>
      </c>
      <c r="C229" t="s">
        <v>560</v>
      </c>
      <c r="D229" t="s">
        <v>31</v>
      </c>
      <c r="E229" t="s">
        <v>581</v>
      </c>
      <c r="F229" t="s">
        <v>27</v>
      </c>
      <c r="G229" t="s">
        <v>476</v>
      </c>
      <c r="H229" t="s">
        <v>29</v>
      </c>
      <c r="I229">
        <v>141</v>
      </c>
      <c r="J229" t="s">
        <v>19</v>
      </c>
      <c r="K229">
        <v>1</v>
      </c>
      <c r="L229" t="str">
        <f>HYPERLINK("https://engineering.jhu.edu/ams/faculty/ioannis-yannis-kevrekidis/","https://engineering.jhu.edu/ams/faculty/ioannis-yannis-kevrekidis/")</f>
        <v>https://engineering.jhu.edu/ams/faculty/ioannis-yannis-kevrekidis/</v>
      </c>
    </row>
    <row r="230" spans="1:12" hidden="1" x14ac:dyDescent="0.3">
      <c r="A230">
        <v>229</v>
      </c>
      <c r="B230" t="s">
        <v>582</v>
      </c>
      <c r="C230" t="s">
        <v>560</v>
      </c>
      <c r="D230" t="s">
        <v>31</v>
      </c>
      <c r="E230" t="s">
        <v>583</v>
      </c>
      <c r="F230" t="s">
        <v>27</v>
      </c>
      <c r="G230" t="s">
        <v>476</v>
      </c>
      <c r="H230" t="s">
        <v>305</v>
      </c>
      <c r="I230">
        <v>9</v>
      </c>
      <c r="J230" t="s">
        <v>19</v>
      </c>
      <c r="K230">
        <v>1</v>
      </c>
      <c r="L230" t="str">
        <f>HYPERLINK("https://engineering.jhu.edu/ams/faculty/fadil-santosa/","https://engineering.jhu.edu/ams/faculty/fadil-santosa/")</f>
        <v>https://engineering.jhu.edu/ams/faculty/fadil-santosa/</v>
      </c>
    </row>
    <row r="231" spans="1:12" hidden="1" x14ac:dyDescent="0.3">
      <c r="A231">
        <v>230</v>
      </c>
      <c r="B231" t="s">
        <v>584</v>
      </c>
      <c r="C231" t="s">
        <v>560</v>
      </c>
      <c r="D231" t="s">
        <v>31</v>
      </c>
      <c r="E231" t="s">
        <v>585</v>
      </c>
      <c r="F231" t="s">
        <v>27</v>
      </c>
      <c r="G231" t="s">
        <v>476</v>
      </c>
      <c r="H231" t="s">
        <v>213</v>
      </c>
      <c r="I231">
        <v>13</v>
      </c>
      <c r="J231" t="s">
        <v>19</v>
      </c>
      <c r="K231">
        <v>1</v>
      </c>
      <c r="L231" t="str">
        <f>HYPERLINK("https://engineering.jhu.edu/ams/faculty/jincheng-yang/","https://engineering.jhu.edu/ams/faculty/jincheng-yang/")</f>
        <v>https://engineering.jhu.edu/ams/faculty/jincheng-yang/</v>
      </c>
    </row>
    <row r="232" spans="1:12" hidden="1" x14ac:dyDescent="0.3">
      <c r="A232">
        <v>231</v>
      </c>
      <c r="B232" t="s">
        <v>586</v>
      </c>
      <c r="C232" t="s">
        <v>560</v>
      </c>
      <c r="D232" t="s">
        <v>31</v>
      </c>
      <c r="E232" t="s">
        <v>587</v>
      </c>
      <c r="F232" t="s">
        <v>27</v>
      </c>
      <c r="G232" t="s">
        <v>476</v>
      </c>
      <c r="H232" t="s">
        <v>391</v>
      </c>
      <c r="I232">
        <v>20</v>
      </c>
      <c r="J232" t="s">
        <v>19</v>
      </c>
      <c r="K232">
        <v>1</v>
      </c>
      <c r="L232" t="str">
        <f>HYPERLINK("https://engineering.jhu.edu/ams/faculty/suryanarayana-maddu/","https://engineering.jhu.edu/ams/faculty/suryanarayana-maddu/")</f>
        <v>https://engineering.jhu.edu/ams/faculty/suryanarayana-maddu/</v>
      </c>
    </row>
    <row r="233" spans="1:12" x14ac:dyDescent="0.3">
      <c r="A233">
        <v>798</v>
      </c>
      <c r="B233" t="s">
        <v>1765</v>
      </c>
      <c r="C233" t="s">
        <v>1761</v>
      </c>
      <c r="D233" t="s">
        <v>48</v>
      </c>
      <c r="E233" t="s">
        <v>1766</v>
      </c>
      <c r="F233" t="s">
        <v>114</v>
      </c>
      <c r="G233" t="s">
        <v>115</v>
      </c>
      <c r="H233" t="s">
        <v>417</v>
      </c>
      <c r="I233">
        <v>0</v>
      </c>
      <c r="J233" t="s">
        <v>116</v>
      </c>
      <c r="K233">
        <v>1</v>
      </c>
      <c r="L233" t="str">
        <f>HYPERLINK("https://aerospace.illinois.edu/directory/profile/elliottg","https://aerospace.illinois.edu/directory/profile/elliottg")</f>
        <v>https://aerospace.illinois.edu/directory/profile/elliottg</v>
      </c>
    </row>
    <row r="234" spans="1:12" x14ac:dyDescent="0.3">
      <c r="A234">
        <v>799</v>
      </c>
      <c r="B234" t="s">
        <v>1767</v>
      </c>
      <c r="C234" t="s">
        <v>1761</v>
      </c>
      <c r="D234" t="s">
        <v>48</v>
      </c>
      <c r="E234" t="s">
        <v>1768</v>
      </c>
      <c r="F234" t="s">
        <v>114</v>
      </c>
      <c r="G234" t="s">
        <v>115</v>
      </c>
      <c r="H234" t="s">
        <v>75</v>
      </c>
      <c r="I234">
        <v>31</v>
      </c>
      <c r="J234" t="s">
        <v>116</v>
      </c>
      <c r="K234">
        <v>1</v>
      </c>
      <c r="L234" t="str">
        <f>HYPERLINK("https://aerospace.illinois.edu/directory/profile/goza","https://aerospace.illinois.edu/directory/profile/goza")</f>
        <v>https://aerospace.illinois.edu/directory/profile/goza</v>
      </c>
    </row>
    <row r="235" spans="1:12" hidden="1" x14ac:dyDescent="0.3">
      <c r="A235">
        <v>234</v>
      </c>
      <c r="B235" t="s">
        <v>594</v>
      </c>
      <c r="C235" t="s">
        <v>589</v>
      </c>
      <c r="D235" t="s">
        <v>31</v>
      </c>
      <c r="E235" t="s">
        <v>595</v>
      </c>
      <c r="F235" t="s">
        <v>114</v>
      </c>
      <c r="G235" t="s">
        <v>115</v>
      </c>
      <c r="H235" t="s">
        <v>519</v>
      </c>
      <c r="I235">
        <v>34</v>
      </c>
      <c r="J235" t="s">
        <v>116</v>
      </c>
      <c r="K235">
        <v>3</v>
      </c>
      <c r="L235" t="str">
        <f>HYPERLINK("https://www.mne.k-state.edu/about/people/faculty/","https://www.mne.k-state.edu/about/people/faculty/")</f>
        <v>https://www.mne.k-state.edu/about/people/faculty/</v>
      </c>
    </row>
    <row r="236" spans="1:12" hidden="1" x14ac:dyDescent="0.3">
      <c r="A236">
        <v>235</v>
      </c>
      <c r="B236" t="s">
        <v>596</v>
      </c>
      <c r="C236" t="s">
        <v>589</v>
      </c>
      <c r="D236" t="s">
        <v>31</v>
      </c>
      <c r="E236" t="s">
        <v>597</v>
      </c>
      <c r="F236" t="s">
        <v>27</v>
      </c>
      <c r="G236" t="s">
        <v>28</v>
      </c>
      <c r="H236" t="s">
        <v>213</v>
      </c>
      <c r="I236">
        <v>38</v>
      </c>
      <c r="J236" t="s">
        <v>19</v>
      </c>
      <c r="K236">
        <v>1</v>
      </c>
      <c r="L236" t="str">
        <f>HYPERLINK("https://www.math.ksu.edu/people/faculty/","https://www.math.ksu.edu/people/faculty/")</f>
        <v>https://www.math.ksu.edu/people/faculty/</v>
      </c>
    </row>
    <row r="237" spans="1:12" hidden="1" x14ac:dyDescent="0.3">
      <c r="A237">
        <v>236</v>
      </c>
      <c r="B237" t="s">
        <v>598</v>
      </c>
      <c r="C237" t="s">
        <v>589</v>
      </c>
      <c r="D237" t="s">
        <v>31</v>
      </c>
      <c r="E237" t="s">
        <v>599</v>
      </c>
      <c r="F237" t="s">
        <v>27</v>
      </c>
      <c r="G237" t="s">
        <v>28</v>
      </c>
      <c r="H237" t="s">
        <v>39</v>
      </c>
      <c r="I237">
        <v>48</v>
      </c>
      <c r="J237" t="s">
        <v>19</v>
      </c>
      <c r="K237">
        <v>1</v>
      </c>
      <c r="L237" t="str">
        <f>HYPERLINK("https://www.math.ksu.edu/people/faculty/","https://www.math.ksu.edu/people/faculty/")</f>
        <v>https://www.math.ksu.edu/people/faculty/</v>
      </c>
    </row>
    <row r="238" spans="1:12" x14ac:dyDescent="0.3">
      <c r="A238">
        <v>800</v>
      </c>
      <c r="B238" t="s">
        <v>1769</v>
      </c>
      <c r="C238" t="s">
        <v>1761</v>
      </c>
      <c r="D238" t="s">
        <v>48</v>
      </c>
      <c r="E238" t="s">
        <v>1770</v>
      </c>
      <c r="F238" t="s">
        <v>114</v>
      </c>
      <c r="G238" t="s">
        <v>115</v>
      </c>
      <c r="H238" t="s">
        <v>406</v>
      </c>
      <c r="I238">
        <v>75</v>
      </c>
      <c r="J238" t="s">
        <v>116</v>
      </c>
      <c r="K238">
        <v>1</v>
      </c>
      <c r="L238" t="str">
        <f>HYPERLINK("https://aerospace.illinois.edu/directory/profile/panerai","https://aerospace.illinois.edu/directory/profile/panerai")</f>
        <v>https://aerospace.illinois.edu/directory/profile/panerai</v>
      </c>
    </row>
    <row r="239" spans="1:12" x14ac:dyDescent="0.3">
      <c r="A239">
        <v>801</v>
      </c>
      <c r="B239" t="s">
        <v>1771</v>
      </c>
      <c r="C239" t="s">
        <v>1761</v>
      </c>
      <c r="D239" t="s">
        <v>48</v>
      </c>
      <c r="E239" t="s">
        <v>1772</v>
      </c>
      <c r="F239" t="s">
        <v>114</v>
      </c>
      <c r="G239" t="s">
        <v>115</v>
      </c>
      <c r="H239" t="s">
        <v>417</v>
      </c>
      <c r="I239">
        <v>0</v>
      </c>
      <c r="J239" t="s">
        <v>116</v>
      </c>
      <c r="K239">
        <v>1</v>
      </c>
      <c r="L239" t="str">
        <f>HYPERLINK("https://aerospace.illinois.edu/directory/profile/rovey","https://aerospace.illinois.edu/directory/profile/rovey")</f>
        <v>https://aerospace.illinois.edu/directory/profile/rovey</v>
      </c>
    </row>
    <row r="240" spans="1:12" x14ac:dyDescent="0.3">
      <c r="A240">
        <v>802</v>
      </c>
      <c r="B240" t="s">
        <v>1773</v>
      </c>
      <c r="C240" t="s">
        <v>1761</v>
      </c>
      <c r="D240" t="s">
        <v>48</v>
      </c>
      <c r="E240" t="s">
        <v>398</v>
      </c>
      <c r="F240" t="s">
        <v>114</v>
      </c>
      <c r="G240" t="s">
        <v>115</v>
      </c>
      <c r="H240" t="s">
        <v>58</v>
      </c>
      <c r="I240">
        <v>0</v>
      </c>
      <c r="J240" t="s">
        <v>116</v>
      </c>
      <c r="K240">
        <v>1</v>
      </c>
      <c r="L240" t="str">
        <f>HYPERLINK("https://aerospace.illinois.edu/directory/profile/tsaxtonf","https://aerospace.illinois.edu/directory/profile/tsaxtonf")</f>
        <v>https://aerospace.illinois.edu/directory/profile/tsaxtonf</v>
      </c>
    </row>
    <row r="241" spans="1:12" x14ac:dyDescent="0.3">
      <c r="A241">
        <v>803</v>
      </c>
      <c r="B241" t="s">
        <v>1774</v>
      </c>
      <c r="C241" t="s">
        <v>1761</v>
      </c>
      <c r="D241" t="s">
        <v>48</v>
      </c>
      <c r="E241" t="s">
        <v>1775</v>
      </c>
      <c r="F241" t="s">
        <v>114</v>
      </c>
      <c r="G241" t="s">
        <v>115</v>
      </c>
      <c r="H241" t="s">
        <v>417</v>
      </c>
      <c r="I241">
        <v>0</v>
      </c>
      <c r="J241" t="s">
        <v>116</v>
      </c>
      <c r="K241">
        <v>1</v>
      </c>
      <c r="L241" t="str">
        <f>HYPERLINK("https://aerospace.illinois.edu/directory/profile/lvillafa","https://aerospace.illinois.edu/directory/profile/lvillafa")</f>
        <v>https://aerospace.illinois.edu/directory/profile/lvillafa</v>
      </c>
    </row>
    <row r="242" spans="1:12" x14ac:dyDescent="0.3">
      <c r="A242">
        <v>804</v>
      </c>
      <c r="B242" t="s">
        <v>1776</v>
      </c>
      <c r="C242" t="s">
        <v>1761</v>
      </c>
      <c r="D242" t="s">
        <v>48</v>
      </c>
      <c r="E242" t="s">
        <v>1777</v>
      </c>
      <c r="F242" t="s">
        <v>114</v>
      </c>
      <c r="G242" t="s">
        <v>115</v>
      </c>
      <c r="H242" t="s">
        <v>417</v>
      </c>
      <c r="I242">
        <v>0</v>
      </c>
      <c r="J242" t="s">
        <v>116</v>
      </c>
      <c r="K242">
        <v>1</v>
      </c>
      <c r="L242" t="str">
        <f>HYPERLINK("https://aerospace.illinois.edu/directory/profile/ansell1","https://aerospace.illinois.edu/directory/profile/ansell1")</f>
        <v>https://aerospace.illinois.edu/directory/profile/ansell1</v>
      </c>
    </row>
    <row r="243" spans="1:12" hidden="1" x14ac:dyDescent="0.3">
      <c r="A243">
        <v>242</v>
      </c>
      <c r="B243" t="s">
        <v>611</v>
      </c>
      <c r="C243" t="s">
        <v>601</v>
      </c>
      <c r="D243" t="s">
        <v>31</v>
      </c>
      <c r="E243" t="s">
        <v>612</v>
      </c>
      <c r="F243" t="s">
        <v>62</v>
      </c>
      <c r="G243" t="s">
        <v>63</v>
      </c>
      <c r="H243" t="s">
        <v>70</v>
      </c>
      <c r="I243">
        <v>17</v>
      </c>
      <c r="J243" t="s">
        <v>19</v>
      </c>
      <c r="K243">
        <v>1</v>
      </c>
      <c r="L243" t="str">
        <f>HYPERLINK("https://engineering.lehigh.edu/meche/faculty","https://engineering.lehigh.edu/meche/faculty")</f>
        <v>https://engineering.lehigh.edu/meche/faculty</v>
      </c>
    </row>
    <row r="244" spans="1:12" x14ac:dyDescent="0.3">
      <c r="A244">
        <v>806</v>
      </c>
      <c r="B244" t="s">
        <v>1780</v>
      </c>
      <c r="C244" t="s">
        <v>1761</v>
      </c>
      <c r="D244" t="s">
        <v>112</v>
      </c>
      <c r="E244" t="s">
        <v>1781</v>
      </c>
      <c r="F244" t="s">
        <v>114</v>
      </c>
      <c r="G244" t="s">
        <v>115</v>
      </c>
      <c r="H244" t="s">
        <v>417</v>
      </c>
      <c r="I244">
        <v>0</v>
      </c>
      <c r="J244" t="s">
        <v>116</v>
      </c>
      <c r="K244">
        <v>1</v>
      </c>
      <c r="L244" t="str">
        <f>HYPERLINK("https://mechse.illinois.edu/people/profile/lpchamo","https://mechse.illinois.edu/people/profile/lpchamo")</f>
        <v>https://mechse.illinois.edu/people/profile/lpchamo</v>
      </c>
    </row>
    <row r="245" spans="1:12" hidden="1" x14ac:dyDescent="0.3">
      <c r="A245">
        <v>244</v>
      </c>
      <c r="B245" t="s">
        <v>615</v>
      </c>
      <c r="C245" t="s">
        <v>601</v>
      </c>
      <c r="D245" t="s">
        <v>31</v>
      </c>
      <c r="E245" t="s">
        <v>616</v>
      </c>
      <c r="F245" t="s">
        <v>22</v>
      </c>
      <c r="G245" t="s">
        <v>23</v>
      </c>
      <c r="H245" t="s">
        <v>53</v>
      </c>
      <c r="I245">
        <v>7</v>
      </c>
      <c r="J245" t="s">
        <v>19</v>
      </c>
      <c r="K245">
        <v>1</v>
      </c>
      <c r="L245" t="str">
        <f>HYPERLINK("https://math.cas.lehigh.edu/faculty-staff/daniel-conus","https://math.cas.lehigh.edu/faculty-staff/daniel-conus")</f>
        <v>https://math.cas.lehigh.edu/faculty-staff/daniel-conus</v>
      </c>
    </row>
    <row r="246" spans="1:12" hidden="1" x14ac:dyDescent="0.3">
      <c r="A246">
        <v>245</v>
      </c>
      <c r="B246" t="s">
        <v>617</v>
      </c>
      <c r="C246" t="s">
        <v>618</v>
      </c>
      <c r="D246" t="s">
        <v>31</v>
      </c>
      <c r="E246" t="s">
        <v>619</v>
      </c>
      <c r="F246" t="s">
        <v>151</v>
      </c>
      <c r="G246" t="s">
        <v>152</v>
      </c>
      <c r="H246" t="s">
        <v>620</v>
      </c>
      <c r="I246">
        <v>44</v>
      </c>
      <c r="J246" t="s">
        <v>154</v>
      </c>
      <c r="K246">
        <v>3</v>
      </c>
      <c r="L246" t="str">
        <f>HYPERLINK("https://math.mit.edu/directory/profile.html?pid=18","https://math.mit.edu/directory/profile.html?pid=18")</f>
        <v>https://math.mit.edu/directory/profile.html?pid=18</v>
      </c>
    </row>
    <row r="247" spans="1:12" hidden="1" x14ac:dyDescent="0.3">
      <c r="A247">
        <v>246</v>
      </c>
      <c r="B247" t="s">
        <v>621</v>
      </c>
      <c r="C247" t="s">
        <v>618</v>
      </c>
      <c r="D247" t="s">
        <v>31</v>
      </c>
      <c r="E247" t="s">
        <v>622</v>
      </c>
      <c r="F247" t="s">
        <v>27</v>
      </c>
      <c r="G247" t="s">
        <v>28</v>
      </c>
      <c r="H247" t="s">
        <v>104</v>
      </c>
      <c r="I247">
        <v>18</v>
      </c>
      <c r="J247" t="s">
        <v>19</v>
      </c>
      <c r="K247">
        <v>1</v>
      </c>
      <c r="L247" t="str">
        <f>HYPERLINK("https://aeroastro.mit.edu/people/david-darmofal/","https://aeroastro.mit.edu/people/david-darmofal/")</f>
        <v>https://aeroastro.mit.edu/people/david-darmofal/</v>
      </c>
    </row>
    <row r="248" spans="1:12" x14ac:dyDescent="0.3">
      <c r="A248">
        <v>807</v>
      </c>
      <c r="B248" t="s">
        <v>1782</v>
      </c>
      <c r="C248" t="s">
        <v>1761</v>
      </c>
      <c r="D248" t="s">
        <v>112</v>
      </c>
      <c r="E248" t="s">
        <v>1783</v>
      </c>
      <c r="F248" t="s">
        <v>114</v>
      </c>
      <c r="G248" t="s">
        <v>115</v>
      </c>
      <c r="H248" t="s">
        <v>417</v>
      </c>
      <c r="I248">
        <v>0</v>
      </c>
      <c r="J248" t="s">
        <v>116</v>
      </c>
      <c r="K248">
        <v>1</v>
      </c>
      <c r="L248" t="str">
        <f>HYPERLINK("https://mechse.illinois.edu/people/profile/mgazzola","https://mechse.illinois.edu/people/profile/mgazzola")</f>
        <v>https://mechse.illinois.edu/people/profile/mgazzola</v>
      </c>
    </row>
    <row r="249" spans="1:12" hidden="1" x14ac:dyDescent="0.3">
      <c r="A249">
        <v>248</v>
      </c>
      <c r="B249" t="s">
        <v>625</v>
      </c>
      <c r="C249" t="s">
        <v>618</v>
      </c>
      <c r="D249" t="s">
        <v>31</v>
      </c>
      <c r="E249" t="s">
        <v>626</v>
      </c>
      <c r="F249" t="s">
        <v>151</v>
      </c>
      <c r="G249" t="s">
        <v>152</v>
      </c>
      <c r="H249" t="s">
        <v>50</v>
      </c>
      <c r="I249">
        <v>65</v>
      </c>
      <c r="J249" t="s">
        <v>154</v>
      </c>
      <c r="K249">
        <v>3</v>
      </c>
      <c r="L249" t="str">
        <f>HYPERLINK("https://math.mit.edu/directory/profile.html?pid=1055","https://math.mit.edu/directory/profile.html?pid=1055")</f>
        <v>https://math.mit.edu/directory/profile.html?pid=1055</v>
      </c>
    </row>
    <row r="250" spans="1:12" x14ac:dyDescent="0.3">
      <c r="A250">
        <v>808</v>
      </c>
      <c r="B250" t="s">
        <v>1784</v>
      </c>
      <c r="C250" t="s">
        <v>1761</v>
      </c>
      <c r="D250" t="s">
        <v>112</v>
      </c>
      <c r="E250" t="s">
        <v>1785</v>
      </c>
      <c r="F250" t="s">
        <v>114</v>
      </c>
      <c r="G250" t="s">
        <v>115</v>
      </c>
      <c r="H250" t="s">
        <v>417</v>
      </c>
      <c r="I250">
        <v>0</v>
      </c>
      <c r="J250" t="s">
        <v>116</v>
      </c>
      <c r="K250">
        <v>1</v>
      </c>
      <c r="L250" t="str">
        <f>HYPERLINK("https://mechse.illinois.edu/people/profile/koric","https://mechse.illinois.edu/people/profile/koric")</f>
        <v>https://mechse.illinois.edu/people/profile/koric</v>
      </c>
    </row>
    <row r="251" spans="1:12" x14ac:dyDescent="0.3">
      <c r="A251">
        <v>821</v>
      </c>
      <c r="B251" t="s">
        <v>1811</v>
      </c>
      <c r="C251" t="s">
        <v>1812</v>
      </c>
      <c r="D251" t="s">
        <v>48</v>
      </c>
      <c r="E251" t="s">
        <v>1813</v>
      </c>
      <c r="F251" t="s">
        <v>114</v>
      </c>
      <c r="G251" t="s">
        <v>115</v>
      </c>
      <c r="H251" t="s">
        <v>104</v>
      </c>
      <c r="I251">
        <v>46</v>
      </c>
      <c r="J251" t="s">
        <v>116</v>
      </c>
      <c r="K251">
        <v>1</v>
      </c>
      <c r="L251" t="str">
        <f>HYPERLINK("https://ae.ku.edu/ae-faculty","https://ae.ku.edu/ae-faculty")</f>
        <v>https://ae.ku.edu/ae-faculty</v>
      </c>
    </row>
    <row r="252" spans="1:12" x14ac:dyDescent="0.3">
      <c r="A252">
        <v>824</v>
      </c>
      <c r="B252" t="s">
        <v>1818</v>
      </c>
      <c r="C252" t="s">
        <v>1812</v>
      </c>
      <c r="D252" t="s">
        <v>48</v>
      </c>
      <c r="E252" t="s">
        <v>1819</v>
      </c>
      <c r="F252" t="s">
        <v>114</v>
      </c>
      <c r="G252" t="s">
        <v>115</v>
      </c>
      <c r="H252" t="s">
        <v>39</v>
      </c>
      <c r="I252">
        <v>27</v>
      </c>
      <c r="J252" t="s">
        <v>116</v>
      </c>
      <c r="K252">
        <v>1</v>
      </c>
      <c r="L252" t="str">
        <f>HYPERLINK("https://ae.ku.edu/ae-faculty","https://ae.ku.edu/ae-faculty")</f>
        <v>https://ae.ku.edu/ae-faculty</v>
      </c>
    </row>
    <row r="253" spans="1:12" x14ac:dyDescent="0.3">
      <c r="A253">
        <v>825</v>
      </c>
      <c r="B253" t="s">
        <v>1820</v>
      </c>
      <c r="C253" t="s">
        <v>1812</v>
      </c>
      <c r="D253" t="s">
        <v>48</v>
      </c>
      <c r="E253" t="s">
        <v>57</v>
      </c>
      <c r="F253" t="s">
        <v>114</v>
      </c>
      <c r="G253" t="s">
        <v>115</v>
      </c>
      <c r="H253" t="s">
        <v>58</v>
      </c>
      <c r="I253">
        <v>0</v>
      </c>
      <c r="J253" t="s">
        <v>116</v>
      </c>
      <c r="K253">
        <v>1</v>
      </c>
      <c r="L253" t="str">
        <f>HYPERLINK("https://ae.ku.edu/ae-faculty","https://ae.ku.edu/ae-faculty")</f>
        <v>https://ae.ku.edu/ae-faculty</v>
      </c>
    </row>
    <row r="254" spans="1:12" x14ac:dyDescent="0.3">
      <c r="A254">
        <v>835</v>
      </c>
      <c r="B254" t="s">
        <v>1841</v>
      </c>
      <c r="C254" t="s">
        <v>1832</v>
      </c>
      <c r="D254" t="s">
        <v>161</v>
      </c>
      <c r="E254" t="s">
        <v>1842</v>
      </c>
      <c r="F254" t="s">
        <v>114</v>
      </c>
      <c r="G254" t="s">
        <v>115</v>
      </c>
      <c r="H254" t="s">
        <v>92</v>
      </c>
      <c r="I254">
        <v>9</v>
      </c>
      <c r="J254" t="s">
        <v>116</v>
      </c>
      <c r="K254">
        <v>1</v>
      </c>
      <c r="L254" t="str">
        <f>HYPERLINK("https://mae.engr.uky.edu/people","https://mae.engr.uky.edu/people")</f>
        <v>https://mae.engr.uky.edu/people</v>
      </c>
    </row>
    <row r="255" spans="1:12" x14ac:dyDescent="0.3">
      <c r="A255">
        <v>837</v>
      </c>
      <c r="B255" t="s">
        <v>1845</v>
      </c>
      <c r="C255" t="s">
        <v>1832</v>
      </c>
      <c r="D255" t="s">
        <v>161</v>
      </c>
      <c r="E255" t="s">
        <v>1846</v>
      </c>
      <c r="F255" t="s">
        <v>114</v>
      </c>
      <c r="G255" t="s">
        <v>115</v>
      </c>
      <c r="H255" t="s">
        <v>1847</v>
      </c>
      <c r="I255">
        <v>9</v>
      </c>
      <c r="J255" t="s">
        <v>116</v>
      </c>
      <c r="K255">
        <v>1</v>
      </c>
      <c r="L255" t="str">
        <f>HYPERLINK("https://mae.engr.uky.edu/people","https://mae.engr.uky.edu/people")</f>
        <v>https://mae.engr.uky.edu/people</v>
      </c>
    </row>
    <row r="256" spans="1:12" x14ac:dyDescent="0.3">
      <c r="A256">
        <v>846</v>
      </c>
      <c r="B256" t="s">
        <v>1863</v>
      </c>
      <c r="C256" t="s">
        <v>1864</v>
      </c>
      <c r="D256" t="s">
        <v>14</v>
      </c>
      <c r="E256" t="s">
        <v>1865</v>
      </c>
      <c r="F256" t="s">
        <v>114</v>
      </c>
      <c r="G256" t="s">
        <v>115</v>
      </c>
      <c r="H256" t="s">
        <v>225</v>
      </c>
      <c r="I256">
        <v>14</v>
      </c>
      <c r="J256" t="s">
        <v>116</v>
      </c>
      <c r="K256">
        <v>1</v>
      </c>
      <c r="L256" t="str">
        <f>HYPERLINK("https://umaine.edu/mcec/mechanical-engineering/faculty-staff/","https://umaine.edu/mcec/mechanical-engineering/faculty-staff/")</f>
        <v>https://umaine.edu/mcec/mechanical-engineering/faculty-staff/</v>
      </c>
    </row>
    <row r="257" spans="1:12" x14ac:dyDescent="0.3">
      <c r="A257">
        <v>847</v>
      </c>
      <c r="B257" t="s">
        <v>1866</v>
      </c>
      <c r="C257" t="s">
        <v>1864</v>
      </c>
      <c r="D257" t="s">
        <v>14</v>
      </c>
      <c r="E257" t="s">
        <v>1867</v>
      </c>
      <c r="F257" t="s">
        <v>114</v>
      </c>
      <c r="G257" t="s">
        <v>115</v>
      </c>
      <c r="H257" t="s">
        <v>140</v>
      </c>
      <c r="I257">
        <v>39</v>
      </c>
      <c r="J257" t="s">
        <v>116</v>
      </c>
      <c r="K257">
        <v>1</v>
      </c>
      <c r="L257" t="str">
        <f>HYPERLINK("https://umaine.edu/mcec/mechanical-engineering/faculty-staff/","https://umaine.edu/mcec/mechanical-engineering/faculty-staff/")</f>
        <v>https://umaine.edu/mcec/mechanical-engineering/faculty-staff/</v>
      </c>
    </row>
    <row r="258" spans="1:12" x14ac:dyDescent="0.3">
      <c r="A258">
        <v>850</v>
      </c>
      <c r="B258" t="s">
        <v>1872</v>
      </c>
      <c r="C258" t="s">
        <v>1864</v>
      </c>
      <c r="D258" t="s">
        <v>14</v>
      </c>
      <c r="E258" t="s">
        <v>1873</v>
      </c>
      <c r="F258" t="s">
        <v>114</v>
      </c>
      <c r="G258" t="s">
        <v>115</v>
      </c>
      <c r="H258" t="s">
        <v>172</v>
      </c>
      <c r="I258">
        <v>1</v>
      </c>
      <c r="J258" t="s">
        <v>116</v>
      </c>
      <c r="K258">
        <v>1</v>
      </c>
      <c r="L258" t="str">
        <f>HYPERLINK("https://umaine.edu/mcec/mechanical-engineering/faculty-staff/","https://umaine.edu/mcec/mechanical-engineering/faculty-staff/")</f>
        <v>https://umaine.edu/mcec/mechanical-engineering/faculty-staff/</v>
      </c>
    </row>
    <row r="259" spans="1:12" x14ac:dyDescent="0.3">
      <c r="A259">
        <v>852</v>
      </c>
      <c r="B259" t="s">
        <v>1876</v>
      </c>
      <c r="C259" t="s">
        <v>1877</v>
      </c>
      <c r="D259" t="s">
        <v>48</v>
      </c>
      <c r="E259" t="s">
        <v>1878</v>
      </c>
      <c r="F259" t="s">
        <v>114</v>
      </c>
      <c r="G259" t="s">
        <v>115</v>
      </c>
      <c r="H259" t="s">
        <v>301</v>
      </c>
      <c r="I259">
        <v>49</v>
      </c>
      <c r="J259" t="s">
        <v>116</v>
      </c>
      <c r="K259">
        <v>1</v>
      </c>
      <c r="L259" t="str">
        <f>HYPERLINK("https://aero.umd.edu/clark/faculty/370/Stuart-Laurence","https://aero.umd.edu/clark/faculty/370/Stuart-Laurence")</f>
        <v>https://aero.umd.edu/clark/faculty/370/Stuart-Laurence</v>
      </c>
    </row>
    <row r="260" spans="1:12" x14ac:dyDescent="0.3">
      <c r="A260">
        <v>853</v>
      </c>
      <c r="B260" t="s">
        <v>1879</v>
      </c>
      <c r="C260" t="s">
        <v>1877</v>
      </c>
      <c r="D260" t="s">
        <v>48</v>
      </c>
      <c r="E260" t="s">
        <v>1880</v>
      </c>
      <c r="F260" t="s">
        <v>114</v>
      </c>
      <c r="G260" t="s">
        <v>115</v>
      </c>
      <c r="H260" t="s">
        <v>18</v>
      </c>
      <c r="I260">
        <v>104</v>
      </c>
      <c r="J260" t="s">
        <v>116</v>
      </c>
      <c r="K260">
        <v>1</v>
      </c>
      <c r="L260" t="str">
        <f>HYPERLINK("https://aero.umd.edu/clark/faculty/1183/Christoph-Brehm","https://aero.umd.edu/clark/faculty/1183/Christoph-Brehm")</f>
        <v>https://aero.umd.edu/clark/faculty/1183/Christoph-Brehm</v>
      </c>
    </row>
    <row r="261" spans="1:12" x14ac:dyDescent="0.3">
      <c r="A261">
        <v>854</v>
      </c>
      <c r="B261" t="s">
        <v>1881</v>
      </c>
      <c r="C261" t="s">
        <v>1877</v>
      </c>
      <c r="D261" t="s">
        <v>14</v>
      </c>
      <c r="E261" t="s">
        <v>1882</v>
      </c>
      <c r="F261" t="s">
        <v>114</v>
      </c>
      <c r="G261" t="s">
        <v>115</v>
      </c>
      <c r="H261" t="s">
        <v>104</v>
      </c>
      <c r="I261">
        <v>26</v>
      </c>
      <c r="J261" t="s">
        <v>116</v>
      </c>
      <c r="K261">
        <v>1</v>
      </c>
      <c r="L261" t="str">
        <f>HYPERLINK("https://enme.umd.edu/clark/faculty/418/Johan-Larsson","https://enme.umd.edu/clark/faculty/418/Johan-Larsson")</f>
        <v>https://enme.umd.edu/clark/faculty/418/Johan-Larsson</v>
      </c>
    </row>
    <row r="262" spans="1:12" x14ac:dyDescent="0.3">
      <c r="A262">
        <v>855</v>
      </c>
      <c r="B262" t="s">
        <v>1883</v>
      </c>
      <c r="C262" t="s">
        <v>1877</v>
      </c>
      <c r="D262" t="s">
        <v>14</v>
      </c>
      <c r="E262" t="s">
        <v>1884</v>
      </c>
      <c r="F262" t="s">
        <v>114</v>
      </c>
      <c r="G262" t="s">
        <v>115</v>
      </c>
      <c r="H262" t="s">
        <v>33</v>
      </c>
      <c r="I262">
        <v>16</v>
      </c>
      <c r="J262" t="s">
        <v>116</v>
      </c>
      <c r="K262">
        <v>1</v>
      </c>
      <c r="L262" t="str">
        <f>HYPERLINK("https://enme.umd.edu/clark/faculty/532/Amir-Riaz","https://enme.umd.edu/clark/faculty/532/Amir-Riaz")</f>
        <v>https://enme.umd.edu/clark/faculty/532/Amir-Riaz</v>
      </c>
    </row>
    <row r="263" spans="1:12" x14ac:dyDescent="0.3">
      <c r="A263">
        <v>869</v>
      </c>
      <c r="B263" t="s">
        <v>1912</v>
      </c>
      <c r="C263" t="s">
        <v>1913</v>
      </c>
      <c r="D263" t="s">
        <v>14</v>
      </c>
      <c r="E263" t="s">
        <v>1914</v>
      </c>
      <c r="F263" t="s">
        <v>114</v>
      </c>
      <c r="G263" t="s">
        <v>115</v>
      </c>
      <c r="H263" t="s">
        <v>254</v>
      </c>
      <c r="I263">
        <v>24</v>
      </c>
      <c r="J263" t="s">
        <v>116</v>
      </c>
      <c r="K263">
        <v>1</v>
      </c>
      <c r="L263" t="str">
        <f>HYPERLINK("https://www.memphis.edu/me/faculty/","https://www.memphis.edu/me/faculty/")</f>
        <v>https://www.memphis.edu/me/faculty/</v>
      </c>
    </row>
    <row r="264" spans="1:12" hidden="1" x14ac:dyDescent="0.3">
      <c r="A264">
        <v>263</v>
      </c>
      <c r="B264" t="s">
        <v>658</v>
      </c>
      <c r="C264" t="s">
        <v>647</v>
      </c>
      <c r="D264" t="s">
        <v>31</v>
      </c>
      <c r="E264" t="s">
        <v>659</v>
      </c>
      <c r="F264" t="s">
        <v>22</v>
      </c>
      <c r="G264" t="s">
        <v>23</v>
      </c>
      <c r="H264" t="s">
        <v>39</v>
      </c>
      <c r="I264">
        <v>42</v>
      </c>
      <c r="J264" t="s">
        <v>19</v>
      </c>
      <c r="K264">
        <v>1</v>
      </c>
      <c r="L264" t="str">
        <f>HYPERLINK("https://engineering.msu.edu/directory/faculty/zayern","https://engineering.msu.edu/directory/faculty/zayern")</f>
        <v>https://engineering.msu.edu/directory/faculty/zayern</v>
      </c>
    </row>
    <row r="265" spans="1:12" hidden="1" x14ac:dyDescent="0.3">
      <c r="A265">
        <v>264</v>
      </c>
      <c r="B265" t="s">
        <v>660</v>
      </c>
      <c r="C265" t="s">
        <v>647</v>
      </c>
      <c r="D265" t="s">
        <v>31</v>
      </c>
      <c r="E265" t="s">
        <v>661</v>
      </c>
      <c r="F265" t="s">
        <v>83</v>
      </c>
      <c r="G265" t="s">
        <v>84</v>
      </c>
      <c r="H265" t="s">
        <v>33</v>
      </c>
      <c r="I265">
        <v>43</v>
      </c>
      <c r="J265" t="s">
        <v>19</v>
      </c>
      <c r="K265">
        <v>1</v>
      </c>
      <c r="L265" t="str">
        <f>HYPERLINK("https://cmse.msu.edu/Directory/index.aspx","https://cmse.msu.edu/Directory/index.aspx")</f>
        <v>https://cmse.msu.edu/Directory/index.aspx</v>
      </c>
    </row>
    <row r="266" spans="1:12" hidden="1" x14ac:dyDescent="0.3">
      <c r="A266">
        <v>265</v>
      </c>
      <c r="B266" t="s">
        <v>662</v>
      </c>
      <c r="C266" t="s">
        <v>647</v>
      </c>
      <c r="D266" t="s">
        <v>31</v>
      </c>
      <c r="E266" t="s">
        <v>663</v>
      </c>
      <c r="F266" t="s">
        <v>83</v>
      </c>
      <c r="G266" t="s">
        <v>84</v>
      </c>
      <c r="H266" t="s">
        <v>39</v>
      </c>
      <c r="I266">
        <v>30</v>
      </c>
      <c r="J266" t="s">
        <v>19</v>
      </c>
      <c r="K266">
        <v>1</v>
      </c>
      <c r="L266" t="str">
        <f>HYPERLINK("https://cmse.msu.edu/Directory/index.aspx","https://cmse.msu.edu/Directory/index.aspx")</f>
        <v>https://cmse.msu.edu/Directory/index.aspx</v>
      </c>
    </row>
    <row r="267" spans="1:12" hidden="1" x14ac:dyDescent="0.3">
      <c r="A267">
        <v>266</v>
      </c>
      <c r="B267" t="s">
        <v>664</v>
      </c>
      <c r="C267" t="s">
        <v>647</v>
      </c>
      <c r="D267" t="s">
        <v>31</v>
      </c>
      <c r="E267" t="s">
        <v>665</v>
      </c>
      <c r="F267" t="s">
        <v>83</v>
      </c>
      <c r="G267" t="s">
        <v>84</v>
      </c>
      <c r="H267" t="s">
        <v>104</v>
      </c>
      <c r="I267">
        <v>20</v>
      </c>
      <c r="J267" t="s">
        <v>19</v>
      </c>
      <c r="K267">
        <v>1</v>
      </c>
      <c r="L267" t="str">
        <f>HYPERLINK("https://math.msu.edu/directory/faculty","https://math.msu.edu/directory/faculty")</f>
        <v>https://math.msu.edu/directory/faculty</v>
      </c>
    </row>
    <row r="268" spans="1:12" x14ac:dyDescent="0.3">
      <c r="A268">
        <v>870</v>
      </c>
      <c r="B268" t="s">
        <v>1915</v>
      </c>
      <c r="C268" t="s">
        <v>1913</v>
      </c>
      <c r="D268" t="s">
        <v>14</v>
      </c>
      <c r="E268" t="s">
        <v>1916</v>
      </c>
      <c r="F268" t="s">
        <v>114</v>
      </c>
      <c r="G268" t="s">
        <v>115</v>
      </c>
      <c r="H268" t="s">
        <v>406</v>
      </c>
      <c r="I268">
        <v>241</v>
      </c>
      <c r="J268" t="s">
        <v>116</v>
      </c>
      <c r="K268">
        <v>1</v>
      </c>
      <c r="L268" t="str">
        <f>HYPERLINK("https://www.memphis.edu/me/faculty/","https://www.memphis.edu/me/faculty/")</f>
        <v>https://www.memphis.edu/me/faculty/</v>
      </c>
    </row>
    <row r="269" spans="1:12" x14ac:dyDescent="0.3">
      <c r="A269">
        <v>872</v>
      </c>
      <c r="B269" t="s">
        <v>1919</v>
      </c>
      <c r="C269" t="s">
        <v>1913</v>
      </c>
      <c r="D269" t="s">
        <v>14</v>
      </c>
      <c r="E269" t="s">
        <v>1920</v>
      </c>
      <c r="F269" t="s">
        <v>114</v>
      </c>
      <c r="G269" t="s">
        <v>115</v>
      </c>
      <c r="H269" t="s">
        <v>24</v>
      </c>
      <c r="I269">
        <v>26</v>
      </c>
      <c r="J269" t="s">
        <v>116</v>
      </c>
      <c r="K269">
        <v>1</v>
      </c>
      <c r="L269" t="str">
        <f>HYPERLINK("https://www.memphis.edu/me/faculty/","https://www.memphis.edu/me/faculty/")</f>
        <v>https://www.memphis.edu/me/faculty/</v>
      </c>
    </row>
    <row r="270" spans="1:12" x14ac:dyDescent="0.3">
      <c r="A270">
        <v>873</v>
      </c>
      <c r="B270" t="s">
        <v>1921</v>
      </c>
      <c r="C270" t="s">
        <v>1913</v>
      </c>
      <c r="D270" t="s">
        <v>14</v>
      </c>
      <c r="E270" t="s">
        <v>1922</v>
      </c>
      <c r="F270" t="s">
        <v>114</v>
      </c>
      <c r="G270" t="s">
        <v>115</v>
      </c>
      <c r="H270" t="s">
        <v>33</v>
      </c>
      <c r="I270">
        <v>9</v>
      </c>
      <c r="J270" t="s">
        <v>116</v>
      </c>
      <c r="K270">
        <v>1</v>
      </c>
      <c r="L270" t="str">
        <f>HYPERLINK("https://www.memphis.edu/me/faculty/","https://www.memphis.edu/me/faculty/")</f>
        <v>https://www.memphis.edu/me/faculty/</v>
      </c>
    </row>
    <row r="271" spans="1:12" x14ac:dyDescent="0.3">
      <c r="A271">
        <v>874</v>
      </c>
      <c r="B271" t="s">
        <v>1923</v>
      </c>
      <c r="C271" t="s">
        <v>1913</v>
      </c>
      <c r="D271" t="s">
        <v>14</v>
      </c>
      <c r="E271" t="s">
        <v>1924</v>
      </c>
      <c r="F271" t="s">
        <v>114</v>
      </c>
      <c r="G271" t="s">
        <v>115</v>
      </c>
      <c r="H271" t="s">
        <v>620</v>
      </c>
      <c r="I271">
        <v>22</v>
      </c>
      <c r="J271" t="s">
        <v>116</v>
      </c>
      <c r="K271">
        <v>1</v>
      </c>
      <c r="L271" t="str">
        <f>HYPERLINK("https://www.memphis.edu/me/faculty/","https://www.memphis.edu/me/faculty/")</f>
        <v>https://www.memphis.edu/me/faculty/</v>
      </c>
    </row>
    <row r="272" spans="1:12" x14ac:dyDescent="0.3">
      <c r="A272">
        <v>875</v>
      </c>
      <c r="B272" t="s">
        <v>1925</v>
      </c>
      <c r="C272" t="s">
        <v>1913</v>
      </c>
      <c r="D272" t="s">
        <v>14</v>
      </c>
      <c r="E272" t="s">
        <v>1926</v>
      </c>
      <c r="F272" t="s">
        <v>114</v>
      </c>
      <c r="G272" t="s">
        <v>115</v>
      </c>
      <c r="H272" t="s">
        <v>305</v>
      </c>
      <c r="I272">
        <v>13</v>
      </c>
      <c r="J272" t="s">
        <v>116</v>
      </c>
      <c r="K272">
        <v>1</v>
      </c>
      <c r="L272" t="str">
        <f>HYPERLINK("https://www.memphis.edu/me/faculty/","https://www.memphis.edu/me/faculty/")</f>
        <v>https://www.memphis.edu/me/faculty/</v>
      </c>
    </row>
    <row r="273" spans="1:12" x14ac:dyDescent="0.3">
      <c r="A273">
        <v>882</v>
      </c>
      <c r="B273" t="s">
        <v>1940</v>
      </c>
      <c r="C273" t="s">
        <v>1941</v>
      </c>
      <c r="D273" t="s">
        <v>161</v>
      </c>
      <c r="E273" t="s">
        <v>1942</v>
      </c>
      <c r="F273" t="s">
        <v>114</v>
      </c>
      <c r="G273" t="s">
        <v>115</v>
      </c>
      <c r="H273" t="s">
        <v>45</v>
      </c>
      <c r="I273">
        <v>51</v>
      </c>
      <c r="J273" t="s">
        <v>116</v>
      </c>
      <c r="K273">
        <v>1</v>
      </c>
      <c r="L273" t="str">
        <f>HYPERLINK("https://mae.coe.miami.edu/people/faculty/index.html","https://mae.coe.miami.edu/people/faculty/index.html")</f>
        <v>https://mae.coe.miami.edu/people/faculty/index.html</v>
      </c>
    </row>
    <row r="274" spans="1:12" x14ac:dyDescent="0.3">
      <c r="A274">
        <v>885</v>
      </c>
      <c r="B274" t="s">
        <v>1947</v>
      </c>
      <c r="C274" t="s">
        <v>1941</v>
      </c>
      <c r="D274" t="s">
        <v>161</v>
      </c>
      <c r="E274" t="s">
        <v>1948</v>
      </c>
      <c r="F274" t="s">
        <v>114</v>
      </c>
      <c r="G274" t="s">
        <v>115</v>
      </c>
      <c r="H274" t="s">
        <v>182</v>
      </c>
      <c r="I274">
        <v>29</v>
      </c>
      <c r="J274" t="s">
        <v>116</v>
      </c>
      <c r="K274">
        <v>1</v>
      </c>
      <c r="L274" t="str">
        <f>HYPERLINK("https://mae.coe.miami.edu/people/faculty/index.html","https://mae.coe.miami.edu/people/faculty/index.html")</f>
        <v>https://mae.coe.miami.edu/people/faculty/index.html</v>
      </c>
    </row>
    <row r="275" spans="1:12" hidden="1" x14ac:dyDescent="0.3">
      <c r="A275">
        <v>274</v>
      </c>
      <c r="B275" t="s">
        <v>682</v>
      </c>
      <c r="C275" t="s">
        <v>667</v>
      </c>
      <c r="D275" t="s">
        <v>31</v>
      </c>
      <c r="E275" t="s">
        <v>683</v>
      </c>
      <c r="F275" t="s">
        <v>22</v>
      </c>
      <c r="G275" t="s">
        <v>23</v>
      </c>
      <c r="H275" t="s">
        <v>92</v>
      </c>
      <c r="I275">
        <v>170</v>
      </c>
      <c r="J275" t="s">
        <v>19</v>
      </c>
      <c r="K275">
        <v>1</v>
      </c>
      <c r="L275" t="str">
        <f>HYPERLINK("https://www.mtu.edu/math/department/faculty-staff/faculty/yang/","https://www.mtu.edu/math/department/faculty-staff/faculty/yang/")</f>
        <v>https://www.mtu.edu/math/department/faculty-staff/faculty/yang/</v>
      </c>
    </row>
    <row r="276" spans="1:12" hidden="1" x14ac:dyDescent="0.3">
      <c r="A276">
        <v>275</v>
      </c>
      <c r="B276" t="s">
        <v>684</v>
      </c>
      <c r="C276" t="s">
        <v>667</v>
      </c>
      <c r="D276" t="s">
        <v>31</v>
      </c>
      <c r="E276" t="s">
        <v>685</v>
      </c>
      <c r="F276" t="s">
        <v>62</v>
      </c>
      <c r="G276" t="s">
        <v>63</v>
      </c>
      <c r="H276" t="s">
        <v>50</v>
      </c>
      <c r="I276">
        <v>8</v>
      </c>
      <c r="J276" t="s">
        <v>19</v>
      </c>
      <c r="K276">
        <v>1</v>
      </c>
      <c r="L276" t="str">
        <f>HYPERLINK("https://www.mtu.edu/math/department/faculty-staff/faculty/xu/","https://www.mtu.edu/math/department/faculty-staff/faculty/xu/")</f>
        <v>https://www.mtu.edu/math/department/faculty-staff/faculty/xu/</v>
      </c>
    </row>
    <row r="277" spans="1:12" x14ac:dyDescent="0.3">
      <c r="A277">
        <v>886</v>
      </c>
      <c r="B277" t="s">
        <v>1949</v>
      </c>
      <c r="C277" t="s">
        <v>1941</v>
      </c>
      <c r="D277" t="s">
        <v>161</v>
      </c>
      <c r="E277" t="s">
        <v>1950</v>
      </c>
      <c r="F277" t="s">
        <v>114</v>
      </c>
      <c r="G277" t="s">
        <v>115</v>
      </c>
      <c r="H277" t="s">
        <v>273</v>
      </c>
      <c r="I277">
        <v>32</v>
      </c>
      <c r="J277" t="s">
        <v>116</v>
      </c>
      <c r="K277">
        <v>1</v>
      </c>
      <c r="L277" t="str">
        <f>HYPERLINK("https://mae.coe.miami.edu/people/faculty/index.html","https://mae.coe.miami.edu/people/faculty/index.html")</f>
        <v>https://mae.coe.miami.edu/people/faculty/index.html</v>
      </c>
    </row>
    <row r="278" spans="1:12" x14ac:dyDescent="0.3">
      <c r="A278">
        <v>931</v>
      </c>
      <c r="B278" t="s">
        <v>2036</v>
      </c>
      <c r="C278" t="s">
        <v>2037</v>
      </c>
      <c r="D278" t="s">
        <v>14</v>
      </c>
      <c r="E278" t="s">
        <v>57</v>
      </c>
      <c r="F278" t="s">
        <v>114</v>
      </c>
      <c r="G278" t="s">
        <v>115</v>
      </c>
      <c r="H278" t="s">
        <v>58</v>
      </c>
      <c r="I278">
        <v>0</v>
      </c>
      <c r="J278" t="s">
        <v>116</v>
      </c>
      <c r="K278">
        <v>1</v>
      </c>
      <c r="L278" t="str">
        <f>HYPERLINK("https://engineering.unl.edu/mme/about/faculty-staff/","https://engineering.unl.edu/mme/about/faculty-staff/")</f>
        <v>https://engineering.unl.edu/mme/about/faculty-staff/</v>
      </c>
    </row>
    <row r="279" spans="1:12" x14ac:dyDescent="0.3">
      <c r="A279">
        <v>932</v>
      </c>
      <c r="B279" t="s">
        <v>2038</v>
      </c>
      <c r="C279" t="s">
        <v>2037</v>
      </c>
      <c r="D279" t="s">
        <v>14</v>
      </c>
      <c r="E279" t="s">
        <v>2039</v>
      </c>
      <c r="F279" t="s">
        <v>114</v>
      </c>
      <c r="G279" t="s">
        <v>115</v>
      </c>
      <c r="H279" t="s">
        <v>495</v>
      </c>
      <c r="I279">
        <v>34</v>
      </c>
      <c r="J279" t="s">
        <v>116</v>
      </c>
      <c r="K279">
        <v>1</v>
      </c>
      <c r="L279" t="str">
        <f>HYPERLINK("https://engineering.unl.edu/mme/about/faculty-staff/","https://engineering.unl.edu/mme/about/faculty-staff/")</f>
        <v>https://engineering.unl.edu/mme/about/faculty-staff/</v>
      </c>
    </row>
    <row r="280" spans="1:12" x14ac:dyDescent="0.3">
      <c r="A280">
        <v>934</v>
      </c>
      <c r="B280" t="s">
        <v>2042</v>
      </c>
      <c r="C280" t="s">
        <v>2037</v>
      </c>
      <c r="D280" t="s">
        <v>14</v>
      </c>
      <c r="E280" t="s">
        <v>2043</v>
      </c>
      <c r="F280" t="s">
        <v>114</v>
      </c>
      <c r="G280" t="s">
        <v>115</v>
      </c>
      <c r="H280" t="s">
        <v>36</v>
      </c>
      <c r="I280">
        <v>11</v>
      </c>
      <c r="J280" t="s">
        <v>116</v>
      </c>
      <c r="K280">
        <v>1</v>
      </c>
      <c r="L280" t="str">
        <f>HYPERLINK("https://engineering.unl.edu/mme/about/faculty-staff/","https://engineering.unl.edu/mme/about/faculty-staff/")</f>
        <v>https://engineering.unl.edu/mme/about/faculty-staff/</v>
      </c>
    </row>
    <row r="281" spans="1:12" x14ac:dyDescent="0.3">
      <c r="A281">
        <v>935</v>
      </c>
      <c r="B281" t="s">
        <v>2044</v>
      </c>
      <c r="C281" t="s">
        <v>2037</v>
      </c>
      <c r="D281" t="s">
        <v>14</v>
      </c>
      <c r="E281" t="s">
        <v>2045</v>
      </c>
      <c r="F281" t="s">
        <v>114</v>
      </c>
      <c r="G281" t="s">
        <v>115</v>
      </c>
      <c r="H281" t="s">
        <v>842</v>
      </c>
      <c r="I281">
        <v>13</v>
      </c>
      <c r="J281" t="s">
        <v>116</v>
      </c>
      <c r="K281">
        <v>1</v>
      </c>
      <c r="L281" t="str">
        <f>HYPERLINK("https://engineering.unl.edu/mme/about/faculty-staff/","https://engineering.unl.edu/mme/about/faculty-staff/")</f>
        <v>https://engineering.unl.edu/mme/about/faculty-staff/</v>
      </c>
    </row>
    <row r="282" spans="1:12" x14ac:dyDescent="0.3">
      <c r="A282">
        <v>936</v>
      </c>
      <c r="B282" t="s">
        <v>2046</v>
      </c>
      <c r="C282" t="s">
        <v>2037</v>
      </c>
      <c r="D282" t="s">
        <v>14</v>
      </c>
      <c r="E282" t="s">
        <v>57</v>
      </c>
      <c r="F282" t="s">
        <v>114</v>
      </c>
      <c r="G282" t="s">
        <v>115</v>
      </c>
      <c r="H282" t="s">
        <v>58</v>
      </c>
      <c r="I282">
        <v>0</v>
      </c>
      <c r="J282" t="s">
        <v>116</v>
      </c>
      <c r="K282">
        <v>1</v>
      </c>
      <c r="L282" t="str">
        <f>HYPERLINK("https://engineering.unl.edu/mme/about/faculty-staff/","https://engineering.unl.edu/mme/about/faculty-staff/")</f>
        <v>https://engineering.unl.edu/mme/about/faculty-staff/</v>
      </c>
    </row>
    <row r="283" spans="1:12" hidden="1" x14ac:dyDescent="0.3">
      <c r="A283">
        <v>282</v>
      </c>
      <c r="B283" t="s">
        <v>699</v>
      </c>
      <c r="C283" t="s">
        <v>687</v>
      </c>
      <c r="D283" t="s">
        <v>31</v>
      </c>
      <c r="E283" t="s">
        <v>700</v>
      </c>
      <c r="F283" t="s">
        <v>27</v>
      </c>
      <c r="G283" t="s">
        <v>28</v>
      </c>
      <c r="H283" t="s">
        <v>182</v>
      </c>
      <c r="I283">
        <v>7</v>
      </c>
      <c r="J283" t="s">
        <v>19</v>
      </c>
      <c r="K283">
        <v>1</v>
      </c>
      <c r="L283" t="str">
        <f>HYPERLINK("https://www.math.msstate.edu/people/faculty/seongjai-kim/","https://www.math.msstate.edu/people/faculty/seongjai-kim/")</f>
        <v>https://www.math.msstate.edu/people/faculty/seongjai-kim/</v>
      </c>
    </row>
    <row r="284" spans="1:12" hidden="1" x14ac:dyDescent="0.3">
      <c r="A284">
        <v>283</v>
      </c>
      <c r="B284" t="s">
        <v>701</v>
      </c>
      <c r="C284" t="s">
        <v>687</v>
      </c>
      <c r="D284" t="s">
        <v>31</v>
      </c>
      <c r="E284" t="s">
        <v>702</v>
      </c>
      <c r="F284" t="s">
        <v>114</v>
      </c>
      <c r="G284" t="s">
        <v>115</v>
      </c>
      <c r="H284" t="s">
        <v>70</v>
      </c>
      <c r="I284">
        <v>14</v>
      </c>
      <c r="J284" t="s">
        <v>116</v>
      </c>
      <c r="K284">
        <v>3</v>
      </c>
      <c r="L284" t="str">
        <f>HYPERLINK("https://www.me.msstate.edu/people/faculty/","https://www.me.msstate.edu/people/faculty/")</f>
        <v>https://www.me.msstate.edu/people/faculty/</v>
      </c>
    </row>
    <row r="285" spans="1:12" x14ac:dyDescent="0.3">
      <c r="A285">
        <v>959</v>
      </c>
      <c r="B285" t="s">
        <v>2089</v>
      </c>
      <c r="C285" t="s">
        <v>2090</v>
      </c>
      <c r="D285" t="s">
        <v>14</v>
      </c>
      <c r="E285" t="s">
        <v>2091</v>
      </c>
      <c r="F285" t="s">
        <v>114</v>
      </c>
      <c r="G285" t="s">
        <v>115</v>
      </c>
      <c r="H285" t="s">
        <v>406</v>
      </c>
      <c r="I285">
        <v>21</v>
      </c>
      <c r="J285" t="s">
        <v>116</v>
      </c>
      <c r="K285">
        <v>1</v>
      </c>
      <c r="L285" t="str">
        <f>HYPERLINK("https://me.unm.edu/about/directory/faculty/svetlana-poroseva.html","https://me.unm.edu/about/directory/faculty/svetlana-poroseva.html")</f>
        <v>https://me.unm.edu/about/directory/faculty/svetlana-poroseva.html</v>
      </c>
    </row>
    <row r="286" spans="1:12" x14ac:dyDescent="0.3">
      <c r="A286">
        <v>960</v>
      </c>
      <c r="B286" t="s">
        <v>2092</v>
      </c>
      <c r="C286" t="s">
        <v>2090</v>
      </c>
      <c r="D286" t="s">
        <v>14</v>
      </c>
      <c r="E286" t="s">
        <v>2093</v>
      </c>
      <c r="F286" t="s">
        <v>114</v>
      </c>
      <c r="G286" t="s">
        <v>115</v>
      </c>
      <c r="H286" t="s">
        <v>140</v>
      </c>
      <c r="I286">
        <v>1</v>
      </c>
      <c r="J286" t="s">
        <v>116</v>
      </c>
      <c r="K286">
        <v>1</v>
      </c>
      <c r="L286" t="str">
        <f>HYPERLINK("https://me.unm.edu/about/directory/faculty/peter-vorobieff.html","https://me.unm.edu/about/directory/faculty/peter-vorobieff.html")</f>
        <v>https://me.unm.edu/about/directory/faculty/peter-vorobieff.html</v>
      </c>
    </row>
    <row r="287" spans="1:12" x14ac:dyDescent="0.3">
      <c r="A287">
        <v>961</v>
      </c>
      <c r="B287" t="s">
        <v>2094</v>
      </c>
      <c r="C287" t="s">
        <v>2090</v>
      </c>
      <c r="D287" t="s">
        <v>14</v>
      </c>
      <c r="E287" t="s">
        <v>2095</v>
      </c>
      <c r="F287" t="s">
        <v>114</v>
      </c>
      <c r="G287" t="s">
        <v>115</v>
      </c>
      <c r="H287" t="s">
        <v>305</v>
      </c>
      <c r="I287">
        <v>44</v>
      </c>
      <c r="J287" t="s">
        <v>116</v>
      </c>
      <c r="K287">
        <v>1</v>
      </c>
      <c r="L287" t="str">
        <f>HYPERLINK("https://me.unm.edu/about/directory/index.html","https://me.unm.edu/about/directory/index.html")</f>
        <v>https://me.unm.edu/about/directory/index.html</v>
      </c>
    </row>
    <row r="288" spans="1:12" x14ac:dyDescent="0.3">
      <c r="A288">
        <v>962</v>
      </c>
      <c r="B288" t="s">
        <v>2096</v>
      </c>
      <c r="C288" t="s">
        <v>2090</v>
      </c>
      <c r="D288" t="s">
        <v>14</v>
      </c>
      <c r="E288" t="s">
        <v>2097</v>
      </c>
      <c r="F288" t="s">
        <v>114</v>
      </c>
      <c r="G288" t="s">
        <v>115</v>
      </c>
      <c r="H288" t="s">
        <v>200</v>
      </c>
      <c r="I288">
        <v>17</v>
      </c>
      <c r="J288" t="s">
        <v>116</v>
      </c>
      <c r="K288">
        <v>1</v>
      </c>
      <c r="L288" t="str">
        <f>HYPERLINK("https://me.unm.edu/about/directory/faculty/wenbin-wan.html","https://me.unm.edu/about/directory/faculty/wenbin-wan.html")</f>
        <v>https://me.unm.edu/about/directory/faculty/wenbin-wan.html</v>
      </c>
    </row>
    <row r="289" spans="1:12" x14ac:dyDescent="0.3">
      <c r="A289">
        <v>1015</v>
      </c>
      <c r="B289" t="s">
        <v>2206</v>
      </c>
      <c r="C289" t="s">
        <v>2202</v>
      </c>
      <c r="D289" t="s">
        <v>161</v>
      </c>
      <c r="E289" t="s">
        <v>2207</v>
      </c>
      <c r="F289" t="s">
        <v>114</v>
      </c>
      <c r="G289" t="s">
        <v>115</v>
      </c>
      <c r="H289" t="s">
        <v>124</v>
      </c>
      <c r="I289">
        <v>22</v>
      </c>
      <c r="J289" t="s">
        <v>116</v>
      </c>
      <c r="K289">
        <v>1</v>
      </c>
      <c r="L289" t="str">
        <f>HYPERLINK("https://www.ou.edu/coe/ame/people/faculty.html","https://www.ou.edu/coe/ame/people/faculty.html")</f>
        <v>https://www.ou.edu/coe/ame/people/faculty.html</v>
      </c>
    </row>
    <row r="290" spans="1:12" x14ac:dyDescent="0.3">
      <c r="A290">
        <v>1019</v>
      </c>
      <c r="B290" t="s">
        <v>2214</v>
      </c>
      <c r="C290" t="s">
        <v>2202</v>
      </c>
      <c r="D290" t="s">
        <v>161</v>
      </c>
      <c r="E290" t="s">
        <v>2215</v>
      </c>
      <c r="F290" t="s">
        <v>114</v>
      </c>
      <c r="G290" t="s">
        <v>115</v>
      </c>
      <c r="H290" t="s">
        <v>88</v>
      </c>
      <c r="I290">
        <v>7</v>
      </c>
      <c r="J290" t="s">
        <v>116</v>
      </c>
      <c r="K290">
        <v>1</v>
      </c>
      <c r="L290" t="str">
        <f>HYPERLINK("https://www.ou.edu/coe/ame/people/faculty.html","https://www.ou.edu/coe/ame/people/faculty.html")</f>
        <v>https://www.ou.edu/coe/ame/people/faculty.html</v>
      </c>
    </row>
    <row r="291" spans="1:12" hidden="1" x14ac:dyDescent="0.3">
      <c r="A291">
        <v>290</v>
      </c>
      <c r="B291" t="s">
        <v>717</v>
      </c>
      <c r="C291" t="s">
        <v>704</v>
      </c>
      <c r="D291" t="s">
        <v>31</v>
      </c>
      <c r="E291" t="s">
        <v>718</v>
      </c>
      <c r="F291" t="s">
        <v>114</v>
      </c>
      <c r="G291" t="s">
        <v>115</v>
      </c>
      <c r="H291" t="s">
        <v>213</v>
      </c>
      <c r="I291">
        <v>51</v>
      </c>
      <c r="J291" t="s">
        <v>116</v>
      </c>
      <c r="K291">
        <v>3</v>
      </c>
      <c r="L291" t="str">
        <f>HYPERLINK("https://math.mst.edu/faculty-and-staff/faculty/","https://math.mst.edu/faculty-and-staff/faculty/")</f>
        <v>https://math.mst.edu/faculty-and-staff/faculty/</v>
      </c>
    </row>
    <row r="292" spans="1:12" hidden="1" x14ac:dyDescent="0.3">
      <c r="A292">
        <v>291</v>
      </c>
      <c r="B292" t="s">
        <v>719</v>
      </c>
      <c r="C292" t="s">
        <v>704</v>
      </c>
      <c r="D292" t="s">
        <v>31</v>
      </c>
      <c r="E292" t="s">
        <v>720</v>
      </c>
      <c r="F292" t="s">
        <v>114</v>
      </c>
      <c r="G292" t="s">
        <v>115</v>
      </c>
      <c r="H292" t="s">
        <v>254</v>
      </c>
      <c r="I292">
        <v>22</v>
      </c>
      <c r="J292" t="s">
        <v>116</v>
      </c>
      <c r="K292">
        <v>3</v>
      </c>
      <c r="L292" t="str">
        <f>HYPERLINK("https://math.mst.edu/faculty-and-staff/faculty/","https://math.mst.edu/faculty-and-staff/faculty/")</f>
        <v>https://math.mst.edu/faculty-and-staff/faculty/</v>
      </c>
    </row>
    <row r="293" spans="1:12" hidden="1" x14ac:dyDescent="0.3">
      <c r="A293">
        <v>292</v>
      </c>
      <c r="B293" t="s">
        <v>721</v>
      </c>
      <c r="C293" t="s">
        <v>704</v>
      </c>
      <c r="D293" t="s">
        <v>31</v>
      </c>
      <c r="E293" t="s">
        <v>722</v>
      </c>
      <c r="F293" t="s">
        <v>114</v>
      </c>
      <c r="G293" t="s">
        <v>115</v>
      </c>
      <c r="H293" t="s">
        <v>273</v>
      </c>
      <c r="I293">
        <v>10</v>
      </c>
      <c r="J293" t="s">
        <v>116</v>
      </c>
      <c r="K293">
        <v>3</v>
      </c>
      <c r="L293" t="str">
        <f>HYPERLINK("https://math.mst.edu/faculty-and-staff/faculty/","https://math.mst.edu/faculty-and-staff/faculty/")</f>
        <v>https://math.mst.edu/faculty-and-staff/faculty/</v>
      </c>
    </row>
    <row r="294" spans="1:12" hidden="1" x14ac:dyDescent="0.3">
      <c r="A294">
        <v>293</v>
      </c>
      <c r="B294" t="s">
        <v>723</v>
      </c>
      <c r="C294" t="s">
        <v>704</v>
      </c>
      <c r="D294" t="s">
        <v>31</v>
      </c>
      <c r="E294" t="s">
        <v>724</v>
      </c>
      <c r="F294" t="s">
        <v>114</v>
      </c>
      <c r="G294" t="s">
        <v>115</v>
      </c>
      <c r="H294" t="s">
        <v>391</v>
      </c>
      <c r="I294">
        <v>159</v>
      </c>
      <c r="J294" t="s">
        <v>116</v>
      </c>
      <c r="K294">
        <v>3</v>
      </c>
      <c r="L294" t="str">
        <f>HYPERLINK("https://math.mst.edu/faculty-and-staff/faculty/","https://math.mst.edu/faculty-and-staff/faculty/")</f>
        <v>https://math.mst.edu/faculty-and-staff/faculty/</v>
      </c>
    </row>
    <row r="295" spans="1:12" x14ac:dyDescent="0.3">
      <c r="A295">
        <v>1020</v>
      </c>
      <c r="B295" t="s">
        <v>2216</v>
      </c>
      <c r="C295" t="s">
        <v>2202</v>
      </c>
      <c r="D295" t="s">
        <v>161</v>
      </c>
      <c r="E295" t="s">
        <v>2217</v>
      </c>
      <c r="F295" t="s">
        <v>114</v>
      </c>
      <c r="G295" t="s">
        <v>115</v>
      </c>
      <c r="H295" t="s">
        <v>80</v>
      </c>
      <c r="I295">
        <v>14</v>
      </c>
      <c r="J295" t="s">
        <v>116</v>
      </c>
      <c r="K295">
        <v>1</v>
      </c>
      <c r="L295" t="str">
        <f>HYPERLINK("https://www.ou.edu/coe/ame/people/faculty.html","https://www.ou.edu/coe/ame/people/faculty.html")</f>
        <v>https://www.ou.edu/coe/ame/people/faculty.html</v>
      </c>
    </row>
    <row r="296" spans="1:12" x14ac:dyDescent="0.3">
      <c r="A296">
        <v>1028</v>
      </c>
      <c r="B296" t="s">
        <v>2233</v>
      </c>
      <c r="C296" t="s">
        <v>2221</v>
      </c>
      <c r="D296" t="s">
        <v>14</v>
      </c>
      <c r="E296" t="s">
        <v>2234</v>
      </c>
      <c r="F296" t="s">
        <v>114</v>
      </c>
      <c r="G296" t="s">
        <v>115</v>
      </c>
      <c r="H296" t="s">
        <v>29</v>
      </c>
      <c r="I296">
        <v>48</v>
      </c>
      <c r="J296" t="s">
        <v>116</v>
      </c>
      <c r="K296">
        <v>1</v>
      </c>
      <c r="L296" t="str">
        <f>HYPERLINK("https://www.physics.upenn.edu/people/standing-faculty/douglas-durian","https://www.physics.upenn.edu/people/standing-faculty/douglas-durian")</f>
        <v>https://www.physics.upenn.edu/people/standing-faculty/douglas-durian</v>
      </c>
    </row>
    <row r="297" spans="1:12" x14ac:dyDescent="0.3">
      <c r="A297">
        <v>1048</v>
      </c>
      <c r="B297" t="s">
        <v>2274</v>
      </c>
      <c r="C297" t="s">
        <v>2275</v>
      </c>
      <c r="D297" t="s">
        <v>161</v>
      </c>
      <c r="E297" t="s">
        <v>2276</v>
      </c>
      <c r="F297" t="s">
        <v>114</v>
      </c>
      <c r="G297" t="s">
        <v>115</v>
      </c>
      <c r="H297" t="s">
        <v>39</v>
      </c>
      <c r="I297">
        <v>59</v>
      </c>
      <c r="J297" t="s">
        <v>116</v>
      </c>
      <c r="K297">
        <v>1</v>
      </c>
      <c r="L297" t="str">
        <f>HYPERLINK("https://www.hajim.rochester.edu/me/people/faculty/index.html","https://www.hajim.rochester.edu/me/people/faculty/index.html")</f>
        <v>https://www.hajim.rochester.edu/me/people/faculty/index.html</v>
      </c>
    </row>
    <row r="298" spans="1:12" hidden="1" x14ac:dyDescent="0.3">
      <c r="A298">
        <v>297</v>
      </c>
      <c r="B298" t="s">
        <v>732</v>
      </c>
      <c r="C298" t="s">
        <v>726</v>
      </c>
      <c r="D298" t="s">
        <v>31</v>
      </c>
      <c r="E298" t="s">
        <v>733</v>
      </c>
      <c r="F298" t="s">
        <v>83</v>
      </c>
      <c r="G298" t="s">
        <v>84</v>
      </c>
      <c r="H298" t="s">
        <v>36</v>
      </c>
      <c r="I298">
        <v>8</v>
      </c>
      <c r="J298" t="s">
        <v>19</v>
      </c>
      <c r="K298">
        <v>1</v>
      </c>
      <c r="L298" t="str">
        <f>HYPERLINK("https://math.montana.edu/grad_students/math_faculty.html","https://math.montana.edu/grad_students/math_faculty.html")</f>
        <v>https://math.montana.edu/grad_students/math_faculty.html</v>
      </c>
    </row>
    <row r="299" spans="1:12" hidden="1" x14ac:dyDescent="0.3">
      <c r="A299">
        <v>298</v>
      </c>
      <c r="B299" t="s">
        <v>734</v>
      </c>
      <c r="C299" t="s">
        <v>726</v>
      </c>
      <c r="D299" t="s">
        <v>31</v>
      </c>
      <c r="E299" t="s">
        <v>735</v>
      </c>
      <c r="F299" t="s">
        <v>16</v>
      </c>
      <c r="G299" t="s">
        <v>17</v>
      </c>
      <c r="H299" t="s">
        <v>29</v>
      </c>
      <c r="I299">
        <v>51</v>
      </c>
      <c r="J299" t="s">
        <v>19</v>
      </c>
      <c r="K299">
        <v>1</v>
      </c>
      <c r="L299" t="str">
        <f>HYPERLINK("https://math.montana.edu/directory/faculty/","https://math.montana.edu/directory/faculty/")</f>
        <v>https://math.montana.edu/directory/faculty/</v>
      </c>
    </row>
    <row r="300" spans="1:12" hidden="1" x14ac:dyDescent="0.3">
      <c r="A300">
        <v>299</v>
      </c>
      <c r="B300" t="s">
        <v>736</v>
      </c>
      <c r="C300" t="s">
        <v>726</v>
      </c>
      <c r="D300" t="s">
        <v>31</v>
      </c>
      <c r="E300" t="s">
        <v>737</v>
      </c>
      <c r="F300" t="s">
        <v>16</v>
      </c>
      <c r="G300" t="s">
        <v>17</v>
      </c>
      <c r="H300" t="s">
        <v>39</v>
      </c>
      <c r="I300">
        <v>15</v>
      </c>
      <c r="J300" t="s">
        <v>19</v>
      </c>
      <c r="K300">
        <v>1</v>
      </c>
      <c r="L300" t="str">
        <f>HYPERLINK("https://math.montana.edu/directory/faculty/","https://math.montana.edu/directory/faculty/")</f>
        <v>https://math.montana.edu/directory/faculty/</v>
      </c>
    </row>
    <row r="301" spans="1:12" hidden="1" x14ac:dyDescent="0.3">
      <c r="A301">
        <v>300</v>
      </c>
      <c r="B301" t="s">
        <v>738</v>
      </c>
      <c r="C301" t="s">
        <v>739</v>
      </c>
      <c r="D301" t="s">
        <v>31</v>
      </c>
      <c r="E301" t="s">
        <v>740</v>
      </c>
      <c r="F301" t="s">
        <v>27</v>
      </c>
      <c r="G301" t="s">
        <v>28</v>
      </c>
      <c r="H301" t="s">
        <v>406</v>
      </c>
      <c r="I301">
        <v>59</v>
      </c>
      <c r="J301" t="s">
        <v>19</v>
      </c>
      <c r="K301">
        <v>1</v>
      </c>
      <c r="L301" t="str">
        <f>HYPERLINK("https://math.njit.edu/people/kondic","https://math.njit.edu/people/kondic")</f>
        <v>https://math.njit.edu/people/kondic</v>
      </c>
    </row>
    <row r="302" spans="1:12" hidden="1" x14ac:dyDescent="0.3">
      <c r="A302">
        <v>301</v>
      </c>
      <c r="B302" t="s">
        <v>741</v>
      </c>
      <c r="C302" t="s">
        <v>739</v>
      </c>
      <c r="D302" t="s">
        <v>31</v>
      </c>
      <c r="E302" t="s">
        <v>742</v>
      </c>
      <c r="F302" t="s">
        <v>27</v>
      </c>
      <c r="G302" t="s">
        <v>28</v>
      </c>
      <c r="H302" t="s">
        <v>124</v>
      </c>
      <c r="I302">
        <v>8</v>
      </c>
      <c r="J302" t="s">
        <v>19</v>
      </c>
      <c r="K302">
        <v>1</v>
      </c>
      <c r="L302" t="str">
        <f>HYPERLINK("https://math.njit.edu/people/misieg","https://math.njit.edu/people/misieg")</f>
        <v>https://math.njit.edu/people/misieg</v>
      </c>
    </row>
    <row r="303" spans="1:12" x14ac:dyDescent="0.3">
      <c r="A303">
        <v>1049</v>
      </c>
      <c r="B303" t="s">
        <v>2277</v>
      </c>
      <c r="C303" t="s">
        <v>2275</v>
      </c>
      <c r="D303" t="s">
        <v>161</v>
      </c>
      <c r="E303" t="s">
        <v>2278</v>
      </c>
      <c r="F303" t="s">
        <v>114</v>
      </c>
      <c r="G303" t="s">
        <v>115</v>
      </c>
      <c r="H303" t="s">
        <v>220</v>
      </c>
      <c r="I303">
        <v>71</v>
      </c>
      <c r="J303" t="s">
        <v>116</v>
      </c>
      <c r="K303">
        <v>1</v>
      </c>
      <c r="L303" t="str">
        <f>HYPERLINK("https://www.hajim.rochester.edu/me/people/faculty/index.html","https://www.hajim.rochester.edu/me/people/faculty/index.html")</f>
        <v>https://www.hajim.rochester.edu/me/people/faculty/index.html</v>
      </c>
    </row>
    <row r="304" spans="1:12" hidden="1" x14ac:dyDescent="0.3">
      <c r="A304">
        <v>303</v>
      </c>
      <c r="B304" t="s">
        <v>746</v>
      </c>
      <c r="C304" t="s">
        <v>739</v>
      </c>
      <c r="D304" t="s">
        <v>31</v>
      </c>
      <c r="E304" t="s">
        <v>747</v>
      </c>
      <c r="F304" t="s">
        <v>27</v>
      </c>
      <c r="G304" t="s">
        <v>28</v>
      </c>
      <c r="H304" t="s">
        <v>53</v>
      </c>
      <c r="I304">
        <v>27</v>
      </c>
      <c r="J304" t="s">
        <v>19</v>
      </c>
      <c r="K304">
        <v>1</v>
      </c>
      <c r="L304" t="str">
        <f>HYPERLINK("https://math.njit.edu/people/afkhami","https://math.njit.edu/people/afkhami")</f>
        <v>https://math.njit.edu/people/afkhami</v>
      </c>
    </row>
    <row r="305" spans="1:12" hidden="1" x14ac:dyDescent="0.3">
      <c r="A305">
        <v>304</v>
      </c>
      <c r="B305" t="s">
        <v>748</v>
      </c>
      <c r="C305" t="s">
        <v>739</v>
      </c>
      <c r="D305" t="s">
        <v>31</v>
      </c>
      <c r="E305" t="s">
        <v>749</v>
      </c>
      <c r="F305" t="s">
        <v>27</v>
      </c>
      <c r="G305" t="s">
        <v>28</v>
      </c>
      <c r="H305" t="s">
        <v>36</v>
      </c>
      <c r="I305">
        <v>25</v>
      </c>
      <c r="J305" t="s">
        <v>19</v>
      </c>
      <c r="K305">
        <v>1</v>
      </c>
      <c r="L305" t="str">
        <f>HYPERLINK("https://mie.njit.edu/people/marras","https://mie.njit.edu/people/marras")</f>
        <v>https://mie.njit.edu/people/marras</v>
      </c>
    </row>
    <row r="306" spans="1:12" x14ac:dyDescent="0.3">
      <c r="A306">
        <v>1051</v>
      </c>
      <c r="B306" t="s">
        <v>2281</v>
      </c>
      <c r="C306" t="s">
        <v>2275</v>
      </c>
      <c r="D306" t="s">
        <v>161</v>
      </c>
      <c r="E306" t="s">
        <v>2282</v>
      </c>
      <c r="F306" t="s">
        <v>114</v>
      </c>
      <c r="G306" t="s">
        <v>115</v>
      </c>
      <c r="H306" t="s">
        <v>213</v>
      </c>
      <c r="I306">
        <v>29</v>
      </c>
      <c r="J306" t="s">
        <v>116</v>
      </c>
      <c r="K306">
        <v>1</v>
      </c>
      <c r="L306" t="str">
        <f>HYPERLINK("https://www.hajim.rochester.edu/me/people/faculty/index.html","https://www.hajim.rochester.edu/me/people/faculty/index.html")</f>
        <v>https://www.hajim.rochester.edu/me/people/faculty/index.html</v>
      </c>
    </row>
    <row r="307" spans="1:12" hidden="1" x14ac:dyDescent="0.3">
      <c r="A307">
        <v>306</v>
      </c>
      <c r="B307" t="s">
        <v>752</v>
      </c>
      <c r="C307" t="s">
        <v>739</v>
      </c>
      <c r="D307" t="s">
        <v>31</v>
      </c>
      <c r="E307" t="s">
        <v>753</v>
      </c>
      <c r="F307" t="s">
        <v>27</v>
      </c>
      <c r="G307" t="s">
        <v>28</v>
      </c>
      <c r="H307" t="s">
        <v>633</v>
      </c>
      <c r="I307">
        <v>7</v>
      </c>
      <c r="J307" t="s">
        <v>19</v>
      </c>
      <c r="K307">
        <v>1</v>
      </c>
      <c r="L307" t="str">
        <f>HYPERLINK("https://math.njit.edu/people/blackmore","https://math.njit.edu/people/blackmore")</f>
        <v>https://math.njit.edu/people/blackmore</v>
      </c>
    </row>
    <row r="308" spans="1:12" hidden="1" x14ac:dyDescent="0.3">
      <c r="A308">
        <v>307</v>
      </c>
      <c r="B308" t="s">
        <v>754</v>
      </c>
      <c r="C308" t="s">
        <v>739</v>
      </c>
      <c r="D308" t="s">
        <v>31</v>
      </c>
      <c r="E308" t="s">
        <v>755</v>
      </c>
      <c r="F308" t="s">
        <v>27</v>
      </c>
      <c r="G308" t="s">
        <v>28</v>
      </c>
      <c r="H308" t="s">
        <v>64</v>
      </c>
      <c r="I308">
        <v>12</v>
      </c>
      <c r="J308" t="s">
        <v>19</v>
      </c>
      <c r="K308">
        <v>1</v>
      </c>
      <c r="L308" t="str">
        <f>HYPERLINK("https://math.njit.edu/people/askham","https://math.njit.edu/people/askham")</f>
        <v>https://math.njit.edu/people/askham</v>
      </c>
    </row>
    <row r="309" spans="1:12" hidden="1" x14ac:dyDescent="0.3">
      <c r="A309">
        <v>308</v>
      </c>
      <c r="B309" t="s">
        <v>756</v>
      </c>
      <c r="C309" t="s">
        <v>739</v>
      </c>
      <c r="D309" t="s">
        <v>31</v>
      </c>
      <c r="E309" t="s">
        <v>757</v>
      </c>
      <c r="F309" t="s">
        <v>27</v>
      </c>
      <c r="G309" t="s">
        <v>28</v>
      </c>
      <c r="H309" t="s">
        <v>39</v>
      </c>
      <c r="I309">
        <v>14</v>
      </c>
      <c r="J309" t="s">
        <v>19</v>
      </c>
      <c r="K309">
        <v>1</v>
      </c>
      <c r="L309" t="str">
        <f>HYPERLINK("https://math.njit.edu/people/oza","https://math.njit.edu/people/oza")</f>
        <v>https://math.njit.edu/people/oza</v>
      </c>
    </row>
    <row r="310" spans="1:12" hidden="1" x14ac:dyDescent="0.3">
      <c r="A310">
        <v>309</v>
      </c>
      <c r="B310" t="s">
        <v>758</v>
      </c>
      <c r="C310" t="s">
        <v>739</v>
      </c>
      <c r="D310" t="s">
        <v>31</v>
      </c>
      <c r="E310" t="s">
        <v>759</v>
      </c>
      <c r="F310" t="s">
        <v>27</v>
      </c>
      <c r="G310" t="s">
        <v>28</v>
      </c>
      <c r="H310" t="s">
        <v>329</v>
      </c>
      <c r="I310">
        <v>31</v>
      </c>
      <c r="J310" t="s">
        <v>19</v>
      </c>
      <c r="K310">
        <v>1</v>
      </c>
      <c r="L310" t="str">
        <f>HYPERLINK("https://mie.njit.edu/people/chester","https://mie.njit.edu/people/chester")</f>
        <v>https://mie.njit.edu/people/chester</v>
      </c>
    </row>
    <row r="311" spans="1:12" x14ac:dyDescent="0.3">
      <c r="A311">
        <v>1053</v>
      </c>
      <c r="B311" t="s">
        <v>2285</v>
      </c>
      <c r="C311" t="s">
        <v>2275</v>
      </c>
      <c r="D311" t="s">
        <v>161</v>
      </c>
      <c r="E311" t="s">
        <v>2286</v>
      </c>
      <c r="F311" t="s">
        <v>114</v>
      </c>
      <c r="G311" t="s">
        <v>115</v>
      </c>
      <c r="H311" t="s">
        <v>50</v>
      </c>
      <c r="I311">
        <v>13</v>
      </c>
      <c r="J311" t="s">
        <v>116</v>
      </c>
      <c r="K311">
        <v>1</v>
      </c>
      <c r="L311" t="str">
        <f>HYPERLINK("https://www.hajim.rochester.edu/me/people/faculty/index.html","https://www.hajim.rochester.edu/me/people/faculty/index.html")</f>
        <v>https://www.hajim.rochester.edu/me/people/faculty/index.html</v>
      </c>
    </row>
    <row r="312" spans="1:12" x14ac:dyDescent="0.3">
      <c r="A312">
        <v>1054</v>
      </c>
      <c r="B312" t="s">
        <v>2287</v>
      </c>
      <c r="C312" t="s">
        <v>2275</v>
      </c>
      <c r="D312" t="s">
        <v>161</v>
      </c>
      <c r="E312" t="s">
        <v>2288</v>
      </c>
      <c r="F312" t="s">
        <v>114</v>
      </c>
      <c r="G312" t="s">
        <v>115</v>
      </c>
      <c r="H312" t="s">
        <v>85</v>
      </c>
      <c r="I312">
        <v>34</v>
      </c>
      <c r="J312" t="s">
        <v>116</v>
      </c>
      <c r="K312">
        <v>1</v>
      </c>
      <c r="L312" t="str">
        <f>HYPERLINK("https://www.hajim.rochester.edu/me/people/faculty/index.html","https://www.hajim.rochester.edu/me/people/faculty/index.html")</f>
        <v>https://www.hajim.rochester.edu/me/people/faculty/index.html</v>
      </c>
    </row>
    <row r="313" spans="1:12" x14ac:dyDescent="0.3">
      <c r="A313">
        <v>1055</v>
      </c>
      <c r="B313" t="s">
        <v>2289</v>
      </c>
      <c r="C313" t="s">
        <v>2275</v>
      </c>
      <c r="D313" t="s">
        <v>161</v>
      </c>
      <c r="E313" t="s">
        <v>2290</v>
      </c>
      <c r="F313" t="s">
        <v>114</v>
      </c>
      <c r="G313" t="s">
        <v>115</v>
      </c>
      <c r="H313" t="s">
        <v>88</v>
      </c>
      <c r="I313">
        <v>41</v>
      </c>
      <c r="J313" t="s">
        <v>116</v>
      </c>
      <c r="K313">
        <v>1</v>
      </c>
      <c r="L313" t="str">
        <f>HYPERLINK("https://www.hajim.rochester.edu/me/people/faculty/index.html","https://www.hajim.rochester.edu/me/people/faculty/index.html")</f>
        <v>https://www.hajim.rochester.edu/me/people/faculty/index.html</v>
      </c>
    </row>
    <row r="314" spans="1:12" x14ac:dyDescent="0.3">
      <c r="A314">
        <v>1056</v>
      </c>
      <c r="B314" t="s">
        <v>2291</v>
      </c>
      <c r="C314" t="s">
        <v>2275</v>
      </c>
      <c r="D314" t="s">
        <v>161</v>
      </c>
      <c r="E314" t="s">
        <v>2292</v>
      </c>
      <c r="F314" t="s">
        <v>114</v>
      </c>
      <c r="G314" t="s">
        <v>115</v>
      </c>
      <c r="H314" t="s">
        <v>775</v>
      </c>
      <c r="I314">
        <v>0</v>
      </c>
      <c r="J314" t="s">
        <v>116</v>
      </c>
      <c r="K314">
        <v>1</v>
      </c>
      <c r="L314" t="str">
        <f>HYPERLINK("https://www.hajim.rochester.edu/me/people/faculty/index.html","https://www.hajim.rochester.edu/me/people/faculty/index.html")</f>
        <v>https://www.hajim.rochester.edu/me/people/faculty/index.html</v>
      </c>
    </row>
    <row r="315" spans="1:12" x14ac:dyDescent="0.3">
      <c r="A315">
        <v>1057</v>
      </c>
      <c r="B315" t="s">
        <v>2293</v>
      </c>
      <c r="C315" t="s">
        <v>2294</v>
      </c>
      <c r="D315" t="s">
        <v>161</v>
      </c>
      <c r="E315" t="s">
        <v>2295</v>
      </c>
      <c r="F315" t="s">
        <v>114</v>
      </c>
      <c r="G315" t="s">
        <v>115</v>
      </c>
      <c r="H315" t="s">
        <v>140</v>
      </c>
      <c r="I315">
        <v>30</v>
      </c>
      <c r="J315" t="s">
        <v>116</v>
      </c>
      <c r="K315">
        <v>1</v>
      </c>
      <c r="L315" t="str">
        <f>HYPERLINK("https://sc.edu/study/colleges_schools/engineering_and_computing/faculty-staff/farouk_tanvir.php","https://sc.edu/study/colleges_schools/engineering_and_computing/faculty-staff/farouk_tanvir.php")</f>
        <v>https://sc.edu/study/colleges_schools/engineering_and_computing/faculty-staff/farouk_tanvir.php</v>
      </c>
    </row>
    <row r="316" spans="1:12" x14ac:dyDescent="0.3">
      <c r="A316">
        <v>1058</v>
      </c>
      <c r="B316" t="s">
        <v>2296</v>
      </c>
      <c r="C316" t="s">
        <v>2294</v>
      </c>
      <c r="D316" t="s">
        <v>161</v>
      </c>
      <c r="E316" t="s">
        <v>2297</v>
      </c>
      <c r="F316" t="s">
        <v>114</v>
      </c>
      <c r="G316" t="s">
        <v>115</v>
      </c>
      <c r="H316" t="s">
        <v>539</v>
      </c>
      <c r="I316">
        <v>26</v>
      </c>
      <c r="J316" t="s">
        <v>116</v>
      </c>
      <c r="K316">
        <v>1</v>
      </c>
      <c r="L316" t="str">
        <f>HYPERLINK("https://sc.edu/study/colleges_schools/engineering_and_computing/faculty-staff/khan_jamil.php","https://sc.edu/study/colleges_schools/engineering_and_computing/faculty-staff/khan_jamil.php")</f>
        <v>https://sc.edu/study/colleges_schools/engineering_and_computing/faculty-staff/khan_jamil.php</v>
      </c>
    </row>
    <row r="317" spans="1:12" x14ac:dyDescent="0.3">
      <c r="A317">
        <v>1060</v>
      </c>
      <c r="B317" t="s">
        <v>2300</v>
      </c>
      <c r="C317" t="s">
        <v>2294</v>
      </c>
      <c r="D317" t="s">
        <v>161</v>
      </c>
      <c r="E317" t="s">
        <v>2301</v>
      </c>
      <c r="F317" t="s">
        <v>114</v>
      </c>
      <c r="G317" t="s">
        <v>115</v>
      </c>
      <c r="H317" t="s">
        <v>18</v>
      </c>
      <c r="I317">
        <v>12</v>
      </c>
      <c r="J317" t="s">
        <v>116</v>
      </c>
      <c r="K317">
        <v>1</v>
      </c>
      <c r="L317" t="str">
        <f>HYPERLINK("https://sc.edu/study/colleges_schools/engineering_and_computing/faculty-staff/wang_guiren.php","https://sc.edu/study/colleges_schools/engineering_and_computing/faculty-staff/wang_guiren.php")</f>
        <v>https://sc.edu/study/colleges_schools/engineering_and_computing/faculty-staff/wang_guiren.php</v>
      </c>
    </row>
    <row r="318" spans="1:12" x14ac:dyDescent="0.3">
      <c r="A318">
        <v>1061</v>
      </c>
      <c r="B318" t="s">
        <v>2302</v>
      </c>
      <c r="C318" t="s">
        <v>2294</v>
      </c>
      <c r="D318" t="s">
        <v>14</v>
      </c>
      <c r="E318" t="s">
        <v>2303</v>
      </c>
      <c r="F318" t="s">
        <v>114</v>
      </c>
      <c r="G318" t="s">
        <v>115</v>
      </c>
      <c r="H318" t="s">
        <v>92</v>
      </c>
      <c r="I318">
        <v>35</v>
      </c>
      <c r="J318" t="s">
        <v>116</v>
      </c>
      <c r="K318">
        <v>1</v>
      </c>
      <c r="L318" t="str">
        <f>HYPERLINK("https://sc.edu/study/colleges_schools/engineering_and_computing/faculty-staff/imran_jasim.php","https://sc.edu/study/colleges_schools/engineering_and_computing/faculty-staff/imran_jasim.php")</f>
        <v>https://sc.edu/study/colleges_schools/engineering_and_computing/faculty-staff/imran_jasim.php</v>
      </c>
    </row>
    <row r="319" spans="1:12" x14ac:dyDescent="0.3">
      <c r="A319">
        <v>1062</v>
      </c>
      <c r="B319" t="s">
        <v>2304</v>
      </c>
      <c r="C319" t="s">
        <v>2294</v>
      </c>
      <c r="D319" t="s">
        <v>161</v>
      </c>
      <c r="E319" t="s">
        <v>2305</v>
      </c>
      <c r="F319" t="s">
        <v>114</v>
      </c>
      <c r="G319" t="s">
        <v>115</v>
      </c>
      <c r="H319" t="s">
        <v>140</v>
      </c>
      <c r="I319">
        <v>18</v>
      </c>
      <c r="J319" t="s">
        <v>116</v>
      </c>
      <c r="K319">
        <v>1</v>
      </c>
      <c r="L319" t="str">
        <f>HYPERLINK("https://sc.edu/study/colleges_schools/engineering_and_computing/faculty-staff/yu_lingyu.php","https://sc.edu/study/colleges_schools/engineering_and_computing/faculty-staff/yu_lingyu.php")</f>
        <v>https://sc.edu/study/colleges_schools/engineering_and_computing/faculty-staff/yu_lingyu.php</v>
      </c>
    </row>
    <row r="320" spans="1:12" x14ac:dyDescent="0.3">
      <c r="A320">
        <v>1063</v>
      </c>
      <c r="B320" t="s">
        <v>2306</v>
      </c>
      <c r="C320" t="s">
        <v>2294</v>
      </c>
      <c r="D320" t="s">
        <v>161</v>
      </c>
      <c r="E320" t="s">
        <v>2307</v>
      </c>
      <c r="F320" t="s">
        <v>114</v>
      </c>
      <c r="G320" t="s">
        <v>115</v>
      </c>
      <c r="H320" t="s">
        <v>104</v>
      </c>
      <c r="I320">
        <v>149</v>
      </c>
      <c r="J320" t="s">
        <v>116</v>
      </c>
      <c r="K320">
        <v>1</v>
      </c>
      <c r="L320" t="str">
        <f>HYPERLINK("https://sc.edu/study/colleges_schools/engineering_and_computing/faculty-staff/austin_downey.php","https://sc.edu/study/colleges_schools/engineering_and_computing/faculty-staff/austin_downey.php")</f>
        <v>https://sc.edu/study/colleges_schools/engineering_and_computing/faculty-staff/austin_downey.php</v>
      </c>
    </row>
    <row r="321" spans="1:12" x14ac:dyDescent="0.3">
      <c r="A321">
        <v>1064</v>
      </c>
      <c r="B321" t="s">
        <v>2308</v>
      </c>
      <c r="C321" t="s">
        <v>2309</v>
      </c>
      <c r="D321" t="s">
        <v>14</v>
      </c>
      <c r="E321" t="s">
        <v>2310</v>
      </c>
      <c r="F321" t="s">
        <v>114</v>
      </c>
      <c r="G321" t="s">
        <v>115</v>
      </c>
      <c r="H321" t="s">
        <v>70</v>
      </c>
      <c r="I321">
        <v>31</v>
      </c>
      <c r="J321" t="s">
        <v>116</v>
      </c>
      <c r="K321">
        <v>1</v>
      </c>
      <c r="L321" t="str">
        <f>HYPERLINK("https://www.usf.edu/engineering/mae/people/index.aspx","https://www.usf.edu/engineering/mae/people/index.aspx")</f>
        <v>https://www.usf.edu/engineering/mae/people/index.aspx</v>
      </c>
    </row>
    <row r="322" spans="1:12" x14ac:dyDescent="0.3">
      <c r="A322">
        <v>1065</v>
      </c>
      <c r="B322" t="s">
        <v>2311</v>
      </c>
      <c r="C322" t="s">
        <v>2309</v>
      </c>
      <c r="D322" t="s">
        <v>14</v>
      </c>
      <c r="E322" t="s">
        <v>2312</v>
      </c>
      <c r="F322" t="s">
        <v>114</v>
      </c>
      <c r="G322" t="s">
        <v>115</v>
      </c>
      <c r="H322" t="s">
        <v>70</v>
      </c>
      <c r="I322">
        <v>5</v>
      </c>
      <c r="J322" t="s">
        <v>116</v>
      </c>
      <c r="K322">
        <v>1</v>
      </c>
      <c r="L322" t="str">
        <f>HYPERLINK("https://www.usf.edu/engineering/mae/people/index.aspx","https://www.usf.edu/engineering/mae/people/index.aspx")</f>
        <v>https://www.usf.edu/engineering/mae/people/index.aspx</v>
      </c>
    </row>
    <row r="323" spans="1:12" x14ac:dyDescent="0.3">
      <c r="A323">
        <v>1066</v>
      </c>
      <c r="B323" t="s">
        <v>2313</v>
      </c>
      <c r="C323" t="s">
        <v>2309</v>
      </c>
      <c r="D323" t="s">
        <v>14</v>
      </c>
      <c r="E323" t="s">
        <v>2314</v>
      </c>
      <c r="F323" t="s">
        <v>114</v>
      </c>
      <c r="G323" t="s">
        <v>115</v>
      </c>
      <c r="H323" t="s">
        <v>2315</v>
      </c>
      <c r="I323">
        <v>1</v>
      </c>
      <c r="J323" t="s">
        <v>116</v>
      </c>
      <c r="K323">
        <v>1</v>
      </c>
      <c r="L323" t="str">
        <f>HYPERLINK("https://www.usf.edu/engineering/mae/people/index.aspx","https://www.usf.edu/engineering/mae/people/index.aspx")</f>
        <v>https://www.usf.edu/engineering/mae/people/index.aspx</v>
      </c>
    </row>
    <row r="324" spans="1:12" x14ac:dyDescent="0.3">
      <c r="A324">
        <v>1067</v>
      </c>
      <c r="B324" t="s">
        <v>2316</v>
      </c>
      <c r="C324" t="s">
        <v>2309</v>
      </c>
      <c r="D324" t="s">
        <v>14</v>
      </c>
      <c r="E324" t="s">
        <v>57</v>
      </c>
      <c r="F324" t="s">
        <v>114</v>
      </c>
      <c r="G324" t="s">
        <v>115</v>
      </c>
      <c r="H324" t="s">
        <v>58</v>
      </c>
      <c r="I324">
        <v>0</v>
      </c>
      <c r="J324" t="s">
        <v>116</v>
      </c>
      <c r="K324">
        <v>1</v>
      </c>
      <c r="L324" t="str">
        <f>HYPERLINK("https://www.usf.edu/engineering/mae/people/index.aspx","https://www.usf.edu/engineering/mae/people/index.aspx")</f>
        <v>https://www.usf.edu/engineering/mae/people/index.aspx</v>
      </c>
    </row>
    <row r="325" spans="1:12" x14ac:dyDescent="0.3">
      <c r="A325">
        <v>1068</v>
      </c>
      <c r="B325" t="s">
        <v>2317</v>
      </c>
      <c r="C325" t="s">
        <v>2309</v>
      </c>
      <c r="D325" t="s">
        <v>14</v>
      </c>
      <c r="E325" t="s">
        <v>2318</v>
      </c>
      <c r="F325" t="s">
        <v>114</v>
      </c>
      <c r="G325" t="s">
        <v>115</v>
      </c>
      <c r="H325" t="s">
        <v>228</v>
      </c>
      <c r="I325">
        <v>10</v>
      </c>
      <c r="J325" t="s">
        <v>116</v>
      </c>
      <c r="K325">
        <v>1</v>
      </c>
      <c r="L325" t="str">
        <f>HYPERLINK("https://www.usf.edu/engineering/mae/people/index.aspx","https://www.usf.edu/engineering/mae/people/index.aspx")</f>
        <v>https://www.usf.edu/engineering/mae/people/index.aspx</v>
      </c>
    </row>
    <row r="326" spans="1:12" hidden="1" x14ac:dyDescent="0.3">
      <c r="A326">
        <v>325</v>
      </c>
      <c r="B326" t="s">
        <v>793</v>
      </c>
      <c r="C326" t="s">
        <v>777</v>
      </c>
      <c r="D326" t="s">
        <v>31</v>
      </c>
      <c r="E326" t="s">
        <v>794</v>
      </c>
      <c r="F326" t="s">
        <v>114</v>
      </c>
      <c r="G326" t="s">
        <v>115</v>
      </c>
      <c r="H326" t="s">
        <v>75</v>
      </c>
      <c r="I326">
        <v>40</v>
      </c>
      <c r="J326" t="s">
        <v>116</v>
      </c>
      <c r="K326">
        <v>3</v>
      </c>
      <c r="L326" t="str">
        <f>HYPERLINK("https://math.sciences.ncsu.edu/people/mmfarazm/","https://math.sciences.ncsu.edu/people/mmfarazm/")</f>
        <v>https://math.sciences.ncsu.edu/people/mmfarazm/</v>
      </c>
    </row>
    <row r="327" spans="1:12" hidden="1" x14ac:dyDescent="0.3">
      <c r="A327">
        <v>326</v>
      </c>
      <c r="B327" t="s">
        <v>795</v>
      </c>
      <c r="C327" t="s">
        <v>777</v>
      </c>
      <c r="D327" t="s">
        <v>31</v>
      </c>
      <c r="E327" t="s">
        <v>796</v>
      </c>
      <c r="F327" t="s">
        <v>114</v>
      </c>
      <c r="G327" t="s">
        <v>115</v>
      </c>
      <c r="H327" t="s">
        <v>406</v>
      </c>
      <c r="I327">
        <v>26</v>
      </c>
      <c r="J327" t="s">
        <v>116</v>
      </c>
      <c r="K327">
        <v>3</v>
      </c>
      <c r="L327" t="str">
        <f>HYPERLINK("https://math.sciences.ncsu.edu/people/stsynkov/","https://math.sciences.ncsu.edu/people/stsynkov/")</f>
        <v>https://math.sciences.ncsu.edu/people/stsynkov/</v>
      </c>
    </row>
    <row r="328" spans="1:12" hidden="1" x14ac:dyDescent="0.3">
      <c r="A328">
        <v>327</v>
      </c>
      <c r="B328" t="s">
        <v>797</v>
      </c>
      <c r="C328" t="s">
        <v>777</v>
      </c>
      <c r="D328" t="s">
        <v>31</v>
      </c>
      <c r="E328" t="s">
        <v>798</v>
      </c>
      <c r="F328" t="s">
        <v>114</v>
      </c>
      <c r="G328" t="s">
        <v>115</v>
      </c>
      <c r="H328" t="s">
        <v>80</v>
      </c>
      <c r="I328">
        <v>165</v>
      </c>
      <c r="J328" t="s">
        <v>116</v>
      </c>
      <c r="K328">
        <v>3</v>
      </c>
      <c r="L328" t="str">
        <f>HYPERLINK("https://math.sciences.ncsu.edu/people/zhilin/","https://math.sciences.ncsu.edu/people/zhilin/")</f>
        <v>https://math.sciences.ncsu.edu/people/zhilin/</v>
      </c>
    </row>
    <row r="329" spans="1:12" hidden="1" x14ac:dyDescent="0.3">
      <c r="A329">
        <v>328</v>
      </c>
      <c r="B329" t="s">
        <v>799</v>
      </c>
      <c r="C329" t="s">
        <v>777</v>
      </c>
      <c r="D329" t="s">
        <v>31</v>
      </c>
      <c r="E329" t="s">
        <v>57</v>
      </c>
      <c r="F329" t="s">
        <v>114</v>
      </c>
      <c r="G329" t="s">
        <v>115</v>
      </c>
      <c r="H329" t="s">
        <v>58</v>
      </c>
      <c r="I329">
        <v>0</v>
      </c>
      <c r="J329" t="s">
        <v>116</v>
      </c>
      <c r="K329">
        <v>3</v>
      </c>
      <c r="L329" t="str">
        <f>HYPERLINK("https://math.sciences.ncsu.edu/people/tran/","https://math.sciences.ncsu.edu/people/tran/")</f>
        <v>https://math.sciences.ncsu.edu/people/tran/</v>
      </c>
    </row>
    <row r="330" spans="1:12" hidden="1" x14ac:dyDescent="0.3">
      <c r="A330">
        <v>329</v>
      </c>
      <c r="B330" t="s">
        <v>800</v>
      </c>
      <c r="C330" t="s">
        <v>777</v>
      </c>
      <c r="D330" t="s">
        <v>31</v>
      </c>
      <c r="E330" t="s">
        <v>801</v>
      </c>
      <c r="F330" t="s">
        <v>114</v>
      </c>
      <c r="G330" t="s">
        <v>115</v>
      </c>
      <c r="H330" t="s">
        <v>53</v>
      </c>
      <c r="I330">
        <v>18</v>
      </c>
      <c r="J330" t="s">
        <v>116</v>
      </c>
      <c r="K330">
        <v>3</v>
      </c>
      <c r="L330" t="str">
        <f>HYPERLINK("https://math.sciences.ncsu.edu/people/lvbociu/","https://math.sciences.ncsu.edu/people/lvbociu/")</f>
        <v>https://math.sciences.ncsu.edu/people/lvbociu/</v>
      </c>
    </row>
    <row r="331" spans="1:12" hidden="1" x14ac:dyDescent="0.3">
      <c r="A331">
        <v>330</v>
      </c>
      <c r="B331" t="s">
        <v>802</v>
      </c>
      <c r="C331" t="s">
        <v>777</v>
      </c>
      <c r="D331" t="s">
        <v>31</v>
      </c>
      <c r="E331" t="s">
        <v>803</v>
      </c>
      <c r="F331" t="s">
        <v>114</v>
      </c>
      <c r="G331" t="s">
        <v>115</v>
      </c>
      <c r="H331" t="s">
        <v>140</v>
      </c>
      <c r="I331">
        <v>29</v>
      </c>
      <c r="J331" t="s">
        <v>116</v>
      </c>
      <c r="K331">
        <v>3</v>
      </c>
      <c r="L331" t="str">
        <f>HYPERLINK("https://math.sciences.ncsu.edu/people/yshin8/","https://math.sciences.ncsu.edu/people/yshin8/")</f>
        <v>https://math.sciences.ncsu.edu/people/yshin8/</v>
      </c>
    </row>
    <row r="332" spans="1:12" x14ac:dyDescent="0.3">
      <c r="A332">
        <v>1069</v>
      </c>
      <c r="B332" t="s">
        <v>2319</v>
      </c>
      <c r="C332" t="s">
        <v>2309</v>
      </c>
      <c r="D332" t="s">
        <v>14</v>
      </c>
      <c r="E332" t="s">
        <v>2320</v>
      </c>
      <c r="F332" t="s">
        <v>114</v>
      </c>
      <c r="G332" t="s">
        <v>115</v>
      </c>
      <c r="H332" t="s">
        <v>495</v>
      </c>
      <c r="I332">
        <v>16</v>
      </c>
      <c r="J332" t="s">
        <v>116</v>
      </c>
      <c r="K332">
        <v>1</v>
      </c>
      <c r="L332" t="str">
        <f>HYPERLINK("https://www.usf.edu/engineering/mae/people/index.aspx","https://www.usf.edu/engineering/mae/people/index.aspx")</f>
        <v>https://www.usf.edu/engineering/mae/people/index.aspx</v>
      </c>
    </row>
    <row r="333" spans="1:12" x14ac:dyDescent="0.3">
      <c r="A333">
        <v>1070</v>
      </c>
      <c r="B333" t="s">
        <v>2321</v>
      </c>
      <c r="C333" t="s">
        <v>2309</v>
      </c>
      <c r="D333" t="s">
        <v>14</v>
      </c>
      <c r="E333" t="s">
        <v>2322</v>
      </c>
      <c r="F333" t="s">
        <v>114</v>
      </c>
      <c r="G333" t="s">
        <v>115</v>
      </c>
      <c r="H333" t="s">
        <v>403</v>
      </c>
      <c r="I333">
        <v>105</v>
      </c>
      <c r="J333" t="s">
        <v>116</v>
      </c>
      <c r="K333">
        <v>1</v>
      </c>
      <c r="L333" t="str">
        <f>HYPERLINK("https://www.usf.edu/engineering/mae/people/index.aspx","https://www.usf.edu/engineering/mae/people/index.aspx")</f>
        <v>https://www.usf.edu/engineering/mae/people/index.aspx</v>
      </c>
    </row>
    <row r="334" spans="1:12" x14ac:dyDescent="0.3">
      <c r="A334">
        <v>1071</v>
      </c>
      <c r="B334" t="s">
        <v>2323</v>
      </c>
      <c r="C334" t="s">
        <v>2309</v>
      </c>
      <c r="D334" t="s">
        <v>14</v>
      </c>
      <c r="E334" t="s">
        <v>2324</v>
      </c>
      <c r="F334" t="s">
        <v>114</v>
      </c>
      <c r="G334" t="s">
        <v>115</v>
      </c>
      <c r="H334" t="s">
        <v>172</v>
      </c>
      <c r="I334">
        <v>1</v>
      </c>
      <c r="J334" t="s">
        <v>116</v>
      </c>
      <c r="K334">
        <v>1</v>
      </c>
      <c r="L334" t="str">
        <f>HYPERLINK("https://www.usf.edu/engineering/mae/people/index.aspx","https://www.usf.edu/engineering/mae/people/index.aspx")</f>
        <v>https://www.usf.edu/engineering/mae/people/index.aspx</v>
      </c>
    </row>
    <row r="335" spans="1:12" hidden="1" x14ac:dyDescent="0.3">
      <c r="A335">
        <v>334</v>
      </c>
      <c r="B335" t="s">
        <v>811</v>
      </c>
      <c r="C335" t="s">
        <v>805</v>
      </c>
      <c r="D335" t="s">
        <v>31</v>
      </c>
      <c r="E335" t="s">
        <v>812</v>
      </c>
      <c r="F335" t="s">
        <v>62</v>
      </c>
      <c r="G335" t="s">
        <v>63</v>
      </c>
      <c r="H335" t="s">
        <v>495</v>
      </c>
      <c r="I335">
        <v>9</v>
      </c>
      <c r="J335" t="s">
        <v>19</v>
      </c>
      <c r="K335">
        <v>1</v>
      </c>
      <c r="L335" t="str">
        <f>HYPERLINK("https://www.ndsu.edu/mechanical-engineering/people","https://www.ndsu.edu/mechanical-engineering/people")</f>
        <v>https://www.ndsu.edu/mechanical-engineering/people</v>
      </c>
    </row>
    <row r="336" spans="1:12" x14ac:dyDescent="0.3">
      <c r="A336">
        <v>1072</v>
      </c>
      <c r="B336" t="s">
        <v>2325</v>
      </c>
      <c r="C336" t="s">
        <v>2309</v>
      </c>
      <c r="D336" t="s">
        <v>14</v>
      </c>
      <c r="E336" t="s">
        <v>2326</v>
      </c>
      <c r="F336" t="s">
        <v>114</v>
      </c>
      <c r="G336" t="s">
        <v>115</v>
      </c>
      <c r="H336" t="s">
        <v>39</v>
      </c>
      <c r="I336">
        <v>85</v>
      </c>
      <c r="J336" t="s">
        <v>116</v>
      </c>
      <c r="K336">
        <v>1</v>
      </c>
      <c r="L336" t="str">
        <f>HYPERLINK("https://www.usf.edu/engineering/mae/people/index.aspx","https://www.usf.edu/engineering/mae/people/index.aspx")</f>
        <v>https://www.usf.edu/engineering/mae/people/index.aspx</v>
      </c>
    </row>
    <row r="337" spans="1:12" x14ac:dyDescent="0.3">
      <c r="A337">
        <v>1079</v>
      </c>
      <c r="B337" t="s">
        <v>2340</v>
      </c>
      <c r="C337" t="s">
        <v>2334</v>
      </c>
      <c r="D337" t="s">
        <v>161</v>
      </c>
      <c r="E337" t="s">
        <v>2341</v>
      </c>
      <c r="F337" t="s">
        <v>151</v>
      </c>
      <c r="G337" t="s">
        <v>152</v>
      </c>
      <c r="H337" t="s">
        <v>273</v>
      </c>
      <c r="I337">
        <v>59</v>
      </c>
      <c r="J337" t="s">
        <v>154</v>
      </c>
      <c r="K337">
        <v>1</v>
      </c>
      <c r="L337" t="str">
        <f>HYPERLINK("https://viterbi.usc.edu/directory/faculty/Kanso/Eva","https://viterbi.usc.edu/directory/faculty/Kanso/Eva")</f>
        <v>https://viterbi.usc.edu/directory/faculty/Kanso/Eva</v>
      </c>
    </row>
    <row r="338" spans="1:12" x14ac:dyDescent="0.3">
      <c r="A338">
        <v>1081</v>
      </c>
      <c r="B338" t="s">
        <v>2344</v>
      </c>
      <c r="C338" t="s">
        <v>2334</v>
      </c>
      <c r="D338" t="s">
        <v>161</v>
      </c>
      <c r="E338" t="s">
        <v>2345</v>
      </c>
      <c r="F338" t="s">
        <v>151</v>
      </c>
      <c r="G338" t="s">
        <v>152</v>
      </c>
      <c r="H338" t="s">
        <v>42</v>
      </c>
      <c r="I338">
        <v>16</v>
      </c>
      <c r="J338" t="s">
        <v>154</v>
      </c>
      <c r="K338">
        <v>1</v>
      </c>
      <c r="L338" t="str">
        <f>HYPERLINK("https://viterbi.usc.edu/directory/faculty/Egolfopoulos/Fokion","https://viterbi.usc.edu/directory/faculty/Egolfopoulos/Fokion")</f>
        <v>https://viterbi.usc.edu/directory/faculty/Egolfopoulos/Fokion</v>
      </c>
    </row>
    <row r="339" spans="1:12" x14ac:dyDescent="0.3">
      <c r="A339">
        <v>1083</v>
      </c>
      <c r="B339" t="s">
        <v>2348</v>
      </c>
      <c r="C339" t="s">
        <v>2334</v>
      </c>
      <c r="D339" t="s">
        <v>161</v>
      </c>
      <c r="E339" t="s">
        <v>2349</v>
      </c>
      <c r="F339" t="s">
        <v>114</v>
      </c>
      <c r="G339" t="s">
        <v>115</v>
      </c>
      <c r="H339" t="s">
        <v>593</v>
      </c>
      <c r="I339">
        <v>6</v>
      </c>
      <c r="J339" t="s">
        <v>116</v>
      </c>
      <c r="K339">
        <v>3</v>
      </c>
      <c r="L339" t="str">
        <f>HYPERLINK("https://viterbi.usc.edu/directory/faculty/Domaradzki/Julian","https://viterbi.usc.edu/directory/faculty/Domaradzki/Julian")</f>
        <v>https://viterbi.usc.edu/directory/faculty/Domaradzki/Julian</v>
      </c>
    </row>
    <row r="340" spans="1:12" x14ac:dyDescent="0.3">
      <c r="A340">
        <v>1095</v>
      </c>
      <c r="B340" t="s">
        <v>2372</v>
      </c>
      <c r="C340" t="s">
        <v>2373</v>
      </c>
      <c r="D340" t="s">
        <v>161</v>
      </c>
      <c r="E340" t="s">
        <v>57</v>
      </c>
      <c r="F340" t="s">
        <v>114</v>
      </c>
      <c r="G340" t="s">
        <v>115</v>
      </c>
      <c r="H340" t="s">
        <v>58</v>
      </c>
      <c r="I340">
        <v>0</v>
      </c>
      <c r="J340" t="s">
        <v>116</v>
      </c>
      <c r="K340">
        <v>1</v>
      </c>
      <c r="L340" t="str">
        <f>HYPERLINK("https://tickle.utk.edu/mae/faculty/phillip-kreth/","https://tickle.utk.edu/mae/faculty/phillip-kreth/")</f>
        <v>https://tickle.utk.edu/mae/faculty/phillip-kreth/</v>
      </c>
    </row>
    <row r="341" spans="1:12" x14ac:dyDescent="0.3">
      <c r="A341">
        <v>1096</v>
      </c>
      <c r="B341" t="s">
        <v>2374</v>
      </c>
      <c r="C341" t="s">
        <v>2373</v>
      </c>
      <c r="D341" t="s">
        <v>161</v>
      </c>
      <c r="E341" t="s">
        <v>2375</v>
      </c>
      <c r="F341" t="s">
        <v>114</v>
      </c>
      <c r="G341" t="s">
        <v>115</v>
      </c>
      <c r="H341" t="s">
        <v>714</v>
      </c>
      <c r="I341">
        <v>72</v>
      </c>
      <c r="J341" t="s">
        <v>116</v>
      </c>
      <c r="K341">
        <v>1</v>
      </c>
      <c r="L341" t="str">
        <f>HYPERLINK("https://tickle.utk.edu/mae/faculty/mark-gragston/","https://tickle.utk.edu/mae/faculty/mark-gragston/")</f>
        <v>https://tickle.utk.edu/mae/faculty/mark-gragston/</v>
      </c>
    </row>
    <row r="342" spans="1:12" x14ac:dyDescent="0.3">
      <c r="A342">
        <v>1097</v>
      </c>
      <c r="B342" t="s">
        <v>2376</v>
      </c>
      <c r="C342" t="s">
        <v>2373</v>
      </c>
      <c r="D342" t="s">
        <v>161</v>
      </c>
      <c r="E342" t="s">
        <v>57</v>
      </c>
      <c r="F342" t="s">
        <v>114</v>
      </c>
      <c r="G342" t="s">
        <v>115</v>
      </c>
      <c r="H342" t="s">
        <v>58</v>
      </c>
      <c r="I342">
        <v>0</v>
      </c>
      <c r="J342" t="s">
        <v>116</v>
      </c>
      <c r="K342">
        <v>1</v>
      </c>
      <c r="L342" t="str">
        <f>HYPERLINK("https://tickle.utk.edu/mae/faculty/esteban-cisneros-garibay/","https://tickle.utk.edu/mae/faculty/esteban-cisneros-garibay/")</f>
        <v>https://tickle.utk.edu/mae/faculty/esteban-cisneros-garibay/</v>
      </c>
    </row>
    <row r="343" spans="1:12" x14ac:dyDescent="0.3">
      <c r="A343">
        <v>1100</v>
      </c>
      <c r="B343" t="s">
        <v>2380</v>
      </c>
      <c r="C343" t="s">
        <v>2381</v>
      </c>
      <c r="D343" t="s">
        <v>161</v>
      </c>
      <c r="E343" t="s">
        <v>2382</v>
      </c>
      <c r="F343" t="s">
        <v>114</v>
      </c>
      <c r="G343" t="s">
        <v>115</v>
      </c>
      <c r="H343" t="s">
        <v>516</v>
      </c>
      <c r="I343">
        <v>12</v>
      </c>
      <c r="J343" t="s">
        <v>116</v>
      </c>
      <c r="K343">
        <v>1</v>
      </c>
      <c r="L343" t="str">
        <f>HYPERLINK("https://tickle.utk.edu/mae/faculty/kivanc-ekici/","https://tickle.utk.edu/mae/faculty/kivanc-ekici/")</f>
        <v>https://tickle.utk.edu/mae/faculty/kivanc-ekici/</v>
      </c>
    </row>
    <row r="344" spans="1:12" hidden="1" x14ac:dyDescent="0.3">
      <c r="A344">
        <v>343</v>
      </c>
      <c r="B344" t="s">
        <v>831</v>
      </c>
      <c r="C344" t="s">
        <v>820</v>
      </c>
      <c r="D344" t="s">
        <v>31</v>
      </c>
      <c r="E344" t="s">
        <v>832</v>
      </c>
      <c r="F344" t="s">
        <v>16</v>
      </c>
      <c r="G344" t="s">
        <v>17</v>
      </c>
      <c r="H344" t="s">
        <v>516</v>
      </c>
      <c r="I344">
        <v>52</v>
      </c>
      <c r="J344" t="s">
        <v>19</v>
      </c>
      <c r="K344">
        <v>1</v>
      </c>
      <c r="L344" t="str">
        <f>HYPERLINK("https://math.osu.edu/people/xiu.16","https://math.osu.edu/people/xiu.16")</f>
        <v>https://math.osu.edu/people/xiu.16</v>
      </c>
    </row>
    <row r="345" spans="1:12" x14ac:dyDescent="0.3">
      <c r="A345">
        <v>1101</v>
      </c>
      <c r="B345" t="s">
        <v>2383</v>
      </c>
      <c r="C345" t="s">
        <v>2381</v>
      </c>
      <c r="D345" t="s">
        <v>161</v>
      </c>
      <c r="E345" t="s">
        <v>2384</v>
      </c>
      <c r="F345" t="s">
        <v>114</v>
      </c>
      <c r="G345" t="s">
        <v>115</v>
      </c>
      <c r="H345" t="s">
        <v>53</v>
      </c>
      <c r="I345">
        <v>28</v>
      </c>
      <c r="J345" t="s">
        <v>116</v>
      </c>
      <c r="K345">
        <v>1</v>
      </c>
      <c r="L345" t="str">
        <f>HYPERLINK("https://tickle.utk.edu/mae/faculty/damiano-baccarella/","https://tickle.utk.edu/mae/faculty/damiano-baccarella/")</f>
        <v>https://tickle.utk.edu/mae/faculty/damiano-baccarella/</v>
      </c>
    </row>
    <row r="346" spans="1:12" x14ac:dyDescent="0.3">
      <c r="A346">
        <v>1102</v>
      </c>
      <c r="B346" t="s">
        <v>2385</v>
      </c>
      <c r="C346" t="s">
        <v>2381</v>
      </c>
      <c r="D346" t="s">
        <v>161</v>
      </c>
      <c r="E346" t="s">
        <v>2386</v>
      </c>
      <c r="F346" t="s">
        <v>114</v>
      </c>
      <c r="G346" t="s">
        <v>115</v>
      </c>
      <c r="H346" t="s">
        <v>225</v>
      </c>
      <c r="I346">
        <v>89</v>
      </c>
      <c r="J346" t="s">
        <v>116</v>
      </c>
      <c r="K346">
        <v>1</v>
      </c>
      <c r="L346" t="str">
        <f>HYPERLINK("https://tickle.utk.edu/mae/faculty/omer-san/","https://tickle.utk.edu/mae/faculty/omer-san/")</f>
        <v>https://tickle.utk.edu/mae/faculty/omer-san/</v>
      </c>
    </row>
    <row r="347" spans="1:12" x14ac:dyDescent="0.3">
      <c r="A347">
        <v>1104</v>
      </c>
      <c r="B347" t="s">
        <v>2388</v>
      </c>
      <c r="C347" t="s">
        <v>2381</v>
      </c>
      <c r="D347" t="s">
        <v>161</v>
      </c>
      <c r="E347" t="s">
        <v>2389</v>
      </c>
      <c r="F347" t="s">
        <v>114</v>
      </c>
      <c r="G347" t="s">
        <v>115</v>
      </c>
      <c r="H347" t="s">
        <v>85</v>
      </c>
      <c r="I347">
        <v>38</v>
      </c>
      <c r="J347" t="s">
        <v>116</v>
      </c>
      <c r="K347">
        <v>1</v>
      </c>
      <c r="L347" t="str">
        <f>HYPERLINK("https://tickle.utk.edu/mae/faculty/andrew-dickerson/","https://tickle.utk.edu/mae/faculty/andrew-dickerson/")</f>
        <v>https://tickle.utk.edu/mae/faculty/andrew-dickerson/</v>
      </c>
    </row>
    <row r="348" spans="1:12" x14ac:dyDescent="0.3">
      <c r="A348">
        <v>1105</v>
      </c>
      <c r="B348" t="s">
        <v>2390</v>
      </c>
      <c r="C348" t="s">
        <v>2381</v>
      </c>
      <c r="D348" t="s">
        <v>161</v>
      </c>
      <c r="E348" t="s">
        <v>57</v>
      </c>
      <c r="F348" t="s">
        <v>114</v>
      </c>
      <c r="G348" t="s">
        <v>115</v>
      </c>
      <c r="H348" t="s">
        <v>58</v>
      </c>
      <c r="I348">
        <v>0</v>
      </c>
      <c r="J348" t="s">
        <v>116</v>
      </c>
      <c r="K348">
        <v>1</v>
      </c>
      <c r="L348" t="str">
        <f>HYPERLINK("https://tickle.utk.edu/mae/faculty/zhili-zhang/","https://tickle.utk.edu/mae/faculty/zhili-zhang/")</f>
        <v>https://tickle.utk.edu/mae/faculty/zhili-zhang/</v>
      </c>
    </row>
    <row r="349" spans="1:12" x14ac:dyDescent="0.3">
      <c r="A349">
        <v>1107</v>
      </c>
      <c r="B349" t="s">
        <v>2393</v>
      </c>
      <c r="C349" t="s">
        <v>2392</v>
      </c>
      <c r="D349" t="s">
        <v>161</v>
      </c>
      <c r="E349" t="s">
        <v>2394</v>
      </c>
      <c r="F349" t="s">
        <v>114</v>
      </c>
      <c r="G349" t="s">
        <v>115</v>
      </c>
      <c r="H349" t="s">
        <v>18</v>
      </c>
      <c r="I349">
        <v>92</v>
      </c>
      <c r="J349" t="s">
        <v>116</v>
      </c>
      <c r="K349">
        <v>1</v>
      </c>
      <c r="L349" t="str">
        <f>HYPERLINK("https://tickle.utk.edu/mae/faculty/peng-zhao/","https://tickle.utk.edu/mae/faculty/peng-zhao/")</f>
        <v>https://tickle.utk.edu/mae/faculty/peng-zhao/</v>
      </c>
    </row>
    <row r="350" spans="1:12" hidden="1" x14ac:dyDescent="0.3">
      <c r="A350">
        <v>349</v>
      </c>
      <c r="B350" t="s">
        <v>845</v>
      </c>
      <c r="C350" t="s">
        <v>834</v>
      </c>
      <c r="D350" t="s">
        <v>31</v>
      </c>
      <c r="E350" t="s">
        <v>846</v>
      </c>
      <c r="F350" t="s">
        <v>62</v>
      </c>
      <c r="G350" t="s">
        <v>63</v>
      </c>
      <c r="H350" t="s">
        <v>273</v>
      </c>
      <c r="I350">
        <v>47</v>
      </c>
      <c r="J350" t="s">
        <v>19</v>
      </c>
      <c r="K350">
        <v>1</v>
      </c>
      <c r="L350" t="str">
        <f>HYPERLINK("https://www.ohio.edu/cas/math/about/contact/faculty-directory","https://www.ohio.edu/cas/math/about/contact/faculty-directory")</f>
        <v>https://www.ohio.edu/cas/math/about/contact/faculty-directory</v>
      </c>
    </row>
    <row r="351" spans="1:12" x14ac:dyDescent="0.3">
      <c r="A351">
        <v>1108</v>
      </c>
      <c r="B351" t="s">
        <v>2395</v>
      </c>
      <c r="C351" t="s">
        <v>2396</v>
      </c>
      <c r="D351" t="s">
        <v>161</v>
      </c>
      <c r="E351" t="s">
        <v>2397</v>
      </c>
      <c r="F351" t="s">
        <v>151</v>
      </c>
      <c r="G351" t="s">
        <v>152</v>
      </c>
      <c r="H351" t="s">
        <v>301</v>
      </c>
      <c r="I351">
        <v>23</v>
      </c>
      <c r="J351" t="s">
        <v>154</v>
      </c>
      <c r="K351">
        <v>1</v>
      </c>
      <c r="L351" t="str">
        <f>HYPERLINK("https://www.uta.edu/academics/faculty/profile?user=franklu","https://www.uta.edu/academics/faculty/profile?user=franklu")</f>
        <v>https://www.uta.edu/academics/faculty/profile?user=franklu</v>
      </c>
    </row>
    <row r="352" spans="1:12" x14ac:dyDescent="0.3">
      <c r="A352">
        <v>1110</v>
      </c>
      <c r="B352" t="s">
        <v>2400</v>
      </c>
      <c r="C352" t="s">
        <v>2396</v>
      </c>
      <c r="D352" t="s">
        <v>161</v>
      </c>
      <c r="E352" t="s">
        <v>2401</v>
      </c>
      <c r="F352" t="s">
        <v>151</v>
      </c>
      <c r="G352" t="s">
        <v>152</v>
      </c>
      <c r="H352" t="s">
        <v>633</v>
      </c>
      <c r="I352">
        <v>53</v>
      </c>
      <c r="J352" t="s">
        <v>154</v>
      </c>
      <c r="K352">
        <v>1</v>
      </c>
      <c r="L352" t="str">
        <f>HYPERLINK("https://www.uta.edu/academics/faculty/profile?user=subbarao","https://www.uta.edu/academics/faculty/profile?user=subbarao")</f>
        <v>https://www.uta.edu/academics/faculty/profile?user=subbarao</v>
      </c>
    </row>
    <row r="353" spans="1:12" x14ac:dyDescent="0.3">
      <c r="A353">
        <v>1111</v>
      </c>
      <c r="B353" t="s">
        <v>2402</v>
      </c>
      <c r="C353" t="s">
        <v>2396</v>
      </c>
      <c r="D353" t="s">
        <v>161</v>
      </c>
      <c r="E353" t="s">
        <v>2403</v>
      </c>
      <c r="F353" t="s">
        <v>151</v>
      </c>
      <c r="G353" t="s">
        <v>152</v>
      </c>
      <c r="H353" t="s">
        <v>213</v>
      </c>
      <c r="I353">
        <v>38</v>
      </c>
      <c r="J353" t="s">
        <v>154</v>
      </c>
      <c r="K353">
        <v>1</v>
      </c>
      <c r="L353" t="str">
        <f>HYPERLINK("https://www.uta.edu/academics/faculty/profile?user=animesh.chakravarthy","https://www.uta.edu/academics/faculty/profile?user=animesh.chakravarthy")</f>
        <v>https://www.uta.edu/academics/faculty/profile?user=animesh.chakravarthy</v>
      </c>
    </row>
    <row r="354" spans="1:12" x14ac:dyDescent="0.3">
      <c r="A354">
        <v>1112</v>
      </c>
      <c r="B354" t="s">
        <v>2404</v>
      </c>
      <c r="C354" t="s">
        <v>2396</v>
      </c>
      <c r="D354" t="s">
        <v>161</v>
      </c>
      <c r="E354" t="s">
        <v>2405</v>
      </c>
      <c r="F354" t="s">
        <v>151</v>
      </c>
      <c r="G354" t="s">
        <v>152</v>
      </c>
      <c r="H354" t="s">
        <v>273</v>
      </c>
      <c r="I354">
        <v>25</v>
      </c>
      <c r="J354" t="s">
        <v>154</v>
      </c>
      <c r="K354">
        <v>1</v>
      </c>
      <c r="L354" t="str">
        <f>HYPERLINK("https://www.uta.edu/academics/faculty/profile?user=chudoba","https://www.uta.edu/academics/faculty/profile?user=chudoba")</f>
        <v>https://www.uta.edu/academics/faculty/profile?user=chudoba</v>
      </c>
    </row>
    <row r="355" spans="1:12" x14ac:dyDescent="0.3">
      <c r="A355">
        <v>1113</v>
      </c>
      <c r="B355" t="s">
        <v>2406</v>
      </c>
      <c r="C355" t="s">
        <v>2396</v>
      </c>
      <c r="D355" t="s">
        <v>161</v>
      </c>
      <c r="E355" t="s">
        <v>2407</v>
      </c>
      <c r="F355" t="s">
        <v>151</v>
      </c>
      <c r="G355" t="s">
        <v>152</v>
      </c>
      <c r="H355" t="s">
        <v>775</v>
      </c>
      <c r="I355">
        <v>28</v>
      </c>
      <c r="J355" t="s">
        <v>154</v>
      </c>
      <c r="K355">
        <v>1</v>
      </c>
      <c r="L355" t="str">
        <f>HYPERLINK("https://www.uta.edu/academics/faculty/profile?user=shiyao.lin","https://www.uta.edu/academics/faculty/profile?user=shiyao.lin")</f>
        <v>https://www.uta.edu/academics/faculty/profile?user=shiyao.lin</v>
      </c>
    </row>
    <row r="356" spans="1:12" x14ac:dyDescent="0.3">
      <c r="A356">
        <v>1152</v>
      </c>
      <c r="B356" t="s">
        <v>2489</v>
      </c>
      <c r="C356" t="s">
        <v>2483</v>
      </c>
      <c r="D356" t="s">
        <v>14</v>
      </c>
      <c r="E356" t="s">
        <v>2490</v>
      </c>
      <c r="F356" t="s">
        <v>151</v>
      </c>
      <c r="G356" t="s">
        <v>152</v>
      </c>
      <c r="H356" t="s">
        <v>75</v>
      </c>
      <c r="I356">
        <v>58</v>
      </c>
      <c r="J356" t="s">
        <v>154</v>
      </c>
      <c r="K356">
        <v>1</v>
      </c>
      <c r="L356" t="str">
        <f>HYPERLINK("https://www.mech.utah.edu/directory/faculty/marc-calaf/","https://www.mech.utah.edu/directory/faculty/marc-calaf/")</f>
        <v>https://www.mech.utah.edu/directory/faculty/marc-calaf/</v>
      </c>
    </row>
    <row r="357" spans="1:12" x14ac:dyDescent="0.3">
      <c r="A357">
        <v>1166</v>
      </c>
      <c r="B357" t="s">
        <v>2519</v>
      </c>
      <c r="C357" t="s">
        <v>2517</v>
      </c>
      <c r="D357" t="s">
        <v>48</v>
      </c>
      <c r="E357" t="s">
        <v>2520</v>
      </c>
      <c r="F357" t="s">
        <v>191</v>
      </c>
      <c r="G357" t="s">
        <v>192</v>
      </c>
      <c r="H357" t="s">
        <v>167</v>
      </c>
      <c r="I357">
        <v>7</v>
      </c>
      <c r="J357" t="s">
        <v>154</v>
      </c>
      <c r="K357">
        <v>1</v>
      </c>
      <c r="L357" t="str">
        <f>HYPERLINK("https://www.aa.washington.edu/facultyfinder/robert-breidenthal","https://www.aa.washington.edu/facultyfinder/robert-breidenthal")</f>
        <v>https://www.aa.washington.edu/facultyfinder/robert-breidenthal</v>
      </c>
    </row>
    <row r="358" spans="1:12" x14ac:dyDescent="0.3">
      <c r="A358">
        <v>1169</v>
      </c>
      <c r="B358" t="s">
        <v>2524</v>
      </c>
      <c r="C358" t="s">
        <v>2517</v>
      </c>
      <c r="D358" t="s">
        <v>48</v>
      </c>
      <c r="E358" t="s">
        <v>57</v>
      </c>
      <c r="F358" t="s">
        <v>151</v>
      </c>
      <c r="G358" t="s">
        <v>152</v>
      </c>
      <c r="H358" t="s">
        <v>58</v>
      </c>
      <c r="I358">
        <v>0</v>
      </c>
      <c r="J358" t="s">
        <v>154</v>
      </c>
      <c r="K358">
        <v>1</v>
      </c>
      <c r="L358" t="str">
        <f>HYPERLINK("https://www.aa.washington.edu/facultyfinder/justin-little","https://www.aa.washington.edu/facultyfinder/justin-little")</f>
        <v>https://www.aa.washington.edu/facultyfinder/justin-little</v>
      </c>
    </row>
    <row r="359" spans="1:12" hidden="1" x14ac:dyDescent="0.3">
      <c r="A359">
        <v>358</v>
      </c>
      <c r="B359" t="s">
        <v>864</v>
      </c>
      <c r="C359" t="s">
        <v>848</v>
      </c>
      <c r="D359" t="s">
        <v>31</v>
      </c>
      <c r="E359" t="s">
        <v>57</v>
      </c>
      <c r="F359" t="s">
        <v>335</v>
      </c>
      <c r="G359" t="s">
        <v>336</v>
      </c>
      <c r="H359" t="s">
        <v>58</v>
      </c>
      <c r="I359">
        <v>0</v>
      </c>
      <c r="J359" t="s">
        <v>59</v>
      </c>
      <c r="K359">
        <v>2</v>
      </c>
      <c r="L359" t="str">
        <f>HYPERLINK("https://math.okstate.edu/people/faculty/","https://math.okstate.edu/people/faculty/")</f>
        <v>https://math.okstate.edu/people/faculty/</v>
      </c>
    </row>
    <row r="360" spans="1:12" x14ac:dyDescent="0.3">
      <c r="A360">
        <v>1170</v>
      </c>
      <c r="B360" t="s">
        <v>2525</v>
      </c>
      <c r="C360" t="s">
        <v>2517</v>
      </c>
      <c r="D360" t="s">
        <v>48</v>
      </c>
      <c r="E360" t="s">
        <v>2526</v>
      </c>
      <c r="F360" t="s">
        <v>191</v>
      </c>
      <c r="G360" t="s">
        <v>192</v>
      </c>
      <c r="H360" t="s">
        <v>29</v>
      </c>
      <c r="I360">
        <v>8</v>
      </c>
      <c r="J360" t="s">
        <v>154</v>
      </c>
      <c r="K360">
        <v>1</v>
      </c>
      <c r="L360" t="str">
        <f>HYPERLINK("https://www.aa.washington.edu/facultyfinder/dana-dabiri","https://www.aa.washington.edu/facultyfinder/dana-dabiri")</f>
        <v>https://www.aa.washington.edu/facultyfinder/dana-dabiri</v>
      </c>
    </row>
    <row r="361" spans="1:12" x14ac:dyDescent="0.3">
      <c r="A361">
        <v>1176</v>
      </c>
      <c r="B361" t="s">
        <v>2536</v>
      </c>
      <c r="C361" t="s">
        <v>2517</v>
      </c>
      <c r="D361" t="s">
        <v>14</v>
      </c>
      <c r="E361" t="s">
        <v>2537</v>
      </c>
      <c r="F361" t="s">
        <v>151</v>
      </c>
      <c r="G361" t="s">
        <v>152</v>
      </c>
      <c r="H361" t="s">
        <v>254</v>
      </c>
      <c r="I361">
        <v>26</v>
      </c>
      <c r="J361" t="s">
        <v>154</v>
      </c>
      <c r="K361">
        <v>1</v>
      </c>
      <c r="L361" t="str">
        <f>HYPERLINK("https://www.me.washington.edu/facultyfinder/krithika-manohar","https://www.me.washington.edu/facultyfinder/krithika-manohar")</f>
        <v>https://www.me.washington.edu/facultyfinder/krithika-manohar</v>
      </c>
    </row>
    <row r="362" spans="1:12" x14ac:dyDescent="0.3">
      <c r="A362">
        <v>1180</v>
      </c>
      <c r="B362" t="s">
        <v>2544</v>
      </c>
      <c r="C362" t="s">
        <v>2545</v>
      </c>
      <c r="D362" t="s">
        <v>14</v>
      </c>
      <c r="E362" t="s">
        <v>2546</v>
      </c>
      <c r="F362" t="s">
        <v>151</v>
      </c>
      <c r="G362" t="s">
        <v>152</v>
      </c>
      <c r="H362" t="s">
        <v>1847</v>
      </c>
      <c r="I362">
        <v>76</v>
      </c>
      <c r="J362" t="s">
        <v>154</v>
      </c>
      <c r="K362">
        <v>1</v>
      </c>
      <c r="L362" t="str">
        <f>HYPERLINK("https://engineering.wisc.edu/directory/profile/mike-graham/","https://engineering.wisc.edu/directory/profile/mike-graham/")</f>
        <v>https://engineering.wisc.edu/directory/profile/mike-graham/</v>
      </c>
    </row>
    <row r="363" spans="1:12" hidden="1" x14ac:dyDescent="0.3">
      <c r="A363">
        <v>362</v>
      </c>
      <c r="B363" t="s">
        <v>872</v>
      </c>
      <c r="C363" t="s">
        <v>866</v>
      </c>
      <c r="D363" t="s">
        <v>31</v>
      </c>
      <c r="E363" t="s">
        <v>873</v>
      </c>
      <c r="F363" t="s">
        <v>27</v>
      </c>
      <c r="G363" t="s">
        <v>28</v>
      </c>
      <c r="H363" t="s">
        <v>406</v>
      </c>
      <c r="I363">
        <v>17</v>
      </c>
      <c r="J363" t="s">
        <v>19</v>
      </c>
      <c r="K363">
        <v>1</v>
      </c>
      <c r="L363" t="str">
        <f>HYPERLINK("https://math.oregonstate.edu/people/malgorzata-peszynska","https://math.oregonstate.edu/people/malgorzata-peszynska")</f>
        <v>https://math.oregonstate.edu/people/malgorzata-peszynska</v>
      </c>
    </row>
    <row r="364" spans="1:12" hidden="1" x14ac:dyDescent="0.3">
      <c r="A364">
        <v>363</v>
      </c>
      <c r="B364" t="s">
        <v>874</v>
      </c>
      <c r="C364" t="s">
        <v>866</v>
      </c>
      <c r="D364" t="s">
        <v>31</v>
      </c>
      <c r="E364" t="s">
        <v>875</v>
      </c>
      <c r="F364" t="s">
        <v>27</v>
      </c>
      <c r="G364" t="s">
        <v>28</v>
      </c>
      <c r="H364" t="s">
        <v>495</v>
      </c>
      <c r="I364">
        <v>5</v>
      </c>
      <c r="J364" t="s">
        <v>19</v>
      </c>
      <c r="K364">
        <v>1</v>
      </c>
      <c r="L364" t="str">
        <f>HYPERLINK("https://math.oregonstate.edu/people/nathan-gibson","https://math.oregonstate.edu/people/nathan-gibson")</f>
        <v>https://math.oregonstate.edu/people/nathan-gibson</v>
      </c>
    </row>
    <row r="365" spans="1:12" hidden="1" x14ac:dyDescent="0.3">
      <c r="A365">
        <v>364</v>
      </c>
      <c r="B365" t="s">
        <v>876</v>
      </c>
      <c r="C365" t="s">
        <v>866</v>
      </c>
      <c r="D365" t="s">
        <v>31</v>
      </c>
      <c r="E365" t="s">
        <v>877</v>
      </c>
      <c r="F365" t="s">
        <v>27</v>
      </c>
      <c r="G365" t="s">
        <v>28</v>
      </c>
      <c r="H365" t="s">
        <v>273</v>
      </c>
      <c r="I365">
        <v>4</v>
      </c>
      <c r="J365" t="s">
        <v>19</v>
      </c>
      <c r="K365">
        <v>1</v>
      </c>
      <c r="L365" t="str">
        <f>HYPERLINK("https://math.oregonstate.edu/people/vrushali-bokil","https://math.oregonstate.edu/people/vrushali-bokil")</f>
        <v>https://math.oregonstate.edu/people/vrushali-bokil</v>
      </c>
    </row>
    <row r="366" spans="1:12" x14ac:dyDescent="0.3">
      <c r="A366">
        <v>1183</v>
      </c>
      <c r="B366" t="s">
        <v>2550</v>
      </c>
      <c r="C366" t="s">
        <v>2545</v>
      </c>
      <c r="D366" t="s">
        <v>14</v>
      </c>
      <c r="E366" t="s">
        <v>2551</v>
      </c>
      <c r="F366" t="s">
        <v>151</v>
      </c>
      <c r="G366" t="s">
        <v>152</v>
      </c>
      <c r="H366" t="s">
        <v>104</v>
      </c>
      <c r="I366">
        <v>12</v>
      </c>
      <c r="J366" t="s">
        <v>154</v>
      </c>
      <c r="K366">
        <v>1</v>
      </c>
      <c r="L366" t="str">
        <f>HYPERLINK("https://engineering.wisc.edu/directory/profile/mario-trujillo/","https://engineering.wisc.edu/directory/profile/mario-trujillo/")</f>
        <v>https://engineering.wisc.edu/directory/profile/mario-trujillo/</v>
      </c>
    </row>
    <row r="367" spans="1:12" x14ac:dyDescent="0.3">
      <c r="A367">
        <v>1190</v>
      </c>
      <c r="B367" t="s">
        <v>2560</v>
      </c>
      <c r="C367" t="s">
        <v>2545</v>
      </c>
      <c r="D367" t="s">
        <v>112</v>
      </c>
      <c r="E367" t="s">
        <v>2561</v>
      </c>
      <c r="F367" t="s">
        <v>151</v>
      </c>
      <c r="G367" t="s">
        <v>152</v>
      </c>
      <c r="H367" t="s">
        <v>45</v>
      </c>
      <c r="I367">
        <v>4</v>
      </c>
      <c r="J367" t="s">
        <v>154</v>
      </c>
      <c r="K367">
        <v>1</v>
      </c>
      <c r="L367" t="str">
        <f>HYPERLINK("https://www.math.wisc.edu/staff/waleffe-fabian/","https://www.math.wisc.edu/staff/waleffe-fabian/")</f>
        <v>https://www.math.wisc.edu/staff/waleffe-fabian/</v>
      </c>
    </row>
    <row r="368" spans="1:12" x14ac:dyDescent="0.3">
      <c r="A368">
        <v>1209</v>
      </c>
      <c r="B368" t="s">
        <v>2595</v>
      </c>
      <c r="C368" t="s">
        <v>2596</v>
      </c>
      <c r="D368" t="s">
        <v>48</v>
      </c>
      <c r="E368" t="s">
        <v>2597</v>
      </c>
      <c r="F368" t="s">
        <v>151</v>
      </c>
      <c r="G368" t="s">
        <v>152</v>
      </c>
      <c r="H368" t="s">
        <v>195</v>
      </c>
      <c r="I368">
        <v>55</v>
      </c>
      <c r="J368" t="s">
        <v>154</v>
      </c>
      <c r="K368">
        <v>1</v>
      </c>
      <c r="L368" t="str">
        <f>HYPERLINK("https://www.aoe.vt.edu/people/faculty/roy.html","https://www.aoe.vt.edu/people/faculty/roy.html")</f>
        <v>https://www.aoe.vt.edu/people/faculty/roy.html</v>
      </c>
    </row>
    <row r="369" spans="1:12" x14ac:dyDescent="0.3">
      <c r="A369">
        <v>1210</v>
      </c>
      <c r="B369" t="s">
        <v>2598</v>
      </c>
      <c r="C369" t="s">
        <v>2596</v>
      </c>
      <c r="D369" t="s">
        <v>48</v>
      </c>
      <c r="E369" t="s">
        <v>2599</v>
      </c>
      <c r="F369" t="s">
        <v>151</v>
      </c>
      <c r="G369" t="s">
        <v>152</v>
      </c>
      <c r="H369" t="s">
        <v>42</v>
      </c>
      <c r="I369">
        <v>93</v>
      </c>
      <c r="J369" t="s">
        <v>154</v>
      </c>
      <c r="K369">
        <v>1</v>
      </c>
      <c r="L369" t="str">
        <f>HYPERLINK("https://www.aoe.vt.edu/people/faculty/devenport.html","https://www.aoe.vt.edu/people/faculty/devenport.html")</f>
        <v>https://www.aoe.vt.edu/people/faculty/devenport.html</v>
      </c>
    </row>
    <row r="370" spans="1:12" x14ac:dyDescent="0.3">
      <c r="A370">
        <v>1214</v>
      </c>
      <c r="B370" t="s">
        <v>2605</v>
      </c>
      <c r="C370" t="s">
        <v>2596</v>
      </c>
      <c r="D370" t="s">
        <v>48</v>
      </c>
      <c r="E370" t="s">
        <v>57</v>
      </c>
      <c r="F370" t="s">
        <v>114</v>
      </c>
      <c r="G370" t="s">
        <v>115</v>
      </c>
      <c r="H370" t="s">
        <v>58</v>
      </c>
      <c r="I370">
        <v>0</v>
      </c>
      <c r="J370" t="s">
        <v>116</v>
      </c>
      <c r="K370">
        <v>1</v>
      </c>
      <c r="L370" t="str">
        <f>HYPERLINK("https://www.aoe.vt.edu/people/faculty/raj.html","https://www.aoe.vt.edu/people/faculty/raj.html")</f>
        <v>https://www.aoe.vt.edu/people/faculty/raj.html</v>
      </c>
    </row>
    <row r="371" spans="1:12" x14ac:dyDescent="0.3">
      <c r="A371">
        <v>1215</v>
      </c>
      <c r="B371" t="s">
        <v>2606</v>
      </c>
      <c r="C371" t="s">
        <v>2596</v>
      </c>
      <c r="D371" t="s">
        <v>14</v>
      </c>
      <c r="E371" t="s">
        <v>2607</v>
      </c>
      <c r="F371" t="s">
        <v>114</v>
      </c>
      <c r="G371" t="s">
        <v>115</v>
      </c>
      <c r="H371" t="s">
        <v>80</v>
      </c>
      <c r="I371">
        <v>35</v>
      </c>
      <c r="J371" t="s">
        <v>116</v>
      </c>
      <c r="K371">
        <v>1</v>
      </c>
      <c r="L371" t="str">
        <f>HYPERLINK("https://me.vt.edu/people/faculty/tafti-danesh.html","https://me.vt.edu/people/faculty/tafti-danesh.html")</f>
        <v>https://me.vt.edu/people/faculty/tafti-danesh.html</v>
      </c>
    </row>
    <row r="372" spans="1:12" x14ac:dyDescent="0.3">
      <c r="A372">
        <v>1216</v>
      </c>
      <c r="B372" t="s">
        <v>2608</v>
      </c>
      <c r="C372" t="s">
        <v>2596</v>
      </c>
      <c r="D372" t="s">
        <v>14</v>
      </c>
      <c r="E372" t="s">
        <v>2609</v>
      </c>
      <c r="F372" t="s">
        <v>114</v>
      </c>
      <c r="G372" t="s">
        <v>115</v>
      </c>
      <c r="H372" t="s">
        <v>182</v>
      </c>
      <c r="I372">
        <v>7</v>
      </c>
      <c r="J372" t="s">
        <v>116</v>
      </c>
      <c r="K372">
        <v>1</v>
      </c>
      <c r="L372" t="str">
        <f>HYPERLINK("https://me.vt.edu/people/faculty/stremler-mark.html","https://me.vt.edu/people/faculty/stremler-mark.html")</f>
        <v>https://me.vt.edu/people/faculty/stremler-mark.html</v>
      </c>
    </row>
    <row r="373" spans="1:12" x14ac:dyDescent="0.3">
      <c r="A373">
        <v>1219</v>
      </c>
      <c r="B373" t="s">
        <v>2614</v>
      </c>
      <c r="C373" t="s">
        <v>2615</v>
      </c>
      <c r="D373" t="s">
        <v>14</v>
      </c>
      <c r="E373" t="s">
        <v>2616</v>
      </c>
      <c r="F373" t="s">
        <v>114</v>
      </c>
      <c r="G373" t="s">
        <v>115</v>
      </c>
      <c r="H373" t="s">
        <v>153</v>
      </c>
      <c r="I373">
        <v>55</v>
      </c>
      <c r="J373" t="s">
        <v>116</v>
      </c>
      <c r="K373">
        <v>1</v>
      </c>
      <c r="L373" t="str">
        <f>HYPERLINK("https://mme.wsu.edu/mme-personnel/wsu-profile/matveev/","https://mme.wsu.edu/mme-personnel/wsu-profile/matveev/")</f>
        <v>https://mme.wsu.edu/mme-personnel/wsu-profile/matveev/</v>
      </c>
    </row>
    <row r="374" spans="1:12" x14ac:dyDescent="0.3">
      <c r="A374">
        <v>1220</v>
      </c>
      <c r="B374" t="s">
        <v>2617</v>
      </c>
      <c r="C374" t="s">
        <v>2615</v>
      </c>
      <c r="D374" t="s">
        <v>14</v>
      </c>
      <c r="E374" t="s">
        <v>2618</v>
      </c>
      <c r="F374" t="s">
        <v>114</v>
      </c>
      <c r="G374" t="s">
        <v>115</v>
      </c>
      <c r="H374" t="s">
        <v>104</v>
      </c>
      <c r="I374">
        <v>342</v>
      </c>
      <c r="J374" t="s">
        <v>116</v>
      </c>
      <c r="K374">
        <v>1</v>
      </c>
      <c r="L374" t="str">
        <f>HYPERLINK("https://mme.wsu.edu/mme-personnel/wsu-profile/jin.liu2/","https://mme.wsu.edu/mme-personnel/wsu-profile/jin.liu2/")</f>
        <v>https://mme.wsu.edu/mme-personnel/wsu-profile/jin.liu2/</v>
      </c>
    </row>
    <row r="375" spans="1:12" hidden="1" x14ac:dyDescent="0.3">
      <c r="A375">
        <v>374</v>
      </c>
      <c r="B375" t="s">
        <v>897</v>
      </c>
      <c r="C375" t="s">
        <v>879</v>
      </c>
      <c r="D375" t="s">
        <v>31</v>
      </c>
      <c r="E375" t="s">
        <v>898</v>
      </c>
      <c r="F375" t="s">
        <v>151</v>
      </c>
      <c r="G375" t="s">
        <v>152</v>
      </c>
      <c r="H375" t="s">
        <v>200</v>
      </c>
      <c r="I375">
        <v>23</v>
      </c>
      <c r="J375" t="s">
        <v>154</v>
      </c>
      <c r="K375">
        <v>3</v>
      </c>
      <c r="L375" t="str">
        <f>HYPERLINK("https://science.psu.edu/math/people/alm24","https://science.psu.edu/math/people/alm24")</f>
        <v>https://science.psu.edu/math/people/alm24</v>
      </c>
    </row>
    <row r="376" spans="1:12" hidden="1" x14ac:dyDescent="0.3">
      <c r="A376">
        <v>375</v>
      </c>
      <c r="B376" t="s">
        <v>899</v>
      </c>
      <c r="C376" t="s">
        <v>879</v>
      </c>
      <c r="D376" t="s">
        <v>31</v>
      </c>
      <c r="E376" t="s">
        <v>900</v>
      </c>
      <c r="F376" t="s">
        <v>27</v>
      </c>
      <c r="G376" t="s">
        <v>28</v>
      </c>
      <c r="H376" t="s">
        <v>225</v>
      </c>
      <c r="I376">
        <v>33</v>
      </c>
      <c r="J376" t="s">
        <v>19</v>
      </c>
      <c r="K376">
        <v>1</v>
      </c>
      <c r="L376" t="str">
        <f>HYPERLINK("https://science.psu.edu/math/people/jxh1008","https://science.psu.edu/math/people/jxh1008")</f>
        <v>https://science.psu.edu/math/people/jxh1008</v>
      </c>
    </row>
    <row r="377" spans="1:12" x14ac:dyDescent="0.3">
      <c r="A377">
        <v>1221</v>
      </c>
      <c r="B377" t="s">
        <v>2619</v>
      </c>
      <c r="C377" t="s">
        <v>2615</v>
      </c>
      <c r="D377" t="s">
        <v>14</v>
      </c>
      <c r="E377" t="s">
        <v>2620</v>
      </c>
      <c r="F377" t="s">
        <v>114</v>
      </c>
      <c r="G377" t="s">
        <v>115</v>
      </c>
      <c r="H377" t="s">
        <v>539</v>
      </c>
      <c r="I377">
        <v>53</v>
      </c>
      <c r="J377" t="s">
        <v>116</v>
      </c>
      <c r="K377">
        <v>1</v>
      </c>
      <c r="L377" t="str">
        <f>HYPERLINK("https://mme.wsu.edu/mme-personnel/wsu-profile/dutta/","https://mme.wsu.edu/mme-personnel/wsu-profile/dutta/")</f>
        <v>https://mme.wsu.edu/mme-personnel/wsu-profile/dutta/</v>
      </c>
    </row>
    <row r="378" spans="1:12" x14ac:dyDescent="0.3">
      <c r="A378">
        <v>1241</v>
      </c>
      <c r="B378" t="s">
        <v>2658</v>
      </c>
      <c r="C378" t="s">
        <v>2659</v>
      </c>
      <c r="D378" t="s">
        <v>161</v>
      </c>
      <c r="E378" t="s">
        <v>2660</v>
      </c>
      <c r="F378" t="s">
        <v>114</v>
      </c>
      <c r="G378" t="s">
        <v>115</v>
      </c>
      <c r="H378" t="s">
        <v>273</v>
      </c>
      <c r="I378">
        <v>19</v>
      </c>
      <c r="J378" t="s">
        <v>116</v>
      </c>
      <c r="K378">
        <v>1</v>
      </c>
      <c r="L378" t="str">
        <f>HYPERLINK("https://directory.statler.wvu.edu/mechanical-materials-and-aerospace-engineering-directory","https://directory.statler.wvu.edu/mechanical-materials-and-aerospace-engineering-directory")</f>
        <v>https://directory.statler.wvu.edu/mechanical-materials-and-aerospace-engineering-directory</v>
      </c>
    </row>
    <row r="379" spans="1:12" x14ac:dyDescent="0.3">
      <c r="A379">
        <v>1242</v>
      </c>
      <c r="B379" t="s">
        <v>2661</v>
      </c>
      <c r="C379" t="s">
        <v>2659</v>
      </c>
      <c r="D379" t="s">
        <v>161</v>
      </c>
      <c r="E379" t="s">
        <v>2662</v>
      </c>
      <c r="F379" t="s">
        <v>114</v>
      </c>
      <c r="G379" t="s">
        <v>115</v>
      </c>
      <c r="H379" t="s">
        <v>159</v>
      </c>
      <c r="I379">
        <v>43</v>
      </c>
      <c r="J379" t="s">
        <v>116</v>
      </c>
      <c r="K379">
        <v>1</v>
      </c>
      <c r="L379" t="str">
        <f>HYPERLINK("https://directory.statler.wvu.edu/mechanical-materials-and-aerospace-engineering-directory","https://directory.statler.wvu.edu/mechanical-materials-and-aerospace-engineering-directory")</f>
        <v>https://directory.statler.wvu.edu/mechanical-materials-and-aerospace-engineering-directory</v>
      </c>
    </row>
    <row r="380" spans="1:12" x14ac:dyDescent="0.3">
      <c r="A380">
        <v>1243</v>
      </c>
      <c r="B380" t="s">
        <v>2663</v>
      </c>
      <c r="C380" t="s">
        <v>2659</v>
      </c>
      <c r="D380" t="s">
        <v>161</v>
      </c>
      <c r="E380" t="s">
        <v>57</v>
      </c>
      <c r="F380" t="s">
        <v>114</v>
      </c>
      <c r="G380" t="s">
        <v>115</v>
      </c>
      <c r="H380" t="s">
        <v>58</v>
      </c>
      <c r="I380">
        <v>0</v>
      </c>
      <c r="J380" t="s">
        <v>116</v>
      </c>
      <c r="K380">
        <v>1</v>
      </c>
      <c r="L380" t="str">
        <f>HYPERLINK("https://directory.statler.wvu.edu/mechanical-materials-and-aerospace-engineering-directory","https://directory.statler.wvu.edu/mechanical-materials-and-aerospace-engineering-directory")</f>
        <v>https://directory.statler.wvu.edu/mechanical-materials-and-aerospace-engineering-directory</v>
      </c>
    </row>
    <row r="381" spans="1:12" x14ac:dyDescent="0.3">
      <c r="A381">
        <v>1244</v>
      </c>
      <c r="B381" t="s">
        <v>2664</v>
      </c>
      <c r="C381" t="s">
        <v>2659</v>
      </c>
      <c r="D381" t="s">
        <v>161</v>
      </c>
      <c r="E381" t="s">
        <v>2665</v>
      </c>
      <c r="F381" t="s">
        <v>114</v>
      </c>
      <c r="G381" t="s">
        <v>115</v>
      </c>
      <c r="H381" t="s">
        <v>329</v>
      </c>
      <c r="I381">
        <v>6719</v>
      </c>
      <c r="J381" t="s">
        <v>116</v>
      </c>
      <c r="K381">
        <v>1</v>
      </c>
      <c r="L381" t="str">
        <f>HYPERLINK("https://directory.statler.wvu.edu/mechanical-materials-and-aerospace-engineering-directory","https://directory.statler.wvu.edu/mechanical-materials-and-aerospace-engineering-directory")</f>
        <v>https://directory.statler.wvu.edu/mechanical-materials-and-aerospace-engineering-directory</v>
      </c>
    </row>
    <row r="382" spans="1:12" x14ac:dyDescent="0.3">
      <c r="A382">
        <v>1245</v>
      </c>
      <c r="B382" t="s">
        <v>2666</v>
      </c>
      <c r="C382" t="s">
        <v>2659</v>
      </c>
      <c r="D382" t="s">
        <v>161</v>
      </c>
      <c r="E382" t="s">
        <v>2667</v>
      </c>
      <c r="F382" t="s">
        <v>114</v>
      </c>
      <c r="G382" t="s">
        <v>115</v>
      </c>
      <c r="H382" t="s">
        <v>182</v>
      </c>
      <c r="I382">
        <v>113</v>
      </c>
      <c r="J382" t="s">
        <v>116</v>
      </c>
      <c r="K382">
        <v>1</v>
      </c>
      <c r="L382" t="str">
        <f>HYPERLINK("https://directory.statler.wvu.edu/mechanical-materials-and-aerospace-engineering-directory","https://directory.statler.wvu.edu/mechanical-materials-and-aerospace-engineering-directory")</f>
        <v>https://directory.statler.wvu.edu/mechanical-materials-and-aerospace-engineering-directory</v>
      </c>
    </row>
    <row r="383" spans="1:12" x14ac:dyDescent="0.3">
      <c r="A383">
        <v>1246</v>
      </c>
      <c r="B383" t="s">
        <v>2668</v>
      </c>
      <c r="C383" t="s">
        <v>2659</v>
      </c>
      <c r="D383" t="s">
        <v>161</v>
      </c>
      <c r="E383" t="s">
        <v>2669</v>
      </c>
      <c r="F383" t="s">
        <v>114</v>
      </c>
      <c r="G383" t="s">
        <v>115</v>
      </c>
      <c r="H383" t="s">
        <v>406</v>
      </c>
      <c r="I383">
        <v>26</v>
      </c>
      <c r="J383" t="s">
        <v>116</v>
      </c>
      <c r="K383">
        <v>1</v>
      </c>
      <c r="L383" t="str">
        <f>HYPERLINK("https://directory.statler.wvu.edu/mechanical-materials-and-aerospace-engineering-directory","https://directory.statler.wvu.edu/mechanical-materials-and-aerospace-engineering-directory")</f>
        <v>https://directory.statler.wvu.edu/mechanical-materials-and-aerospace-engineering-directory</v>
      </c>
    </row>
    <row r="384" spans="1:12" x14ac:dyDescent="0.3">
      <c r="A384">
        <v>1247</v>
      </c>
      <c r="B384" t="s">
        <v>2670</v>
      </c>
      <c r="C384" t="s">
        <v>2659</v>
      </c>
      <c r="D384" t="s">
        <v>161</v>
      </c>
      <c r="E384" t="s">
        <v>2671</v>
      </c>
      <c r="F384" t="s">
        <v>114</v>
      </c>
      <c r="G384" t="s">
        <v>115</v>
      </c>
      <c r="H384" t="s">
        <v>842</v>
      </c>
      <c r="I384">
        <v>39</v>
      </c>
      <c r="J384" t="s">
        <v>116</v>
      </c>
      <c r="K384">
        <v>1</v>
      </c>
      <c r="L384" t="str">
        <f>HYPERLINK("https://directory.statler.wvu.edu/mechanical-materials-and-aerospace-engineering-directory","https://directory.statler.wvu.edu/mechanical-materials-and-aerospace-engineering-directory")</f>
        <v>https://directory.statler.wvu.edu/mechanical-materials-and-aerospace-engineering-directory</v>
      </c>
    </row>
    <row r="385" spans="1:12" x14ac:dyDescent="0.3">
      <c r="A385">
        <v>12</v>
      </c>
      <c r="B385" t="s">
        <v>56</v>
      </c>
      <c r="C385" t="s">
        <v>47</v>
      </c>
      <c r="D385" t="s">
        <v>48</v>
      </c>
      <c r="E385" t="s">
        <v>57</v>
      </c>
      <c r="F385" t="s">
        <v>27</v>
      </c>
      <c r="G385" t="s">
        <v>28</v>
      </c>
      <c r="H385" t="s">
        <v>58</v>
      </c>
      <c r="I385">
        <v>0</v>
      </c>
      <c r="J385" t="s">
        <v>59</v>
      </c>
      <c r="K385">
        <v>1</v>
      </c>
      <c r="L385" t="str">
        <f>HYPERLINK("https://eng.auburn.edu/directory/jmichael","https://eng.auburn.edu/directory/jmichael")</f>
        <v>https://eng.auburn.edu/directory/jmichael</v>
      </c>
    </row>
    <row r="386" spans="1:12" x14ac:dyDescent="0.3">
      <c r="A386">
        <v>27</v>
      </c>
      <c r="B386" t="s">
        <v>105</v>
      </c>
      <c r="C386" t="s">
        <v>90</v>
      </c>
      <c r="D386" t="s">
        <v>14</v>
      </c>
      <c r="E386" t="s">
        <v>106</v>
      </c>
      <c r="F386" t="s">
        <v>27</v>
      </c>
      <c r="G386" t="s">
        <v>28</v>
      </c>
      <c r="H386" t="s">
        <v>29</v>
      </c>
      <c r="I386">
        <v>0</v>
      </c>
      <c r="J386" t="s">
        <v>59</v>
      </c>
      <c r="K386">
        <v>1</v>
      </c>
      <c r="L386" t="str">
        <f>HYPERLINK("https://www.bu.edu/eng/profile/raymond-nagem-phd/","https://www.bu.edu/eng/profile/raymond-nagem-phd/")</f>
        <v>https://www.bu.edu/eng/profile/raymond-nagem-phd/</v>
      </c>
    </row>
    <row r="387" spans="1:12" x14ac:dyDescent="0.3">
      <c r="A387">
        <v>120</v>
      </c>
      <c r="B387" t="s">
        <v>344</v>
      </c>
      <c r="C387" t="s">
        <v>333</v>
      </c>
      <c r="D387" t="s">
        <v>112</v>
      </c>
      <c r="E387" t="s">
        <v>57</v>
      </c>
      <c r="F387" t="s">
        <v>335</v>
      </c>
      <c r="G387" t="s">
        <v>336</v>
      </c>
      <c r="H387" t="s">
        <v>58</v>
      </c>
      <c r="I387">
        <v>0</v>
      </c>
      <c r="J387" t="s">
        <v>59</v>
      </c>
      <c r="K387">
        <v>1</v>
      </c>
      <c r="L387" t="str">
        <f>HYPERLINK("https://mems.duke.edu/people/christopher-douglas/","https://mems.duke.edu/people/christopher-douglas/")</f>
        <v>https://mems.duke.edu/people/christopher-douglas/</v>
      </c>
    </row>
    <row r="388" spans="1:12" hidden="1" x14ac:dyDescent="0.3">
      <c r="A388">
        <v>387</v>
      </c>
      <c r="B388" t="s">
        <v>924</v>
      </c>
      <c r="C388" t="s">
        <v>902</v>
      </c>
      <c r="D388" t="s">
        <v>31</v>
      </c>
      <c r="E388" t="s">
        <v>925</v>
      </c>
      <c r="F388" t="s">
        <v>27</v>
      </c>
      <c r="G388" t="s">
        <v>28</v>
      </c>
      <c r="H388" t="s">
        <v>109</v>
      </c>
      <c r="I388">
        <v>19</v>
      </c>
      <c r="J388" t="s">
        <v>19</v>
      </c>
      <c r="K388">
        <v>1</v>
      </c>
      <c r="L388" t="str">
        <f>HYPERLINK("https://www.pacm.princeton.edu/directory/peter-constantin","https://www.pacm.princeton.edu/directory/peter-constantin")</f>
        <v>https://www.pacm.princeton.edu/directory/peter-constantin</v>
      </c>
    </row>
    <row r="389" spans="1:12" hidden="1" x14ac:dyDescent="0.3">
      <c r="A389">
        <v>388</v>
      </c>
      <c r="B389" t="s">
        <v>926</v>
      </c>
      <c r="C389" t="s">
        <v>902</v>
      </c>
      <c r="D389" t="s">
        <v>31</v>
      </c>
      <c r="E389" t="s">
        <v>927</v>
      </c>
      <c r="F389" t="s">
        <v>27</v>
      </c>
      <c r="G389" t="s">
        <v>28</v>
      </c>
      <c r="H389" t="s">
        <v>45</v>
      </c>
      <c r="I389">
        <v>42</v>
      </c>
      <c r="J389" t="s">
        <v>19</v>
      </c>
      <c r="K389">
        <v>1</v>
      </c>
      <c r="L389" t="str">
        <f>HYPERLINK("https://www.pacm.princeton.edu/directory/amit-singer","https://www.pacm.princeton.edu/directory/amit-singer")</f>
        <v>https://www.pacm.princeton.edu/directory/amit-singer</v>
      </c>
    </row>
    <row r="390" spans="1:12" hidden="1" x14ac:dyDescent="0.3">
      <c r="A390">
        <v>389</v>
      </c>
      <c r="B390" t="s">
        <v>928</v>
      </c>
      <c r="C390" t="s">
        <v>902</v>
      </c>
      <c r="D390" t="s">
        <v>31</v>
      </c>
      <c r="E390" t="s">
        <v>929</v>
      </c>
      <c r="F390" t="s">
        <v>27</v>
      </c>
      <c r="G390" t="s">
        <v>28</v>
      </c>
      <c r="H390" t="s">
        <v>45</v>
      </c>
      <c r="I390">
        <v>33</v>
      </c>
      <c r="J390" t="s">
        <v>19</v>
      </c>
      <c r="K390">
        <v>1</v>
      </c>
      <c r="L390" t="str">
        <f>HYPERLINK("https://www.pacm.princeton.edu/directory/jeroen-tromp","https://www.pacm.princeton.edu/directory/jeroen-tromp")</f>
        <v>https://www.pacm.princeton.edu/directory/jeroen-tromp</v>
      </c>
    </row>
    <row r="391" spans="1:12" x14ac:dyDescent="0.3">
      <c r="A391">
        <v>131</v>
      </c>
      <c r="B391" t="s">
        <v>366</v>
      </c>
      <c r="C391" t="s">
        <v>362</v>
      </c>
      <c r="D391" t="s">
        <v>48</v>
      </c>
      <c r="E391" t="s">
        <v>367</v>
      </c>
      <c r="F391" t="s">
        <v>83</v>
      </c>
      <c r="G391" t="s">
        <v>84</v>
      </c>
      <c r="H391" t="s">
        <v>75</v>
      </c>
      <c r="I391">
        <v>0</v>
      </c>
      <c r="J391" t="s">
        <v>59</v>
      </c>
      <c r="K391">
        <v>1</v>
      </c>
      <c r="L391" t="str">
        <f>HYPERLINK("https://erau.edu/faculty/william-engblom","https://erau.edu/faculty/william-engblom")</f>
        <v>https://erau.edu/faculty/william-engblom</v>
      </c>
    </row>
    <row r="392" spans="1:12" x14ac:dyDescent="0.3">
      <c r="A392">
        <v>134</v>
      </c>
      <c r="B392" t="s">
        <v>372</v>
      </c>
      <c r="C392" t="s">
        <v>362</v>
      </c>
      <c r="D392" t="s">
        <v>48</v>
      </c>
      <c r="E392" t="s">
        <v>57</v>
      </c>
      <c r="F392" t="s">
        <v>83</v>
      </c>
      <c r="G392" t="s">
        <v>84</v>
      </c>
      <c r="H392" t="s">
        <v>58</v>
      </c>
      <c r="I392">
        <v>0</v>
      </c>
      <c r="J392" t="s">
        <v>59</v>
      </c>
      <c r="K392">
        <v>1</v>
      </c>
      <c r="L392" t="str">
        <f>HYPERLINK("https://erau.edu/faculty/lance-traub","https://erau.edu/faculty/lance-traub")</f>
        <v>https://erau.edu/faculty/lance-traub</v>
      </c>
    </row>
    <row r="393" spans="1:12" x14ac:dyDescent="0.3">
      <c r="A393">
        <v>136</v>
      </c>
      <c r="B393" t="s">
        <v>376</v>
      </c>
      <c r="C393" t="s">
        <v>362</v>
      </c>
      <c r="D393" t="s">
        <v>48</v>
      </c>
      <c r="E393" t="s">
        <v>57</v>
      </c>
      <c r="F393" t="s">
        <v>83</v>
      </c>
      <c r="G393" t="s">
        <v>84</v>
      </c>
      <c r="H393" t="s">
        <v>58</v>
      </c>
      <c r="I393">
        <v>0</v>
      </c>
      <c r="J393" t="s">
        <v>59</v>
      </c>
      <c r="K393">
        <v>1</v>
      </c>
      <c r="L393" t="str">
        <f>HYPERLINK("https://erau.edu/faculty/richard-prazenica","https://erau.edu/faculty/richard-prazenica")</f>
        <v>https://erau.edu/faculty/richard-prazenica</v>
      </c>
    </row>
    <row r="394" spans="1:12" x14ac:dyDescent="0.3">
      <c r="A394">
        <v>170</v>
      </c>
      <c r="B394" t="s">
        <v>451</v>
      </c>
      <c r="C394" t="s">
        <v>452</v>
      </c>
      <c r="D394" t="s">
        <v>14</v>
      </c>
      <c r="E394" t="s">
        <v>453</v>
      </c>
      <c r="F394" t="s">
        <v>27</v>
      </c>
      <c r="G394" t="s">
        <v>454</v>
      </c>
      <c r="H394" t="s">
        <v>417</v>
      </c>
      <c r="I394">
        <v>0</v>
      </c>
      <c r="J394" t="s">
        <v>59</v>
      </c>
      <c r="K394">
        <v>1</v>
      </c>
      <c r="L394" t="str">
        <f>HYPERLINK("https://mechanical.gmu.edu/people/faculty","https://mechanical.gmu.edu/people/faculty")</f>
        <v>https://mechanical.gmu.edu/people/faculty</v>
      </c>
    </row>
    <row r="395" spans="1:12" x14ac:dyDescent="0.3">
      <c r="A395">
        <v>171</v>
      </c>
      <c r="B395" t="s">
        <v>455</v>
      </c>
      <c r="C395" t="s">
        <v>452</v>
      </c>
      <c r="D395" t="s">
        <v>14</v>
      </c>
      <c r="E395" t="s">
        <v>456</v>
      </c>
      <c r="F395" t="s">
        <v>27</v>
      </c>
      <c r="G395" t="s">
        <v>454</v>
      </c>
      <c r="H395" t="s">
        <v>417</v>
      </c>
      <c r="I395">
        <v>0</v>
      </c>
      <c r="J395" t="s">
        <v>59</v>
      </c>
      <c r="K395">
        <v>1</v>
      </c>
      <c r="L395" t="str">
        <f>HYPERLINK("https://mechanical.gmu.edu/people/faculty","https://mechanical.gmu.edu/people/faculty")</f>
        <v>https://mechanical.gmu.edu/people/faculty</v>
      </c>
    </row>
    <row r="396" spans="1:12" x14ac:dyDescent="0.3">
      <c r="A396">
        <v>172</v>
      </c>
      <c r="B396" t="s">
        <v>457</v>
      </c>
      <c r="C396" t="s">
        <v>452</v>
      </c>
      <c r="D396" t="s">
        <v>14</v>
      </c>
      <c r="E396" t="s">
        <v>458</v>
      </c>
      <c r="F396" t="s">
        <v>27</v>
      </c>
      <c r="G396" t="s">
        <v>454</v>
      </c>
      <c r="H396" t="s">
        <v>417</v>
      </c>
      <c r="I396">
        <v>0</v>
      </c>
      <c r="J396" t="s">
        <v>59</v>
      </c>
      <c r="K396">
        <v>1</v>
      </c>
      <c r="L396" t="str">
        <f>HYPERLINK("https://mechanical.gmu.edu/people/faculty","https://mechanical.gmu.edu/people/faculty")</f>
        <v>https://mechanical.gmu.edu/people/faculty</v>
      </c>
    </row>
    <row r="397" spans="1:12" x14ac:dyDescent="0.3">
      <c r="A397">
        <v>188</v>
      </c>
      <c r="B397" t="s">
        <v>491</v>
      </c>
      <c r="C397" t="s">
        <v>474</v>
      </c>
      <c r="D397" t="s">
        <v>161</v>
      </c>
      <c r="E397" t="s">
        <v>57</v>
      </c>
      <c r="F397" t="s">
        <v>27</v>
      </c>
      <c r="G397" t="s">
        <v>476</v>
      </c>
      <c r="H397" t="s">
        <v>58</v>
      </c>
      <c r="I397">
        <v>0</v>
      </c>
      <c r="J397" t="s">
        <v>59</v>
      </c>
      <c r="K397">
        <v>1</v>
      </c>
      <c r="L397" t="str">
        <f>HYPERLINK("https://mae.engineering.gwu.edu/faculty-directory","https://mae.engineering.gwu.edu/faculty-directory")</f>
        <v>https://mae.engineering.gwu.edu/faculty-directory</v>
      </c>
    </row>
    <row r="398" spans="1:12" x14ac:dyDescent="0.3">
      <c r="A398">
        <v>208</v>
      </c>
      <c r="B398" t="s">
        <v>537</v>
      </c>
      <c r="C398" t="s">
        <v>521</v>
      </c>
      <c r="D398" t="s">
        <v>161</v>
      </c>
      <c r="E398" t="s">
        <v>538</v>
      </c>
      <c r="F398" t="s">
        <v>27</v>
      </c>
      <c r="G398" t="s">
        <v>28</v>
      </c>
      <c r="H398" t="s">
        <v>539</v>
      </c>
      <c r="I398">
        <v>0</v>
      </c>
      <c r="J398" t="s">
        <v>59</v>
      </c>
      <c r="K398">
        <v>1</v>
      </c>
      <c r="L398" t="str">
        <f>HYPERLINK("https://www.iit.edu/directory/people/dietmar-rempfer","https://www.iit.edu/directory/people/dietmar-rempfer")</f>
        <v>https://www.iit.edu/directory/people/dietmar-rempfer</v>
      </c>
    </row>
    <row r="399" spans="1:12" x14ac:dyDescent="0.3">
      <c r="A399">
        <v>323</v>
      </c>
      <c r="B399" t="s">
        <v>790</v>
      </c>
      <c r="C399" t="s">
        <v>777</v>
      </c>
      <c r="D399" t="s">
        <v>161</v>
      </c>
      <c r="E399" t="s">
        <v>57</v>
      </c>
      <c r="F399" t="s">
        <v>27</v>
      </c>
      <c r="G399" t="s">
        <v>28</v>
      </c>
      <c r="H399" t="s">
        <v>58</v>
      </c>
      <c r="I399">
        <v>0</v>
      </c>
      <c r="J399" t="s">
        <v>59</v>
      </c>
      <c r="K399">
        <v>1</v>
      </c>
      <c r="L399" t="str">
        <f>HYPERLINK("https://mae.ncsu.edu/people/psubbar/","https://mae.ncsu.edu/people/psubbar/")</f>
        <v>https://mae.ncsu.edu/people/psubbar/</v>
      </c>
    </row>
    <row r="400" spans="1:12" x14ac:dyDescent="0.3">
      <c r="A400">
        <v>357</v>
      </c>
      <c r="B400" t="s">
        <v>863</v>
      </c>
      <c r="C400" t="s">
        <v>848</v>
      </c>
      <c r="D400" t="s">
        <v>161</v>
      </c>
      <c r="E400" t="s">
        <v>57</v>
      </c>
      <c r="F400" t="s">
        <v>27</v>
      </c>
      <c r="G400" t="s">
        <v>476</v>
      </c>
      <c r="H400" t="s">
        <v>58</v>
      </c>
      <c r="I400">
        <v>0</v>
      </c>
      <c r="J400" t="s">
        <v>59</v>
      </c>
      <c r="K400">
        <v>1</v>
      </c>
      <c r="L400" t="str">
        <f>HYPERLINK("https://ceat.okstate.edu/mae/faculty-staff","https://ceat.okstate.edu/mae/faculty-staff")</f>
        <v>https://ceat.okstate.edu/mae/faculty-staff</v>
      </c>
    </row>
    <row r="401" spans="1:12" x14ac:dyDescent="0.3">
      <c r="A401">
        <v>396</v>
      </c>
      <c r="B401" t="s">
        <v>944</v>
      </c>
      <c r="C401" t="s">
        <v>931</v>
      </c>
      <c r="D401" t="s">
        <v>48</v>
      </c>
      <c r="E401" t="s">
        <v>398</v>
      </c>
      <c r="F401" t="s">
        <v>27</v>
      </c>
      <c r="G401" t="s">
        <v>933</v>
      </c>
      <c r="H401" t="s">
        <v>58</v>
      </c>
      <c r="I401">
        <v>0</v>
      </c>
      <c r="J401" t="s">
        <v>59</v>
      </c>
      <c r="K401">
        <v>1</v>
      </c>
      <c r="L401" t="str">
        <f>HYPERLINK("https://engineering.purdue.edu/AAE/people/Faculty/ptProfile?resource_id=227362","https://engineering.purdue.edu/AAE/people/Faculty/ptProfile?resource_id=227362")</f>
        <v>https://engineering.purdue.edu/AAE/people/Faculty/ptProfile?resource_id=227362</v>
      </c>
    </row>
    <row r="402" spans="1:12" x14ac:dyDescent="0.3">
      <c r="A402">
        <v>401</v>
      </c>
      <c r="B402" t="s">
        <v>953</v>
      </c>
      <c r="C402" t="s">
        <v>931</v>
      </c>
      <c r="D402" t="s">
        <v>48</v>
      </c>
      <c r="E402" t="s">
        <v>57</v>
      </c>
      <c r="F402" t="s">
        <v>27</v>
      </c>
      <c r="G402" t="s">
        <v>933</v>
      </c>
      <c r="H402" t="s">
        <v>58</v>
      </c>
      <c r="I402">
        <v>0</v>
      </c>
      <c r="J402" t="s">
        <v>59</v>
      </c>
      <c r="K402">
        <v>1</v>
      </c>
      <c r="L402" t="str">
        <f>HYPERLINK("https://engineering.purdue.edu/AAE/people/Faculty/ptProfile?resource_id=38830","https://engineering.purdue.edu/AAE/people/Faculty/ptProfile?resource_id=38830")</f>
        <v>https://engineering.purdue.edu/AAE/people/Faculty/ptProfile?resource_id=38830</v>
      </c>
    </row>
    <row r="403" spans="1:12" x14ac:dyDescent="0.3">
      <c r="A403">
        <v>634</v>
      </c>
      <c r="B403" t="s">
        <v>1425</v>
      </c>
      <c r="C403" t="s">
        <v>1419</v>
      </c>
      <c r="D403" t="s">
        <v>161</v>
      </c>
      <c r="E403" t="s">
        <v>57</v>
      </c>
      <c r="F403" t="s">
        <v>27</v>
      </c>
      <c r="G403" t="s">
        <v>476</v>
      </c>
      <c r="H403" t="s">
        <v>58</v>
      </c>
      <c r="I403">
        <v>0</v>
      </c>
      <c r="J403" t="s">
        <v>59</v>
      </c>
      <c r="K403">
        <v>1</v>
      </c>
      <c r="L403" t="str">
        <f>HYPERLINK("https://mae.ucdavis.edu/directory/ralph-aldredge","https://mae.ucdavis.edu/directory/ralph-aldredge")</f>
        <v>https://mae.ucdavis.edu/directory/ralph-aldredge</v>
      </c>
    </row>
    <row r="404" spans="1:12" x14ac:dyDescent="0.3">
      <c r="A404">
        <v>635</v>
      </c>
      <c r="B404" t="s">
        <v>1426</v>
      </c>
      <c r="C404" t="s">
        <v>1419</v>
      </c>
      <c r="D404" t="s">
        <v>161</v>
      </c>
      <c r="E404" t="s">
        <v>57</v>
      </c>
      <c r="F404" t="s">
        <v>27</v>
      </c>
      <c r="G404" t="s">
        <v>476</v>
      </c>
      <c r="H404" t="s">
        <v>58</v>
      </c>
      <c r="I404">
        <v>0</v>
      </c>
      <c r="J404" t="s">
        <v>59</v>
      </c>
      <c r="K404">
        <v>1</v>
      </c>
      <c r="L404" t="str">
        <f>HYPERLINK("https://mae.ucdavis.edu/people/jeanette-cobian-iniguez","https://mae.ucdavis.edu/people/jeanette-cobian-iniguez")</f>
        <v>https://mae.ucdavis.edu/people/jeanette-cobian-iniguez</v>
      </c>
    </row>
    <row r="405" spans="1:12" x14ac:dyDescent="0.3">
      <c r="A405">
        <v>768</v>
      </c>
      <c r="B405" t="s">
        <v>1702</v>
      </c>
      <c r="C405" t="s">
        <v>1694</v>
      </c>
      <c r="D405" t="s">
        <v>14</v>
      </c>
      <c r="E405" t="s">
        <v>1703</v>
      </c>
      <c r="F405" t="s">
        <v>83</v>
      </c>
      <c r="G405" t="s">
        <v>84</v>
      </c>
      <c r="H405" t="s">
        <v>417</v>
      </c>
      <c r="I405">
        <v>0</v>
      </c>
      <c r="J405" t="s">
        <v>59</v>
      </c>
      <c r="K405">
        <v>1</v>
      </c>
      <c r="L405" t="str">
        <f>HYPERLINK("https://me.hawaii.edu/people/faculty/","https://me.hawaii.edu/people/faculty/")</f>
        <v>https://me.hawaii.edu/people/faculty/</v>
      </c>
    </row>
    <row r="406" spans="1:12" x14ac:dyDescent="0.3">
      <c r="A406">
        <v>769</v>
      </c>
      <c r="B406" t="s">
        <v>1704</v>
      </c>
      <c r="C406" t="s">
        <v>1694</v>
      </c>
      <c r="D406" t="s">
        <v>14</v>
      </c>
      <c r="E406" t="s">
        <v>1705</v>
      </c>
      <c r="F406" t="s">
        <v>83</v>
      </c>
      <c r="G406" t="s">
        <v>84</v>
      </c>
      <c r="H406" t="s">
        <v>417</v>
      </c>
      <c r="I406">
        <v>0</v>
      </c>
      <c r="J406" t="s">
        <v>59</v>
      </c>
      <c r="K406">
        <v>1</v>
      </c>
      <c r="L406" t="str">
        <f>HYPERLINK("https://me.hawaii.edu/people/faculty/","https://me.hawaii.edu/people/faculty/")</f>
        <v>https://me.hawaii.edu/people/faculty/</v>
      </c>
    </row>
    <row r="407" spans="1:12" x14ac:dyDescent="0.3">
      <c r="A407">
        <v>843</v>
      </c>
      <c r="B407" t="s">
        <v>1859</v>
      </c>
      <c r="C407" t="s">
        <v>1853</v>
      </c>
      <c r="D407" t="s">
        <v>14</v>
      </c>
      <c r="E407" t="s">
        <v>57</v>
      </c>
      <c r="F407" t="s">
        <v>27</v>
      </c>
      <c r="G407" t="s">
        <v>476</v>
      </c>
      <c r="H407" t="s">
        <v>58</v>
      </c>
      <c r="I407">
        <v>0</v>
      </c>
      <c r="J407" t="s">
        <v>59</v>
      </c>
      <c r="K407">
        <v>1</v>
      </c>
      <c r="L407" t="str">
        <f>HYPERLINK("https://engineering.louisville.edu/faculty/emmanuel-collins/","https://engineering.louisville.edu/faculty/emmanuel-collins/")</f>
        <v>https://engineering.louisville.edu/faculty/emmanuel-collins/</v>
      </c>
    </row>
    <row r="408" spans="1:12" x14ac:dyDescent="0.3">
      <c r="A408">
        <v>892</v>
      </c>
      <c r="B408" t="s">
        <v>1961</v>
      </c>
      <c r="C408" t="s">
        <v>1958</v>
      </c>
      <c r="D408" t="s">
        <v>48</v>
      </c>
      <c r="E408" t="s">
        <v>57</v>
      </c>
      <c r="F408" t="s">
        <v>27</v>
      </c>
      <c r="G408" t="s">
        <v>476</v>
      </c>
      <c r="H408" t="s">
        <v>58</v>
      </c>
      <c r="I408">
        <v>0</v>
      </c>
      <c r="J408" t="s">
        <v>59</v>
      </c>
      <c r="K408">
        <v>1</v>
      </c>
      <c r="L408" t="str">
        <f>HYPERLINK("https://aero.engin.umich.edu/people/raman-venkat/","https://aero.engin.umich.edu/people/raman-venkat/")</f>
        <v>https://aero.engin.umich.edu/people/raman-venkat/</v>
      </c>
    </row>
    <row r="409" spans="1:12" hidden="1" x14ac:dyDescent="0.3">
      <c r="A409">
        <v>408</v>
      </c>
      <c r="B409" t="s">
        <v>966</v>
      </c>
      <c r="C409" t="s">
        <v>931</v>
      </c>
      <c r="D409" t="s">
        <v>31</v>
      </c>
      <c r="E409" t="s">
        <v>967</v>
      </c>
      <c r="F409" t="s">
        <v>27</v>
      </c>
      <c r="G409" t="s">
        <v>933</v>
      </c>
      <c r="H409" t="s">
        <v>50</v>
      </c>
      <c r="I409">
        <v>107</v>
      </c>
      <c r="J409" t="s">
        <v>19</v>
      </c>
      <c r="K409">
        <v>1</v>
      </c>
      <c r="L409" t="str">
        <f>HYPERLINK("https://engineering.purdue.edu/ME/People/ptProfile?id=138475","https://engineering.purdue.edu/ME/People/ptProfile?id=138475")</f>
        <v>https://engineering.purdue.edu/ME/People/ptProfile?id=138475</v>
      </c>
    </row>
    <row r="410" spans="1:12" x14ac:dyDescent="0.3">
      <c r="A410">
        <v>895</v>
      </c>
      <c r="B410" t="s">
        <v>1966</v>
      </c>
      <c r="C410" t="s">
        <v>1958</v>
      </c>
      <c r="D410" t="s">
        <v>48</v>
      </c>
      <c r="E410" t="s">
        <v>57</v>
      </c>
      <c r="F410" t="s">
        <v>27</v>
      </c>
      <c r="G410" t="s">
        <v>476</v>
      </c>
      <c r="H410" t="s">
        <v>58</v>
      </c>
      <c r="I410">
        <v>0</v>
      </c>
      <c r="J410" t="s">
        <v>59</v>
      </c>
      <c r="K410">
        <v>1</v>
      </c>
      <c r="L410" t="str">
        <f>HYPERLINK("https://aero.engin.umich.edu/people/gorodetsky-alex/","https://aero.engin.umich.edu/people/gorodetsky-alex/")</f>
        <v>https://aero.engin.umich.edu/people/gorodetsky-alex/</v>
      </c>
    </row>
    <row r="411" spans="1:12" hidden="1" x14ac:dyDescent="0.3">
      <c r="A411">
        <v>410</v>
      </c>
      <c r="B411" t="s">
        <v>970</v>
      </c>
      <c r="C411" t="s">
        <v>931</v>
      </c>
      <c r="D411" t="s">
        <v>31</v>
      </c>
      <c r="E411" t="s">
        <v>971</v>
      </c>
      <c r="F411" t="s">
        <v>27</v>
      </c>
      <c r="G411" t="s">
        <v>28</v>
      </c>
      <c r="H411" t="s">
        <v>85</v>
      </c>
      <c r="I411">
        <v>54</v>
      </c>
      <c r="J411" t="s">
        <v>19</v>
      </c>
      <c r="K411">
        <v>1</v>
      </c>
      <c r="L411" t="str">
        <f>HYPERLINK("https://www.math.purdue.edu/people/bio/zhang24","https://www.math.purdue.edu/people/bio/zhang24")</f>
        <v>https://www.math.purdue.edu/people/bio/zhang24</v>
      </c>
    </row>
    <row r="412" spans="1:12" x14ac:dyDescent="0.3">
      <c r="A412">
        <v>896</v>
      </c>
      <c r="B412" t="s">
        <v>1967</v>
      </c>
      <c r="C412" t="s">
        <v>1958</v>
      </c>
      <c r="D412" t="s">
        <v>48</v>
      </c>
      <c r="E412" t="s">
        <v>57</v>
      </c>
      <c r="F412" t="s">
        <v>27</v>
      </c>
      <c r="G412" t="s">
        <v>476</v>
      </c>
      <c r="H412" t="s">
        <v>58</v>
      </c>
      <c r="I412">
        <v>0</v>
      </c>
      <c r="J412" t="s">
        <v>59</v>
      </c>
      <c r="K412">
        <v>1</v>
      </c>
      <c r="L412" t="str">
        <f>HYPERLINK("https://aero.engin.umich.edu/people/jorns-benjamin/","https://aero.engin.umich.edu/people/jorns-benjamin/")</f>
        <v>https://aero.engin.umich.edu/people/jorns-benjamin/</v>
      </c>
    </row>
    <row r="413" spans="1:12" x14ac:dyDescent="0.3">
      <c r="A413">
        <v>940</v>
      </c>
      <c r="B413" t="s">
        <v>2053</v>
      </c>
      <c r="C413" t="s">
        <v>2052</v>
      </c>
      <c r="D413" t="s">
        <v>14</v>
      </c>
      <c r="E413" t="s">
        <v>57</v>
      </c>
      <c r="F413" t="s">
        <v>27</v>
      </c>
      <c r="G413" t="s">
        <v>28</v>
      </c>
      <c r="H413" t="s">
        <v>58</v>
      </c>
      <c r="I413">
        <v>0</v>
      </c>
      <c r="J413" t="s">
        <v>59</v>
      </c>
      <c r="K413">
        <v>1</v>
      </c>
      <c r="L413" t="str">
        <f>HYPERLINK("https://www.unlv.edu/people/yi-tung-chen","https://www.unlv.edu/people/yi-tung-chen")</f>
        <v>https://www.unlv.edu/people/yi-tung-chen</v>
      </c>
    </row>
    <row r="414" spans="1:12" x14ac:dyDescent="0.3">
      <c r="A414">
        <v>957</v>
      </c>
      <c r="B414" t="s">
        <v>2086</v>
      </c>
      <c r="C414" t="s">
        <v>2078</v>
      </c>
      <c r="D414" t="s">
        <v>381</v>
      </c>
      <c r="E414" t="s">
        <v>57</v>
      </c>
      <c r="F414" t="s">
        <v>335</v>
      </c>
      <c r="G414" t="s">
        <v>336</v>
      </c>
      <c r="H414" t="s">
        <v>58</v>
      </c>
      <c r="I414">
        <v>0</v>
      </c>
      <c r="J414" t="s">
        <v>59</v>
      </c>
      <c r="K414">
        <v>1</v>
      </c>
      <c r="L414" t="str">
        <f>HYPERLINK("https://marine.unh.edu/person/diane-foster","https://marine.unh.edu/person/diane-foster")</f>
        <v>https://marine.unh.edu/person/diane-foster</v>
      </c>
    </row>
    <row r="415" spans="1:12" x14ac:dyDescent="0.3">
      <c r="A415">
        <v>975</v>
      </c>
      <c r="B415" t="s">
        <v>2123</v>
      </c>
      <c r="C415" t="s">
        <v>2109</v>
      </c>
      <c r="D415" t="s">
        <v>381</v>
      </c>
      <c r="E415" t="s">
        <v>57</v>
      </c>
      <c r="F415" t="s">
        <v>27</v>
      </c>
      <c r="G415" t="s">
        <v>476</v>
      </c>
      <c r="H415" t="s">
        <v>58</v>
      </c>
      <c r="I415">
        <v>0</v>
      </c>
      <c r="J415" t="s">
        <v>59</v>
      </c>
      <c r="K415">
        <v>1</v>
      </c>
      <c r="L415" t="str">
        <f>HYPERLINK("https://math.unc.edu/people/brian-white/","https://math.unc.edu/people/brian-white/")</f>
        <v>https://math.unc.edu/people/brian-white/</v>
      </c>
    </row>
    <row r="416" spans="1:12" hidden="1" x14ac:dyDescent="0.3">
      <c r="A416">
        <v>415</v>
      </c>
      <c r="B416" t="s">
        <v>981</v>
      </c>
      <c r="C416" t="s">
        <v>973</v>
      </c>
      <c r="D416" t="s">
        <v>31</v>
      </c>
      <c r="E416" t="s">
        <v>982</v>
      </c>
      <c r="F416" t="s">
        <v>16</v>
      </c>
      <c r="G416" t="s">
        <v>17</v>
      </c>
      <c r="H416" t="s">
        <v>159</v>
      </c>
      <c r="I416">
        <v>29</v>
      </c>
      <c r="J416" t="s">
        <v>19</v>
      </c>
      <c r="K416">
        <v>1</v>
      </c>
      <c r="L416" t="str">
        <f>HYPERLINK("https://faculty.rpi.edu/onkar-sahni","https://faculty.rpi.edu/onkar-sahni")</f>
        <v>https://faculty.rpi.edu/onkar-sahni</v>
      </c>
    </row>
    <row r="417" spans="1:12" x14ac:dyDescent="0.3">
      <c r="A417">
        <v>1106</v>
      </c>
      <c r="B417" t="s">
        <v>2391</v>
      </c>
      <c r="C417" t="s">
        <v>2392</v>
      </c>
      <c r="D417" t="s">
        <v>161</v>
      </c>
      <c r="E417" t="s">
        <v>57</v>
      </c>
      <c r="F417" t="s">
        <v>27</v>
      </c>
      <c r="G417" t="s">
        <v>28</v>
      </c>
      <c r="H417" t="s">
        <v>58</v>
      </c>
      <c r="I417">
        <v>0</v>
      </c>
      <c r="J417" t="s">
        <v>59</v>
      </c>
      <c r="K417">
        <v>1</v>
      </c>
      <c r="L417" t="str">
        <f>HYPERLINK("https://tickle.utk.edu/mae/faculty/john-schmisseur/","https://tickle.utk.edu/mae/faculty/john-schmisseur/")</f>
        <v>https://tickle.utk.edu/mae/faculty/john-schmisseur/</v>
      </c>
    </row>
    <row r="418" spans="1:12" x14ac:dyDescent="0.3">
      <c r="A418">
        <v>1212</v>
      </c>
      <c r="B418" t="s">
        <v>2602</v>
      </c>
      <c r="C418" t="s">
        <v>2596</v>
      </c>
      <c r="D418" t="s">
        <v>48</v>
      </c>
      <c r="E418" t="s">
        <v>57</v>
      </c>
      <c r="F418" t="s">
        <v>27</v>
      </c>
      <c r="G418" t="s">
        <v>28</v>
      </c>
      <c r="H418" t="s">
        <v>58</v>
      </c>
      <c r="I418">
        <v>0</v>
      </c>
      <c r="J418" t="s">
        <v>59</v>
      </c>
      <c r="K418">
        <v>1</v>
      </c>
      <c r="L418" t="str">
        <f>HYPERLINK("https://www.aoe.vt.edu/people/faculty/adams.html","https://www.aoe.vt.edu/people/faculty/adams.html")</f>
        <v>https://www.aoe.vt.edu/people/faculty/adams.html</v>
      </c>
    </row>
    <row r="419" spans="1:12" hidden="1" x14ac:dyDescent="0.3">
      <c r="A419">
        <v>418</v>
      </c>
      <c r="B419" t="s">
        <v>987</v>
      </c>
      <c r="C419" t="s">
        <v>973</v>
      </c>
      <c r="D419" t="s">
        <v>31</v>
      </c>
      <c r="E419" t="s">
        <v>988</v>
      </c>
      <c r="F419" t="s">
        <v>16</v>
      </c>
      <c r="G419" t="s">
        <v>17</v>
      </c>
      <c r="H419" t="s">
        <v>314</v>
      </c>
      <c r="I419">
        <v>33</v>
      </c>
      <c r="J419" t="s">
        <v>19</v>
      </c>
      <c r="K419">
        <v>1</v>
      </c>
      <c r="L419" t="str">
        <f>HYPERLINK("https://faculty.rpi.edu/mark-shephard","https://faculty.rpi.edu/mark-shephard")</f>
        <v>https://faculty.rpi.edu/mark-shephard</v>
      </c>
    </row>
    <row r="420" spans="1:12" hidden="1" x14ac:dyDescent="0.3">
      <c r="A420">
        <v>419</v>
      </c>
      <c r="B420" t="s">
        <v>989</v>
      </c>
      <c r="C420" t="s">
        <v>973</v>
      </c>
      <c r="D420" t="s">
        <v>31</v>
      </c>
      <c r="E420" t="s">
        <v>990</v>
      </c>
      <c r="F420" t="s">
        <v>16</v>
      </c>
      <c r="G420" t="s">
        <v>17</v>
      </c>
      <c r="H420" t="s">
        <v>991</v>
      </c>
      <c r="I420">
        <v>19</v>
      </c>
      <c r="J420" t="s">
        <v>19</v>
      </c>
      <c r="K420">
        <v>1</v>
      </c>
      <c r="L420" t="str">
        <f>HYPERLINK("https://faculty.rpi.edu/william-henshaw","https://faculty.rpi.edu/william-henshaw")</f>
        <v>https://faculty.rpi.edu/william-henshaw</v>
      </c>
    </row>
    <row r="421" spans="1:12" hidden="1" x14ac:dyDescent="0.3">
      <c r="A421">
        <v>420</v>
      </c>
      <c r="B421" t="s">
        <v>992</v>
      </c>
      <c r="C421" t="s">
        <v>973</v>
      </c>
      <c r="D421" t="s">
        <v>31</v>
      </c>
      <c r="E421" t="s">
        <v>993</v>
      </c>
      <c r="F421" t="s">
        <v>16</v>
      </c>
      <c r="G421" t="s">
        <v>17</v>
      </c>
      <c r="H421" t="s">
        <v>539</v>
      </c>
      <c r="I421">
        <v>27</v>
      </c>
      <c r="J421" t="s">
        <v>19</v>
      </c>
      <c r="K421">
        <v>1</v>
      </c>
      <c r="L421" t="str">
        <f>HYPERLINK("https://faculty.rpi.edu/jeffrey-banks","https://faculty.rpi.edu/jeffrey-banks")</f>
        <v>https://faculty.rpi.edu/jeffrey-banks</v>
      </c>
    </row>
    <row r="422" spans="1:12" hidden="1" x14ac:dyDescent="0.3">
      <c r="A422">
        <v>421</v>
      </c>
      <c r="B422" t="s">
        <v>994</v>
      </c>
      <c r="C422" t="s">
        <v>973</v>
      </c>
      <c r="D422" t="s">
        <v>31</v>
      </c>
      <c r="E422" t="s">
        <v>995</v>
      </c>
      <c r="F422" t="s">
        <v>62</v>
      </c>
      <c r="G422" t="s">
        <v>63</v>
      </c>
      <c r="H422" t="s">
        <v>50</v>
      </c>
      <c r="I422">
        <v>15</v>
      </c>
      <c r="J422" t="s">
        <v>19</v>
      </c>
      <c r="K422">
        <v>1</v>
      </c>
      <c r="L422" t="str">
        <f>HYPERLINK("https://faculty.rpi.edu/fengyan-li","https://faculty.rpi.edu/fengyan-li")</f>
        <v>https://faculty.rpi.edu/fengyan-li</v>
      </c>
    </row>
    <row r="423" spans="1:12" hidden="1" x14ac:dyDescent="0.3">
      <c r="A423">
        <v>422</v>
      </c>
      <c r="B423" t="s">
        <v>996</v>
      </c>
      <c r="C423" t="s">
        <v>973</v>
      </c>
      <c r="D423" t="s">
        <v>31</v>
      </c>
      <c r="E423" t="s">
        <v>997</v>
      </c>
      <c r="F423" t="s">
        <v>16</v>
      </c>
      <c r="G423" t="s">
        <v>17</v>
      </c>
      <c r="H423" t="s">
        <v>495</v>
      </c>
      <c r="I423">
        <v>2</v>
      </c>
      <c r="J423" t="s">
        <v>19</v>
      </c>
      <c r="K423">
        <v>1</v>
      </c>
      <c r="L423" t="str">
        <f>HYPERLINK("https://faculty.rpi.edu/chjan-lim","https://faculty.rpi.edu/chjan-lim")</f>
        <v>https://faculty.rpi.edu/chjan-lim</v>
      </c>
    </row>
    <row r="424" spans="1:12" hidden="1" x14ac:dyDescent="0.3">
      <c r="A424">
        <v>423</v>
      </c>
      <c r="B424" t="s">
        <v>998</v>
      </c>
      <c r="C424" t="s">
        <v>973</v>
      </c>
      <c r="D424" t="s">
        <v>31</v>
      </c>
      <c r="E424" t="s">
        <v>999</v>
      </c>
      <c r="F424" t="s">
        <v>16</v>
      </c>
      <c r="G424" t="s">
        <v>17</v>
      </c>
      <c r="H424" t="s">
        <v>213</v>
      </c>
      <c r="I424">
        <v>23</v>
      </c>
      <c r="J424" t="s">
        <v>19</v>
      </c>
      <c r="K424">
        <v>1</v>
      </c>
      <c r="L424" t="str">
        <f>HYPERLINK("https://faculty.rpi.edu/yuri-lvov","https://faculty.rpi.edu/yuri-lvov")</f>
        <v>https://faculty.rpi.edu/yuri-lvov</v>
      </c>
    </row>
    <row r="425" spans="1:12" x14ac:dyDescent="0.3">
      <c r="A425">
        <v>1</v>
      </c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">
        <v>17</v>
      </c>
      <c r="H425" t="s">
        <v>18</v>
      </c>
      <c r="I425">
        <v>11</v>
      </c>
      <c r="J425" t="s">
        <v>19</v>
      </c>
      <c r="K425">
        <v>1</v>
      </c>
      <c r="L425" t="str">
        <f>HYPERLINK("https://search.asu.edu/profile/1096980","https://search.asu.edu/profile/1096980")</f>
        <v>https://search.asu.edu/profile/1096980</v>
      </c>
    </row>
    <row r="426" spans="1:12" hidden="1" x14ac:dyDescent="0.3">
      <c r="A426">
        <v>425</v>
      </c>
      <c r="B426" t="s">
        <v>1004</v>
      </c>
      <c r="C426" t="s">
        <v>1001</v>
      </c>
      <c r="D426" t="s">
        <v>31</v>
      </c>
      <c r="E426" t="s">
        <v>1005</v>
      </c>
      <c r="F426" t="s">
        <v>27</v>
      </c>
      <c r="G426" t="s">
        <v>1003</v>
      </c>
      <c r="H426" t="s">
        <v>45</v>
      </c>
      <c r="I426">
        <v>39</v>
      </c>
      <c r="J426" t="s">
        <v>19</v>
      </c>
      <c r="K426">
        <v>1</v>
      </c>
      <c r="L426" t="str">
        <f>HYPERLINK("https://profiles.rice.edu/faculty/beatrice-riviere","https://profiles.rice.edu/faculty/beatrice-riviere")</f>
        <v>https://profiles.rice.edu/faculty/beatrice-riviere</v>
      </c>
    </row>
    <row r="427" spans="1:12" x14ac:dyDescent="0.3">
      <c r="A427">
        <v>2</v>
      </c>
      <c r="B427" t="s">
        <v>20</v>
      </c>
      <c r="C427" t="s">
        <v>13</v>
      </c>
      <c r="D427" t="s">
        <v>14</v>
      </c>
      <c r="E427" t="s">
        <v>21</v>
      </c>
      <c r="F427" t="s">
        <v>22</v>
      </c>
      <c r="G427" t="s">
        <v>23</v>
      </c>
      <c r="H427" t="s">
        <v>24</v>
      </c>
      <c r="I427">
        <v>18</v>
      </c>
      <c r="J427" t="s">
        <v>19</v>
      </c>
      <c r="K427">
        <v>1</v>
      </c>
      <c r="L427" t="str">
        <f>HYPERLINK("https://search.asu.edu/profile/1348363","https://search.asu.edu/profile/1348363")</f>
        <v>https://search.asu.edu/profile/1348363</v>
      </c>
    </row>
    <row r="428" spans="1:12" x14ac:dyDescent="0.3">
      <c r="A428">
        <v>3</v>
      </c>
      <c r="B428" t="s">
        <v>25</v>
      </c>
      <c r="C428" t="s">
        <v>13</v>
      </c>
      <c r="D428" t="s">
        <v>14</v>
      </c>
      <c r="E428" t="s">
        <v>26</v>
      </c>
      <c r="F428" t="s">
        <v>27</v>
      </c>
      <c r="G428" t="s">
        <v>28</v>
      </c>
      <c r="H428" t="s">
        <v>29</v>
      </c>
      <c r="I428">
        <v>6</v>
      </c>
      <c r="J428" t="s">
        <v>19</v>
      </c>
      <c r="K428">
        <v>1</v>
      </c>
      <c r="L428" t="str">
        <f>HYPERLINK("https://search.asu.edu/profile/25920","https://search.asu.edu/profile/25920")</f>
        <v>https://search.asu.edu/profile/25920</v>
      </c>
    </row>
    <row r="429" spans="1:12" hidden="1" x14ac:dyDescent="0.3">
      <c r="A429">
        <v>428</v>
      </c>
      <c r="B429" t="s">
        <v>1010</v>
      </c>
      <c r="C429" t="s">
        <v>1001</v>
      </c>
      <c r="D429" t="s">
        <v>31</v>
      </c>
      <c r="E429" t="s">
        <v>1011</v>
      </c>
      <c r="F429" t="s">
        <v>27</v>
      </c>
      <c r="G429" t="s">
        <v>1003</v>
      </c>
      <c r="H429" t="s">
        <v>146</v>
      </c>
      <c r="I429">
        <v>12</v>
      </c>
      <c r="J429" t="s">
        <v>19</v>
      </c>
      <c r="K429">
        <v>1</v>
      </c>
      <c r="L429" t="str">
        <f>HYPERLINK("https://profiles.rice.edu/faculty/thomas-g-anderson","https://profiles.rice.edu/faculty/thomas-g-anderson")</f>
        <v>https://profiles.rice.edu/faculty/thomas-g-anderson</v>
      </c>
    </row>
    <row r="430" spans="1:12" x14ac:dyDescent="0.3">
      <c r="A430">
        <v>6</v>
      </c>
      <c r="B430" t="s">
        <v>37</v>
      </c>
      <c r="C430" t="s">
        <v>13</v>
      </c>
      <c r="D430" t="s">
        <v>14</v>
      </c>
      <c r="E430" t="s">
        <v>38</v>
      </c>
      <c r="F430" t="s">
        <v>27</v>
      </c>
      <c r="G430" t="s">
        <v>28</v>
      </c>
      <c r="H430" t="s">
        <v>39</v>
      </c>
      <c r="I430">
        <v>31</v>
      </c>
      <c r="J430" t="s">
        <v>19</v>
      </c>
      <c r="K430">
        <v>1</v>
      </c>
      <c r="L430" t="str">
        <f>HYPERLINK("https://search.asu.edu/profile/2916960","https://search.asu.edu/profile/2916960")</f>
        <v>https://search.asu.edu/profile/2916960</v>
      </c>
    </row>
    <row r="431" spans="1:12" x14ac:dyDescent="0.3">
      <c r="A431">
        <v>9</v>
      </c>
      <c r="B431" t="s">
        <v>46</v>
      </c>
      <c r="C431" t="s">
        <v>47</v>
      </c>
      <c r="D431" t="s">
        <v>48</v>
      </c>
      <c r="E431" t="s">
        <v>49</v>
      </c>
      <c r="F431" t="s">
        <v>22</v>
      </c>
      <c r="G431" t="s">
        <v>23</v>
      </c>
      <c r="H431" t="s">
        <v>50</v>
      </c>
      <c r="I431">
        <v>31</v>
      </c>
      <c r="J431" t="s">
        <v>19</v>
      </c>
      <c r="K431">
        <v>1</v>
      </c>
      <c r="L431" t="str">
        <f>HYPERLINK("https://eng.auburn.edu/directory/thurobs","https://eng.auburn.edu/directory/thurobs")</f>
        <v>https://eng.auburn.edu/directory/thurobs</v>
      </c>
    </row>
    <row r="432" spans="1:12" x14ac:dyDescent="0.3">
      <c r="A432">
        <v>10</v>
      </c>
      <c r="B432" t="s">
        <v>51</v>
      </c>
      <c r="C432" t="s">
        <v>47</v>
      </c>
      <c r="D432" t="s">
        <v>48</v>
      </c>
      <c r="E432" t="s">
        <v>52</v>
      </c>
      <c r="F432" t="s">
        <v>16</v>
      </c>
      <c r="G432" t="s">
        <v>17</v>
      </c>
      <c r="H432" t="s">
        <v>53</v>
      </c>
      <c r="I432">
        <v>0</v>
      </c>
      <c r="J432" t="s">
        <v>19</v>
      </c>
      <c r="K432">
        <v>1</v>
      </c>
      <c r="L432" t="str">
        <f>HYPERLINK("https://eng.auburn.edu/directory/jzm0052","https://eng.auburn.edu/directory/jzm0052")</f>
        <v>https://eng.auburn.edu/directory/jzm0052</v>
      </c>
    </row>
    <row r="433" spans="1:12" x14ac:dyDescent="0.3">
      <c r="A433">
        <v>11</v>
      </c>
      <c r="B433" t="s">
        <v>54</v>
      </c>
      <c r="C433" t="s">
        <v>47</v>
      </c>
      <c r="D433" t="s">
        <v>48</v>
      </c>
      <c r="E433" t="s">
        <v>55</v>
      </c>
      <c r="F433" t="s">
        <v>16</v>
      </c>
      <c r="G433" t="s">
        <v>17</v>
      </c>
      <c r="H433" t="s">
        <v>45</v>
      </c>
      <c r="I433">
        <v>42</v>
      </c>
      <c r="J433" t="s">
        <v>19</v>
      </c>
      <c r="K433">
        <v>1</v>
      </c>
      <c r="L433" t="str">
        <f>HYPERLINK("https://eng.auburn.edu/directory/hartfrj","https://eng.auburn.edu/directory/hartfrj")</f>
        <v>https://eng.auburn.edu/directory/hartfrj</v>
      </c>
    </row>
    <row r="434" spans="1:12" x14ac:dyDescent="0.3">
      <c r="A434">
        <v>13</v>
      </c>
      <c r="B434" t="s">
        <v>60</v>
      </c>
      <c r="C434" t="s">
        <v>47</v>
      </c>
      <c r="D434" t="s">
        <v>48</v>
      </c>
      <c r="E434" t="s">
        <v>61</v>
      </c>
      <c r="F434" t="s">
        <v>62</v>
      </c>
      <c r="G434" t="s">
        <v>63</v>
      </c>
      <c r="H434" t="s">
        <v>64</v>
      </c>
      <c r="I434">
        <v>14</v>
      </c>
      <c r="J434" t="s">
        <v>19</v>
      </c>
      <c r="K434">
        <v>1</v>
      </c>
      <c r="L434" t="str">
        <f>HYPERLINK("https://eng.auburn.edu/directory/nzs0089","https://eng.auburn.edu/directory/nzs0089")</f>
        <v>https://eng.auburn.edu/directory/nzs0089</v>
      </c>
    </row>
    <row r="435" spans="1:12" x14ac:dyDescent="0.3">
      <c r="A435">
        <v>14</v>
      </c>
      <c r="B435" t="s">
        <v>65</v>
      </c>
      <c r="C435" t="s">
        <v>47</v>
      </c>
      <c r="D435" t="s">
        <v>48</v>
      </c>
      <c r="E435" t="s">
        <v>66</v>
      </c>
      <c r="F435" t="s">
        <v>22</v>
      </c>
      <c r="G435" t="s">
        <v>23</v>
      </c>
      <c r="H435" t="s">
        <v>67</v>
      </c>
      <c r="I435">
        <v>19</v>
      </c>
      <c r="J435" t="s">
        <v>19</v>
      </c>
      <c r="K435">
        <v>1</v>
      </c>
      <c r="L435" t="str">
        <f>HYPERLINK("https://eng.auburn.edu/directory/des0018","https://eng.auburn.edu/directory/des0018")</f>
        <v>https://eng.auburn.edu/directory/des0018</v>
      </c>
    </row>
    <row r="436" spans="1:12" x14ac:dyDescent="0.3">
      <c r="A436">
        <v>15</v>
      </c>
      <c r="B436" t="s">
        <v>68</v>
      </c>
      <c r="C436" t="s">
        <v>47</v>
      </c>
      <c r="D436" t="s">
        <v>48</v>
      </c>
      <c r="E436" t="s">
        <v>69</v>
      </c>
      <c r="F436" t="s">
        <v>27</v>
      </c>
      <c r="G436" t="s">
        <v>28</v>
      </c>
      <c r="H436" t="s">
        <v>70</v>
      </c>
      <c r="I436">
        <v>63</v>
      </c>
      <c r="J436" t="s">
        <v>19</v>
      </c>
      <c r="K436">
        <v>1</v>
      </c>
      <c r="L436" t="str">
        <f>HYPERLINK("https://eng.auburn.edu/directory/imonchakraborty","https://eng.auburn.edu/directory/imonchakraborty")</f>
        <v>https://eng.auburn.edu/directory/imonchakraborty</v>
      </c>
    </row>
    <row r="437" spans="1:12" x14ac:dyDescent="0.3">
      <c r="A437">
        <v>16</v>
      </c>
      <c r="B437" t="s">
        <v>71</v>
      </c>
      <c r="C437" t="s">
        <v>47</v>
      </c>
      <c r="D437" t="s">
        <v>48</v>
      </c>
      <c r="E437" t="s">
        <v>72</v>
      </c>
      <c r="F437" t="s">
        <v>27</v>
      </c>
      <c r="G437" t="s">
        <v>28</v>
      </c>
      <c r="H437" t="s">
        <v>70</v>
      </c>
      <c r="I437">
        <v>23</v>
      </c>
      <c r="J437" t="s">
        <v>19</v>
      </c>
      <c r="K437">
        <v>1</v>
      </c>
      <c r="L437" t="str">
        <f>HYPERLINK("https://eng.auburn.edu/directory/guzzetti","https://eng.auburn.edu/directory/guzzetti")</f>
        <v>https://eng.auburn.edu/directory/guzzetti</v>
      </c>
    </row>
    <row r="438" spans="1:12" x14ac:dyDescent="0.3">
      <c r="A438">
        <v>17</v>
      </c>
      <c r="B438" t="s">
        <v>73</v>
      </c>
      <c r="C438" t="s">
        <v>47</v>
      </c>
      <c r="D438" t="s">
        <v>48</v>
      </c>
      <c r="E438" t="s">
        <v>74</v>
      </c>
      <c r="F438" t="s">
        <v>27</v>
      </c>
      <c r="G438" t="s">
        <v>28</v>
      </c>
      <c r="H438" t="s">
        <v>75</v>
      </c>
      <c r="I438">
        <v>57</v>
      </c>
      <c r="J438" t="s">
        <v>19</v>
      </c>
      <c r="K438">
        <v>1</v>
      </c>
      <c r="L438" t="str">
        <f>HYPERLINK("https://eng.auburn.edu/directory/etaheri","https://eng.auburn.edu/directory/etaheri")</f>
        <v>https://eng.auburn.edu/directory/etaheri</v>
      </c>
    </row>
    <row r="439" spans="1:12" x14ac:dyDescent="0.3">
      <c r="A439">
        <v>18</v>
      </c>
      <c r="B439" t="s">
        <v>76</v>
      </c>
      <c r="C439" t="s">
        <v>47</v>
      </c>
      <c r="D439" t="s">
        <v>14</v>
      </c>
      <c r="E439" t="s">
        <v>57</v>
      </c>
      <c r="F439" t="s">
        <v>16</v>
      </c>
      <c r="G439" t="s">
        <v>17</v>
      </c>
      <c r="H439" t="s">
        <v>58</v>
      </c>
      <c r="I439">
        <v>0</v>
      </c>
      <c r="J439" t="s">
        <v>19</v>
      </c>
      <c r="K439">
        <v>1</v>
      </c>
      <c r="L439" t="str">
        <f>HYPERLINK("https://eng.auburn.edu/directory/khodajm","https://eng.auburn.edu/directory/khodajm")</f>
        <v>https://eng.auburn.edu/directory/khodajm</v>
      </c>
    </row>
    <row r="440" spans="1:12" x14ac:dyDescent="0.3">
      <c r="A440">
        <v>19</v>
      </c>
      <c r="B440" t="s">
        <v>77</v>
      </c>
      <c r="C440" t="s">
        <v>78</v>
      </c>
      <c r="D440" t="s">
        <v>14</v>
      </c>
      <c r="E440" t="s">
        <v>79</v>
      </c>
      <c r="F440" t="s">
        <v>16</v>
      </c>
      <c r="G440" t="s">
        <v>17</v>
      </c>
      <c r="H440" t="s">
        <v>80</v>
      </c>
      <c r="I440">
        <v>25</v>
      </c>
      <c r="J440" t="s">
        <v>19</v>
      </c>
      <c r="K440">
        <v>1</v>
      </c>
      <c r="L440" t="str">
        <f>HYPERLINK("https://www.binghamton.edu/apps/directory/person/profile/pchiarot","https://www.binghamton.edu/apps/directory/person/profile/pchiarot")</f>
        <v>https://www.binghamton.edu/apps/directory/person/profile/pchiarot</v>
      </c>
    </row>
    <row r="441" spans="1:12" x14ac:dyDescent="0.3">
      <c r="A441">
        <v>20</v>
      </c>
      <c r="B441" t="s">
        <v>81</v>
      </c>
      <c r="C441" t="s">
        <v>78</v>
      </c>
      <c r="D441" t="s">
        <v>14</v>
      </c>
      <c r="E441" t="s">
        <v>82</v>
      </c>
      <c r="F441" t="s">
        <v>83</v>
      </c>
      <c r="G441" t="s">
        <v>84</v>
      </c>
      <c r="H441" t="s">
        <v>85</v>
      </c>
      <c r="I441">
        <v>23</v>
      </c>
      <c r="J441" t="s">
        <v>19</v>
      </c>
      <c r="K441">
        <v>1</v>
      </c>
      <c r="L441" t="str">
        <f>HYPERLINK("https://www.binghamton.edu/apps/directory/person/profile/jtan","https://www.binghamton.edu/apps/directory/person/profile/jtan")</f>
        <v>https://www.binghamton.edu/apps/directory/person/profile/jtan</v>
      </c>
    </row>
    <row r="442" spans="1:12" hidden="1" x14ac:dyDescent="0.3">
      <c r="A442">
        <v>441</v>
      </c>
      <c r="B442" t="s">
        <v>1035</v>
      </c>
      <c r="C442" t="s">
        <v>1017</v>
      </c>
      <c r="D442" t="s">
        <v>31</v>
      </c>
      <c r="E442" t="s">
        <v>1036</v>
      </c>
      <c r="F442" t="s">
        <v>114</v>
      </c>
      <c r="G442" t="s">
        <v>115</v>
      </c>
      <c r="H442" t="s">
        <v>109</v>
      </c>
      <c r="I442">
        <v>15</v>
      </c>
      <c r="J442" t="s">
        <v>116</v>
      </c>
      <c r="K442">
        <v>3</v>
      </c>
      <c r="L442" t="str">
        <f>HYPERLINK("https://math.rutgers.edu/people/department-directory/detail/344-department-directory/1822-vogelius-michael","https://math.rutgers.edu/people/department-directory/detail/344-department-directory/1822-vogelius-michael")</f>
        <v>https://math.rutgers.edu/people/department-directory/detail/344-department-directory/1822-vogelius-michael</v>
      </c>
    </row>
    <row r="443" spans="1:12" x14ac:dyDescent="0.3">
      <c r="A443">
        <v>21</v>
      </c>
      <c r="B443" t="s">
        <v>86</v>
      </c>
      <c r="C443" t="s">
        <v>78</v>
      </c>
      <c r="D443" t="s">
        <v>14</v>
      </c>
      <c r="E443" t="s">
        <v>87</v>
      </c>
      <c r="F443" t="s">
        <v>62</v>
      </c>
      <c r="G443" t="s">
        <v>63</v>
      </c>
      <c r="H443" t="s">
        <v>88</v>
      </c>
      <c r="I443">
        <v>15</v>
      </c>
      <c r="J443" t="s">
        <v>19</v>
      </c>
      <c r="K443">
        <v>1</v>
      </c>
      <c r="L443" t="str">
        <f>HYPERLINK("https://www.binghamton.edu/mechanical-engineering/people/profile.html?id=cdaskiran","https://www.binghamton.edu/mechanical-engineering/people/profile.html?id=cdaskiran")</f>
        <v>https://www.binghamton.edu/mechanical-engineering/people/profile.html?id=cdaskiran</v>
      </c>
    </row>
    <row r="444" spans="1:12" x14ac:dyDescent="0.3">
      <c r="A444">
        <v>22</v>
      </c>
      <c r="B444" t="s">
        <v>89</v>
      </c>
      <c r="C444" t="s">
        <v>90</v>
      </c>
      <c r="D444" t="s">
        <v>14</v>
      </c>
      <c r="E444" t="s">
        <v>91</v>
      </c>
      <c r="F444" t="s">
        <v>22</v>
      </c>
      <c r="G444" t="s">
        <v>23</v>
      </c>
      <c r="H444" t="s">
        <v>92</v>
      </c>
      <c r="I444">
        <v>24</v>
      </c>
      <c r="J444" t="s">
        <v>19</v>
      </c>
      <c r="K444">
        <v>1</v>
      </c>
      <c r="L444" t="str">
        <f>HYPERLINK("https://www.bu.edu/eng/profile/sheryl-grace-ph-d/","https://www.bu.edu/eng/profile/sheryl-grace-ph-d/")</f>
        <v>https://www.bu.edu/eng/profile/sheryl-grace-ph-d/</v>
      </c>
    </row>
    <row r="445" spans="1:12" x14ac:dyDescent="0.3">
      <c r="A445">
        <v>23</v>
      </c>
      <c r="B445" t="s">
        <v>93</v>
      </c>
      <c r="C445" t="s">
        <v>90</v>
      </c>
      <c r="D445" t="s">
        <v>14</v>
      </c>
      <c r="E445" t="s">
        <v>94</v>
      </c>
      <c r="F445" t="s">
        <v>27</v>
      </c>
      <c r="G445" t="s">
        <v>28</v>
      </c>
      <c r="H445" t="s">
        <v>95</v>
      </c>
      <c r="I445">
        <v>15</v>
      </c>
      <c r="J445" t="s">
        <v>19</v>
      </c>
      <c r="K445">
        <v>1</v>
      </c>
      <c r="L445" t="str">
        <f>HYPERLINK("https://www.bu.edu/eng/profile/james-c-bird-phd/","https://www.bu.edu/eng/profile/james-c-bird-phd/")</f>
        <v>https://www.bu.edu/eng/profile/james-c-bird-phd/</v>
      </c>
    </row>
    <row r="446" spans="1:12" x14ac:dyDescent="0.3">
      <c r="A446">
        <v>24</v>
      </c>
      <c r="B446" t="s">
        <v>96</v>
      </c>
      <c r="C446" t="s">
        <v>90</v>
      </c>
      <c r="D446" t="s">
        <v>14</v>
      </c>
      <c r="E446" t="s">
        <v>97</v>
      </c>
      <c r="F446" t="s">
        <v>27</v>
      </c>
      <c r="G446" t="s">
        <v>28</v>
      </c>
      <c r="H446" t="s">
        <v>98</v>
      </c>
      <c r="I446">
        <v>14</v>
      </c>
      <c r="J446" t="s">
        <v>19</v>
      </c>
      <c r="K446">
        <v>1</v>
      </c>
      <c r="L446" t="str">
        <f>HYPERLINK("https://www.bu.edu/eng/profile/douglas-holmes-phd/","https://www.bu.edu/eng/profile/douglas-holmes-phd/")</f>
        <v>https://www.bu.edu/eng/profile/douglas-holmes-phd/</v>
      </c>
    </row>
    <row r="447" spans="1:12" x14ac:dyDescent="0.3">
      <c r="A447">
        <v>28</v>
      </c>
      <c r="B447" t="s">
        <v>107</v>
      </c>
      <c r="C447" t="s">
        <v>90</v>
      </c>
      <c r="D447" t="s">
        <v>14</v>
      </c>
      <c r="E447" t="s">
        <v>108</v>
      </c>
      <c r="F447" t="s">
        <v>27</v>
      </c>
      <c r="G447" t="s">
        <v>28</v>
      </c>
      <c r="H447" t="s">
        <v>109</v>
      </c>
      <c r="I447">
        <v>45</v>
      </c>
      <c r="J447" t="s">
        <v>19</v>
      </c>
      <c r="K447">
        <v>1</v>
      </c>
      <c r="L447" t="str">
        <f>HYPERLINK("https://www.bu.edu/eng/profile/sean-andersson-phd/","https://www.bu.edu/eng/profile/sean-andersson-phd/")</f>
        <v>https://www.bu.edu/eng/profile/sean-andersson-phd/</v>
      </c>
    </row>
    <row r="448" spans="1:12" x14ac:dyDescent="0.3">
      <c r="A448">
        <v>29</v>
      </c>
      <c r="B448" t="s">
        <v>110</v>
      </c>
      <c r="C448" t="s">
        <v>111</v>
      </c>
      <c r="D448" t="s">
        <v>112</v>
      </c>
      <c r="E448" t="s">
        <v>113</v>
      </c>
      <c r="F448" t="s">
        <v>114</v>
      </c>
      <c r="G448" t="s">
        <v>115</v>
      </c>
      <c r="H448" t="s">
        <v>29</v>
      </c>
      <c r="I448">
        <v>60</v>
      </c>
      <c r="J448" t="s">
        <v>116</v>
      </c>
      <c r="K448">
        <v>1</v>
      </c>
      <c r="L448" t="str">
        <f>HYPERLINK("https://engineering.brown.edu/people/faculty/faculty-area/fluids-and-thermal-sciences-faculty","https://engineering.brown.edu/people/faculty/faculty-area/fluids-and-thermal-sciences-faculty")</f>
        <v>https://engineering.brown.edu/people/faculty/faculty-area/fluids-and-thermal-sciences-faculty</v>
      </c>
    </row>
    <row r="449" spans="1:12" x14ac:dyDescent="0.3">
      <c r="A449">
        <v>30</v>
      </c>
      <c r="B449" t="s">
        <v>117</v>
      </c>
      <c r="C449" t="s">
        <v>111</v>
      </c>
      <c r="D449" t="s">
        <v>112</v>
      </c>
      <c r="E449" t="s">
        <v>118</v>
      </c>
      <c r="F449" t="s">
        <v>114</v>
      </c>
      <c r="G449" t="s">
        <v>115</v>
      </c>
      <c r="H449" t="s">
        <v>119</v>
      </c>
      <c r="I449">
        <v>73</v>
      </c>
      <c r="J449" t="s">
        <v>116</v>
      </c>
      <c r="K449">
        <v>1</v>
      </c>
      <c r="L449" t="str">
        <f>HYPERLINK("https://engineering.brown.edu/people/faculty/faculty-area/fluids-and-thermal-sciences-faculty","https://engineering.brown.edu/people/faculty/faculty-area/fluids-and-thermal-sciences-faculty")</f>
        <v>https://engineering.brown.edu/people/faculty/faculty-area/fluids-and-thermal-sciences-faculty</v>
      </c>
    </row>
    <row r="450" spans="1:12" x14ac:dyDescent="0.3">
      <c r="A450">
        <v>31</v>
      </c>
      <c r="B450" t="s">
        <v>120</v>
      </c>
      <c r="C450" t="s">
        <v>111</v>
      </c>
      <c r="D450" t="s">
        <v>112</v>
      </c>
      <c r="E450" t="s">
        <v>121</v>
      </c>
      <c r="F450" t="s">
        <v>114</v>
      </c>
      <c r="G450" t="s">
        <v>115</v>
      </c>
      <c r="H450" t="s">
        <v>36</v>
      </c>
      <c r="I450">
        <v>24</v>
      </c>
      <c r="J450" t="s">
        <v>116</v>
      </c>
      <c r="K450">
        <v>1</v>
      </c>
      <c r="L450" t="str">
        <f>HYPERLINK("https://engineering.brown.edu/people/faculty/faculty-area/fluids-and-thermal-sciences-faculty","https://engineering.brown.edu/people/faculty/faculty-area/fluids-and-thermal-sciences-faculty")</f>
        <v>https://engineering.brown.edu/people/faculty/faculty-area/fluids-and-thermal-sciences-faculty</v>
      </c>
    </row>
    <row r="451" spans="1:12" x14ac:dyDescent="0.3">
      <c r="A451">
        <v>32</v>
      </c>
      <c r="B451" t="s">
        <v>122</v>
      </c>
      <c r="C451" t="s">
        <v>111</v>
      </c>
      <c r="D451" t="s">
        <v>112</v>
      </c>
      <c r="E451" t="s">
        <v>123</v>
      </c>
      <c r="F451" t="s">
        <v>114</v>
      </c>
      <c r="G451" t="s">
        <v>115</v>
      </c>
      <c r="H451" t="s">
        <v>124</v>
      </c>
      <c r="I451">
        <v>36</v>
      </c>
      <c r="J451" t="s">
        <v>116</v>
      </c>
      <c r="K451">
        <v>1</v>
      </c>
      <c r="L451" t="str">
        <f>HYPERLINK("https://engineering.brown.edu/people/faculty/faculty-area/fluids-and-thermal-sciences-faculty","https://engineering.brown.edu/people/faculty/faculty-area/fluids-and-thermal-sciences-faculty")</f>
        <v>https://engineering.brown.edu/people/faculty/faculty-area/fluids-and-thermal-sciences-faculty</v>
      </c>
    </row>
    <row r="452" spans="1:12" x14ac:dyDescent="0.3">
      <c r="A452">
        <v>33</v>
      </c>
      <c r="B452" t="s">
        <v>125</v>
      </c>
      <c r="C452" t="s">
        <v>111</v>
      </c>
      <c r="D452" t="s">
        <v>112</v>
      </c>
      <c r="E452" t="s">
        <v>126</v>
      </c>
      <c r="F452" t="s">
        <v>114</v>
      </c>
      <c r="G452" t="s">
        <v>115</v>
      </c>
      <c r="H452" t="s">
        <v>127</v>
      </c>
      <c r="I452">
        <v>38</v>
      </c>
      <c r="J452" t="s">
        <v>116</v>
      </c>
      <c r="K452">
        <v>1</v>
      </c>
      <c r="L452" t="str">
        <f>HYPERLINK("https://engineering.brown.edu/people/faculty/faculty-area/fluids-and-thermal-sciences-faculty","https://engineering.brown.edu/people/faculty/faculty-area/fluids-and-thermal-sciences-faculty")</f>
        <v>https://engineering.brown.edu/people/faculty/faculty-area/fluids-and-thermal-sciences-faculty</v>
      </c>
    </row>
    <row r="453" spans="1:12" x14ac:dyDescent="0.3">
      <c r="A453">
        <v>34</v>
      </c>
      <c r="B453" t="s">
        <v>128</v>
      </c>
      <c r="C453" t="s">
        <v>111</v>
      </c>
      <c r="D453" t="s">
        <v>112</v>
      </c>
      <c r="E453" t="s">
        <v>129</v>
      </c>
      <c r="F453" t="s">
        <v>114</v>
      </c>
      <c r="G453" t="s">
        <v>115</v>
      </c>
      <c r="H453" t="s">
        <v>24</v>
      </c>
      <c r="I453">
        <v>326</v>
      </c>
      <c r="J453" t="s">
        <v>116</v>
      </c>
      <c r="K453">
        <v>1</v>
      </c>
      <c r="L453" t="str">
        <f>HYPERLINK("https://appliedmath.brown.edu/people/faculty","https://appliedmath.brown.edu/people/faculty")</f>
        <v>https://appliedmath.brown.edu/people/faculty</v>
      </c>
    </row>
    <row r="454" spans="1:12" x14ac:dyDescent="0.3">
      <c r="A454">
        <v>42</v>
      </c>
      <c r="B454" t="s">
        <v>148</v>
      </c>
      <c r="C454" t="s">
        <v>149</v>
      </c>
      <c r="D454" t="s">
        <v>48</v>
      </c>
      <c r="E454" t="s">
        <v>150</v>
      </c>
      <c r="F454" t="s">
        <v>151</v>
      </c>
      <c r="G454" t="s">
        <v>152</v>
      </c>
      <c r="H454" t="s">
        <v>153</v>
      </c>
      <c r="I454">
        <v>26</v>
      </c>
      <c r="J454" t="s">
        <v>154</v>
      </c>
      <c r="K454">
        <v>1</v>
      </c>
      <c r="L454" t="str">
        <f>HYPERLINK("https://aerospace.caltech.edu/people/jmaustin","https://aerospace.caltech.edu/people/jmaustin")</f>
        <v>https://aerospace.caltech.edu/people/jmaustin</v>
      </c>
    </row>
    <row r="455" spans="1:12" x14ac:dyDescent="0.3">
      <c r="A455">
        <v>43</v>
      </c>
      <c r="B455" t="s">
        <v>155</v>
      </c>
      <c r="C455" t="s">
        <v>149</v>
      </c>
      <c r="D455" t="s">
        <v>48</v>
      </c>
      <c r="E455" t="s">
        <v>156</v>
      </c>
      <c r="F455" t="s">
        <v>151</v>
      </c>
      <c r="G455" t="s">
        <v>152</v>
      </c>
      <c r="H455" t="s">
        <v>127</v>
      </c>
      <c r="I455">
        <v>28</v>
      </c>
      <c r="J455" t="s">
        <v>154</v>
      </c>
      <c r="K455">
        <v>1</v>
      </c>
      <c r="L455" t="str">
        <f>HYPERLINK("https://aerospace.caltech.edu/people/jbae","https://aerospace.caltech.edu/people/jbae")</f>
        <v>https://aerospace.caltech.edu/people/jbae</v>
      </c>
    </row>
    <row r="456" spans="1:12" hidden="1" x14ac:dyDescent="0.3">
      <c r="A456">
        <v>455</v>
      </c>
      <c r="B456" t="s">
        <v>1066</v>
      </c>
      <c r="C456" t="s">
        <v>1060</v>
      </c>
      <c r="D456" t="s">
        <v>31</v>
      </c>
      <c r="E456" t="s">
        <v>1067</v>
      </c>
      <c r="F456" t="s">
        <v>114</v>
      </c>
      <c r="G456" t="s">
        <v>115</v>
      </c>
      <c r="H456" t="s">
        <v>36</v>
      </c>
      <c r="I456">
        <v>31</v>
      </c>
      <c r="J456" t="s">
        <v>116</v>
      </c>
      <c r="K456">
        <v>3</v>
      </c>
      <c r="L456" t="str">
        <f>HYPERLINK("https://www.stonybrook.edu/mechanical-engineering/people/faculty.html","https://www.stonybrook.edu/mechanical-engineering/people/faculty.html")</f>
        <v>https://www.stonybrook.edu/mechanical-engineering/people/faculty.html</v>
      </c>
    </row>
    <row r="457" spans="1:12" hidden="1" x14ac:dyDescent="0.3">
      <c r="A457">
        <v>456</v>
      </c>
      <c r="B457" t="s">
        <v>1068</v>
      </c>
      <c r="C457" t="s">
        <v>1060</v>
      </c>
      <c r="D457" t="s">
        <v>31</v>
      </c>
      <c r="E457" t="s">
        <v>1069</v>
      </c>
      <c r="F457" t="s">
        <v>114</v>
      </c>
      <c r="G457" t="s">
        <v>115</v>
      </c>
      <c r="H457" t="s">
        <v>200</v>
      </c>
      <c r="I457">
        <v>34</v>
      </c>
      <c r="J457" t="s">
        <v>116</v>
      </c>
      <c r="K457">
        <v>3</v>
      </c>
      <c r="L457" t="str">
        <f>HYPERLINK("https://www.stonybrook.edu/mechanical-engineering/people/faculty.html","https://www.stonybrook.edu/mechanical-engineering/people/faculty.html")</f>
        <v>https://www.stonybrook.edu/mechanical-engineering/people/faculty.html</v>
      </c>
    </row>
    <row r="458" spans="1:12" hidden="1" x14ac:dyDescent="0.3">
      <c r="A458">
        <v>457</v>
      </c>
      <c r="B458" t="s">
        <v>1070</v>
      </c>
      <c r="C458" t="s">
        <v>1060</v>
      </c>
      <c r="D458" t="s">
        <v>31</v>
      </c>
      <c r="E458" t="s">
        <v>1071</v>
      </c>
      <c r="F458" t="s">
        <v>22</v>
      </c>
      <c r="G458" t="s">
        <v>23</v>
      </c>
      <c r="H458" t="s">
        <v>67</v>
      </c>
      <c r="I458">
        <v>25</v>
      </c>
      <c r="J458" t="s">
        <v>19</v>
      </c>
      <c r="K458">
        <v>1</v>
      </c>
      <c r="L458" t="str">
        <f>HYPERLINK("https://www.stonybrook.edu/ams/research/computational-applied-mathematics.html","https://www.stonybrook.edu/ams/research/computational-applied-mathematics.html")</f>
        <v>https://www.stonybrook.edu/ams/research/computational-applied-mathematics.html</v>
      </c>
    </row>
    <row r="459" spans="1:12" hidden="1" x14ac:dyDescent="0.3">
      <c r="A459">
        <v>458</v>
      </c>
      <c r="B459" t="s">
        <v>1072</v>
      </c>
      <c r="C459" t="s">
        <v>1060</v>
      </c>
      <c r="D459" t="s">
        <v>31</v>
      </c>
      <c r="E459" t="s">
        <v>1073</v>
      </c>
      <c r="F459" t="s">
        <v>22</v>
      </c>
      <c r="G459" t="s">
        <v>23</v>
      </c>
      <c r="H459" t="s">
        <v>92</v>
      </c>
      <c r="I459">
        <v>19</v>
      </c>
      <c r="J459" t="s">
        <v>19</v>
      </c>
      <c r="K459">
        <v>1</v>
      </c>
      <c r="L459" t="str">
        <f>HYPERLINK("https://www.stonybrook.edu/ams/research/computational-applied-mathematics.html","https://www.stonybrook.edu/ams/research/computational-applied-mathematics.html")</f>
        <v>https://www.stonybrook.edu/ams/research/computational-applied-mathematics.html</v>
      </c>
    </row>
    <row r="460" spans="1:12" hidden="1" x14ac:dyDescent="0.3">
      <c r="A460">
        <v>459</v>
      </c>
      <c r="B460" t="s">
        <v>1074</v>
      </c>
      <c r="C460" t="s">
        <v>1060</v>
      </c>
      <c r="D460" t="s">
        <v>31</v>
      </c>
      <c r="E460" t="s">
        <v>1075</v>
      </c>
      <c r="F460" t="s">
        <v>22</v>
      </c>
      <c r="G460" t="s">
        <v>23</v>
      </c>
      <c r="H460" t="s">
        <v>539</v>
      </c>
      <c r="I460">
        <v>51</v>
      </c>
      <c r="J460" t="s">
        <v>19</v>
      </c>
      <c r="K460">
        <v>1</v>
      </c>
      <c r="L460" t="str">
        <f>HYPERLINK("https://www.stonybrook.edu/ams/research/computational-applied-mathematics.html","https://www.stonybrook.edu/ams/research/computational-applied-mathematics.html")</f>
        <v>https://www.stonybrook.edu/ams/research/computational-applied-mathematics.html</v>
      </c>
    </row>
    <row r="461" spans="1:12" x14ac:dyDescent="0.3">
      <c r="A461">
        <v>44</v>
      </c>
      <c r="B461" t="s">
        <v>157</v>
      </c>
      <c r="C461" t="s">
        <v>149</v>
      </c>
      <c r="D461" t="s">
        <v>14</v>
      </c>
      <c r="E461" t="s">
        <v>158</v>
      </c>
      <c r="F461" t="s">
        <v>151</v>
      </c>
      <c r="G461" t="s">
        <v>152</v>
      </c>
      <c r="H461" t="s">
        <v>159</v>
      </c>
      <c r="I461">
        <v>25</v>
      </c>
      <c r="J461" t="s">
        <v>154</v>
      </c>
      <c r="K461">
        <v>1</v>
      </c>
      <c r="L461" t="str">
        <f>HYPERLINK("https://mce.caltech.edu/people/gblanqu","https://mce.caltech.edu/people/gblanqu")</f>
        <v>https://mce.caltech.edu/people/gblanqu</v>
      </c>
    </row>
    <row r="462" spans="1:12" x14ac:dyDescent="0.3">
      <c r="A462">
        <v>45</v>
      </c>
      <c r="B462" t="s">
        <v>160</v>
      </c>
      <c r="C462" t="s">
        <v>149</v>
      </c>
      <c r="D462" t="s">
        <v>161</v>
      </c>
      <c r="E462" t="s">
        <v>162</v>
      </c>
      <c r="F462" t="s">
        <v>27</v>
      </c>
      <c r="G462" t="s">
        <v>28</v>
      </c>
      <c r="H462" t="s">
        <v>80</v>
      </c>
      <c r="I462">
        <v>76</v>
      </c>
      <c r="J462" t="s">
        <v>19</v>
      </c>
      <c r="K462">
        <v>1</v>
      </c>
      <c r="L462" t="str">
        <f>HYPERLINK("https://aerospace.caltech.edu/people/colonius","https://aerospace.caltech.edu/people/colonius")</f>
        <v>https://aerospace.caltech.edu/people/colonius</v>
      </c>
    </row>
    <row r="463" spans="1:12" x14ac:dyDescent="0.3">
      <c r="A463">
        <v>46</v>
      </c>
      <c r="B463" t="s">
        <v>163</v>
      </c>
      <c r="C463" t="s">
        <v>149</v>
      </c>
      <c r="D463" t="s">
        <v>161</v>
      </c>
      <c r="E463" t="s">
        <v>164</v>
      </c>
      <c r="F463" t="s">
        <v>151</v>
      </c>
      <c r="G463" t="s">
        <v>152</v>
      </c>
      <c r="H463" t="s">
        <v>140</v>
      </c>
      <c r="I463">
        <v>44</v>
      </c>
      <c r="J463" t="s">
        <v>154</v>
      </c>
      <c r="K463">
        <v>1</v>
      </c>
      <c r="L463" t="str">
        <f>HYPERLINK("https://aerospace.caltech.edu/people/jodabiri","https://aerospace.caltech.edu/people/jodabiri")</f>
        <v>https://aerospace.caltech.edu/people/jodabiri</v>
      </c>
    </row>
    <row r="464" spans="1:12" x14ac:dyDescent="0.3">
      <c r="A464">
        <v>47</v>
      </c>
      <c r="B464" t="s">
        <v>165</v>
      </c>
      <c r="C464" t="s">
        <v>149</v>
      </c>
      <c r="D464" t="s">
        <v>161</v>
      </c>
      <c r="E464" t="s">
        <v>166</v>
      </c>
      <c r="F464" t="s">
        <v>151</v>
      </c>
      <c r="G464" t="s">
        <v>152</v>
      </c>
      <c r="H464" t="s">
        <v>167</v>
      </c>
      <c r="I464">
        <v>109</v>
      </c>
      <c r="J464" t="s">
        <v>154</v>
      </c>
      <c r="K464">
        <v>1</v>
      </c>
      <c r="L464" t="str">
        <f>HYPERLINK("https://aerospace.caltech.edu/people/mgharib","https://aerospace.caltech.edu/people/mgharib")</f>
        <v>https://aerospace.caltech.edu/people/mgharib</v>
      </c>
    </row>
    <row r="465" spans="1:12" x14ac:dyDescent="0.3">
      <c r="A465">
        <v>49</v>
      </c>
      <c r="B465" t="s">
        <v>170</v>
      </c>
      <c r="C465" t="s">
        <v>149</v>
      </c>
      <c r="D465" t="s">
        <v>48</v>
      </c>
      <c r="E465" t="s">
        <v>171</v>
      </c>
      <c r="F465" t="s">
        <v>27</v>
      </c>
      <c r="G465" t="s">
        <v>28</v>
      </c>
      <c r="H465" t="s">
        <v>172</v>
      </c>
      <c r="I465">
        <v>2</v>
      </c>
      <c r="J465" t="s">
        <v>19</v>
      </c>
      <c r="K465">
        <v>1</v>
      </c>
      <c r="L465" t="str">
        <f>HYPERLINK("https://aerospace.caltech.edu/people/adrianld","https://aerospace.caltech.edu/people/adrianld")</f>
        <v>https://aerospace.caltech.edu/people/adrianld</v>
      </c>
    </row>
    <row r="466" spans="1:12" x14ac:dyDescent="0.3">
      <c r="A466">
        <v>52</v>
      </c>
      <c r="B466" t="s">
        <v>177</v>
      </c>
      <c r="C466" t="s">
        <v>178</v>
      </c>
      <c r="D466" t="s">
        <v>14</v>
      </c>
      <c r="E466" t="s">
        <v>179</v>
      </c>
      <c r="F466" t="s">
        <v>22</v>
      </c>
      <c r="G466" t="s">
        <v>23</v>
      </c>
      <c r="H466" t="s">
        <v>85</v>
      </c>
      <c r="I466">
        <v>224</v>
      </c>
      <c r="J466" t="s">
        <v>19</v>
      </c>
      <c r="K466">
        <v>1</v>
      </c>
      <c r="L466" t="str">
        <f>HYPERLINK("https://www.meche.engineering.cmu.edu/directory/bios/barati-farimani-amir.html","https://www.meche.engineering.cmu.edu/directory/bios/barati-farimani-amir.html")</f>
        <v>https://www.meche.engineering.cmu.edu/directory/bios/barati-farimani-amir.html</v>
      </c>
    </row>
    <row r="467" spans="1:12" x14ac:dyDescent="0.3">
      <c r="A467">
        <v>53</v>
      </c>
      <c r="B467" t="s">
        <v>180</v>
      </c>
      <c r="C467" t="s">
        <v>178</v>
      </c>
      <c r="D467" t="s">
        <v>14</v>
      </c>
      <c r="E467" t="s">
        <v>181</v>
      </c>
      <c r="F467" t="s">
        <v>16</v>
      </c>
      <c r="G467" t="s">
        <v>17</v>
      </c>
      <c r="H467" t="s">
        <v>182</v>
      </c>
      <c r="I467">
        <v>2</v>
      </c>
      <c r="J467" t="s">
        <v>19</v>
      </c>
      <c r="K467">
        <v>1</v>
      </c>
      <c r="L467" t="str">
        <f>HYPERLINK("https://www.meche.engineering.cmu.edu/directory/bios/anna-shelley.html","https://www.meche.engineering.cmu.edu/directory/bios/anna-shelley.html")</f>
        <v>https://www.meche.engineering.cmu.edu/directory/bios/anna-shelley.html</v>
      </c>
    </row>
    <row r="468" spans="1:12" hidden="1" x14ac:dyDescent="0.3">
      <c r="A468">
        <v>467</v>
      </c>
      <c r="B468" t="s">
        <v>1091</v>
      </c>
      <c r="C468" t="s">
        <v>1077</v>
      </c>
      <c r="D468" t="s">
        <v>31</v>
      </c>
      <c r="E468" t="s">
        <v>1092</v>
      </c>
      <c r="F468" t="s">
        <v>114</v>
      </c>
      <c r="G468" t="s">
        <v>115</v>
      </c>
      <c r="H468" t="s">
        <v>85</v>
      </c>
      <c r="I468">
        <v>58</v>
      </c>
      <c r="J468" t="s">
        <v>116</v>
      </c>
      <c r="K468">
        <v>3</v>
      </c>
      <c r="L468" t="str">
        <f>HYPERLINK("https://ecs.syracuse.edu/faculty-staff/teng-zhang","https://ecs.syracuse.edu/faculty-staff/teng-zhang")</f>
        <v>https://ecs.syracuse.edu/faculty-staff/teng-zhang</v>
      </c>
    </row>
    <row r="469" spans="1:12" x14ac:dyDescent="0.3">
      <c r="A469">
        <v>54</v>
      </c>
      <c r="B469" t="s">
        <v>183</v>
      </c>
      <c r="C469" t="s">
        <v>178</v>
      </c>
      <c r="D469" t="s">
        <v>14</v>
      </c>
      <c r="E469" t="s">
        <v>184</v>
      </c>
      <c r="F469" t="s">
        <v>62</v>
      </c>
      <c r="G469" t="s">
        <v>63</v>
      </c>
      <c r="H469" t="s">
        <v>42</v>
      </c>
      <c r="I469">
        <v>47</v>
      </c>
      <c r="J469" t="s">
        <v>19</v>
      </c>
      <c r="K469">
        <v>1</v>
      </c>
      <c r="L469" t="str">
        <f>HYPERLINK("https://www.meche.engineering.cmu.edu/directory/bios/wang-gerald.html","https://www.meche.engineering.cmu.edu/directory/bios/wang-gerald.html")</f>
        <v>https://www.meche.engineering.cmu.edu/directory/bios/wang-gerald.html</v>
      </c>
    </row>
    <row r="470" spans="1:12" x14ac:dyDescent="0.3">
      <c r="A470">
        <v>55</v>
      </c>
      <c r="B470" t="s">
        <v>185</v>
      </c>
      <c r="C470" t="s">
        <v>178</v>
      </c>
      <c r="D470" t="s">
        <v>14</v>
      </c>
      <c r="E470" t="s">
        <v>186</v>
      </c>
      <c r="F470" t="s">
        <v>16</v>
      </c>
      <c r="G470" t="s">
        <v>17</v>
      </c>
      <c r="H470" t="s">
        <v>143</v>
      </c>
      <c r="I470">
        <v>71</v>
      </c>
      <c r="J470" t="s">
        <v>19</v>
      </c>
      <c r="K470">
        <v>1</v>
      </c>
      <c r="L470" t="str">
        <f>HYPERLINK("https://www.meche.engineering.cmu.edu/directory/bios/leduc-philip.html","https://www.meche.engineering.cmu.edu/directory/bios/leduc-philip.html")</f>
        <v>https://www.meche.engineering.cmu.edu/directory/bios/leduc-philip.html</v>
      </c>
    </row>
    <row r="471" spans="1:12" x14ac:dyDescent="0.3">
      <c r="A471">
        <v>56</v>
      </c>
      <c r="B471" t="s">
        <v>187</v>
      </c>
      <c r="C471" t="s">
        <v>178</v>
      </c>
      <c r="D471" t="s">
        <v>14</v>
      </c>
      <c r="E471" t="s">
        <v>188</v>
      </c>
      <c r="F471" t="s">
        <v>16</v>
      </c>
      <c r="G471" t="s">
        <v>17</v>
      </c>
      <c r="H471" t="s">
        <v>159</v>
      </c>
      <c r="I471">
        <v>134</v>
      </c>
      <c r="J471" t="s">
        <v>19</v>
      </c>
      <c r="K471">
        <v>1</v>
      </c>
      <c r="L471" t="str">
        <f>HYPERLINK("https://www.meche.engineering.cmu.edu/directory/bios/majidi-carmel.html","https://www.meche.engineering.cmu.edu/directory/bios/majidi-carmel.html")</f>
        <v>https://www.meche.engineering.cmu.edu/directory/bios/majidi-carmel.html</v>
      </c>
    </row>
    <row r="472" spans="1:12" x14ac:dyDescent="0.3">
      <c r="A472">
        <v>63</v>
      </c>
      <c r="B472" t="s">
        <v>205</v>
      </c>
      <c r="C472" t="s">
        <v>206</v>
      </c>
      <c r="D472" t="s">
        <v>14</v>
      </c>
      <c r="E472" t="s">
        <v>207</v>
      </c>
      <c r="F472" t="s">
        <v>16</v>
      </c>
      <c r="G472" t="s">
        <v>17</v>
      </c>
      <c r="H472" t="s">
        <v>75</v>
      </c>
      <c r="I472">
        <v>35</v>
      </c>
      <c r="J472" t="s">
        <v>19</v>
      </c>
      <c r="K472">
        <v>1</v>
      </c>
      <c r="L472" t="str">
        <f>HYPERLINK("https://www.clemson.edu/cecas/departments/me/people/faculty/bostwick.html","https://www.clemson.edu/cecas/departments/me/people/faculty/bostwick.html")</f>
        <v>https://www.clemson.edu/cecas/departments/me/people/faculty/bostwick.html</v>
      </c>
    </row>
    <row r="473" spans="1:12" x14ac:dyDescent="0.3">
      <c r="A473">
        <v>64</v>
      </c>
      <c r="B473" t="s">
        <v>208</v>
      </c>
      <c r="C473" t="s">
        <v>206</v>
      </c>
      <c r="D473" t="s">
        <v>14</v>
      </c>
      <c r="E473" t="s">
        <v>57</v>
      </c>
      <c r="F473" t="s">
        <v>16</v>
      </c>
      <c r="G473" t="s">
        <v>17</v>
      </c>
      <c r="H473" t="s">
        <v>58</v>
      </c>
      <c r="I473">
        <v>0</v>
      </c>
      <c r="J473" t="s">
        <v>19</v>
      </c>
      <c r="K473">
        <v>1</v>
      </c>
      <c r="L473" t="str">
        <f>HYPERLINK("https://www.clemson.edu/cecas/departments/me/people/faculty/guo.html","https://www.clemson.edu/cecas/departments/me/people/faculty/guo.html")</f>
        <v>https://www.clemson.edu/cecas/departments/me/people/faculty/guo.html</v>
      </c>
    </row>
    <row r="474" spans="1:12" hidden="1" x14ac:dyDescent="0.3">
      <c r="A474">
        <v>473</v>
      </c>
      <c r="B474" t="s">
        <v>1104</v>
      </c>
      <c r="C474" t="s">
        <v>1094</v>
      </c>
      <c r="D474" t="s">
        <v>31</v>
      </c>
      <c r="E474" t="s">
        <v>1105</v>
      </c>
      <c r="F474" t="s">
        <v>27</v>
      </c>
      <c r="G474" t="s">
        <v>28</v>
      </c>
      <c r="H474" t="s">
        <v>80</v>
      </c>
      <c r="I474">
        <v>149</v>
      </c>
      <c r="J474" t="s">
        <v>19</v>
      </c>
      <c r="K474">
        <v>1</v>
      </c>
      <c r="L474" t="str">
        <f>HYPERLINK("https://engineering.temple.edu/about/faculty-staff/ling-liu-tue46452","https://engineering.temple.edu/about/faculty-staff/ling-liu-tue46452")</f>
        <v>https://engineering.temple.edu/about/faculty-staff/ling-liu-tue46452</v>
      </c>
    </row>
    <row r="475" spans="1:12" x14ac:dyDescent="0.3">
      <c r="A475">
        <v>65</v>
      </c>
      <c r="B475" t="s">
        <v>209</v>
      </c>
      <c r="C475" t="s">
        <v>206</v>
      </c>
      <c r="D475" t="s">
        <v>14</v>
      </c>
      <c r="E475" t="s">
        <v>210</v>
      </c>
      <c r="F475" t="s">
        <v>62</v>
      </c>
      <c r="G475" t="s">
        <v>63</v>
      </c>
      <c r="H475" t="s">
        <v>39</v>
      </c>
      <c r="I475">
        <v>15</v>
      </c>
      <c r="J475" t="s">
        <v>19</v>
      </c>
      <c r="K475">
        <v>1</v>
      </c>
      <c r="L475" t="str">
        <f>HYPERLINK("https://www.clemson.edu/cecas/departments/me/people/faculty/kung.html","https://www.clemson.edu/cecas/departments/me/people/faculty/kung.html")</f>
        <v>https://www.clemson.edu/cecas/departments/me/people/faculty/kung.html</v>
      </c>
    </row>
    <row r="476" spans="1:12" hidden="1" x14ac:dyDescent="0.3">
      <c r="A476">
        <v>475</v>
      </c>
      <c r="B476" t="s">
        <v>1108</v>
      </c>
      <c r="C476" t="s">
        <v>1094</v>
      </c>
      <c r="D476" t="s">
        <v>31</v>
      </c>
      <c r="E476" t="s">
        <v>1109</v>
      </c>
      <c r="F476" t="s">
        <v>83</v>
      </c>
      <c r="G476" t="s">
        <v>84</v>
      </c>
      <c r="H476" t="s">
        <v>1110</v>
      </c>
      <c r="I476">
        <v>38</v>
      </c>
      <c r="J476" t="s">
        <v>19</v>
      </c>
      <c r="K476">
        <v>1</v>
      </c>
      <c r="L476" t="str">
        <f>HYPERLINK("https://csm.temple.edu/directory/faculty/benjamin-seibold","https://csm.temple.edu/directory/faculty/benjamin-seibold")</f>
        <v>https://csm.temple.edu/directory/faculty/benjamin-seibold</v>
      </c>
    </row>
    <row r="477" spans="1:12" hidden="1" x14ac:dyDescent="0.3">
      <c r="A477">
        <v>476</v>
      </c>
      <c r="B477" t="s">
        <v>1111</v>
      </c>
      <c r="C477" t="s">
        <v>1094</v>
      </c>
      <c r="D477" t="s">
        <v>31</v>
      </c>
      <c r="E477" t="s">
        <v>1112</v>
      </c>
      <c r="F477" t="s">
        <v>83</v>
      </c>
      <c r="G477" t="s">
        <v>84</v>
      </c>
      <c r="H477" t="s">
        <v>495</v>
      </c>
      <c r="I477">
        <v>7</v>
      </c>
      <c r="J477" t="s">
        <v>19</v>
      </c>
      <c r="K477">
        <v>1</v>
      </c>
      <c r="L477" t="str">
        <f>HYPERLINK("https://csm.temple.edu/directory/faculty/isaac-klapper","https://csm.temple.edu/directory/faculty/isaac-klapper")</f>
        <v>https://csm.temple.edu/directory/faculty/isaac-klapper</v>
      </c>
    </row>
    <row r="478" spans="1:12" x14ac:dyDescent="0.3">
      <c r="A478">
        <v>66</v>
      </c>
      <c r="B478" t="s">
        <v>211</v>
      </c>
      <c r="C478" t="s">
        <v>206</v>
      </c>
      <c r="D478" t="s">
        <v>14</v>
      </c>
      <c r="E478" t="s">
        <v>212</v>
      </c>
      <c r="F478" t="s">
        <v>16</v>
      </c>
      <c r="G478" t="s">
        <v>17</v>
      </c>
      <c r="H478" t="s">
        <v>213</v>
      </c>
      <c r="I478">
        <v>272</v>
      </c>
      <c r="J478" t="s">
        <v>19</v>
      </c>
      <c r="K478">
        <v>1</v>
      </c>
      <c r="L478" t="str">
        <f>HYPERLINK("https://www.clemson.edu/cecas/departments/me/people/faculty/li.html","https://www.clemson.edu/cecas/departments/me/people/faculty/li.html")</f>
        <v>https://www.clemson.edu/cecas/departments/me/people/faculty/li.html</v>
      </c>
    </row>
    <row r="479" spans="1:12" x14ac:dyDescent="0.3">
      <c r="A479">
        <v>67</v>
      </c>
      <c r="B479" t="s">
        <v>214</v>
      </c>
      <c r="C479" t="s">
        <v>206</v>
      </c>
      <c r="D479" t="s">
        <v>14</v>
      </c>
      <c r="E479" t="s">
        <v>215</v>
      </c>
      <c r="F479" t="s">
        <v>22</v>
      </c>
      <c r="G479" t="s">
        <v>23</v>
      </c>
      <c r="H479" t="s">
        <v>53</v>
      </c>
      <c r="I479">
        <v>10</v>
      </c>
      <c r="J479" t="s">
        <v>19</v>
      </c>
      <c r="K479">
        <v>1</v>
      </c>
      <c r="L479" t="str">
        <f>HYPERLINK("https://www.clemson.edu/cecas/departments/me/people/faculty/masoud.html","https://www.clemson.edu/cecas/departments/me/people/faculty/masoud.html")</f>
        <v>https://www.clemson.edu/cecas/departments/me/people/faculty/masoud.html</v>
      </c>
    </row>
    <row r="480" spans="1:12" x14ac:dyDescent="0.3">
      <c r="A480">
        <v>68</v>
      </c>
      <c r="B480" t="s">
        <v>216</v>
      </c>
      <c r="C480" t="s">
        <v>206</v>
      </c>
      <c r="D480" t="s">
        <v>14</v>
      </c>
      <c r="E480" t="s">
        <v>217</v>
      </c>
      <c r="F480" t="s">
        <v>16</v>
      </c>
      <c r="G480" t="s">
        <v>17</v>
      </c>
      <c r="H480" t="s">
        <v>36</v>
      </c>
      <c r="I480">
        <v>49</v>
      </c>
      <c r="J480" t="s">
        <v>19</v>
      </c>
      <c r="K480">
        <v>1</v>
      </c>
      <c r="L480" t="str">
        <f>HYPERLINK("https://www.clemson.edu/cecas/departments/me/people/faculty/tallapragada.html","https://www.clemson.edu/cecas/departments/me/people/faculty/tallapragada.html")</f>
        <v>https://www.clemson.edu/cecas/departments/me/people/faculty/tallapragada.html</v>
      </c>
    </row>
    <row r="481" spans="1:12" x14ac:dyDescent="0.3">
      <c r="A481">
        <v>69</v>
      </c>
      <c r="B481" t="s">
        <v>218</v>
      </c>
      <c r="C481" t="s">
        <v>206</v>
      </c>
      <c r="D481" t="s">
        <v>14</v>
      </c>
      <c r="E481" t="s">
        <v>219</v>
      </c>
      <c r="F481" t="s">
        <v>16</v>
      </c>
      <c r="G481" t="s">
        <v>17</v>
      </c>
      <c r="H481" t="s">
        <v>220</v>
      </c>
      <c r="I481">
        <v>11</v>
      </c>
      <c r="J481" t="s">
        <v>19</v>
      </c>
      <c r="K481">
        <v>1</v>
      </c>
      <c r="L481" t="str">
        <f>HYPERLINK("https://www.clemson.edu/cecas/departments/me/people/faculty/tong.html","https://www.clemson.edu/cecas/departments/me/people/faculty/tong.html")</f>
        <v>https://www.clemson.edu/cecas/departments/me/people/faculty/tong.html</v>
      </c>
    </row>
    <row r="482" spans="1:12" x14ac:dyDescent="0.3">
      <c r="A482">
        <v>70</v>
      </c>
      <c r="B482" t="s">
        <v>221</v>
      </c>
      <c r="C482" t="s">
        <v>206</v>
      </c>
      <c r="D482" t="s">
        <v>14</v>
      </c>
      <c r="E482" t="s">
        <v>222</v>
      </c>
      <c r="F482" t="s">
        <v>62</v>
      </c>
      <c r="G482" t="s">
        <v>63</v>
      </c>
      <c r="H482" t="s">
        <v>53</v>
      </c>
      <c r="I482">
        <v>28</v>
      </c>
      <c r="J482" t="s">
        <v>19</v>
      </c>
      <c r="K482">
        <v>1</v>
      </c>
      <c r="L482" t="str">
        <f>HYPERLINK("https://www.clemson.edu/cecas/departments/me/people/faculty/xu.html","https://www.clemson.edu/cecas/departments/me/people/faculty/xu.html")</f>
        <v>https://www.clemson.edu/cecas/departments/me/people/faculty/xu.html</v>
      </c>
    </row>
    <row r="483" spans="1:12" x14ac:dyDescent="0.3">
      <c r="A483">
        <v>75</v>
      </c>
      <c r="B483" t="s">
        <v>233</v>
      </c>
      <c r="C483" t="s">
        <v>234</v>
      </c>
      <c r="D483" t="s">
        <v>14</v>
      </c>
      <c r="E483" t="s">
        <v>235</v>
      </c>
      <c r="F483" t="s">
        <v>62</v>
      </c>
      <c r="G483" t="s">
        <v>63</v>
      </c>
      <c r="H483" t="s">
        <v>64</v>
      </c>
      <c r="I483">
        <v>17</v>
      </c>
      <c r="J483" t="s">
        <v>19</v>
      </c>
      <c r="K483">
        <v>1</v>
      </c>
      <c r="L483" t="str">
        <f>HYPERLINK("https://mechanical.mines.edu/project/aslangil-denis/","https://mechanical.mines.edu/project/aslangil-denis/")</f>
        <v>https://mechanical.mines.edu/project/aslangil-denis/</v>
      </c>
    </row>
    <row r="484" spans="1:12" hidden="1" x14ac:dyDescent="0.3">
      <c r="A484">
        <v>483</v>
      </c>
      <c r="B484" t="s">
        <v>1126</v>
      </c>
      <c r="C484" t="s">
        <v>1114</v>
      </c>
      <c r="D484" t="s">
        <v>31</v>
      </c>
      <c r="E484" t="s">
        <v>1127</v>
      </c>
      <c r="F484" t="s">
        <v>16</v>
      </c>
      <c r="G484" t="s">
        <v>17</v>
      </c>
      <c r="H484" t="s">
        <v>495</v>
      </c>
      <c r="I484">
        <v>43</v>
      </c>
      <c r="J484" t="s">
        <v>19</v>
      </c>
      <c r="K484">
        <v>1</v>
      </c>
      <c r="L484" t="str">
        <f>HYPERLINK("https://people.tamu.edu/~guermond/","https://people.tamu.edu/~guermond/")</f>
        <v>https://people.tamu.edu/~guermond/</v>
      </c>
    </row>
    <row r="485" spans="1:12" hidden="1" x14ac:dyDescent="0.3">
      <c r="A485">
        <v>484</v>
      </c>
      <c r="B485" t="s">
        <v>1128</v>
      </c>
      <c r="C485" t="s">
        <v>1114</v>
      </c>
      <c r="D485" t="s">
        <v>31</v>
      </c>
      <c r="E485" t="s">
        <v>1127</v>
      </c>
      <c r="F485" t="s">
        <v>83</v>
      </c>
      <c r="G485" t="s">
        <v>84</v>
      </c>
      <c r="H485" t="s">
        <v>495</v>
      </c>
      <c r="I485">
        <v>43</v>
      </c>
      <c r="J485" t="s">
        <v>19</v>
      </c>
      <c r="K485">
        <v>1</v>
      </c>
      <c r="L485" t="str">
        <f>HYPERLINK("https://people.tamu.edu/~popov/","https://people.tamu.edu/~popov/")</f>
        <v>https://people.tamu.edu/~popov/</v>
      </c>
    </row>
    <row r="486" spans="1:12" x14ac:dyDescent="0.3">
      <c r="A486">
        <v>76</v>
      </c>
      <c r="B486" t="s">
        <v>236</v>
      </c>
      <c r="C486" t="s">
        <v>234</v>
      </c>
      <c r="D486" t="s">
        <v>14</v>
      </c>
      <c r="E486" t="s">
        <v>237</v>
      </c>
      <c r="F486" t="s">
        <v>27</v>
      </c>
      <c r="G486" t="s">
        <v>28</v>
      </c>
      <c r="H486" t="s">
        <v>225</v>
      </c>
      <c r="I486">
        <v>26</v>
      </c>
      <c r="J486" t="s">
        <v>19</v>
      </c>
      <c r="K486">
        <v>1</v>
      </c>
      <c r="L486" t="str">
        <f>HYPERLINK("https://mechanical.mines.edu/project/eliasson-veronica/","https://mechanical.mines.edu/project/eliasson-veronica/")</f>
        <v>https://mechanical.mines.edu/project/eliasson-veronica/</v>
      </c>
    </row>
    <row r="487" spans="1:12" x14ac:dyDescent="0.3">
      <c r="A487">
        <v>77</v>
      </c>
      <c r="B487" t="s">
        <v>238</v>
      </c>
      <c r="C487" t="s">
        <v>234</v>
      </c>
      <c r="D487" t="s">
        <v>14</v>
      </c>
      <c r="E487" t="s">
        <v>239</v>
      </c>
      <c r="F487" t="s">
        <v>62</v>
      </c>
      <c r="G487" t="s">
        <v>63</v>
      </c>
      <c r="H487" t="s">
        <v>64</v>
      </c>
      <c r="I487">
        <v>27</v>
      </c>
      <c r="J487" t="s">
        <v>19</v>
      </c>
      <c r="K487">
        <v>1</v>
      </c>
      <c r="L487" t="str">
        <f>HYPERLINK("https://mechanical.mines.edu/project/rajasegar-rajavasanth/","https://mechanical.mines.edu/project/rajasegar-rajavasanth/")</f>
        <v>https://mechanical.mines.edu/project/rajasegar-rajavasanth/</v>
      </c>
    </row>
    <row r="488" spans="1:12" x14ac:dyDescent="0.3">
      <c r="A488">
        <v>78</v>
      </c>
      <c r="B488" t="s">
        <v>240</v>
      </c>
      <c r="C488" t="s">
        <v>234</v>
      </c>
      <c r="D488" t="s">
        <v>14</v>
      </c>
      <c r="E488" t="s">
        <v>241</v>
      </c>
      <c r="F488" t="s">
        <v>22</v>
      </c>
      <c r="G488" t="s">
        <v>23</v>
      </c>
      <c r="H488" t="s">
        <v>225</v>
      </c>
      <c r="I488">
        <v>17</v>
      </c>
      <c r="J488" t="s">
        <v>19</v>
      </c>
      <c r="K488">
        <v>1</v>
      </c>
      <c r="L488" t="str">
        <f>HYPERLINK("https://mechanical.mines.edu/project/tilton-nils/","https://mechanical.mines.edu/project/tilton-nils/")</f>
        <v>https://mechanical.mines.edu/project/tilton-nils/</v>
      </c>
    </row>
    <row r="489" spans="1:12" x14ac:dyDescent="0.3">
      <c r="A489">
        <v>79</v>
      </c>
      <c r="B489" t="s">
        <v>242</v>
      </c>
      <c r="C489" t="s">
        <v>234</v>
      </c>
      <c r="D489" t="s">
        <v>14</v>
      </c>
      <c r="E489" t="s">
        <v>243</v>
      </c>
      <c r="F489" t="s">
        <v>27</v>
      </c>
      <c r="G489" t="s">
        <v>28</v>
      </c>
      <c r="H489" t="s">
        <v>244</v>
      </c>
      <c r="I489">
        <v>41</v>
      </c>
      <c r="J489" t="s">
        <v>19</v>
      </c>
      <c r="K489">
        <v>3</v>
      </c>
      <c r="L489" t="str">
        <f>HYPERLINK("https://mechanical.mines.edu/project/kee-robert/","https://mechanical.mines.edu/project/kee-robert/")</f>
        <v>https://mechanical.mines.edu/project/kee-robert/</v>
      </c>
    </row>
    <row r="490" spans="1:12" x14ac:dyDescent="0.3">
      <c r="A490">
        <v>83</v>
      </c>
      <c r="B490" t="s">
        <v>251</v>
      </c>
      <c r="C490" t="s">
        <v>252</v>
      </c>
      <c r="D490" t="s">
        <v>14</v>
      </c>
      <c r="E490" t="s">
        <v>253</v>
      </c>
      <c r="F490" t="s">
        <v>114</v>
      </c>
      <c r="G490" t="s">
        <v>115</v>
      </c>
      <c r="H490" t="s">
        <v>254</v>
      </c>
      <c r="I490">
        <v>38</v>
      </c>
      <c r="J490" t="s">
        <v>116</v>
      </c>
      <c r="K490">
        <v>1</v>
      </c>
      <c r="L490" t="str">
        <f>HYPERLINK("https://www.engr.colostate.edu/me/people/","https://www.engr.colostate.edu/me/people/")</f>
        <v>https://www.engr.colostate.edu/me/people/</v>
      </c>
    </row>
    <row r="491" spans="1:12" x14ac:dyDescent="0.3">
      <c r="A491">
        <v>86</v>
      </c>
      <c r="B491" t="s">
        <v>259</v>
      </c>
      <c r="C491" t="s">
        <v>252</v>
      </c>
      <c r="D491" t="s">
        <v>14</v>
      </c>
      <c r="E491" t="s">
        <v>260</v>
      </c>
      <c r="F491" t="s">
        <v>16</v>
      </c>
      <c r="G491" t="s">
        <v>17</v>
      </c>
      <c r="H491" t="s">
        <v>200</v>
      </c>
      <c r="I491">
        <v>19</v>
      </c>
      <c r="J491" t="s">
        <v>19</v>
      </c>
      <c r="K491">
        <v>1</v>
      </c>
      <c r="L491" t="str">
        <f>HYPERLINK("https://www.engr.colostate.edu/ce/people/karan-venayagamoorthy/","https://www.engr.colostate.edu/ce/people/karan-venayagamoorthy/")</f>
        <v>https://www.engr.colostate.edu/ce/people/karan-venayagamoorthy/</v>
      </c>
    </row>
    <row r="492" spans="1:12" x14ac:dyDescent="0.3">
      <c r="A492">
        <v>110</v>
      </c>
      <c r="B492" t="s">
        <v>317</v>
      </c>
      <c r="C492" t="s">
        <v>318</v>
      </c>
      <c r="D492" t="s">
        <v>14</v>
      </c>
      <c r="E492" t="s">
        <v>319</v>
      </c>
      <c r="F492" t="s">
        <v>16</v>
      </c>
      <c r="G492" t="s">
        <v>17</v>
      </c>
      <c r="H492" t="s">
        <v>320</v>
      </c>
      <c r="I492">
        <v>27</v>
      </c>
      <c r="J492" t="s">
        <v>19</v>
      </c>
      <c r="K492">
        <v>1</v>
      </c>
      <c r="L492" t="str">
        <f>HYPERLINK("https://drexel.edu/engineering/about/faculty-staff/F/fridman-alexander/","https://drexel.edu/engineering/about/faculty-staff/F/fridman-alexander/")</f>
        <v>https://drexel.edu/engineering/about/faculty-staff/F/fridman-alexander/</v>
      </c>
    </row>
    <row r="493" spans="1:12" hidden="1" x14ac:dyDescent="0.3">
      <c r="A493">
        <v>492</v>
      </c>
      <c r="B493" t="s">
        <v>1143</v>
      </c>
      <c r="C493" t="s">
        <v>1130</v>
      </c>
      <c r="D493" t="s">
        <v>31</v>
      </c>
      <c r="E493" t="s">
        <v>1144</v>
      </c>
      <c r="F493" t="s">
        <v>83</v>
      </c>
      <c r="G493" t="s">
        <v>84</v>
      </c>
      <c r="H493" t="s">
        <v>88</v>
      </c>
      <c r="I493">
        <v>38</v>
      </c>
      <c r="J493" t="s">
        <v>19</v>
      </c>
      <c r="K493">
        <v>1</v>
      </c>
      <c r="L493" t="str">
        <f>HYPERLINK("https://www.tamucc.edu/science/roster.php?program=math","https://www.tamucc.edu/science/roster.php?program=math")</f>
        <v>https://www.tamucc.edu/science/roster.php?program=math</v>
      </c>
    </row>
    <row r="494" spans="1:12" x14ac:dyDescent="0.3">
      <c r="A494">
        <v>111</v>
      </c>
      <c r="B494" t="s">
        <v>321</v>
      </c>
      <c r="C494" t="s">
        <v>318</v>
      </c>
      <c r="D494" t="s">
        <v>14</v>
      </c>
      <c r="E494" t="s">
        <v>322</v>
      </c>
      <c r="F494" t="s">
        <v>62</v>
      </c>
      <c r="G494" t="s">
        <v>63</v>
      </c>
      <c r="H494" t="s">
        <v>200</v>
      </c>
      <c r="I494">
        <v>0</v>
      </c>
      <c r="J494" t="s">
        <v>19</v>
      </c>
      <c r="K494">
        <v>1</v>
      </c>
      <c r="L494" t="str">
        <f>HYPERLINK("https://drexel.edu/engineering/about/faculty-staff/N/noh-hongseok/","https://drexel.edu/engineering/about/faculty-staff/N/noh-hongseok/")</f>
        <v>https://drexel.edu/engineering/about/faculty-staff/N/noh-hongseok/</v>
      </c>
    </row>
    <row r="495" spans="1:12" x14ac:dyDescent="0.3">
      <c r="A495">
        <v>113</v>
      </c>
      <c r="B495" t="s">
        <v>325</v>
      </c>
      <c r="C495" t="s">
        <v>318</v>
      </c>
      <c r="D495" t="s">
        <v>14</v>
      </c>
      <c r="E495" t="s">
        <v>326</v>
      </c>
      <c r="F495" t="s">
        <v>16</v>
      </c>
      <c r="G495" t="s">
        <v>17</v>
      </c>
      <c r="H495" t="s">
        <v>220</v>
      </c>
      <c r="I495">
        <v>14</v>
      </c>
      <c r="J495" t="s">
        <v>19</v>
      </c>
      <c r="K495">
        <v>1</v>
      </c>
      <c r="L495" t="str">
        <f>HYPERLINK("https://drexel.edu/engineering/about/faculty-staff/T/tangorra-james/","https://drexel.edu/engineering/about/faculty-staff/T/tangorra-james/")</f>
        <v>https://drexel.edu/engineering/about/faculty-staff/T/tangorra-james/</v>
      </c>
    </row>
    <row r="496" spans="1:12" x14ac:dyDescent="0.3">
      <c r="A496">
        <v>116</v>
      </c>
      <c r="B496" t="s">
        <v>332</v>
      </c>
      <c r="C496" t="s">
        <v>333</v>
      </c>
      <c r="D496" t="s">
        <v>112</v>
      </c>
      <c r="E496" t="s">
        <v>334</v>
      </c>
      <c r="F496" t="s">
        <v>335</v>
      </c>
      <c r="G496" t="s">
        <v>336</v>
      </c>
      <c r="H496" t="s">
        <v>286</v>
      </c>
      <c r="I496">
        <v>79</v>
      </c>
      <c r="J496" t="s">
        <v>19</v>
      </c>
      <c r="K496">
        <v>1</v>
      </c>
      <c r="L496" t="str">
        <f>HYPERLINK("https://mems.duke.edu/people/earl-dowell/","https://mems.duke.edu/people/earl-dowell/")</f>
        <v>https://mems.duke.edu/people/earl-dowell/</v>
      </c>
    </row>
    <row r="497" spans="1:12" hidden="1" x14ac:dyDescent="0.3">
      <c r="A497">
        <v>496</v>
      </c>
      <c r="B497" t="s">
        <v>1152</v>
      </c>
      <c r="C497" t="s">
        <v>1146</v>
      </c>
      <c r="D497" t="s">
        <v>31</v>
      </c>
      <c r="E497" t="s">
        <v>57</v>
      </c>
      <c r="F497" t="s">
        <v>22</v>
      </c>
      <c r="G497" t="s">
        <v>23</v>
      </c>
      <c r="H497" t="s">
        <v>58</v>
      </c>
      <c r="I497">
        <v>0</v>
      </c>
      <c r="J497" t="s">
        <v>19</v>
      </c>
      <c r="K497">
        <v>1</v>
      </c>
      <c r="L497" t="str">
        <f>HYPERLINK("https://www.tamuk.edu/engineering/departments/mien/faculty_staff/ShahAlam.html","https://www.tamuk.edu/engineering/departments/mien/faculty_staff/ShahAlam.html")</f>
        <v>https://www.tamuk.edu/engineering/departments/mien/faculty_staff/ShahAlam.html</v>
      </c>
    </row>
    <row r="498" spans="1:12" hidden="1" x14ac:dyDescent="0.3">
      <c r="A498">
        <v>497</v>
      </c>
      <c r="B498" t="s">
        <v>1153</v>
      </c>
      <c r="C498" t="s">
        <v>1146</v>
      </c>
      <c r="D498" t="s">
        <v>31</v>
      </c>
      <c r="E498" t="s">
        <v>1154</v>
      </c>
      <c r="F498" t="s">
        <v>22</v>
      </c>
      <c r="G498" t="s">
        <v>23</v>
      </c>
      <c r="H498" t="s">
        <v>92</v>
      </c>
      <c r="I498">
        <v>53</v>
      </c>
      <c r="J498" t="s">
        <v>19</v>
      </c>
      <c r="K498">
        <v>1</v>
      </c>
      <c r="L498" t="str">
        <f>HYPERLINK("https://www.tamuk.edu/engineering/departments/mien/faculty_staff/XueYang.html","https://www.tamuk.edu/engineering/departments/mien/faculty_staff/XueYang.html")</f>
        <v>https://www.tamuk.edu/engineering/departments/mien/faculty_staff/XueYang.html</v>
      </c>
    </row>
    <row r="499" spans="1:12" x14ac:dyDescent="0.3">
      <c r="A499">
        <v>117</v>
      </c>
      <c r="B499" t="s">
        <v>337</v>
      </c>
      <c r="C499" t="s">
        <v>333</v>
      </c>
      <c r="D499" t="s">
        <v>112</v>
      </c>
      <c r="E499" t="s">
        <v>338</v>
      </c>
      <c r="F499" t="s">
        <v>335</v>
      </c>
      <c r="G499" t="s">
        <v>336</v>
      </c>
      <c r="H499" t="s">
        <v>339</v>
      </c>
      <c r="I499">
        <v>7</v>
      </c>
      <c r="J499" t="s">
        <v>19</v>
      </c>
      <c r="K499">
        <v>1</v>
      </c>
      <c r="L499" t="str">
        <f>HYPERLINK("https://mems.duke.edu/people/kenneth-hall/","https://mems.duke.edu/people/kenneth-hall/")</f>
        <v>https://mems.duke.edu/people/kenneth-hall/</v>
      </c>
    </row>
    <row r="500" spans="1:12" x14ac:dyDescent="0.3">
      <c r="A500">
        <v>118</v>
      </c>
      <c r="B500" t="s">
        <v>340</v>
      </c>
      <c r="C500" t="s">
        <v>333</v>
      </c>
      <c r="D500" t="s">
        <v>112</v>
      </c>
      <c r="E500" t="s">
        <v>341</v>
      </c>
      <c r="F500" t="s">
        <v>335</v>
      </c>
      <c r="G500" t="s">
        <v>336</v>
      </c>
      <c r="H500" t="s">
        <v>140</v>
      </c>
      <c r="I500">
        <v>36</v>
      </c>
      <c r="J500" t="s">
        <v>19</v>
      </c>
      <c r="K500">
        <v>1</v>
      </c>
      <c r="L500" t="str">
        <f>HYPERLINK("https://mems.duke.edu/people/wilkins-aquino/","https://mems.duke.edu/people/wilkins-aquino/")</f>
        <v>https://mems.duke.edu/people/wilkins-aquino/</v>
      </c>
    </row>
    <row r="501" spans="1:12" x14ac:dyDescent="0.3">
      <c r="A501">
        <v>119</v>
      </c>
      <c r="B501" t="s">
        <v>342</v>
      </c>
      <c r="C501" t="s">
        <v>333</v>
      </c>
      <c r="D501" t="s">
        <v>112</v>
      </c>
      <c r="E501" t="s">
        <v>343</v>
      </c>
      <c r="F501" t="s">
        <v>335</v>
      </c>
      <c r="G501" t="s">
        <v>336</v>
      </c>
      <c r="H501" t="s">
        <v>254</v>
      </c>
      <c r="I501">
        <v>1</v>
      </c>
      <c r="J501" t="s">
        <v>19</v>
      </c>
      <c r="K501">
        <v>1</v>
      </c>
      <c r="L501" t="str">
        <f>HYPERLINK("https://mems.duke.edu/people/page/3/","https://mems.duke.edu/people/page/3/")</f>
        <v>https://mems.duke.edu/people/page/3/</v>
      </c>
    </row>
    <row r="502" spans="1:12" x14ac:dyDescent="0.3">
      <c r="A502">
        <v>121</v>
      </c>
      <c r="B502" t="s">
        <v>345</v>
      </c>
      <c r="C502" t="s">
        <v>333</v>
      </c>
      <c r="D502" t="s">
        <v>112</v>
      </c>
      <c r="E502" t="s">
        <v>346</v>
      </c>
      <c r="F502" t="s">
        <v>335</v>
      </c>
      <c r="G502" t="s">
        <v>336</v>
      </c>
      <c r="H502" t="s">
        <v>85</v>
      </c>
      <c r="I502">
        <v>14</v>
      </c>
      <c r="J502" t="s">
        <v>19</v>
      </c>
      <c r="K502">
        <v>1</v>
      </c>
      <c r="L502" t="str">
        <f>HYPERLINK("https://mems.duke.edu/impact/research/aero/","https://mems.duke.edu/impact/research/aero/")</f>
        <v>https://mems.duke.edu/impact/research/aero/</v>
      </c>
    </row>
    <row r="503" spans="1:12" x14ac:dyDescent="0.3">
      <c r="A503">
        <v>123</v>
      </c>
      <c r="B503" t="s">
        <v>349</v>
      </c>
      <c r="C503" t="s">
        <v>333</v>
      </c>
      <c r="D503" t="s">
        <v>112</v>
      </c>
      <c r="E503" t="s">
        <v>350</v>
      </c>
      <c r="F503" t="s">
        <v>335</v>
      </c>
      <c r="G503" t="s">
        <v>336</v>
      </c>
      <c r="H503" t="s">
        <v>273</v>
      </c>
      <c r="I503">
        <v>56</v>
      </c>
      <c r="J503" t="s">
        <v>19</v>
      </c>
      <c r="K503">
        <v>1</v>
      </c>
      <c r="L503" t="str">
        <f>HYPERLINK("https://mems.duke.edu/people/page/2/","https://mems.duke.edu/people/page/2/")</f>
        <v>https://mems.duke.edu/people/page/2/</v>
      </c>
    </row>
    <row r="504" spans="1:12" x14ac:dyDescent="0.3">
      <c r="A504">
        <v>129</v>
      </c>
      <c r="B504" t="s">
        <v>361</v>
      </c>
      <c r="C504" t="s">
        <v>362</v>
      </c>
      <c r="D504" t="s">
        <v>48</v>
      </c>
      <c r="E504" t="s">
        <v>57</v>
      </c>
      <c r="F504" t="s">
        <v>16</v>
      </c>
      <c r="G504" t="s">
        <v>17</v>
      </c>
      <c r="H504" t="s">
        <v>58</v>
      </c>
      <c r="I504">
        <v>0</v>
      </c>
      <c r="J504" t="s">
        <v>19</v>
      </c>
      <c r="K504">
        <v>1</v>
      </c>
      <c r="L504" t="str">
        <f>HYPERLINK("https://erau.edu/faculty/Jim.Gregory","https://erau.edu/faculty/Jim.Gregory")</f>
        <v>https://erau.edu/faculty/Jim.Gregory</v>
      </c>
    </row>
    <row r="505" spans="1:12" x14ac:dyDescent="0.3">
      <c r="A505">
        <v>130</v>
      </c>
      <c r="B505" t="s">
        <v>363</v>
      </c>
      <c r="C505" t="s">
        <v>362</v>
      </c>
      <c r="D505" t="s">
        <v>48</v>
      </c>
      <c r="E505" t="s">
        <v>364</v>
      </c>
      <c r="F505" t="s">
        <v>83</v>
      </c>
      <c r="G505" t="s">
        <v>84</v>
      </c>
      <c r="H505" t="s">
        <v>365</v>
      </c>
      <c r="I505">
        <v>57</v>
      </c>
      <c r="J505" t="s">
        <v>19</v>
      </c>
      <c r="K505">
        <v>1</v>
      </c>
      <c r="L505" t="str">
        <f>HYPERLINK("https://erau.edu/faculty/anouck-girard","https://erau.edu/faculty/anouck-girard")</f>
        <v>https://erau.edu/faculty/anouck-girard</v>
      </c>
    </row>
    <row r="506" spans="1:12" x14ac:dyDescent="0.3">
      <c r="A506">
        <v>132</v>
      </c>
      <c r="B506" t="s">
        <v>368</v>
      </c>
      <c r="C506" t="s">
        <v>362</v>
      </c>
      <c r="D506" t="s">
        <v>48</v>
      </c>
      <c r="E506" t="s">
        <v>369</v>
      </c>
      <c r="F506" t="s">
        <v>83</v>
      </c>
      <c r="G506" t="s">
        <v>84</v>
      </c>
      <c r="H506" t="s">
        <v>53</v>
      </c>
      <c r="I506">
        <v>52</v>
      </c>
      <c r="J506" t="s">
        <v>19</v>
      </c>
      <c r="K506">
        <v>1</v>
      </c>
      <c r="L506" t="str">
        <f>HYPERLINK("https://erau.edu/faculty/andrea-da-ronch","https://erau.edu/faculty/andrea-da-ronch")</f>
        <v>https://erau.edu/faculty/andrea-da-ronch</v>
      </c>
    </row>
    <row r="507" spans="1:12" x14ac:dyDescent="0.3">
      <c r="A507">
        <v>133</v>
      </c>
      <c r="B507" t="s">
        <v>370</v>
      </c>
      <c r="C507" t="s">
        <v>362</v>
      </c>
      <c r="D507" t="s">
        <v>48</v>
      </c>
      <c r="E507" t="s">
        <v>371</v>
      </c>
      <c r="F507" t="s">
        <v>16</v>
      </c>
      <c r="G507" t="s">
        <v>17</v>
      </c>
      <c r="H507" t="s">
        <v>213</v>
      </c>
      <c r="I507">
        <v>1</v>
      </c>
      <c r="J507" t="s">
        <v>19</v>
      </c>
      <c r="K507">
        <v>1</v>
      </c>
      <c r="L507" t="str">
        <f>HYPERLINK("https://erau.edu/faculty/eric.perrell","https://erau.edu/faculty/eric.perrell")</f>
        <v>https://erau.edu/faculty/eric.perrell</v>
      </c>
    </row>
    <row r="508" spans="1:12" hidden="1" x14ac:dyDescent="0.3">
      <c r="A508">
        <v>507</v>
      </c>
      <c r="B508" t="s">
        <v>1172</v>
      </c>
      <c r="C508" t="s">
        <v>1157</v>
      </c>
      <c r="D508" t="s">
        <v>31</v>
      </c>
      <c r="E508" t="s">
        <v>1173</v>
      </c>
      <c r="F508" t="s">
        <v>16</v>
      </c>
      <c r="G508" t="s">
        <v>17</v>
      </c>
      <c r="H508" t="s">
        <v>200</v>
      </c>
      <c r="I508">
        <v>19</v>
      </c>
      <c r="J508" t="s">
        <v>19</v>
      </c>
      <c r="K508">
        <v>1</v>
      </c>
      <c r="L508" t="str">
        <f>HYPERLINK("https://www.depts.ttu.edu/math/about/directory/bio/index.php?id=210","https://www.depts.ttu.edu/math/about/directory/bio/index.php?id=210")</f>
        <v>https://www.depts.ttu.edu/math/about/directory/bio/index.php?id=210</v>
      </c>
    </row>
    <row r="509" spans="1:12" hidden="1" x14ac:dyDescent="0.3">
      <c r="A509">
        <v>508</v>
      </c>
      <c r="B509" t="s">
        <v>1174</v>
      </c>
      <c r="C509" t="s">
        <v>1157</v>
      </c>
      <c r="D509" t="s">
        <v>31</v>
      </c>
      <c r="E509" t="s">
        <v>1175</v>
      </c>
      <c r="F509" t="s">
        <v>16</v>
      </c>
      <c r="G509" t="s">
        <v>17</v>
      </c>
      <c r="H509" t="s">
        <v>50</v>
      </c>
      <c r="I509">
        <v>8</v>
      </c>
      <c r="J509" t="s">
        <v>19</v>
      </c>
      <c r="K509">
        <v>1</v>
      </c>
      <c r="L509" t="str">
        <f>HYPERLINK("https://www.depts.ttu.edu/math/about/directory/bio/index.php?id=285","https://www.depts.ttu.edu/math/about/directory/bio/index.php?id=285")</f>
        <v>https://www.depts.ttu.edu/math/about/directory/bio/index.php?id=285</v>
      </c>
    </row>
    <row r="510" spans="1:12" hidden="1" x14ac:dyDescent="0.3">
      <c r="A510">
        <v>509</v>
      </c>
      <c r="B510" t="s">
        <v>1176</v>
      </c>
      <c r="C510" t="s">
        <v>1157</v>
      </c>
      <c r="D510" t="s">
        <v>31</v>
      </c>
      <c r="E510" t="s">
        <v>57</v>
      </c>
      <c r="F510" t="s">
        <v>62</v>
      </c>
      <c r="G510" t="s">
        <v>63</v>
      </c>
      <c r="H510" t="s">
        <v>58</v>
      </c>
      <c r="I510">
        <v>0</v>
      </c>
      <c r="J510" t="s">
        <v>19</v>
      </c>
      <c r="K510">
        <v>1</v>
      </c>
      <c r="L510" t="str">
        <f>HYPERLINK("https://www.depts.ttu.edu/math/about/directory/bio/index.php?id=1551","https://www.depts.ttu.edu/math/about/directory/bio/index.php?id=1551")</f>
        <v>https://www.depts.ttu.edu/math/about/directory/bio/index.php?id=1551</v>
      </c>
    </row>
    <row r="511" spans="1:12" hidden="1" x14ac:dyDescent="0.3">
      <c r="A511">
        <v>510</v>
      </c>
      <c r="B511" t="s">
        <v>1177</v>
      </c>
      <c r="C511" t="s">
        <v>1157</v>
      </c>
      <c r="D511" t="s">
        <v>31</v>
      </c>
      <c r="E511" t="s">
        <v>1178</v>
      </c>
      <c r="F511" t="s">
        <v>62</v>
      </c>
      <c r="G511" t="s">
        <v>63</v>
      </c>
      <c r="H511" t="s">
        <v>172</v>
      </c>
      <c r="I511">
        <v>1</v>
      </c>
      <c r="J511" t="s">
        <v>19</v>
      </c>
      <c r="K511">
        <v>1</v>
      </c>
      <c r="L511" t="str">
        <f>HYPERLINK("https://www.depts.ttu.edu/math/about/directory/bio/index.php?id=1803","https://www.depts.ttu.edu/math/about/directory/bio/index.php?id=1803")</f>
        <v>https://www.depts.ttu.edu/math/about/directory/bio/index.php?id=1803</v>
      </c>
    </row>
    <row r="512" spans="1:12" hidden="1" x14ac:dyDescent="0.3">
      <c r="A512">
        <v>511</v>
      </c>
      <c r="B512" t="s">
        <v>1179</v>
      </c>
      <c r="C512" t="s">
        <v>1157</v>
      </c>
      <c r="D512" t="s">
        <v>31</v>
      </c>
      <c r="E512" t="s">
        <v>1180</v>
      </c>
      <c r="F512" t="s">
        <v>62</v>
      </c>
      <c r="G512" t="s">
        <v>63</v>
      </c>
      <c r="H512" t="s">
        <v>225</v>
      </c>
      <c r="I512">
        <v>303</v>
      </c>
      <c r="J512" t="s">
        <v>19</v>
      </c>
      <c r="K512">
        <v>1</v>
      </c>
      <c r="L512" t="str">
        <f>HYPERLINK("https://www.depts.ttu.edu/math/about/directory/bio/index.php?id=1719","https://www.depts.ttu.edu/math/about/directory/bio/index.php?id=1719")</f>
        <v>https://www.depts.ttu.edu/math/about/directory/bio/index.php?id=1719</v>
      </c>
    </row>
    <row r="513" spans="1:12" x14ac:dyDescent="0.3">
      <c r="A513">
        <v>135</v>
      </c>
      <c r="B513" t="s">
        <v>373</v>
      </c>
      <c r="C513" t="s">
        <v>362</v>
      </c>
      <c r="D513" t="s">
        <v>48</v>
      </c>
      <c r="E513" t="s">
        <v>374</v>
      </c>
      <c r="F513" t="s">
        <v>83</v>
      </c>
      <c r="G513" t="s">
        <v>84</v>
      </c>
      <c r="H513" t="s">
        <v>375</v>
      </c>
      <c r="I513">
        <v>1</v>
      </c>
      <c r="J513" t="s">
        <v>19</v>
      </c>
      <c r="K513">
        <v>1</v>
      </c>
      <c r="L513" t="str">
        <f>HYPERLINK("https://erau.edu/faculty/hever-moncayo","https://erau.edu/faculty/hever-moncayo")</f>
        <v>https://erau.edu/faculty/hever-moncayo</v>
      </c>
    </row>
    <row r="514" spans="1:12" x14ac:dyDescent="0.3">
      <c r="A514">
        <v>137</v>
      </c>
      <c r="B514" t="s">
        <v>377</v>
      </c>
      <c r="C514" t="s">
        <v>362</v>
      </c>
      <c r="D514" t="s">
        <v>48</v>
      </c>
      <c r="E514" t="s">
        <v>378</v>
      </c>
      <c r="F514" t="s">
        <v>83</v>
      </c>
      <c r="G514" t="s">
        <v>84</v>
      </c>
      <c r="H514" t="s">
        <v>172</v>
      </c>
      <c r="I514">
        <v>2</v>
      </c>
      <c r="J514" t="s">
        <v>19</v>
      </c>
      <c r="K514">
        <v>1</v>
      </c>
      <c r="L514" t="str">
        <f>HYPERLINK("https://erau.edu/faculty/troy-henderson","https://erau.edu/faculty/troy-henderson")</f>
        <v>https://erau.edu/faculty/troy-henderson</v>
      </c>
    </row>
    <row r="515" spans="1:12" x14ac:dyDescent="0.3">
      <c r="A515">
        <v>138</v>
      </c>
      <c r="B515" t="s">
        <v>379</v>
      </c>
      <c r="C515" t="s">
        <v>380</v>
      </c>
      <c r="D515" t="s">
        <v>381</v>
      </c>
      <c r="E515" t="s">
        <v>382</v>
      </c>
      <c r="F515" t="s">
        <v>22</v>
      </c>
      <c r="G515" t="s">
        <v>23</v>
      </c>
      <c r="H515" t="s">
        <v>314</v>
      </c>
      <c r="I515">
        <v>12</v>
      </c>
      <c r="J515" t="s">
        <v>19</v>
      </c>
      <c r="K515">
        <v>1</v>
      </c>
      <c r="L515" t="str">
        <f>HYPERLINK("https://www.fit.edu/faculty-profiles/s/subramanian-chelakara/","https://www.fit.edu/faculty-profiles/s/subramanian-chelakara/")</f>
        <v>https://www.fit.edu/faculty-profiles/s/subramanian-chelakara/</v>
      </c>
    </row>
    <row r="516" spans="1:12" x14ac:dyDescent="0.3">
      <c r="A516">
        <v>139</v>
      </c>
      <c r="B516" t="s">
        <v>383</v>
      </c>
      <c r="C516" t="s">
        <v>380</v>
      </c>
      <c r="D516" t="s">
        <v>381</v>
      </c>
      <c r="E516" t="s">
        <v>384</v>
      </c>
      <c r="F516" t="s">
        <v>16</v>
      </c>
      <c r="G516" t="s">
        <v>17</v>
      </c>
      <c r="H516" t="s">
        <v>104</v>
      </c>
      <c r="I516">
        <v>5</v>
      </c>
      <c r="J516" t="s">
        <v>19</v>
      </c>
      <c r="K516">
        <v>1</v>
      </c>
      <c r="L516" t="str">
        <f>HYPERLINK("https://www.fit.edu/faculty-profiles/k/kirk-daniel/","https://www.fit.edu/faculty-profiles/k/kirk-daniel/")</f>
        <v>https://www.fit.edu/faculty-profiles/k/kirk-daniel/</v>
      </c>
    </row>
    <row r="517" spans="1:12" hidden="1" x14ac:dyDescent="0.3">
      <c r="A517">
        <v>516</v>
      </c>
      <c r="B517" t="s">
        <v>1190</v>
      </c>
      <c r="C517" t="s">
        <v>1182</v>
      </c>
      <c r="D517" t="s">
        <v>31</v>
      </c>
      <c r="E517" t="s">
        <v>1191</v>
      </c>
      <c r="F517" t="s">
        <v>83</v>
      </c>
      <c r="G517" t="s">
        <v>84</v>
      </c>
      <c r="H517" t="s">
        <v>314</v>
      </c>
      <c r="I517">
        <v>8</v>
      </c>
      <c r="J517" t="s">
        <v>19</v>
      </c>
      <c r="K517">
        <v>1</v>
      </c>
      <c r="L517" t="str">
        <f>HYPERLINK("https://mathematics.catholic.edu/faculty-and-research/faculty-profiles/index.html","https://mathematics.catholic.edu/faculty-and-research/faculty-profiles/index.html")</f>
        <v>https://mathematics.catholic.edu/faculty-and-research/faculty-profiles/index.html</v>
      </c>
    </row>
    <row r="518" spans="1:12" hidden="1" x14ac:dyDescent="0.3">
      <c r="A518">
        <v>517</v>
      </c>
      <c r="B518" t="s">
        <v>1192</v>
      </c>
      <c r="C518" t="s">
        <v>1182</v>
      </c>
      <c r="D518" t="s">
        <v>31</v>
      </c>
      <c r="E518" t="s">
        <v>1193</v>
      </c>
      <c r="F518" t="s">
        <v>83</v>
      </c>
      <c r="G518" t="s">
        <v>84</v>
      </c>
      <c r="H518" t="s">
        <v>75</v>
      </c>
      <c r="I518">
        <v>0</v>
      </c>
      <c r="J518" t="s">
        <v>59</v>
      </c>
      <c r="K518">
        <v>2</v>
      </c>
      <c r="L518" t="str">
        <f>HYPERLINK("https://mathematics.catholic.edu/faculty-and-research/faculty-profiles/index.html","https://mathematics.catholic.edu/faculty-and-research/faculty-profiles/index.html")</f>
        <v>https://mathematics.catholic.edu/faculty-and-research/faculty-profiles/index.html</v>
      </c>
    </row>
    <row r="519" spans="1:12" x14ac:dyDescent="0.3">
      <c r="A519">
        <v>140</v>
      </c>
      <c r="B519" t="s">
        <v>385</v>
      </c>
      <c r="C519" t="s">
        <v>380</v>
      </c>
      <c r="D519" t="s">
        <v>381</v>
      </c>
      <c r="E519" t="s">
        <v>386</v>
      </c>
      <c r="F519" t="s">
        <v>62</v>
      </c>
      <c r="G519" t="s">
        <v>63</v>
      </c>
      <c r="H519" t="s">
        <v>53</v>
      </c>
      <c r="I519">
        <v>3</v>
      </c>
      <c r="J519" t="s">
        <v>19</v>
      </c>
      <c r="K519">
        <v>1</v>
      </c>
      <c r="L519" t="str">
        <f>HYPERLINK("https://www.fit.edu/faculty-profiles/j/jahanbakhshi-reza/","https://www.fit.edu/faculty-profiles/j/jahanbakhshi-reza/")</f>
        <v>https://www.fit.edu/faculty-profiles/j/jahanbakhshi-reza/</v>
      </c>
    </row>
    <row r="520" spans="1:12" x14ac:dyDescent="0.3">
      <c r="A520">
        <v>141</v>
      </c>
      <c r="B520" t="s">
        <v>387</v>
      </c>
      <c r="C520" t="s">
        <v>380</v>
      </c>
      <c r="D520" t="s">
        <v>381</v>
      </c>
      <c r="E520" t="s">
        <v>388</v>
      </c>
      <c r="F520" t="s">
        <v>62</v>
      </c>
      <c r="G520" t="s">
        <v>63</v>
      </c>
      <c r="H520" t="s">
        <v>85</v>
      </c>
      <c r="I520">
        <v>28</v>
      </c>
      <c r="J520" t="s">
        <v>19</v>
      </c>
      <c r="K520">
        <v>1</v>
      </c>
      <c r="L520" t="str">
        <f>HYPERLINK("https://www.fit.edu/faculty-profiles/l/lee-kibaek/","https://www.fit.edu/faculty-profiles/l/lee-kibaek/")</f>
        <v>https://www.fit.edu/faculty-profiles/l/lee-kibaek/</v>
      </c>
    </row>
    <row r="521" spans="1:12" x14ac:dyDescent="0.3">
      <c r="A521">
        <v>142</v>
      </c>
      <c r="B521" t="s">
        <v>389</v>
      </c>
      <c r="C521" t="s">
        <v>380</v>
      </c>
      <c r="D521" t="s">
        <v>381</v>
      </c>
      <c r="E521" t="s">
        <v>390</v>
      </c>
      <c r="F521" t="s">
        <v>62</v>
      </c>
      <c r="G521" t="s">
        <v>63</v>
      </c>
      <c r="H521" t="s">
        <v>391</v>
      </c>
      <c r="I521">
        <v>5</v>
      </c>
      <c r="J521" t="s">
        <v>19</v>
      </c>
      <c r="K521">
        <v>1</v>
      </c>
      <c r="L521" t="str">
        <f>HYPERLINK("https://www.fit.edu/faculty-profiles/r/riano-rios-camilo/","https://www.fit.edu/faculty-profiles/r/riano-rios-camilo/")</f>
        <v>https://www.fit.edu/faculty-profiles/r/riano-rios-camilo/</v>
      </c>
    </row>
    <row r="522" spans="1:12" hidden="1" x14ac:dyDescent="0.3">
      <c r="A522">
        <v>521</v>
      </c>
      <c r="B522" t="s">
        <v>1201</v>
      </c>
      <c r="C522" t="s">
        <v>1195</v>
      </c>
      <c r="D522" t="s">
        <v>31</v>
      </c>
      <c r="E522" t="s">
        <v>1202</v>
      </c>
      <c r="F522" t="s">
        <v>151</v>
      </c>
      <c r="G522" t="s">
        <v>152</v>
      </c>
      <c r="H522" t="s">
        <v>200</v>
      </c>
      <c r="I522">
        <v>87</v>
      </c>
      <c r="J522" t="s">
        <v>154</v>
      </c>
      <c r="K522">
        <v>3</v>
      </c>
      <c r="L522" t="str">
        <f>HYPERLINK("https://ae.utexas.edu/news/welcome-new-ase-em-faculty-for-fall-2025/","https://ae.utexas.edu/news/welcome-new-ase-em-faculty-for-fall-2025/")</f>
        <v>https://ae.utexas.edu/news/welcome-new-ase-em-faculty-for-fall-2025/</v>
      </c>
    </row>
    <row r="523" spans="1:12" x14ac:dyDescent="0.3">
      <c r="A523">
        <v>143</v>
      </c>
      <c r="B523" t="s">
        <v>392</v>
      </c>
      <c r="C523" t="s">
        <v>380</v>
      </c>
      <c r="D523" t="s">
        <v>381</v>
      </c>
      <c r="E523" t="s">
        <v>393</v>
      </c>
      <c r="F523" t="s">
        <v>62</v>
      </c>
      <c r="G523" t="s">
        <v>63</v>
      </c>
      <c r="H523" t="s">
        <v>39</v>
      </c>
      <c r="I523">
        <v>29</v>
      </c>
      <c r="J523" t="s">
        <v>19</v>
      </c>
      <c r="K523">
        <v>1</v>
      </c>
      <c r="L523" t="str">
        <f>HYPERLINK("https://www.fit.edu/faculty-profiles/t/tiwari-madhur/","https://www.fit.edu/faculty-profiles/t/tiwari-madhur/")</f>
        <v>https://www.fit.edu/faculty-profiles/t/tiwari-madhur/</v>
      </c>
    </row>
    <row r="524" spans="1:12" hidden="1" x14ac:dyDescent="0.3">
      <c r="A524">
        <v>523</v>
      </c>
      <c r="B524" t="s">
        <v>1205</v>
      </c>
      <c r="C524" t="s">
        <v>1195</v>
      </c>
      <c r="D524" t="s">
        <v>31</v>
      </c>
      <c r="E524" t="s">
        <v>1206</v>
      </c>
      <c r="F524" t="s">
        <v>16</v>
      </c>
      <c r="G524" t="s">
        <v>17</v>
      </c>
      <c r="H524" t="s">
        <v>329</v>
      </c>
      <c r="I524">
        <v>46</v>
      </c>
      <c r="J524" t="s">
        <v>19</v>
      </c>
      <c r="K524">
        <v>1</v>
      </c>
      <c r="L524" t="str">
        <f>HYPERLINK("https://oden.utexas.edu/people/directory/leszek-demkowicz/","https://oden.utexas.edu/people/directory/leszek-demkowicz/")</f>
        <v>https://oden.utexas.edu/people/directory/leszek-demkowicz/</v>
      </c>
    </row>
    <row r="525" spans="1:12" x14ac:dyDescent="0.3">
      <c r="A525">
        <v>145</v>
      </c>
      <c r="B525" t="s">
        <v>396</v>
      </c>
      <c r="C525" t="s">
        <v>397</v>
      </c>
      <c r="D525" t="s">
        <v>14</v>
      </c>
      <c r="E525" t="s">
        <v>398</v>
      </c>
      <c r="F525" t="s">
        <v>62</v>
      </c>
      <c r="G525" t="s">
        <v>63</v>
      </c>
      <c r="H525" t="s">
        <v>58</v>
      </c>
      <c r="I525">
        <v>0</v>
      </c>
      <c r="J525" t="s">
        <v>19</v>
      </c>
      <c r="K525">
        <v>1</v>
      </c>
      <c r="L525" t="str">
        <f>HYPERLINK("https://cec.fiu.edu/about/directory/profiles/alicia-aron-boymelgreen.html","https://cec.fiu.edu/about/directory/profiles/alicia-aron-boymelgreen.html")</f>
        <v>https://cec.fiu.edu/about/directory/profiles/alicia-aron-boymelgreen.html</v>
      </c>
    </row>
    <row r="526" spans="1:12" x14ac:dyDescent="0.3">
      <c r="A526">
        <v>146</v>
      </c>
      <c r="B526" t="s">
        <v>399</v>
      </c>
      <c r="C526" t="s">
        <v>397</v>
      </c>
      <c r="D526" t="s">
        <v>14</v>
      </c>
      <c r="E526" t="s">
        <v>400</v>
      </c>
      <c r="F526" t="s">
        <v>62</v>
      </c>
      <c r="G526" t="s">
        <v>63</v>
      </c>
      <c r="H526" t="s">
        <v>88</v>
      </c>
      <c r="I526">
        <v>38</v>
      </c>
      <c r="J526" t="s">
        <v>19</v>
      </c>
      <c r="K526">
        <v>1</v>
      </c>
      <c r="L526" t="str">
        <f>HYPERLINK("https://cec.fiu.edu/about/directory/profiles/tanaji-paul.html","https://cec.fiu.edu/about/directory/profiles/tanaji-paul.html")</f>
        <v>https://cec.fiu.edu/about/directory/profiles/tanaji-paul.html</v>
      </c>
    </row>
    <row r="527" spans="1:12" x14ac:dyDescent="0.3">
      <c r="A527">
        <v>147</v>
      </c>
      <c r="B527" t="s">
        <v>401</v>
      </c>
      <c r="C527" t="s">
        <v>397</v>
      </c>
      <c r="D527" t="s">
        <v>14</v>
      </c>
      <c r="E527" t="s">
        <v>402</v>
      </c>
      <c r="F527" t="s">
        <v>22</v>
      </c>
      <c r="G527" t="s">
        <v>23</v>
      </c>
      <c r="H527" t="s">
        <v>403</v>
      </c>
      <c r="I527">
        <v>32</v>
      </c>
      <c r="J527" t="s">
        <v>19</v>
      </c>
      <c r="K527">
        <v>1</v>
      </c>
      <c r="L527" t="str">
        <f>HYPERLINK("https://cec.fiu.edu/about/directory/profiles/dwayne-mcdaniel.html","https://cec.fiu.edu/about/directory/profiles/dwayne-mcdaniel.html")</f>
        <v>https://cec.fiu.edu/about/directory/profiles/dwayne-mcdaniel.html</v>
      </c>
    </row>
    <row r="528" spans="1:12" x14ac:dyDescent="0.3">
      <c r="A528">
        <v>173</v>
      </c>
      <c r="B528" t="s">
        <v>459</v>
      </c>
      <c r="C528" t="s">
        <v>452</v>
      </c>
      <c r="D528" t="s">
        <v>14</v>
      </c>
      <c r="E528" t="s">
        <v>460</v>
      </c>
      <c r="F528" t="s">
        <v>27</v>
      </c>
      <c r="G528" t="s">
        <v>454</v>
      </c>
      <c r="H528" t="s">
        <v>127</v>
      </c>
      <c r="I528">
        <v>68</v>
      </c>
      <c r="J528" t="s">
        <v>19</v>
      </c>
      <c r="K528">
        <v>1</v>
      </c>
      <c r="L528" t="str">
        <f>HYPERLINK("https://mechanical.gmu.edu/people/faculty","https://mechanical.gmu.edu/people/faculty")</f>
        <v>https://mechanical.gmu.edu/people/faculty</v>
      </c>
    </row>
    <row r="529" spans="1:12" x14ac:dyDescent="0.3">
      <c r="A529">
        <v>180</v>
      </c>
      <c r="B529" t="s">
        <v>473</v>
      </c>
      <c r="C529" t="s">
        <v>474</v>
      </c>
      <c r="D529" t="s">
        <v>161</v>
      </c>
      <c r="E529" t="s">
        <v>475</v>
      </c>
      <c r="F529" t="s">
        <v>27</v>
      </c>
      <c r="G529" t="s">
        <v>476</v>
      </c>
      <c r="H529" t="s">
        <v>124</v>
      </c>
      <c r="I529">
        <v>59</v>
      </c>
      <c r="J529" t="s">
        <v>19</v>
      </c>
      <c r="K529">
        <v>1</v>
      </c>
      <c r="L529" t="str">
        <f>HYPERLINK("https://mae.engineering.gwu.edu/faculty-directory","https://mae.engineering.gwu.edu/faculty-directory")</f>
        <v>https://mae.engineering.gwu.edu/faculty-directory</v>
      </c>
    </row>
    <row r="530" spans="1:12" x14ac:dyDescent="0.3">
      <c r="A530">
        <v>182</v>
      </c>
      <c r="B530" t="s">
        <v>479</v>
      </c>
      <c r="C530" t="s">
        <v>474</v>
      </c>
      <c r="D530" t="s">
        <v>161</v>
      </c>
      <c r="E530" t="s">
        <v>480</v>
      </c>
      <c r="F530" t="s">
        <v>27</v>
      </c>
      <c r="G530" t="s">
        <v>476</v>
      </c>
      <c r="H530" t="s">
        <v>104</v>
      </c>
      <c r="I530">
        <v>31</v>
      </c>
      <c r="J530" t="s">
        <v>19</v>
      </c>
      <c r="K530">
        <v>1</v>
      </c>
      <c r="L530" t="str">
        <f>HYPERLINK("https://mae.engineering.gwu.edu/faculty-directory","https://mae.engineering.gwu.edu/faculty-directory")</f>
        <v>https://mae.engineering.gwu.edu/faculty-directory</v>
      </c>
    </row>
    <row r="531" spans="1:12" x14ac:dyDescent="0.3">
      <c r="A531">
        <v>183</v>
      </c>
      <c r="B531" t="s">
        <v>481</v>
      </c>
      <c r="C531" t="s">
        <v>474</v>
      </c>
      <c r="D531" t="s">
        <v>161</v>
      </c>
      <c r="E531" t="s">
        <v>482</v>
      </c>
      <c r="F531" t="s">
        <v>27</v>
      </c>
      <c r="G531" t="s">
        <v>476</v>
      </c>
      <c r="H531" t="s">
        <v>182</v>
      </c>
      <c r="I531">
        <v>124</v>
      </c>
      <c r="J531" t="s">
        <v>19</v>
      </c>
      <c r="K531">
        <v>1</v>
      </c>
      <c r="L531" t="str">
        <f>HYPERLINK("https://mae.engineering.gwu.edu/faculty-directory","https://mae.engineering.gwu.edu/faculty-directory")</f>
        <v>https://mae.engineering.gwu.edu/faculty-directory</v>
      </c>
    </row>
    <row r="532" spans="1:12" x14ac:dyDescent="0.3">
      <c r="A532">
        <v>184</v>
      </c>
      <c r="B532" t="s">
        <v>483</v>
      </c>
      <c r="C532" t="s">
        <v>474</v>
      </c>
      <c r="D532" t="s">
        <v>161</v>
      </c>
      <c r="E532" t="s">
        <v>484</v>
      </c>
      <c r="F532" t="s">
        <v>27</v>
      </c>
      <c r="G532" t="s">
        <v>476</v>
      </c>
      <c r="H532" t="s">
        <v>200</v>
      </c>
      <c r="I532">
        <v>12</v>
      </c>
      <c r="J532" t="s">
        <v>19</v>
      </c>
      <c r="K532">
        <v>1</v>
      </c>
      <c r="L532" t="str">
        <f>HYPERLINK("https://engineering.gwu.edu/megan-leftwich","https://engineering.gwu.edu/megan-leftwich")</f>
        <v>https://engineering.gwu.edu/megan-leftwich</v>
      </c>
    </row>
    <row r="533" spans="1:12" hidden="1" x14ac:dyDescent="0.3">
      <c r="A533">
        <v>532</v>
      </c>
      <c r="B533" t="s">
        <v>1224</v>
      </c>
      <c r="C533" t="s">
        <v>1218</v>
      </c>
      <c r="D533" t="s">
        <v>31</v>
      </c>
      <c r="E533" t="s">
        <v>1225</v>
      </c>
      <c r="F533" t="s">
        <v>16</v>
      </c>
      <c r="G533" t="s">
        <v>17</v>
      </c>
      <c r="H533" t="s">
        <v>301</v>
      </c>
      <c r="I533">
        <v>12</v>
      </c>
      <c r="J533" t="s">
        <v>19</v>
      </c>
      <c r="K533">
        <v>1</v>
      </c>
      <c r="L533" t="str">
        <f>HYPERLINK("https://engineering.tufts.edu/me/people/faculty/anil-saigal","https://engineering.tufts.edu/me/people/faculty/anil-saigal")</f>
        <v>https://engineering.tufts.edu/me/people/faculty/anil-saigal</v>
      </c>
    </row>
    <row r="534" spans="1:12" x14ac:dyDescent="0.3">
      <c r="A534">
        <v>185</v>
      </c>
      <c r="B534" t="s">
        <v>485</v>
      </c>
      <c r="C534" t="s">
        <v>474</v>
      </c>
      <c r="D534" t="s">
        <v>161</v>
      </c>
      <c r="E534" t="s">
        <v>486</v>
      </c>
      <c r="F534" t="s">
        <v>27</v>
      </c>
      <c r="G534" t="s">
        <v>476</v>
      </c>
      <c r="H534" t="s">
        <v>42</v>
      </c>
      <c r="I534">
        <v>15</v>
      </c>
      <c r="J534" t="s">
        <v>19</v>
      </c>
      <c r="K534">
        <v>1</v>
      </c>
      <c r="L534" t="str">
        <f>HYPERLINK("https://mae.engineering.gwu.edu/faculty-directory","https://mae.engineering.gwu.edu/faculty-directory")</f>
        <v>https://mae.engineering.gwu.edu/faculty-directory</v>
      </c>
    </row>
    <row r="535" spans="1:12" x14ac:dyDescent="0.3">
      <c r="A535">
        <v>186</v>
      </c>
      <c r="B535" t="s">
        <v>487</v>
      </c>
      <c r="C535" t="s">
        <v>474</v>
      </c>
      <c r="D535" t="s">
        <v>161</v>
      </c>
      <c r="E535" t="s">
        <v>488</v>
      </c>
      <c r="F535" t="s">
        <v>27</v>
      </c>
      <c r="G535" t="s">
        <v>476</v>
      </c>
      <c r="H535" t="s">
        <v>124</v>
      </c>
      <c r="I535">
        <v>36</v>
      </c>
      <c r="J535" t="s">
        <v>19</v>
      </c>
      <c r="K535">
        <v>1</v>
      </c>
      <c r="L535" t="str">
        <f>HYPERLINK("https://mae.engineering.gwu.edu/faculty-directory","https://mae.engineering.gwu.edu/faculty-directory")</f>
        <v>https://mae.engineering.gwu.edu/faculty-directory</v>
      </c>
    </row>
    <row r="536" spans="1:12" x14ac:dyDescent="0.3">
      <c r="A536">
        <v>187</v>
      </c>
      <c r="B536" t="s">
        <v>489</v>
      </c>
      <c r="C536" t="s">
        <v>474</v>
      </c>
      <c r="D536" t="s">
        <v>161</v>
      </c>
      <c r="E536" t="s">
        <v>490</v>
      </c>
      <c r="F536" t="s">
        <v>27</v>
      </c>
      <c r="G536" t="s">
        <v>476</v>
      </c>
      <c r="H536" t="s">
        <v>92</v>
      </c>
      <c r="I536">
        <v>55</v>
      </c>
      <c r="J536" t="s">
        <v>19</v>
      </c>
      <c r="K536">
        <v>1</v>
      </c>
      <c r="L536" t="str">
        <f>HYPERLINK("https://mae.engineering.gwu.edu/faculty-directory","https://mae.engineering.gwu.edu/faculty-directory")</f>
        <v>https://mae.engineering.gwu.edu/faculty-directory</v>
      </c>
    </row>
    <row r="537" spans="1:12" hidden="1" x14ac:dyDescent="0.3">
      <c r="A537">
        <v>536</v>
      </c>
      <c r="B537" t="s">
        <v>1231</v>
      </c>
      <c r="C537" t="s">
        <v>1232</v>
      </c>
      <c r="D537" t="s">
        <v>31</v>
      </c>
      <c r="E537" t="s">
        <v>1233</v>
      </c>
      <c r="F537" t="s">
        <v>151</v>
      </c>
      <c r="G537" t="s">
        <v>152</v>
      </c>
      <c r="H537" t="s">
        <v>80</v>
      </c>
      <c r="I537">
        <v>7</v>
      </c>
      <c r="J537" t="s">
        <v>154</v>
      </c>
      <c r="K537">
        <v>3</v>
      </c>
      <c r="L537" t="str">
        <f>HYPERLINK("https://sse.tulane.edu/math/people","https://sse.tulane.edu/math/people")</f>
        <v>https://sse.tulane.edu/math/people</v>
      </c>
    </row>
    <row r="538" spans="1:12" hidden="1" x14ac:dyDescent="0.3">
      <c r="A538">
        <v>537</v>
      </c>
      <c r="B538" t="s">
        <v>1234</v>
      </c>
      <c r="C538" t="s">
        <v>1232</v>
      </c>
      <c r="D538" t="s">
        <v>31</v>
      </c>
      <c r="E538" t="s">
        <v>1235</v>
      </c>
      <c r="F538" t="s">
        <v>151</v>
      </c>
      <c r="G538" t="s">
        <v>152</v>
      </c>
      <c r="H538" t="s">
        <v>182</v>
      </c>
      <c r="I538">
        <v>23</v>
      </c>
      <c r="J538" t="s">
        <v>154</v>
      </c>
      <c r="K538">
        <v>3</v>
      </c>
      <c r="L538" t="str">
        <f>HYPERLINK("https://sse.tulane.edu/math/people","https://sse.tulane.edu/math/people")</f>
        <v>https://sse.tulane.edu/math/people</v>
      </c>
    </row>
    <row r="539" spans="1:12" hidden="1" x14ac:dyDescent="0.3">
      <c r="A539">
        <v>538</v>
      </c>
      <c r="B539" t="s">
        <v>1236</v>
      </c>
      <c r="C539" t="s">
        <v>1232</v>
      </c>
      <c r="D539" t="s">
        <v>31</v>
      </c>
      <c r="E539" t="s">
        <v>1237</v>
      </c>
      <c r="F539" t="s">
        <v>151</v>
      </c>
      <c r="G539" t="s">
        <v>152</v>
      </c>
      <c r="H539" t="s">
        <v>18</v>
      </c>
      <c r="I539">
        <v>29</v>
      </c>
      <c r="J539" t="s">
        <v>154</v>
      </c>
      <c r="K539">
        <v>3</v>
      </c>
      <c r="L539" t="str">
        <f>HYPERLINK("https://sse.tulane.edu/math/people","https://sse.tulane.edu/math/people")</f>
        <v>https://sse.tulane.edu/math/people</v>
      </c>
    </row>
    <row r="540" spans="1:12" hidden="1" x14ac:dyDescent="0.3">
      <c r="A540">
        <v>539</v>
      </c>
      <c r="B540" t="s">
        <v>1238</v>
      </c>
      <c r="C540" t="s">
        <v>1232</v>
      </c>
      <c r="D540" t="s">
        <v>31</v>
      </c>
      <c r="E540" t="s">
        <v>1239</v>
      </c>
      <c r="F540" t="s">
        <v>151</v>
      </c>
      <c r="G540" t="s">
        <v>152</v>
      </c>
      <c r="H540" t="s">
        <v>18</v>
      </c>
      <c r="I540">
        <v>37</v>
      </c>
      <c r="J540" t="s">
        <v>154</v>
      </c>
      <c r="K540">
        <v>3</v>
      </c>
      <c r="L540" t="str">
        <f>HYPERLINK("https://sse.tulane.edu/math/people","https://sse.tulane.edu/math/people")</f>
        <v>https://sse.tulane.edu/math/people</v>
      </c>
    </row>
    <row r="541" spans="1:12" x14ac:dyDescent="0.3">
      <c r="A541">
        <v>189</v>
      </c>
      <c r="B541" t="s">
        <v>492</v>
      </c>
      <c r="C541" t="s">
        <v>493</v>
      </c>
      <c r="D541" t="s">
        <v>112</v>
      </c>
      <c r="E541" t="s">
        <v>494</v>
      </c>
      <c r="F541" t="s">
        <v>16</v>
      </c>
      <c r="G541" t="s">
        <v>17</v>
      </c>
      <c r="H541" t="s">
        <v>495</v>
      </c>
      <c r="I541">
        <v>75</v>
      </c>
      <c r="J541" t="s">
        <v>19</v>
      </c>
      <c r="K541">
        <v>1</v>
      </c>
      <c r="L541" t="str">
        <f>HYPERLINK("https://seas.harvard.edu/person/petros-koumoutsakos","https://seas.harvard.edu/person/petros-koumoutsakos")</f>
        <v>https://seas.harvard.edu/person/petros-koumoutsakos</v>
      </c>
    </row>
    <row r="542" spans="1:12" x14ac:dyDescent="0.3">
      <c r="A542">
        <v>190</v>
      </c>
      <c r="B542" t="s">
        <v>496</v>
      </c>
      <c r="C542" t="s">
        <v>493</v>
      </c>
      <c r="D542" t="s">
        <v>112</v>
      </c>
      <c r="E542" t="s">
        <v>497</v>
      </c>
      <c r="F542" t="s">
        <v>16</v>
      </c>
      <c r="G542" t="s">
        <v>17</v>
      </c>
      <c r="H542" t="s">
        <v>153</v>
      </c>
      <c r="I542">
        <v>80</v>
      </c>
      <c r="J542" t="s">
        <v>19</v>
      </c>
      <c r="K542">
        <v>1</v>
      </c>
      <c r="L542" t="str">
        <f>HYPERLINK("https://seas.harvard.edu/person/michael-brenner","https://seas.harvard.edu/person/michael-brenner")</f>
        <v>https://seas.harvard.edu/person/michael-brenner</v>
      </c>
    </row>
    <row r="543" spans="1:12" hidden="1" x14ac:dyDescent="0.3">
      <c r="A543">
        <v>542</v>
      </c>
      <c r="B543" t="s">
        <v>1243</v>
      </c>
      <c r="C543" t="s">
        <v>1244</v>
      </c>
      <c r="D543" t="s">
        <v>31</v>
      </c>
      <c r="E543" t="s">
        <v>1245</v>
      </c>
      <c r="F543" t="s">
        <v>16</v>
      </c>
      <c r="G543" t="s">
        <v>17</v>
      </c>
      <c r="H543" t="s">
        <v>200</v>
      </c>
      <c r="I543">
        <v>23</v>
      </c>
      <c r="J543" t="s">
        <v>19</v>
      </c>
      <c r="K543">
        <v>1</v>
      </c>
      <c r="L543" t="str">
        <f>HYPERLINK("https://www.atmos.albany.edu/facstaff/jminder/","https://www.atmos.albany.edu/facstaff/jminder/")</f>
        <v>https://www.atmos.albany.edu/facstaff/jminder/</v>
      </c>
    </row>
    <row r="544" spans="1:12" hidden="1" x14ac:dyDescent="0.3">
      <c r="A544">
        <v>543</v>
      </c>
      <c r="B544" t="s">
        <v>1246</v>
      </c>
      <c r="C544" t="s">
        <v>1244</v>
      </c>
      <c r="D544" t="s">
        <v>31</v>
      </c>
      <c r="E544" t="s">
        <v>1247</v>
      </c>
      <c r="F544" t="s">
        <v>16</v>
      </c>
      <c r="G544" t="s">
        <v>17</v>
      </c>
      <c r="H544" t="s">
        <v>92</v>
      </c>
      <c r="I544">
        <v>20</v>
      </c>
      <c r="J544" t="s">
        <v>19</v>
      </c>
      <c r="K544">
        <v>1</v>
      </c>
      <c r="L544" t="str">
        <f>HYPERLINK("https://www.atmos.albany.edu/facstaff/btang/","https://www.atmos.albany.edu/facstaff/btang/")</f>
        <v>https://www.atmos.albany.edu/facstaff/btang/</v>
      </c>
    </row>
    <row r="545" spans="1:12" hidden="1" x14ac:dyDescent="0.3">
      <c r="A545">
        <v>544</v>
      </c>
      <c r="B545" t="s">
        <v>1248</v>
      </c>
      <c r="C545" t="s">
        <v>1244</v>
      </c>
      <c r="D545" t="s">
        <v>31</v>
      </c>
      <c r="E545" t="s">
        <v>1249</v>
      </c>
      <c r="F545" t="s">
        <v>83</v>
      </c>
      <c r="G545" t="s">
        <v>84</v>
      </c>
      <c r="H545" t="s">
        <v>200</v>
      </c>
      <c r="I545">
        <v>12</v>
      </c>
      <c r="J545" t="s">
        <v>19</v>
      </c>
      <c r="K545">
        <v>1</v>
      </c>
      <c r="L545" t="str">
        <f>HYPERLINK("https://www.atmos.albany.edu/facstaff/kristen/","https://www.atmos.albany.edu/facstaff/kristen/")</f>
        <v>https://www.atmos.albany.edu/facstaff/kristen/</v>
      </c>
    </row>
    <row r="546" spans="1:12" hidden="1" x14ac:dyDescent="0.3">
      <c r="A546">
        <v>545</v>
      </c>
      <c r="B546" t="s">
        <v>1250</v>
      </c>
      <c r="C546" t="s">
        <v>1244</v>
      </c>
      <c r="D546" t="s">
        <v>31</v>
      </c>
      <c r="E546" t="s">
        <v>1251</v>
      </c>
      <c r="F546" t="s">
        <v>27</v>
      </c>
      <c r="G546" t="s">
        <v>28</v>
      </c>
      <c r="H546" t="s">
        <v>1252</v>
      </c>
      <c r="I546">
        <v>2</v>
      </c>
      <c r="J546" t="s">
        <v>19</v>
      </c>
      <c r="K546">
        <v>1</v>
      </c>
      <c r="L546" t="str">
        <f>HYPERLINK("https://www.atmos.albany.edu/facstaff/alang/","https://www.atmos.albany.edu/facstaff/alang/")</f>
        <v>https://www.atmos.albany.edu/facstaff/alang/</v>
      </c>
    </row>
    <row r="547" spans="1:12" x14ac:dyDescent="0.3">
      <c r="A547">
        <v>191</v>
      </c>
      <c r="B547" t="s">
        <v>498</v>
      </c>
      <c r="C547" t="s">
        <v>493</v>
      </c>
      <c r="D547" t="s">
        <v>112</v>
      </c>
      <c r="E547" t="s">
        <v>499</v>
      </c>
      <c r="F547" t="s">
        <v>16</v>
      </c>
      <c r="G547" t="s">
        <v>17</v>
      </c>
      <c r="H547" t="s">
        <v>29</v>
      </c>
      <c r="I547">
        <v>130</v>
      </c>
      <c r="J547" t="s">
        <v>19</v>
      </c>
      <c r="K547">
        <v>1</v>
      </c>
      <c r="L547" t="str">
        <f>HYPERLINK("https://seas.harvard.edu/person/l-mahadevan","https://seas.harvard.edu/person/l-mahadevan")</f>
        <v>https://seas.harvard.edu/person/l-mahadevan</v>
      </c>
    </row>
    <row r="548" spans="1:12" x14ac:dyDescent="0.3">
      <c r="A548">
        <v>192</v>
      </c>
      <c r="B548" t="s">
        <v>500</v>
      </c>
      <c r="C548" t="s">
        <v>493</v>
      </c>
      <c r="D548" t="s">
        <v>112</v>
      </c>
      <c r="E548" t="s">
        <v>501</v>
      </c>
      <c r="F548" t="s">
        <v>16</v>
      </c>
      <c r="G548" t="s">
        <v>17</v>
      </c>
      <c r="H548" t="s">
        <v>39</v>
      </c>
      <c r="I548">
        <v>64</v>
      </c>
      <c r="J548" t="s">
        <v>19</v>
      </c>
      <c r="K548">
        <v>1</v>
      </c>
      <c r="L548" t="str">
        <f>HYPERLINK("https://seas.harvard.edu/person/robin-wordsworth","https://seas.harvard.edu/person/robin-wordsworth")</f>
        <v>https://seas.harvard.edu/person/robin-wordsworth</v>
      </c>
    </row>
    <row r="549" spans="1:12" x14ac:dyDescent="0.3">
      <c r="A549">
        <v>194</v>
      </c>
      <c r="B549" t="s">
        <v>504</v>
      </c>
      <c r="C549" t="s">
        <v>493</v>
      </c>
      <c r="D549" t="s">
        <v>112</v>
      </c>
      <c r="E549" t="s">
        <v>505</v>
      </c>
      <c r="F549" t="s">
        <v>16</v>
      </c>
      <c r="G549" t="s">
        <v>17</v>
      </c>
      <c r="H549" t="s">
        <v>273</v>
      </c>
      <c r="I549">
        <v>78</v>
      </c>
      <c r="J549" t="s">
        <v>19</v>
      </c>
      <c r="K549">
        <v>1</v>
      </c>
      <c r="L549" t="str">
        <f>HYPERLINK("https://seas.harvard.edu/person/katia-bertoldi","https://seas.harvard.edu/person/katia-bertoldi")</f>
        <v>https://seas.harvard.edu/person/katia-bertoldi</v>
      </c>
    </row>
    <row r="550" spans="1:12" x14ac:dyDescent="0.3">
      <c r="A550">
        <v>195</v>
      </c>
      <c r="B550" t="s">
        <v>506</v>
      </c>
      <c r="C550" t="s">
        <v>493</v>
      </c>
      <c r="D550" t="s">
        <v>112</v>
      </c>
      <c r="E550" t="s">
        <v>507</v>
      </c>
      <c r="F550" t="s">
        <v>16</v>
      </c>
      <c r="G550" t="s">
        <v>17</v>
      </c>
      <c r="H550" t="s">
        <v>508</v>
      </c>
      <c r="I550">
        <v>75</v>
      </c>
      <c r="J550" t="s">
        <v>19</v>
      </c>
      <c r="K550">
        <v>1</v>
      </c>
      <c r="L550" t="str">
        <f>HYPERLINK("https://seas.harvard.edu/person/robert-wood","https://seas.harvard.edu/person/robert-wood")</f>
        <v>https://seas.harvard.edu/person/robert-wood</v>
      </c>
    </row>
    <row r="551" spans="1:12" x14ac:dyDescent="0.3">
      <c r="A551">
        <v>196</v>
      </c>
      <c r="B551" t="s">
        <v>509</v>
      </c>
      <c r="C551" t="s">
        <v>493</v>
      </c>
      <c r="D551" t="s">
        <v>112</v>
      </c>
      <c r="E551" t="s">
        <v>510</v>
      </c>
      <c r="F551" t="s">
        <v>16</v>
      </c>
      <c r="G551" t="s">
        <v>17</v>
      </c>
      <c r="H551" t="s">
        <v>329</v>
      </c>
      <c r="I551">
        <v>166</v>
      </c>
      <c r="J551" t="s">
        <v>19</v>
      </c>
      <c r="K551">
        <v>1</v>
      </c>
      <c r="L551" t="str">
        <f>HYPERLINK("https://seas.harvard.edu/person/daniel-jacob","https://seas.harvard.edu/person/daniel-jacob")</f>
        <v>https://seas.harvard.edu/person/daniel-jacob</v>
      </c>
    </row>
    <row r="552" spans="1:12" x14ac:dyDescent="0.3">
      <c r="A552">
        <v>197</v>
      </c>
      <c r="B552" t="s">
        <v>511</v>
      </c>
      <c r="C552" t="s">
        <v>512</v>
      </c>
      <c r="D552" t="s">
        <v>14</v>
      </c>
      <c r="E552" t="s">
        <v>513</v>
      </c>
      <c r="F552" t="s">
        <v>16</v>
      </c>
      <c r="G552" t="s">
        <v>17</v>
      </c>
      <c r="H552" t="s">
        <v>42</v>
      </c>
      <c r="I552">
        <v>3</v>
      </c>
      <c r="J552" t="s">
        <v>19</v>
      </c>
      <c r="K552">
        <v>1</v>
      </c>
      <c r="L552" t="str">
        <f>HYPERLINK("https://profiles.howard.edu/achille-messac","https://profiles.howard.edu/achille-messac")</f>
        <v>https://profiles.howard.edu/achille-messac</v>
      </c>
    </row>
    <row r="553" spans="1:12" x14ac:dyDescent="0.3">
      <c r="A553">
        <v>200</v>
      </c>
      <c r="B553" t="s">
        <v>520</v>
      </c>
      <c r="C553" t="s">
        <v>521</v>
      </c>
      <c r="D553" t="s">
        <v>161</v>
      </c>
      <c r="E553" t="s">
        <v>522</v>
      </c>
      <c r="F553" t="s">
        <v>83</v>
      </c>
      <c r="G553" t="s">
        <v>84</v>
      </c>
      <c r="H553" t="s">
        <v>80</v>
      </c>
      <c r="I553">
        <v>37</v>
      </c>
      <c r="J553" t="s">
        <v>19</v>
      </c>
      <c r="K553">
        <v>1</v>
      </c>
      <c r="L553" t="str">
        <f>HYPERLINK("https://www.iit.edu/directory/people/louis-cattafesta-iii","https://www.iit.edu/directory/people/louis-cattafesta-iii")</f>
        <v>https://www.iit.edu/directory/people/louis-cattafesta-iii</v>
      </c>
    </row>
    <row r="554" spans="1:12" x14ac:dyDescent="0.3">
      <c r="A554">
        <v>201</v>
      </c>
      <c r="B554" t="s">
        <v>523</v>
      </c>
      <c r="C554" t="s">
        <v>521</v>
      </c>
      <c r="D554" t="s">
        <v>161</v>
      </c>
      <c r="E554" t="s">
        <v>524</v>
      </c>
      <c r="F554" t="s">
        <v>16</v>
      </c>
      <c r="G554" t="s">
        <v>17</v>
      </c>
      <c r="H554" t="s">
        <v>67</v>
      </c>
      <c r="I554">
        <v>2</v>
      </c>
      <c r="J554" t="s">
        <v>19</v>
      </c>
      <c r="K554">
        <v>1</v>
      </c>
      <c r="L554" t="str">
        <f>HYPERLINK("https://www.iit.edu/directory/people/kevin-cassel","https://www.iit.edu/directory/people/kevin-cassel")</f>
        <v>https://www.iit.edu/directory/people/kevin-cassel</v>
      </c>
    </row>
    <row r="555" spans="1:12" hidden="1" x14ac:dyDescent="0.3">
      <c r="A555">
        <v>554</v>
      </c>
      <c r="B555" t="s">
        <v>1267</v>
      </c>
      <c r="C555" t="s">
        <v>1254</v>
      </c>
      <c r="D555" t="s">
        <v>31</v>
      </c>
      <c r="E555" t="s">
        <v>1268</v>
      </c>
      <c r="F555" t="s">
        <v>151</v>
      </c>
      <c r="G555" t="s">
        <v>152</v>
      </c>
      <c r="H555" t="s">
        <v>159</v>
      </c>
      <c r="I555">
        <v>26</v>
      </c>
      <c r="J555" t="s">
        <v>154</v>
      </c>
      <c r="K555">
        <v>3</v>
      </c>
      <c r="L555" t="str">
        <f>HYPERLINK("https://www.buffalo.edu/cas/math/people/faculty/Daozhi-Han.html","https://www.buffalo.edu/cas/math/people/faculty/Daozhi-Han.html")</f>
        <v>https://www.buffalo.edu/cas/math/people/faculty/Daozhi-Han.html</v>
      </c>
    </row>
    <row r="556" spans="1:12" hidden="1" x14ac:dyDescent="0.3">
      <c r="A556">
        <v>555</v>
      </c>
      <c r="B556" t="s">
        <v>1269</v>
      </c>
      <c r="C556" t="s">
        <v>1254</v>
      </c>
      <c r="D556" t="s">
        <v>31</v>
      </c>
      <c r="E556" t="s">
        <v>57</v>
      </c>
      <c r="F556" t="s">
        <v>151</v>
      </c>
      <c r="G556" t="s">
        <v>152</v>
      </c>
      <c r="H556" t="s">
        <v>58</v>
      </c>
      <c r="I556">
        <v>0</v>
      </c>
      <c r="J556" t="s">
        <v>154</v>
      </c>
      <c r="K556">
        <v>3</v>
      </c>
      <c r="L556" t="str">
        <f>HYPERLINK("https://www.buffalo.edu/cas/math/people/faculty/dyachenko.html","https://www.buffalo.edu/cas/math/people/faculty/dyachenko.html")</f>
        <v>https://www.buffalo.edu/cas/math/people/faculty/dyachenko.html</v>
      </c>
    </row>
    <row r="557" spans="1:12" x14ac:dyDescent="0.3">
      <c r="A557">
        <v>202</v>
      </c>
      <c r="B557" t="s">
        <v>525</v>
      </c>
      <c r="C557" t="s">
        <v>521</v>
      </c>
      <c r="D557" t="s">
        <v>161</v>
      </c>
      <c r="E557" t="s">
        <v>526</v>
      </c>
      <c r="F557" t="s">
        <v>22</v>
      </c>
      <c r="G557" t="s">
        <v>23</v>
      </c>
      <c r="H557" t="s">
        <v>519</v>
      </c>
      <c r="I557">
        <v>50</v>
      </c>
      <c r="J557" t="s">
        <v>19</v>
      </c>
      <c r="K557">
        <v>1</v>
      </c>
      <c r="L557" t="str">
        <f>HYPERLINK("https://www.iit.edu/directory/people/scott-dawson","https://www.iit.edu/directory/people/scott-dawson")</f>
        <v>https://www.iit.edu/directory/people/scott-dawson</v>
      </c>
    </row>
    <row r="558" spans="1:12" x14ac:dyDescent="0.3">
      <c r="A558">
        <v>203</v>
      </c>
      <c r="B558" t="s">
        <v>527</v>
      </c>
      <c r="C558" t="s">
        <v>521</v>
      </c>
      <c r="D558" t="s">
        <v>161</v>
      </c>
      <c r="E558" t="s">
        <v>528</v>
      </c>
      <c r="F558" t="s">
        <v>62</v>
      </c>
      <c r="G558" t="s">
        <v>63</v>
      </c>
      <c r="H558" t="s">
        <v>182</v>
      </c>
      <c r="I558">
        <v>9</v>
      </c>
      <c r="J558" t="s">
        <v>19</v>
      </c>
      <c r="K558">
        <v>1</v>
      </c>
      <c r="L558" t="str">
        <f>HYPERLINK("https://www.iit.edu/directory/people/douglas-carter","https://www.iit.edu/directory/people/douglas-carter")</f>
        <v>https://www.iit.edu/directory/people/douglas-carter</v>
      </c>
    </row>
    <row r="559" spans="1:12" x14ac:dyDescent="0.3">
      <c r="A559">
        <v>204</v>
      </c>
      <c r="B559" t="s">
        <v>529</v>
      </c>
      <c r="C559" t="s">
        <v>521</v>
      </c>
      <c r="D559" t="s">
        <v>161</v>
      </c>
      <c r="E559" t="s">
        <v>530</v>
      </c>
      <c r="F559" t="s">
        <v>22</v>
      </c>
      <c r="G559" t="s">
        <v>23</v>
      </c>
      <c r="H559" t="s">
        <v>531</v>
      </c>
      <c r="I559">
        <v>37</v>
      </c>
      <c r="J559" t="s">
        <v>19</v>
      </c>
      <c r="K559">
        <v>1</v>
      </c>
      <c r="L559" t="str">
        <f>HYPERLINK("https://www.iit.edu/directory/people/carrie-hall","https://www.iit.edu/directory/people/carrie-hall")</f>
        <v>https://www.iit.edu/directory/people/carrie-hall</v>
      </c>
    </row>
    <row r="560" spans="1:12" x14ac:dyDescent="0.3">
      <c r="A560">
        <v>205</v>
      </c>
      <c r="B560" t="s">
        <v>532</v>
      </c>
      <c r="C560" t="s">
        <v>521</v>
      </c>
      <c r="D560" t="s">
        <v>161</v>
      </c>
      <c r="E560" t="s">
        <v>57</v>
      </c>
      <c r="F560" t="s">
        <v>16</v>
      </c>
      <c r="G560" t="s">
        <v>17</v>
      </c>
      <c r="H560" t="s">
        <v>58</v>
      </c>
      <c r="I560">
        <v>0</v>
      </c>
      <c r="J560" t="s">
        <v>19</v>
      </c>
      <c r="K560">
        <v>1</v>
      </c>
      <c r="L560" t="str">
        <f>HYPERLINK("https://www.iit.edu/directory/people/boris-pervan","https://www.iit.edu/directory/people/boris-pervan")</f>
        <v>https://www.iit.edu/directory/people/boris-pervan</v>
      </c>
    </row>
    <row r="561" spans="1:12" x14ac:dyDescent="0.3">
      <c r="A561">
        <v>206</v>
      </c>
      <c r="B561" t="s">
        <v>533</v>
      </c>
      <c r="C561" t="s">
        <v>521</v>
      </c>
      <c r="D561" t="s">
        <v>161</v>
      </c>
      <c r="E561" t="s">
        <v>534</v>
      </c>
      <c r="F561" t="s">
        <v>16</v>
      </c>
      <c r="G561" t="s">
        <v>17</v>
      </c>
      <c r="H561" t="s">
        <v>172</v>
      </c>
      <c r="I561">
        <v>1</v>
      </c>
      <c r="J561" t="s">
        <v>19</v>
      </c>
      <c r="K561">
        <v>1</v>
      </c>
      <c r="L561" t="str">
        <f>HYPERLINK("https://www.iit.edu/directory/people/matthew-spenko","https://www.iit.edu/directory/people/matthew-spenko")</f>
        <v>https://www.iit.edu/directory/people/matthew-spenko</v>
      </c>
    </row>
    <row r="562" spans="1:12" x14ac:dyDescent="0.3">
      <c r="A562">
        <v>207</v>
      </c>
      <c r="B562" t="s">
        <v>535</v>
      </c>
      <c r="C562" t="s">
        <v>521</v>
      </c>
      <c r="D562" t="s">
        <v>161</v>
      </c>
      <c r="E562" t="s">
        <v>536</v>
      </c>
      <c r="F562" t="s">
        <v>16</v>
      </c>
      <c r="G562" t="s">
        <v>17</v>
      </c>
      <c r="H562" t="s">
        <v>200</v>
      </c>
      <c r="I562">
        <v>17</v>
      </c>
      <c r="J562" t="s">
        <v>19</v>
      </c>
      <c r="K562">
        <v>1</v>
      </c>
      <c r="L562" t="str">
        <f>HYPERLINK("https://www.iit.edu/directory/people/ankit-srivastava","https://www.iit.edu/directory/people/ankit-srivastava")</f>
        <v>https://www.iit.edu/directory/people/ankit-srivastava</v>
      </c>
    </row>
    <row r="563" spans="1:12" x14ac:dyDescent="0.3">
      <c r="A563">
        <v>209</v>
      </c>
      <c r="B563" t="s">
        <v>540</v>
      </c>
      <c r="C563" t="s">
        <v>541</v>
      </c>
      <c r="D563" t="s">
        <v>48</v>
      </c>
      <c r="E563" t="s">
        <v>542</v>
      </c>
      <c r="F563" t="s">
        <v>16</v>
      </c>
      <c r="G563" t="s">
        <v>17</v>
      </c>
      <c r="H563" t="s">
        <v>220</v>
      </c>
      <c r="I563">
        <v>120</v>
      </c>
      <c r="J563" t="s">
        <v>19</v>
      </c>
      <c r="K563">
        <v>1</v>
      </c>
      <c r="L563" t="str">
        <f>HYPERLINK("https://www.engineering.iastate.edu/people/profile/huhui/","https://www.engineering.iastate.edu/people/profile/huhui/")</f>
        <v>https://www.engineering.iastate.edu/people/profile/huhui/</v>
      </c>
    </row>
    <row r="564" spans="1:12" x14ac:dyDescent="0.3">
      <c r="A564">
        <v>210</v>
      </c>
      <c r="B564" t="s">
        <v>543</v>
      </c>
      <c r="C564" t="s">
        <v>541</v>
      </c>
      <c r="D564" t="s">
        <v>48</v>
      </c>
      <c r="E564" t="s">
        <v>544</v>
      </c>
      <c r="F564" t="s">
        <v>16</v>
      </c>
      <c r="G564" t="s">
        <v>17</v>
      </c>
      <c r="H564" t="s">
        <v>92</v>
      </c>
      <c r="I564">
        <v>77</v>
      </c>
      <c r="J564" t="s">
        <v>19</v>
      </c>
      <c r="K564">
        <v>1</v>
      </c>
      <c r="L564" t="str">
        <f>HYPERLINK("https://www.engineering.iastate.edu/people/profile/sharma/","https://www.engineering.iastate.edu/people/profile/sharma/")</f>
        <v>https://www.engineering.iastate.edu/people/profile/sharma/</v>
      </c>
    </row>
    <row r="565" spans="1:12" x14ac:dyDescent="0.3">
      <c r="A565">
        <v>211</v>
      </c>
      <c r="B565" t="s">
        <v>545</v>
      </c>
      <c r="C565" t="s">
        <v>541</v>
      </c>
      <c r="D565" t="s">
        <v>48</v>
      </c>
      <c r="E565" t="s">
        <v>546</v>
      </c>
      <c r="F565" t="s">
        <v>16</v>
      </c>
      <c r="G565" t="s">
        <v>17</v>
      </c>
      <c r="H565" t="s">
        <v>80</v>
      </c>
      <c r="I565">
        <v>18</v>
      </c>
      <c r="J565" t="s">
        <v>19</v>
      </c>
      <c r="K565">
        <v>1</v>
      </c>
      <c r="L565" t="str">
        <f>HYPERLINK("https://www.engineering.iastate.edu/people/profile/ppsarkar/","https://www.engineering.iastate.edu/people/profile/ppsarkar/")</f>
        <v>https://www.engineering.iastate.edu/people/profile/ppsarkar/</v>
      </c>
    </row>
    <row r="566" spans="1:12" x14ac:dyDescent="0.3">
      <c r="A566">
        <v>212</v>
      </c>
      <c r="B566" t="s">
        <v>547</v>
      </c>
      <c r="C566" t="s">
        <v>541</v>
      </c>
      <c r="D566" t="s">
        <v>48</v>
      </c>
      <c r="E566" t="s">
        <v>548</v>
      </c>
      <c r="F566" t="s">
        <v>62</v>
      </c>
      <c r="G566" t="s">
        <v>63</v>
      </c>
      <c r="H566" t="s">
        <v>104</v>
      </c>
      <c r="I566">
        <v>151</v>
      </c>
      <c r="J566" t="s">
        <v>19</v>
      </c>
      <c r="K566">
        <v>1</v>
      </c>
      <c r="L566" t="str">
        <f>HYPERLINK("https://www.engineering.iastate.edu/people/profile/phe/","https://www.engineering.iastate.edu/people/profile/phe/")</f>
        <v>https://www.engineering.iastate.edu/people/profile/phe/</v>
      </c>
    </row>
    <row r="567" spans="1:12" x14ac:dyDescent="0.3">
      <c r="A567">
        <v>213</v>
      </c>
      <c r="B567" t="s">
        <v>549</v>
      </c>
      <c r="C567" t="s">
        <v>541</v>
      </c>
      <c r="D567" t="s">
        <v>48</v>
      </c>
      <c r="E567" t="s">
        <v>550</v>
      </c>
      <c r="F567" t="s">
        <v>62</v>
      </c>
      <c r="G567" t="s">
        <v>63</v>
      </c>
      <c r="H567" t="s">
        <v>127</v>
      </c>
      <c r="I567">
        <v>5</v>
      </c>
      <c r="J567" t="s">
        <v>19</v>
      </c>
      <c r="K567">
        <v>1</v>
      </c>
      <c r="L567" t="str">
        <f>HYPERLINK("https://www.engineering.iastate.edu/people/profile/sidgs/","https://www.engineering.iastate.edu/people/profile/sidgs/")</f>
        <v>https://www.engineering.iastate.edu/people/profile/sidgs/</v>
      </c>
    </row>
    <row r="568" spans="1:12" x14ac:dyDescent="0.3">
      <c r="A568">
        <v>214</v>
      </c>
      <c r="B568" t="s">
        <v>551</v>
      </c>
      <c r="C568" t="s">
        <v>541</v>
      </c>
      <c r="D568" t="s">
        <v>48</v>
      </c>
      <c r="E568" t="s">
        <v>552</v>
      </c>
      <c r="F568" t="s">
        <v>62</v>
      </c>
      <c r="G568" t="s">
        <v>63</v>
      </c>
      <c r="H568" t="s">
        <v>140</v>
      </c>
      <c r="I568">
        <v>47</v>
      </c>
      <c r="J568" t="s">
        <v>19</v>
      </c>
      <c r="K568">
        <v>1</v>
      </c>
      <c r="L568" t="str">
        <f>HYPERLINK("https://www.engineering.iastate.edu/people/profile/hgao1/","https://www.engineering.iastate.edu/people/profile/hgao1/")</f>
        <v>https://www.engineering.iastate.edu/people/profile/hgao1/</v>
      </c>
    </row>
    <row r="569" spans="1:12" x14ac:dyDescent="0.3">
      <c r="A569">
        <v>215</v>
      </c>
      <c r="B569" t="s">
        <v>553</v>
      </c>
      <c r="C569" t="s">
        <v>541</v>
      </c>
      <c r="D569" t="s">
        <v>14</v>
      </c>
      <c r="E569" t="s">
        <v>554</v>
      </c>
      <c r="F569" t="s">
        <v>16</v>
      </c>
      <c r="G569" t="s">
        <v>17</v>
      </c>
      <c r="H569" t="s">
        <v>124</v>
      </c>
      <c r="I569">
        <v>26</v>
      </c>
      <c r="J569" t="s">
        <v>19</v>
      </c>
      <c r="K569">
        <v>1</v>
      </c>
      <c r="L569" t="str">
        <f>HYPERLINK("https://www.engineering.iastate.edu/people/profile/theindel/","https://www.engineering.iastate.edu/people/profile/theindel/")</f>
        <v>https://www.engineering.iastate.edu/people/profile/theindel/</v>
      </c>
    </row>
    <row r="570" spans="1:12" x14ac:dyDescent="0.3">
      <c r="A570">
        <v>216</v>
      </c>
      <c r="B570" t="s">
        <v>555</v>
      </c>
      <c r="C570" t="s">
        <v>541</v>
      </c>
      <c r="D570" t="s">
        <v>14</v>
      </c>
      <c r="E570" t="s">
        <v>556</v>
      </c>
      <c r="F570" t="s">
        <v>16</v>
      </c>
      <c r="G570" t="s">
        <v>17</v>
      </c>
      <c r="H570" t="s">
        <v>159</v>
      </c>
      <c r="I570">
        <v>194</v>
      </c>
      <c r="J570" t="s">
        <v>19</v>
      </c>
      <c r="K570">
        <v>1</v>
      </c>
      <c r="L570" t="str">
        <f>HYPERLINK("https://www.engineering.iastate.edu/people/profile/baskarg/","https://www.engineering.iastate.edu/people/profile/baskarg/")</f>
        <v>https://www.engineering.iastate.edu/people/profile/baskarg/</v>
      </c>
    </row>
    <row r="571" spans="1:12" x14ac:dyDescent="0.3">
      <c r="A571">
        <v>217</v>
      </c>
      <c r="B571" t="s">
        <v>557</v>
      </c>
      <c r="C571" t="s">
        <v>541</v>
      </c>
      <c r="D571" t="s">
        <v>14</v>
      </c>
      <c r="E571" t="s">
        <v>558</v>
      </c>
      <c r="F571" t="s">
        <v>16</v>
      </c>
      <c r="G571" t="s">
        <v>17</v>
      </c>
      <c r="H571" t="s">
        <v>159</v>
      </c>
      <c r="I571">
        <v>25</v>
      </c>
      <c r="J571" t="s">
        <v>19</v>
      </c>
      <c r="K571">
        <v>1</v>
      </c>
      <c r="L571" t="str">
        <f>HYPERLINK("https://www.engineering.iastate.edu/people/profile/albertop/","https://www.engineering.iastate.edu/people/profile/albertop/")</f>
        <v>https://www.engineering.iastate.edu/people/profile/albertop/</v>
      </c>
    </row>
    <row r="572" spans="1:12" x14ac:dyDescent="0.3">
      <c r="A572">
        <v>218</v>
      </c>
      <c r="B572" t="s">
        <v>559</v>
      </c>
      <c r="C572" t="s">
        <v>560</v>
      </c>
      <c r="D572" t="s">
        <v>14</v>
      </c>
      <c r="E572" t="s">
        <v>561</v>
      </c>
      <c r="F572" t="s">
        <v>27</v>
      </c>
      <c r="G572" t="s">
        <v>476</v>
      </c>
      <c r="H572" t="s">
        <v>45</v>
      </c>
      <c r="I572">
        <v>44</v>
      </c>
      <c r="J572" t="s">
        <v>19</v>
      </c>
      <c r="K572">
        <v>1</v>
      </c>
      <c r="L572" t="str">
        <f>HYPERLINK("https://me.jhu.edu/faculty/charles-meneveau/","https://me.jhu.edu/faculty/charles-meneveau/")</f>
        <v>https://me.jhu.edu/faculty/charles-meneveau/</v>
      </c>
    </row>
    <row r="573" spans="1:12" x14ac:dyDescent="0.3">
      <c r="A573">
        <v>219</v>
      </c>
      <c r="B573" t="s">
        <v>562</v>
      </c>
      <c r="C573" t="s">
        <v>560</v>
      </c>
      <c r="D573" t="s">
        <v>14</v>
      </c>
      <c r="E573" t="s">
        <v>563</v>
      </c>
      <c r="F573" t="s">
        <v>27</v>
      </c>
      <c r="G573" t="s">
        <v>476</v>
      </c>
      <c r="H573" t="s">
        <v>314</v>
      </c>
      <c r="I573">
        <v>30</v>
      </c>
      <c r="J573" t="s">
        <v>19</v>
      </c>
      <c r="K573">
        <v>1</v>
      </c>
      <c r="L573" t="str">
        <f>HYPERLINK("https://me.jhu.edu/faculty/joseph-katz/","https://me.jhu.edu/faculty/joseph-katz/")</f>
        <v>https://me.jhu.edu/faculty/joseph-katz/</v>
      </c>
    </row>
    <row r="574" spans="1:12" x14ac:dyDescent="0.3">
      <c r="A574">
        <v>220</v>
      </c>
      <c r="B574" t="s">
        <v>564</v>
      </c>
      <c r="C574" t="s">
        <v>560</v>
      </c>
      <c r="D574" t="s">
        <v>14</v>
      </c>
      <c r="E574" t="s">
        <v>565</v>
      </c>
      <c r="F574" t="s">
        <v>27</v>
      </c>
      <c r="G574" t="s">
        <v>476</v>
      </c>
      <c r="H574" t="s">
        <v>24</v>
      </c>
      <c r="I574">
        <v>99</v>
      </c>
      <c r="J574" t="s">
        <v>19</v>
      </c>
      <c r="K574">
        <v>1</v>
      </c>
      <c r="L574" t="str">
        <f>HYPERLINK("https://me.jhu.edu/faculty/rajat-mittal/","https://me.jhu.edu/faculty/rajat-mittal/")</f>
        <v>https://me.jhu.edu/faculty/rajat-mittal/</v>
      </c>
    </row>
    <row r="575" spans="1:12" x14ac:dyDescent="0.3">
      <c r="A575">
        <v>221</v>
      </c>
      <c r="B575" t="s">
        <v>566</v>
      </c>
      <c r="C575" t="s">
        <v>560</v>
      </c>
      <c r="D575" t="s">
        <v>14</v>
      </c>
      <c r="E575" t="s">
        <v>567</v>
      </c>
      <c r="F575" t="s">
        <v>27</v>
      </c>
      <c r="G575" t="s">
        <v>476</v>
      </c>
      <c r="H575" t="s">
        <v>50</v>
      </c>
      <c r="I575">
        <v>71</v>
      </c>
      <c r="J575" t="s">
        <v>19</v>
      </c>
      <c r="K575">
        <v>1</v>
      </c>
      <c r="L575" t="str">
        <f>HYPERLINK("https://me.jhu.edu/faculty/tamer-zaki/","https://me.jhu.edu/faculty/tamer-zaki/")</f>
        <v>https://me.jhu.edu/faculty/tamer-zaki/</v>
      </c>
    </row>
    <row r="576" spans="1:12" x14ac:dyDescent="0.3">
      <c r="A576">
        <v>222</v>
      </c>
      <c r="B576" t="s">
        <v>568</v>
      </c>
      <c r="C576" t="s">
        <v>560</v>
      </c>
      <c r="D576" t="s">
        <v>14</v>
      </c>
      <c r="E576" t="s">
        <v>569</v>
      </c>
      <c r="F576" t="s">
        <v>27</v>
      </c>
      <c r="G576" t="s">
        <v>476</v>
      </c>
      <c r="H576" t="s">
        <v>67</v>
      </c>
      <c r="I576">
        <v>33</v>
      </c>
      <c r="J576" t="s">
        <v>19</v>
      </c>
      <c r="K576">
        <v>1</v>
      </c>
      <c r="L576" t="str">
        <f>HYPERLINK("https://me.jhu.edu/faculty/gretar-tryggvason/","https://me.jhu.edu/faculty/gretar-tryggvason/")</f>
        <v>https://me.jhu.edu/faculty/gretar-tryggvason/</v>
      </c>
    </row>
    <row r="577" spans="1:12" x14ac:dyDescent="0.3">
      <c r="A577">
        <v>223</v>
      </c>
      <c r="B577" t="s">
        <v>570</v>
      </c>
      <c r="C577" t="s">
        <v>560</v>
      </c>
      <c r="D577" t="s">
        <v>14</v>
      </c>
      <c r="E577" t="s">
        <v>571</v>
      </c>
      <c r="F577" t="s">
        <v>27</v>
      </c>
      <c r="G577" t="s">
        <v>476</v>
      </c>
      <c r="H577" t="s">
        <v>213</v>
      </c>
      <c r="I577">
        <v>125</v>
      </c>
      <c r="J577" t="s">
        <v>19</v>
      </c>
      <c r="K577">
        <v>1</v>
      </c>
      <c r="L577" t="str">
        <f>HYPERLINK("https://me.jhu.edu/faculty/rui-ni/","https://me.jhu.edu/faculty/rui-ni/")</f>
        <v>https://me.jhu.edu/faculty/rui-ni/</v>
      </c>
    </row>
    <row r="578" spans="1:12" x14ac:dyDescent="0.3">
      <c r="A578">
        <v>224</v>
      </c>
      <c r="B578" t="s">
        <v>572</v>
      </c>
      <c r="C578" t="s">
        <v>560</v>
      </c>
      <c r="D578" t="s">
        <v>14</v>
      </c>
      <c r="E578" t="s">
        <v>573</v>
      </c>
      <c r="F578" t="s">
        <v>27</v>
      </c>
      <c r="G578" t="s">
        <v>476</v>
      </c>
      <c r="H578" t="s">
        <v>516</v>
      </c>
      <c r="I578">
        <v>48</v>
      </c>
      <c r="J578" t="s">
        <v>19</v>
      </c>
      <c r="K578">
        <v>1</v>
      </c>
      <c r="L578" t="str">
        <f>HYPERLINK("https://me.jhu.edu/faculty/dennice-gayme/","https://me.jhu.edu/faculty/dennice-gayme/")</f>
        <v>https://me.jhu.edu/faculty/dennice-gayme/</v>
      </c>
    </row>
    <row r="579" spans="1:12" x14ac:dyDescent="0.3">
      <c r="A579">
        <v>225</v>
      </c>
      <c r="B579" t="s">
        <v>574</v>
      </c>
      <c r="C579" t="s">
        <v>560</v>
      </c>
      <c r="D579" t="s">
        <v>14</v>
      </c>
      <c r="E579" t="s">
        <v>575</v>
      </c>
      <c r="F579" t="s">
        <v>27</v>
      </c>
      <c r="G579" t="s">
        <v>476</v>
      </c>
      <c r="H579" t="s">
        <v>92</v>
      </c>
      <c r="I579">
        <v>108</v>
      </c>
      <c r="J579" t="s">
        <v>19</v>
      </c>
      <c r="K579">
        <v>1</v>
      </c>
      <c r="L579" t="str">
        <f>HYPERLINK("https://me.jhu.edu/faculty/julie-lundquist/","https://me.jhu.edu/faculty/julie-lundquist/")</f>
        <v>https://me.jhu.edu/faculty/julie-lundquist/</v>
      </c>
    </row>
    <row r="580" spans="1:12" x14ac:dyDescent="0.3">
      <c r="A580">
        <v>226</v>
      </c>
      <c r="B580" t="s">
        <v>576</v>
      </c>
      <c r="C580" t="s">
        <v>560</v>
      </c>
      <c r="D580" t="s">
        <v>14</v>
      </c>
      <c r="E580" t="s">
        <v>577</v>
      </c>
      <c r="F580" t="s">
        <v>27</v>
      </c>
      <c r="G580" t="s">
        <v>476</v>
      </c>
      <c r="H580" t="s">
        <v>29</v>
      </c>
      <c r="I580">
        <v>82</v>
      </c>
      <c r="J580" t="s">
        <v>19</v>
      </c>
      <c r="K580">
        <v>1</v>
      </c>
      <c r="L580" t="str">
        <f>HYPERLINK("https://me.jhu.edu/faculty/kaliat-k-t-ramesh/","https://me.jhu.edu/faculty/kaliat-k-t-ramesh/")</f>
        <v>https://me.jhu.edu/faculty/kaliat-k-t-ramesh/</v>
      </c>
    </row>
    <row r="581" spans="1:12" x14ac:dyDescent="0.3">
      <c r="A581">
        <v>227</v>
      </c>
      <c r="B581" t="s">
        <v>578</v>
      </c>
      <c r="C581" t="s">
        <v>560</v>
      </c>
      <c r="D581" t="s">
        <v>112</v>
      </c>
      <c r="E581" t="s">
        <v>579</v>
      </c>
      <c r="F581" t="s">
        <v>27</v>
      </c>
      <c r="G581" t="s">
        <v>476</v>
      </c>
      <c r="H581" t="s">
        <v>80</v>
      </c>
      <c r="I581">
        <v>50</v>
      </c>
      <c r="J581" t="s">
        <v>19</v>
      </c>
      <c r="K581">
        <v>1</v>
      </c>
      <c r="L581" t="str">
        <f>HYPERLINK("https://engineering.jhu.edu/ams/faculty/gregory-eyink/","https://engineering.jhu.edu/ams/faculty/gregory-eyink/")</f>
        <v>https://engineering.jhu.edu/ams/faculty/gregory-eyink/</v>
      </c>
    </row>
    <row r="582" spans="1:12" x14ac:dyDescent="0.3">
      <c r="A582">
        <v>237</v>
      </c>
      <c r="B582" t="s">
        <v>600</v>
      </c>
      <c r="C582" t="s">
        <v>601</v>
      </c>
      <c r="D582" t="s">
        <v>14</v>
      </c>
      <c r="E582" t="s">
        <v>602</v>
      </c>
      <c r="F582" t="s">
        <v>62</v>
      </c>
      <c r="G582" t="s">
        <v>63</v>
      </c>
      <c r="H582" t="s">
        <v>146</v>
      </c>
      <c r="I582">
        <v>35</v>
      </c>
      <c r="J582" t="s">
        <v>19</v>
      </c>
      <c r="K582">
        <v>1</v>
      </c>
      <c r="L582" t="str">
        <f>HYPERLINK("https://engineering.lehigh.edu/meche/faculty","https://engineering.lehigh.edu/meche/faculty")</f>
        <v>https://engineering.lehigh.edu/meche/faculty</v>
      </c>
    </row>
    <row r="583" spans="1:12" x14ac:dyDescent="0.3">
      <c r="A583">
        <v>238</v>
      </c>
      <c r="B583" t="s">
        <v>603</v>
      </c>
      <c r="C583" t="s">
        <v>601</v>
      </c>
      <c r="D583" t="s">
        <v>14</v>
      </c>
      <c r="E583" t="s">
        <v>604</v>
      </c>
      <c r="F583" t="s">
        <v>62</v>
      </c>
      <c r="G583" t="s">
        <v>63</v>
      </c>
      <c r="H583" t="s">
        <v>273</v>
      </c>
      <c r="I583">
        <v>21</v>
      </c>
      <c r="J583" t="s">
        <v>19</v>
      </c>
      <c r="K583">
        <v>1</v>
      </c>
      <c r="L583" t="str">
        <f>HYPERLINK("https://engineering.lehigh.edu/meche/faculty","https://engineering.lehigh.edu/meche/faculty")</f>
        <v>https://engineering.lehigh.edu/meche/faculty</v>
      </c>
    </row>
    <row r="584" spans="1:12" x14ac:dyDescent="0.3">
      <c r="A584">
        <v>239</v>
      </c>
      <c r="B584" t="s">
        <v>605</v>
      </c>
      <c r="C584" t="s">
        <v>601</v>
      </c>
      <c r="D584" t="s">
        <v>14</v>
      </c>
      <c r="E584" t="s">
        <v>606</v>
      </c>
      <c r="F584" t="s">
        <v>62</v>
      </c>
      <c r="G584" t="s">
        <v>63</v>
      </c>
      <c r="H584" t="s">
        <v>45</v>
      </c>
      <c r="I584">
        <v>28</v>
      </c>
      <c r="J584" t="s">
        <v>19</v>
      </c>
      <c r="K584">
        <v>1</v>
      </c>
      <c r="L584" t="str">
        <f>HYPERLINK("https://engineering.lehigh.edu/meche/faculty","https://engineering.lehigh.edu/meche/faculty")</f>
        <v>https://engineering.lehigh.edu/meche/faculty</v>
      </c>
    </row>
    <row r="585" spans="1:12" x14ac:dyDescent="0.3">
      <c r="A585">
        <v>240</v>
      </c>
      <c r="B585" t="s">
        <v>607</v>
      </c>
      <c r="C585" t="s">
        <v>601</v>
      </c>
      <c r="D585" t="s">
        <v>14</v>
      </c>
      <c r="E585" t="s">
        <v>608</v>
      </c>
      <c r="F585" t="s">
        <v>62</v>
      </c>
      <c r="G585" t="s">
        <v>63</v>
      </c>
      <c r="H585" t="s">
        <v>88</v>
      </c>
      <c r="I585">
        <v>15</v>
      </c>
      <c r="J585" t="s">
        <v>19</v>
      </c>
      <c r="K585">
        <v>1</v>
      </c>
      <c r="L585" t="str">
        <f>HYPERLINK("https://engineering.lehigh.edu/faculty/aditya-aiyer","https://engineering.lehigh.edu/faculty/aditya-aiyer")</f>
        <v>https://engineering.lehigh.edu/faculty/aditya-aiyer</v>
      </c>
    </row>
    <row r="586" spans="1:12" x14ac:dyDescent="0.3">
      <c r="A586">
        <v>241</v>
      </c>
      <c r="B586" t="s">
        <v>609</v>
      </c>
      <c r="C586" t="s">
        <v>601</v>
      </c>
      <c r="D586" t="s">
        <v>14</v>
      </c>
      <c r="E586" t="s">
        <v>610</v>
      </c>
      <c r="F586" t="s">
        <v>62</v>
      </c>
      <c r="G586" t="s">
        <v>63</v>
      </c>
      <c r="H586" t="s">
        <v>273</v>
      </c>
      <c r="I586">
        <v>14</v>
      </c>
      <c r="J586" t="s">
        <v>19</v>
      </c>
      <c r="K586">
        <v>1</v>
      </c>
      <c r="L586" t="str">
        <f>HYPERLINK("https://engineering.lehigh.edu/meche/faculty","https://engineering.lehigh.edu/meche/faculty")</f>
        <v>https://engineering.lehigh.edu/meche/faculty</v>
      </c>
    </row>
    <row r="587" spans="1:12" x14ac:dyDescent="0.3">
      <c r="A587">
        <v>243</v>
      </c>
      <c r="B587" t="s">
        <v>613</v>
      </c>
      <c r="C587" t="s">
        <v>601</v>
      </c>
      <c r="D587" t="s">
        <v>14</v>
      </c>
      <c r="E587" t="s">
        <v>614</v>
      </c>
      <c r="F587" t="s">
        <v>62</v>
      </c>
      <c r="G587" t="s">
        <v>63</v>
      </c>
      <c r="H587" t="s">
        <v>329</v>
      </c>
      <c r="I587">
        <v>19</v>
      </c>
      <c r="J587" t="s">
        <v>19</v>
      </c>
      <c r="K587">
        <v>1</v>
      </c>
      <c r="L587" t="str">
        <f>HYPERLINK("https://engineering.lehigh.edu/meche/faculty","https://engineering.lehigh.edu/meche/faculty")</f>
        <v>https://engineering.lehigh.edu/meche/faculty</v>
      </c>
    </row>
    <row r="588" spans="1:12" x14ac:dyDescent="0.3">
      <c r="A588">
        <v>247</v>
      </c>
      <c r="B588" t="s">
        <v>623</v>
      </c>
      <c r="C588" t="s">
        <v>618</v>
      </c>
      <c r="D588" t="s">
        <v>48</v>
      </c>
      <c r="E588" t="s">
        <v>624</v>
      </c>
      <c r="F588" t="s">
        <v>62</v>
      </c>
      <c r="G588" t="s">
        <v>63</v>
      </c>
      <c r="H588" t="s">
        <v>301</v>
      </c>
      <c r="I588">
        <v>12</v>
      </c>
      <c r="J588" t="s">
        <v>19</v>
      </c>
      <c r="K588">
        <v>1</v>
      </c>
      <c r="L588" t="str">
        <f>HYPERLINK("https://aeroastro.mit.edu/people/mark-drela/","https://aeroastro.mit.edu/people/mark-drela/")</f>
        <v>https://aeroastro.mit.edu/people/mark-drela/</v>
      </c>
    </row>
    <row r="589" spans="1:12" x14ac:dyDescent="0.3">
      <c r="A589">
        <v>251</v>
      </c>
      <c r="B589" t="s">
        <v>631</v>
      </c>
      <c r="C589" t="s">
        <v>618</v>
      </c>
      <c r="D589" t="s">
        <v>48</v>
      </c>
      <c r="E589" t="s">
        <v>632</v>
      </c>
      <c r="F589" t="s">
        <v>16</v>
      </c>
      <c r="G589" t="s">
        <v>17</v>
      </c>
      <c r="H589" t="s">
        <v>633</v>
      </c>
      <c r="I589">
        <v>30</v>
      </c>
      <c r="J589" t="s">
        <v>19</v>
      </c>
      <c r="K589">
        <v>1</v>
      </c>
      <c r="L589" t="str">
        <f>HYPERLINK("https://aeroastro.mit.edu/people/paulo-lozano/","https://aeroastro.mit.edu/people/paulo-lozano/")</f>
        <v>https://aeroastro.mit.edu/people/paulo-lozano/</v>
      </c>
    </row>
    <row r="590" spans="1:12" hidden="1" x14ac:dyDescent="0.3">
      <c r="A590">
        <v>589</v>
      </c>
      <c r="B590" t="s">
        <v>1335</v>
      </c>
      <c r="C590" t="s">
        <v>1323</v>
      </c>
      <c r="D590" t="s">
        <v>31</v>
      </c>
      <c r="E590" t="s">
        <v>1336</v>
      </c>
      <c r="F590" t="s">
        <v>16</v>
      </c>
      <c r="G590" t="s">
        <v>17</v>
      </c>
      <c r="H590" t="s">
        <v>24</v>
      </c>
      <c r="I590">
        <v>13</v>
      </c>
      <c r="J590" t="s">
        <v>19</v>
      </c>
      <c r="K590">
        <v>1</v>
      </c>
      <c r="L590" t="str">
        <f>HYPERLINK("https://www.math.arizona.edu/people/brio","https://www.math.arizona.edu/people/brio")</f>
        <v>https://www.math.arizona.edu/people/brio</v>
      </c>
    </row>
    <row r="591" spans="1:12" hidden="1" x14ac:dyDescent="0.3">
      <c r="A591">
        <v>590</v>
      </c>
      <c r="B591" t="s">
        <v>1337</v>
      </c>
      <c r="C591" t="s">
        <v>1323</v>
      </c>
      <c r="D591" t="s">
        <v>31</v>
      </c>
      <c r="E591" t="s">
        <v>1338</v>
      </c>
      <c r="F591" t="s">
        <v>83</v>
      </c>
      <c r="G591" t="s">
        <v>84</v>
      </c>
      <c r="H591" t="s">
        <v>391</v>
      </c>
      <c r="I591">
        <v>0</v>
      </c>
      <c r="J591" t="s">
        <v>59</v>
      </c>
      <c r="K591">
        <v>2</v>
      </c>
      <c r="L591" t="str">
        <f>HYPERLINK("https://www.math.arizona.edu/people/calvinz","https://www.math.arizona.edu/people/calvinz")</f>
        <v>https://www.math.arizona.edu/people/calvinz</v>
      </c>
    </row>
    <row r="592" spans="1:12" hidden="1" x14ac:dyDescent="0.3">
      <c r="A592">
        <v>591</v>
      </c>
      <c r="B592" t="s">
        <v>1339</v>
      </c>
      <c r="C592" t="s">
        <v>1323</v>
      </c>
      <c r="D592" t="s">
        <v>31</v>
      </c>
      <c r="E592" t="s">
        <v>57</v>
      </c>
      <c r="F592" t="s">
        <v>114</v>
      </c>
      <c r="G592" t="s">
        <v>115</v>
      </c>
      <c r="H592" t="s">
        <v>58</v>
      </c>
      <c r="I592">
        <v>0</v>
      </c>
      <c r="J592" t="s">
        <v>116</v>
      </c>
      <c r="K592">
        <v>3</v>
      </c>
      <c r="L592" t="str">
        <f>HYPERLINK("https://www.math.arizona.edu/people/ercolani","https://www.math.arizona.edu/people/ercolani")</f>
        <v>https://www.math.arizona.edu/people/ercolani</v>
      </c>
    </row>
    <row r="593" spans="1:12" x14ac:dyDescent="0.3">
      <c r="A593">
        <v>252</v>
      </c>
      <c r="B593" t="s">
        <v>634</v>
      </c>
      <c r="C593" t="s">
        <v>618</v>
      </c>
      <c r="D593" t="s">
        <v>48</v>
      </c>
      <c r="E593" t="s">
        <v>635</v>
      </c>
      <c r="F593" t="s">
        <v>62</v>
      </c>
      <c r="G593" t="s">
        <v>63</v>
      </c>
      <c r="H593" t="s">
        <v>516</v>
      </c>
      <c r="I593">
        <v>99</v>
      </c>
      <c r="J593" t="s">
        <v>19</v>
      </c>
      <c r="K593">
        <v>1</v>
      </c>
      <c r="L593" t="str">
        <f>HYPERLINK("https://aeroastro.mit.edu/people/youssef-m-marzouk/","https://aeroastro.mit.edu/people/youssef-m-marzouk/")</f>
        <v>https://aeroastro.mit.edu/people/youssef-m-marzouk/</v>
      </c>
    </row>
    <row r="594" spans="1:12" hidden="1" x14ac:dyDescent="0.3">
      <c r="A594">
        <v>593</v>
      </c>
      <c r="B594" t="s">
        <v>1343</v>
      </c>
      <c r="C594" t="s">
        <v>1341</v>
      </c>
      <c r="D594" t="s">
        <v>31</v>
      </c>
      <c r="E594" t="s">
        <v>1344</v>
      </c>
      <c r="F594" t="s">
        <v>151</v>
      </c>
      <c r="G594" t="s">
        <v>152</v>
      </c>
      <c r="H594" t="s">
        <v>406</v>
      </c>
      <c r="I594">
        <v>7</v>
      </c>
      <c r="J594" t="s">
        <v>154</v>
      </c>
      <c r="K594">
        <v>3</v>
      </c>
      <c r="L594" t="str">
        <f>HYPERLINK("https://engineering.uark.edu/mechanical-engineering/faculty.php","https://engineering.uark.edu/mechanical-engineering/faculty.php")</f>
        <v>https://engineering.uark.edu/mechanical-engineering/faculty.php</v>
      </c>
    </row>
    <row r="595" spans="1:12" x14ac:dyDescent="0.3">
      <c r="A595">
        <v>255</v>
      </c>
      <c r="B595" t="s">
        <v>641</v>
      </c>
      <c r="C595" t="s">
        <v>618</v>
      </c>
      <c r="D595" t="s">
        <v>48</v>
      </c>
      <c r="E595" t="s">
        <v>642</v>
      </c>
      <c r="F595" t="s">
        <v>62</v>
      </c>
      <c r="G595" t="s">
        <v>63</v>
      </c>
      <c r="H595" t="s">
        <v>516</v>
      </c>
      <c r="I595">
        <v>24</v>
      </c>
      <c r="J595" t="s">
        <v>19</v>
      </c>
      <c r="K595">
        <v>1</v>
      </c>
      <c r="L595" t="str">
        <f>HYPERLINK("https://aeroastro.mit.edu/people/zoltan-s-spakovszky/","https://aeroastro.mit.edu/people/zoltan-s-spakovszky/")</f>
        <v>https://aeroastro.mit.edu/people/zoltan-s-spakovszky/</v>
      </c>
    </row>
    <row r="596" spans="1:12" x14ac:dyDescent="0.3">
      <c r="A596">
        <v>257</v>
      </c>
      <c r="B596" t="s">
        <v>644</v>
      </c>
      <c r="C596" t="s">
        <v>618</v>
      </c>
      <c r="D596" t="s">
        <v>48</v>
      </c>
      <c r="E596" t="s">
        <v>645</v>
      </c>
      <c r="F596" t="s">
        <v>62</v>
      </c>
      <c r="G596" t="s">
        <v>63</v>
      </c>
      <c r="H596" t="s">
        <v>36</v>
      </c>
      <c r="I596">
        <v>96</v>
      </c>
      <c r="J596" t="s">
        <v>19</v>
      </c>
      <c r="K596">
        <v>1</v>
      </c>
      <c r="L596" t="str">
        <f>HYPERLINK("https://aeroastro.mit.edu/people/qiqi-wang/","https://aeroastro.mit.edu/people/qiqi-wang/")</f>
        <v>https://aeroastro.mit.edu/people/qiqi-wang/</v>
      </c>
    </row>
    <row r="597" spans="1:12" hidden="1" x14ac:dyDescent="0.3">
      <c r="A597">
        <v>596</v>
      </c>
      <c r="B597" t="s">
        <v>1349</v>
      </c>
      <c r="C597" t="s">
        <v>1341</v>
      </c>
      <c r="D597" t="s">
        <v>31</v>
      </c>
      <c r="E597" t="s">
        <v>1350</v>
      </c>
      <c r="F597" t="s">
        <v>151</v>
      </c>
      <c r="G597" t="s">
        <v>152</v>
      </c>
      <c r="H597" t="s">
        <v>273</v>
      </c>
      <c r="I597">
        <v>4</v>
      </c>
      <c r="J597" t="s">
        <v>154</v>
      </c>
      <c r="K597">
        <v>3</v>
      </c>
      <c r="L597" t="str">
        <f>HYPERLINK("https://math.uark.edu/research/","https://math.uark.edu/research/")</f>
        <v>https://math.uark.edu/research/</v>
      </c>
    </row>
    <row r="598" spans="1:12" hidden="1" x14ac:dyDescent="0.3">
      <c r="A598">
        <v>597</v>
      </c>
      <c r="B598" t="s">
        <v>1351</v>
      </c>
      <c r="C598" t="s">
        <v>1341</v>
      </c>
      <c r="D598" t="s">
        <v>31</v>
      </c>
      <c r="E598" t="s">
        <v>1352</v>
      </c>
      <c r="F598" t="s">
        <v>151</v>
      </c>
      <c r="G598" t="s">
        <v>152</v>
      </c>
      <c r="H598" t="s">
        <v>225</v>
      </c>
      <c r="I598">
        <v>80</v>
      </c>
      <c r="J598" t="s">
        <v>154</v>
      </c>
      <c r="K598">
        <v>3</v>
      </c>
      <c r="L598" t="str">
        <f>HYPERLINK("https://math.uark.edu/research/","https://math.uark.edu/research/")</f>
        <v>https://math.uark.edu/research/</v>
      </c>
    </row>
    <row r="599" spans="1:12" x14ac:dyDescent="0.3">
      <c r="A599">
        <v>258</v>
      </c>
      <c r="B599" t="s">
        <v>646</v>
      </c>
      <c r="C599" t="s">
        <v>647</v>
      </c>
      <c r="D599" t="s">
        <v>14</v>
      </c>
      <c r="E599" t="s">
        <v>648</v>
      </c>
      <c r="F599" t="s">
        <v>62</v>
      </c>
      <c r="G599" t="s">
        <v>63</v>
      </c>
      <c r="H599" t="s">
        <v>649</v>
      </c>
      <c r="I599">
        <v>20</v>
      </c>
      <c r="J599" t="s">
        <v>19</v>
      </c>
      <c r="K599">
        <v>1</v>
      </c>
      <c r="L599" t="str">
        <f>HYPERLINK("https://engineering.msu.edu/directory/faculty/olsond12","https://engineering.msu.edu/directory/faculty/olsond12")</f>
        <v>https://engineering.msu.edu/directory/faculty/olsond12</v>
      </c>
    </row>
    <row r="600" spans="1:12" x14ac:dyDescent="0.3">
      <c r="A600">
        <v>259</v>
      </c>
      <c r="B600" t="s">
        <v>650</v>
      </c>
      <c r="C600" t="s">
        <v>647</v>
      </c>
      <c r="D600" t="s">
        <v>14</v>
      </c>
      <c r="E600" t="s">
        <v>651</v>
      </c>
      <c r="F600" t="s">
        <v>83</v>
      </c>
      <c r="G600" t="s">
        <v>84</v>
      </c>
      <c r="H600" t="s">
        <v>29</v>
      </c>
      <c r="I600">
        <v>17</v>
      </c>
      <c r="J600" t="s">
        <v>19</v>
      </c>
      <c r="K600">
        <v>1</v>
      </c>
      <c r="L600" t="str">
        <f>HYPERLINK("https://engineering.msu.edu/departments/me/research/thermal-and-fluid-mechanics-group","https://engineering.msu.edu/departments/me/research/thermal-and-fluid-mechanics-group")</f>
        <v>https://engineering.msu.edu/departments/me/research/thermal-and-fluid-mechanics-group</v>
      </c>
    </row>
    <row r="601" spans="1:12" x14ac:dyDescent="0.3">
      <c r="A601">
        <v>260</v>
      </c>
      <c r="B601" t="s">
        <v>652</v>
      </c>
      <c r="C601" t="s">
        <v>647</v>
      </c>
      <c r="D601" t="s">
        <v>14</v>
      </c>
      <c r="E601" t="s">
        <v>653</v>
      </c>
      <c r="F601" t="s">
        <v>62</v>
      </c>
      <c r="G601" t="s">
        <v>63</v>
      </c>
      <c r="H601" t="s">
        <v>50</v>
      </c>
      <c r="I601">
        <v>17</v>
      </c>
      <c r="J601" t="s">
        <v>19</v>
      </c>
      <c r="K601">
        <v>1</v>
      </c>
      <c r="L601" t="str">
        <f>HYPERLINK("https://engineering.msu.edu/directory/faculty/rimejal","https://engineering.msu.edu/directory/faculty/rimejal")</f>
        <v>https://engineering.msu.edu/directory/faculty/rimejal</v>
      </c>
    </row>
    <row r="602" spans="1:12" x14ac:dyDescent="0.3">
      <c r="A602">
        <v>261</v>
      </c>
      <c r="B602" t="s">
        <v>654</v>
      </c>
      <c r="C602" t="s">
        <v>647</v>
      </c>
      <c r="D602" t="s">
        <v>14</v>
      </c>
      <c r="E602" t="s">
        <v>655</v>
      </c>
      <c r="F602" t="s">
        <v>16</v>
      </c>
      <c r="G602" t="s">
        <v>17</v>
      </c>
      <c r="H602" t="s">
        <v>132</v>
      </c>
      <c r="I602">
        <v>1</v>
      </c>
      <c r="J602" t="s">
        <v>19</v>
      </c>
      <c r="K602">
        <v>1</v>
      </c>
      <c r="L602" t="str">
        <f>HYPERLINK("https://engineering.msu.edu/directory/faculty/muell107","https://engineering.msu.edu/directory/faculty/muell107")</f>
        <v>https://engineering.msu.edu/directory/faculty/muell107</v>
      </c>
    </row>
    <row r="603" spans="1:12" hidden="1" x14ac:dyDescent="0.3">
      <c r="A603">
        <v>602</v>
      </c>
      <c r="B603" t="s">
        <v>1362</v>
      </c>
      <c r="C603" t="s">
        <v>1354</v>
      </c>
      <c r="D603" t="s">
        <v>31</v>
      </c>
      <c r="E603" t="s">
        <v>1363</v>
      </c>
      <c r="F603" t="s">
        <v>83</v>
      </c>
      <c r="G603" t="s">
        <v>84</v>
      </c>
      <c r="H603" t="s">
        <v>254</v>
      </c>
      <c r="I603">
        <v>40</v>
      </c>
      <c r="J603" t="s">
        <v>19</v>
      </c>
      <c r="K603">
        <v>1</v>
      </c>
      <c r="L603" t="str">
        <f>HYPERLINK("https://profiles.ucr.edu/app/home/profile/mraissi","https://profiles.ucr.edu/app/home/profile/mraissi")</f>
        <v>https://profiles.ucr.edu/app/home/profile/mraissi</v>
      </c>
    </row>
    <row r="604" spans="1:12" hidden="1" x14ac:dyDescent="0.3">
      <c r="A604">
        <v>603</v>
      </c>
      <c r="B604" t="s">
        <v>1364</v>
      </c>
      <c r="C604" t="s">
        <v>1354</v>
      </c>
      <c r="D604" t="s">
        <v>31</v>
      </c>
      <c r="E604" t="s">
        <v>1365</v>
      </c>
      <c r="F604" t="s">
        <v>83</v>
      </c>
      <c r="G604" t="s">
        <v>84</v>
      </c>
      <c r="H604" t="s">
        <v>153</v>
      </c>
      <c r="I604">
        <v>15</v>
      </c>
      <c r="J604" t="s">
        <v>19</v>
      </c>
      <c r="K604">
        <v>1</v>
      </c>
      <c r="L604" t="str">
        <f>HYPERLINK("https://profiles.ucr.edu/app/home/profile/craig","https://profiles.ucr.edu/app/home/profile/craig")</f>
        <v>https://profiles.ucr.edu/app/home/profile/craig</v>
      </c>
    </row>
    <row r="605" spans="1:12" x14ac:dyDescent="0.3">
      <c r="A605">
        <v>262</v>
      </c>
      <c r="B605" t="s">
        <v>656</v>
      </c>
      <c r="C605" t="s">
        <v>647</v>
      </c>
      <c r="D605" t="s">
        <v>14</v>
      </c>
      <c r="E605" t="s">
        <v>657</v>
      </c>
      <c r="F605" t="s">
        <v>62</v>
      </c>
      <c r="G605" t="s">
        <v>63</v>
      </c>
      <c r="H605" t="s">
        <v>273</v>
      </c>
      <c r="I605">
        <v>87</v>
      </c>
      <c r="J605" t="s">
        <v>19</v>
      </c>
      <c r="K605">
        <v>1</v>
      </c>
      <c r="L605" t="str">
        <f>HYPERLINK("https://engineering.msu.edu/directory/faculty/lizhaoj1","https://engineering.msu.edu/directory/faculty/lizhaoj1")</f>
        <v>https://engineering.msu.edu/directory/faculty/lizhaoj1</v>
      </c>
    </row>
    <row r="606" spans="1:12" x14ac:dyDescent="0.3">
      <c r="A606">
        <v>276</v>
      </c>
      <c r="B606" t="s">
        <v>686</v>
      </c>
      <c r="C606" t="s">
        <v>687</v>
      </c>
      <c r="D606" t="s">
        <v>48</v>
      </c>
      <c r="E606" t="s">
        <v>688</v>
      </c>
      <c r="F606" t="s">
        <v>16</v>
      </c>
      <c r="G606" t="s">
        <v>17</v>
      </c>
      <c r="H606" t="s">
        <v>36</v>
      </c>
      <c r="I606">
        <v>28</v>
      </c>
      <c r="J606" t="s">
        <v>19</v>
      </c>
      <c r="K606">
        <v>1</v>
      </c>
      <c r="L606" t="str">
        <f>HYPERLINK("https://www.ae.msstate.edu/people/faculty/adrian-sescu/","https://www.ae.msstate.edu/people/faculty/adrian-sescu/")</f>
        <v>https://www.ae.msstate.edu/people/faculty/adrian-sescu/</v>
      </c>
    </row>
    <row r="607" spans="1:12" hidden="1" x14ac:dyDescent="0.3">
      <c r="A607">
        <v>606</v>
      </c>
      <c r="B607" t="s">
        <v>1370</v>
      </c>
      <c r="C607" t="s">
        <v>1371</v>
      </c>
      <c r="D607" t="s">
        <v>31</v>
      </c>
      <c r="E607" t="s">
        <v>1372</v>
      </c>
      <c r="F607" t="s">
        <v>16</v>
      </c>
      <c r="G607" t="s">
        <v>17</v>
      </c>
      <c r="H607" t="s">
        <v>159</v>
      </c>
      <c r="I607">
        <v>21</v>
      </c>
      <c r="J607" t="s">
        <v>19</v>
      </c>
      <c r="K607">
        <v>1</v>
      </c>
      <c r="L607" t="str">
        <f>HYPERLINK("https://campusdirectory.ucsc.edu/cd_detail?uid=venturi","https://campusdirectory.ucsc.edu/cd_detail?uid=venturi")</f>
        <v>https://campusdirectory.ucsc.edu/cd_detail?uid=venturi</v>
      </c>
    </row>
    <row r="608" spans="1:12" hidden="1" x14ac:dyDescent="0.3">
      <c r="A608">
        <v>607</v>
      </c>
      <c r="B608" t="s">
        <v>1373</v>
      </c>
      <c r="C608" t="s">
        <v>1371</v>
      </c>
      <c r="D608" t="s">
        <v>31</v>
      </c>
      <c r="E608" t="s">
        <v>1374</v>
      </c>
      <c r="F608" t="s">
        <v>22</v>
      </c>
      <c r="G608" t="s">
        <v>23</v>
      </c>
      <c r="H608" t="s">
        <v>80</v>
      </c>
      <c r="I608">
        <v>18</v>
      </c>
      <c r="J608" t="s">
        <v>19</v>
      </c>
      <c r="K608">
        <v>1</v>
      </c>
      <c r="L608" t="str">
        <f>HYPERLINK("https://campusdirectory.ucsc.edu/cd_detail?uid=brummell","https://campusdirectory.ucsc.edu/cd_detail?uid=brummell")</f>
        <v>https://campusdirectory.ucsc.edu/cd_detail?uid=brummell</v>
      </c>
    </row>
    <row r="609" spans="1:12" hidden="1" x14ac:dyDescent="0.3">
      <c r="A609">
        <v>608</v>
      </c>
      <c r="B609" t="s">
        <v>1375</v>
      </c>
      <c r="C609" t="s">
        <v>1371</v>
      </c>
      <c r="D609" t="s">
        <v>31</v>
      </c>
      <c r="E609" t="s">
        <v>1376</v>
      </c>
      <c r="F609" t="s">
        <v>114</v>
      </c>
      <c r="G609" t="s">
        <v>115</v>
      </c>
      <c r="H609" t="s">
        <v>593</v>
      </c>
      <c r="I609">
        <v>66</v>
      </c>
      <c r="J609" t="s">
        <v>116</v>
      </c>
      <c r="K609">
        <v>3</v>
      </c>
      <c r="L609" t="str">
        <f>HYPERLINK("https://engineering.ucsc.edu/departments/applied-mathematics/people/","https://engineering.ucsc.edu/departments/applied-mathematics/people/")</f>
        <v>https://engineering.ucsc.edu/departments/applied-mathematics/people/</v>
      </c>
    </row>
    <row r="610" spans="1:12" hidden="1" x14ac:dyDescent="0.3">
      <c r="A610">
        <v>609</v>
      </c>
      <c r="B610" t="s">
        <v>1377</v>
      </c>
      <c r="C610" t="s">
        <v>1371</v>
      </c>
      <c r="D610" t="s">
        <v>31</v>
      </c>
      <c r="E610" t="s">
        <v>1378</v>
      </c>
      <c r="F610" t="s">
        <v>62</v>
      </c>
      <c r="G610" t="s">
        <v>63</v>
      </c>
      <c r="H610" t="s">
        <v>92</v>
      </c>
      <c r="I610">
        <v>21</v>
      </c>
      <c r="J610" t="s">
        <v>19</v>
      </c>
      <c r="K610">
        <v>1</v>
      </c>
      <c r="L610" t="str">
        <f>HYPERLINK("https://campusdirectory.ucsc.edu/cd_detail?uid=pgaraud","https://campusdirectory.ucsc.edu/cd_detail?uid=pgaraud")</f>
        <v>https://campusdirectory.ucsc.edu/cd_detail?uid=pgaraud</v>
      </c>
    </row>
    <row r="611" spans="1:12" hidden="1" x14ac:dyDescent="0.3">
      <c r="A611">
        <v>610</v>
      </c>
      <c r="B611" t="s">
        <v>1379</v>
      </c>
      <c r="C611" t="s">
        <v>1371</v>
      </c>
      <c r="D611" t="s">
        <v>31</v>
      </c>
      <c r="E611" t="s">
        <v>1380</v>
      </c>
      <c r="F611" t="s">
        <v>114</v>
      </c>
      <c r="G611" t="s">
        <v>115</v>
      </c>
      <c r="H611" t="s">
        <v>50</v>
      </c>
      <c r="I611">
        <v>11</v>
      </c>
      <c r="J611" t="s">
        <v>116</v>
      </c>
      <c r="K611">
        <v>3</v>
      </c>
      <c r="L611" t="str">
        <f>HYPERLINK("https://engineering.ucsc.edu/departments/applied-mathematics/people/","https://engineering.ucsc.edu/departments/applied-mathematics/people/")</f>
        <v>https://engineering.ucsc.edu/departments/applied-mathematics/people/</v>
      </c>
    </row>
    <row r="612" spans="1:12" hidden="1" x14ac:dyDescent="0.3">
      <c r="A612">
        <v>611</v>
      </c>
      <c r="B612" t="s">
        <v>1381</v>
      </c>
      <c r="C612" t="s">
        <v>1371</v>
      </c>
      <c r="D612" t="s">
        <v>31</v>
      </c>
      <c r="E612" t="s">
        <v>1382</v>
      </c>
      <c r="F612" t="s">
        <v>114</v>
      </c>
      <c r="G612" t="s">
        <v>115</v>
      </c>
      <c r="H612" t="s">
        <v>70</v>
      </c>
      <c r="I612">
        <v>18</v>
      </c>
      <c r="J612" t="s">
        <v>116</v>
      </c>
      <c r="K612">
        <v>3</v>
      </c>
      <c r="L612" t="str">
        <f>HYPERLINK("https://engineering.ucsc.edu/departments/applied-mathematics/people/","https://engineering.ucsc.edu/departments/applied-mathematics/people/")</f>
        <v>https://engineering.ucsc.edu/departments/applied-mathematics/people/</v>
      </c>
    </row>
    <row r="613" spans="1:12" hidden="1" x14ac:dyDescent="0.3">
      <c r="A613">
        <v>612</v>
      </c>
      <c r="B613" t="s">
        <v>1383</v>
      </c>
      <c r="C613" t="s">
        <v>1371</v>
      </c>
      <c r="D613" t="s">
        <v>31</v>
      </c>
      <c r="E613" t="s">
        <v>1384</v>
      </c>
      <c r="F613" t="s">
        <v>16</v>
      </c>
      <c r="G613" t="s">
        <v>17</v>
      </c>
      <c r="H613" t="s">
        <v>36</v>
      </c>
      <c r="I613">
        <v>14</v>
      </c>
      <c r="J613" t="s">
        <v>19</v>
      </c>
      <c r="K613">
        <v>1</v>
      </c>
      <c r="L613" t="str">
        <f>HYPERLINK("https://campusdirectory.ucsc.edu/cd_detail?uid=dlee79","https://campusdirectory.ucsc.edu/cd_detail?uid=dlee79")</f>
        <v>https://campusdirectory.ucsc.edu/cd_detail?uid=dlee79</v>
      </c>
    </row>
    <row r="614" spans="1:12" hidden="1" x14ac:dyDescent="0.3">
      <c r="A614">
        <v>613</v>
      </c>
      <c r="B614" t="s">
        <v>1385</v>
      </c>
      <c r="C614" t="s">
        <v>1371</v>
      </c>
      <c r="D614" t="s">
        <v>31</v>
      </c>
      <c r="E614" t="s">
        <v>1386</v>
      </c>
      <c r="F614" t="s">
        <v>335</v>
      </c>
      <c r="G614" t="s">
        <v>336</v>
      </c>
      <c r="H614" t="s">
        <v>159</v>
      </c>
      <c r="I614">
        <v>137</v>
      </c>
      <c r="J614" t="s">
        <v>19</v>
      </c>
      <c r="K614">
        <v>1</v>
      </c>
      <c r="L614" t="str">
        <f>HYPERLINK("https://hybrid.soe.ucsc.edu/home","https://hybrid.soe.ucsc.edu/home")</f>
        <v>https://hybrid.soe.ucsc.edu/home</v>
      </c>
    </row>
    <row r="615" spans="1:12" x14ac:dyDescent="0.3">
      <c r="A615">
        <v>277</v>
      </c>
      <c r="B615" t="s">
        <v>689</v>
      </c>
      <c r="C615" t="s">
        <v>687</v>
      </c>
      <c r="D615" t="s">
        <v>48</v>
      </c>
      <c r="E615" t="s">
        <v>690</v>
      </c>
      <c r="F615" t="s">
        <v>27</v>
      </c>
      <c r="G615" t="s">
        <v>28</v>
      </c>
      <c r="H615" t="s">
        <v>254</v>
      </c>
      <c r="I615">
        <v>36</v>
      </c>
      <c r="J615" t="s">
        <v>19</v>
      </c>
      <c r="K615">
        <v>1</v>
      </c>
      <c r="L615" t="str">
        <f>HYPERLINK("https://www.ae.msstate.edu/people/faculty/shreyas-narsipur/","https://www.ae.msstate.edu/people/faculty/shreyas-narsipur/")</f>
        <v>https://www.ae.msstate.edu/people/faculty/shreyas-narsipur/</v>
      </c>
    </row>
    <row r="616" spans="1:12" x14ac:dyDescent="0.3">
      <c r="A616">
        <v>278</v>
      </c>
      <c r="B616" t="s">
        <v>691</v>
      </c>
      <c r="C616" t="s">
        <v>687</v>
      </c>
      <c r="D616" t="s">
        <v>48</v>
      </c>
      <c r="E616" t="s">
        <v>692</v>
      </c>
      <c r="F616" t="s">
        <v>22</v>
      </c>
      <c r="G616" t="s">
        <v>23</v>
      </c>
      <c r="H616" t="s">
        <v>53</v>
      </c>
      <c r="I616">
        <v>19</v>
      </c>
      <c r="J616" t="s">
        <v>19</v>
      </c>
      <c r="K616">
        <v>1</v>
      </c>
      <c r="L616" t="str">
        <f>HYPERLINK("https://www.ae.msstate.edu/people/faculty/craig-merrett/","https://www.ae.msstate.edu/people/faculty/craig-merrett/")</f>
        <v>https://www.ae.msstate.edu/people/faculty/craig-merrett/</v>
      </c>
    </row>
    <row r="617" spans="1:12" x14ac:dyDescent="0.3">
      <c r="A617">
        <v>279</v>
      </c>
      <c r="B617" t="s">
        <v>693</v>
      </c>
      <c r="C617" t="s">
        <v>687</v>
      </c>
      <c r="D617" t="s">
        <v>48</v>
      </c>
      <c r="E617" t="s">
        <v>694</v>
      </c>
      <c r="F617" t="s">
        <v>62</v>
      </c>
      <c r="G617" t="s">
        <v>63</v>
      </c>
      <c r="H617" t="s">
        <v>127</v>
      </c>
      <c r="I617">
        <v>16</v>
      </c>
      <c r="J617" t="s">
        <v>19</v>
      </c>
      <c r="K617">
        <v>1</v>
      </c>
      <c r="L617" t="str">
        <f>HYPERLINK("https://www.ae.msstate.edu/people/faculty/vilas-shinde/","https://www.ae.msstate.edu/people/faculty/vilas-shinde/")</f>
        <v>https://www.ae.msstate.edu/people/faculty/vilas-shinde/</v>
      </c>
    </row>
    <row r="618" spans="1:12" x14ac:dyDescent="0.3">
      <c r="A618">
        <v>280</v>
      </c>
      <c r="B618" t="s">
        <v>695</v>
      </c>
      <c r="C618" t="s">
        <v>687</v>
      </c>
      <c r="D618" t="s">
        <v>48</v>
      </c>
      <c r="E618" t="s">
        <v>696</v>
      </c>
      <c r="F618" t="s">
        <v>62</v>
      </c>
      <c r="G618" t="s">
        <v>63</v>
      </c>
      <c r="H618" t="s">
        <v>182</v>
      </c>
      <c r="I618">
        <v>9</v>
      </c>
      <c r="J618" t="s">
        <v>19</v>
      </c>
      <c r="K618">
        <v>1</v>
      </c>
      <c r="L618" t="str">
        <f>HYPERLINK("https://www.ae.msstate.edu/people/faculty/vivek-khare/","https://www.ae.msstate.edu/people/faculty/vivek-khare/")</f>
        <v>https://www.ae.msstate.edu/people/faculty/vivek-khare/</v>
      </c>
    </row>
    <row r="619" spans="1:12" x14ac:dyDescent="0.3">
      <c r="A619">
        <v>294</v>
      </c>
      <c r="B619" t="s">
        <v>725</v>
      </c>
      <c r="C619" t="s">
        <v>726</v>
      </c>
      <c r="D619" t="s">
        <v>14</v>
      </c>
      <c r="E619" t="s">
        <v>727</v>
      </c>
      <c r="F619" t="s">
        <v>16</v>
      </c>
      <c r="G619" t="s">
        <v>17</v>
      </c>
      <c r="H619" t="s">
        <v>127</v>
      </c>
      <c r="I619">
        <v>29</v>
      </c>
      <c r="J619" t="s">
        <v>19</v>
      </c>
      <c r="K619">
        <v>1</v>
      </c>
      <c r="L619" t="str">
        <f>HYPERLINK("https://coe.montana.edu/faculty_directories.html","https://coe.montana.edu/faculty_directories.html")</f>
        <v>https://coe.montana.edu/faculty_directories.html</v>
      </c>
    </row>
    <row r="620" spans="1:12" x14ac:dyDescent="0.3">
      <c r="A620">
        <v>295</v>
      </c>
      <c r="B620" t="s">
        <v>728</v>
      </c>
      <c r="C620" t="s">
        <v>726</v>
      </c>
      <c r="D620" t="s">
        <v>14</v>
      </c>
      <c r="E620" t="s">
        <v>729</v>
      </c>
      <c r="F620" t="s">
        <v>16</v>
      </c>
      <c r="G620" t="s">
        <v>17</v>
      </c>
      <c r="H620" t="s">
        <v>92</v>
      </c>
      <c r="I620">
        <v>14</v>
      </c>
      <c r="J620" t="s">
        <v>19</v>
      </c>
      <c r="K620">
        <v>1</v>
      </c>
      <c r="L620" t="str">
        <f>HYPERLINK("https://coe.montana.edu/faculty_directories.html","https://coe.montana.edu/faculty_directories.html")</f>
        <v>https://coe.montana.edu/faculty_directories.html</v>
      </c>
    </row>
    <row r="621" spans="1:12" x14ac:dyDescent="0.3">
      <c r="A621">
        <v>296</v>
      </c>
      <c r="B621" t="s">
        <v>730</v>
      </c>
      <c r="C621" t="s">
        <v>726</v>
      </c>
      <c r="D621" t="s">
        <v>14</v>
      </c>
      <c r="E621" t="s">
        <v>731</v>
      </c>
      <c r="F621" t="s">
        <v>16</v>
      </c>
      <c r="G621" t="s">
        <v>17</v>
      </c>
      <c r="H621" t="s">
        <v>508</v>
      </c>
      <c r="I621">
        <v>13</v>
      </c>
      <c r="J621" t="s">
        <v>19</v>
      </c>
      <c r="K621">
        <v>1</v>
      </c>
      <c r="L621" t="str">
        <f>HYPERLINK("https://coe.montana.edu/faculty_directories.html","https://coe.montana.edu/faculty_directories.html")</f>
        <v>https://coe.montana.edu/faculty_directories.html</v>
      </c>
    </row>
    <row r="622" spans="1:12" x14ac:dyDescent="0.3">
      <c r="A622">
        <v>302</v>
      </c>
      <c r="B622" t="s">
        <v>743</v>
      </c>
      <c r="C622" t="s">
        <v>739</v>
      </c>
      <c r="D622" t="s">
        <v>14</v>
      </c>
      <c r="E622" t="s">
        <v>744</v>
      </c>
      <c r="F622" t="s">
        <v>27</v>
      </c>
      <c r="G622" t="s">
        <v>28</v>
      </c>
      <c r="H622" t="s">
        <v>745</v>
      </c>
      <c r="I622">
        <v>132</v>
      </c>
      <c r="J622" t="s">
        <v>19</v>
      </c>
      <c r="K622">
        <v>1</v>
      </c>
      <c r="L622" t="str">
        <f>HYPERLINK("https://mie.njit.edu/people/singhp","https://mie.njit.edu/people/singhp")</f>
        <v>https://mie.njit.edu/people/singhp</v>
      </c>
    </row>
    <row r="623" spans="1:12" x14ac:dyDescent="0.3">
      <c r="A623">
        <v>305</v>
      </c>
      <c r="B623" t="s">
        <v>750</v>
      </c>
      <c r="C623" t="s">
        <v>739</v>
      </c>
      <c r="D623" t="s">
        <v>14</v>
      </c>
      <c r="E623" t="s">
        <v>751</v>
      </c>
      <c r="F623" t="s">
        <v>27</v>
      </c>
      <c r="G623" t="s">
        <v>28</v>
      </c>
      <c r="H623" t="s">
        <v>495</v>
      </c>
      <c r="I623">
        <v>7</v>
      </c>
      <c r="J623" t="s">
        <v>19</v>
      </c>
      <c r="K623">
        <v>1</v>
      </c>
      <c r="L623" t="str">
        <f>HYPERLINK("https://mie.njit.edu/people/rosato","https://mie.njit.edu/people/rosato")</f>
        <v>https://mie.njit.edu/people/rosato</v>
      </c>
    </row>
    <row r="624" spans="1:12" x14ac:dyDescent="0.3">
      <c r="A624">
        <v>311</v>
      </c>
      <c r="B624" t="s">
        <v>763</v>
      </c>
      <c r="C624" t="s">
        <v>761</v>
      </c>
      <c r="D624" t="s">
        <v>161</v>
      </c>
      <c r="E624" t="s">
        <v>764</v>
      </c>
      <c r="F624" t="s">
        <v>16</v>
      </c>
      <c r="G624" t="s">
        <v>17</v>
      </c>
      <c r="H624" t="s">
        <v>75</v>
      </c>
      <c r="I624">
        <v>99</v>
      </c>
      <c r="J624" t="s">
        <v>19</v>
      </c>
      <c r="K624">
        <v>1</v>
      </c>
      <c r="L624" t="str">
        <f>HYPERLINK("https://mae.nmsu.edu/faculty/dr-abdessattar-abdelkefi.html","https://mae.nmsu.edu/faculty/dr-abdessattar-abdelkefi.html")</f>
        <v>https://mae.nmsu.edu/faculty/dr-abdessattar-abdelkefi.html</v>
      </c>
    </row>
    <row r="625" spans="1:12" x14ac:dyDescent="0.3">
      <c r="A625">
        <v>312</v>
      </c>
      <c r="B625" t="s">
        <v>765</v>
      </c>
      <c r="C625" t="s">
        <v>761</v>
      </c>
      <c r="D625" t="s">
        <v>161</v>
      </c>
      <c r="E625" t="s">
        <v>766</v>
      </c>
      <c r="F625" t="s">
        <v>16</v>
      </c>
      <c r="G625" t="s">
        <v>17</v>
      </c>
      <c r="H625" t="s">
        <v>50</v>
      </c>
      <c r="I625">
        <v>57</v>
      </c>
      <c r="J625" t="s">
        <v>19</v>
      </c>
      <c r="K625">
        <v>1</v>
      </c>
      <c r="L625" t="str">
        <f>HYPERLINK("https://mae.nmsu.edu/faculty/dr-fangjun-shu.html","https://mae.nmsu.edu/faculty/dr-fangjun-shu.html")</f>
        <v>https://mae.nmsu.edu/faculty/dr-fangjun-shu.html</v>
      </c>
    </row>
    <row r="626" spans="1:12" x14ac:dyDescent="0.3">
      <c r="A626">
        <v>314</v>
      </c>
      <c r="B626" t="s">
        <v>769</v>
      </c>
      <c r="C626" t="s">
        <v>761</v>
      </c>
      <c r="D626" t="s">
        <v>161</v>
      </c>
      <c r="E626" t="s">
        <v>770</v>
      </c>
      <c r="F626" t="s">
        <v>62</v>
      </c>
      <c r="G626" t="s">
        <v>63</v>
      </c>
      <c r="H626" t="s">
        <v>406</v>
      </c>
      <c r="I626">
        <v>103</v>
      </c>
      <c r="J626" t="s">
        <v>19</v>
      </c>
      <c r="K626">
        <v>1</v>
      </c>
      <c r="L626" t="str">
        <f>HYPERLINK("https://mae.nmsu.edu/faculty/dr-qiong-liu.html","https://mae.nmsu.edu/faculty/dr-qiong-liu.html")</f>
        <v>https://mae.nmsu.edu/faculty/dr-qiong-liu.html</v>
      </c>
    </row>
    <row r="627" spans="1:12" x14ac:dyDescent="0.3">
      <c r="A627">
        <v>315</v>
      </c>
      <c r="B627" t="s">
        <v>771</v>
      </c>
      <c r="C627" t="s">
        <v>761</v>
      </c>
      <c r="D627" t="s">
        <v>161</v>
      </c>
      <c r="E627" t="s">
        <v>772</v>
      </c>
      <c r="F627" t="s">
        <v>62</v>
      </c>
      <c r="G627" t="s">
        <v>63</v>
      </c>
      <c r="H627" t="s">
        <v>714</v>
      </c>
      <c r="I627">
        <v>11</v>
      </c>
      <c r="J627" t="s">
        <v>19</v>
      </c>
      <c r="K627">
        <v>1</v>
      </c>
      <c r="L627" t="str">
        <f>HYPERLINK("https://fluiddynamicslab.nmsu.edu/","https://fluiddynamicslab.nmsu.edu/")</f>
        <v>https://fluiddynamicslab.nmsu.edu/</v>
      </c>
    </row>
    <row r="628" spans="1:12" hidden="1" x14ac:dyDescent="0.3">
      <c r="A628">
        <v>627</v>
      </c>
      <c r="B628" t="s">
        <v>1412</v>
      </c>
      <c r="C628" t="s">
        <v>1393</v>
      </c>
      <c r="D628" t="s">
        <v>31</v>
      </c>
      <c r="E628" t="s">
        <v>1413</v>
      </c>
      <c r="F628" t="s">
        <v>151</v>
      </c>
      <c r="G628" t="s">
        <v>152</v>
      </c>
      <c r="H628" t="s">
        <v>329</v>
      </c>
      <c r="I628">
        <v>14</v>
      </c>
      <c r="J628" t="s">
        <v>154</v>
      </c>
      <c r="K628">
        <v>3</v>
      </c>
      <c r="L628" t="str">
        <f>HYPERLINK("https://math.berkeley.edu/people/faculty/james-sethian","https://math.berkeley.edu/people/faculty/james-sethian")</f>
        <v>https://math.berkeley.edu/people/faculty/james-sethian</v>
      </c>
    </row>
    <row r="629" spans="1:12" hidden="1" x14ac:dyDescent="0.3">
      <c r="A629">
        <v>628</v>
      </c>
      <c r="B629" t="s">
        <v>1414</v>
      </c>
      <c r="C629" t="s">
        <v>1393</v>
      </c>
      <c r="D629" t="s">
        <v>31</v>
      </c>
      <c r="E629" t="s">
        <v>57</v>
      </c>
      <c r="F629" t="s">
        <v>151</v>
      </c>
      <c r="G629" t="s">
        <v>152</v>
      </c>
      <c r="H629" t="s">
        <v>58</v>
      </c>
      <c r="I629">
        <v>0</v>
      </c>
      <c r="J629" t="s">
        <v>154</v>
      </c>
      <c r="K629">
        <v>3</v>
      </c>
      <c r="L629" t="str">
        <f>HYPERLINK("https://math.berkeley.edu/people/faculty/jon-wilkening","https://math.berkeley.edu/people/faculty/jon-wilkening")</f>
        <v>https://math.berkeley.edu/people/faculty/jon-wilkening</v>
      </c>
    </row>
    <row r="630" spans="1:12" hidden="1" x14ac:dyDescent="0.3">
      <c r="A630">
        <v>629</v>
      </c>
      <c r="B630" t="s">
        <v>1415</v>
      </c>
      <c r="C630" t="s">
        <v>1393</v>
      </c>
      <c r="D630" t="s">
        <v>31</v>
      </c>
      <c r="E630" t="s">
        <v>1416</v>
      </c>
      <c r="F630" t="s">
        <v>151</v>
      </c>
      <c r="G630" t="s">
        <v>152</v>
      </c>
      <c r="H630" t="s">
        <v>406</v>
      </c>
      <c r="I630">
        <v>38</v>
      </c>
      <c r="J630" t="s">
        <v>154</v>
      </c>
      <c r="K630">
        <v>3</v>
      </c>
      <c r="L630" t="str">
        <f>HYPERLINK("https://math.berkeley.edu/people/faculty/suncica-canic","https://math.berkeley.edu/people/faculty/suncica-canic")</f>
        <v>https://math.berkeley.edu/people/faculty/suncica-canic</v>
      </c>
    </row>
    <row r="631" spans="1:12" hidden="1" x14ac:dyDescent="0.3">
      <c r="A631">
        <v>630</v>
      </c>
      <c r="B631" t="s">
        <v>1417</v>
      </c>
      <c r="C631" t="s">
        <v>1393</v>
      </c>
      <c r="D631" t="s">
        <v>31</v>
      </c>
      <c r="E631" t="s">
        <v>57</v>
      </c>
      <c r="F631" t="s">
        <v>151</v>
      </c>
      <c r="G631" t="s">
        <v>152</v>
      </c>
      <c r="H631" t="s">
        <v>58</v>
      </c>
      <c r="I631">
        <v>0</v>
      </c>
      <c r="J631" t="s">
        <v>154</v>
      </c>
      <c r="K631">
        <v>3</v>
      </c>
      <c r="L631" t="str">
        <f>HYPERLINK("https://math.berkeley.edu/people/faculty/franziska-weber","https://math.berkeley.edu/people/faculty/franziska-weber")</f>
        <v>https://math.berkeley.edu/people/faculty/franziska-weber</v>
      </c>
    </row>
    <row r="632" spans="1:12" x14ac:dyDescent="0.3">
      <c r="A632">
        <v>316</v>
      </c>
      <c r="B632" t="s">
        <v>773</v>
      </c>
      <c r="C632" t="s">
        <v>761</v>
      </c>
      <c r="D632" t="s">
        <v>161</v>
      </c>
      <c r="E632" t="s">
        <v>774</v>
      </c>
      <c r="F632" t="s">
        <v>62</v>
      </c>
      <c r="G632" t="s">
        <v>63</v>
      </c>
      <c r="H632" t="s">
        <v>775</v>
      </c>
      <c r="I632">
        <v>5</v>
      </c>
      <c r="J632" t="s">
        <v>19</v>
      </c>
      <c r="K632">
        <v>1</v>
      </c>
      <c r="L632" t="str">
        <f>HYPERLINK("https://mae.nmsu.edu/faculty/dr-francisco-torres-herrador.html","https://mae.nmsu.edu/faculty/dr-francisco-torres-herrador.html")</f>
        <v>https://mae.nmsu.edu/faculty/dr-francisco-torres-herrador.html</v>
      </c>
    </row>
    <row r="633" spans="1:12" x14ac:dyDescent="0.3">
      <c r="A633">
        <v>320</v>
      </c>
      <c r="B633" t="s">
        <v>784</v>
      </c>
      <c r="C633" t="s">
        <v>777</v>
      </c>
      <c r="D633" t="s">
        <v>161</v>
      </c>
      <c r="E633" t="s">
        <v>785</v>
      </c>
      <c r="F633" t="s">
        <v>27</v>
      </c>
      <c r="G633" t="s">
        <v>28</v>
      </c>
      <c r="H633" t="s">
        <v>159</v>
      </c>
      <c r="I633">
        <v>21</v>
      </c>
      <c r="J633" t="s">
        <v>19</v>
      </c>
      <c r="K633">
        <v>1</v>
      </c>
      <c r="L633" t="str">
        <f>HYPERLINK("https://mae.ncsu.edu/people/kgranlu/","https://mae.ncsu.edu/people/kgranlu/")</f>
        <v>https://mae.ncsu.edu/people/kgranlu/</v>
      </c>
    </row>
    <row r="634" spans="1:12" x14ac:dyDescent="0.3">
      <c r="A634">
        <v>324</v>
      </c>
      <c r="B634" t="s">
        <v>791</v>
      </c>
      <c r="C634" t="s">
        <v>777</v>
      </c>
      <c r="D634" t="s">
        <v>161</v>
      </c>
      <c r="E634" t="s">
        <v>792</v>
      </c>
      <c r="F634" t="s">
        <v>27</v>
      </c>
      <c r="G634" t="s">
        <v>28</v>
      </c>
      <c r="H634" t="s">
        <v>64</v>
      </c>
      <c r="I634">
        <v>6</v>
      </c>
      <c r="J634" t="s">
        <v>19</v>
      </c>
      <c r="K634">
        <v>1</v>
      </c>
      <c r="L634" t="str">
        <f>HYPERLINK("https://mae.ncsu.edu/people/fewere/","https://mae.ncsu.edu/people/fewere/")</f>
        <v>https://mae.ncsu.edu/people/fewere/</v>
      </c>
    </row>
    <row r="635" spans="1:12" x14ac:dyDescent="0.3">
      <c r="A635">
        <v>331</v>
      </c>
      <c r="B635" t="s">
        <v>804</v>
      </c>
      <c r="C635" t="s">
        <v>805</v>
      </c>
      <c r="D635" t="s">
        <v>14</v>
      </c>
      <c r="E635" t="s">
        <v>806</v>
      </c>
      <c r="F635" t="s">
        <v>62</v>
      </c>
      <c r="G635" t="s">
        <v>63</v>
      </c>
      <c r="H635" t="s">
        <v>213</v>
      </c>
      <c r="I635">
        <v>11</v>
      </c>
      <c r="J635" t="s">
        <v>19</v>
      </c>
      <c r="K635">
        <v>1</v>
      </c>
      <c r="L635" t="str">
        <f>HYPERLINK("https://www.ndsu.edu/mechanical-engineering/people","https://www.ndsu.edu/mechanical-engineering/people")</f>
        <v>https://www.ndsu.edu/mechanical-engineering/people</v>
      </c>
    </row>
    <row r="636" spans="1:12" x14ac:dyDescent="0.3">
      <c r="A636">
        <v>332</v>
      </c>
      <c r="B636" t="s">
        <v>807</v>
      </c>
      <c r="C636" t="s">
        <v>805</v>
      </c>
      <c r="D636" t="s">
        <v>14</v>
      </c>
      <c r="E636" t="s">
        <v>808</v>
      </c>
      <c r="F636" t="s">
        <v>62</v>
      </c>
      <c r="G636" t="s">
        <v>63</v>
      </c>
      <c r="H636" t="s">
        <v>45</v>
      </c>
      <c r="I636">
        <v>902</v>
      </c>
      <c r="J636" t="s">
        <v>19</v>
      </c>
      <c r="K636">
        <v>1</v>
      </c>
      <c r="L636" t="str">
        <f>HYPERLINK("https://www.ndsu.edu/mechanical-engineering/people","https://www.ndsu.edu/mechanical-engineering/people")</f>
        <v>https://www.ndsu.edu/mechanical-engineering/people</v>
      </c>
    </row>
    <row r="637" spans="1:12" x14ac:dyDescent="0.3">
      <c r="A637">
        <v>333</v>
      </c>
      <c r="B637" t="s">
        <v>809</v>
      </c>
      <c r="C637" t="s">
        <v>805</v>
      </c>
      <c r="D637" t="s">
        <v>14</v>
      </c>
      <c r="E637" t="s">
        <v>810</v>
      </c>
      <c r="F637" t="s">
        <v>62</v>
      </c>
      <c r="G637" t="s">
        <v>63</v>
      </c>
      <c r="H637" t="s">
        <v>159</v>
      </c>
      <c r="I637">
        <v>46</v>
      </c>
      <c r="J637" t="s">
        <v>19</v>
      </c>
      <c r="K637">
        <v>1</v>
      </c>
      <c r="L637" t="str">
        <f>HYPERLINK("https://www.ndsu.edu/mechanical-engineering/people","https://www.ndsu.edu/mechanical-engineering/people")</f>
        <v>https://www.ndsu.edu/mechanical-engineering/people</v>
      </c>
    </row>
    <row r="638" spans="1:12" hidden="1" x14ac:dyDescent="0.3">
      <c r="A638">
        <v>637</v>
      </c>
      <c r="B638" t="s">
        <v>1429</v>
      </c>
      <c r="C638" t="s">
        <v>1419</v>
      </c>
      <c r="D638" t="s">
        <v>31</v>
      </c>
      <c r="E638" t="s">
        <v>1430</v>
      </c>
      <c r="F638" t="s">
        <v>335</v>
      </c>
      <c r="G638" t="s">
        <v>336</v>
      </c>
      <c r="H638" t="s">
        <v>182</v>
      </c>
      <c r="I638">
        <v>30</v>
      </c>
      <c r="J638" t="s">
        <v>19</v>
      </c>
      <c r="K638">
        <v>1</v>
      </c>
      <c r="L638" t="str">
        <f>HYPERLINK("https://www.math.ucdavis.edu/people","https://www.math.ucdavis.edu/people")</f>
        <v>https://www.math.ucdavis.edu/people</v>
      </c>
    </row>
    <row r="639" spans="1:12" hidden="1" x14ac:dyDescent="0.3">
      <c r="A639">
        <v>638</v>
      </c>
      <c r="B639" t="s">
        <v>1431</v>
      </c>
      <c r="C639" t="s">
        <v>1419</v>
      </c>
      <c r="D639" t="s">
        <v>31</v>
      </c>
      <c r="E639" t="s">
        <v>57</v>
      </c>
      <c r="F639" t="s">
        <v>151</v>
      </c>
      <c r="G639" t="s">
        <v>152</v>
      </c>
      <c r="H639" t="s">
        <v>58</v>
      </c>
      <c r="I639">
        <v>0</v>
      </c>
      <c r="J639" t="s">
        <v>154</v>
      </c>
      <c r="K639">
        <v>3</v>
      </c>
      <c r="L639" t="str">
        <f>HYPERLINK("https://www.math.ucdavis.edu/people/general-profile?fac_id=biello","https://www.math.ucdavis.edu/people/general-profile?fac_id=biello")</f>
        <v>https://www.math.ucdavis.edu/people/general-profile?fac_id=biello</v>
      </c>
    </row>
    <row r="640" spans="1:12" hidden="1" x14ac:dyDescent="0.3">
      <c r="A640">
        <v>639</v>
      </c>
      <c r="B640" t="s">
        <v>1432</v>
      </c>
      <c r="C640" t="s">
        <v>1419</v>
      </c>
      <c r="D640" t="s">
        <v>31</v>
      </c>
      <c r="E640" t="s">
        <v>1433</v>
      </c>
      <c r="F640" t="s">
        <v>335</v>
      </c>
      <c r="G640" t="s">
        <v>336</v>
      </c>
      <c r="H640" t="s">
        <v>67</v>
      </c>
      <c r="I640">
        <v>23</v>
      </c>
      <c r="J640" t="s">
        <v>19</v>
      </c>
      <c r="K640">
        <v>1</v>
      </c>
      <c r="L640" t="str">
        <f>HYPERLINK("https://www.math.ucdavis.edu/people","https://www.math.ucdavis.edu/people")</f>
        <v>https://www.math.ucdavis.edu/people</v>
      </c>
    </row>
    <row r="641" spans="1:12" hidden="1" x14ac:dyDescent="0.3">
      <c r="A641">
        <v>640</v>
      </c>
      <c r="B641" t="s">
        <v>1434</v>
      </c>
      <c r="C641" t="s">
        <v>1419</v>
      </c>
      <c r="D641" t="s">
        <v>31</v>
      </c>
      <c r="E641" t="s">
        <v>1435</v>
      </c>
      <c r="F641" t="s">
        <v>335</v>
      </c>
      <c r="G641" t="s">
        <v>336</v>
      </c>
      <c r="H641" t="s">
        <v>273</v>
      </c>
      <c r="I641">
        <v>16</v>
      </c>
      <c r="J641" t="s">
        <v>19</v>
      </c>
      <c r="K641">
        <v>1</v>
      </c>
      <c r="L641" t="str">
        <f>HYPERLINK("https://www.math.ucdavis.edu/people","https://www.math.ucdavis.edu/people")</f>
        <v>https://www.math.ucdavis.edu/people</v>
      </c>
    </row>
    <row r="642" spans="1:12" hidden="1" x14ac:dyDescent="0.3">
      <c r="A642">
        <v>641</v>
      </c>
      <c r="B642" t="s">
        <v>1436</v>
      </c>
      <c r="C642" t="s">
        <v>1419</v>
      </c>
      <c r="D642" t="s">
        <v>31</v>
      </c>
      <c r="E642" t="s">
        <v>1437</v>
      </c>
      <c r="F642" t="s">
        <v>335</v>
      </c>
      <c r="G642" t="s">
        <v>336</v>
      </c>
      <c r="H642" t="s">
        <v>182</v>
      </c>
      <c r="I642">
        <v>6</v>
      </c>
      <c r="J642" t="s">
        <v>19</v>
      </c>
      <c r="K642">
        <v>1</v>
      </c>
      <c r="L642" t="str">
        <f>HYPERLINK("https://www.math.ucdavis.edu/people","https://www.math.ucdavis.edu/people")</f>
        <v>https://www.math.ucdavis.edu/people</v>
      </c>
    </row>
    <row r="643" spans="1:12" x14ac:dyDescent="0.3">
      <c r="A643">
        <v>335</v>
      </c>
      <c r="B643" t="s">
        <v>813</v>
      </c>
      <c r="C643" t="s">
        <v>805</v>
      </c>
      <c r="D643" t="s">
        <v>14</v>
      </c>
      <c r="E643" t="s">
        <v>814</v>
      </c>
      <c r="F643" t="s">
        <v>62</v>
      </c>
      <c r="G643" t="s">
        <v>63</v>
      </c>
      <c r="H643" t="s">
        <v>406</v>
      </c>
      <c r="I643">
        <v>21</v>
      </c>
      <c r="J643" t="s">
        <v>19</v>
      </c>
      <c r="K643">
        <v>1</v>
      </c>
      <c r="L643" t="str">
        <f>HYPERLINK("https://www.ndsu.edu/mechanical-engineering/people","https://www.ndsu.edu/mechanical-engineering/people")</f>
        <v>https://www.ndsu.edu/mechanical-engineering/people</v>
      </c>
    </row>
    <row r="644" spans="1:12" x14ac:dyDescent="0.3">
      <c r="A644">
        <v>336</v>
      </c>
      <c r="B644" t="s">
        <v>815</v>
      </c>
      <c r="C644" t="s">
        <v>805</v>
      </c>
      <c r="D644" t="s">
        <v>14</v>
      </c>
      <c r="E644" t="s">
        <v>816</v>
      </c>
      <c r="F644" t="s">
        <v>62</v>
      </c>
      <c r="G644" t="s">
        <v>63</v>
      </c>
      <c r="H644" t="s">
        <v>50</v>
      </c>
      <c r="I644">
        <v>31</v>
      </c>
      <c r="J644" t="s">
        <v>19</v>
      </c>
      <c r="K644">
        <v>1</v>
      </c>
      <c r="L644" t="str">
        <f>HYPERLINK("https://www.ndsu.edu/mechanical-engineering/people","https://www.ndsu.edu/mechanical-engineering/people")</f>
        <v>https://www.ndsu.edu/mechanical-engineering/people</v>
      </c>
    </row>
    <row r="645" spans="1:12" x14ac:dyDescent="0.3">
      <c r="A645">
        <v>337</v>
      </c>
      <c r="B645" t="s">
        <v>817</v>
      </c>
      <c r="C645" t="s">
        <v>805</v>
      </c>
      <c r="D645" t="s">
        <v>14</v>
      </c>
      <c r="E645" t="s">
        <v>818</v>
      </c>
      <c r="F645" t="s">
        <v>62</v>
      </c>
      <c r="G645" t="s">
        <v>63</v>
      </c>
      <c r="H645" t="s">
        <v>53</v>
      </c>
      <c r="I645">
        <v>20</v>
      </c>
      <c r="J645" t="s">
        <v>19</v>
      </c>
      <c r="K645">
        <v>1</v>
      </c>
      <c r="L645" t="str">
        <f>HYPERLINK("https://www.ndsu.edu/mechanical-engineering/people","https://www.ndsu.edu/mechanical-engineering/people")</f>
        <v>https://www.ndsu.edu/mechanical-engineering/people</v>
      </c>
    </row>
    <row r="646" spans="1:12" x14ac:dyDescent="0.3">
      <c r="A646">
        <v>338</v>
      </c>
      <c r="B646" t="s">
        <v>819</v>
      </c>
      <c r="C646" t="s">
        <v>820</v>
      </c>
      <c r="D646" t="s">
        <v>161</v>
      </c>
      <c r="E646" t="s">
        <v>821</v>
      </c>
      <c r="F646" t="s">
        <v>16</v>
      </c>
      <c r="G646" t="s">
        <v>17</v>
      </c>
      <c r="H646" t="s">
        <v>80</v>
      </c>
      <c r="I646">
        <v>110</v>
      </c>
      <c r="J646" t="s">
        <v>19</v>
      </c>
      <c r="K646">
        <v>1</v>
      </c>
      <c r="L646" t="str">
        <f>HYPERLINK("https://mae.osu.edu/people/gaitonde.3","https://mae.osu.edu/people/gaitonde.3")</f>
        <v>https://mae.osu.edu/people/gaitonde.3</v>
      </c>
    </row>
    <row r="647" spans="1:12" x14ac:dyDescent="0.3">
      <c r="A647">
        <v>339</v>
      </c>
      <c r="B647" t="s">
        <v>822</v>
      </c>
      <c r="C647" t="s">
        <v>820</v>
      </c>
      <c r="D647" t="s">
        <v>161</v>
      </c>
      <c r="E647" t="s">
        <v>823</v>
      </c>
      <c r="F647" t="s">
        <v>62</v>
      </c>
      <c r="G647" t="s">
        <v>63</v>
      </c>
      <c r="H647" t="s">
        <v>39</v>
      </c>
      <c r="I647">
        <v>66</v>
      </c>
      <c r="J647" t="s">
        <v>19</v>
      </c>
      <c r="K647">
        <v>1</v>
      </c>
      <c r="L647" t="str">
        <f>HYPERLINK("https://mae.osu.edu/people/duan.322","https://mae.osu.edu/people/duan.322")</f>
        <v>https://mae.osu.edu/people/duan.322</v>
      </c>
    </row>
    <row r="648" spans="1:12" x14ac:dyDescent="0.3">
      <c r="A648">
        <v>341</v>
      </c>
      <c r="B648" t="s">
        <v>826</v>
      </c>
      <c r="C648" t="s">
        <v>820</v>
      </c>
      <c r="D648" t="s">
        <v>161</v>
      </c>
      <c r="E648" t="s">
        <v>827</v>
      </c>
      <c r="F648" t="s">
        <v>62</v>
      </c>
      <c r="G648" t="s">
        <v>63</v>
      </c>
      <c r="H648" t="s">
        <v>104</v>
      </c>
      <c r="I648">
        <v>64</v>
      </c>
      <c r="J648" t="s">
        <v>19</v>
      </c>
      <c r="K648">
        <v>1</v>
      </c>
      <c r="L648" t="str">
        <f>HYPERLINK("https://mae.osu.edu/people/bons.2","https://mae.osu.edu/people/bons.2")</f>
        <v>https://mae.osu.edu/people/bons.2</v>
      </c>
    </row>
    <row r="649" spans="1:12" x14ac:dyDescent="0.3">
      <c r="A649">
        <v>342</v>
      </c>
      <c r="B649" t="s">
        <v>828</v>
      </c>
      <c r="C649" t="s">
        <v>820</v>
      </c>
      <c r="D649" t="s">
        <v>161</v>
      </c>
      <c r="E649" t="s">
        <v>829</v>
      </c>
      <c r="F649" t="s">
        <v>16</v>
      </c>
      <c r="G649" t="s">
        <v>17</v>
      </c>
      <c r="H649" t="s">
        <v>830</v>
      </c>
      <c r="I649">
        <v>32</v>
      </c>
      <c r="J649" t="s">
        <v>19</v>
      </c>
      <c r="K649">
        <v>1</v>
      </c>
      <c r="L649" t="str">
        <f>HYPERLINK("https://mae.osu.edu/people/mcnamara.190","https://mae.osu.edu/people/mcnamara.190")</f>
        <v>https://mae.osu.edu/people/mcnamara.190</v>
      </c>
    </row>
    <row r="650" spans="1:12" x14ac:dyDescent="0.3">
      <c r="A650">
        <v>344</v>
      </c>
      <c r="B650" t="s">
        <v>833</v>
      </c>
      <c r="C650" t="s">
        <v>834</v>
      </c>
      <c r="D650" t="s">
        <v>14</v>
      </c>
      <c r="E650" t="s">
        <v>835</v>
      </c>
      <c r="F650" t="s">
        <v>83</v>
      </c>
      <c r="G650" t="s">
        <v>84</v>
      </c>
      <c r="H650" t="s">
        <v>182</v>
      </c>
      <c r="I650">
        <v>24</v>
      </c>
      <c r="J650" t="s">
        <v>19</v>
      </c>
      <c r="K650">
        <v>1</v>
      </c>
      <c r="L650" t="str">
        <f>HYPERLINK("https://www.ohio.edu/directory/steven-wereley","https://www.ohio.edu/directory/steven-wereley")</f>
        <v>https://www.ohio.edu/directory/steven-wereley</v>
      </c>
    </row>
    <row r="651" spans="1:12" x14ac:dyDescent="0.3">
      <c r="A651">
        <v>345</v>
      </c>
      <c r="B651" t="s">
        <v>836</v>
      </c>
      <c r="C651" t="s">
        <v>834</v>
      </c>
      <c r="D651" t="s">
        <v>14</v>
      </c>
      <c r="E651" t="s">
        <v>837</v>
      </c>
      <c r="F651" t="s">
        <v>62</v>
      </c>
      <c r="G651" t="s">
        <v>63</v>
      </c>
      <c r="H651" t="s">
        <v>649</v>
      </c>
      <c r="I651">
        <v>33</v>
      </c>
      <c r="J651" t="s">
        <v>19</v>
      </c>
      <c r="K651">
        <v>1</v>
      </c>
      <c r="L651" t="str">
        <f>HYPERLINK("https://www.ohio.edu/engineering/mechanical/about/faculty-staff","https://www.ohio.edu/engineering/mechanical/about/faculty-staff")</f>
        <v>https://www.ohio.edu/engineering/mechanical/about/faculty-staff</v>
      </c>
    </row>
    <row r="652" spans="1:12" x14ac:dyDescent="0.3">
      <c r="A652">
        <v>346</v>
      </c>
      <c r="B652" t="s">
        <v>838</v>
      </c>
      <c r="C652" t="s">
        <v>834</v>
      </c>
      <c r="D652" t="s">
        <v>14</v>
      </c>
      <c r="E652" t="s">
        <v>839</v>
      </c>
      <c r="F652" t="s">
        <v>22</v>
      </c>
      <c r="G652" t="s">
        <v>23</v>
      </c>
      <c r="H652" t="s">
        <v>88</v>
      </c>
      <c r="I652">
        <v>8</v>
      </c>
      <c r="J652" t="s">
        <v>19</v>
      </c>
      <c r="K652">
        <v>1</v>
      </c>
      <c r="L652" t="str">
        <f>HYPERLINK("https://www.ohio.edu/directory/brian-wisner","https://www.ohio.edu/directory/brian-wisner")</f>
        <v>https://www.ohio.edu/directory/brian-wisner</v>
      </c>
    </row>
    <row r="653" spans="1:12" x14ac:dyDescent="0.3">
      <c r="A653">
        <v>347</v>
      </c>
      <c r="B653" t="s">
        <v>840</v>
      </c>
      <c r="C653" t="s">
        <v>834</v>
      </c>
      <c r="D653" t="s">
        <v>14</v>
      </c>
      <c r="E653" t="s">
        <v>841</v>
      </c>
      <c r="F653" t="s">
        <v>62</v>
      </c>
      <c r="G653" t="s">
        <v>63</v>
      </c>
      <c r="H653" t="s">
        <v>842</v>
      </c>
      <c r="I653">
        <v>26</v>
      </c>
      <c r="J653" t="s">
        <v>19</v>
      </c>
      <c r="K653">
        <v>1</v>
      </c>
      <c r="L653" t="str">
        <f>HYPERLINK("https://www.ohio.edu/engineering/mechanical/about/faculty-staff","https://www.ohio.edu/engineering/mechanical/about/faculty-staff")</f>
        <v>https://www.ohio.edu/engineering/mechanical/about/faculty-staff</v>
      </c>
    </row>
    <row r="654" spans="1:12" hidden="1" x14ac:dyDescent="0.3">
      <c r="A654">
        <v>653</v>
      </c>
      <c r="B654" t="s">
        <v>1456</v>
      </c>
      <c r="C654" t="s">
        <v>1439</v>
      </c>
      <c r="D654" t="s">
        <v>31</v>
      </c>
      <c r="E654" t="s">
        <v>1457</v>
      </c>
      <c r="F654" t="s">
        <v>27</v>
      </c>
      <c r="G654" t="s">
        <v>28</v>
      </c>
      <c r="H654" t="s">
        <v>45</v>
      </c>
      <c r="I654">
        <v>77</v>
      </c>
      <c r="J654" t="s">
        <v>19</v>
      </c>
      <c r="K654">
        <v>1</v>
      </c>
      <c r="L654" t="str">
        <f>HYPERLINK("https://www.math.uci.edu/people/john-lowengrub","https://www.math.uci.edu/people/john-lowengrub")</f>
        <v>https://www.math.uci.edu/people/john-lowengrub</v>
      </c>
    </row>
    <row r="655" spans="1:12" hidden="1" x14ac:dyDescent="0.3">
      <c r="A655">
        <v>654</v>
      </c>
      <c r="B655" t="s">
        <v>1458</v>
      </c>
      <c r="C655" t="s">
        <v>1439</v>
      </c>
      <c r="D655" t="s">
        <v>31</v>
      </c>
      <c r="E655" t="s">
        <v>1459</v>
      </c>
      <c r="F655" t="s">
        <v>27</v>
      </c>
      <c r="G655" t="s">
        <v>28</v>
      </c>
      <c r="H655" t="s">
        <v>200</v>
      </c>
      <c r="I655">
        <v>378</v>
      </c>
      <c r="J655" t="s">
        <v>19</v>
      </c>
      <c r="K655">
        <v>1</v>
      </c>
      <c r="L655" t="str">
        <f>HYPERLINK("https://www.math.uci.edu/people/long-chen","https://www.math.uci.edu/people/long-chen")</f>
        <v>https://www.math.uci.edu/people/long-chen</v>
      </c>
    </row>
    <row r="656" spans="1:12" hidden="1" x14ac:dyDescent="0.3">
      <c r="A656">
        <v>655</v>
      </c>
      <c r="B656" t="s">
        <v>1460</v>
      </c>
      <c r="C656" t="s">
        <v>1439</v>
      </c>
      <c r="D656" t="s">
        <v>31</v>
      </c>
      <c r="E656" t="s">
        <v>1461</v>
      </c>
      <c r="F656" t="s">
        <v>27</v>
      </c>
      <c r="G656" t="s">
        <v>28</v>
      </c>
      <c r="H656" t="s">
        <v>124</v>
      </c>
      <c r="I656">
        <v>72</v>
      </c>
      <c r="J656" t="s">
        <v>19</v>
      </c>
      <c r="K656">
        <v>1</v>
      </c>
      <c r="L656" t="str">
        <f>HYPERLINK("https://www.math.uci.edu/people/jack-xin","https://www.math.uci.edu/people/jack-xin")</f>
        <v>https://www.math.uci.edu/people/jack-xin</v>
      </c>
    </row>
    <row r="657" spans="1:12" x14ac:dyDescent="0.3">
      <c r="A657">
        <v>348</v>
      </c>
      <c r="B657" t="s">
        <v>843</v>
      </c>
      <c r="C657" t="s">
        <v>834</v>
      </c>
      <c r="D657" t="s">
        <v>14</v>
      </c>
      <c r="E657" t="s">
        <v>844</v>
      </c>
      <c r="F657" t="s">
        <v>62</v>
      </c>
      <c r="G657" t="s">
        <v>63</v>
      </c>
      <c r="H657" t="s">
        <v>228</v>
      </c>
      <c r="I657">
        <v>16</v>
      </c>
      <c r="J657" t="s">
        <v>19</v>
      </c>
      <c r="K657">
        <v>1</v>
      </c>
      <c r="L657" t="str">
        <f>HYPERLINK("https://www.ohio.edu/engineering/mechanical/about/faculty-staff","https://www.ohio.edu/engineering/mechanical/about/faculty-staff")</f>
        <v>https://www.ohio.edu/engineering/mechanical/about/faculty-staff</v>
      </c>
    </row>
    <row r="658" spans="1:12" x14ac:dyDescent="0.3">
      <c r="A658">
        <v>350</v>
      </c>
      <c r="B658" t="s">
        <v>847</v>
      </c>
      <c r="C658" t="s">
        <v>848</v>
      </c>
      <c r="D658" t="s">
        <v>161</v>
      </c>
      <c r="E658" t="s">
        <v>849</v>
      </c>
      <c r="F658" t="s">
        <v>27</v>
      </c>
      <c r="G658" t="s">
        <v>476</v>
      </c>
      <c r="H658" t="s">
        <v>213</v>
      </c>
      <c r="I658">
        <v>54</v>
      </c>
      <c r="J658" t="s">
        <v>19</v>
      </c>
      <c r="K658">
        <v>1</v>
      </c>
      <c r="L658" t="str">
        <f>HYPERLINK("https://ceat.okstate.edu/mae/faculty-staff/faculty-bios/jamey-jacob","https://ceat.okstate.edu/mae/faculty-staff/faculty-bios/jamey-jacob")</f>
        <v>https://ceat.okstate.edu/mae/faculty-staff/faculty-bios/jamey-jacob</v>
      </c>
    </row>
    <row r="659" spans="1:12" x14ac:dyDescent="0.3">
      <c r="A659">
        <v>351</v>
      </c>
      <c r="B659" t="s">
        <v>850</v>
      </c>
      <c r="C659" t="s">
        <v>848</v>
      </c>
      <c r="D659" t="s">
        <v>161</v>
      </c>
      <c r="E659" t="s">
        <v>851</v>
      </c>
      <c r="F659" t="s">
        <v>27</v>
      </c>
      <c r="G659" t="s">
        <v>476</v>
      </c>
      <c r="H659" t="s">
        <v>159</v>
      </c>
      <c r="I659">
        <v>42</v>
      </c>
      <c r="J659" t="s">
        <v>19</v>
      </c>
      <c r="K659">
        <v>1</v>
      </c>
      <c r="L659" t="str">
        <f>HYPERLINK("https://ceat.okstate.edu/mae/faculty-staff/faculty-bios/brian-elbing","https://ceat.okstate.edu/mae/faculty-staff/faculty-bios/brian-elbing")</f>
        <v>https://ceat.okstate.edu/mae/faculty-staff/faculty-bios/brian-elbing</v>
      </c>
    </row>
    <row r="660" spans="1:12" x14ac:dyDescent="0.3">
      <c r="A660">
        <v>352</v>
      </c>
      <c r="B660" t="s">
        <v>852</v>
      </c>
      <c r="C660" t="s">
        <v>848</v>
      </c>
      <c r="D660" t="s">
        <v>161</v>
      </c>
      <c r="E660" t="s">
        <v>853</v>
      </c>
      <c r="F660" t="s">
        <v>27</v>
      </c>
      <c r="G660" t="s">
        <v>476</v>
      </c>
      <c r="H660" t="s">
        <v>273</v>
      </c>
      <c r="I660">
        <v>40</v>
      </c>
      <c r="J660" t="s">
        <v>19</v>
      </c>
      <c r="K660">
        <v>1</v>
      </c>
      <c r="L660" t="str">
        <f>HYPERLINK("https://ceat.okstate.edu/mae/faculty-staff/faculty-bios/kursat-kara","https://ceat.okstate.edu/mae/faculty-staff/faculty-bios/kursat-kara")</f>
        <v>https://ceat.okstate.edu/mae/faculty-staff/faculty-bios/kursat-kara</v>
      </c>
    </row>
    <row r="661" spans="1:12" x14ac:dyDescent="0.3">
      <c r="A661">
        <v>353</v>
      </c>
      <c r="B661" t="s">
        <v>854</v>
      </c>
      <c r="C661" t="s">
        <v>848</v>
      </c>
      <c r="D661" t="s">
        <v>161</v>
      </c>
      <c r="E661" t="s">
        <v>855</v>
      </c>
      <c r="F661" t="s">
        <v>27</v>
      </c>
      <c r="G661" t="s">
        <v>476</v>
      </c>
      <c r="H661" t="s">
        <v>33</v>
      </c>
      <c r="I661">
        <v>8</v>
      </c>
      <c r="J661" t="s">
        <v>19</v>
      </c>
      <c r="K661">
        <v>1</v>
      </c>
      <c r="L661" t="str">
        <f>HYPERLINK("https://ceat.okstate.edu/mae/faculty-staff/faculty-bios/khaled-sallam","https://ceat.okstate.edu/mae/faculty-staff/faculty-bios/khaled-sallam")</f>
        <v>https://ceat.okstate.edu/mae/faculty-staff/faculty-bios/khaled-sallam</v>
      </c>
    </row>
    <row r="662" spans="1:12" x14ac:dyDescent="0.3">
      <c r="A662">
        <v>354</v>
      </c>
      <c r="B662" t="s">
        <v>856</v>
      </c>
      <c r="C662" t="s">
        <v>848</v>
      </c>
      <c r="D662" t="s">
        <v>161</v>
      </c>
      <c r="E662" t="s">
        <v>857</v>
      </c>
      <c r="F662" t="s">
        <v>27</v>
      </c>
      <c r="G662" t="s">
        <v>476</v>
      </c>
      <c r="H662" t="s">
        <v>858</v>
      </c>
      <c r="I662">
        <v>25</v>
      </c>
      <c r="J662" t="s">
        <v>19</v>
      </c>
      <c r="K662">
        <v>1</v>
      </c>
      <c r="L662" t="str">
        <f>HYPERLINK("https://ceat.okstate.edu/mae/faculty-staff","https://ceat.okstate.edu/mae/faculty-staff")</f>
        <v>https://ceat.okstate.edu/mae/faculty-staff</v>
      </c>
    </row>
    <row r="663" spans="1:12" x14ac:dyDescent="0.3">
      <c r="A663">
        <v>355</v>
      </c>
      <c r="B663" t="s">
        <v>859</v>
      </c>
      <c r="C663" t="s">
        <v>848</v>
      </c>
      <c r="D663" t="s">
        <v>161</v>
      </c>
      <c r="E663" t="s">
        <v>860</v>
      </c>
      <c r="F663" t="s">
        <v>27</v>
      </c>
      <c r="G663" t="s">
        <v>476</v>
      </c>
      <c r="H663" t="s">
        <v>159</v>
      </c>
      <c r="I663">
        <v>9</v>
      </c>
      <c r="J663" t="s">
        <v>19</v>
      </c>
      <c r="K663">
        <v>1</v>
      </c>
      <c r="L663" t="str">
        <f>HYPERLINK("https://ceat.okstate.edu/mae/faculty-staff/faculty-bios/arvind-santhanakrishnan","https://ceat.okstate.edu/mae/faculty-staff/faculty-bios/arvind-santhanakrishnan")</f>
        <v>https://ceat.okstate.edu/mae/faculty-staff/faculty-bios/arvind-santhanakrishnan</v>
      </c>
    </row>
    <row r="664" spans="1:12" x14ac:dyDescent="0.3">
      <c r="A664">
        <v>356</v>
      </c>
      <c r="B664" t="s">
        <v>861</v>
      </c>
      <c r="C664" t="s">
        <v>848</v>
      </c>
      <c r="D664" t="s">
        <v>161</v>
      </c>
      <c r="E664" t="s">
        <v>862</v>
      </c>
      <c r="F664" t="s">
        <v>27</v>
      </c>
      <c r="G664" t="s">
        <v>476</v>
      </c>
      <c r="H664" t="s">
        <v>18</v>
      </c>
      <c r="I664">
        <v>71</v>
      </c>
      <c r="J664" t="s">
        <v>19</v>
      </c>
      <c r="K664">
        <v>1</v>
      </c>
      <c r="L664" t="str">
        <f>HYPERLINK("https://ceat.okstate.edu/mae/faculty-staff/faculty-bios/he-bai","https://ceat.okstate.edu/mae/faculty-staff/faculty-bios/he-bai")</f>
        <v>https://ceat.okstate.edu/mae/faculty-staff/faculty-bios/he-bai</v>
      </c>
    </row>
    <row r="665" spans="1:12" x14ac:dyDescent="0.3">
      <c r="A665">
        <v>359</v>
      </c>
      <c r="B665" t="s">
        <v>865</v>
      </c>
      <c r="C665" t="s">
        <v>866</v>
      </c>
      <c r="D665" t="s">
        <v>14</v>
      </c>
      <c r="E665" t="s">
        <v>867</v>
      </c>
      <c r="F665" t="s">
        <v>16</v>
      </c>
      <c r="G665" t="s">
        <v>17</v>
      </c>
      <c r="H665" t="s">
        <v>220</v>
      </c>
      <c r="I665">
        <v>14</v>
      </c>
      <c r="J665" t="s">
        <v>19</v>
      </c>
      <c r="K665">
        <v>1</v>
      </c>
      <c r="L665" t="str">
        <f>HYPERLINK("https://engineering.oregonstate.edu/people/sourabh-apte","https://engineering.oregonstate.edu/people/sourabh-apte")</f>
        <v>https://engineering.oregonstate.edu/people/sourabh-apte</v>
      </c>
    </row>
    <row r="666" spans="1:12" x14ac:dyDescent="0.3">
      <c r="A666">
        <v>360</v>
      </c>
      <c r="B666" t="s">
        <v>868</v>
      </c>
      <c r="C666" t="s">
        <v>866</v>
      </c>
      <c r="D666" t="s">
        <v>14</v>
      </c>
      <c r="E666" t="s">
        <v>869</v>
      </c>
      <c r="F666" t="s">
        <v>22</v>
      </c>
      <c r="G666" t="s">
        <v>23</v>
      </c>
      <c r="H666" t="s">
        <v>75</v>
      </c>
      <c r="I666">
        <v>66</v>
      </c>
      <c r="J666" t="s">
        <v>19</v>
      </c>
      <c r="K666">
        <v>1</v>
      </c>
      <c r="L666" t="str">
        <f>HYPERLINK("https://engineering.oregonstate.edu/people/kyle-niemeyer","https://engineering.oregonstate.edu/people/kyle-niemeyer")</f>
        <v>https://engineering.oregonstate.edu/people/kyle-niemeyer</v>
      </c>
    </row>
    <row r="667" spans="1:12" hidden="1" x14ac:dyDescent="0.3">
      <c r="A667">
        <v>666</v>
      </c>
      <c r="B667" t="s">
        <v>1484</v>
      </c>
      <c r="C667" t="s">
        <v>1463</v>
      </c>
      <c r="D667" t="s">
        <v>31</v>
      </c>
      <c r="E667" t="s">
        <v>1485</v>
      </c>
      <c r="F667" t="s">
        <v>27</v>
      </c>
      <c r="G667" t="s">
        <v>454</v>
      </c>
      <c r="H667" t="s">
        <v>143</v>
      </c>
      <c r="I667">
        <v>126</v>
      </c>
      <c r="J667" t="s">
        <v>19</v>
      </c>
      <c r="K667">
        <v>1</v>
      </c>
      <c r="L667" t="str">
        <f>HYPERLINK("https://www.math.ucla.edu/people/ladder/sjo","https://www.math.ucla.edu/people/ladder/sjo")</f>
        <v>https://www.math.ucla.edu/people/ladder/sjo</v>
      </c>
    </row>
    <row r="668" spans="1:12" hidden="1" x14ac:dyDescent="0.3">
      <c r="A668">
        <v>667</v>
      </c>
      <c r="B668" t="s">
        <v>1486</v>
      </c>
      <c r="C668" t="s">
        <v>1463</v>
      </c>
      <c r="D668" t="s">
        <v>31</v>
      </c>
      <c r="E668" t="s">
        <v>1487</v>
      </c>
      <c r="F668" t="s">
        <v>27</v>
      </c>
      <c r="G668" t="s">
        <v>454</v>
      </c>
      <c r="H668" t="s">
        <v>53</v>
      </c>
      <c r="I668">
        <v>48</v>
      </c>
      <c r="J668" t="s">
        <v>19</v>
      </c>
      <c r="K668">
        <v>1</v>
      </c>
      <c r="L668" t="str">
        <f>HYPERLINK("https://www.math.ucla.edu/people/ladder/jacob","https://www.math.ucla.edu/people/ladder/jacob")</f>
        <v>https://www.math.ucla.edu/people/ladder/jacob</v>
      </c>
    </row>
    <row r="669" spans="1:12" hidden="1" x14ac:dyDescent="0.3">
      <c r="A669">
        <v>668</v>
      </c>
      <c r="B669" t="s">
        <v>1488</v>
      </c>
      <c r="C669" t="s">
        <v>1463</v>
      </c>
      <c r="D669" t="s">
        <v>31</v>
      </c>
      <c r="E669" t="s">
        <v>1489</v>
      </c>
      <c r="F669" t="s">
        <v>27</v>
      </c>
      <c r="G669" t="s">
        <v>454</v>
      </c>
      <c r="H669" t="s">
        <v>159</v>
      </c>
      <c r="I669">
        <v>19</v>
      </c>
      <c r="J669" t="s">
        <v>19</v>
      </c>
      <c r="K669">
        <v>1</v>
      </c>
      <c r="L669" t="str">
        <f>HYPERLINK("https://www.math.ucla.edu/people/ladder/mroper","https://www.math.ucla.edu/people/ladder/mroper")</f>
        <v>https://www.math.ucla.edu/people/ladder/mroper</v>
      </c>
    </row>
    <row r="670" spans="1:12" hidden="1" x14ac:dyDescent="0.3">
      <c r="A670">
        <v>669</v>
      </c>
      <c r="B670" t="s">
        <v>1490</v>
      </c>
      <c r="C670" t="s">
        <v>1463</v>
      </c>
      <c r="D670" t="s">
        <v>31</v>
      </c>
      <c r="E670" t="s">
        <v>1491</v>
      </c>
      <c r="F670" t="s">
        <v>27</v>
      </c>
      <c r="G670" t="s">
        <v>454</v>
      </c>
      <c r="H670" t="s">
        <v>50</v>
      </c>
      <c r="I670">
        <v>108</v>
      </c>
      <c r="J670" t="s">
        <v>19</v>
      </c>
      <c r="K670">
        <v>1</v>
      </c>
      <c r="L670" t="str">
        <f>HYPERLINK("https://www.math.ucla.edu/people/ladder/cffjiang","https://www.math.ucla.edu/people/ladder/cffjiang")</f>
        <v>https://www.math.ucla.edu/people/ladder/cffjiang</v>
      </c>
    </row>
    <row r="671" spans="1:12" hidden="1" x14ac:dyDescent="0.3">
      <c r="A671">
        <v>670</v>
      </c>
      <c r="B671" t="s">
        <v>1492</v>
      </c>
      <c r="C671" t="s">
        <v>1463</v>
      </c>
      <c r="D671" t="s">
        <v>31</v>
      </c>
      <c r="E671" t="s">
        <v>1493</v>
      </c>
      <c r="F671" t="s">
        <v>27</v>
      </c>
      <c r="G671" t="s">
        <v>454</v>
      </c>
      <c r="H671" t="s">
        <v>495</v>
      </c>
      <c r="I671">
        <v>55</v>
      </c>
      <c r="J671" t="s">
        <v>19</v>
      </c>
      <c r="K671">
        <v>1</v>
      </c>
      <c r="L671" t="str">
        <f>HYPERLINK("https://www.math.ucla.edu/people/ladder/schaeffer","https://www.math.ucla.edu/people/ladder/schaeffer")</f>
        <v>https://www.math.ucla.edu/people/ladder/schaeffer</v>
      </c>
    </row>
    <row r="672" spans="1:12" x14ac:dyDescent="0.3">
      <c r="A672">
        <v>361</v>
      </c>
      <c r="B672" t="s">
        <v>870</v>
      </c>
      <c r="C672" t="s">
        <v>866</v>
      </c>
      <c r="D672" t="s">
        <v>14</v>
      </c>
      <c r="E672" t="s">
        <v>871</v>
      </c>
      <c r="F672" t="s">
        <v>22</v>
      </c>
      <c r="G672" t="s">
        <v>23</v>
      </c>
      <c r="H672" t="s">
        <v>200</v>
      </c>
      <c r="I672">
        <v>30</v>
      </c>
      <c r="J672" t="s">
        <v>19</v>
      </c>
      <c r="K672">
        <v>1</v>
      </c>
      <c r="L672" t="str">
        <f>HYPERLINK("https://engineering.oregonstate.edu/people/david-blunck","https://engineering.oregonstate.edu/people/david-blunck")</f>
        <v>https://engineering.oregonstate.edu/people/david-blunck</v>
      </c>
    </row>
    <row r="673" spans="1:12" x14ac:dyDescent="0.3">
      <c r="A673">
        <v>376</v>
      </c>
      <c r="B673" t="s">
        <v>901</v>
      </c>
      <c r="C673" t="s">
        <v>902</v>
      </c>
      <c r="D673" t="s">
        <v>161</v>
      </c>
      <c r="E673" t="s">
        <v>903</v>
      </c>
      <c r="F673" t="s">
        <v>27</v>
      </c>
      <c r="G673" t="s">
        <v>476</v>
      </c>
      <c r="H673" t="s">
        <v>36</v>
      </c>
      <c r="I673">
        <v>33</v>
      </c>
      <c r="J673" t="s">
        <v>19</v>
      </c>
      <c r="K673">
        <v>1</v>
      </c>
      <c r="L673" t="str">
        <f>HYPERLINK("https://mae.princeton.edu/people/faculty/marcus-hultmark","https://mae.princeton.edu/people/faculty/marcus-hultmark")</f>
        <v>https://mae.princeton.edu/people/faculty/marcus-hultmark</v>
      </c>
    </row>
    <row r="674" spans="1:12" x14ac:dyDescent="0.3">
      <c r="A674">
        <v>377</v>
      </c>
      <c r="B674" t="s">
        <v>904</v>
      </c>
      <c r="C674" t="s">
        <v>902</v>
      </c>
      <c r="D674" t="s">
        <v>161</v>
      </c>
      <c r="E674" t="s">
        <v>905</v>
      </c>
      <c r="F674" t="s">
        <v>27</v>
      </c>
      <c r="G674" t="s">
        <v>476</v>
      </c>
      <c r="H674" t="s">
        <v>70</v>
      </c>
      <c r="I674">
        <v>110</v>
      </c>
      <c r="J674" t="s">
        <v>19</v>
      </c>
      <c r="K674">
        <v>1</v>
      </c>
      <c r="L674" t="str">
        <f>HYPERLINK("https://mae.princeton.edu/people/faculty/luc-deike","https://mae.princeton.edu/people/faculty/luc-deike")</f>
        <v>https://mae.princeton.edu/people/faculty/luc-deike</v>
      </c>
    </row>
    <row r="675" spans="1:12" x14ac:dyDescent="0.3">
      <c r="A675">
        <v>378</v>
      </c>
      <c r="B675" t="s">
        <v>906</v>
      </c>
      <c r="C675" t="s">
        <v>902</v>
      </c>
      <c r="D675" t="s">
        <v>161</v>
      </c>
      <c r="E675" t="s">
        <v>907</v>
      </c>
      <c r="F675" t="s">
        <v>27</v>
      </c>
      <c r="G675" t="s">
        <v>476</v>
      </c>
      <c r="H675" t="s">
        <v>159</v>
      </c>
      <c r="I675">
        <v>26</v>
      </c>
      <c r="J675" t="s">
        <v>19</v>
      </c>
      <c r="K675">
        <v>1</v>
      </c>
      <c r="L675" t="str">
        <f>HYPERLINK("https://mae.princeton.edu/people/faculty/michelle-dibenedetto","https://mae.princeton.edu/people/faculty/michelle-dibenedetto")</f>
        <v>https://mae.princeton.edu/people/faculty/michelle-dibenedetto</v>
      </c>
    </row>
    <row r="676" spans="1:12" x14ac:dyDescent="0.3">
      <c r="A676">
        <v>379</v>
      </c>
      <c r="B676" t="s">
        <v>908</v>
      </c>
      <c r="C676" t="s">
        <v>902</v>
      </c>
      <c r="D676" t="s">
        <v>161</v>
      </c>
      <c r="E676" t="s">
        <v>909</v>
      </c>
      <c r="F676" t="s">
        <v>27</v>
      </c>
      <c r="G676" t="s">
        <v>476</v>
      </c>
      <c r="H676" t="s">
        <v>42</v>
      </c>
      <c r="I676">
        <v>20</v>
      </c>
      <c r="J676" t="s">
        <v>19</v>
      </c>
      <c r="K676">
        <v>1</v>
      </c>
      <c r="L676" t="str">
        <f>HYPERLINK("https://mae.princeton.edu/people/faculty/luigi-martinelli","https://mae.princeton.edu/people/faculty/luigi-martinelli")</f>
        <v>https://mae.princeton.edu/people/faculty/luigi-martinelli</v>
      </c>
    </row>
    <row r="677" spans="1:12" hidden="1" x14ac:dyDescent="0.3">
      <c r="A677">
        <v>676</v>
      </c>
      <c r="B677" t="s">
        <v>1505</v>
      </c>
      <c r="C677" t="s">
        <v>1495</v>
      </c>
      <c r="D677" t="s">
        <v>31</v>
      </c>
      <c r="E677" t="s">
        <v>1506</v>
      </c>
      <c r="F677" t="s">
        <v>62</v>
      </c>
      <c r="G677" t="s">
        <v>63</v>
      </c>
      <c r="H677" t="s">
        <v>391</v>
      </c>
      <c r="I677">
        <v>18</v>
      </c>
      <c r="J677" t="s">
        <v>19</v>
      </c>
      <c r="K677">
        <v>1</v>
      </c>
      <c r="L677" t="str">
        <f>HYPERLINK("https://jacobsschool.ucsd.edu/people/profile/boris-kramer","https://jacobsschool.ucsd.edu/people/profile/boris-kramer")</f>
        <v>https://jacobsschool.ucsd.edu/people/profile/boris-kramer</v>
      </c>
    </row>
    <row r="678" spans="1:12" x14ac:dyDescent="0.3">
      <c r="A678">
        <v>380</v>
      </c>
      <c r="B678" t="s">
        <v>910</v>
      </c>
      <c r="C678" t="s">
        <v>902</v>
      </c>
      <c r="D678" t="s">
        <v>161</v>
      </c>
      <c r="E678" t="s">
        <v>911</v>
      </c>
      <c r="F678" t="s">
        <v>27</v>
      </c>
      <c r="G678" t="s">
        <v>476</v>
      </c>
      <c r="H678" t="s">
        <v>220</v>
      </c>
      <c r="I678">
        <v>33</v>
      </c>
      <c r="J678" t="s">
        <v>19</v>
      </c>
      <c r="K678">
        <v>1</v>
      </c>
      <c r="L678" t="str">
        <f>HYPERLINK("https://mae.princeton.edu/people/faculty/michael-e-mueller","https://mae.princeton.edu/people/faculty/michael-e-mueller")</f>
        <v>https://mae.princeton.edu/people/faculty/michael-e-mueller</v>
      </c>
    </row>
    <row r="679" spans="1:12" x14ac:dyDescent="0.3">
      <c r="A679">
        <v>381</v>
      </c>
      <c r="B679" t="s">
        <v>912</v>
      </c>
      <c r="C679" t="s">
        <v>902</v>
      </c>
      <c r="D679" t="s">
        <v>271</v>
      </c>
      <c r="E679" t="s">
        <v>913</v>
      </c>
      <c r="F679" t="s">
        <v>27</v>
      </c>
      <c r="G679" t="s">
        <v>476</v>
      </c>
      <c r="H679" t="s">
        <v>539</v>
      </c>
      <c r="I679">
        <v>29</v>
      </c>
      <c r="J679" t="s">
        <v>19</v>
      </c>
      <c r="K679">
        <v>1</v>
      </c>
      <c r="L679" t="str">
        <f>HYPERLINK("https://mae.princeton.edu/people/faculty/clarence-rowley","https://mae.princeton.edu/people/faculty/clarence-rowley")</f>
        <v>https://mae.princeton.edu/people/faculty/clarence-rowley</v>
      </c>
    </row>
    <row r="680" spans="1:12" x14ac:dyDescent="0.3">
      <c r="A680">
        <v>382</v>
      </c>
      <c r="B680" t="s">
        <v>914</v>
      </c>
      <c r="C680" t="s">
        <v>902</v>
      </c>
      <c r="D680" t="s">
        <v>161</v>
      </c>
      <c r="E680" t="s">
        <v>915</v>
      </c>
      <c r="F680" t="s">
        <v>27</v>
      </c>
      <c r="G680" t="s">
        <v>476</v>
      </c>
      <c r="H680" t="s">
        <v>195</v>
      </c>
      <c r="I680">
        <v>71</v>
      </c>
      <c r="J680" t="s">
        <v>19</v>
      </c>
      <c r="K680">
        <v>1</v>
      </c>
      <c r="L680" t="str">
        <f>HYPERLINK("https://mae.princeton.edu/people/faculty/chung-law","https://mae.princeton.edu/people/faculty/chung-law")</f>
        <v>https://mae.princeton.edu/people/faculty/chung-law</v>
      </c>
    </row>
    <row r="681" spans="1:12" x14ac:dyDescent="0.3">
      <c r="A681">
        <v>383</v>
      </c>
      <c r="B681" t="s">
        <v>916</v>
      </c>
      <c r="C681" t="s">
        <v>902</v>
      </c>
      <c r="D681" t="s">
        <v>161</v>
      </c>
      <c r="E681" t="s">
        <v>917</v>
      </c>
      <c r="F681" t="s">
        <v>27</v>
      </c>
      <c r="G681" t="s">
        <v>476</v>
      </c>
      <c r="H681" t="s">
        <v>42</v>
      </c>
      <c r="I681">
        <v>17</v>
      </c>
      <c r="J681" t="s">
        <v>19</v>
      </c>
      <c r="K681">
        <v>1</v>
      </c>
      <c r="L681" t="str">
        <f>HYPERLINK("https://mae.princeton.edu/people/faculty/edgar-choueiri","https://mae.princeton.edu/people/faculty/edgar-choueiri")</f>
        <v>https://mae.princeton.edu/people/faculty/edgar-choueiri</v>
      </c>
    </row>
    <row r="682" spans="1:12" x14ac:dyDescent="0.3">
      <c r="A682">
        <v>384</v>
      </c>
      <c r="B682" t="s">
        <v>918</v>
      </c>
      <c r="C682" t="s">
        <v>902</v>
      </c>
      <c r="D682" t="s">
        <v>161</v>
      </c>
      <c r="E682" t="s">
        <v>919</v>
      </c>
      <c r="F682" t="s">
        <v>27</v>
      </c>
      <c r="G682" t="s">
        <v>476</v>
      </c>
      <c r="H682" t="s">
        <v>45</v>
      </c>
      <c r="I682">
        <v>155</v>
      </c>
      <c r="J682" t="s">
        <v>19</v>
      </c>
      <c r="K682">
        <v>1</v>
      </c>
      <c r="L682" t="str">
        <f>HYPERLINK("https://mae.princeton.edu/people/faculty/yiguang-ju","https://mae.princeton.edu/people/faculty/yiguang-ju")</f>
        <v>https://mae.princeton.edu/people/faculty/yiguang-ju</v>
      </c>
    </row>
    <row r="683" spans="1:12" hidden="1" x14ac:dyDescent="0.3">
      <c r="A683">
        <v>682</v>
      </c>
      <c r="B683" t="s">
        <v>1517</v>
      </c>
      <c r="C683" t="s">
        <v>1495</v>
      </c>
      <c r="D683" t="s">
        <v>31</v>
      </c>
      <c r="E683" t="s">
        <v>1518</v>
      </c>
      <c r="F683" t="s">
        <v>151</v>
      </c>
      <c r="G683" t="s">
        <v>152</v>
      </c>
      <c r="H683" t="s">
        <v>159</v>
      </c>
      <c r="I683">
        <v>43</v>
      </c>
      <c r="J683" t="s">
        <v>154</v>
      </c>
      <c r="K683">
        <v>3</v>
      </c>
      <c r="L683" t="str">
        <f>HYPERLINK("https://math.ucsd.edu/people/profiles/melvin-leok","https://math.ucsd.edu/people/profiles/melvin-leok")</f>
        <v>https://math.ucsd.edu/people/profiles/melvin-leok</v>
      </c>
    </row>
    <row r="684" spans="1:12" hidden="1" x14ac:dyDescent="0.3">
      <c r="A684">
        <v>683</v>
      </c>
      <c r="B684" t="s">
        <v>1519</v>
      </c>
      <c r="C684" t="s">
        <v>1495</v>
      </c>
      <c r="D684" t="s">
        <v>31</v>
      </c>
      <c r="E684" t="s">
        <v>1520</v>
      </c>
      <c r="F684" t="s">
        <v>151</v>
      </c>
      <c r="G684" t="s">
        <v>152</v>
      </c>
      <c r="H684" t="s">
        <v>127</v>
      </c>
      <c r="I684">
        <v>0</v>
      </c>
      <c r="J684" t="s">
        <v>154</v>
      </c>
      <c r="K684">
        <v>3</v>
      </c>
      <c r="L684" t="str">
        <f>HYPERLINK("https://math.ucsd.edu/people/profiles/michael-holst","https://math.ucsd.edu/people/profiles/michael-holst")</f>
        <v>https://math.ucsd.edu/people/profiles/michael-holst</v>
      </c>
    </row>
    <row r="685" spans="1:12" hidden="1" x14ac:dyDescent="0.3">
      <c r="A685">
        <v>684</v>
      </c>
      <c r="B685" t="s">
        <v>1521</v>
      </c>
      <c r="C685" t="s">
        <v>1495</v>
      </c>
      <c r="D685" t="s">
        <v>31</v>
      </c>
      <c r="E685" t="s">
        <v>1522</v>
      </c>
      <c r="F685" t="s">
        <v>151</v>
      </c>
      <c r="G685" t="s">
        <v>152</v>
      </c>
      <c r="H685" t="s">
        <v>417</v>
      </c>
      <c r="I685">
        <v>0</v>
      </c>
      <c r="J685" t="s">
        <v>154</v>
      </c>
      <c r="K685">
        <v>3</v>
      </c>
      <c r="L685" t="str">
        <f>HYPERLINK("https://math.ucsd.edu/people/profiles/jiawang-nie","https://math.ucsd.edu/people/profiles/jiawang-nie")</f>
        <v>https://math.ucsd.edu/people/profiles/jiawang-nie</v>
      </c>
    </row>
    <row r="686" spans="1:12" hidden="1" x14ac:dyDescent="0.3">
      <c r="A686">
        <v>685</v>
      </c>
      <c r="B686" t="s">
        <v>1523</v>
      </c>
      <c r="C686" t="s">
        <v>1495</v>
      </c>
      <c r="D686" t="s">
        <v>31</v>
      </c>
      <c r="E686" t="s">
        <v>1524</v>
      </c>
      <c r="F686" t="s">
        <v>151</v>
      </c>
      <c r="G686" t="s">
        <v>152</v>
      </c>
      <c r="H686" t="s">
        <v>417</v>
      </c>
      <c r="I686">
        <v>0</v>
      </c>
      <c r="J686" t="s">
        <v>154</v>
      </c>
      <c r="K686">
        <v>3</v>
      </c>
      <c r="L686" t="str">
        <f>HYPERLINK("https://math.ucsd.edu/people/profiles/rayan-saab","https://math.ucsd.edu/people/profiles/rayan-saab")</f>
        <v>https://math.ucsd.edu/people/profiles/rayan-saab</v>
      </c>
    </row>
    <row r="687" spans="1:12" x14ac:dyDescent="0.3">
      <c r="A687">
        <v>385</v>
      </c>
      <c r="B687" t="s">
        <v>920</v>
      </c>
      <c r="C687" t="s">
        <v>902</v>
      </c>
      <c r="D687" t="s">
        <v>161</v>
      </c>
      <c r="E687" t="s">
        <v>921</v>
      </c>
      <c r="F687" t="s">
        <v>27</v>
      </c>
      <c r="G687" t="s">
        <v>476</v>
      </c>
      <c r="H687" t="s">
        <v>80</v>
      </c>
      <c r="I687">
        <v>22</v>
      </c>
      <c r="J687" t="s">
        <v>19</v>
      </c>
      <c r="K687">
        <v>1</v>
      </c>
      <c r="L687" t="str">
        <f>HYPERLINK("https://mae.princeton.edu/people/faculty/alison-ferris","https://mae.princeton.edu/people/faculty/alison-ferris")</f>
        <v>https://mae.princeton.edu/people/faculty/alison-ferris</v>
      </c>
    </row>
    <row r="688" spans="1:12" x14ac:dyDescent="0.3">
      <c r="A688">
        <v>386</v>
      </c>
      <c r="B688" t="s">
        <v>922</v>
      </c>
      <c r="C688" t="s">
        <v>902</v>
      </c>
      <c r="D688" t="s">
        <v>161</v>
      </c>
      <c r="E688" t="s">
        <v>923</v>
      </c>
      <c r="F688" t="s">
        <v>27</v>
      </c>
      <c r="G688" t="s">
        <v>476</v>
      </c>
      <c r="H688" t="s">
        <v>85</v>
      </c>
      <c r="I688">
        <v>28</v>
      </c>
      <c r="J688" t="s">
        <v>19</v>
      </c>
      <c r="K688">
        <v>1</v>
      </c>
      <c r="L688" t="str">
        <f>HYPERLINK("https://mae.princeton.edu/people/faculty/aimy-wissa","https://mae.princeton.edu/people/faculty/aimy-wissa")</f>
        <v>https://mae.princeton.edu/people/faculty/aimy-wissa</v>
      </c>
    </row>
    <row r="689" spans="1:12" x14ac:dyDescent="0.3">
      <c r="A689">
        <v>390</v>
      </c>
      <c r="B689" t="s">
        <v>930</v>
      </c>
      <c r="C689" t="s">
        <v>931</v>
      </c>
      <c r="D689" t="s">
        <v>48</v>
      </c>
      <c r="E689" t="s">
        <v>932</v>
      </c>
      <c r="F689" t="s">
        <v>27</v>
      </c>
      <c r="G689" t="s">
        <v>933</v>
      </c>
      <c r="H689" t="s">
        <v>124</v>
      </c>
      <c r="I689">
        <v>48</v>
      </c>
      <c r="J689" t="s">
        <v>19</v>
      </c>
      <c r="K689">
        <v>1</v>
      </c>
      <c r="L689" t="str">
        <f>HYPERLINK("https://engineering.purdue.edu/AAE/people/Faculty/ptProfile?resource_id=113032","https://engineering.purdue.edu/AAE/people/Faculty/ptProfile?resource_id=113032")</f>
        <v>https://engineering.purdue.edu/AAE/people/Faculty/ptProfile?resource_id=113032</v>
      </c>
    </row>
    <row r="690" spans="1:12" hidden="1" x14ac:dyDescent="0.3">
      <c r="A690">
        <v>689</v>
      </c>
      <c r="B690" t="s">
        <v>1532</v>
      </c>
      <c r="C690" t="s">
        <v>1526</v>
      </c>
      <c r="D690" t="s">
        <v>31</v>
      </c>
      <c r="E690" t="s">
        <v>1533</v>
      </c>
      <c r="F690" t="s">
        <v>16</v>
      </c>
      <c r="G690" t="s">
        <v>17</v>
      </c>
      <c r="H690" t="s">
        <v>417</v>
      </c>
      <c r="I690">
        <v>0</v>
      </c>
      <c r="J690" t="s">
        <v>19</v>
      </c>
      <c r="K690">
        <v>1</v>
      </c>
      <c r="L690" t="str">
        <f>HYPERLINK("https://me.ucsb.edu/people/frederic-gibou","https://me.ucsb.edu/people/frederic-gibou")</f>
        <v>https://me.ucsb.edu/people/frederic-gibou</v>
      </c>
    </row>
    <row r="691" spans="1:12" x14ac:dyDescent="0.3">
      <c r="A691">
        <v>391</v>
      </c>
      <c r="B691" t="s">
        <v>934</v>
      </c>
      <c r="C691" t="s">
        <v>931</v>
      </c>
      <c r="D691" t="s">
        <v>48</v>
      </c>
      <c r="E691" t="s">
        <v>935</v>
      </c>
      <c r="F691" t="s">
        <v>27</v>
      </c>
      <c r="G691" t="s">
        <v>933</v>
      </c>
      <c r="H691" t="s">
        <v>146</v>
      </c>
      <c r="I691">
        <v>12</v>
      </c>
      <c r="J691" t="s">
        <v>19</v>
      </c>
      <c r="K691">
        <v>1</v>
      </c>
      <c r="L691" t="str">
        <f>HYPERLINK("https://engineering.purdue.edu/AAE/people/Faculty/ptProfile?resource_id=1418","https://engineering.purdue.edu/AAE/people/Faculty/ptProfile?resource_id=1418")</f>
        <v>https://engineering.purdue.edu/AAE/people/Faculty/ptProfile?resource_id=1418</v>
      </c>
    </row>
    <row r="692" spans="1:12" x14ac:dyDescent="0.3">
      <c r="A692">
        <v>392</v>
      </c>
      <c r="B692" t="s">
        <v>936</v>
      </c>
      <c r="C692" t="s">
        <v>931</v>
      </c>
      <c r="D692" t="s">
        <v>48</v>
      </c>
      <c r="E692" t="s">
        <v>937</v>
      </c>
      <c r="F692" t="s">
        <v>27</v>
      </c>
      <c r="G692" t="s">
        <v>933</v>
      </c>
      <c r="H692" t="s">
        <v>305</v>
      </c>
      <c r="I692">
        <v>16</v>
      </c>
      <c r="J692" t="s">
        <v>19</v>
      </c>
      <c r="K692">
        <v>1</v>
      </c>
      <c r="L692" t="str">
        <f>HYPERLINK("https://engineering.purdue.edu/AAE/people/Faculty/ptProfile?resource_id=1364","https://engineering.purdue.edu/AAE/people/Faculty/ptProfile?resource_id=1364")</f>
        <v>https://engineering.purdue.edu/AAE/people/Faculty/ptProfile?resource_id=1364</v>
      </c>
    </row>
    <row r="693" spans="1:12" hidden="1" x14ac:dyDescent="0.3">
      <c r="A693">
        <v>692</v>
      </c>
      <c r="B693" t="s">
        <v>1538</v>
      </c>
      <c r="C693" t="s">
        <v>1526</v>
      </c>
      <c r="D693" t="s">
        <v>31</v>
      </c>
      <c r="E693" t="s">
        <v>1539</v>
      </c>
      <c r="F693" t="s">
        <v>151</v>
      </c>
      <c r="G693" t="s">
        <v>152</v>
      </c>
      <c r="H693" t="s">
        <v>539</v>
      </c>
      <c r="I693">
        <v>61</v>
      </c>
      <c r="J693" t="s">
        <v>154</v>
      </c>
      <c r="K693">
        <v>3</v>
      </c>
      <c r="L693" t="str">
        <f>HYPERLINK("https://me.ucsb.edu/people","https://me.ucsb.edu/people")</f>
        <v>https://me.ucsb.edu/people</v>
      </c>
    </row>
    <row r="694" spans="1:12" x14ac:dyDescent="0.3">
      <c r="A694">
        <v>393</v>
      </c>
      <c r="B694" t="s">
        <v>938</v>
      </c>
      <c r="C694" t="s">
        <v>931</v>
      </c>
      <c r="D694" t="s">
        <v>48</v>
      </c>
      <c r="E694" t="s">
        <v>939</v>
      </c>
      <c r="F694" t="s">
        <v>27</v>
      </c>
      <c r="G694" t="s">
        <v>933</v>
      </c>
      <c r="H694" t="s">
        <v>75</v>
      </c>
      <c r="I694">
        <v>75</v>
      </c>
      <c r="J694" t="s">
        <v>19</v>
      </c>
      <c r="K694">
        <v>1</v>
      </c>
      <c r="L694" t="str">
        <f>HYPERLINK("https://engineering.purdue.edu/AAE/people/Faculty/ptProfile?resource_id=118944","https://engineering.purdue.edu/AAE/people/Faculty/ptProfile?resource_id=118944")</f>
        <v>https://engineering.purdue.edu/AAE/people/Faculty/ptProfile?resource_id=118944</v>
      </c>
    </row>
    <row r="695" spans="1:12" hidden="1" x14ac:dyDescent="0.3">
      <c r="A695">
        <v>694</v>
      </c>
      <c r="B695" t="s">
        <v>1542</v>
      </c>
      <c r="C695" t="s">
        <v>1526</v>
      </c>
      <c r="D695" t="s">
        <v>31</v>
      </c>
      <c r="E695" t="s">
        <v>1543</v>
      </c>
      <c r="F695" t="s">
        <v>151</v>
      </c>
      <c r="G695" t="s">
        <v>152</v>
      </c>
      <c r="H695" t="s">
        <v>516</v>
      </c>
      <c r="I695">
        <v>11</v>
      </c>
      <c r="J695" t="s">
        <v>154</v>
      </c>
      <c r="K695">
        <v>3</v>
      </c>
      <c r="L695" t="str">
        <f>HYPERLINK("https://me.ucsb.edu/people","https://me.ucsb.edu/people")</f>
        <v>https://me.ucsb.edu/people</v>
      </c>
    </row>
    <row r="696" spans="1:12" hidden="1" x14ac:dyDescent="0.3">
      <c r="A696">
        <v>695</v>
      </c>
      <c r="B696" t="s">
        <v>1544</v>
      </c>
      <c r="C696" t="s">
        <v>1526</v>
      </c>
      <c r="D696" t="s">
        <v>31</v>
      </c>
      <c r="E696" t="s">
        <v>1545</v>
      </c>
      <c r="F696" t="s">
        <v>83</v>
      </c>
      <c r="G696" t="s">
        <v>84</v>
      </c>
      <c r="H696" t="s">
        <v>417</v>
      </c>
      <c r="I696">
        <v>0</v>
      </c>
      <c r="J696" t="s">
        <v>59</v>
      </c>
      <c r="K696">
        <v>2</v>
      </c>
      <c r="L696" t="str">
        <f>HYPERLINK("https://www.math.ucsb.edu/people/carlos-garcia-cervera","https://www.math.ucsb.edu/people/carlos-garcia-cervera")</f>
        <v>https://www.math.ucsb.edu/people/carlos-garcia-cervera</v>
      </c>
    </row>
    <row r="697" spans="1:12" hidden="1" x14ac:dyDescent="0.3">
      <c r="A697">
        <v>696</v>
      </c>
      <c r="B697" t="s">
        <v>1546</v>
      </c>
      <c r="C697" t="s">
        <v>1526</v>
      </c>
      <c r="D697" t="s">
        <v>31</v>
      </c>
      <c r="E697" t="s">
        <v>57</v>
      </c>
      <c r="F697" t="s">
        <v>83</v>
      </c>
      <c r="G697" t="s">
        <v>84</v>
      </c>
      <c r="H697" t="s">
        <v>58</v>
      </c>
      <c r="I697">
        <v>0</v>
      </c>
      <c r="J697" t="s">
        <v>59</v>
      </c>
      <c r="K697">
        <v>2</v>
      </c>
      <c r="L697" t="str">
        <f>HYPERLINK("https://www.math.ucsb.edu/people/xu-yang","https://www.math.ucsb.edu/people/xu-yang")</f>
        <v>https://www.math.ucsb.edu/people/xu-yang</v>
      </c>
    </row>
    <row r="698" spans="1:12" x14ac:dyDescent="0.3">
      <c r="A698">
        <v>394</v>
      </c>
      <c r="B698" t="s">
        <v>940</v>
      </c>
      <c r="C698" t="s">
        <v>931</v>
      </c>
      <c r="D698" t="s">
        <v>48</v>
      </c>
      <c r="E698" t="s">
        <v>941</v>
      </c>
      <c r="F698" t="s">
        <v>27</v>
      </c>
      <c r="G698" t="s">
        <v>933</v>
      </c>
      <c r="H698" t="s">
        <v>50</v>
      </c>
      <c r="I698">
        <v>39</v>
      </c>
      <c r="J698" t="s">
        <v>19</v>
      </c>
      <c r="K698">
        <v>1</v>
      </c>
      <c r="L698" t="str">
        <f>HYPERLINK("https://engineering.purdue.edu/AAE/people/Faculty/ptProfile?resource_id=27771","https://engineering.purdue.edu/AAE/people/Faculty/ptProfile?resource_id=27771")</f>
        <v>https://engineering.purdue.edu/AAE/people/Faculty/ptProfile?resource_id=27771</v>
      </c>
    </row>
    <row r="699" spans="1:12" x14ac:dyDescent="0.3">
      <c r="A699">
        <v>395</v>
      </c>
      <c r="B699" t="s">
        <v>942</v>
      </c>
      <c r="C699" t="s">
        <v>931</v>
      </c>
      <c r="D699" t="s">
        <v>48</v>
      </c>
      <c r="E699" t="s">
        <v>943</v>
      </c>
      <c r="F699" t="s">
        <v>27</v>
      </c>
      <c r="G699" t="s">
        <v>933</v>
      </c>
      <c r="H699" t="s">
        <v>225</v>
      </c>
      <c r="I699">
        <v>27</v>
      </c>
      <c r="J699" t="s">
        <v>19</v>
      </c>
      <c r="K699">
        <v>1</v>
      </c>
      <c r="L699" t="str">
        <f>HYPERLINK("https://engineering.purdue.edu/AAE/people/Faculty/ptProfile?resource_id=75047","https://engineering.purdue.edu/AAE/people/Faculty/ptProfile?resource_id=75047")</f>
        <v>https://engineering.purdue.edu/AAE/people/Faculty/ptProfile?resource_id=75047</v>
      </c>
    </row>
    <row r="700" spans="1:12" hidden="1" x14ac:dyDescent="0.3">
      <c r="A700">
        <v>699</v>
      </c>
      <c r="B700" t="s">
        <v>1552</v>
      </c>
      <c r="C700" t="s">
        <v>1548</v>
      </c>
      <c r="D700" t="s">
        <v>31</v>
      </c>
      <c r="E700" t="s">
        <v>1553</v>
      </c>
      <c r="F700" t="s">
        <v>114</v>
      </c>
      <c r="G700" t="s">
        <v>115</v>
      </c>
      <c r="H700" t="s">
        <v>67</v>
      </c>
      <c r="I700">
        <v>27</v>
      </c>
      <c r="J700" t="s">
        <v>116</v>
      </c>
      <c r="K700">
        <v>3</v>
      </c>
      <c r="L700" t="str">
        <f>HYPERLINK("https://mae.ucf.edu/faculty-directory/","https://mae.ucf.edu/faculty-directory/")</f>
        <v>https://mae.ucf.edu/faculty-directory/</v>
      </c>
    </row>
    <row r="701" spans="1:12" x14ac:dyDescent="0.3">
      <c r="A701">
        <v>397</v>
      </c>
      <c r="B701" t="s">
        <v>945</v>
      </c>
      <c r="C701" t="s">
        <v>931</v>
      </c>
      <c r="D701" t="s">
        <v>48</v>
      </c>
      <c r="E701" t="s">
        <v>946</v>
      </c>
      <c r="F701" t="s">
        <v>27</v>
      </c>
      <c r="G701" t="s">
        <v>933</v>
      </c>
      <c r="H701" t="s">
        <v>894</v>
      </c>
      <c r="I701">
        <v>23</v>
      </c>
      <c r="J701" t="s">
        <v>19</v>
      </c>
      <c r="K701">
        <v>1</v>
      </c>
      <c r="L701" t="str">
        <f>HYPERLINK("https://engineering.purdue.edu/AAE/people/Faculty/ptProfile?resource_id=255749","https://engineering.purdue.edu/AAE/people/Faculty/ptProfile?resource_id=255749")</f>
        <v>https://engineering.purdue.edu/AAE/people/Faculty/ptProfile?resource_id=255749</v>
      </c>
    </row>
    <row r="702" spans="1:12" x14ac:dyDescent="0.3">
      <c r="A702">
        <v>398</v>
      </c>
      <c r="B702" t="s">
        <v>947</v>
      </c>
      <c r="C702" t="s">
        <v>931</v>
      </c>
      <c r="D702" t="s">
        <v>48</v>
      </c>
      <c r="E702" t="s">
        <v>948</v>
      </c>
      <c r="F702" t="s">
        <v>27</v>
      </c>
      <c r="G702" t="s">
        <v>933</v>
      </c>
      <c r="H702" t="s">
        <v>24</v>
      </c>
      <c r="I702">
        <v>38</v>
      </c>
      <c r="J702" t="s">
        <v>19</v>
      </c>
      <c r="K702">
        <v>1</v>
      </c>
      <c r="L702" t="str">
        <f>HYPERLINK("https://engineering.purdue.edu/AAE/people/Faculty/ptProfile?resource_id=113034","https://engineering.purdue.edu/AAE/people/Faculty/ptProfile?resource_id=113034")</f>
        <v>https://engineering.purdue.edu/AAE/people/Faculty/ptProfile?resource_id=113034</v>
      </c>
    </row>
    <row r="703" spans="1:12" x14ac:dyDescent="0.3">
      <c r="A703">
        <v>399</v>
      </c>
      <c r="B703" t="s">
        <v>949</v>
      </c>
      <c r="C703" t="s">
        <v>931</v>
      </c>
      <c r="D703" t="s">
        <v>48</v>
      </c>
      <c r="E703" t="s">
        <v>950</v>
      </c>
      <c r="F703" t="s">
        <v>27</v>
      </c>
      <c r="G703" t="s">
        <v>933</v>
      </c>
      <c r="H703" t="s">
        <v>301</v>
      </c>
      <c r="I703">
        <v>17</v>
      </c>
      <c r="J703" t="s">
        <v>19</v>
      </c>
      <c r="K703">
        <v>1</v>
      </c>
      <c r="L703" t="str">
        <f>HYPERLINK("https://engineering.purdue.edu/AAE/people/Faculty/ptProfile?resource_id=53472","https://engineering.purdue.edu/AAE/people/Faculty/ptProfile?resource_id=53472")</f>
        <v>https://engineering.purdue.edu/AAE/people/Faculty/ptProfile?resource_id=53472</v>
      </c>
    </row>
    <row r="704" spans="1:12" x14ac:dyDescent="0.3">
      <c r="A704">
        <v>400</v>
      </c>
      <c r="B704" t="s">
        <v>951</v>
      </c>
      <c r="C704" t="s">
        <v>931</v>
      </c>
      <c r="D704" t="s">
        <v>48</v>
      </c>
      <c r="E704" t="s">
        <v>952</v>
      </c>
      <c r="F704" t="s">
        <v>16</v>
      </c>
      <c r="G704" t="s">
        <v>17</v>
      </c>
      <c r="H704" t="s">
        <v>50</v>
      </c>
      <c r="I704">
        <v>19</v>
      </c>
      <c r="J704" t="s">
        <v>19</v>
      </c>
      <c r="K704">
        <v>1</v>
      </c>
      <c r="L704" t="str">
        <f>HYPERLINK("https://engineering.purdue.edu/AAE/people/Faculty/ptProfile?resource_id=23845","https://engineering.purdue.edu/AAE/people/Faculty/ptProfile?resource_id=23845")</f>
        <v>https://engineering.purdue.edu/AAE/people/Faculty/ptProfile?resource_id=23845</v>
      </c>
    </row>
    <row r="705" spans="1:12" hidden="1" x14ac:dyDescent="0.3">
      <c r="A705">
        <v>704</v>
      </c>
      <c r="B705" t="s">
        <v>1563</v>
      </c>
      <c r="C705" t="s">
        <v>1548</v>
      </c>
      <c r="D705" t="s">
        <v>31</v>
      </c>
      <c r="E705" t="s">
        <v>1564</v>
      </c>
      <c r="F705" t="s">
        <v>114</v>
      </c>
      <c r="G705" t="s">
        <v>115</v>
      </c>
      <c r="H705" t="s">
        <v>417</v>
      </c>
      <c r="I705">
        <v>0</v>
      </c>
      <c r="J705" t="s">
        <v>116</v>
      </c>
      <c r="K705">
        <v>3</v>
      </c>
      <c r="L705" t="str">
        <f>HYPERLINK("https://sciences.ucf.edu/math/","https://sciences.ucf.edu/math/")</f>
        <v>https://sciences.ucf.edu/math/</v>
      </c>
    </row>
    <row r="706" spans="1:12" hidden="1" x14ac:dyDescent="0.3">
      <c r="A706">
        <v>705</v>
      </c>
      <c r="B706" t="s">
        <v>1565</v>
      </c>
      <c r="C706" t="s">
        <v>1548</v>
      </c>
      <c r="D706" t="s">
        <v>31</v>
      </c>
      <c r="E706" t="s">
        <v>1566</v>
      </c>
      <c r="F706" t="s">
        <v>114</v>
      </c>
      <c r="G706" t="s">
        <v>115</v>
      </c>
      <c r="H706" t="s">
        <v>45</v>
      </c>
      <c r="I706">
        <v>18</v>
      </c>
      <c r="J706" t="s">
        <v>116</v>
      </c>
      <c r="K706">
        <v>3</v>
      </c>
      <c r="L706" t="str">
        <f>HYPERLINK("https://sciences.ucf.edu/math/","https://sciences.ucf.edu/math/")</f>
        <v>https://sciences.ucf.edu/math/</v>
      </c>
    </row>
    <row r="707" spans="1:12" hidden="1" x14ac:dyDescent="0.3">
      <c r="A707">
        <v>706</v>
      </c>
      <c r="B707" t="s">
        <v>1567</v>
      </c>
      <c r="C707" t="s">
        <v>1548</v>
      </c>
      <c r="D707" t="s">
        <v>31</v>
      </c>
      <c r="E707" t="s">
        <v>1568</v>
      </c>
      <c r="F707" t="s">
        <v>16</v>
      </c>
      <c r="G707" t="s">
        <v>17</v>
      </c>
      <c r="H707" t="s">
        <v>417</v>
      </c>
      <c r="I707">
        <v>0</v>
      </c>
      <c r="J707" t="s">
        <v>19</v>
      </c>
      <c r="K707">
        <v>1</v>
      </c>
      <c r="L707" t="str">
        <f>HYPERLINK("https://sciences.ucf.edu/math/zshuai/","https://sciences.ucf.edu/math/zshuai/")</f>
        <v>https://sciences.ucf.edu/math/zshuai/</v>
      </c>
    </row>
    <row r="708" spans="1:12" x14ac:dyDescent="0.3">
      <c r="A708">
        <v>402</v>
      </c>
      <c r="B708" t="s">
        <v>954</v>
      </c>
      <c r="C708" t="s">
        <v>931</v>
      </c>
      <c r="D708" t="s">
        <v>48</v>
      </c>
      <c r="E708" t="s">
        <v>955</v>
      </c>
      <c r="F708" t="s">
        <v>27</v>
      </c>
      <c r="G708" t="s">
        <v>933</v>
      </c>
      <c r="H708" t="s">
        <v>858</v>
      </c>
      <c r="I708">
        <v>310</v>
      </c>
      <c r="J708" t="s">
        <v>19</v>
      </c>
      <c r="K708">
        <v>1</v>
      </c>
      <c r="L708" t="str">
        <f>HYPERLINK("https://engineering.purdue.edu/AAE/people/Faculty/ptProfile?resource_id=93033","https://engineering.purdue.edu/AAE/people/Faculty/ptProfile?resource_id=93033")</f>
        <v>https://engineering.purdue.edu/AAE/people/Faculty/ptProfile?resource_id=93033</v>
      </c>
    </row>
    <row r="709" spans="1:12" x14ac:dyDescent="0.3">
      <c r="A709">
        <v>404</v>
      </c>
      <c r="B709" t="s">
        <v>958</v>
      </c>
      <c r="C709" t="s">
        <v>931</v>
      </c>
      <c r="D709" t="s">
        <v>161</v>
      </c>
      <c r="E709" t="s">
        <v>959</v>
      </c>
      <c r="F709" t="s">
        <v>27</v>
      </c>
      <c r="G709" t="s">
        <v>933</v>
      </c>
      <c r="H709" t="s">
        <v>75</v>
      </c>
      <c r="I709">
        <v>42</v>
      </c>
      <c r="J709" t="s">
        <v>19</v>
      </c>
      <c r="K709">
        <v>1</v>
      </c>
      <c r="L709" t="str">
        <f>HYPERLINK("https://engineering.purdue.edu/ME/People/ptProfile?id=113033","https://engineering.purdue.edu/ME/People/ptProfile?id=113033")</f>
        <v>https://engineering.purdue.edu/ME/People/ptProfile?id=113033</v>
      </c>
    </row>
    <row r="710" spans="1:12" x14ac:dyDescent="0.3">
      <c r="A710">
        <v>405</v>
      </c>
      <c r="B710" t="s">
        <v>960</v>
      </c>
      <c r="C710" t="s">
        <v>931</v>
      </c>
      <c r="D710" t="s">
        <v>161</v>
      </c>
      <c r="E710" t="s">
        <v>961</v>
      </c>
      <c r="F710" t="s">
        <v>27</v>
      </c>
      <c r="G710" t="s">
        <v>933</v>
      </c>
      <c r="H710" t="s">
        <v>593</v>
      </c>
      <c r="I710">
        <v>115</v>
      </c>
      <c r="J710" t="s">
        <v>19</v>
      </c>
      <c r="K710">
        <v>1</v>
      </c>
      <c r="L710" t="str">
        <f>HYPERLINK("https://engineering.purdue.edu/ME/People/ptProfile?id=118945","https://engineering.purdue.edu/ME/People/ptProfile?id=118945")</f>
        <v>https://engineering.purdue.edu/ME/People/ptProfile?id=118945</v>
      </c>
    </row>
    <row r="711" spans="1:12" x14ac:dyDescent="0.3">
      <c r="A711">
        <v>406</v>
      </c>
      <c r="B711" t="s">
        <v>962</v>
      </c>
      <c r="C711" t="s">
        <v>931</v>
      </c>
      <c r="D711" t="s">
        <v>161</v>
      </c>
      <c r="E711" t="s">
        <v>963</v>
      </c>
      <c r="F711" t="s">
        <v>27</v>
      </c>
      <c r="G711" t="s">
        <v>933</v>
      </c>
      <c r="H711" t="s">
        <v>200</v>
      </c>
      <c r="I711">
        <v>40</v>
      </c>
      <c r="J711" t="s">
        <v>19</v>
      </c>
      <c r="K711">
        <v>1</v>
      </c>
      <c r="L711" t="str">
        <f>HYPERLINK("https://engineering.purdue.edu/ME/People/ptProfile?id=28411","https://engineering.purdue.edu/ME/People/ptProfile?id=28411")</f>
        <v>https://engineering.purdue.edu/ME/People/ptProfile?id=28411</v>
      </c>
    </row>
    <row r="712" spans="1:12" x14ac:dyDescent="0.3">
      <c r="A712">
        <v>407</v>
      </c>
      <c r="B712" t="s">
        <v>964</v>
      </c>
      <c r="C712" t="s">
        <v>931</v>
      </c>
      <c r="D712" t="s">
        <v>14</v>
      </c>
      <c r="E712" t="s">
        <v>965</v>
      </c>
      <c r="F712" t="s">
        <v>27</v>
      </c>
      <c r="G712" t="s">
        <v>933</v>
      </c>
      <c r="H712" t="s">
        <v>124</v>
      </c>
      <c r="I712">
        <v>126</v>
      </c>
      <c r="J712" t="s">
        <v>19</v>
      </c>
      <c r="K712">
        <v>1</v>
      </c>
      <c r="L712" t="str">
        <f>HYPERLINK("https://engineering.purdue.edu/ME/People/ptProfile?id=113031","https://engineering.purdue.edu/ME/People/ptProfile?id=113031")</f>
        <v>https://engineering.purdue.edu/ME/People/ptProfile?id=113031</v>
      </c>
    </row>
    <row r="713" spans="1:12" x14ac:dyDescent="0.3">
      <c r="A713">
        <v>409</v>
      </c>
      <c r="B713" t="s">
        <v>968</v>
      </c>
      <c r="C713" t="s">
        <v>931</v>
      </c>
      <c r="D713" t="s">
        <v>112</v>
      </c>
      <c r="E713" t="s">
        <v>969</v>
      </c>
      <c r="F713" t="s">
        <v>27</v>
      </c>
      <c r="G713" t="s">
        <v>28</v>
      </c>
      <c r="H713" t="s">
        <v>273</v>
      </c>
      <c r="I713">
        <v>157</v>
      </c>
      <c r="J713" t="s">
        <v>19</v>
      </c>
      <c r="K713">
        <v>1</v>
      </c>
      <c r="L713" t="str">
        <f>HYPERLINK("https://www.math.purdue.edu/people/bio/guanglin","https://www.math.purdue.edu/people/bio/guanglin")</f>
        <v>https://www.math.purdue.edu/people/bio/guanglin</v>
      </c>
    </row>
    <row r="714" spans="1:12" hidden="1" x14ac:dyDescent="0.3">
      <c r="A714">
        <v>713</v>
      </c>
      <c r="B714" t="s">
        <v>1581</v>
      </c>
      <c r="C714" t="s">
        <v>1570</v>
      </c>
      <c r="D714" t="s">
        <v>31</v>
      </c>
      <c r="E714" t="s">
        <v>1582</v>
      </c>
      <c r="F714" t="s">
        <v>16</v>
      </c>
      <c r="G714" t="s">
        <v>17</v>
      </c>
      <c r="H714" t="s">
        <v>64</v>
      </c>
      <c r="I714">
        <v>1</v>
      </c>
      <c r="J714" t="s">
        <v>19</v>
      </c>
      <c r="K714">
        <v>1</v>
      </c>
      <c r="L714" t="str">
        <f>HYPERLINK("https://researchdirectory.uc.edu/p/liugr","https://researchdirectory.uc.edu/p/liugr")</f>
        <v>https://researchdirectory.uc.edu/p/liugr</v>
      </c>
    </row>
    <row r="715" spans="1:12" x14ac:dyDescent="0.3">
      <c r="A715">
        <v>411</v>
      </c>
      <c r="B715" t="s">
        <v>972</v>
      </c>
      <c r="C715" t="s">
        <v>973</v>
      </c>
      <c r="D715" t="s">
        <v>161</v>
      </c>
      <c r="E715" t="s">
        <v>974</v>
      </c>
      <c r="F715" t="s">
        <v>16</v>
      </c>
      <c r="G715" t="s">
        <v>17</v>
      </c>
      <c r="H715" t="s">
        <v>124</v>
      </c>
      <c r="I715">
        <v>49</v>
      </c>
      <c r="J715" t="s">
        <v>19</v>
      </c>
      <c r="K715">
        <v>1</v>
      </c>
      <c r="L715" t="str">
        <f>HYPERLINK("https://faculty.rpi.edu/michael-amitay","https://faculty.rpi.edu/michael-amitay")</f>
        <v>https://faculty.rpi.edu/michael-amitay</v>
      </c>
    </row>
    <row r="716" spans="1:12" x14ac:dyDescent="0.3">
      <c r="A716">
        <v>412</v>
      </c>
      <c r="B716" t="s">
        <v>975</v>
      </c>
      <c r="C716" t="s">
        <v>973</v>
      </c>
      <c r="D716" t="s">
        <v>161</v>
      </c>
      <c r="E716" t="s">
        <v>976</v>
      </c>
      <c r="F716" t="s">
        <v>16</v>
      </c>
      <c r="G716" t="s">
        <v>17</v>
      </c>
      <c r="H716" t="s">
        <v>159</v>
      </c>
      <c r="I716">
        <v>29</v>
      </c>
      <c r="J716" t="s">
        <v>19</v>
      </c>
      <c r="K716">
        <v>1</v>
      </c>
      <c r="L716" t="str">
        <f>HYPERLINK("https://faculty.rpi.edu/jason-hicken","https://faculty.rpi.edu/jason-hicken")</f>
        <v>https://faculty.rpi.edu/jason-hicken</v>
      </c>
    </row>
    <row r="717" spans="1:12" x14ac:dyDescent="0.3">
      <c r="A717">
        <v>413</v>
      </c>
      <c r="B717" t="s">
        <v>977</v>
      </c>
      <c r="C717" t="s">
        <v>973</v>
      </c>
      <c r="D717" t="s">
        <v>161</v>
      </c>
      <c r="E717" t="s">
        <v>978</v>
      </c>
      <c r="F717" t="s">
        <v>62</v>
      </c>
      <c r="G717" t="s">
        <v>63</v>
      </c>
      <c r="H717" t="s">
        <v>70</v>
      </c>
      <c r="I717">
        <v>24</v>
      </c>
      <c r="J717" t="s">
        <v>19</v>
      </c>
      <c r="K717">
        <v>1</v>
      </c>
      <c r="L717" t="str">
        <f>HYPERLINK("https://faculty.rpi.edu/ozgur-tumuklu","https://faculty.rpi.edu/ozgur-tumuklu")</f>
        <v>https://faculty.rpi.edu/ozgur-tumuklu</v>
      </c>
    </row>
    <row r="718" spans="1:12" x14ac:dyDescent="0.3">
      <c r="A718">
        <v>414</v>
      </c>
      <c r="B718" t="s">
        <v>979</v>
      </c>
      <c r="C718" t="s">
        <v>973</v>
      </c>
      <c r="D718" t="s">
        <v>161</v>
      </c>
      <c r="E718" t="s">
        <v>980</v>
      </c>
      <c r="F718" t="s">
        <v>62</v>
      </c>
      <c r="G718" t="s">
        <v>63</v>
      </c>
      <c r="H718" t="s">
        <v>18</v>
      </c>
      <c r="I718">
        <v>36</v>
      </c>
      <c r="J718" t="s">
        <v>19</v>
      </c>
      <c r="K718">
        <v>1</v>
      </c>
      <c r="L718" t="str">
        <f>HYPERLINK("https://faculty.rpi.edu/shaowu-pan","https://faculty.rpi.edu/shaowu-pan")</f>
        <v>https://faculty.rpi.edu/shaowu-pan</v>
      </c>
    </row>
    <row r="719" spans="1:12" x14ac:dyDescent="0.3">
      <c r="A719">
        <v>416</v>
      </c>
      <c r="B719" t="s">
        <v>983</v>
      </c>
      <c r="C719" t="s">
        <v>973</v>
      </c>
      <c r="D719" t="s">
        <v>161</v>
      </c>
      <c r="E719" t="s">
        <v>984</v>
      </c>
      <c r="F719" t="s">
        <v>62</v>
      </c>
      <c r="G719" t="s">
        <v>63</v>
      </c>
      <c r="H719" t="s">
        <v>200</v>
      </c>
      <c r="I719">
        <v>6</v>
      </c>
      <c r="J719" t="s">
        <v>19</v>
      </c>
      <c r="K719">
        <v>1</v>
      </c>
      <c r="L719" t="str">
        <f>HYPERLINK("https://faculty.rpi.edu/lucy-zhang","https://faculty.rpi.edu/lucy-zhang")</f>
        <v>https://faculty.rpi.edu/lucy-zhang</v>
      </c>
    </row>
    <row r="720" spans="1:12" hidden="1" x14ac:dyDescent="0.3">
      <c r="A720">
        <v>719</v>
      </c>
      <c r="B720" t="s">
        <v>1594</v>
      </c>
      <c r="C720" t="s">
        <v>1588</v>
      </c>
      <c r="D720" t="s">
        <v>31</v>
      </c>
      <c r="E720" t="s">
        <v>1595</v>
      </c>
      <c r="F720" t="s">
        <v>62</v>
      </c>
      <c r="G720" t="s">
        <v>63</v>
      </c>
      <c r="H720" t="s">
        <v>1596</v>
      </c>
      <c r="I720">
        <v>56</v>
      </c>
      <c r="J720" t="s">
        <v>19</v>
      </c>
      <c r="K720">
        <v>1</v>
      </c>
      <c r="L720" t="str">
        <f>HYPERLINK("https://www.colorado.edu/aerospace/john-evans","https://www.colorado.edu/aerospace/john-evans")</f>
        <v>https://www.colorado.edu/aerospace/john-evans</v>
      </c>
    </row>
    <row r="721" spans="1:12" x14ac:dyDescent="0.3">
      <c r="A721">
        <v>417</v>
      </c>
      <c r="B721" t="s">
        <v>985</v>
      </c>
      <c r="C721" t="s">
        <v>973</v>
      </c>
      <c r="D721" t="s">
        <v>161</v>
      </c>
      <c r="E721" t="s">
        <v>986</v>
      </c>
      <c r="F721" t="s">
        <v>62</v>
      </c>
      <c r="G721" t="s">
        <v>63</v>
      </c>
      <c r="H721" t="s">
        <v>67</v>
      </c>
      <c r="I721">
        <v>14</v>
      </c>
      <c r="J721" t="s">
        <v>19</v>
      </c>
      <c r="K721">
        <v>1</v>
      </c>
      <c r="L721" t="str">
        <f>HYPERLINK("https://faculty.rpi.edu/amir-hirsa","https://faculty.rpi.edu/amir-hirsa")</f>
        <v>https://faculty.rpi.edu/amir-hirsa</v>
      </c>
    </row>
    <row r="722" spans="1:12" x14ac:dyDescent="0.3">
      <c r="A722">
        <v>424</v>
      </c>
      <c r="B722" t="s">
        <v>1000</v>
      </c>
      <c r="C722" t="s">
        <v>1001</v>
      </c>
      <c r="D722" t="s">
        <v>14</v>
      </c>
      <c r="E722" t="s">
        <v>1002</v>
      </c>
      <c r="F722" t="s">
        <v>27</v>
      </c>
      <c r="G722" t="s">
        <v>1003</v>
      </c>
      <c r="H722" t="s">
        <v>109</v>
      </c>
      <c r="I722">
        <v>66</v>
      </c>
      <c r="J722" t="s">
        <v>19</v>
      </c>
      <c r="K722">
        <v>1</v>
      </c>
      <c r="L722" t="str">
        <f>HYPERLINK("https://profiles.rice.edu/faculty/tayfun-e-tezduyar","https://profiles.rice.edu/faculty/tayfun-e-tezduyar")</f>
        <v>https://profiles.rice.edu/faculty/tayfun-e-tezduyar</v>
      </c>
    </row>
    <row r="723" spans="1:12" x14ac:dyDescent="0.3">
      <c r="A723">
        <v>426</v>
      </c>
      <c r="B723" t="s">
        <v>1006</v>
      </c>
      <c r="C723" t="s">
        <v>1001</v>
      </c>
      <c r="D723" t="s">
        <v>381</v>
      </c>
      <c r="E723" t="s">
        <v>1007</v>
      </c>
      <c r="F723" t="s">
        <v>27</v>
      </c>
      <c r="G723" t="s">
        <v>1003</v>
      </c>
      <c r="H723" t="s">
        <v>45</v>
      </c>
      <c r="I723">
        <v>20</v>
      </c>
      <c r="J723" t="s">
        <v>19</v>
      </c>
      <c r="K723">
        <v>1</v>
      </c>
      <c r="L723" t="str">
        <f>HYPERLINK("https://profiles.rice.edu/faculty/matthias-heinkenschloss","https://profiles.rice.edu/faculty/matthias-heinkenschloss")</f>
        <v>https://profiles.rice.edu/faculty/matthias-heinkenschloss</v>
      </c>
    </row>
    <row r="724" spans="1:12" x14ac:dyDescent="0.3">
      <c r="A724">
        <v>427</v>
      </c>
      <c r="B724" t="s">
        <v>1008</v>
      </c>
      <c r="C724" t="s">
        <v>1001</v>
      </c>
      <c r="D724" t="s">
        <v>14</v>
      </c>
      <c r="E724" t="s">
        <v>1009</v>
      </c>
      <c r="F724" t="s">
        <v>27</v>
      </c>
      <c r="G724" t="s">
        <v>1003</v>
      </c>
      <c r="H724" t="s">
        <v>263</v>
      </c>
      <c r="I724">
        <v>47</v>
      </c>
      <c r="J724" t="s">
        <v>19</v>
      </c>
      <c r="K724">
        <v>1</v>
      </c>
      <c r="L724" t="str">
        <f>HYPERLINK("https://profiles.rice.edu/faculty/daniel-j-preston","https://profiles.rice.edu/faculty/daniel-j-preston")</f>
        <v>https://profiles.rice.edu/faculty/daniel-j-preston</v>
      </c>
    </row>
    <row r="725" spans="1:12" x14ac:dyDescent="0.3">
      <c r="A725">
        <v>429</v>
      </c>
      <c r="B725" t="s">
        <v>1012</v>
      </c>
      <c r="C725" t="s">
        <v>1001</v>
      </c>
      <c r="D725" t="s">
        <v>14</v>
      </c>
      <c r="E725" t="s">
        <v>1013</v>
      </c>
      <c r="F725" t="s">
        <v>27</v>
      </c>
      <c r="G725" t="s">
        <v>1003</v>
      </c>
      <c r="H725" t="s">
        <v>24</v>
      </c>
      <c r="I725">
        <v>37</v>
      </c>
      <c r="J725" t="s">
        <v>19</v>
      </c>
      <c r="K725">
        <v>1</v>
      </c>
      <c r="L725" t="str">
        <f>HYPERLINK("https://profiles.rice.edu/faculty/pol-d-spanos","https://profiles.rice.edu/faculty/pol-d-spanos")</f>
        <v>https://profiles.rice.edu/faculty/pol-d-spanos</v>
      </c>
    </row>
    <row r="726" spans="1:12" hidden="1" x14ac:dyDescent="0.3">
      <c r="A726">
        <v>725</v>
      </c>
      <c r="B726" t="s">
        <v>1606</v>
      </c>
      <c r="C726" t="s">
        <v>1588</v>
      </c>
      <c r="D726" t="s">
        <v>31</v>
      </c>
      <c r="E726" t="s">
        <v>1607</v>
      </c>
      <c r="F726" t="s">
        <v>16</v>
      </c>
      <c r="G726" t="s">
        <v>17</v>
      </c>
      <c r="H726" t="s">
        <v>92</v>
      </c>
      <c r="I726">
        <v>40</v>
      </c>
      <c r="J726" t="s">
        <v>19</v>
      </c>
      <c r="K726">
        <v>1</v>
      </c>
      <c r="L726" t="str">
        <f>HYPERLINK("https://www.colorado.edu/amath/mark-hoefer","https://www.colorado.edu/amath/mark-hoefer")</f>
        <v>https://www.colorado.edu/amath/mark-hoefer</v>
      </c>
    </row>
    <row r="727" spans="1:12" hidden="1" x14ac:dyDescent="0.3">
      <c r="A727">
        <v>726</v>
      </c>
      <c r="B727" t="s">
        <v>1608</v>
      </c>
      <c r="C727" t="s">
        <v>1588</v>
      </c>
      <c r="D727" t="s">
        <v>31</v>
      </c>
      <c r="E727" t="s">
        <v>1609</v>
      </c>
      <c r="F727" t="s">
        <v>83</v>
      </c>
      <c r="G727" t="s">
        <v>84</v>
      </c>
      <c r="H727" t="s">
        <v>195</v>
      </c>
      <c r="I727">
        <v>20</v>
      </c>
      <c r="J727" t="s">
        <v>19</v>
      </c>
      <c r="K727">
        <v>1</v>
      </c>
      <c r="L727" t="str">
        <f>HYPERLINK("https://www.colorado.edu/amath/bengt-fornberg","https://www.colorado.edu/amath/bengt-fornberg")</f>
        <v>https://www.colorado.edu/amath/bengt-fornberg</v>
      </c>
    </row>
    <row r="728" spans="1:12" hidden="1" x14ac:dyDescent="0.3">
      <c r="A728">
        <v>727</v>
      </c>
      <c r="B728" t="s">
        <v>1610</v>
      </c>
      <c r="C728" t="s">
        <v>1588</v>
      </c>
      <c r="D728" t="s">
        <v>31</v>
      </c>
      <c r="E728" t="s">
        <v>1611</v>
      </c>
      <c r="F728" t="s">
        <v>16</v>
      </c>
      <c r="G728" t="s">
        <v>17</v>
      </c>
      <c r="H728" t="s">
        <v>301</v>
      </c>
      <c r="I728">
        <v>5</v>
      </c>
      <c r="J728" t="s">
        <v>19</v>
      </c>
      <c r="K728">
        <v>1</v>
      </c>
      <c r="L728" t="str">
        <f>HYPERLINK("https://www.colorado.edu/amath/gregory-beylkin","https://www.colorado.edu/amath/gregory-beylkin")</f>
        <v>https://www.colorado.edu/amath/gregory-beylkin</v>
      </c>
    </row>
    <row r="729" spans="1:12" x14ac:dyDescent="0.3">
      <c r="A729">
        <v>430</v>
      </c>
      <c r="B729" t="s">
        <v>1014</v>
      </c>
      <c r="C729" t="s">
        <v>1001</v>
      </c>
      <c r="D729" t="s">
        <v>381</v>
      </c>
      <c r="E729" t="s">
        <v>1015</v>
      </c>
      <c r="F729" t="s">
        <v>27</v>
      </c>
      <c r="G729" t="s">
        <v>1003</v>
      </c>
      <c r="H729" t="s">
        <v>104</v>
      </c>
      <c r="I729">
        <v>315</v>
      </c>
      <c r="J729" t="s">
        <v>19</v>
      </c>
      <c r="K729">
        <v>1</v>
      </c>
      <c r="L729" t="str">
        <f>HYPERLINK("https://profiles.rice.edu/faculty/lu-zhang","https://profiles.rice.edu/faculty/lu-zhang")</f>
        <v>https://profiles.rice.edu/faculty/lu-zhang</v>
      </c>
    </row>
    <row r="730" spans="1:12" x14ac:dyDescent="0.3">
      <c r="A730">
        <v>431</v>
      </c>
      <c r="B730" t="s">
        <v>1016</v>
      </c>
      <c r="C730" t="s">
        <v>1017</v>
      </c>
      <c r="D730" t="s">
        <v>161</v>
      </c>
      <c r="E730" t="s">
        <v>57</v>
      </c>
      <c r="F730" t="s">
        <v>22</v>
      </c>
      <c r="G730" t="s">
        <v>23</v>
      </c>
      <c r="H730" t="s">
        <v>58</v>
      </c>
      <c r="I730">
        <v>0</v>
      </c>
      <c r="J730" t="s">
        <v>19</v>
      </c>
      <c r="K730">
        <v>1</v>
      </c>
      <c r="L730" t="str">
        <f>HYPERLINK("https://mae.rutgers.edu/edward-demauro","https://mae.rutgers.edu/edward-demauro")</f>
        <v>https://mae.rutgers.edu/edward-demauro</v>
      </c>
    </row>
    <row r="731" spans="1:12" x14ac:dyDescent="0.3">
      <c r="A731">
        <v>432</v>
      </c>
      <c r="B731" t="s">
        <v>1018</v>
      </c>
      <c r="C731" t="s">
        <v>1017</v>
      </c>
      <c r="D731" t="s">
        <v>161</v>
      </c>
      <c r="E731" t="s">
        <v>1019</v>
      </c>
      <c r="F731" t="s">
        <v>22</v>
      </c>
      <c r="G731" t="s">
        <v>23</v>
      </c>
      <c r="H731" t="s">
        <v>39</v>
      </c>
      <c r="I731">
        <v>44</v>
      </c>
      <c r="J731" t="s">
        <v>19</v>
      </c>
      <c r="K731">
        <v>1</v>
      </c>
      <c r="L731" t="str">
        <f>HYPERLINK("https://mae.rutgers.edu/onur-bilgen","https://mae.rutgers.edu/onur-bilgen")</f>
        <v>https://mae.rutgers.edu/onur-bilgen</v>
      </c>
    </row>
    <row r="732" spans="1:12" x14ac:dyDescent="0.3">
      <c r="A732">
        <v>433</v>
      </c>
      <c r="B732" t="s">
        <v>1020</v>
      </c>
      <c r="C732" t="s">
        <v>1017</v>
      </c>
      <c r="D732" t="s">
        <v>161</v>
      </c>
      <c r="E732" t="s">
        <v>1021</v>
      </c>
      <c r="F732" t="s">
        <v>16</v>
      </c>
      <c r="G732" t="s">
        <v>17</v>
      </c>
      <c r="H732" t="s">
        <v>18</v>
      </c>
      <c r="I732">
        <v>17</v>
      </c>
      <c r="J732" t="s">
        <v>19</v>
      </c>
      <c r="K732">
        <v>1</v>
      </c>
      <c r="L732" t="str">
        <f>HYPERLINK("https://mae.rutgers.edu/german-drazer","https://mae.rutgers.edu/german-drazer")</f>
        <v>https://mae.rutgers.edu/german-drazer</v>
      </c>
    </row>
    <row r="733" spans="1:12" x14ac:dyDescent="0.3">
      <c r="A733">
        <v>434</v>
      </c>
      <c r="B733" t="s">
        <v>1022</v>
      </c>
      <c r="C733" t="s">
        <v>1017</v>
      </c>
      <c r="D733" t="s">
        <v>161</v>
      </c>
      <c r="E733" t="s">
        <v>1023</v>
      </c>
      <c r="F733" t="s">
        <v>16</v>
      </c>
      <c r="G733" t="s">
        <v>17</v>
      </c>
      <c r="H733" t="s">
        <v>18</v>
      </c>
      <c r="I733">
        <v>158</v>
      </c>
      <c r="J733" t="s">
        <v>19</v>
      </c>
      <c r="K733">
        <v>1</v>
      </c>
      <c r="L733" t="str">
        <f>HYPERLINK("https://mae.rutgers.edu/hao-lin","https://mae.rutgers.edu/hao-lin")</f>
        <v>https://mae.rutgers.edu/hao-lin</v>
      </c>
    </row>
    <row r="734" spans="1:12" hidden="1" x14ac:dyDescent="0.3">
      <c r="A734">
        <v>733</v>
      </c>
      <c r="B734" t="s">
        <v>1623</v>
      </c>
      <c r="C734" t="s">
        <v>1613</v>
      </c>
      <c r="D734" t="s">
        <v>31</v>
      </c>
      <c r="E734" t="s">
        <v>1624</v>
      </c>
      <c r="F734" t="s">
        <v>335</v>
      </c>
      <c r="G734" t="s">
        <v>336</v>
      </c>
      <c r="H734" t="s">
        <v>273</v>
      </c>
      <c r="I734">
        <v>24</v>
      </c>
      <c r="J734" t="s">
        <v>19</v>
      </c>
      <c r="K734">
        <v>1</v>
      </c>
      <c r="L734" t="str">
        <f>HYPERLINK("https://mechanical-aerospace-manufacturing.engineering.uconn.edu/person/julian-norato/","https://mechanical-aerospace-manufacturing.engineering.uconn.edu/person/julian-norato/")</f>
        <v>https://mechanical-aerospace-manufacturing.engineering.uconn.edu/person/julian-norato/</v>
      </c>
    </row>
    <row r="735" spans="1:12" hidden="1" x14ac:dyDescent="0.3">
      <c r="A735">
        <v>734</v>
      </c>
      <c r="B735" t="s">
        <v>1625</v>
      </c>
      <c r="C735" t="s">
        <v>1613</v>
      </c>
      <c r="D735" t="s">
        <v>31</v>
      </c>
      <c r="E735" t="s">
        <v>1626</v>
      </c>
      <c r="F735" t="s">
        <v>335</v>
      </c>
      <c r="G735" t="s">
        <v>336</v>
      </c>
      <c r="H735" t="s">
        <v>53</v>
      </c>
      <c r="I735">
        <v>15</v>
      </c>
      <c r="J735" t="s">
        <v>19</v>
      </c>
      <c r="K735">
        <v>1</v>
      </c>
      <c r="L735" t="str">
        <f>HYPERLINK("https://mechanical-aerospace-manufacturing.engineering.uconn.edu/person/jeongho-kim/","https://mechanical-aerospace-manufacturing.engineering.uconn.edu/person/jeongho-kim/")</f>
        <v>https://mechanical-aerospace-manufacturing.engineering.uconn.edu/person/jeongho-kim/</v>
      </c>
    </row>
    <row r="736" spans="1:12" hidden="1" x14ac:dyDescent="0.3">
      <c r="A736">
        <v>735</v>
      </c>
      <c r="B736" t="s">
        <v>1627</v>
      </c>
      <c r="C736" t="s">
        <v>1613</v>
      </c>
      <c r="D736" t="s">
        <v>31</v>
      </c>
      <c r="E736" t="s">
        <v>1628</v>
      </c>
      <c r="F736" t="s">
        <v>335</v>
      </c>
      <c r="G736" t="s">
        <v>336</v>
      </c>
      <c r="H736" t="s">
        <v>516</v>
      </c>
      <c r="I736">
        <v>14</v>
      </c>
      <c r="J736" t="s">
        <v>19</v>
      </c>
      <c r="K736">
        <v>1</v>
      </c>
      <c r="L736" t="str">
        <f>HYPERLINK("https://math.uconn.edu/person/dmitriy-leykekhman/","https://math.uconn.edu/person/dmitriy-leykekhman/")</f>
        <v>https://math.uconn.edu/person/dmitriy-leykekhman/</v>
      </c>
    </row>
    <row r="737" spans="1:12" x14ac:dyDescent="0.3">
      <c r="A737">
        <v>435</v>
      </c>
      <c r="B737" t="s">
        <v>1024</v>
      </c>
      <c r="C737" t="s">
        <v>1017</v>
      </c>
      <c r="D737" t="s">
        <v>161</v>
      </c>
      <c r="E737" t="s">
        <v>1025</v>
      </c>
      <c r="F737" t="s">
        <v>16</v>
      </c>
      <c r="G737" t="s">
        <v>17</v>
      </c>
      <c r="H737" t="s">
        <v>33</v>
      </c>
      <c r="I737">
        <v>18</v>
      </c>
      <c r="J737" t="s">
        <v>19</v>
      </c>
      <c r="K737">
        <v>1</v>
      </c>
      <c r="L737" t="str">
        <f>HYPERLINK("https://mae.rutgers.edu/prosenjit-bagchi","https://mae.rutgers.edu/prosenjit-bagchi")</f>
        <v>https://mae.rutgers.edu/prosenjit-bagchi</v>
      </c>
    </row>
    <row r="738" spans="1:12" x14ac:dyDescent="0.3">
      <c r="A738">
        <v>436</v>
      </c>
      <c r="B738" t="s">
        <v>1026</v>
      </c>
      <c r="C738" t="s">
        <v>1017</v>
      </c>
      <c r="D738" t="s">
        <v>161</v>
      </c>
      <c r="E738" t="s">
        <v>398</v>
      </c>
      <c r="F738" t="s">
        <v>16</v>
      </c>
      <c r="G738" t="s">
        <v>17</v>
      </c>
      <c r="H738" t="s">
        <v>58</v>
      </c>
      <c r="I738">
        <v>0</v>
      </c>
      <c r="J738" t="s">
        <v>19</v>
      </c>
      <c r="K738">
        <v>1</v>
      </c>
      <c r="L738" t="str">
        <f>HYPERLINK("https://mae.rutgers.edu/f-javier-diez-garias","https://mae.rutgers.edu/f-javier-diez-garias")</f>
        <v>https://mae.rutgers.edu/f-javier-diez-garias</v>
      </c>
    </row>
    <row r="739" spans="1:12" x14ac:dyDescent="0.3">
      <c r="A739">
        <v>437</v>
      </c>
      <c r="B739" t="s">
        <v>1027</v>
      </c>
      <c r="C739" t="s">
        <v>1017</v>
      </c>
      <c r="D739" t="s">
        <v>161</v>
      </c>
      <c r="E739" t="s">
        <v>1028</v>
      </c>
      <c r="F739" t="s">
        <v>16</v>
      </c>
      <c r="G739" t="s">
        <v>17</v>
      </c>
      <c r="H739" t="s">
        <v>213</v>
      </c>
      <c r="I739">
        <v>35</v>
      </c>
      <c r="J739" t="s">
        <v>19</v>
      </c>
      <c r="K739">
        <v>1</v>
      </c>
      <c r="L739" t="str">
        <f>HYPERLINK("https://mae.rutgers.edu/assimina-pelegri","https://mae.rutgers.edu/assimina-pelegri")</f>
        <v>https://mae.rutgers.edu/assimina-pelegri</v>
      </c>
    </row>
    <row r="740" spans="1:12" x14ac:dyDescent="0.3">
      <c r="A740">
        <v>438</v>
      </c>
      <c r="B740" t="s">
        <v>1029</v>
      </c>
      <c r="C740" t="s">
        <v>1017</v>
      </c>
      <c r="D740" t="s">
        <v>161</v>
      </c>
      <c r="E740" t="s">
        <v>1030</v>
      </c>
      <c r="F740" t="s">
        <v>62</v>
      </c>
      <c r="G740" t="s">
        <v>63</v>
      </c>
      <c r="H740" t="s">
        <v>159</v>
      </c>
      <c r="I740">
        <v>32</v>
      </c>
      <c r="J740" t="s">
        <v>19</v>
      </c>
      <c r="K740">
        <v>1</v>
      </c>
      <c r="L740" t="str">
        <f>HYPERLINK("https://mae.rutgers.edu/people/faculty","https://mae.rutgers.edu/people/faculty")</f>
        <v>https://mae.rutgers.edu/people/faculty</v>
      </c>
    </row>
    <row r="741" spans="1:12" hidden="1" x14ac:dyDescent="0.3">
      <c r="A741">
        <v>740</v>
      </c>
      <c r="B741" t="s">
        <v>1638</v>
      </c>
      <c r="C741" t="s">
        <v>1630</v>
      </c>
      <c r="D741" t="s">
        <v>31</v>
      </c>
      <c r="E741" t="s">
        <v>1639</v>
      </c>
      <c r="F741" t="s">
        <v>22</v>
      </c>
      <c r="G741" t="s">
        <v>23</v>
      </c>
      <c r="H741" t="s">
        <v>365</v>
      </c>
      <c r="I741">
        <v>19</v>
      </c>
      <c r="J741" t="s">
        <v>19</v>
      </c>
      <c r="K741">
        <v>1</v>
      </c>
      <c r="L741" t="str">
        <f>HYPERLINK("https://udayton.edu/directory/engineering/mechanical-and-aerospace/lowe-robert.php","https://udayton.edu/directory/engineering/mechanical-and-aerospace/lowe-robert.php")</f>
        <v>https://udayton.edu/directory/engineering/mechanical-and-aerospace/lowe-robert.php</v>
      </c>
    </row>
    <row r="742" spans="1:12" x14ac:dyDescent="0.3">
      <c r="A742">
        <v>439</v>
      </c>
      <c r="B742" t="s">
        <v>1031</v>
      </c>
      <c r="C742" t="s">
        <v>1017</v>
      </c>
      <c r="D742" t="s">
        <v>161</v>
      </c>
      <c r="E742" t="s">
        <v>1032</v>
      </c>
      <c r="F742" t="s">
        <v>16</v>
      </c>
      <c r="G742" t="s">
        <v>17</v>
      </c>
      <c r="H742" t="s">
        <v>33</v>
      </c>
      <c r="I742">
        <v>90</v>
      </c>
      <c r="J742" t="s">
        <v>19</v>
      </c>
      <c r="K742">
        <v>1</v>
      </c>
      <c r="L742" t="str">
        <f>HYPERLINK("https://mae.rutgers.edu/jingang-yi","https://mae.rutgers.edu/jingang-yi")</f>
        <v>https://mae.rutgers.edu/jingang-yi</v>
      </c>
    </row>
    <row r="743" spans="1:12" x14ac:dyDescent="0.3">
      <c r="A743">
        <v>442</v>
      </c>
      <c r="B743" t="s">
        <v>1037</v>
      </c>
      <c r="C743" t="s">
        <v>1038</v>
      </c>
      <c r="D743" t="s">
        <v>48</v>
      </c>
      <c r="E743" t="s">
        <v>1039</v>
      </c>
      <c r="F743" t="s">
        <v>16</v>
      </c>
      <c r="G743" t="s">
        <v>17</v>
      </c>
      <c r="H743" t="s">
        <v>182</v>
      </c>
      <c r="I743">
        <v>58</v>
      </c>
      <c r="J743" t="s">
        <v>19</v>
      </c>
      <c r="K743">
        <v>1</v>
      </c>
      <c r="L743" t="str">
        <f>HYPERLINK("https://profiles.stanford.edu/juan-alonso","https://profiles.stanford.edu/juan-alonso")</f>
        <v>https://profiles.stanford.edu/juan-alonso</v>
      </c>
    </row>
    <row r="744" spans="1:12" hidden="1" x14ac:dyDescent="0.3">
      <c r="A744">
        <v>743</v>
      </c>
      <c r="B744" t="s">
        <v>1645</v>
      </c>
      <c r="C744" t="s">
        <v>1641</v>
      </c>
      <c r="D744" t="s">
        <v>31</v>
      </c>
      <c r="E744" t="s">
        <v>1646</v>
      </c>
      <c r="F744" t="s">
        <v>16</v>
      </c>
      <c r="G744" t="s">
        <v>17</v>
      </c>
      <c r="H744" t="s">
        <v>42</v>
      </c>
      <c r="I744">
        <v>6</v>
      </c>
      <c r="J744" t="s">
        <v>19</v>
      </c>
      <c r="K744">
        <v>1</v>
      </c>
      <c r="L744" t="str">
        <f>HYPERLINK("https://me.udel.edu/people/faculty-profiles/","https://me.udel.edu/people/faculty-profiles/")</f>
        <v>https://me.udel.edu/people/faculty-profiles/</v>
      </c>
    </row>
    <row r="745" spans="1:12" hidden="1" x14ac:dyDescent="0.3">
      <c r="A745">
        <v>744</v>
      </c>
      <c r="B745" t="s">
        <v>1647</v>
      </c>
      <c r="C745" t="s">
        <v>1641</v>
      </c>
      <c r="D745" t="s">
        <v>31</v>
      </c>
      <c r="E745" t="s">
        <v>1648</v>
      </c>
      <c r="F745" t="s">
        <v>151</v>
      </c>
      <c r="G745" t="s">
        <v>152</v>
      </c>
      <c r="H745" t="s">
        <v>329</v>
      </c>
      <c r="I745">
        <v>11</v>
      </c>
      <c r="J745" t="s">
        <v>154</v>
      </c>
      <c r="K745">
        <v>3</v>
      </c>
      <c r="L745" t="str">
        <f>HYPERLINK("https://www.udel.edu/academics/colleges/cas/units/departments/mathematical-sciences/","https://www.udel.edu/academics/colleges/cas/units/departments/mathematical-sciences/")</f>
        <v>https://www.udel.edu/academics/colleges/cas/units/departments/mathematical-sciences/</v>
      </c>
    </row>
    <row r="746" spans="1:12" hidden="1" x14ac:dyDescent="0.3">
      <c r="A746">
        <v>745</v>
      </c>
      <c r="B746" t="s">
        <v>1649</v>
      </c>
      <c r="C746" t="s">
        <v>1641</v>
      </c>
      <c r="D746" t="s">
        <v>31</v>
      </c>
      <c r="E746" t="s">
        <v>1650</v>
      </c>
      <c r="F746" t="s">
        <v>151</v>
      </c>
      <c r="G746" t="s">
        <v>152</v>
      </c>
      <c r="H746" t="s">
        <v>593</v>
      </c>
      <c r="I746">
        <v>10</v>
      </c>
      <c r="J746" t="s">
        <v>154</v>
      </c>
      <c r="K746">
        <v>3</v>
      </c>
      <c r="L746" t="str">
        <f>HYPERLINK("https://www.udel.edu/academics/colleges/cas/units/departments/mathematical-sciences/","https://www.udel.edu/academics/colleges/cas/units/departments/mathematical-sciences/")</f>
        <v>https://www.udel.edu/academics/colleges/cas/units/departments/mathematical-sciences/</v>
      </c>
    </row>
    <row r="747" spans="1:12" hidden="1" x14ac:dyDescent="0.3">
      <c r="A747">
        <v>746</v>
      </c>
      <c r="B747" t="s">
        <v>1651</v>
      </c>
      <c r="C747" t="s">
        <v>1641</v>
      </c>
      <c r="D747" t="s">
        <v>31</v>
      </c>
      <c r="E747" t="s">
        <v>1652</v>
      </c>
      <c r="F747" t="s">
        <v>151</v>
      </c>
      <c r="G747" t="s">
        <v>152</v>
      </c>
      <c r="H747" t="s">
        <v>225</v>
      </c>
      <c r="I747">
        <v>9</v>
      </c>
      <c r="J747" t="s">
        <v>154</v>
      </c>
      <c r="K747">
        <v>3</v>
      </c>
      <c r="L747" t="str">
        <f>HYPERLINK("https://www.udel.edu/academics/colleges/cas/units/departments/mathematical-sciences/","https://www.udel.edu/academics/colleges/cas/units/departments/mathematical-sciences/")</f>
        <v>https://www.udel.edu/academics/colleges/cas/units/departments/mathematical-sciences/</v>
      </c>
    </row>
    <row r="748" spans="1:12" x14ac:dyDescent="0.3">
      <c r="A748">
        <v>443</v>
      </c>
      <c r="B748" t="s">
        <v>1040</v>
      </c>
      <c r="C748" t="s">
        <v>1038</v>
      </c>
      <c r="D748" t="s">
        <v>112</v>
      </c>
      <c r="E748" t="s">
        <v>1041</v>
      </c>
      <c r="F748" t="s">
        <v>16</v>
      </c>
      <c r="G748" t="s">
        <v>17</v>
      </c>
      <c r="H748" t="s">
        <v>92</v>
      </c>
      <c r="I748">
        <v>67</v>
      </c>
      <c r="J748" t="s">
        <v>19</v>
      </c>
      <c r="K748">
        <v>1</v>
      </c>
      <c r="L748" t="str">
        <f>HYPERLINK("https://profiles.stanford.edu/eric-darve","https://profiles.stanford.edu/eric-darve")</f>
        <v>https://profiles.stanford.edu/eric-darve</v>
      </c>
    </row>
    <row r="749" spans="1:12" x14ac:dyDescent="0.3">
      <c r="A749">
        <v>444</v>
      </c>
      <c r="B749" t="s">
        <v>1042</v>
      </c>
      <c r="C749" t="s">
        <v>1038</v>
      </c>
      <c r="D749" t="s">
        <v>271</v>
      </c>
      <c r="E749" t="s">
        <v>1043</v>
      </c>
      <c r="F749" t="s">
        <v>335</v>
      </c>
      <c r="G749" t="s">
        <v>336</v>
      </c>
      <c r="H749" t="s">
        <v>172</v>
      </c>
      <c r="I749">
        <v>4</v>
      </c>
      <c r="J749" t="s">
        <v>19</v>
      </c>
      <c r="K749">
        <v>1</v>
      </c>
      <c r="L749" t="str">
        <f>HYPERLINK("https://profiles.stanford.edu/charbel-farhat","https://profiles.stanford.edu/charbel-farhat")</f>
        <v>https://profiles.stanford.edu/charbel-farhat</v>
      </c>
    </row>
    <row r="750" spans="1:12" x14ac:dyDescent="0.3">
      <c r="A750">
        <v>445</v>
      </c>
      <c r="B750" t="s">
        <v>1044</v>
      </c>
      <c r="C750" t="s">
        <v>1038</v>
      </c>
      <c r="D750" t="s">
        <v>112</v>
      </c>
      <c r="E750" t="s">
        <v>1045</v>
      </c>
      <c r="F750" t="s">
        <v>335</v>
      </c>
      <c r="G750" t="s">
        <v>336</v>
      </c>
      <c r="H750" t="s">
        <v>18</v>
      </c>
      <c r="I750">
        <v>48</v>
      </c>
      <c r="J750" t="s">
        <v>19</v>
      </c>
      <c r="K750">
        <v>1</v>
      </c>
      <c r="L750" t="str">
        <f>HYPERLINK("https://profiles.stanford.edu/gianluca-iaccarino","https://profiles.stanford.edu/gianluca-iaccarino")</f>
        <v>https://profiles.stanford.edu/gianluca-iaccarino</v>
      </c>
    </row>
    <row r="751" spans="1:12" x14ac:dyDescent="0.3">
      <c r="A751">
        <v>446</v>
      </c>
      <c r="B751" t="s">
        <v>1046</v>
      </c>
      <c r="C751" t="s">
        <v>1038</v>
      </c>
      <c r="D751" t="s">
        <v>14</v>
      </c>
      <c r="E751" t="s">
        <v>1047</v>
      </c>
      <c r="F751" t="s">
        <v>335</v>
      </c>
      <c r="G751" t="s">
        <v>336</v>
      </c>
      <c r="H751" t="s">
        <v>273</v>
      </c>
      <c r="I751">
        <v>143</v>
      </c>
      <c r="J751" t="s">
        <v>19</v>
      </c>
      <c r="K751">
        <v>1</v>
      </c>
      <c r="L751" t="str">
        <f>HYPERLINK("https://profiles.stanford.edu/matthias-ihme","https://profiles.stanford.edu/matthias-ihme")</f>
        <v>https://profiles.stanford.edu/matthias-ihme</v>
      </c>
    </row>
    <row r="752" spans="1:12" x14ac:dyDescent="0.3">
      <c r="A752">
        <v>447</v>
      </c>
      <c r="B752" t="s">
        <v>1048</v>
      </c>
      <c r="C752" t="s">
        <v>1038</v>
      </c>
      <c r="D752" t="s">
        <v>161</v>
      </c>
      <c r="E752" t="s">
        <v>1049</v>
      </c>
      <c r="F752" t="s">
        <v>335</v>
      </c>
      <c r="G752" t="s">
        <v>336</v>
      </c>
      <c r="H752" t="s">
        <v>42</v>
      </c>
      <c r="I752">
        <v>44</v>
      </c>
      <c r="J752" t="s">
        <v>19</v>
      </c>
      <c r="K752">
        <v>1</v>
      </c>
      <c r="L752" t="str">
        <f>HYPERLINK("https://profiles.stanford.edu/sanjiva-lele","https://profiles.stanford.edu/sanjiva-lele")</f>
        <v>https://profiles.stanford.edu/sanjiva-lele</v>
      </c>
    </row>
    <row r="753" spans="1:12" x14ac:dyDescent="0.3">
      <c r="A753">
        <v>448</v>
      </c>
      <c r="B753" t="s">
        <v>1050</v>
      </c>
      <c r="C753" t="s">
        <v>1038</v>
      </c>
      <c r="D753" t="s">
        <v>14</v>
      </c>
      <c r="E753" t="s">
        <v>1051</v>
      </c>
      <c r="F753" t="s">
        <v>16</v>
      </c>
      <c r="G753" t="s">
        <v>17</v>
      </c>
      <c r="H753" t="s">
        <v>273</v>
      </c>
      <c r="I753">
        <v>67</v>
      </c>
      <c r="J753" t="s">
        <v>19</v>
      </c>
      <c r="K753">
        <v>1</v>
      </c>
      <c r="L753" t="str">
        <f>HYPERLINK("https://profiles.stanford.edu/ali-mani","https://profiles.stanford.edu/ali-mani")</f>
        <v>https://profiles.stanford.edu/ali-mani</v>
      </c>
    </row>
    <row r="754" spans="1:12" x14ac:dyDescent="0.3">
      <c r="A754">
        <v>449</v>
      </c>
      <c r="B754" t="s">
        <v>1052</v>
      </c>
      <c r="C754" t="s">
        <v>1038</v>
      </c>
      <c r="D754" t="s">
        <v>14</v>
      </c>
      <c r="E754" t="s">
        <v>1053</v>
      </c>
      <c r="F754" t="s">
        <v>335</v>
      </c>
      <c r="G754" t="s">
        <v>336</v>
      </c>
      <c r="H754" t="s">
        <v>33</v>
      </c>
      <c r="I754">
        <v>47</v>
      </c>
      <c r="J754" t="s">
        <v>19</v>
      </c>
      <c r="K754">
        <v>1</v>
      </c>
      <c r="L754" t="str">
        <f>HYPERLINK("https://profiles.stanford.edu/beverley-mckeon","https://profiles.stanford.edu/beverley-mckeon")</f>
        <v>https://profiles.stanford.edu/beverley-mckeon</v>
      </c>
    </row>
    <row r="755" spans="1:12" x14ac:dyDescent="0.3">
      <c r="A755">
        <v>450</v>
      </c>
      <c r="B755" t="s">
        <v>1054</v>
      </c>
      <c r="C755" t="s">
        <v>1038</v>
      </c>
      <c r="D755" t="s">
        <v>161</v>
      </c>
      <c r="E755" t="s">
        <v>1055</v>
      </c>
      <c r="F755" t="s">
        <v>16</v>
      </c>
      <c r="G755" t="s">
        <v>17</v>
      </c>
      <c r="H755" t="s">
        <v>314</v>
      </c>
      <c r="I755">
        <v>56</v>
      </c>
      <c r="J755" t="s">
        <v>19</v>
      </c>
      <c r="K755">
        <v>1</v>
      </c>
      <c r="L755" t="str">
        <f>HYPERLINK("https://profiles.stanford.edu/parviz-moin","https://profiles.stanford.edu/parviz-moin")</f>
        <v>https://profiles.stanford.edu/parviz-moin</v>
      </c>
    </row>
    <row r="756" spans="1:12" hidden="1" x14ac:dyDescent="0.3">
      <c r="A756">
        <v>755</v>
      </c>
      <c r="B756" t="s">
        <v>1671</v>
      </c>
      <c r="C756" t="s">
        <v>1656</v>
      </c>
      <c r="D756" t="s">
        <v>31</v>
      </c>
      <c r="E756" t="s">
        <v>1672</v>
      </c>
      <c r="F756" t="s">
        <v>27</v>
      </c>
      <c r="G756" t="s">
        <v>28</v>
      </c>
      <c r="H756" t="s">
        <v>80</v>
      </c>
      <c r="I756">
        <v>103</v>
      </c>
      <c r="J756" t="s">
        <v>19</v>
      </c>
      <c r="K756">
        <v>1</v>
      </c>
      <c r="L756" t="str">
        <f>HYPERLINK("https://people.clas.ufl.edu/chunmeiwang/","https://people.clas.ufl.edu/chunmeiwang/")</f>
        <v>https://people.clas.ufl.edu/chunmeiwang/</v>
      </c>
    </row>
    <row r="757" spans="1:12" hidden="1" x14ac:dyDescent="0.3">
      <c r="A757">
        <v>756</v>
      </c>
      <c r="B757" t="s">
        <v>1673</v>
      </c>
      <c r="C757" t="s">
        <v>1656</v>
      </c>
      <c r="D757" t="s">
        <v>31</v>
      </c>
      <c r="E757" t="s">
        <v>1674</v>
      </c>
      <c r="F757" t="s">
        <v>16</v>
      </c>
      <c r="G757" t="s">
        <v>17</v>
      </c>
      <c r="H757" t="s">
        <v>365</v>
      </c>
      <c r="I757">
        <v>17</v>
      </c>
      <c r="J757" t="s">
        <v>19</v>
      </c>
      <c r="K757">
        <v>1</v>
      </c>
      <c r="L757" t="str">
        <f>HYPERLINK("https://people.clas.ufl.edu/hager/","https://people.clas.ufl.edu/hager/")</f>
        <v>https://people.clas.ufl.edu/hager/</v>
      </c>
    </row>
    <row r="758" spans="1:12" x14ac:dyDescent="0.3">
      <c r="A758">
        <v>451</v>
      </c>
      <c r="B758" t="s">
        <v>1056</v>
      </c>
      <c r="C758" t="s">
        <v>1038</v>
      </c>
      <c r="D758" t="s">
        <v>48</v>
      </c>
      <c r="E758" t="s">
        <v>1057</v>
      </c>
      <c r="F758" t="s">
        <v>62</v>
      </c>
      <c r="G758" t="s">
        <v>63</v>
      </c>
      <c r="H758" t="s">
        <v>1058</v>
      </c>
      <c r="I758">
        <v>93</v>
      </c>
      <c r="J758" t="s">
        <v>19</v>
      </c>
      <c r="K758">
        <v>1</v>
      </c>
      <c r="L758" t="str">
        <f>HYPERLINK("https://profiles.stanford.edu/hai-wang","https://profiles.stanford.edu/hai-wang")</f>
        <v>https://profiles.stanford.edu/hai-wang</v>
      </c>
    </row>
    <row r="759" spans="1:12" x14ac:dyDescent="0.3">
      <c r="A759">
        <v>468</v>
      </c>
      <c r="B759" t="s">
        <v>1093</v>
      </c>
      <c r="C759" t="s">
        <v>1094</v>
      </c>
      <c r="D759" t="s">
        <v>14</v>
      </c>
      <c r="E759" t="s">
        <v>1095</v>
      </c>
      <c r="F759" t="s">
        <v>27</v>
      </c>
      <c r="G759" t="s">
        <v>28</v>
      </c>
      <c r="H759" t="s">
        <v>516</v>
      </c>
      <c r="I759">
        <v>5</v>
      </c>
      <c r="J759" t="s">
        <v>19</v>
      </c>
      <c r="K759">
        <v>1</v>
      </c>
      <c r="L759" t="str">
        <f>HYPERLINK("https://engineering.temple.edu/about/faculty-staff/kurosh-darvish-tue45517","https://engineering.temple.edu/about/faculty-staff/kurosh-darvish-tue45517")</f>
        <v>https://engineering.temple.edu/about/faculty-staff/kurosh-darvish-tue45517</v>
      </c>
    </row>
    <row r="760" spans="1:12" x14ac:dyDescent="0.3">
      <c r="A760">
        <v>469</v>
      </c>
      <c r="B760" t="s">
        <v>1096</v>
      </c>
      <c r="C760" t="s">
        <v>1094</v>
      </c>
      <c r="D760" t="s">
        <v>14</v>
      </c>
      <c r="E760" t="s">
        <v>1097</v>
      </c>
      <c r="F760" t="s">
        <v>27</v>
      </c>
      <c r="G760" t="s">
        <v>28</v>
      </c>
      <c r="H760" t="s">
        <v>516</v>
      </c>
      <c r="I760">
        <v>17</v>
      </c>
      <c r="J760" t="s">
        <v>19</v>
      </c>
      <c r="K760">
        <v>1</v>
      </c>
      <c r="L760" t="str">
        <f>HYPERLINK("https://engineering.temple.edu/about/faculty-staff/parsaoran-hutapea-tua72887","https://engineering.temple.edu/about/faculty-staff/parsaoran-hutapea-tua72887")</f>
        <v>https://engineering.temple.edu/about/faculty-staff/parsaoran-hutapea-tua72887</v>
      </c>
    </row>
    <row r="761" spans="1:12" hidden="1" x14ac:dyDescent="0.3">
      <c r="A761">
        <v>760</v>
      </c>
      <c r="B761" t="s">
        <v>1683</v>
      </c>
      <c r="C761" t="s">
        <v>1676</v>
      </c>
      <c r="D761" t="s">
        <v>31</v>
      </c>
      <c r="E761" t="s">
        <v>1684</v>
      </c>
      <c r="F761" t="s">
        <v>62</v>
      </c>
      <c r="G761" t="s">
        <v>63</v>
      </c>
      <c r="H761" t="s">
        <v>495</v>
      </c>
      <c r="I761">
        <v>81</v>
      </c>
      <c r="J761" t="s">
        <v>19</v>
      </c>
      <c r="K761">
        <v>1</v>
      </c>
      <c r="L761" t="str">
        <f>HYPERLINK("https://engineering.uga.edu/directory/xianqiao-wang/","https://engineering.uga.edu/directory/xianqiao-wang/")</f>
        <v>https://engineering.uga.edu/directory/xianqiao-wang/</v>
      </c>
    </row>
    <row r="762" spans="1:12" x14ac:dyDescent="0.3">
      <c r="A762">
        <v>470</v>
      </c>
      <c r="B762" t="s">
        <v>1098</v>
      </c>
      <c r="C762" t="s">
        <v>1094</v>
      </c>
      <c r="D762" t="s">
        <v>14</v>
      </c>
      <c r="E762" t="s">
        <v>1099</v>
      </c>
      <c r="F762" t="s">
        <v>27</v>
      </c>
      <c r="G762" t="s">
        <v>28</v>
      </c>
      <c r="H762" t="s">
        <v>159</v>
      </c>
      <c r="I762">
        <v>32</v>
      </c>
      <c r="J762" t="s">
        <v>19</v>
      </c>
      <c r="K762">
        <v>1</v>
      </c>
      <c r="L762" t="str">
        <f>HYPERLINK("https://engineering.temple.edu/about/faculty-staff/haijun-liu-tuf87186","https://engineering.temple.edu/about/faculty-staff/haijun-liu-tuf87186")</f>
        <v>https://engineering.temple.edu/about/faculty-staff/haijun-liu-tuf87186</v>
      </c>
    </row>
    <row r="763" spans="1:12" x14ac:dyDescent="0.3">
      <c r="A763">
        <v>471</v>
      </c>
      <c r="B763" t="s">
        <v>1100</v>
      </c>
      <c r="C763" t="s">
        <v>1094</v>
      </c>
      <c r="D763" t="s">
        <v>14</v>
      </c>
      <c r="E763" t="s">
        <v>1101</v>
      </c>
      <c r="F763" t="s">
        <v>27</v>
      </c>
      <c r="G763" t="s">
        <v>28</v>
      </c>
      <c r="H763" t="s">
        <v>80</v>
      </c>
      <c r="I763">
        <v>20</v>
      </c>
      <c r="J763" t="s">
        <v>19</v>
      </c>
      <c r="K763">
        <v>1</v>
      </c>
      <c r="L763" t="str">
        <f>HYPERLINK("https://engineering.temple.edu/about/faculty-staff/mohammad-f-kiani-tud14330","https://engineering.temple.edu/about/faculty-staff/mohammad-f-kiani-tud14330")</f>
        <v>https://engineering.temple.edu/about/faculty-staff/mohammad-f-kiani-tud14330</v>
      </c>
    </row>
    <row r="764" spans="1:12" hidden="1" x14ac:dyDescent="0.3">
      <c r="A764">
        <v>763</v>
      </c>
      <c r="B764" t="s">
        <v>1689</v>
      </c>
      <c r="C764" t="s">
        <v>1676</v>
      </c>
      <c r="D764" t="s">
        <v>31</v>
      </c>
      <c r="E764" t="s">
        <v>1690</v>
      </c>
      <c r="F764" t="s">
        <v>1691</v>
      </c>
      <c r="G764" t="s">
        <v>1692</v>
      </c>
      <c r="H764" t="s">
        <v>516</v>
      </c>
      <c r="I764">
        <v>18</v>
      </c>
      <c r="J764" t="s">
        <v>116</v>
      </c>
      <c r="K764">
        <v>3</v>
      </c>
      <c r="L764" t="str">
        <f>HYPERLINK("https://www.math.uga.edu/directory/people/lin-mu","https://www.math.uga.edu/directory/people/lin-mu")</f>
        <v>https://www.math.uga.edu/directory/people/lin-mu</v>
      </c>
    </row>
    <row r="765" spans="1:12" x14ac:dyDescent="0.3">
      <c r="A765">
        <v>472</v>
      </c>
      <c r="B765" t="s">
        <v>1102</v>
      </c>
      <c r="C765" t="s">
        <v>1094</v>
      </c>
      <c r="D765" t="s">
        <v>14</v>
      </c>
      <c r="E765" t="s">
        <v>1103</v>
      </c>
      <c r="F765" t="s">
        <v>27</v>
      </c>
      <c r="G765" t="s">
        <v>28</v>
      </c>
      <c r="H765" t="s">
        <v>254</v>
      </c>
      <c r="I765">
        <v>42</v>
      </c>
      <c r="J765" t="s">
        <v>19</v>
      </c>
      <c r="K765">
        <v>1</v>
      </c>
      <c r="L765" t="str">
        <f>HYPERLINK("https://engineering.temple.edu/about/faculty-staff/philip-dames-tuf42055","https://engineering.temple.edu/about/faculty-staff/philip-dames-tuf42055")</f>
        <v>https://engineering.temple.edu/about/faculty-staff/philip-dames-tuf42055</v>
      </c>
    </row>
    <row r="766" spans="1:12" x14ac:dyDescent="0.3">
      <c r="A766">
        <v>474</v>
      </c>
      <c r="B766" t="s">
        <v>1106</v>
      </c>
      <c r="C766" t="s">
        <v>1094</v>
      </c>
      <c r="D766" t="s">
        <v>14</v>
      </c>
      <c r="E766" t="s">
        <v>1107</v>
      </c>
      <c r="F766" t="s">
        <v>27</v>
      </c>
      <c r="G766" t="s">
        <v>28</v>
      </c>
      <c r="H766" t="s">
        <v>159</v>
      </c>
      <c r="I766">
        <v>30</v>
      </c>
      <c r="J766" t="s">
        <v>19</v>
      </c>
      <c r="K766">
        <v>1</v>
      </c>
      <c r="L766" t="str">
        <f>HYPERLINK("https://engineering.temple.edu/about/faculty-staff/damoon-soudbakhsh-tuf06807","https://engineering.temple.edu/about/faculty-staff/damoon-soudbakhsh-tuf06807")</f>
        <v>https://engineering.temple.edu/about/faculty-staff/damoon-soudbakhsh-tuf06807</v>
      </c>
    </row>
    <row r="767" spans="1:12" x14ac:dyDescent="0.3">
      <c r="A767">
        <v>477</v>
      </c>
      <c r="B767" t="s">
        <v>1113</v>
      </c>
      <c r="C767" t="s">
        <v>1114</v>
      </c>
      <c r="D767" t="s">
        <v>48</v>
      </c>
      <c r="E767" t="s">
        <v>1115</v>
      </c>
      <c r="F767" t="s">
        <v>16</v>
      </c>
      <c r="G767" t="s">
        <v>17</v>
      </c>
      <c r="H767" t="s">
        <v>104</v>
      </c>
      <c r="I767">
        <v>56</v>
      </c>
      <c r="J767" t="s">
        <v>19</v>
      </c>
      <c r="K767">
        <v>1</v>
      </c>
      <c r="L767" t="str">
        <f>HYPERLINK("https://engineering.tamu.edu/aerospace/profiles/bowersox-rodney.html","https://engineering.tamu.edu/aerospace/profiles/bowersox-rodney.html")</f>
        <v>https://engineering.tamu.edu/aerospace/profiles/bowersox-rodney.html</v>
      </c>
    </row>
    <row r="768" spans="1:12" x14ac:dyDescent="0.3">
      <c r="A768">
        <v>478</v>
      </c>
      <c r="B768" t="s">
        <v>1116</v>
      </c>
      <c r="C768" t="s">
        <v>1114</v>
      </c>
      <c r="D768" t="s">
        <v>48</v>
      </c>
      <c r="E768" t="s">
        <v>1117</v>
      </c>
      <c r="F768" t="s">
        <v>16</v>
      </c>
      <c r="G768" t="s">
        <v>17</v>
      </c>
      <c r="H768" t="s">
        <v>273</v>
      </c>
      <c r="I768">
        <v>17</v>
      </c>
      <c r="J768" t="s">
        <v>19</v>
      </c>
      <c r="K768">
        <v>1</v>
      </c>
      <c r="L768" t="str">
        <f>HYPERLINK("https://engineering.tamu.edu/aerospace/profiles/ddonzis.html","https://engineering.tamu.edu/aerospace/profiles/ddonzis.html")</f>
        <v>https://engineering.tamu.edu/aerospace/profiles/ddonzis.html</v>
      </c>
    </row>
    <row r="769" spans="1:12" x14ac:dyDescent="0.3">
      <c r="A769">
        <v>479</v>
      </c>
      <c r="B769" t="s">
        <v>1118</v>
      </c>
      <c r="C769" t="s">
        <v>1114</v>
      </c>
      <c r="D769" t="s">
        <v>48</v>
      </c>
      <c r="E769" t="s">
        <v>1119</v>
      </c>
      <c r="F769" t="s">
        <v>16</v>
      </c>
      <c r="G769" t="s">
        <v>17</v>
      </c>
      <c r="H769" t="s">
        <v>45</v>
      </c>
      <c r="I769">
        <v>32</v>
      </c>
      <c r="J769" t="s">
        <v>19</v>
      </c>
      <c r="K769">
        <v>1</v>
      </c>
      <c r="L769" t="str">
        <f>HYPERLINK("https://engineering.tamu.edu/aerospace/profiles/sgirimaji.html","https://engineering.tamu.edu/aerospace/profiles/sgirimaji.html")</f>
        <v>https://engineering.tamu.edu/aerospace/profiles/sgirimaji.html</v>
      </c>
    </row>
    <row r="770" spans="1:12" x14ac:dyDescent="0.3">
      <c r="A770">
        <v>480</v>
      </c>
      <c r="B770" t="s">
        <v>1120</v>
      </c>
      <c r="C770" t="s">
        <v>1114</v>
      </c>
      <c r="D770" t="s">
        <v>48</v>
      </c>
      <c r="E770" t="s">
        <v>1121</v>
      </c>
      <c r="F770" t="s">
        <v>16</v>
      </c>
      <c r="G770" t="s">
        <v>17</v>
      </c>
      <c r="H770" t="s">
        <v>406</v>
      </c>
      <c r="I770">
        <v>15</v>
      </c>
      <c r="J770" t="s">
        <v>19</v>
      </c>
      <c r="K770">
        <v>1</v>
      </c>
      <c r="L770" t="str">
        <f>HYPERLINK("https://engineering.tamu.edu/aerospace/profiles/pcizmas.html","https://engineering.tamu.edu/aerospace/profiles/pcizmas.html")</f>
        <v>https://engineering.tamu.edu/aerospace/profiles/pcizmas.html</v>
      </c>
    </row>
    <row r="771" spans="1:12" x14ac:dyDescent="0.3">
      <c r="A771">
        <v>481</v>
      </c>
      <c r="B771" t="s">
        <v>1122</v>
      </c>
      <c r="C771" t="s">
        <v>1114</v>
      </c>
      <c r="D771" t="s">
        <v>48</v>
      </c>
      <c r="E771" t="s">
        <v>1123</v>
      </c>
      <c r="F771" t="s">
        <v>16</v>
      </c>
      <c r="G771" t="s">
        <v>17</v>
      </c>
      <c r="H771" t="s">
        <v>213</v>
      </c>
      <c r="I771">
        <v>12</v>
      </c>
      <c r="J771" t="s">
        <v>19</v>
      </c>
      <c r="K771">
        <v>1</v>
      </c>
      <c r="L771" t="str">
        <f>HYPERLINK("https://engineering.tamu.edu/aerospace/profiles/leyva-ivett.html","https://engineering.tamu.edu/aerospace/profiles/leyva-ivett.html")</f>
        <v>https://engineering.tamu.edu/aerospace/profiles/leyva-ivett.html</v>
      </c>
    </row>
    <row r="772" spans="1:12" x14ac:dyDescent="0.3">
      <c r="A772">
        <v>493</v>
      </c>
      <c r="B772" t="s">
        <v>1145</v>
      </c>
      <c r="C772" t="s">
        <v>1146</v>
      </c>
      <c r="D772" t="s">
        <v>14</v>
      </c>
      <c r="E772" t="s">
        <v>1147</v>
      </c>
      <c r="F772" t="s">
        <v>16</v>
      </c>
      <c r="G772" t="s">
        <v>17</v>
      </c>
      <c r="H772" t="s">
        <v>18</v>
      </c>
      <c r="I772">
        <v>7</v>
      </c>
      <c r="J772" t="s">
        <v>19</v>
      </c>
      <c r="K772">
        <v>1</v>
      </c>
      <c r="L772" t="str">
        <f>HYPERLINK("https://www.tamuk.edu/engineering/departments/mien/faculty_staff/SelahattinOzcelik.html","https://www.tamuk.edu/engineering/departments/mien/faculty_staff/SelahattinOzcelik.html")</f>
        <v>https://www.tamuk.edu/engineering/departments/mien/faculty_staff/SelahattinOzcelik.html</v>
      </c>
    </row>
    <row r="773" spans="1:12" x14ac:dyDescent="0.3">
      <c r="A773">
        <v>494</v>
      </c>
      <c r="B773" t="s">
        <v>1148</v>
      </c>
      <c r="C773" t="s">
        <v>1146</v>
      </c>
      <c r="D773" t="s">
        <v>14</v>
      </c>
      <c r="E773" t="s">
        <v>1149</v>
      </c>
      <c r="F773" t="s">
        <v>16</v>
      </c>
      <c r="G773" t="s">
        <v>17</v>
      </c>
      <c r="H773" t="s">
        <v>220</v>
      </c>
      <c r="I773">
        <v>10</v>
      </c>
      <c r="J773" t="s">
        <v>19</v>
      </c>
      <c r="K773">
        <v>1</v>
      </c>
      <c r="L773" t="str">
        <f>HYPERLINK("https://www.tamuk.edu/engineering/departments/mien/faculty_staff/larrypeel.html","https://www.tamuk.edu/engineering/departments/mien/faculty_staff/larrypeel.html")</f>
        <v>https://www.tamuk.edu/engineering/departments/mien/faculty_staff/larrypeel.html</v>
      </c>
    </row>
    <row r="774" spans="1:12" x14ac:dyDescent="0.3">
      <c r="A774">
        <v>495</v>
      </c>
      <c r="B774" t="s">
        <v>1150</v>
      </c>
      <c r="C774" t="s">
        <v>1146</v>
      </c>
      <c r="D774" t="s">
        <v>14</v>
      </c>
      <c r="E774" t="s">
        <v>1151</v>
      </c>
      <c r="F774" t="s">
        <v>83</v>
      </c>
      <c r="G774" t="s">
        <v>84</v>
      </c>
      <c r="H774" t="s">
        <v>92</v>
      </c>
      <c r="I774">
        <v>157</v>
      </c>
      <c r="J774" t="s">
        <v>19</v>
      </c>
      <c r="K774">
        <v>1</v>
      </c>
      <c r="L774" t="str">
        <f>HYPERLINK("https://www.tamuk.edu/engineering/departments/mien/faculty_staff/HongZhou.html","https://www.tamuk.edu/engineering/departments/mien/faculty_staff/HongZhou.html")</f>
        <v>https://www.tamuk.edu/engineering/departments/mien/faculty_staff/HongZhou.html</v>
      </c>
    </row>
    <row r="775" spans="1:12" hidden="1" x14ac:dyDescent="0.3">
      <c r="A775">
        <v>774</v>
      </c>
      <c r="B775" t="s">
        <v>1715</v>
      </c>
      <c r="C775" t="s">
        <v>1707</v>
      </c>
      <c r="D775" t="s">
        <v>31</v>
      </c>
      <c r="E775" t="s">
        <v>1716</v>
      </c>
      <c r="F775" t="s">
        <v>16</v>
      </c>
      <c r="G775" t="s">
        <v>17</v>
      </c>
      <c r="H775" t="s">
        <v>225</v>
      </c>
      <c r="I775">
        <v>71</v>
      </c>
      <c r="J775" t="s">
        <v>19</v>
      </c>
      <c r="K775">
        <v>1</v>
      </c>
      <c r="L775" t="str">
        <f>HYPERLINK("https://www.math.uh.edu/~quaini/","https://www.math.uh.edu/~quaini/")</f>
        <v>https://www.math.uh.edu/~quaini/</v>
      </c>
    </row>
    <row r="776" spans="1:12" hidden="1" x14ac:dyDescent="0.3">
      <c r="A776">
        <v>775</v>
      </c>
      <c r="B776" t="s">
        <v>1717</v>
      </c>
      <c r="C776" t="s">
        <v>1707</v>
      </c>
      <c r="D776" t="s">
        <v>31</v>
      </c>
      <c r="E776" t="s">
        <v>1718</v>
      </c>
      <c r="F776" t="s">
        <v>191</v>
      </c>
      <c r="G776" t="s">
        <v>192</v>
      </c>
      <c r="H776" t="s">
        <v>406</v>
      </c>
      <c r="I776">
        <v>58</v>
      </c>
      <c r="J776" t="s">
        <v>154</v>
      </c>
      <c r="K776">
        <v>3</v>
      </c>
      <c r="L776" t="str">
        <f>HYPERLINK("https://www.math.uh.edu/~molshan/","https://www.math.uh.edu/~molshan/")</f>
        <v>https://www.math.uh.edu/~molshan/</v>
      </c>
    </row>
    <row r="777" spans="1:12" hidden="1" x14ac:dyDescent="0.3">
      <c r="A777">
        <v>776</v>
      </c>
      <c r="B777" t="s">
        <v>1719</v>
      </c>
      <c r="C777" t="s">
        <v>1707</v>
      </c>
      <c r="D777" t="s">
        <v>31</v>
      </c>
      <c r="E777" t="s">
        <v>1720</v>
      </c>
      <c r="F777" t="s">
        <v>83</v>
      </c>
      <c r="G777" t="s">
        <v>84</v>
      </c>
      <c r="H777" t="s">
        <v>220</v>
      </c>
      <c r="I777">
        <v>14</v>
      </c>
      <c r="J777" t="s">
        <v>19</v>
      </c>
      <c r="K777">
        <v>1</v>
      </c>
      <c r="L777" t="str">
        <f>HYPERLINK("https://www.math.uh.edu/~jiwenhe/","https://www.math.uh.edu/~jiwenhe/")</f>
        <v>https://www.math.uh.edu/~jiwenhe/</v>
      </c>
    </row>
    <row r="778" spans="1:12" hidden="1" x14ac:dyDescent="0.3">
      <c r="A778">
        <v>777</v>
      </c>
      <c r="B778" t="s">
        <v>1721</v>
      </c>
      <c r="C778" t="s">
        <v>1707</v>
      </c>
      <c r="D778" t="s">
        <v>31</v>
      </c>
      <c r="E778" t="s">
        <v>1722</v>
      </c>
      <c r="F778" t="s">
        <v>151</v>
      </c>
      <c r="G778" t="s">
        <v>152</v>
      </c>
      <c r="H778" t="s">
        <v>104</v>
      </c>
      <c r="I778">
        <v>24</v>
      </c>
      <c r="J778" t="s">
        <v>154</v>
      </c>
      <c r="K778">
        <v>3</v>
      </c>
      <c r="L778" t="str">
        <f>HYPERLINK("https://www.math.uh.edu/~pan/","https://www.math.uh.edu/~pan/")</f>
        <v>https://www.math.uh.edu/~pan/</v>
      </c>
    </row>
    <row r="779" spans="1:12" hidden="1" x14ac:dyDescent="0.3">
      <c r="A779">
        <v>778</v>
      </c>
      <c r="B779" t="s">
        <v>1723</v>
      </c>
      <c r="C779" t="s">
        <v>1707</v>
      </c>
      <c r="D779" t="s">
        <v>31</v>
      </c>
      <c r="E779" t="s">
        <v>1724</v>
      </c>
      <c r="F779" t="s">
        <v>114</v>
      </c>
      <c r="G779" t="s">
        <v>115</v>
      </c>
      <c r="H779" t="s">
        <v>127</v>
      </c>
      <c r="I779">
        <v>14</v>
      </c>
      <c r="J779" t="s">
        <v>116</v>
      </c>
      <c r="K779">
        <v>3</v>
      </c>
      <c r="L779" t="str">
        <f>HYPERLINK("https://www.uh.edu/nsm/math/people/faculty/","https://www.uh.edu/nsm/math/people/faculty/")</f>
        <v>https://www.uh.edu/nsm/math/people/faculty/</v>
      </c>
    </row>
    <row r="780" spans="1:12" hidden="1" x14ac:dyDescent="0.3">
      <c r="A780">
        <v>779</v>
      </c>
      <c r="B780" t="s">
        <v>1725</v>
      </c>
      <c r="C780" t="s">
        <v>1707</v>
      </c>
      <c r="D780" t="s">
        <v>31</v>
      </c>
      <c r="E780" t="s">
        <v>1726</v>
      </c>
      <c r="F780" t="s">
        <v>114</v>
      </c>
      <c r="G780" t="s">
        <v>115</v>
      </c>
      <c r="H780" t="s">
        <v>92</v>
      </c>
      <c r="I780">
        <v>16</v>
      </c>
      <c r="J780" t="s">
        <v>116</v>
      </c>
      <c r="K780">
        <v>3</v>
      </c>
      <c r="L780" t="str">
        <f>HYPERLINK("https://www.uh.edu/nsm/math/people/faculty/","https://www.uh.edu/nsm/math/people/faculty/")</f>
        <v>https://www.uh.edu/nsm/math/people/faculty/</v>
      </c>
    </row>
    <row r="781" spans="1:12" x14ac:dyDescent="0.3">
      <c r="A781">
        <v>498</v>
      </c>
      <c r="B781" t="s">
        <v>1155</v>
      </c>
      <c r="C781" t="s">
        <v>1146</v>
      </c>
      <c r="D781" t="s">
        <v>14</v>
      </c>
      <c r="E781" t="s">
        <v>57</v>
      </c>
      <c r="F781" t="s">
        <v>16</v>
      </c>
      <c r="G781" t="s">
        <v>17</v>
      </c>
      <c r="H781" t="s">
        <v>58</v>
      </c>
      <c r="I781">
        <v>0</v>
      </c>
      <c r="J781" t="s">
        <v>19</v>
      </c>
      <c r="K781">
        <v>1</v>
      </c>
      <c r="L781" t="str">
        <f>HYPERLINK("https://www.tamuk.edu/engineering/departments/mien/faculty_staff/HuaLi.html","https://www.tamuk.edu/engineering/departments/mien/faculty_staff/HuaLi.html")</f>
        <v>https://www.tamuk.edu/engineering/departments/mien/faculty_staff/HuaLi.html</v>
      </c>
    </row>
    <row r="782" spans="1:12" x14ac:dyDescent="0.3">
      <c r="A782">
        <v>499</v>
      </c>
      <c r="B782" t="s">
        <v>1156</v>
      </c>
      <c r="C782" t="s">
        <v>1157</v>
      </c>
      <c r="D782" t="s">
        <v>14</v>
      </c>
      <c r="E782" t="s">
        <v>1158</v>
      </c>
      <c r="F782" t="s">
        <v>16</v>
      </c>
      <c r="G782" t="s">
        <v>17</v>
      </c>
      <c r="H782" t="s">
        <v>67</v>
      </c>
      <c r="I782">
        <v>41</v>
      </c>
      <c r="J782" t="s">
        <v>19</v>
      </c>
      <c r="K782">
        <v>1</v>
      </c>
      <c r="L782" t="str">
        <f>HYPERLINK("https://www.depts.ttu.edu/me/faculty/fazle_hussain/index.php","https://www.depts.ttu.edu/me/faculty/fazle_hussain/index.php")</f>
        <v>https://www.depts.ttu.edu/me/faculty/fazle_hussain/index.php</v>
      </c>
    </row>
    <row r="783" spans="1:12" x14ac:dyDescent="0.3">
      <c r="A783">
        <v>501</v>
      </c>
      <c r="B783" t="s">
        <v>1161</v>
      </c>
      <c r="C783" t="s">
        <v>1157</v>
      </c>
      <c r="D783" t="s">
        <v>14</v>
      </c>
      <c r="E783" t="s">
        <v>1162</v>
      </c>
      <c r="F783" t="s">
        <v>22</v>
      </c>
      <c r="G783" t="s">
        <v>23</v>
      </c>
      <c r="H783" t="s">
        <v>225</v>
      </c>
      <c r="I783">
        <v>47</v>
      </c>
      <c r="J783" t="s">
        <v>19</v>
      </c>
      <c r="K783">
        <v>1</v>
      </c>
      <c r="L783" t="str">
        <f>HYPERLINK("https://www.depts.ttu.edu/me/faculty/victor_maldonado/index.php","https://www.depts.ttu.edu/me/faculty/victor_maldonado/index.php")</f>
        <v>https://www.depts.ttu.edu/me/faculty/victor_maldonado/index.php</v>
      </c>
    </row>
    <row r="784" spans="1:12" x14ac:dyDescent="0.3">
      <c r="A784">
        <v>502</v>
      </c>
      <c r="B784" t="s">
        <v>1163</v>
      </c>
      <c r="C784" t="s">
        <v>1157</v>
      </c>
      <c r="D784" t="s">
        <v>14</v>
      </c>
      <c r="E784" t="s">
        <v>1164</v>
      </c>
      <c r="F784" t="s">
        <v>22</v>
      </c>
      <c r="G784" t="s">
        <v>23</v>
      </c>
      <c r="H784" t="s">
        <v>357</v>
      </c>
      <c r="I784">
        <v>7</v>
      </c>
      <c r="J784" t="s">
        <v>19</v>
      </c>
      <c r="K784">
        <v>1</v>
      </c>
      <c r="L784" t="str">
        <f>HYPERLINK("https://www.depts.ttu.edu/me/faculty/sukalyan_bhattacharya/index.php","https://www.depts.ttu.edu/me/faculty/sukalyan_bhattacharya/index.php")</f>
        <v>https://www.depts.ttu.edu/me/faculty/sukalyan_bhattacharya/index.php</v>
      </c>
    </row>
    <row r="785" spans="1:12" x14ac:dyDescent="0.3">
      <c r="A785">
        <v>503</v>
      </c>
      <c r="B785" t="s">
        <v>1165</v>
      </c>
      <c r="C785" t="s">
        <v>1157</v>
      </c>
      <c r="D785" t="s">
        <v>14</v>
      </c>
      <c r="E785" t="s">
        <v>1166</v>
      </c>
      <c r="F785" t="s">
        <v>16</v>
      </c>
      <c r="G785" t="s">
        <v>17</v>
      </c>
      <c r="H785" t="s">
        <v>33</v>
      </c>
      <c r="I785">
        <v>63</v>
      </c>
      <c r="J785" t="s">
        <v>19</v>
      </c>
      <c r="K785">
        <v>1</v>
      </c>
      <c r="L785" t="str">
        <f>HYPERLINK("https://www.depts.ttu.edu/me/faculty/michelle_pantoya/index.php","https://www.depts.ttu.edu/me/faculty/michelle_pantoya/index.php")</f>
        <v>https://www.depts.ttu.edu/me/faculty/michelle_pantoya/index.php</v>
      </c>
    </row>
    <row r="786" spans="1:12" hidden="1" x14ac:dyDescent="0.3">
      <c r="A786">
        <v>785</v>
      </c>
      <c r="B786" t="s">
        <v>1739</v>
      </c>
      <c r="C786" t="s">
        <v>1728</v>
      </c>
      <c r="D786" t="s">
        <v>31</v>
      </c>
      <c r="E786" t="s">
        <v>1740</v>
      </c>
      <c r="F786" t="s">
        <v>114</v>
      </c>
      <c r="G786" t="s">
        <v>115</v>
      </c>
      <c r="H786" t="s">
        <v>92</v>
      </c>
      <c r="I786">
        <v>6</v>
      </c>
      <c r="J786" t="s">
        <v>116</v>
      </c>
      <c r="K786">
        <v>3</v>
      </c>
      <c r="L786" t="str">
        <f>HYPERLINK("https://www.uidaho.edu/science/our-people","https://www.uidaho.edu/science/our-people")</f>
        <v>https://www.uidaho.edu/science/our-people</v>
      </c>
    </row>
    <row r="787" spans="1:12" x14ac:dyDescent="0.3">
      <c r="A787">
        <v>504</v>
      </c>
      <c r="B787" t="s">
        <v>1167</v>
      </c>
      <c r="C787" t="s">
        <v>1157</v>
      </c>
      <c r="D787" t="s">
        <v>14</v>
      </c>
      <c r="E787" t="s">
        <v>1168</v>
      </c>
      <c r="F787" t="s">
        <v>16</v>
      </c>
      <c r="G787" t="s">
        <v>17</v>
      </c>
      <c r="H787" t="s">
        <v>124</v>
      </c>
      <c r="I787">
        <v>40</v>
      </c>
      <c r="J787" t="s">
        <v>19</v>
      </c>
      <c r="K787">
        <v>1</v>
      </c>
      <c r="L787" t="str">
        <f>HYPERLINK("https://www.depts.ttu.edu/me/faculty/song_kong/index.php","https://www.depts.ttu.edu/me/faculty/song_kong/index.php")</f>
        <v>https://www.depts.ttu.edu/me/faculty/song_kong/index.php</v>
      </c>
    </row>
    <row r="788" spans="1:12" x14ac:dyDescent="0.3">
      <c r="A788">
        <v>505</v>
      </c>
      <c r="B788" t="s">
        <v>1169</v>
      </c>
      <c r="C788" t="s">
        <v>1157</v>
      </c>
      <c r="D788" t="s">
        <v>14</v>
      </c>
      <c r="E788" t="s">
        <v>1170</v>
      </c>
      <c r="F788" t="s">
        <v>62</v>
      </c>
      <c r="G788" t="s">
        <v>63</v>
      </c>
      <c r="H788" t="s">
        <v>70</v>
      </c>
      <c r="I788">
        <v>23</v>
      </c>
      <c r="J788" t="s">
        <v>19</v>
      </c>
      <c r="K788">
        <v>1</v>
      </c>
      <c r="L788" t="str">
        <f>HYPERLINK("https://www.depts.ttu.edu/me/faculty/Dhawal_Buaria/dhawalbuaria.php","https://www.depts.ttu.edu/me/faculty/Dhawal_Buaria/dhawalbuaria.php")</f>
        <v>https://www.depts.ttu.edu/me/faculty/Dhawal_Buaria/dhawalbuaria.php</v>
      </c>
    </row>
    <row r="789" spans="1:12" x14ac:dyDescent="0.3">
      <c r="A789">
        <v>506</v>
      </c>
      <c r="B789" t="s">
        <v>1171</v>
      </c>
      <c r="C789" t="s">
        <v>1157</v>
      </c>
      <c r="D789" t="s">
        <v>14</v>
      </c>
      <c r="E789" t="s">
        <v>57</v>
      </c>
      <c r="F789" t="s">
        <v>22</v>
      </c>
      <c r="G789" t="s">
        <v>23</v>
      </c>
      <c r="H789" t="s">
        <v>58</v>
      </c>
      <c r="I789">
        <v>0</v>
      </c>
      <c r="J789" t="s">
        <v>19</v>
      </c>
      <c r="K789">
        <v>1</v>
      </c>
      <c r="L789" t="str">
        <f>HYPERLINK("https://www.depts.ttu.edu/me/faculty/zhaoming_he/index.php","https://www.depts.ttu.edu/me/faculty/zhaoming_he/index.php")</f>
        <v>https://www.depts.ttu.edu/me/faculty/zhaoming_he/index.php</v>
      </c>
    </row>
    <row r="790" spans="1:12" x14ac:dyDescent="0.3">
      <c r="A790">
        <v>514</v>
      </c>
      <c r="B790" t="s">
        <v>1186</v>
      </c>
      <c r="C790" t="s">
        <v>1182</v>
      </c>
      <c r="D790" t="s">
        <v>14</v>
      </c>
      <c r="E790" t="s">
        <v>1187</v>
      </c>
      <c r="F790" t="s">
        <v>62</v>
      </c>
      <c r="G790" t="s">
        <v>63</v>
      </c>
      <c r="H790" t="s">
        <v>124</v>
      </c>
      <c r="I790">
        <v>26</v>
      </c>
      <c r="J790" t="s">
        <v>19</v>
      </c>
      <c r="K790">
        <v>1</v>
      </c>
      <c r="L790" t="str">
        <f>HYPERLINK("https://engineering.catholic.edu/research-and-faculty/faculty-profiles/mechanical/luo-xiaolong/index.html","https://engineering.catholic.edu/research-and-faculty/faculty-profiles/mechanical/luo-xiaolong/index.html")</f>
        <v>https://engineering.catholic.edu/research-and-faculty/faculty-profiles/mechanical/luo-xiaolong/index.html</v>
      </c>
    </row>
    <row r="791" spans="1:12" x14ac:dyDescent="0.3">
      <c r="A791">
        <v>518</v>
      </c>
      <c r="B791" t="s">
        <v>1194</v>
      </c>
      <c r="C791" t="s">
        <v>1195</v>
      </c>
      <c r="D791" t="s">
        <v>161</v>
      </c>
      <c r="E791" t="s">
        <v>1196</v>
      </c>
      <c r="F791" t="s">
        <v>16</v>
      </c>
      <c r="G791" t="s">
        <v>17</v>
      </c>
      <c r="H791" t="s">
        <v>406</v>
      </c>
      <c r="I791">
        <v>7</v>
      </c>
      <c r="J791" t="s">
        <v>19</v>
      </c>
      <c r="K791">
        <v>1</v>
      </c>
      <c r="L791" t="str">
        <f>HYPERLINK("https://ae.utexas.edu/person/david-b-goldstein/","https://ae.utexas.edu/person/david-b-goldstein/")</f>
        <v>https://ae.utexas.edu/person/david-b-goldstein/</v>
      </c>
    </row>
    <row r="792" spans="1:12" x14ac:dyDescent="0.3">
      <c r="A792">
        <v>519</v>
      </c>
      <c r="B792" t="s">
        <v>1197</v>
      </c>
      <c r="C792" t="s">
        <v>1195</v>
      </c>
      <c r="D792" t="s">
        <v>161</v>
      </c>
      <c r="E792" t="s">
        <v>1198</v>
      </c>
      <c r="F792" t="s">
        <v>16</v>
      </c>
      <c r="G792" t="s">
        <v>17</v>
      </c>
      <c r="H792" t="s">
        <v>314</v>
      </c>
      <c r="I792">
        <v>55</v>
      </c>
      <c r="J792" t="s">
        <v>19</v>
      </c>
      <c r="K792">
        <v>1</v>
      </c>
      <c r="L792" t="str">
        <f>HYPERLINK("https://ae.utexas.edu/person/philip-l-varghese/","https://ae.utexas.edu/person/philip-l-varghese/")</f>
        <v>https://ae.utexas.edu/person/philip-l-varghese/</v>
      </c>
    </row>
    <row r="793" spans="1:12" x14ac:dyDescent="0.3">
      <c r="A793">
        <v>520</v>
      </c>
      <c r="B793" t="s">
        <v>1199</v>
      </c>
      <c r="C793" t="s">
        <v>1195</v>
      </c>
      <c r="D793" t="s">
        <v>161</v>
      </c>
      <c r="E793" t="s">
        <v>1200</v>
      </c>
      <c r="F793" t="s">
        <v>22</v>
      </c>
      <c r="G793" t="s">
        <v>23</v>
      </c>
      <c r="H793" t="s">
        <v>273</v>
      </c>
      <c r="I793">
        <v>25</v>
      </c>
      <c r="J793" t="s">
        <v>19</v>
      </c>
      <c r="K793">
        <v>1</v>
      </c>
      <c r="L793" t="str">
        <f>HYPERLINK("https://ae.utexas.edu/person/fabrizio-bisetti/","https://ae.utexas.edu/person/fabrizio-bisetti/")</f>
        <v>https://ae.utexas.edu/person/fabrizio-bisetti/</v>
      </c>
    </row>
    <row r="794" spans="1:12" hidden="1" x14ac:dyDescent="0.3">
      <c r="A794">
        <v>793</v>
      </c>
      <c r="B794" t="s">
        <v>1756</v>
      </c>
      <c r="C794" t="s">
        <v>1746</v>
      </c>
      <c r="D794" t="s">
        <v>31</v>
      </c>
      <c r="E794" t="s">
        <v>57</v>
      </c>
      <c r="F794" t="s">
        <v>27</v>
      </c>
      <c r="G794" t="s">
        <v>476</v>
      </c>
      <c r="H794" t="s">
        <v>58</v>
      </c>
      <c r="I794">
        <v>0</v>
      </c>
      <c r="J794" t="s">
        <v>59</v>
      </c>
      <c r="K794">
        <v>2</v>
      </c>
      <c r="L794" t="str">
        <f>HYPERLINK("https://cme.uic.edu/profiles/sheng-wei-chi/","https://cme.uic.edu/profiles/sheng-wei-chi/")</f>
        <v>https://cme.uic.edu/profiles/sheng-wei-chi/</v>
      </c>
    </row>
    <row r="795" spans="1:12" hidden="1" x14ac:dyDescent="0.3">
      <c r="A795">
        <v>794</v>
      </c>
      <c r="B795" t="s">
        <v>1757</v>
      </c>
      <c r="C795" t="s">
        <v>1746</v>
      </c>
      <c r="D795" t="s">
        <v>31</v>
      </c>
      <c r="E795" t="s">
        <v>57</v>
      </c>
      <c r="F795" t="s">
        <v>27</v>
      </c>
      <c r="G795" t="s">
        <v>476</v>
      </c>
      <c r="H795" t="s">
        <v>58</v>
      </c>
      <c r="I795">
        <v>0</v>
      </c>
      <c r="J795" t="s">
        <v>59</v>
      </c>
      <c r="K795">
        <v>2</v>
      </c>
      <c r="L795" t="str">
        <f>HYPERLINK("https://mscs.uic.edu/profiles/david-nicholls/","https://mscs.uic.edu/profiles/david-nicholls/")</f>
        <v>https://mscs.uic.edu/profiles/david-nicholls/</v>
      </c>
    </row>
    <row r="796" spans="1:12" hidden="1" x14ac:dyDescent="0.3">
      <c r="A796">
        <v>795</v>
      </c>
      <c r="B796" t="s">
        <v>1758</v>
      </c>
      <c r="C796" t="s">
        <v>1746</v>
      </c>
      <c r="D796" t="s">
        <v>31</v>
      </c>
      <c r="E796" t="s">
        <v>1759</v>
      </c>
      <c r="F796" t="s">
        <v>27</v>
      </c>
      <c r="G796" t="s">
        <v>476</v>
      </c>
      <c r="H796" t="s">
        <v>182</v>
      </c>
      <c r="I796">
        <v>4725</v>
      </c>
      <c r="J796" t="s">
        <v>19</v>
      </c>
      <c r="K796">
        <v>1</v>
      </c>
      <c r="L796" t="str">
        <f>HYPERLINK("https://mscs.uic.edu/profiles/jie-yang/","https://mscs.uic.edu/profiles/jie-yang/")</f>
        <v>https://mscs.uic.edu/profiles/jie-yang/</v>
      </c>
    </row>
    <row r="797" spans="1:12" x14ac:dyDescent="0.3">
      <c r="A797">
        <v>522</v>
      </c>
      <c r="B797" t="s">
        <v>1203</v>
      </c>
      <c r="C797" t="s">
        <v>1195</v>
      </c>
      <c r="D797" t="s">
        <v>271</v>
      </c>
      <c r="E797" t="s">
        <v>1204</v>
      </c>
      <c r="F797" t="s">
        <v>16</v>
      </c>
      <c r="G797" t="s">
        <v>17</v>
      </c>
      <c r="H797" t="s">
        <v>92</v>
      </c>
      <c r="I797">
        <v>87</v>
      </c>
      <c r="J797" t="s">
        <v>19</v>
      </c>
      <c r="K797">
        <v>1</v>
      </c>
      <c r="L797" t="str">
        <f>HYPERLINK("https://oden.utexas.edu/people/directory/karen-willcox/","https://oden.utexas.edu/people/directory/karen-willcox/")</f>
        <v>https://oden.utexas.edu/people/directory/karen-willcox/</v>
      </c>
    </row>
    <row r="798" spans="1:12" x14ac:dyDescent="0.3">
      <c r="A798">
        <v>525</v>
      </c>
      <c r="B798" t="s">
        <v>1209</v>
      </c>
      <c r="C798" t="s">
        <v>1195</v>
      </c>
      <c r="D798" t="s">
        <v>271</v>
      </c>
      <c r="E798" t="s">
        <v>1210</v>
      </c>
      <c r="F798" t="s">
        <v>62</v>
      </c>
      <c r="G798" t="s">
        <v>63</v>
      </c>
      <c r="H798" t="s">
        <v>273</v>
      </c>
      <c r="I798">
        <v>45</v>
      </c>
      <c r="J798" t="s">
        <v>19</v>
      </c>
      <c r="K798">
        <v>1</v>
      </c>
      <c r="L798" t="str">
        <f>HYPERLINK("https://oden.utexas.edu/people/directory/tan-bui-thanh/","https://oden.utexas.edu/people/directory/tan-bui-thanh/")</f>
        <v>https://oden.utexas.edu/people/directory/tan-bui-thanh/</v>
      </c>
    </row>
    <row r="799" spans="1:12" x14ac:dyDescent="0.3">
      <c r="A799">
        <v>526</v>
      </c>
      <c r="B799" t="s">
        <v>1211</v>
      </c>
      <c r="C799" t="s">
        <v>1195</v>
      </c>
      <c r="D799" t="s">
        <v>112</v>
      </c>
      <c r="E799" t="s">
        <v>1212</v>
      </c>
      <c r="F799" t="s">
        <v>16</v>
      </c>
      <c r="G799" t="s">
        <v>17</v>
      </c>
      <c r="H799" t="s">
        <v>109</v>
      </c>
      <c r="I799">
        <v>31</v>
      </c>
      <c r="J799" t="s">
        <v>19</v>
      </c>
      <c r="K799">
        <v>1</v>
      </c>
      <c r="L799" t="str">
        <f>HYPERLINK("https://oden.utexas.edu/people/directory/robert-moser/","https://oden.utexas.edu/people/directory/robert-moser/")</f>
        <v>https://oden.utexas.edu/people/directory/robert-moser/</v>
      </c>
    </row>
    <row r="800" spans="1:12" x14ac:dyDescent="0.3">
      <c r="A800">
        <v>527</v>
      </c>
      <c r="B800" t="s">
        <v>1213</v>
      </c>
      <c r="C800" t="s">
        <v>1195</v>
      </c>
      <c r="D800" t="s">
        <v>112</v>
      </c>
      <c r="E800" t="s">
        <v>1214</v>
      </c>
      <c r="F800" t="s">
        <v>62</v>
      </c>
      <c r="G800" t="s">
        <v>63</v>
      </c>
      <c r="H800" t="s">
        <v>33</v>
      </c>
      <c r="I800">
        <v>74</v>
      </c>
      <c r="J800" t="s">
        <v>19</v>
      </c>
      <c r="K800">
        <v>1</v>
      </c>
      <c r="L800" t="str">
        <f>HYPERLINK("https://oden.utexas.edu/people/directory/george-biros/","https://oden.utexas.edu/people/directory/george-biros/")</f>
        <v>https://oden.utexas.edu/people/directory/george-biros/</v>
      </c>
    </row>
    <row r="801" spans="1:12" x14ac:dyDescent="0.3">
      <c r="A801">
        <v>528</v>
      </c>
      <c r="B801" t="s">
        <v>1215</v>
      </c>
      <c r="C801" t="s">
        <v>1195</v>
      </c>
      <c r="D801" t="s">
        <v>112</v>
      </c>
      <c r="E801" t="s">
        <v>1216</v>
      </c>
      <c r="F801" t="s">
        <v>16</v>
      </c>
      <c r="G801" t="s">
        <v>17</v>
      </c>
      <c r="H801" t="s">
        <v>42</v>
      </c>
      <c r="I801">
        <v>53</v>
      </c>
      <c r="J801" t="s">
        <v>19</v>
      </c>
      <c r="K801">
        <v>1</v>
      </c>
      <c r="L801" t="str">
        <f>HYPERLINK("https://oden.utexas.edu/people/directory/omar-ghattas/","https://oden.utexas.edu/people/directory/omar-ghattas/")</f>
        <v>https://oden.utexas.edu/people/directory/omar-ghattas/</v>
      </c>
    </row>
    <row r="802" spans="1:12" x14ac:dyDescent="0.3">
      <c r="A802">
        <v>529</v>
      </c>
      <c r="B802" t="s">
        <v>1217</v>
      </c>
      <c r="C802" t="s">
        <v>1218</v>
      </c>
      <c r="D802" t="s">
        <v>14</v>
      </c>
      <c r="E802" t="s">
        <v>1219</v>
      </c>
      <c r="F802" t="s">
        <v>22</v>
      </c>
      <c r="G802" t="s">
        <v>23</v>
      </c>
      <c r="H802" t="s">
        <v>225</v>
      </c>
      <c r="I802">
        <v>20</v>
      </c>
      <c r="J802" t="s">
        <v>19</v>
      </c>
      <c r="K802">
        <v>1</v>
      </c>
      <c r="L802" t="str">
        <f>HYPERLINK("https://engineering.tufts.edu/me/people/faculty/jeffrey-guasto","https://engineering.tufts.edu/me/people/faculty/jeffrey-guasto")</f>
        <v>https://engineering.tufts.edu/me/people/faculty/jeffrey-guasto</v>
      </c>
    </row>
    <row r="803" spans="1:12" x14ac:dyDescent="0.3">
      <c r="A803">
        <v>530</v>
      </c>
      <c r="B803" t="s">
        <v>1220</v>
      </c>
      <c r="C803" t="s">
        <v>1218</v>
      </c>
      <c r="D803" t="s">
        <v>14</v>
      </c>
      <c r="E803" t="s">
        <v>1221</v>
      </c>
      <c r="F803" t="s">
        <v>16</v>
      </c>
      <c r="G803" t="s">
        <v>17</v>
      </c>
      <c r="H803" t="s">
        <v>649</v>
      </c>
      <c r="I803">
        <v>19</v>
      </c>
      <c r="J803" t="s">
        <v>19</v>
      </c>
      <c r="K803">
        <v>1</v>
      </c>
      <c r="L803" t="str">
        <f>HYPERLINK("https://engineering.tufts.edu/me/people/faculty/chris-rogers","https://engineering.tufts.edu/me/people/faculty/chris-rogers")</f>
        <v>https://engineering.tufts.edu/me/people/faculty/chris-rogers</v>
      </c>
    </row>
    <row r="804" spans="1:12" x14ac:dyDescent="0.3">
      <c r="A804">
        <v>531</v>
      </c>
      <c r="B804" t="s">
        <v>1222</v>
      </c>
      <c r="C804" t="s">
        <v>1218</v>
      </c>
      <c r="D804" t="s">
        <v>14</v>
      </c>
      <c r="E804" t="s">
        <v>1223</v>
      </c>
      <c r="F804" t="s">
        <v>16</v>
      </c>
      <c r="G804" t="s">
        <v>17</v>
      </c>
      <c r="H804" t="s">
        <v>42</v>
      </c>
      <c r="I804">
        <v>26</v>
      </c>
      <c r="J804" t="s">
        <v>19</v>
      </c>
      <c r="K804">
        <v>1</v>
      </c>
      <c r="L804" t="str">
        <f>HYPERLINK("https://engineering.tufts.edu/me/people/faculty/jason-rife","https://engineering.tufts.edu/me/people/faculty/jason-rife")</f>
        <v>https://engineering.tufts.edu/me/people/faculty/jason-rife</v>
      </c>
    </row>
    <row r="805" spans="1:12" x14ac:dyDescent="0.3">
      <c r="A805">
        <v>533</v>
      </c>
      <c r="B805" t="s">
        <v>1226</v>
      </c>
      <c r="C805" t="s">
        <v>1218</v>
      </c>
      <c r="D805" t="s">
        <v>14</v>
      </c>
      <c r="E805" t="s">
        <v>57</v>
      </c>
      <c r="F805" t="s">
        <v>16</v>
      </c>
      <c r="G805" t="s">
        <v>17</v>
      </c>
      <c r="H805" t="s">
        <v>58</v>
      </c>
      <c r="I805">
        <v>0</v>
      </c>
      <c r="J805" t="s">
        <v>19</v>
      </c>
      <c r="K805">
        <v>1</v>
      </c>
      <c r="L805" t="str">
        <f>HYPERLINK("https://engineering.tufts.edu/me/people/faculty/robert-white","https://engineering.tufts.edu/me/people/faculty/robert-white")</f>
        <v>https://engineering.tufts.edu/me/people/faculty/robert-white</v>
      </c>
    </row>
    <row r="806" spans="1:12" hidden="1" x14ac:dyDescent="0.3">
      <c r="A806">
        <v>805</v>
      </c>
      <c r="B806" t="s">
        <v>1778</v>
      </c>
      <c r="C806" t="s">
        <v>1761</v>
      </c>
      <c r="D806" t="s">
        <v>31</v>
      </c>
      <c r="E806" t="s">
        <v>1779</v>
      </c>
      <c r="F806" t="s">
        <v>114</v>
      </c>
      <c r="G806" t="s">
        <v>115</v>
      </c>
      <c r="H806" t="s">
        <v>417</v>
      </c>
      <c r="I806">
        <v>0</v>
      </c>
      <c r="J806" t="s">
        <v>116</v>
      </c>
      <c r="K806">
        <v>3</v>
      </c>
      <c r="L806" t="str">
        <f>HYPERLINK("https://mechse.illinois.edu/people/profile/fischerp","https://mechse.illinois.edu/people/profile/fischerp")</f>
        <v>https://mechse.illinois.edu/people/profile/fischerp</v>
      </c>
    </row>
    <row r="807" spans="1:12" x14ac:dyDescent="0.3">
      <c r="A807">
        <v>534</v>
      </c>
      <c r="B807" t="s">
        <v>1227</v>
      </c>
      <c r="C807" t="s">
        <v>1218</v>
      </c>
      <c r="D807" t="s">
        <v>14</v>
      </c>
      <c r="E807" t="s">
        <v>1228</v>
      </c>
      <c r="F807" t="s">
        <v>16</v>
      </c>
      <c r="G807" t="s">
        <v>17</v>
      </c>
      <c r="H807" t="s">
        <v>638</v>
      </c>
      <c r="I807">
        <v>36</v>
      </c>
      <c r="J807" t="s">
        <v>19</v>
      </c>
      <c r="K807">
        <v>1</v>
      </c>
      <c r="L807" t="str">
        <f>HYPERLINK("https://engineering.tufts.edu/me/people/faculty/igor-sokolov","https://engineering.tufts.edu/me/people/faculty/igor-sokolov")</f>
        <v>https://engineering.tufts.edu/me/people/faculty/igor-sokolov</v>
      </c>
    </row>
    <row r="808" spans="1:12" x14ac:dyDescent="0.3">
      <c r="A808">
        <v>535</v>
      </c>
      <c r="B808" t="s">
        <v>1229</v>
      </c>
      <c r="C808" t="s">
        <v>1218</v>
      </c>
      <c r="D808" t="s">
        <v>14</v>
      </c>
      <c r="E808" t="s">
        <v>1230</v>
      </c>
      <c r="F808" t="s">
        <v>22</v>
      </c>
      <c r="G808" t="s">
        <v>23</v>
      </c>
      <c r="H808" t="s">
        <v>45</v>
      </c>
      <c r="I808">
        <v>17</v>
      </c>
      <c r="J808" t="s">
        <v>19</v>
      </c>
      <c r="K808">
        <v>1</v>
      </c>
      <c r="L808" t="str">
        <f>HYPERLINK("https://engineering.tufts.edu/me/people/faculty/deborah-sunter","https://engineering.tufts.edu/me/people/faculty/deborah-sunter")</f>
        <v>https://engineering.tufts.edu/me/people/faculty/deborah-sunter</v>
      </c>
    </row>
    <row r="809" spans="1:12" x14ac:dyDescent="0.3">
      <c r="A809">
        <v>561</v>
      </c>
      <c r="B809" t="s">
        <v>1281</v>
      </c>
      <c r="C809" t="s">
        <v>1282</v>
      </c>
      <c r="D809" t="s">
        <v>161</v>
      </c>
      <c r="E809" t="s">
        <v>57</v>
      </c>
      <c r="F809" t="s">
        <v>16</v>
      </c>
      <c r="G809" t="s">
        <v>17</v>
      </c>
      <c r="H809" t="s">
        <v>58</v>
      </c>
      <c r="I809">
        <v>0</v>
      </c>
      <c r="J809" t="s">
        <v>19</v>
      </c>
      <c r="K809">
        <v>1</v>
      </c>
      <c r="L809" t="str">
        <f>HYPERLINK("https://www.uah.edu/eng/departments/mae/faculty-staff/robert-frederick","https://www.uah.edu/eng/departments/mae/faculty-staff/robert-frederick")</f>
        <v>https://www.uah.edu/eng/departments/mae/faculty-staff/robert-frederick</v>
      </c>
    </row>
    <row r="810" spans="1:12" hidden="1" x14ac:dyDescent="0.3">
      <c r="A810">
        <v>809</v>
      </c>
      <c r="B810" t="s">
        <v>1786</v>
      </c>
      <c r="C810" t="s">
        <v>1761</v>
      </c>
      <c r="D810" t="s">
        <v>31</v>
      </c>
      <c r="E810" t="s">
        <v>1787</v>
      </c>
      <c r="F810" t="s">
        <v>114</v>
      </c>
      <c r="G810" t="s">
        <v>115</v>
      </c>
      <c r="H810" t="s">
        <v>417</v>
      </c>
      <c r="I810">
        <v>0</v>
      </c>
      <c r="J810" t="s">
        <v>116</v>
      </c>
      <c r="K810">
        <v>3</v>
      </c>
      <c r="L810" t="str">
        <f>HYPERLINK("https://cs.illinois.edu/about/people/department-faculty/lukeo","https://cs.illinois.edu/about/people/department-faculty/lukeo")</f>
        <v>https://cs.illinois.edu/about/people/department-faculty/lukeo</v>
      </c>
    </row>
    <row r="811" spans="1:12" hidden="1" x14ac:dyDescent="0.3">
      <c r="A811">
        <v>810</v>
      </c>
      <c r="B811" t="s">
        <v>1788</v>
      </c>
      <c r="C811" t="s">
        <v>1761</v>
      </c>
      <c r="D811" t="s">
        <v>31</v>
      </c>
      <c r="E811" t="s">
        <v>1789</v>
      </c>
      <c r="F811" t="s">
        <v>114</v>
      </c>
      <c r="G811" t="s">
        <v>115</v>
      </c>
      <c r="H811" t="s">
        <v>75</v>
      </c>
      <c r="I811">
        <v>18</v>
      </c>
      <c r="J811" t="s">
        <v>116</v>
      </c>
      <c r="K811">
        <v>3</v>
      </c>
      <c r="L811" t="str">
        <f>HYPERLINK("https://cs.illinois.edu/about/people/department-faculty/andreask","https://cs.illinois.edu/about/people/department-faculty/andreask")</f>
        <v>https://cs.illinois.edu/about/people/department-faculty/andreask</v>
      </c>
    </row>
    <row r="812" spans="1:12" x14ac:dyDescent="0.3">
      <c r="A812">
        <v>562</v>
      </c>
      <c r="B812" t="s">
        <v>1283</v>
      </c>
      <c r="C812" t="s">
        <v>1282</v>
      </c>
      <c r="D812" t="s">
        <v>161</v>
      </c>
      <c r="E812" t="s">
        <v>1284</v>
      </c>
      <c r="F812" t="s">
        <v>62</v>
      </c>
      <c r="G812" t="s">
        <v>63</v>
      </c>
      <c r="H812" t="s">
        <v>33</v>
      </c>
      <c r="I812">
        <v>45</v>
      </c>
      <c r="J812" t="s">
        <v>19</v>
      </c>
      <c r="K812">
        <v>1</v>
      </c>
      <c r="L812" t="str">
        <f>HYPERLINK("https://www.uah.edu/eng/departments/mae/faculty-staff/jason-cassibry","https://www.uah.edu/eng/departments/mae/faculty-staff/jason-cassibry")</f>
        <v>https://www.uah.edu/eng/departments/mae/faculty-staff/jason-cassibry</v>
      </c>
    </row>
    <row r="813" spans="1:12" x14ac:dyDescent="0.3">
      <c r="A813">
        <v>563</v>
      </c>
      <c r="B813" t="s">
        <v>1285</v>
      </c>
      <c r="C813" t="s">
        <v>1282</v>
      </c>
      <c r="D813" t="s">
        <v>161</v>
      </c>
      <c r="E813" t="s">
        <v>1286</v>
      </c>
      <c r="F813" t="s">
        <v>83</v>
      </c>
      <c r="G813" t="s">
        <v>84</v>
      </c>
      <c r="H813" t="s">
        <v>225</v>
      </c>
      <c r="I813">
        <v>32</v>
      </c>
      <c r="J813" t="s">
        <v>19</v>
      </c>
      <c r="K813">
        <v>1</v>
      </c>
      <c r="L813" t="str">
        <f>HYPERLINK("https://www.uah.edu/eng/departments/mae/faculty-staff/kunning-xu","https://www.uah.edu/eng/departments/mae/faculty-staff/kunning-xu")</f>
        <v>https://www.uah.edu/eng/departments/mae/faculty-staff/kunning-xu</v>
      </c>
    </row>
    <row r="814" spans="1:12" x14ac:dyDescent="0.3">
      <c r="A814">
        <v>564</v>
      </c>
      <c r="B814" t="s">
        <v>1287</v>
      </c>
      <c r="C814" t="s">
        <v>1282</v>
      </c>
      <c r="D814" t="s">
        <v>161</v>
      </c>
      <c r="E814" t="s">
        <v>1288</v>
      </c>
      <c r="F814" t="s">
        <v>62</v>
      </c>
      <c r="G814" t="s">
        <v>63</v>
      </c>
      <c r="H814" t="s">
        <v>85</v>
      </c>
      <c r="I814">
        <v>22</v>
      </c>
      <c r="J814" t="s">
        <v>19</v>
      </c>
      <c r="K814">
        <v>1</v>
      </c>
      <c r="L814" t="str">
        <f>HYPERLINK("https://www.uah.edu/eng/departments/mae/faculty-staff/john-bennewitz","https://www.uah.edu/eng/departments/mae/faculty-staff/john-bennewitz")</f>
        <v>https://www.uah.edu/eng/departments/mae/faculty-staff/john-bennewitz</v>
      </c>
    </row>
    <row r="815" spans="1:12" x14ac:dyDescent="0.3">
      <c r="A815">
        <v>565</v>
      </c>
      <c r="B815" t="s">
        <v>1289</v>
      </c>
      <c r="C815" t="s">
        <v>1282</v>
      </c>
      <c r="D815" t="s">
        <v>161</v>
      </c>
      <c r="E815" t="s">
        <v>1290</v>
      </c>
      <c r="F815" t="s">
        <v>62</v>
      </c>
      <c r="G815" t="s">
        <v>63</v>
      </c>
      <c r="H815" t="s">
        <v>140</v>
      </c>
      <c r="I815">
        <v>0</v>
      </c>
      <c r="J815" t="s">
        <v>19</v>
      </c>
      <c r="K815">
        <v>1</v>
      </c>
      <c r="L815" t="str">
        <f>HYPERLINK("https://www.uah.edu/eng/departments/mae/faculty-staff/kader-frendi","https://www.uah.edu/eng/departments/mae/faculty-staff/kader-frendi")</f>
        <v>https://www.uah.edu/eng/departments/mae/faculty-staff/kader-frendi</v>
      </c>
    </row>
    <row r="816" spans="1:12" hidden="1" x14ac:dyDescent="0.3">
      <c r="A816">
        <v>815</v>
      </c>
      <c r="B816" t="s">
        <v>1800</v>
      </c>
      <c r="C816" t="s">
        <v>1791</v>
      </c>
      <c r="D816" t="s">
        <v>31</v>
      </c>
      <c r="E816" t="s">
        <v>1801</v>
      </c>
      <c r="F816" t="s">
        <v>62</v>
      </c>
      <c r="G816" t="s">
        <v>63</v>
      </c>
      <c r="H816" t="s">
        <v>417</v>
      </c>
      <c r="I816">
        <v>0</v>
      </c>
      <c r="J816" t="s">
        <v>19</v>
      </c>
      <c r="K816">
        <v>1</v>
      </c>
      <c r="L816" t="str">
        <f>HYPERLINK("https://engineering.uiowa.edu/people/me-people/me-faculty","https://engineering.uiowa.edu/people/me-people/me-faculty")</f>
        <v>https://engineering.uiowa.edu/people/me-people/me-faculty</v>
      </c>
    </row>
    <row r="817" spans="1:12" x14ac:dyDescent="0.3">
      <c r="A817">
        <v>566</v>
      </c>
      <c r="B817" t="s">
        <v>1291</v>
      </c>
      <c r="C817" t="s">
        <v>1282</v>
      </c>
      <c r="D817" t="s">
        <v>161</v>
      </c>
      <c r="E817" t="s">
        <v>1292</v>
      </c>
      <c r="F817" t="s">
        <v>16</v>
      </c>
      <c r="G817" t="s">
        <v>17</v>
      </c>
      <c r="H817" t="s">
        <v>33</v>
      </c>
      <c r="I817">
        <v>11</v>
      </c>
      <c r="J817" t="s">
        <v>19</v>
      </c>
      <c r="K817">
        <v>1</v>
      </c>
      <c r="L817" t="str">
        <f>HYPERLINK("https://www.uah.edu/eng/departments/mae/faculty-staff/babak-shotorban","https://www.uah.edu/eng/departments/mae/faculty-staff/babak-shotorban")</f>
        <v>https://www.uah.edu/eng/departments/mae/faculty-staff/babak-shotorban</v>
      </c>
    </row>
    <row r="818" spans="1:12" x14ac:dyDescent="0.3">
      <c r="A818">
        <v>567</v>
      </c>
      <c r="B818" t="s">
        <v>1293</v>
      </c>
      <c r="C818" t="s">
        <v>1282</v>
      </c>
      <c r="D818" t="s">
        <v>161</v>
      </c>
      <c r="E818" t="s">
        <v>1294</v>
      </c>
      <c r="F818" t="s">
        <v>16</v>
      </c>
      <c r="G818" t="s">
        <v>17</v>
      </c>
      <c r="H818" t="s">
        <v>92</v>
      </c>
      <c r="I818">
        <v>14</v>
      </c>
      <c r="J818" t="s">
        <v>19</v>
      </c>
      <c r="K818">
        <v>1</v>
      </c>
      <c r="L818" t="str">
        <f>HYPERLINK("https://www.uah.edu/eng/departments/mae/faculty-staff/sarma-rani","https://www.uah.edu/eng/departments/mae/faculty-staff/sarma-rani")</f>
        <v>https://www.uah.edu/eng/departments/mae/faculty-staff/sarma-rani</v>
      </c>
    </row>
    <row r="819" spans="1:12" hidden="1" x14ac:dyDescent="0.3">
      <c r="A819">
        <v>818</v>
      </c>
      <c r="B819" t="s">
        <v>1806</v>
      </c>
      <c r="C819" t="s">
        <v>1791</v>
      </c>
      <c r="D819" t="s">
        <v>31</v>
      </c>
      <c r="E819" t="s">
        <v>1807</v>
      </c>
      <c r="F819" t="s">
        <v>62</v>
      </c>
      <c r="G819" t="s">
        <v>63</v>
      </c>
      <c r="H819" t="s">
        <v>417</v>
      </c>
      <c r="I819">
        <v>0</v>
      </c>
      <c r="J819" t="s">
        <v>19</v>
      </c>
      <c r="K819">
        <v>1</v>
      </c>
      <c r="L819" t="str">
        <f>HYPERLINK("https://engineering.uiowa.edu/people/me-people/me-faculty","https://engineering.uiowa.edu/people/me-people/me-faculty")</f>
        <v>https://engineering.uiowa.edu/people/me-people/me-faculty</v>
      </c>
    </row>
    <row r="820" spans="1:12" x14ac:dyDescent="0.3">
      <c r="A820">
        <v>568</v>
      </c>
      <c r="B820" t="s">
        <v>1295</v>
      </c>
      <c r="C820" t="s">
        <v>1282</v>
      </c>
      <c r="D820" t="s">
        <v>161</v>
      </c>
      <c r="E820" t="s">
        <v>57</v>
      </c>
      <c r="F820" t="s">
        <v>22</v>
      </c>
      <c r="G820" t="s">
        <v>23</v>
      </c>
      <c r="H820" t="s">
        <v>58</v>
      </c>
      <c r="I820">
        <v>0</v>
      </c>
      <c r="J820" t="s">
        <v>19</v>
      </c>
      <c r="K820">
        <v>1</v>
      </c>
      <c r="L820" t="str">
        <f>HYPERLINK("https://www.uah.edu/eng/departments/mae/faculty-staff/gang-wang","https://www.uah.edu/eng/departments/mae/faculty-staff/gang-wang")</f>
        <v>https://www.uah.edu/eng/departments/mae/faculty-staff/gang-wang</v>
      </c>
    </row>
    <row r="821" spans="1:12" hidden="1" x14ac:dyDescent="0.3">
      <c r="A821">
        <v>820</v>
      </c>
      <c r="B821" t="s">
        <v>1810</v>
      </c>
      <c r="C821" t="s">
        <v>1791</v>
      </c>
      <c r="D821" t="s">
        <v>31</v>
      </c>
      <c r="E821" t="s">
        <v>57</v>
      </c>
      <c r="F821" t="s">
        <v>114</v>
      </c>
      <c r="G821" t="s">
        <v>115</v>
      </c>
      <c r="H821" t="s">
        <v>58</v>
      </c>
      <c r="I821">
        <v>0</v>
      </c>
      <c r="J821" t="s">
        <v>116</v>
      </c>
      <c r="K821">
        <v>3</v>
      </c>
      <c r="L821" t="str">
        <f>HYPERLINK("https://math.uiowa.edu/people/tong-li","https://math.uiowa.edu/people/tong-li")</f>
        <v>https://math.uiowa.edu/people/tong-li</v>
      </c>
    </row>
    <row r="822" spans="1:12" x14ac:dyDescent="0.3">
      <c r="A822">
        <v>569</v>
      </c>
      <c r="B822" t="s">
        <v>1296</v>
      </c>
      <c r="C822" t="s">
        <v>1297</v>
      </c>
      <c r="D822" t="s">
        <v>161</v>
      </c>
      <c r="E822" t="s">
        <v>57</v>
      </c>
      <c r="F822" t="s">
        <v>62</v>
      </c>
      <c r="G822" t="s">
        <v>63</v>
      </c>
      <c r="H822" t="s">
        <v>58</v>
      </c>
      <c r="I822">
        <v>0</v>
      </c>
      <c r="J822" t="s">
        <v>19</v>
      </c>
      <c r="K822">
        <v>1</v>
      </c>
      <c r="L822" t="str">
        <f>HYPERLINK("https://eng.ua.edu/eng-directory/dr-james-paul-hubner/","https://eng.ua.edu/eng-directory/dr-james-paul-hubner/")</f>
        <v>https://eng.ua.edu/eng-directory/dr-james-paul-hubner/</v>
      </c>
    </row>
    <row r="823" spans="1:12" x14ac:dyDescent="0.3">
      <c r="A823">
        <v>570</v>
      </c>
      <c r="B823" t="s">
        <v>1298</v>
      </c>
      <c r="C823" t="s">
        <v>1297</v>
      </c>
      <c r="D823" t="s">
        <v>161</v>
      </c>
      <c r="E823" t="s">
        <v>57</v>
      </c>
      <c r="F823" t="s">
        <v>16</v>
      </c>
      <c r="G823" t="s">
        <v>17</v>
      </c>
      <c r="H823" t="s">
        <v>58</v>
      </c>
      <c r="I823">
        <v>0</v>
      </c>
      <c r="J823" t="s">
        <v>19</v>
      </c>
      <c r="K823">
        <v>1</v>
      </c>
      <c r="L823" t="str">
        <f>HYPERLINK("https://eng.ua.edu/eng-directory/dr-amy-w-lang/","https://eng.ua.edu/eng-directory/dr-amy-w-lang/")</f>
        <v>https://eng.ua.edu/eng-directory/dr-amy-w-lang/</v>
      </c>
    </row>
    <row r="824" spans="1:12" x14ac:dyDescent="0.3">
      <c r="A824">
        <v>571</v>
      </c>
      <c r="B824" t="s">
        <v>1299</v>
      </c>
      <c r="C824" t="s">
        <v>1297</v>
      </c>
      <c r="D824" t="s">
        <v>161</v>
      </c>
      <c r="E824" t="s">
        <v>57</v>
      </c>
      <c r="F824" t="s">
        <v>16</v>
      </c>
      <c r="G824" t="s">
        <v>17</v>
      </c>
      <c r="H824" t="s">
        <v>58</v>
      </c>
      <c r="I824">
        <v>0</v>
      </c>
      <c r="J824" t="s">
        <v>19</v>
      </c>
      <c r="K824">
        <v>1</v>
      </c>
      <c r="L824" t="str">
        <f>HYPERLINK("https://eng.ua.edu/eng-directory/dr-semih-m-olcmen/","https://eng.ua.edu/eng-directory/dr-semih-m-olcmen/")</f>
        <v>https://eng.ua.edu/eng-directory/dr-semih-m-olcmen/</v>
      </c>
    </row>
    <row r="825" spans="1:12" x14ac:dyDescent="0.3">
      <c r="A825">
        <v>572</v>
      </c>
      <c r="B825" t="s">
        <v>1300</v>
      </c>
      <c r="C825" t="s">
        <v>1297</v>
      </c>
      <c r="D825" t="s">
        <v>161</v>
      </c>
      <c r="E825" t="s">
        <v>1301</v>
      </c>
      <c r="F825" t="s">
        <v>62</v>
      </c>
      <c r="G825" t="s">
        <v>63</v>
      </c>
      <c r="H825" t="s">
        <v>714</v>
      </c>
      <c r="I825">
        <v>9</v>
      </c>
      <c r="J825" t="s">
        <v>19</v>
      </c>
      <c r="K825">
        <v>1</v>
      </c>
      <c r="L825" t="str">
        <f>HYPERLINK("https://eng.ua.edu/eng-directory/dr-john-panickacheril-john/","https://eng.ua.edu/eng-directory/dr-john-panickacheril-john/")</f>
        <v>https://eng.ua.edu/eng-directory/dr-john-panickacheril-john/</v>
      </c>
    </row>
    <row r="826" spans="1:12" x14ac:dyDescent="0.3">
      <c r="A826">
        <v>573</v>
      </c>
      <c r="B826" t="s">
        <v>1302</v>
      </c>
      <c r="C826" t="s">
        <v>1297</v>
      </c>
      <c r="D826" t="s">
        <v>161</v>
      </c>
      <c r="E826" t="s">
        <v>1303</v>
      </c>
      <c r="F826" t="s">
        <v>22</v>
      </c>
      <c r="G826" t="s">
        <v>23</v>
      </c>
      <c r="H826" t="s">
        <v>50</v>
      </c>
      <c r="I826">
        <v>11</v>
      </c>
      <c r="J826" t="s">
        <v>19</v>
      </c>
      <c r="K826">
        <v>1</v>
      </c>
      <c r="L826" t="str">
        <f>HYPERLINK("https://eng.ua.edu/eng-directory/dr-jinwei-shen/","https://eng.ua.edu/eng-directory/dr-jinwei-shen/")</f>
        <v>https://eng.ua.edu/eng-directory/dr-jinwei-shen/</v>
      </c>
    </row>
    <row r="827" spans="1:12" hidden="1" x14ac:dyDescent="0.3">
      <c r="A827">
        <v>826</v>
      </c>
      <c r="B827" t="s">
        <v>1821</v>
      </c>
      <c r="C827" t="s">
        <v>1812</v>
      </c>
      <c r="D827" t="s">
        <v>31</v>
      </c>
      <c r="E827" t="s">
        <v>1822</v>
      </c>
      <c r="F827" t="s">
        <v>62</v>
      </c>
      <c r="G827" t="s">
        <v>63</v>
      </c>
      <c r="H827" t="s">
        <v>127</v>
      </c>
      <c r="I827">
        <v>13</v>
      </c>
      <c r="J827" t="s">
        <v>19</v>
      </c>
      <c r="K827">
        <v>1</v>
      </c>
      <c r="L827" t="str">
        <f>HYPERLINK("https://ae.ku.edu/people/amir-mirzendehdel","https://ae.ku.edu/people/amir-mirzendehdel")</f>
        <v>https://ae.ku.edu/people/amir-mirzendehdel</v>
      </c>
    </row>
    <row r="828" spans="1:12" x14ac:dyDescent="0.3">
      <c r="A828">
        <v>574</v>
      </c>
      <c r="B828" t="s">
        <v>1304</v>
      </c>
      <c r="C828" t="s">
        <v>1297</v>
      </c>
      <c r="D828" t="s">
        <v>161</v>
      </c>
      <c r="E828" t="s">
        <v>1305</v>
      </c>
      <c r="F828" t="s">
        <v>22</v>
      </c>
      <c r="G828" t="s">
        <v>23</v>
      </c>
      <c r="H828" t="s">
        <v>273</v>
      </c>
      <c r="I828">
        <v>74</v>
      </c>
      <c r="J828" t="s">
        <v>19</v>
      </c>
      <c r="K828">
        <v>1</v>
      </c>
      <c r="L828" t="str">
        <f>HYPERLINK("https://eng.ua.edu/eng-directory/dr-weihua-su/","https://eng.ua.edu/eng-directory/dr-weihua-su/")</f>
        <v>https://eng.ua.edu/eng-directory/dr-weihua-su/</v>
      </c>
    </row>
    <row r="829" spans="1:12" hidden="1" x14ac:dyDescent="0.3">
      <c r="A829">
        <v>828</v>
      </c>
      <c r="B829" t="s">
        <v>1825</v>
      </c>
      <c r="C829" t="s">
        <v>1812</v>
      </c>
      <c r="D829" t="s">
        <v>31</v>
      </c>
      <c r="E829" t="s">
        <v>1826</v>
      </c>
      <c r="F829" t="s">
        <v>114</v>
      </c>
      <c r="G829" t="s">
        <v>115</v>
      </c>
      <c r="H829" t="s">
        <v>182</v>
      </c>
      <c r="I829">
        <v>7</v>
      </c>
      <c r="J829" t="s">
        <v>116</v>
      </c>
      <c r="K829">
        <v>3</v>
      </c>
      <c r="L829" t="str">
        <f>HYPERLINK("https://mathematics.ku.edu/people/erik-van-vleck","https://mathematics.ku.edu/people/erik-van-vleck")</f>
        <v>https://mathematics.ku.edu/people/erik-van-vleck</v>
      </c>
    </row>
    <row r="830" spans="1:12" hidden="1" x14ac:dyDescent="0.3">
      <c r="A830">
        <v>829</v>
      </c>
      <c r="B830" t="s">
        <v>1827</v>
      </c>
      <c r="C830" t="s">
        <v>1812</v>
      </c>
      <c r="D830" t="s">
        <v>31</v>
      </c>
      <c r="E830" t="s">
        <v>1828</v>
      </c>
      <c r="F830" t="s">
        <v>114</v>
      </c>
      <c r="G830" t="s">
        <v>115</v>
      </c>
      <c r="H830" t="s">
        <v>220</v>
      </c>
      <c r="I830">
        <v>38</v>
      </c>
      <c r="J830" t="s">
        <v>116</v>
      </c>
      <c r="K830">
        <v>3</v>
      </c>
      <c r="L830" t="str">
        <f>HYPERLINK("https://mathematics.ku.edu/people/weizhang-huang","https://mathematics.ku.edu/people/weizhang-huang")</f>
        <v>https://mathematics.ku.edu/people/weizhang-huang</v>
      </c>
    </row>
    <row r="831" spans="1:12" hidden="1" x14ac:dyDescent="0.3">
      <c r="A831">
        <v>830</v>
      </c>
      <c r="B831" t="s">
        <v>1829</v>
      </c>
      <c r="C831" t="s">
        <v>1812</v>
      </c>
      <c r="D831" t="s">
        <v>31</v>
      </c>
      <c r="E831" t="s">
        <v>1830</v>
      </c>
      <c r="F831" t="s">
        <v>114</v>
      </c>
      <c r="G831" t="s">
        <v>115</v>
      </c>
      <c r="H831" t="s">
        <v>200</v>
      </c>
      <c r="I831">
        <v>23</v>
      </c>
      <c r="J831" t="s">
        <v>116</v>
      </c>
      <c r="K831">
        <v>3</v>
      </c>
      <c r="L831" t="str">
        <f>HYPERLINK("https://mathematics.ku.edu/people/xuemin-tu","https://mathematics.ku.edu/people/xuemin-tu")</f>
        <v>https://mathematics.ku.edu/people/xuemin-tu</v>
      </c>
    </row>
    <row r="832" spans="1:12" x14ac:dyDescent="0.3">
      <c r="A832">
        <v>575</v>
      </c>
      <c r="B832" t="s">
        <v>1306</v>
      </c>
      <c r="C832" t="s">
        <v>1297</v>
      </c>
      <c r="D832" t="s">
        <v>161</v>
      </c>
      <c r="E832" t="s">
        <v>1307</v>
      </c>
      <c r="F832" t="s">
        <v>62</v>
      </c>
      <c r="G832" t="s">
        <v>63</v>
      </c>
      <c r="H832" t="s">
        <v>18</v>
      </c>
      <c r="I832">
        <v>7</v>
      </c>
      <c r="J832" t="s">
        <v>19</v>
      </c>
      <c r="K832">
        <v>1</v>
      </c>
      <c r="L832" t="str">
        <f>HYPERLINK("https://eng.ua.edu/eng-directory/dr-redha-wahidi/","https://eng.ua.edu/eng-directory/dr-redha-wahidi/")</f>
        <v>https://eng.ua.edu/eng-directory/dr-redha-wahidi/</v>
      </c>
    </row>
    <row r="833" spans="1:12" x14ac:dyDescent="0.3">
      <c r="A833">
        <v>576</v>
      </c>
      <c r="B833" t="s">
        <v>1308</v>
      </c>
      <c r="C833" t="s">
        <v>1297</v>
      </c>
      <c r="D833" t="s">
        <v>161</v>
      </c>
      <c r="E833" t="s">
        <v>1309</v>
      </c>
      <c r="F833" t="s">
        <v>62</v>
      </c>
      <c r="G833" t="s">
        <v>63</v>
      </c>
      <c r="H833" t="s">
        <v>842</v>
      </c>
      <c r="I833">
        <v>12</v>
      </c>
      <c r="J833" t="s">
        <v>19</v>
      </c>
      <c r="K833">
        <v>1</v>
      </c>
      <c r="L833" t="str">
        <f>HYPERLINK("https://eng.ua.edu/eng-directory/dr-c-taber-wanstall/","https://eng.ua.edu/eng-directory/dr-c-taber-wanstall/")</f>
        <v>https://eng.ua.edu/eng-directory/dr-c-taber-wanstall/</v>
      </c>
    </row>
    <row r="834" spans="1:12" x14ac:dyDescent="0.3">
      <c r="A834">
        <v>577</v>
      </c>
      <c r="B834" t="s">
        <v>1310</v>
      </c>
      <c r="C834" t="s">
        <v>1297</v>
      </c>
      <c r="D834" t="s">
        <v>14</v>
      </c>
      <c r="E834" t="s">
        <v>1311</v>
      </c>
      <c r="F834" t="s">
        <v>16</v>
      </c>
      <c r="G834" t="s">
        <v>17</v>
      </c>
      <c r="H834" t="s">
        <v>167</v>
      </c>
      <c r="I834">
        <v>69</v>
      </c>
      <c r="J834" t="s">
        <v>19</v>
      </c>
      <c r="K834">
        <v>1</v>
      </c>
      <c r="L834" t="str">
        <f>HYPERLINK("https://eng.ua.edu/eng-directory/dr-ajay-k-agrawal/","https://eng.ua.edu/eng-directory/dr-ajay-k-agrawal/")</f>
        <v>https://eng.ua.edu/eng-directory/dr-ajay-k-agrawal/</v>
      </c>
    </row>
    <row r="835" spans="1:12" x14ac:dyDescent="0.3">
      <c r="A835">
        <v>578</v>
      </c>
      <c r="B835" t="s">
        <v>1312</v>
      </c>
      <c r="C835" t="s">
        <v>1297</v>
      </c>
      <c r="D835" t="s">
        <v>14</v>
      </c>
      <c r="E835" t="s">
        <v>1313</v>
      </c>
      <c r="F835" t="s">
        <v>16</v>
      </c>
      <c r="G835" t="s">
        <v>17</v>
      </c>
      <c r="H835" t="s">
        <v>132</v>
      </c>
      <c r="I835">
        <v>17</v>
      </c>
      <c r="J835" t="s">
        <v>19</v>
      </c>
      <c r="K835">
        <v>1</v>
      </c>
      <c r="L835" t="str">
        <f>HYPERLINK("https://eng.ua.edu/eng-directory/dr-kalyan-kumar-srinivasan/","https://eng.ua.edu/eng-directory/dr-kalyan-kumar-srinivasan/")</f>
        <v>https://eng.ua.edu/eng-directory/dr-kalyan-kumar-srinivasan/</v>
      </c>
    </row>
    <row r="836" spans="1:12" x14ac:dyDescent="0.3">
      <c r="A836">
        <v>579</v>
      </c>
      <c r="B836" t="s">
        <v>1314</v>
      </c>
      <c r="C836" t="s">
        <v>1297</v>
      </c>
      <c r="D836" t="s">
        <v>14</v>
      </c>
      <c r="E836" t="s">
        <v>1315</v>
      </c>
      <c r="F836" t="s">
        <v>22</v>
      </c>
      <c r="G836" t="s">
        <v>23</v>
      </c>
      <c r="H836" t="s">
        <v>403</v>
      </c>
      <c r="I836">
        <v>33</v>
      </c>
      <c r="J836" t="s">
        <v>19</v>
      </c>
      <c r="K836">
        <v>1</v>
      </c>
      <c r="L836" t="str">
        <f>HYPERLINK("https://eng.ua.edu/eng-directory/dr-alexey-n-volkov/","https://eng.ua.edu/eng-directory/dr-alexey-n-volkov/")</f>
        <v>https://eng.ua.edu/eng-directory/dr-alexey-n-volkov/</v>
      </c>
    </row>
    <row r="837" spans="1:12" x14ac:dyDescent="0.3">
      <c r="A837">
        <v>581</v>
      </c>
      <c r="B837" t="s">
        <v>1318</v>
      </c>
      <c r="C837" t="s">
        <v>1297</v>
      </c>
      <c r="D837" t="s">
        <v>14</v>
      </c>
      <c r="E837" t="s">
        <v>1319</v>
      </c>
      <c r="F837" t="s">
        <v>16</v>
      </c>
      <c r="G837" t="s">
        <v>17</v>
      </c>
      <c r="H837" t="s">
        <v>1320</v>
      </c>
      <c r="I837">
        <v>22</v>
      </c>
      <c r="J837" t="s">
        <v>19</v>
      </c>
      <c r="K837">
        <v>1</v>
      </c>
      <c r="L837" t="str">
        <f>HYPERLINK("https://eng.ua.edu/eng-directory/dr-sundar-rajan-krishnan/","https://eng.ua.edu/eng-directory/dr-sundar-rajan-krishnan/")</f>
        <v>https://eng.ua.edu/eng-directory/dr-sundar-rajan-krishnan/</v>
      </c>
    </row>
    <row r="838" spans="1:12" x14ac:dyDescent="0.3">
      <c r="A838">
        <v>582</v>
      </c>
      <c r="B838" t="s">
        <v>1321</v>
      </c>
      <c r="C838" t="s">
        <v>1297</v>
      </c>
      <c r="D838" t="s">
        <v>14</v>
      </c>
      <c r="E838" t="s">
        <v>398</v>
      </c>
      <c r="F838" t="s">
        <v>22</v>
      </c>
      <c r="G838" t="s">
        <v>23</v>
      </c>
      <c r="H838" t="s">
        <v>58</v>
      </c>
      <c r="I838">
        <v>0</v>
      </c>
      <c r="J838" t="s">
        <v>19</v>
      </c>
      <c r="K838">
        <v>1</v>
      </c>
      <c r="L838" t="str">
        <f>HYPERLINK("https://eng.ua.edu/eng-directory/dr-shahriar-sean-amini/","https://eng.ua.edu/eng-directory/dr-shahriar-sean-amini/")</f>
        <v>https://eng.ua.edu/eng-directory/dr-shahriar-sean-amini/</v>
      </c>
    </row>
    <row r="839" spans="1:12" hidden="1" x14ac:dyDescent="0.3">
      <c r="A839">
        <v>838</v>
      </c>
      <c r="B839" t="s">
        <v>1848</v>
      </c>
      <c r="C839" t="s">
        <v>1832</v>
      </c>
      <c r="D839" t="s">
        <v>31</v>
      </c>
      <c r="E839" t="s">
        <v>1849</v>
      </c>
      <c r="F839" t="s">
        <v>114</v>
      </c>
      <c r="G839" t="s">
        <v>115</v>
      </c>
      <c r="H839" t="s">
        <v>124</v>
      </c>
      <c r="I839">
        <v>35</v>
      </c>
      <c r="J839" t="s">
        <v>116</v>
      </c>
      <c r="K839">
        <v>3</v>
      </c>
      <c r="L839" t="str">
        <f>HYPERLINK("https://math.as.uky.edu/users/qye3","https://math.as.uky.edu/users/qye3")</f>
        <v>https://math.as.uky.edu/users/qye3</v>
      </c>
    </row>
    <row r="840" spans="1:12" hidden="1" x14ac:dyDescent="0.3">
      <c r="A840">
        <v>839</v>
      </c>
      <c r="B840" t="s">
        <v>1850</v>
      </c>
      <c r="C840" t="s">
        <v>1832</v>
      </c>
      <c r="D840" t="s">
        <v>31</v>
      </c>
      <c r="E840" t="s">
        <v>1851</v>
      </c>
      <c r="F840" t="s">
        <v>27</v>
      </c>
      <c r="G840" t="s">
        <v>28</v>
      </c>
      <c r="H840" t="s">
        <v>85</v>
      </c>
      <c r="I840">
        <v>29</v>
      </c>
      <c r="J840" t="s">
        <v>19</v>
      </c>
      <c r="K840">
        <v>1</v>
      </c>
      <c r="L840" t="str">
        <f>HYPERLINK("https://math.as.uky.edu/users/murrugarra","https://math.as.uky.edu/users/murrugarra")</f>
        <v>https://math.as.uky.edu/users/murrugarra</v>
      </c>
    </row>
    <row r="841" spans="1:12" x14ac:dyDescent="0.3">
      <c r="A841">
        <v>587</v>
      </c>
      <c r="B841" t="s">
        <v>1331</v>
      </c>
      <c r="C841" t="s">
        <v>1323</v>
      </c>
      <c r="D841" t="s">
        <v>161</v>
      </c>
      <c r="E841" t="s">
        <v>1332</v>
      </c>
      <c r="F841" t="s">
        <v>27</v>
      </c>
      <c r="G841" t="s">
        <v>28</v>
      </c>
      <c r="H841" t="s">
        <v>29</v>
      </c>
      <c r="I841">
        <v>14</v>
      </c>
      <c r="J841" t="s">
        <v>19</v>
      </c>
      <c r="K841">
        <v>1</v>
      </c>
      <c r="L841" t="str">
        <f>HYPERLINK("https://ame.engineering.arizona.edu/faculty-staff/faculty/sergey-shkarayev","https://ame.engineering.arizona.edu/faculty-staff/faculty/sergey-shkarayev")</f>
        <v>https://ame.engineering.arizona.edu/faculty-staff/faculty/sergey-shkarayev</v>
      </c>
    </row>
    <row r="842" spans="1:12" x14ac:dyDescent="0.3">
      <c r="A842">
        <v>588</v>
      </c>
      <c r="B842" t="s">
        <v>1333</v>
      </c>
      <c r="C842" t="s">
        <v>1323</v>
      </c>
      <c r="D842" t="s">
        <v>161</v>
      </c>
      <c r="E842" t="s">
        <v>1334</v>
      </c>
      <c r="F842" t="s">
        <v>27</v>
      </c>
      <c r="G842" t="s">
        <v>476</v>
      </c>
      <c r="H842" t="s">
        <v>127</v>
      </c>
      <c r="I842">
        <v>33</v>
      </c>
      <c r="J842" t="s">
        <v>19</v>
      </c>
      <c r="K842">
        <v>1</v>
      </c>
      <c r="L842" t="str">
        <f>HYPERLINK("https://ame.engineering.arizona.edu/faculty-staff/faculty/kyle-hanquist","https://ame.engineering.arizona.edu/faculty-staff/faculty/kyle-hanquist")</f>
        <v>https://ame.engineering.arizona.edu/faculty-staff/faculty/kyle-hanquist</v>
      </c>
    </row>
    <row r="843" spans="1:12" x14ac:dyDescent="0.3">
      <c r="A843">
        <v>598</v>
      </c>
      <c r="B843" t="s">
        <v>1353</v>
      </c>
      <c r="C843" t="s">
        <v>1354</v>
      </c>
      <c r="D843" t="s">
        <v>14</v>
      </c>
      <c r="E843" t="s">
        <v>1355</v>
      </c>
      <c r="F843" t="s">
        <v>83</v>
      </c>
      <c r="G843" t="s">
        <v>84</v>
      </c>
      <c r="H843" t="s">
        <v>53</v>
      </c>
      <c r="I843">
        <v>25</v>
      </c>
      <c r="J843" t="s">
        <v>19</v>
      </c>
      <c r="K843">
        <v>1</v>
      </c>
      <c r="L843" t="str">
        <f>HYPERLINK("https://profiles.ucr.edu/app/home/profile/yuanhanz","https://profiles.ucr.edu/app/home/profile/yuanhanz")</f>
        <v>https://profiles.ucr.edu/app/home/profile/yuanhanz</v>
      </c>
    </row>
    <row r="844" spans="1:12" x14ac:dyDescent="0.3">
      <c r="A844">
        <v>599</v>
      </c>
      <c r="B844" t="s">
        <v>1356</v>
      </c>
      <c r="C844" t="s">
        <v>1354</v>
      </c>
      <c r="D844" t="s">
        <v>14</v>
      </c>
      <c r="E844" t="s">
        <v>1357</v>
      </c>
      <c r="F844" t="s">
        <v>83</v>
      </c>
      <c r="G844" t="s">
        <v>84</v>
      </c>
      <c r="H844" t="s">
        <v>140</v>
      </c>
      <c r="I844">
        <v>8</v>
      </c>
      <c r="J844" t="s">
        <v>19</v>
      </c>
      <c r="K844">
        <v>1</v>
      </c>
      <c r="L844" t="str">
        <f>HYPERLINK("https://profiles.ucr.edu/app/home/profile/mprincev","https://profiles.ucr.edu/app/home/profile/mprincev")</f>
        <v>https://profiles.ucr.edu/app/home/profile/mprincev</v>
      </c>
    </row>
    <row r="845" spans="1:12" hidden="1" x14ac:dyDescent="0.3">
      <c r="A845">
        <v>844</v>
      </c>
      <c r="B845" t="s">
        <v>1860</v>
      </c>
      <c r="C845" t="s">
        <v>1853</v>
      </c>
      <c r="D845" t="s">
        <v>31</v>
      </c>
      <c r="E845" t="s">
        <v>57</v>
      </c>
      <c r="F845" t="s">
        <v>114</v>
      </c>
      <c r="G845" t="s">
        <v>115</v>
      </c>
      <c r="H845" t="s">
        <v>58</v>
      </c>
      <c r="I845">
        <v>0</v>
      </c>
      <c r="J845" t="s">
        <v>116</v>
      </c>
      <c r="K845">
        <v>3</v>
      </c>
      <c r="L845" t="str">
        <f>HYPERLINK("https://artsandsciences.louisville.edu/mathematics/faculty-staff","https://artsandsciences.louisville.edu/mathematics/faculty-staff")</f>
        <v>https://artsandsciences.louisville.edu/mathematics/faculty-staff</v>
      </c>
    </row>
    <row r="846" spans="1:12" hidden="1" x14ac:dyDescent="0.3">
      <c r="A846">
        <v>845</v>
      </c>
      <c r="B846" t="s">
        <v>1861</v>
      </c>
      <c r="C846" t="s">
        <v>1853</v>
      </c>
      <c r="D846" t="s">
        <v>31</v>
      </c>
      <c r="E846" t="s">
        <v>1862</v>
      </c>
      <c r="F846" t="s">
        <v>114</v>
      </c>
      <c r="G846" t="s">
        <v>115</v>
      </c>
      <c r="H846" t="s">
        <v>109</v>
      </c>
      <c r="I846">
        <v>3</v>
      </c>
      <c r="J846" t="s">
        <v>116</v>
      </c>
      <c r="K846">
        <v>3</v>
      </c>
      <c r="L846" t="str">
        <f>HYPERLINK("https://artsandsciences.louisville.edu/mathematics/faculty-staff","https://artsandsciences.louisville.edu/mathematics/faculty-staff")</f>
        <v>https://artsandsciences.louisville.edu/mathematics/faculty-staff</v>
      </c>
    </row>
    <row r="847" spans="1:12" x14ac:dyDescent="0.3">
      <c r="A847">
        <v>600</v>
      </c>
      <c r="B847" t="s">
        <v>1358</v>
      </c>
      <c r="C847" t="s">
        <v>1354</v>
      </c>
      <c r="D847" t="s">
        <v>14</v>
      </c>
      <c r="E847" t="s">
        <v>1359</v>
      </c>
      <c r="F847" t="s">
        <v>83</v>
      </c>
      <c r="G847" t="s">
        <v>84</v>
      </c>
      <c r="H847" t="s">
        <v>254</v>
      </c>
      <c r="I847">
        <v>23</v>
      </c>
      <c r="J847" t="s">
        <v>19</v>
      </c>
      <c r="K847">
        <v>1</v>
      </c>
      <c r="L847" t="str">
        <f>HYPERLINK("https://profiles.ucr.edu/app/home/profile/vrallaba","https://profiles.ucr.edu/app/home/profile/vrallaba")</f>
        <v>https://profiles.ucr.edu/app/home/profile/vrallaba</v>
      </c>
    </row>
    <row r="848" spans="1:12" x14ac:dyDescent="0.3">
      <c r="A848">
        <v>601</v>
      </c>
      <c r="B848" t="s">
        <v>1360</v>
      </c>
      <c r="C848" t="s">
        <v>1354</v>
      </c>
      <c r="D848" t="s">
        <v>14</v>
      </c>
      <c r="E848" t="s">
        <v>1361</v>
      </c>
      <c r="F848" t="s">
        <v>83</v>
      </c>
      <c r="G848" t="s">
        <v>84</v>
      </c>
      <c r="H848" t="s">
        <v>633</v>
      </c>
      <c r="I848">
        <v>27</v>
      </c>
      <c r="J848" t="s">
        <v>19</v>
      </c>
      <c r="K848">
        <v>1</v>
      </c>
      <c r="L848" t="str">
        <f>HYPERLINK("https://profiles.ucr.edu/app/home/profile/venky","https://profiles.ucr.edu/app/home/profile/venky")</f>
        <v>https://profiles.ucr.edu/app/home/profile/venky</v>
      </c>
    </row>
    <row r="849" spans="1:12" x14ac:dyDescent="0.3">
      <c r="A849">
        <v>604</v>
      </c>
      <c r="B849" t="s">
        <v>1366</v>
      </c>
      <c r="C849" t="s">
        <v>1354</v>
      </c>
      <c r="D849" t="s">
        <v>1131</v>
      </c>
      <c r="E849" t="s">
        <v>1367</v>
      </c>
      <c r="F849" t="s">
        <v>83</v>
      </c>
      <c r="G849" t="s">
        <v>84</v>
      </c>
      <c r="H849" t="s">
        <v>109</v>
      </c>
      <c r="I849">
        <v>84</v>
      </c>
      <c r="J849" t="s">
        <v>19</v>
      </c>
      <c r="K849">
        <v>1</v>
      </c>
      <c r="L849" t="str">
        <f>HYPERLINK("https://profiles.ucr.edu/app/home/profile/mrz","https://profiles.ucr.edu/app/home/profile/mrz")</f>
        <v>https://profiles.ucr.edu/app/home/profile/mrz</v>
      </c>
    </row>
    <row r="850" spans="1:12" x14ac:dyDescent="0.3">
      <c r="A850">
        <v>605</v>
      </c>
      <c r="B850" t="s">
        <v>1368</v>
      </c>
      <c r="C850" t="s">
        <v>1354</v>
      </c>
      <c r="D850" t="s">
        <v>1131</v>
      </c>
      <c r="E850" t="s">
        <v>1369</v>
      </c>
      <c r="F850" t="s">
        <v>83</v>
      </c>
      <c r="G850" t="s">
        <v>84</v>
      </c>
      <c r="H850" t="s">
        <v>39</v>
      </c>
      <c r="I850">
        <v>44</v>
      </c>
      <c r="J850" t="s">
        <v>19</v>
      </c>
      <c r="K850">
        <v>1</v>
      </c>
      <c r="L850" t="str">
        <f>HYPERLINK("https://profiles.ucr.edu/app/home/profile/gkaraval","https://profiles.ucr.edu/app/home/profile/gkaraval")</f>
        <v>https://profiles.ucr.edu/app/home/profile/gkaraval</v>
      </c>
    </row>
    <row r="851" spans="1:12" x14ac:dyDescent="0.3">
      <c r="A851">
        <v>614</v>
      </c>
      <c r="B851" t="s">
        <v>1387</v>
      </c>
      <c r="C851" t="s">
        <v>1371</v>
      </c>
      <c r="D851" t="s">
        <v>381</v>
      </c>
      <c r="E851" t="s">
        <v>1388</v>
      </c>
      <c r="F851" t="s">
        <v>62</v>
      </c>
      <c r="G851" t="s">
        <v>63</v>
      </c>
      <c r="H851" t="s">
        <v>1389</v>
      </c>
      <c r="I851">
        <v>30</v>
      </c>
      <c r="J851" t="s">
        <v>19</v>
      </c>
      <c r="K851">
        <v>1</v>
      </c>
      <c r="L851" t="str">
        <f>HYPERLINK("https://ocean.ucsc.edu/people/senate-faculty/","https://ocean.ucsc.edu/people/senate-faculty/")</f>
        <v>https://ocean.ucsc.edu/people/senate-faculty/</v>
      </c>
    </row>
    <row r="852" spans="1:12" hidden="1" x14ac:dyDescent="0.3">
      <c r="A852">
        <v>851</v>
      </c>
      <c r="B852" t="s">
        <v>1874</v>
      </c>
      <c r="C852" t="s">
        <v>1864</v>
      </c>
      <c r="D852" t="s">
        <v>31</v>
      </c>
      <c r="E852" t="s">
        <v>1875</v>
      </c>
      <c r="F852" t="s">
        <v>114</v>
      </c>
      <c r="G852" t="s">
        <v>115</v>
      </c>
      <c r="H852" t="s">
        <v>516</v>
      </c>
      <c r="I852">
        <v>23</v>
      </c>
      <c r="J852" t="s">
        <v>116</v>
      </c>
      <c r="K852">
        <v>3</v>
      </c>
      <c r="L852" t="str">
        <f>HYPERLINK("https://umaine.edu/mcec/mechanical-engineering/faculty-staff/","https://umaine.edu/mcec/mechanical-engineering/faculty-staff/")</f>
        <v>https://umaine.edu/mcec/mechanical-engineering/faculty-staff/</v>
      </c>
    </row>
    <row r="853" spans="1:12" x14ac:dyDescent="0.3">
      <c r="A853">
        <v>615</v>
      </c>
      <c r="B853" t="s">
        <v>1390</v>
      </c>
      <c r="C853" t="s">
        <v>1371</v>
      </c>
      <c r="D853" t="s">
        <v>381</v>
      </c>
      <c r="E853" t="s">
        <v>1391</v>
      </c>
      <c r="F853" t="s">
        <v>62</v>
      </c>
      <c r="G853" t="s">
        <v>63</v>
      </c>
      <c r="H853" t="s">
        <v>516</v>
      </c>
      <c r="I853">
        <v>47</v>
      </c>
      <c r="J853" t="s">
        <v>19</v>
      </c>
      <c r="K853">
        <v>1</v>
      </c>
      <c r="L853" t="str">
        <f>HYPERLINK("https://ocean.ucsc.edu/people/senate-faculty/","https://ocean.ucsc.edu/people/senate-faculty/")</f>
        <v>https://ocean.ucsc.edu/people/senate-faculty/</v>
      </c>
    </row>
    <row r="854" spans="1:12" x14ac:dyDescent="0.3">
      <c r="A854">
        <v>616</v>
      </c>
      <c r="B854" t="s">
        <v>1392</v>
      </c>
      <c r="C854" t="s">
        <v>1393</v>
      </c>
      <c r="D854" t="s">
        <v>14</v>
      </c>
      <c r="E854" t="s">
        <v>1394</v>
      </c>
      <c r="F854" t="s">
        <v>62</v>
      </c>
      <c r="G854" t="s">
        <v>63</v>
      </c>
      <c r="H854" t="s">
        <v>254</v>
      </c>
      <c r="I854">
        <v>21</v>
      </c>
      <c r="J854" t="s">
        <v>19</v>
      </c>
      <c r="K854">
        <v>1</v>
      </c>
      <c r="L854" t="str">
        <f>HYPERLINK("https://me.berkeley.edu/people/alexis-kaminski/","https://me.berkeley.edu/people/alexis-kaminski/")</f>
        <v>https://me.berkeley.edu/people/alexis-kaminski/</v>
      </c>
    </row>
    <row r="855" spans="1:12" x14ac:dyDescent="0.3">
      <c r="A855">
        <v>621</v>
      </c>
      <c r="B855" t="s">
        <v>1400</v>
      </c>
      <c r="C855" t="s">
        <v>1393</v>
      </c>
      <c r="D855" t="s">
        <v>161</v>
      </c>
      <c r="E855" t="s">
        <v>1401</v>
      </c>
      <c r="F855" t="s">
        <v>22</v>
      </c>
      <c r="G855" t="s">
        <v>23</v>
      </c>
      <c r="H855" t="s">
        <v>85</v>
      </c>
      <c r="I855">
        <v>70</v>
      </c>
      <c r="J855" t="s">
        <v>19</v>
      </c>
      <c r="K855">
        <v>1</v>
      </c>
      <c r="L855" t="str">
        <f>HYPERLINK("https://me.berkeley.edu/people/michael-gollner/","https://me.berkeley.edu/people/michael-gollner/")</f>
        <v>https://me.berkeley.edu/people/michael-gollner/</v>
      </c>
    </row>
    <row r="856" spans="1:12" x14ac:dyDescent="0.3">
      <c r="A856">
        <v>623</v>
      </c>
      <c r="B856" t="s">
        <v>1404</v>
      </c>
      <c r="C856" t="s">
        <v>1393</v>
      </c>
      <c r="D856" t="s">
        <v>161</v>
      </c>
      <c r="E856" t="s">
        <v>1405</v>
      </c>
      <c r="F856" t="s">
        <v>62</v>
      </c>
      <c r="G856" t="s">
        <v>63</v>
      </c>
      <c r="H856" t="s">
        <v>714</v>
      </c>
      <c r="I856">
        <v>55</v>
      </c>
      <c r="J856" t="s">
        <v>19</v>
      </c>
      <c r="K856">
        <v>1</v>
      </c>
      <c r="L856" t="str">
        <f>HYPERLINK("https://me.berkeley.edu/people/negar-mehr/","https://me.berkeley.edu/people/negar-mehr/")</f>
        <v>https://me.berkeley.edu/people/negar-mehr/</v>
      </c>
    </row>
    <row r="857" spans="1:12" x14ac:dyDescent="0.3">
      <c r="A857">
        <v>624</v>
      </c>
      <c r="B857" t="s">
        <v>1406</v>
      </c>
      <c r="C857" t="s">
        <v>1393</v>
      </c>
      <c r="D857" t="s">
        <v>381</v>
      </c>
      <c r="E857" t="s">
        <v>1407</v>
      </c>
      <c r="F857" t="s">
        <v>27</v>
      </c>
      <c r="G857" t="s">
        <v>28</v>
      </c>
      <c r="H857" t="s">
        <v>70</v>
      </c>
      <c r="I857">
        <v>116</v>
      </c>
      <c r="J857" t="s">
        <v>19</v>
      </c>
      <c r="K857">
        <v>1</v>
      </c>
      <c r="L857" t="str">
        <f>HYPERLINK("https://eecs.berkeley.edu/people/faculty/giuseppe-loianno","https://eecs.berkeley.edu/people/faculty/giuseppe-loianno")</f>
        <v>https://eecs.berkeley.edu/people/faculty/giuseppe-loianno</v>
      </c>
    </row>
    <row r="858" spans="1:12" hidden="1" x14ac:dyDescent="0.3">
      <c r="A858">
        <v>857</v>
      </c>
      <c r="B858" t="s">
        <v>1887</v>
      </c>
      <c r="C858" t="s">
        <v>1877</v>
      </c>
      <c r="D858" t="s">
        <v>31</v>
      </c>
      <c r="E858" t="s">
        <v>1888</v>
      </c>
      <c r="F858" t="s">
        <v>27</v>
      </c>
      <c r="G858" t="s">
        <v>28</v>
      </c>
      <c r="H858" t="s">
        <v>593</v>
      </c>
      <c r="I858">
        <v>45</v>
      </c>
      <c r="J858" t="s">
        <v>19</v>
      </c>
      <c r="K858">
        <v>1</v>
      </c>
      <c r="L858" t="str">
        <f>HYPERLINK("https://www-math.umd.edu/~tadmor/","https://www-math.umd.edu/~tadmor/")</f>
        <v>https://www-math.umd.edu/~tadmor/</v>
      </c>
    </row>
    <row r="859" spans="1:12" hidden="1" x14ac:dyDescent="0.3">
      <c r="A859">
        <v>858</v>
      </c>
      <c r="B859" t="s">
        <v>1889</v>
      </c>
      <c r="C859" t="s">
        <v>1877</v>
      </c>
      <c r="D859" t="s">
        <v>31</v>
      </c>
      <c r="E859" t="s">
        <v>1890</v>
      </c>
      <c r="F859" t="s">
        <v>27</v>
      </c>
      <c r="G859" t="s">
        <v>28</v>
      </c>
      <c r="H859" t="s">
        <v>182</v>
      </c>
      <c r="I859">
        <v>77</v>
      </c>
      <c r="J859" t="s">
        <v>19</v>
      </c>
      <c r="K859">
        <v>1</v>
      </c>
      <c r="L859" t="str">
        <f>HYPERLINK("https://math.umd.edu/people/faculty/item/1501-hzyang.html","https://math.umd.edu/people/faculty/item/1501-hzyang.html")</f>
        <v>https://math.umd.edu/people/faculty/item/1501-hzyang.html</v>
      </c>
    </row>
    <row r="860" spans="1:12" hidden="1" x14ac:dyDescent="0.3">
      <c r="A860">
        <v>859</v>
      </c>
      <c r="B860" t="s">
        <v>1891</v>
      </c>
      <c r="C860" t="s">
        <v>1877</v>
      </c>
      <c r="D860" t="s">
        <v>31</v>
      </c>
      <c r="E860" t="s">
        <v>1892</v>
      </c>
      <c r="F860" t="s">
        <v>27</v>
      </c>
      <c r="G860" t="s">
        <v>28</v>
      </c>
      <c r="H860" t="s">
        <v>92</v>
      </c>
      <c r="I860">
        <v>11</v>
      </c>
      <c r="J860" t="s">
        <v>19</v>
      </c>
      <c r="K860">
        <v>1</v>
      </c>
      <c r="L860" t="str">
        <f>HYPERLINK("https://www-math.umd.edu/~trivisa/","https://www-math.umd.edu/~trivisa/")</f>
        <v>https://www-math.umd.edu/~trivisa/</v>
      </c>
    </row>
    <row r="861" spans="1:12" x14ac:dyDescent="0.3">
      <c r="A861">
        <v>625</v>
      </c>
      <c r="B861" t="s">
        <v>1408</v>
      </c>
      <c r="C861" t="s">
        <v>1393</v>
      </c>
      <c r="D861" t="s">
        <v>381</v>
      </c>
      <c r="E861" t="s">
        <v>1409</v>
      </c>
      <c r="F861" t="s">
        <v>83</v>
      </c>
      <c r="G861" t="s">
        <v>84</v>
      </c>
      <c r="H861" t="s">
        <v>18</v>
      </c>
      <c r="I861">
        <v>93</v>
      </c>
      <c r="J861" t="s">
        <v>19</v>
      </c>
      <c r="K861">
        <v>1</v>
      </c>
      <c r="L861" t="str">
        <f>HYPERLINK("https://eecs.berkeley.edu/people/faculty/claire-tomlin","https://eecs.berkeley.edu/people/faculty/claire-tomlin")</f>
        <v>https://eecs.berkeley.edu/people/faculty/claire-tomlin</v>
      </c>
    </row>
    <row r="862" spans="1:12" x14ac:dyDescent="0.3">
      <c r="A862">
        <v>626</v>
      </c>
      <c r="B862" t="s">
        <v>1410</v>
      </c>
      <c r="C862" t="s">
        <v>1393</v>
      </c>
      <c r="D862" t="s">
        <v>381</v>
      </c>
      <c r="E862" t="s">
        <v>1411</v>
      </c>
      <c r="F862" t="s">
        <v>83</v>
      </c>
      <c r="G862" t="s">
        <v>84</v>
      </c>
      <c r="H862" t="s">
        <v>140</v>
      </c>
      <c r="I862">
        <v>77</v>
      </c>
      <c r="J862" t="s">
        <v>19</v>
      </c>
      <c r="K862">
        <v>1</v>
      </c>
      <c r="L862" t="str">
        <f>HYPERLINK("https://eecs.berkeley.edu/people/faculty/alexandre-bayen","https://eecs.berkeley.edu/people/faculty/alexandre-bayen")</f>
        <v>https://eecs.berkeley.edu/people/faculty/alexandre-bayen</v>
      </c>
    </row>
    <row r="863" spans="1:12" x14ac:dyDescent="0.3">
      <c r="A863">
        <v>631</v>
      </c>
      <c r="B863" t="s">
        <v>1418</v>
      </c>
      <c r="C863" t="s">
        <v>1419</v>
      </c>
      <c r="D863" t="s">
        <v>161</v>
      </c>
      <c r="E863" t="s">
        <v>1420</v>
      </c>
      <c r="F863" t="s">
        <v>27</v>
      </c>
      <c r="G863" t="s">
        <v>476</v>
      </c>
      <c r="H863" t="s">
        <v>39</v>
      </c>
      <c r="I863">
        <v>60</v>
      </c>
      <c r="J863" t="s">
        <v>19</v>
      </c>
      <c r="K863">
        <v>1</v>
      </c>
      <c r="L863" t="str">
        <f>HYPERLINK("https://mae.ucdavis.edu/directory/seongkyu-lee","https://mae.ucdavis.edu/directory/seongkyu-lee")</f>
        <v>https://mae.ucdavis.edu/directory/seongkyu-lee</v>
      </c>
    </row>
    <row r="864" spans="1:12" x14ac:dyDescent="0.3">
      <c r="A864">
        <v>632</v>
      </c>
      <c r="B864" t="s">
        <v>1421</v>
      </c>
      <c r="C864" t="s">
        <v>1419</v>
      </c>
      <c r="D864" t="s">
        <v>161</v>
      </c>
      <c r="E864" t="s">
        <v>1422</v>
      </c>
      <c r="F864" t="s">
        <v>27</v>
      </c>
      <c r="G864" t="s">
        <v>476</v>
      </c>
      <c r="H864" t="s">
        <v>88</v>
      </c>
      <c r="I864">
        <v>30</v>
      </c>
      <c r="J864" t="s">
        <v>19</v>
      </c>
      <c r="K864">
        <v>1</v>
      </c>
      <c r="L864" t="str">
        <f>HYPERLINK("https://mae.ucdavis.edu/people/camli-badrya","https://mae.ucdavis.edu/people/camli-badrya")</f>
        <v>https://mae.ucdavis.edu/people/camli-badrya</v>
      </c>
    </row>
    <row r="865" spans="1:12" x14ac:dyDescent="0.3">
      <c r="A865">
        <v>633</v>
      </c>
      <c r="B865" t="s">
        <v>1423</v>
      </c>
      <c r="C865" t="s">
        <v>1419</v>
      </c>
      <c r="D865" t="s">
        <v>161</v>
      </c>
      <c r="E865" t="s">
        <v>1424</v>
      </c>
      <c r="F865" t="s">
        <v>27</v>
      </c>
      <c r="G865" t="s">
        <v>476</v>
      </c>
      <c r="H865" t="s">
        <v>775</v>
      </c>
      <c r="I865">
        <v>34</v>
      </c>
      <c r="J865" t="s">
        <v>19</v>
      </c>
      <c r="K865">
        <v>1</v>
      </c>
      <c r="L865" t="str">
        <f>HYPERLINK("https://mae.ucdavis.edu/people/christina-harvey","https://mae.ucdavis.edu/people/christina-harvey")</f>
        <v>https://mae.ucdavis.edu/people/christina-harvey</v>
      </c>
    </row>
    <row r="866" spans="1:12" x14ac:dyDescent="0.3">
      <c r="A866">
        <v>636</v>
      </c>
      <c r="B866" t="s">
        <v>1427</v>
      </c>
      <c r="C866" t="s">
        <v>1419</v>
      </c>
      <c r="D866" t="s">
        <v>161</v>
      </c>
      <c r="E866" t="s">
        <v>1428</v>
      </c>
      <c r="F866" t="s">
        <v>27</v>
      </c>
      <c r="G866" t="s">
        <v>476</v>
      </c>
      <c r="H866" t="s">
        <v>273</v>
      </c>
      <c r="I866">
        <v>12</v>
      </c>
      <c r="J866" t="s">
        <v>19</v>
      </c>
      <c r="K866">
        <v>1</v>
      </c>
      <c r="L866" t="str">
        <f>HYPERLINK("https://mae.ucdavis.edu/people/mohsen-habibi","https://mae.ucdavis.edu/people/mohsen-habibi")</f>
        <v>https://mae.ucdavis.edu/people/mohsen-habibi</v>
      </c>
    </row>
    <row r="867" spans="1:12" x14ac:dyDescent="0.3">
      <c r="A867">
        <v>656</v>
      </c>
      <c r="B867" t="s">
        <v>1462</v>
      </c>
      <c r="C867" t="s">
        <v>1463</v>
      </c>
      <c r="D867" t="s">
        <v>161</v>
      </c>
      <c r="E867" t="s">
        <v>1464</v>
      </c>
      <c r="F867" t="s">
        <v>16</v>
      </c>
      <c r="G867" t="s">
        <v>17</v>
      </c>
      <c r="H867" t="s">
        <v>200</v>
      </c>
      <c r="I867">
        <v>106</v>
      </c>
      <c r="J867" t="s">
        <v>19</v>
      </c>
      <c r="K867">
        <v>1</v>
      </c>
      <c r="L867" t="str">
        <f>HYPERLINK("https://samueli.ucla.edu/people/kunihiko-taira/","https://samueli.ucla.edu/people/kunihiko-taira/")</f>
        <v>https://samueli.ucla.edu/people/kunihiko-taira/</v>
      </c>
    </row>
    <row r="868" spans="1:12" hidden="1" x14ac:dyDescent="0.3">
      <c r="A868">
        <v>867</v>
      </c>
      <c r="B868" t="s">
        <v>1908</v>
      </c>
      <c r="C868" t="s">
        <v>1894</v>
      </c>
      <c r="D868" t="s">
        <v>31</v>
      </c>
      <c r="E868" t="s">
        <v>1909</v>
      </c>
      <c r="F868" t="s">
        <v>335</v>
      </c>
      <c r="G868" t="s">
        <v>336</v>
      </c>
      <c r="H868" t="s">
        <v>182</v>
      </c>
      <c r="I868">
        <v>28</v>
      </c>
      <c r="J868" t="s">
        <v>19</v>
      </c>
      <c r="K868">
        <v>1</v>
      </c>
      <c r="L868" t="str">
        <f>HYPERLINK("https://www.math.umass.edu/~markos/","https://www.math.umass.edu/~markos/")</f>
        <v>https://www.math.umass.edu/~markos/</v>
      </c>
    </row>
    <row r="869" spans="1:12" hidden="1" x14ac:dyDescent="0.3">
      <c r="A869">
        <v>868</v>
      </c>
      <c r="B869" t="s">
        <v>1910</v>
      </c>
      <c r="C869" t="s">
        <v>1894</v>
      </c>
      <c r="D869" t="s">
        <v>31</v>
      </c>
      <c r="E869" t="s">
        <v>1911</v>
      </c>
      <c r="F869" t="s">
        <v>335</v>
      </c>
      <c r="G869" t="s">
        <v>336</v>
      </c>
      <c r="H869" t="s">
        <v>516</v>
      </c>
      <c r="I869">
        <v>17</v>
      </c>
      <c r="J869" t="s">
        <v>19</v>
      </c>
      <c r="K869">
        <v>1</v>
      </c>
      <c r="L869" t="str">
        <f>HYPERLINK("https://www.math.umass.edu/~luc/","https://www.math.umass.edu/~luc/")</f>
        <v>https://www.math.umass.edu/~luc/</v>
      </c>
    </row>
    <row r="870" spans="1:12" x14ac:dyDescent="0.3">
      <c r="A870">
        <v>657</v>
      </c>
      <c r="B870" t="s">
        <v>1465</v>
      </c>
      <c r="C870" t="s">
        <v>1463</v>
      </c>
      <c r="D870" t="s">
        <v>161</v>
      </c>
      <c r="E870" t="s">
        <v>1466</v>
      </c>
      <c r="F870" t="s">
        <v>16</v>
      </c>
      <c r="G870" t="s">
        <v>17</v>
      </c>
      <c r="H870" t="s">
        <v>213</v>
      </c>
      <c r="I870">
        <v>39</v>
      </c>
      <c r="J870" t="s">
        <v>19</v>
      </c>
      <c r="K870">
        <v>1</v>
      </c>
      <c r="L870" t="str">
        <f>HYPERLINK("https://samueli.ucla.edu/people/xiaolin-zhong/","https://samueli.ucla.edu/people/xiaolin-zhong/")</f>
        <v>https://samueli.ucla.edu/people/xiaolin-zhong/</v>
      </c>
    </row>
    <row r="871" spans="1:12" x14ac:dyDescent="0.3">
      <c r="A871">
        <v>658</v>
      </c>
      <c r="B871" t="s">
        <v>1467</v>
      </c>
      <c r="C871" t="s">
        <v>1463</v>
      </c>
      <c r="D871" t="s">
        <v>161</v>
      </c>
      <c r="E871" t="s">
        <v>1468</v>
      </c>
      <c r="F871" t="s">
        <v>16</v>
      </c>
      <c r="G871" t="s">
        <v>17</v>
      </c>
      <c r="H871" t="s">
        <v>1469</v>
      </c>
      <c r="I871">
        <v>27</v>
      </c>
      <c r="J871" t="s">
        <v>19</v>
      </c>
      <c r="K871">
        <v>1</v>
      </c>
      <c r="L871" t="str">
        <f>HYPERLINK("https://samueli.ucla.edu/people/anya-jones/","https://samueli.ucla.edu/people/anya-jones/")</f>
        <v>https://samueli.ucla.edu/people/anya-jones/</v>
      </c>
    </row>
    <row r="872" spans="1:12" hidden="1" x14ac:dyDescent="0.3">
      <c r="A872">
        <v>871</v>
      </c>
      <c r="B872" t="s">
        <v>1917</v>
      </c>
      <c r="C872" t="s">
        <v>1913</v>
      </c>
      <c r="D872" t="s">
        <v>31</v>
      </c>
      <c r="E872" t="s">
        <v>1918</v>
      </c>
      <c r="F872" t="s">
        <v>114</v>
      </c>
      <c r="G872" t="s">
        <v>115</v>
      </c>
      <c r="H872" t="s">
        <v>45</v>
      </c>
      <c r="I872">
        <v>67</v>
      </c>
      <c r="J872" t="s">
        <v>116</v>
      </c>
      <c r="K872">
        <v>3</v>
      </c>
      <c r="L872" t="str">
        <f>HYPERLINK("https://www.memphis.edu/me/faculty/","https://www.memphis.edu/me/faculty/")</f>
        <v>https://www.memphis.edu/me/faculty/</v>
      </c>
    </row>
    <row r="873" spans="1:12" x14ac:dyDescent="0.3">
      <c r="A873">
        <v>659</v>
      </c>
      <c r="B873" t="s">
        <v>1470</v>
      </c>
      <c r="C873" t="s">
        <v>1463</v>
      </c>
      <c r="D873" t="s">
        <v>161</v>
      </c>
      <c r="E873" t="s">
        <v>1471</v>
      </c>
      <c r="F873" t="s">
        <v>16</v>
      </c>
      <c r="G873" t="s">
        <v>17</v>
      </c>
      <c r="H873" t="s">
        <v>167</v>
      </c>
      <c r="I873">
        <v>14</v>
      </c>
      <c r="J873" t="s">
        <v>19</v>
      </c>
      <c r="K873">
        <v>1</v>
      </c>
      <c r="L873" t="str">
        <f>HYPERLINK("https://samueli.ucla.edu/people/ann-karagozian/","https://samueli.ucla.edu/people/ann-karagozian/")</f>
        <v>https://samueli.ucla.edu/people/ann-karagozian/</v>
      </c>
    </row>
    <row r="874" spans="1:12" x14ac:dyDescent="0.3">
      <c r="A874">
        <v>660</v>
      </c>
      <c r="B874" t="s">
        <v>1472</v>
      </c>
      <c r="C874" t="s">
        <v>1463</v>
      </c>
      <c r="D874" t="s">
        <v>161</v>
      </c>
      <c r="E874" t="s">
        <v>1473</v>
      </c>
      <c r="F874" t="s">
        <v>16</v>
      </c>
      <c r="G874" t="s">
        <v>17</v>
      </c>
      <c r="H874" t="s">
        <v>64</v>
      </c>
      <c r="I874">
        <v>66</v>
      </c>
      <c r="J874" t="s">
        <v>19</v>
      </c>
      <c r="K874">
        <v>1</v>
      </c>
      <c r="L874" t="str">
        <f>HYPERLINK("https://samueli.ucla.edu/people/mitchell-spearrin/","https://samueli.ucla.edu/people/mitchell-spearrin/")</f>
        <v>https://samueli.ucla.edu/people/mitchell-spearrin/</v>
      </c>
    </row>
    <row r="875" spans="1:12" x14ac:dyDescent="0.3">
      <c r="A875">
        <v>661</v>
      </c>
      <c r="B875" t="s">
        <v>1474</v>
      </c>
      <c r="C875" t="s">
        <v>1463</v>
      </c>
      <c r="D875" t="s">
        <v>161</v>
      </c>
      <c r="E875" t="s">
        <v>1475</v>
      </c>
      <c r="F875" t="s">
        <v>22</v>
      </c>
      <c r="G875" t="s">
        <v>23</v>
      </c>
      <c r="H875" t="s">
        <v>195</v>
      </c>
      <c r="I875">
        <v>82</v>
      </c>
      <c r="J875" t="s">
        <v>19</v>
      </c>
      <c r="K875">
        <v>1</v>
      </c>
      <c r="L875" t="str">
        <f>HYPERLINK("https://samueli.ucla.edu/people/m-khalid-jawed/","https://samueli.ucla.edu/people/m-khalid-jawed/")</f>
        <v>https://samueli.ucla.edu/people/m-khalid-jawed/</v>
      </c>
    </row>
    <row r="876" spans="1:12" x14ac:dyDescent="0.3">
      <c r="A876">
        <v>662</v>
      </c>
      <c r="B876" t="s">
        <v>1476</v>
      </c>
      <c r="C876" t="s">
        <v>1463</v>
      </c>
      <c r="D876" t="s">
        <v>161</v>
      </c>
      <c r="E876" t="s">
        <v>1477</v>
      </c>
      <c r="F876" t="s">
        <v>22</v>
      </c>
      <c r="G876" t="s">
        <v>23</v>
      </c>
      <c r="H876" t="s">
        <v>36</v>
      </c>
      <c r="I876">
        <v>37</v>
      </c>
      <c r="J876" t="s">
        <v>19</v>
      </c>
      <c r="K876">
        <v>1</v>
      </c>
      <c r="L876" t="str">
        <f>HYPERLINK("https://samueli.ucla.edu/people/artur-davoyan/","https://samueli.ucla.edu/people/artur-davoyan/")</f>
        <v>https://samueli.ucla.edu/people/artur-davoyan/</v>
      </c>
    </row>
    <row r="877" spans="1:12" hidden="1" x14ac:dyDescent="0.3">
      <c r="A877">
        <v>876</v>
      </c>
      <c r="B877" t="s">
        <v>1927</v>
      </c>
      <c r="C877" t="s">
        <v>1913</v>
      </c>
      <c r="D877" t="s">
        <v>31</v>
      </c>
      <c r="E877" t="s">
        <v>1928</v>
      </c>
      <c r="F877" t="s">
        <v>114</v>
      </c>
      <c r="G877" t="s">
        <v>115</v>
      </c>
      <c r="H877" t="s">
        <v>516</v>
      </c>
      <c r="I877">
        <v>1</v>
      </c>
      <c r="J877" t="s">
        <v>116</v>
      </c>
      <c r="K877">
        <v>3</v>
      </c>
      <c r="L877" t="str">
        <f>HYPERLINK("https://www.memphis.edu/msci/people/","https://www.memphis.edu/msci/people/")</f>
        <v>https://www.memphis.edu/msci/people/</v>
      </c>
    </row>
    <row r="878" spans="1:12" hidden="1" x14ac:dyDescent="0.3">
      <c r="A878">
        <v>877</v>
      </c>
      <c r="B878" t="s">
        <v>1929</v>
      </c>
      <c r="C878" t="s">
        <v>1913</v>
      </c>
      <c r="D878" t="s">
        <v>31</v>
      </c>
      <c r="E878" t="s">
        <v>1930</v>
      </c>
      <c r="F878" t="s">
        <v>114</v>
      </c>
      <c r="G878" t="s">
        <v>115</v>
      </c>
      <c r="H878" t="s">
        <v>633</v>
      </c>
      <c r="I878">
        <v>33</v>
      </c>
      <c r="J878" t="s">
        <v>116</v>
      </c>
      <c r="K878">
        <v>3</v>
      </c>
      <c r="L878" t="str">
        <f>HYPERLINK("https://www.memphis.edu/msci/people/","https://www.memphis.edu/msci/people/")</f>
        <v>https://www.memphis.edu/msci/people/</v>
      </c>
    </row>
    <row r="879" spans="1:12" hidden="1" x14ac:dyDescent="0.3">
      <c r="A879">
        <v>878</v>
      </c>
      <c r="B879" t="s">
        <v>1931</v>
      </c>
      <c r="C879" t="s">
        <v>1913</v>
      </c>
      <c r="D879" t="s">
        <v>31</v>
      </c>
      <c r="E879" t="s">
        <v>1932</v>
      </c>
      <c r="F879" t="s">
        <v>114</v>
      </c>
      <c r="G879" t="s">
        <v>115</v>
      </c>
      <c r="H879" t="s">
        <v>633</v>
      </c>
      <c r="I879">
        <v>23</v>
      </c>
      <c r="J879" t="s">
        <v>116</v>
      </c>
      <c r="K879">
        <v>3</v>
      </c>
      <c r="L879" t="str">
        <f>HYPERLINK("https://www.memphis.edu/msci/people/","https://www.memphis.edu/msci/people/")</f>
        <v>https://www.memphis.edu/msci/people/</v>
      </c>
    </row>
    <row r="880" spans="1:12" hidden="1" x14ac:dyDescent="0.3">
      <c r="A880">
        <v>879</v>
      </c>
      <c r="B880" t="s">
        <v>1933</v>
      </c>
      <c r="C880" t="s">
        <v>1913</v>
      </c>
      <c r="D880" t="s">
        <v>31</v>
      </c>
      <c r="E880" t="s">
        <v>1934</v>
      </c>
      <c r="F880" t="s">
        <v>114</v>
      </c>
      <c r="G880" t="s">
        <v>115</v>
      </c>
      <c r="H880" t="s">
        <v>143</v>
      </c>
      <c r="I880">
        <v>9</v>
      </c>
      <c r="J880" t="s">
        <v>116</v>
      </c>
      <c r="K880">
        <v>3</v>
      </c>
      <c r="L880" t="str">
        <f>HYPERLINK("https://www.memphis.edu/msci/people/","https://www.memphis.edu/msci/people/")</f>
        <v>https://www.memphis.edu/msci/people/</v>
      </c>
    </row>
    <row r="881" spans="1:12" hidden="1" x14ac:dyDescent="0.3">
      <c r="A881">
        <v>880</v>
      </c>
      <c r="B881" t="s">
        <v>1935</v>
      </c>
      <c r="C881" t="s">
        <v>1913</v>
      </c>
      <c r="D881" t="s">
        <v>31</v>
      </c>
      <c r="E881" t="s">
        <v>1936</v>
      </c>
      <c r="F881" t="s">
        <v>114</v>
      </c>
      <c r="G881" t="s">
        <v>115</v>
      </c>
      <c r="H881" t="s">
        <v>75</v>
      </c>
      <c r="I881">
        <v>2</v>
      </c>
      <c r="J881" t="s">
        <v>116</v>
      </c>
      <c r="K881">
        <v>3</v>
      </c>
      <c r="L881" t="str">
        <f>HYPERLINK("https://www.memphis.edu/msci/people/","https://www.memphis.edu/msci/people/")</f>
        <v>https://www.memphis.edu/msci/people/</v>
      </c>
    </row>
    <row r="882" spans="1:12" hidden="1" x14ac:dyDescent="0.3">
      <c r="A882">
        <v>881</v>
      </c>
      <c r="B882" t="s">
        <v>1937</v>
      </c>
      <c r="C882" t="s">
        <v>1913</v>
      </c>
      <c r="D882" t="s">
        <v>31</v>
      </c>
      <c r="E882" t="s">
        <v>1938</v>
      </c>
      <c r="F882" t="s">
        <v>114</v>
      </c>
      <c r="G882" t="s">
        <v>115</v>
      </c>
      <c r="H882" t="s">
        <v>1939</v>
      </c>
      <c r="I882">
        <v>7</v>
      </c>
      <c r="J882" t="s">
        <v>116</v>
      </c>
      <c r="K882">
        <v>3</v>
      </c>
      <c r="L882" t="str">
        <f>HYPERLINK("https://www.memphis.edu/msci/people/","https://www.memphis.edu/msci/people/")</f>
        <v>https://www.memphis.edu/msci/people/</v>
      </c>
    </row>
    <row r="883" spans="1:12" x14ac:dyDescent="0.3">
      <c r="A883">
        <v>663</v>
      </c>
      <c r="B883" t="s">
        <v>1478</v>
      </c>
      <c r="C883" t="s">
        <v>1463</v>
      </c>
      <c r="D883" t="s">
        <v>161</v>
      </c>
      <c r="E883" t="s">
        <v>1479</v>
      </c>
      <c r="F883" t="s">
        <v>62</v>
      </c>
      <c r="G883" t="s">
        <v>63</v>
      </c>
      <c r="H883" t="s">
        <v>159</v>
      </c>
      <c r="I883">
        <v>35</v>
      </c>
      <c r="J883" t="s">
        <v>19</v>
      </c>
      <c r="K883">
        <v>1</v>
      </c>
      <c r="L883" t="str">
        <f>HYPERLINK("https://samueli.ucla.edu/people/brett-lopez/","https://samueli.ucla.edu/people/brett-lopez/")</f>
        <v>https://samueli.ucla.edu/people/brett-lopez/</v>
      </c>
    </row>
    <row r="884" spans="1:12" hidden="1" x14ac:dyDescent="0.3">
      <c r="A884">
        <v>883</v>
      </c>
      <c r="B884" t="s">
        <v>1943</v>
      </c>
      <c r="C884" t="s">
        <v>1941</v>
      </c>
      <c r="D884" t="s">
        <v>31</v>
      </c>
      <c r="E884" t="s">
        <v>1944</v>
      </c>
      <c r="F884" t="s">
        <v>114</v>
      </c>
      <c r="G884" t="s">
        <v>115</v>
      </c>
      <c r="H884" t="s">
        <v>92</v>
      </c>
      <c r="I884">
        <v>8</v>
      </c>
      <c r="J884" t="s">
        <v>116</v>
      </c>
      <c r="K884">
        <v>3</v>
      </c>
      <c r="L884" t="str">
        <f>HYPERLINK("https://mae.coe.miami.edu/people/faculty/index.html","https://mae.coe.miami.edu/people/faculty/index.html")</f>
        <v>https://mae.coe.miami.edu/people/faculty/index.html</v>
      </c>
    </row>
    <row r="885" spans="1:12" hidden="1" x14ac:dyDescent="0.3">
      <c r="A885">
        <v>884</v>
      </c>
      <c r="B885" t="s">
        <v>1945</v>
      </c>
      <c r="C885" t="s">
        <v>1941</v>
      </c>
      <c r="D885" t="s">
        <v>31</v>
      </c>
      <c r="E885" t="s">
        <v>1946</v>
      </c>
      <c r="F885" t="s">
        <v>114</v>
      </c>
      <c r="G885" t="s">
        <v>115</v>
      </c>
      <c r="H885" t="s">
        <v>39</v>
      </c>
      <c r="I885">
        <v>35</v>
      </c>
      <c r="J885" t="s">
        <v>116</v>
      </c>
      <c r="K885">
        <v>3</v>
      </c>
      <c r="L885" t="str">
        <f>HYPERLINK("https://mae.coe.miami.edu/people/faculty/index.html","https://mae.coe.miami.edu/people/faculty/index.html")</f>
        <v>https://mae.coe.miami.edu/people/faculty/index.html</v>
      </c>
    </row>
    <row r="886" spans="1:12" x14ac:dyDescent="0.3">
      <c r="A886">
        <v>664</v>
      </c>
      <c r="B886" t="s">
        <v>1480</v>
      </c>
      <c r="C886" t="s">
        <v>1463</v>
      </c>
      <c r="D886" t="s">
        <v>161</v>
      </c>
      <c r="E886" t="s">
        <v>1481</v>
      </c>
      <c r="F886" t="s">
        <v>16</v>
      </c>
      <c r="G886" t="s">
        <v>17</v>
      </c>
      <c r="H886" t="s">
        <v>620</v>
      </c>
      <c r="I886">
        <v>6</v>
      </c>
      <c r="J886" t="s">
        <v>19</v>
      </c>
      <c r="K886">
        <v>1</v>
      </c>
      <c r="L886" t="str">
        <f>HYPERLINK("https://samueli.ucla.edu/people/jason-speyer/","https://samueli.ucla.edu/people/jason-speyer/")</f>
        <v>https://samueli.ucla.edu/people/jason-speyer/</v>
      </c>
    </row>
    <row r="887" spans="1:12" x14ac:dyDescent="0.3">
      <c r="A887">
        <v>665</v>
      </c>
      <c r="B887" t="s">
        <v>1482</v>
      </c>
      <c r="C887" t="s">
        <v>1463</v>
      </c>
      <c r="D887" t="s">
        <v>271</v>
      </c>
      <c r="E887" t="s">
        <v>1483</v>
      </c>
      <c r="F887" t="s">
        <v>27</v>
      </c>
      <c r="G887" t="s">
        <v>454</v>
      </c>
      <c r="H887" t="s">
        <v>109</v>
      </c>
      <c r="I887">
        <v>85</v>
      </c>
      <c r="J887" t="s">
        <v>19</v>
      </c>
      <c r="K887">
        <v>1</v>
      </c>
      <c r="L887" t="str">
        <f>HYPERLINK("https://www.math.ucla.edu/people/ladder/bertozzi","https://www.math.ucla.edu/people/ladder/bertozzi")</f>
        <v>https://www.math.ucla.edu/people/ladder/bertozzi</v>
      </c>
    </row>
    <row r="888" spans="1:12" hidden="1" x14ac:dyDescent="0.3">
      <c r="A888">
        <v>887</v>
      </c>
      <c r="B888" t="s">
        <v>1951</v>
      </c>
      <c r="C888" t="s">
        <v>1941</v>
      </c>
      <c r="D888" t="s">
        <v>31</v>
      </c>
      <c r="E888" t="s">
        <v>1952</v>
      </c>
      <c r="F888" t="s">
        <v>114</v>
      </c>
      <c r="G888" t="s">
        <v>115</v>
      </c>
      <c r="H888" t="s">
        <v>220</v>
      </c>
      <c r="I888">
        <v>53</v>
      </c>
      <c r="J888" t="s">
        <v>116</v>
      </c>
      <c r="K888">
        <v>3</v>
      </c>
      <c r="L888" t="str">
        <f>HYPERLINK("https://mathematics.miami.edu/about-us/faculty/index.html","https://mathematics.miami.edu/about-us/faculty/index.html")</f>
        <v>https://mathematics.miami.edu/about-us/faculty/index.html</v>
      </c>
    </row>
    <row r="889" spans="1:12" hidden="1" x14ac:dyDescent="0.3">
      <c r="A889">
        <v>888</v>
      </c>
      <c r="B889" t="s">
        <v>1953</v>
      </c>
      <c r="C889" t="s">
        <v>1941</v>
      </c>
      <c r="D889" t="s">
        <v>31</v>
      </c>
      <c r="E889" t="s">
        <v>1954</v>
      </c>
      <c r="F889" t="s">
        <v>114</v>
      </c>
      <c r="G889" t="s">
        <v>115</v>
      </c>
      <c r="H889" t="s">
        <v>167</v>
      </c>
      <c r="I889">
        <v>12</v>
      </c>
      <c r="J889" t="s">
        <v>116</v>
      </c>
      <c r="K889">
        <v>3</v>
      </c>
      <c r="L889" t="str">
        <f>HYPERLINK("https://mathematics.miami.edu/about-us/faculty/index.html","https://mathematics.miami.edu/about-us/faculty/index.html")</f>
        <v>https://mathematics.miami.edu/about-us/faculty/index.html</v>
      </c>
    </row>
    <row r="890" spans="1:12" hidden="1" x14ac:dyDescent="0.3">
      <c r="A890">
        <v>889</v>
      </c>
      <c r="B890" t="s">
        <v>1955</v>
      </c>
      <c r="C890" t="s">
        <v>1941</v>
      </c>
      <c r="D890" t="s">
        <v>31</v>
      </c>
      <c r="E890" t="s">
        <v>1956</v>
      </c>
      <c r="F890" t="s">
        <v>114</v>
      </c>
      <c r="G890" t="s">
        <v>115</v>
      </c>
      <c r="H890" t="s">
        <v>67</v>
      </c>
      <c r="I890">
        <v>8</v>
      </c>
      <c r="J890" t="s">
        <v>116</v>
      </c>
      <c r="K890">
        <v>3</v>
      </c>
      <c r="L890" t="str">
        <f>HYPERLINK("https://mathematics.miami.edu/about-us/faculty/index.html","https://mathematics.miami.edu/about-us/faculty/index.html")</f>
        <v>https://mathematics.miami.edu/about-us/faculty/index.html</v>
      </c>
    </row>
    <row r="891" spans="1:12" hidden="1" x14ac:dyDescent="0.3">
      <c r="A891">
        <v>890</v>
      </c>
      <c r="B891" t="s">
        <v>1957</v>
      </c>
      <c r="C891" t="s">
        <v>1958</v>
      </c>
      <c r="D891" t="s">
        <v>31</v>
      </c>
      <c r="E891" t="s">
        <v>57</v>
      </c>
      <c r="F891" t="s">
        <v>27</v>
      </c>
      <c r="G891" t="s">
        <v>476</v>
      </c>
      <c r="H891" t="s">
        <v>58</v>
      </c>
      <c r="I891">
        <v>0</v>
      </c>
      <c r="J891" t="s">
        <v>59</v>
      </c>
      <c r="K891">
        <v>2</v>
      </c>
      <c r="L891" t="str">
        <f>HYPERLINK("https://aero.engin.umich.edu/people/fidkowski-krzysztof/","https://aero.engin.umich.edu/people/fidkowski-krzysztof/")</f>
        <v>https://aero.engin.umich.edu/people/fidkowski-krzysztof/</v>
      </c>
    </row>
    <row r="892" spans="1:12" x14ac:dyDescent="0.3">
      <c r="A892">
        <v>671</v>
      </c>
      <c r="B892" t="s">
        <v>1494</v>
      </c>
      <c r="C892" t="s">
        <v>1495</v>
      </c>
      <c r="D892" t="s">
        <v>161</v>
      </c>
      <c r="E892" t="s">
        <v>1496</v>
      </c>
      <c r="F892" t="s">
        <v>16</v>
      </c>
      <c r="G892" t="s">
        <v>17</v>
      </c>
      <c r="H892" t="s">
        <v>29</v>
      </c>
      <c r="I892">
        <v>12</v>
      </c>
      <c r="J892" t="s">
        <v>19</v>
      </c>
      <c r="K892">
        <v>1</v>
      </c>
      <c r="L892" t="str">
        <f>HYPERLINK("https://jacobsschool.ucsd.edu/people/profile/sutanu-sarkar","https://jacobsschool.ucsd.edu/people/profile/sutanu-sarkar")</f>
        <v>https://jacobsschool.ucsd.edu/people/profile/sutanu-sarkar</v>
      </c>
    </row>
    <row r="893" spans="1:12" x14ac:dyDescent="0.3">
      <c r="A893">
        <v>672</v>
      </c>
      <c r="B893" t="s">
        <v>1497</v>
      </c>
      <c r="C893" t="s">
        <v>1495</v>
      </c>
      <c r="D893" t="s">
        <v>161</v>
      </c>
      <c r="E893" t="s">
        <v>1498</v>
      </c>
      <c r="F893" t="s">
        <v>62</v>
      </c>
      <c r="G893" t="s">
        <v>63</v>
      </c>
      <c r="H893" t="s">
        <v>320</v>
      </c>
      <c r="I893">
        <v>25</v>
      </c>
      <c r="J893" t="s">
        <v>19</v>
      </c>
      <c r="K893">
        <v>1</v>
      </c>
      <c r="L893" t="str">
        <f>HYPERLINK("https://jacobsschool.ucsd.edu/people/profile/stefan-llewellyn-smith","https://jacobsschool.ucsd.edu/people/profile/stefan-llewellyn-smith")</f>
        <v>https://jacobsschool.ucsd.edu/people/profile/stefan-llewellyn-smith</v>
      </c>
    </row>
    <row r="894" spans="1:12" x14ac:dyDescent="0.3">
      <c r="A894">
        <v>673</v>
      </c>
      <c r="B894" t="s">
        <v>1499</v>
      </c>
      <c r="C894" t="s">
        <v>1495</v>
      </c>
      <c r="D894" t="s">
        <v>161</v>
      </c>
      <c r="E894" t="s">
        <v>1500</v>
      </c>
      <c r="F894" t="s">
        <v>16</v>
      </c>
      <c r="G894" t="s">
        <v>17</v>
      </c>
      <c r="H894" t="s">
        <v>182</v>
      </c>
      <c r="I894">
        <v>48</v>
      </c>
      <c r="J894" t="s">
        <v>19</v>
      </c>
      <c r="K894">
        <v>1</v>
      </c>
      <c r="L894" t="str">
        <f>HYPERLINK("https://jacobsschool.ucsd.edu/people/profile/antonio-sanchez-perez","https://jacobsschool.ucsd.edu/people/profile/antonio-sanchez-perez")</f>
        <v>https://jacobsschool.ucsd.edu/people/profile/antonio-sanchez-perez</v>
      </c>
    </row>
    <row r="895" spans="1:12" x14ac:dyDescent="0.3">
      <c r="A895">
        <v>674</v>
      </c>
      <c r="B895" t="s">
        <v>1501</v>
      </c>
      <c r="C895" t="s">
        <v>1495</v>
      </c>
      <c r="D895" t="s">
        <v>161</v>
      </c>
      <c r="E895" t="s">
        <v>1502</v>
      </c>
      <c r="F895" t="s">
        <v>22</v>
      </c>
      <c r="G895" t="s">
        <v>23</v>
      </c>
      <c r="H895" t="s">
        <v>200</v>
      </c>
      <c r="I895">
        <v>41</v>
      </c>
      <c r="J895" t="s">
        <v>19</v>
      </c>
      <c r="K895">
        <v>1</v>
      </c>
      <c r="L895" t="str">
        <f>HYPERLINK("https://jacobsschool.ucsd.edu/people/profile/abhishek-saha","https://jacobsschool.ucsd.edu/people/profile/abhishek-saha")</f>
        <v>https://jacobsschool.ucsd.edu/people/profile/abhishek-saha</v>
      </c>
    </row>
    <row r="896" spans="1:12" x14ac:dyDescent="0.3">
      <c r="A896">
        <v>675</v>
      </c>
      <c r="B896" t="s">
        <v>1503</v>
      </c>
      <c r="C896" t="s">
        <v>1495</v>
      </c>
      <c r="D896" t="s">
        <v>161</v>
      </c>
      <c r="E896" t="s">
        <v>1504</v>
      </c>
      <c r="F896" t="s">
        <v>22</v>
      </c>
      <c r="G896" t="s">
        <v>23</v>
      </c>
      <c r="H896" t="s">
        <v>153</v>
      </c>
      <c r="I896">
        <v>77</v>
      </c>
      <c r="J896" t="s">
        <v>19</v>
      </c>
      <c r="K896">
        <v>1</v>
      </c>
      <c r="L896" t="str">
        <f>HYPERLINK("https://jacobsschool.ucsd.edu/people/profile/oliver-schmidt","https://jacobsschool.ucsd.edu/people/profile/oliver-schmidt")</f>
        <v>https://jacobsschool.ucsd.edu/people/profile/oliver-schmidt</v>
      </c>
    </row>
    <row r="897" spans="1:12" x14ac:dyDescent="0.3">
      <c r="A897">
        <v>677</v>
      </c>
      <c r="B897" t="s">
        <v>1507</v>
      </c>
      <c r="C897" t="s">
        <v>1495</v>
      </c>
      <c r="D897" t="s">
        <v>161</v>
      </c>
      <c r="E897" t="s">
        <v>1508</v>
      </c>
      <c r="F897" t="s">
        <v>62</v>
      </c>
      <c r="G897" t="s">
        <v>63</v>
      </c>
      <c r="H897" t="s">
        <v>159</v>
      </c>
      <c r="I897">
        <v>43</v>
      </c>
      <c r="J897" t="s">
        <v>19</v>
      </c>
      <c r="K897">
        <v>1</v>
      </c>
      <c r="L897" t="str">
        <f>HYPERLINK("https://jacobsschool.ucsd.edu/people/profile/david-saintillan","https://jacobsschool.ucsd.edu/people/profile/david-saintillan")</f>
        <v>https://jacobsschool.ucsd.edu/people/profile/david-saintillan</v>
      </c>
    </row>
    <row r="898" spans="1:12" x14ac:dyDescent="0.3">
      <c r="A898">
        <v>678</v>
      </c>
      <c r="B898" t="s">
        <v>1509</v>
      </c>
      <c r="C898" t="s">
        <v>1495</v>
      </c>
      <c r="D898" t="s">
        <v>161</v>
      </c>
      <c r="E898" t="s">
        <v>1510</v>
      </c>
      <c r="F898" t="s">
        <v>22</v>
      </c>
      <c r="G898" t="s">
        <v>23</v>
      </c>
      <c r="H898" t="s">
        <v>104</v>
      </c>
      <c r="I898">
        <v>99</v>
      </c>
      <c r="J898" t="s">
        <v>19</v>
      </c>
      <c r="K898">
        <v>1</v>
      </c>
      <c r="L898" t="str">
        <f>HYPERLINK("https://jacobsschool.ucsd.edu/node/3626","https://jacobsschool.ucsd.edu/node/3626")</f>
        <v>https://jacobsschool.ucsd.edu/node/3626</v>
      </c>
    </row>
    <row r="899" spans="1:12" x14ac:dyDescent="0.3">
      <c r="A899">
        <v>679</v>
      </c>
      <c r="B899" t="s">
        <v>1511</v>
      </c>
      <c r="C899" t="s">
        <v>1495</v>
      </c>
      <c r="D899" t="s">
        <v>161</v>
      </c>
      <c r="E899" t="s">
        <v>1512</v>
      </c>
      <c r="F899" t="s">
        <v>16</v>
      </c>
      <c r="G899" t="s">
        <v>17</v>
      </c>
      <c r="H899" t="s">
        <v>50</v>
      </c>
      <c r="I899">
        <v>76</v>
      </c>
      <c r="J899" t="s">
        <v>19</v>
      </c>
      <c r="K899">
        <v>1</v>
      </c>
      <c r="L899" t="str">
        <f>HYPERLINK("https://jacobsschool.ucsd.edu/people/profile/jan-kleissl","https://jacobsschool.ucsd.edu/people/profile/jan-kleissl")</f>
        <v>https://jacobsschool.ucsd.edu/people/profile/jan-kleissl</v>
      </c>
    </row>
    <row r="900" spans="1:12" x14ac:dyDescent="0.3">
      <c r="A900">
        <v>680</v>
      </c>
      <c r="B900" t="s">
        <v>1513</v>
      </c>
      <c r="C900" t="s">
        <v>1495</v>
      </c>
      <c r="D900" t="s">
        <v>161</v>
      </c>
      <c r="E900" t="s">
        <v>1514</v>
      </c>
      <c r="F900" t="s">
        <v>16</v>
      </c>
      <c r="G900" t="s">
        <v>17</v>
      </c>
      <c r="H900" t="s">
        <v>329</v>
      </c>
      <c r="I900">
        <v>308</v>
      </c>
      <c r="J900" t="s">
        <v>19</v>
      </c>
      <c r="K900">
        <v>1</v>
      </c>
      <c r="L900" t="str">
        <f>HYPERLINK("https://jacobsschool.ucsd.edu/people/profile/miroslav-krstic","https://jacobsschool.ucsd.edu/people/profile/miroslav-krstic")</f>
        <v>https://jacobsschool.ucsd.edu/people/profile/miroslav-krstic</v>
      </c>
    </row>
    <row r="901" spans="1:12" x14ac:dyDescent="0.3">
      <c r="A901">
        <v>681</v>
      </c>
      <c r="B901" t="s">
        <v>1515</v>
      </c>
      <c r="C901" t="s">
        <v>1495</v>
      </c>
      <c r="D901" t="s">
        <v>161</v>
      </c>
      <c r="E901" t="s">
        <v>1516</v>
      </c>
      <c r="F901" t="s">
        <v>16</v>
      </c>
      <c r="G901" t="s">
        <v>17</v>
      </c>
      <c r="H901" t="s">
        <v>417</v>
      </c>
      <c r="I901">
        <v>0</v>
      </c>
      <c r="J901" t="s">
        <v>19</v>
      </c>
      <c r="K901">
        <v>1</v>
      </c>
      <c r="L901" t="str">
        <f>HYPERLINK("https://jacobsschool.ucsd.edu/node/3257","https://jacobsschool.ucsd.edu/node/3257")</f>
        <v>https://jacobsschool.ucsd.edu/node/3257</v>
      </c>
    </row>
    <row r="902" spans="1:12" x14ac:dyDescent="0.3">
      <c r="A902">
        <v>686</v>
      </c>
      <c r="B902" t="s">
        <v>1525</v>
      </c>
      <c r="C902" t="s">
        <v>1526</v>
      </c>
      <c r="D902" t="s">
        <v>14</v>
      </c>
      <c r="E902" t="s">
        <v>1527</v>
      </c>
      <c r="F902" t="s">
        <v>16</v>
      </c>
      <c r="G902" t="s">
        <v>17</v>
      </c>
      <c r="H902" t="s">
        <v>24</v>
      </c>
      <c r="I902">
        <v>64</v>
      </c>
      <c r="J902" t="s">
        <v>19</v>
      </c>
      <c r="K902">
        <v>1</v>
      </c>
      <c r="L902" t="str">
        <f>HYPERLINK("https://me.ucsb.edu/people/eckart-meiburg","https://me.ucsb.edu/people/eckart-meiburg")</f>
        <v>https://me.ucsb.edu/people/eckart-meiburg</v>
      </c>
    </row>
    <row r="903" spans="1:12" x14ac:dyDescent="0.3">
      <c r="A903">
        <v>687</v>
      </c>
      <c r="B903" t="s">
        <v>1528</v>
      </c>
      <c r="C903" t="s">
        <v>1526</v>
      </c>
      <c r="D903" t="s">
        <v>14</v>
      </c>
      <c r="E903" t="s">
        <v>1529</v>
      </c>
      <c r="F903" t="s">
        <v>62</v>
      </c>
      <c r="G903" t="s">
        <v>63</v>
      </c>
      <c r="H903" t="s">
        <v>39</v>
      </c>
      <c r="I903">
        <v>24</v>
      </c>
      <c r="J903" t="s">
        <v>19</v>
      </c>
      <c r="K903">
        <v>1</v>
      </c>
      <c r="L903" t="str">
        <f>HYPERLINK("https://feslab.me.ucsb.edu/people/paolo-luzzatto-fegiz","https://feslab.me.ucsb.edu/people/paolo-luzzatto-fegiz")</f>
        <v>https://feslab.me.ucsb.edu/people/paolo-luzzatto-fegiz</v>
      </c>
    </row>
    <row r="904" spans="1:12" hidden="1" x14ac:dyDescent="0.3">
      <c r="A904">
        <v>903</v>
      </c>
      <c r="B904" t="s">
        <v>1980</v>
      </c>
      <c r="C904" t="s">
        <v>1958</v>
      </c>
      <c r="D904" t="s">
        <v>31</v>
      </c>
      <c r="E904" t="s">
        <v>1981</v>
      </c>
      <c r="F904" t="s">
        <v>27</v>
      </c>
      <c r="G904" t="s">
        <v>476</v>
      </c>
      <c r="H904" t="s">
        <v>301</v>
      </c>
      <c r="I904">
        <v>15</v>
      </c>
      <c r="J904" t="s">
        <v>19</v>
      </c>
      <c r="K904">
        <v>1</v>
      </c>
      <c r="L904" t="str">
        <f>HYPERLINK("https://lsa.umich.edu/math/people/faculty/krasny.html","https://lsa.umich.edu/math/people/faculty/krasny.html")</f>
        <v>https://lsa.umich.edu/math/people/faculty/krasny.html</v>
      </c>
    </row>
    <row r="905" spans="1:12" hidden="1" x14ac:dyDescent="0.3">
      <c r="A905">
        <v>904</v>
      </c>
      <c r="B905" t="s">
        <v>1982</v>
      </c>
      <c r="C905" t="s">
        <v>1958</v>
      </c>
      <c r="D905" t="s">
        <v>31</v>
      </c>
      <c r="E905" t="s">
        <v>57</v>
      </c>
      <c r="F905" t="s">
        <v>27</v>
      </c>
      <c r="G905" t="s">
        <v>476</v>
      </c>
      <c r="H905" t="s">
        <v>58</v>
      </c>
      <c r="I905">
        <v>0</v>
      </c>
      <c r="J905" t="s">
        <v>59</v>
      </c>
      <c r="K905">
        <v>2</v>
      </c>
      <c r="L905" t="str">
        <f>HYPERLINK("https://lsa.umich.edu/math/people/faculty/shravan.html","https://lsa.umich.edu/math/people/faculty/shravan.html")</f>
        <v>https://lsa.umich.edu/math/people/faculty/shravan.html</v>
      </c>
    </row>
    <row r="906" spans="1:12" x14ac:dyDescent="0.3">
      <c r="A906">
        <v>688</v>
      </c>
      <c r="B906" t="s">
        <v>1530</v>
      </c>
      <c r="C906" t="s">
        <v>1526</v>
      </c>
      <c r="D906" t="s">
        <v>14</v>
      </c>
      <c r="E906" t="s">
        <v>1531</v>
      </c>
      <c r="F906" t="s">
        <v>62</v>
      </c>
      <c r="G906" t="s">
        <v>63</v>
      </c>
      <c r="H906" t="s">
        <v>39</v>
      </c>
      <c r="I906">
        <v>23</v>
      </c>
      <c r="J906" t="s">
        <v>19</v>
      </c>
      <c r="K906">
        <v>1</v>
      </c>
      <c r="L906" t="str">
        <f>HYPERLINK("https://me.ucsb.edu/people/emilie-dressaire","https://me.ucsb.edu/people/emilie-dressaire")</f>
        <v>https://me.ucsb.edu/people/emilie-dressaire</v>
      </c>
    </row>
    <row r="907" spans="1:12" x14ac:dyDescent="0.3">
      <c r="A907">
        <v>691</v>
      </c>
      <c r="B907" t="s">
        <v>1536</v>
      </c>
      <c r="C907" t="s">
        <v>1526</v>
      </c>
      <c r="D907" t="s">
        <v>14</v>
      </c>
      <c r="E907" t="s">
        <v>1537</v>
      </c>
      <c r="F907" t="s">
        <v>16</v>
      </c>
      <c r="G907" t="s">
        <v>17</v>
      </c>
      <c r="H907" t="s">
        <v>417</v>
      </c>
      <c r="I907">
        <v>0</v>
      </c>
      <c r="J907" t="s">
        <v>19</v>
      </c>
      <c r="K907">
        <v>1</v>
      </c>
      <c r="L907" t="str">
        <f>HYPERLINK("https://me.ucsb.edu/people/jeff-moehlis","https://me.ucsb.edu/people/jeff-moehlis")</f>
        <v>https://me.ucsb.edu/people/jeff-moehlis</v>
      </c>
    </row>
    <row r="908" spans="1:12" x14ac:dyDescent="0.3">
      <c r="A908">
        <v>707</v>
      </c>
      <c r="B908" t="s">
        <v>1569</v>
      </c>
      <c r="C908" t="s">
        <v>1570</v>
      </c>
      <c r="D908" t="s">
        <v>161</v>
      </c>
      <c r="E908" t="s">
        <v>1571</v>
      </c>
      <c r="F908" t="s">
        <v>16</v>
      </c>
      <c r="G908" t="s">
        <v>17</v>
      </c>
      <c r="H908" t="s">
        <v>519</v>
      </c>
      <c r="I908">
        <v>50</v>
      </c>
      <c r="J908" t="s">
        <v>19</v>
      </c>
      <c r="K908">
        <v>1</v>
      </c>
      <c r="L908" t="str">
        <f>HYPERLINK("https://researchdirectory.uc.edu/p/kharept","https://researchdirectory.uc.edu/p/kharept")</f>
        <v>https://researchdirectory.uc.edu/p/kharept</v>
      </c>
    </row>
    <row r="909" spans="1:12" x14ac:dyDescent="0.3">
      <c r="A909">
        <v>708</v>
      </c>
      <c r="B909" t="s">
        <v>1572</v>
      </c>
      <c r="C909" t="s">
        <v>1570</v>
      </c>
      <c r="D909" t="s">
        <v>161</v>
      </c>
      <c r="E909" t="s">
        <v>1573</v>
      </c>
      <c r="F909" t="s">
        <v>16</v>
      </c>
      <c r="G909" t="s">
        <v>17</v>
      </c>
      <c r="H909" t="s">
        <v>519</v>
      </c>
      <c r="I909">
        <v>102</v>
      </c>
      <c r="J909" t="s">
        <v>19</v>
      </c>
      <c r="K909">
        <v>1</v>
      </c>
      <c r="L909" t="str">
        <f>HYPERLINK("https://researchdirectory.uc.edu/p/gutmarej","https://researchdirectory.uc.edu/p/gutmarej")</f>
        <v>https://researchdirectory.uc.edu/p/gutmarej</v>
      </c>
    </row>
    <row r="910" spans="1:12" x14ac:dyDescent="0.3">
      <c r="A910">
        <v>709</v>
      </c>
      <c r="B910" t="s">
        <v>1574</v>
      </c>
      <c r="C910" t="s">
        <v>1570</v>
      </c>
      <c r="D910" t="s">
        <v>161</v>
      </c>
      <c r="E910" t="s">
        <v>1575</v>
      </c>
      <c r="F910" t="s">
        <v>16</v>
      </c>
      <c r="G910" t="s">
        <v>17</v>
      </c>
      <c r="H910" t="s">
        <v>75</v>
      </c>
      <c r="I910">
        <v>40</v>
      </c>
      <c r="J910" t="s">
        <v>19</v>
      </c>
      <c r="K910">
        <v>1</v>
      </c>
      <c r="L910" t="str">
        <f>HYPERLINK("https://researchdirectory.uc.edu/p/cuppoldr","https://researchdirectory.uc.edu/p/cuppoldr")</f>
        <v>https://researchdirectory.uc.edu/p/cuppoldr</v>
      </c>
    </row>
    <row r="911" spans="1:12" x14ac:dyDescent="0.3">
      <c r="A911">
        <v>710</v>
      </c>
      <c r="B911" t="s">
        <v>1576</v>
      </c>
      <c r="C911" t="s">
        <v>1570</v>
      </c>
      <c r="D911" t="s">
        <v>161</v>
      </c>
      <c r="E911" t="s">
        <v>398</v>
      </c>
      <c r="F911" t="s">
        <v>16</v>
      </c>
      <c r="G911" t="s">
        <v>17</v>
      </c>
      <c r="H911" t="s">
        <v>58</v>
      </c>
      <c r="I911">
        <v>0</v>
      </c>
      <c r="J911" t="s">
        <v>19</v>
      </c>
      <c r="K911">
        <v>1</v>
      </c>
      <c r="L911" t="str">
        <f>HYPERLINK("https://researchdirectory.uc.edu/p/abdallsa","https://researchdirectory.uc.edu/p/abdallsa")</f>
        <v>https://researchdirectory.uc.edu/p/abdallsa</v>
      </c>
    </row>
    <row r="912" spans="1:12" x14ac:dyDescent="0.3">
      <c r="A912">
        <v>711</v>
      </c>
      <c r="B912" t="s">
        <v>1577</v>
      </c>
      <c r="C912" t="s">
        <v>1570</v>
      </c>
      <c r="D912" t="s">
        <v>161</v>
      </c>
      <c r="E912" t="s">
        <v>1578</v>
      </c>
      <c r="F912" t="s">
        <v>22</v>
      </c>
      <c r="G912" t="s">
        <v>23</v>
      </c>
      <c r="H912" t="s">
        <v>45</v>
      </c>
      <c r="I912">
        <v>61</v>
      </c>
      <c r="J912" t="s">
        <v>19</v>
      </c>
      <c r="K912">
        <v>1</v>
      </c>
      <c r="L912" t="str">
        <f>HYPERLINK("https://researchdirectory.uc.edu/p/cohenky","https://researchdirectory.uc.edu/p/cohenky")</f>
        <v>https://researchdirectory.uc.edu/p/cohenky</v>
      </c>
    </row>
    <row r="913" spans="1:12" x14ac:dyDescent="0.3">
      <c r="A913">
        <v>712</v>
      </c>
      <c r="B913" t="s">
        <v>1579</v>
      </c>
      <c r="C913" t="s">
        <v>1570</v>
      </c>
      <c r="D913" t="s">
        <v>161</v>
      </c>
      <c r="E913" t="s">
        <v>1580</v>
      </c>
      <c r="F913" t="s">
        <v>62</v>
      </c>
      <c r="G913" t="s">
        <v>63</v>
      </c>
      <c r="H913" t="s">
        <v>314</v>
      </c>
      <c r="I913">
        <v>77</v>
      </c>
      <c r="J913" t="s">
        <v>19</v>
      </c>
      <c r="K913">
        <v>1</v>
      </c>
      <c r="L913" t="str">
        <f>HYPERLINK("https://researchdirectory.uc.edu/p/sinhaab","https://researchdirectory.uc.edu/p/sinhaab")</f>
        <v>https://researchdirectory.uc.edu/p/sinhaab</v>
      </c>
    </row>
    <row r="914" spans="1:12" hidden="1" x14ac:dyDescent="0.3">
      <c r="A914">
        <v>913</v>
      </c>
      <c r="B914" t="s">
        <v>2000</v>
      </c>
      <c r="C914" t="s">
        <v>1984</v>
      </c>
      <c r="D914" t="s">
        <v>31</v>
      </c>
      <c r="E914" t="s">
        <v>2001</v>
      </c>
      <c r="F914" t="s">
        <v>27</v>
      </c>
      <c r="G914" t="s">
        <v>476</v>
      </c>
      <c r="H914" t="s">
        <v>305</v>
      </c>
      <c r="I914">
        <v>17</v>
      </c>
      <c r="J914" t="s">
        <v>19</v>
      </c>
      <c r="K914">
        <v>1</v>
      </c>
      <c r="L914" t="str">
        <f>HYPERLINK("https://cse.umn.edu/math/bernardo-cockburn","https://cse.umn.edu/math/bernardo-cockburn")</f>
        <v>https://cse.umn.edu/math/bernardo-cockburn</v>
      </c>
    </row>
    <row r="915" spans="1:12" hidden="1" x14ac:dyDescent="0.3">
      <c r="A915">
        <v>914</v>
      </c>
      <c r="B915" t="s">
        <v>2002</v>
      </c>
      <c r="C915" t="s">
        <v>1984</v>
      </c>
      <c r="D915" t="s">
        <v>31</v>
      </c>
      <c r="E915" t="s">
        <v>2003</v>
      </c>
      <c r="F915" t="s">
        <v>27</v>
      </c>
      <c r="G915" t="s">
        <v>476</v>
      </c>
      <c r="H915" t="s">
        <v>167</v>
      </c>
      <c r="I915">
        <v>7</v>
      </c>
      <c r="J915" t="s">
        <v>19</v>
      </c>
      <c r="K915">
        <v>1</v>
      </c>
      <c r="L915" t="str">
        <f>HYPERLINK("https://cse.umn.edu/math/douglas-n-arnold","https://cse.umn.edu/math/douglas-n-arnold")</f>
        <v>https://cse.umn.edu/math/douglas-n-arnold</v>
      </c>
    </row>
    <row r="916" spans="1:12" x14ac:dyDescent="0.3">
      <c r="A916">
        <v>714</v>
      </c>
      <c r="B916" t="s">
        <v>1583</v>
      </c>
      <c r="C916" t="s">
        <v>1570</v>
      </c>
      <c r="D916" t="s">
        <v>14</v>
      </c>
      <c r="E916" t="s">
        <v>1584</v>
      </c>
      <c r="F916" t="s">
        <v>62</v>
      </c>
      <c r="G916" t="s">
        <v>63</v>
      </c>
      <c r="H916" t="s">
        <v>140</v>
      </c>
      <c r="I916">
        <v>77</v>
      </c>
      <c r="J916" t="s">
        <v>19</v>
      </c>
      <c r="K916">
        <v>1</v>
      </c>
      <c r="L916" t="str">
        <f>HYPERLINK("https://researchdirectory.uc.edu/p/allamad","https://researchdirectory.uc.edu/p/allamad")</f>
        <v>https://researchdirectory.uc.edu/p/allamad</v>
      </c>
    </row>
    <row r="917" spans="1:12" x14ac:dyDescent="0.3">
      <c r="A917">
        <v>715</v>
      </c>
      <c r="B917" t="s">
        <v>1585</v>
      </c>
      <c r="C917" t="s">
        <v>1570</v>
      </c>
      <c r="D917" t="s">
        <v>14</v>
      </c>
      <c r="E917" t="s">
        <v>1586</v>
      </c>
      <c r="F917" t="s">
        <v>16</v>
      </c>
      <c r="G917" t="s">
        <v>17</v>
      </c>
      <c r="H917" t="s">
        <v>220</v>
      </c>
      <c r="I917">
        <v>346</v>
      </c>
      <c r="J917" t="s">
        <v>19</v>
      </c>
      <c r="K917">
        <v>1</v>
      </c>
      <c r="L917" t="str">
        <f>HYPERLINK("https://researchdirectory.uc.edu/p/kumarmu","https://researchdirectory.uc.edu/p/kumarmu")</f>
        <v>https://researchdirectory.uc.edu/p/kumarmu</v>
      </c>
    </row>
    <row r="918" spans="1:12" hidden="1" x14ac:dyDescent="0.3">
      <c r="A918">
        <v>917</v>
      </c>
      <c r="B918" t="s">
        <v>2009</v>
      </c>
      <c r="C918" t="s">
        <v>2005</v>
      </c>
      <c r="D918" t="s">
        <v>31</v>
      </c>
      <c r="E918" t="s">
        <v>2010</v>
      </c>
      <c r="F918" t="s">
        <v>22</v>
      </c>
      <c r="G918" t="s">
        <v>23</v>
      </c>
      <c r="H918" t="s">
        <v>92</v>
      </c>
      <c r="I918">
        <v>65</v>
      </c>
      <c r="J918" t="s">
        <v>19</v>
      </c>
      <c r="K918">
        <v>1</v>
      </c>
      <c r="L918" t="str">
        <f>HYPERLINK("https://olemiss.edu/profiles/jiang","https://olemiss.edu/profiles/jiang")</f>
        <v>https://olemiss.edu/profiles/jiang</v>
      </c>
    </row>
    <row r="919" spans="1:12" hidden="1" x14ac:dyDescent="0.3">
      <c r="A919">
        <v>918</v>
      </c>
      <c r="B919" t="s">
        <v>2011</v>
      </c>
      <c r="C919" t="s">
        <v>2005</v>
      </c>
      <c r="D919" t="s">
        <v>31</v>
      </c>
      <c r="E919" t="s">
        <v>57</v>
      </c>
      <c r="F919" t="s">
        <v>151</v>
      </c>
      <c r="G919" t="s">
        <v>152</v>
      </c>
      <c r="H919" t="s">
        <v>58</v>
      </c>
      <c r="I919">
        <v>0</v>
      </c>
      <c r="J919" t="s">
        <v>154</v>
      </c>
      <c r="K919">
        <v>3</v>
      </c>
      <c r="L919" t="str">
        <f>HYPERLINK("https://olemiss.edu/departments/engineering/mechanical-engineering/about/","https://olemiss.edu/departments/engineering/mechanical-engineering/about/")</f>
        <v>https://olemiss.edu/departments/engineering/mechanical-engineering/about/</v>
      </c>
    </row>
    <row r="920" spans="1:12" hidden="1" x14ac:dyDescent="0.3">
      <c r="A920">
        <v>919</v>
      </c>
      <c r="B920" t="s">
        <v>2012</v>
      </c>
      <c r="C920" t="s">
        <v>2005</v>
      </c>
      <c r="D920" t="s">
        <v>31</v>
      </c>
      <c r="E920" t="s">
        <v>2013</v>
      </c>
      <c r="F920" t="s">
        <v>114</v>
      </c>
      <c r="G920" t="s">
        <v>115</v>
      </c>
      <c r="H920" t="s">
        <v>53</v>
      </c>
      <c r="I920">
        <v>11</v>
      </c>
      <c r="J920" t="s">
        <v>116</v>
      </c>
      <c r="K920">
        <v>3</v>
      </c>
      <c r="L920" t="str">
        <f>HYPERLINK("https://olemiss.edu/math/about-mathematics/","https://olemiss.edu/math/about-mathematics/")</f>
        <v>https://olemiss.edu/math/about-mathematics/</v>
      </c>
    </row>
    <row r="921" spans="1:12" x14ac:dyDescent="0.3">
      <c r="A921">
        <v>716</v>
      </c>
      <c r="B921" t="s">
        <v>1587</v>
      </c>
      <c r="C921" t="s">
        <v>1588</v>
      </c>
      <c r="D921" t="s">
        <v>381</v>
      </c>
      <c r="E921" t="s">
        <v>1589</v>
      </c>
      <c r="F921" t="s">
        <v>62</v>
      </c>
      <c r="G921" t="s">
        <v>63</v>
      </c>
      <c r="H921" t="s">
        <v>29</v>
      </c>
      <c r="I921">
        <v>94</v>
      </c>
      <c r="J921" t="s">
        <v>19</v>
      </c>
      <c r="K921">
        <v>1</v>
      </c>
      <c r="L921" t="str">
        <f>HYPERLINK("https://www.colorado.edu/aerospace/iain-boyd","https://www.colorado.edu/aerospace/iain-boyd")</f>
        <v>https://www.colorado.edu/aerospace/iain-boyd</v>
      </c>
    </row>
    <row r="922" spans="1:12" x14ac:dyDescent="0.3">
      <c r="A922">
        <v>717</v>
      </c>
      <c r="B922" t="s">
        <v>1590</v>
      </c>
      <c r="C922" t="s">
        <v>1588</v>
      </c>
      <c r="D922" t="s">
        <v>381</v>
      </c>
      <c r="E922" t="s">
        <v>1591</v>
      </c>
      <c r="F922" t="s">
        <v>62</v>
      </c>
      <c r="G922" t="s">
        <v>63</v>
      </c>
      <c r="H922" t="s">
        <v>109</v>
      </c>
      <c r="I922">
        <v>18</v>
      </c>
      <c r="J922" t="s">
        <v>19</v>
      </c>
      <c r="K922">
        <v>1</v>
      </c>
      <c r="L922" t="str">
        <f>HYPERLINK("https://www.colorado.edu/aerospace/robyn-macdonald","https://www.colorado.edu/aerospace/robyn-macdonald")</f>
        <v>https://www.colorado.edu/aerospace/robyn-macdonald</v>
      </c>
    </row>
    <row r="923" spans="1:12" x14ac:dyDescent="0.3">
      <c r="A923">
        <v>718</v>
      </c>
      <c r="B923" t="s">
        <v>1592</v>
      </c>
      <c r="C923" t="s">
        <v>1588</v>
      </c>
      <c r="D923" t="s">
        <v>381</v>
      </c>
      <c r="E923" t="s">
        <v>1593</v>
      </c>
      <c r="F923" t="s">
        <v>62</v>
      </c>
      <c r="G923" t="s">
        <v>63</v>
      </c>
      <c r="H923" t="s">
        <v>329</v>
      </c>
      <c r="I923">
        <v>28</v>
      </c>
      <c r="J923" t="s">
        <v>19</v>
      </c>
      <c r="K923">
        <v>1</v>
      </c>
      <c r="L923" t="str">
        <f>HYPERLINK("https://www.colorado.edu/aerospace/kenneth-jansen","https://www.colorado.edu/aerospace/kenneth-jansen")</f>
        <v>https://www.colorado.edu/aerospace/kenneth-jansen</v>
      </c>
    </row>
    <row r="924" spans="1:12" x14ac:dyDescent="0.3">
      <c r="A924">
        <v>720</v>
      </c>
      <c r="B924" t="s">
        <v>1597</v>
      </c>
      <c r="C924" t="s">
        <v>1588</v>
      </c>
      <c r="D924" t="s">
        <v>381</v>
      </c>
      <c r="E924" t="s">
        <v>1598</v>
      </c>
      <c r="F924" t="s">
        <v>62</v>
      </c>
      <c r="G924" t="s">
        <v>63</v>
      </c>
      <c r="H924" t="s">
        <v>159</v>
      </c>
      <c r="I924">
        <v>75</v>
      </c>
      <c r="J924" t="s">
        <v>19</v>
      </c>
      <c r="K924">
        <v>1</v>
      </c>
      <c r="L924" t="str">
        <f>HYPERLINK("https://www.colorado.edu/aerospace/alireza-doostan","https://www.colorado.edu/aerospace/alireza-doostan")</f>
        <v>https://www.colorado.edu/aerospace/alireza-doostan</v>
      </c>
    </row>
    <row r="925" spans="1:12" x14ac:dyDescent="0.3">
      <c r="A925">
        <v>722</v>
      </c>
      <c r="B925" t="s">
        <v>1601</v>
      </c>
      <c r="C925" t="s">
        <v>1588</v>
      </c>
      <c r="D925" t="s">
        <v>381</v>
      </c>
      <c r="E925" t="s">
        <v>57</v>
      </c>
      <c r="F925" t="s">
        <v>62</v>
      </c>
      <c r="G925" t="s">
        <v>63</v>
      </c>
      <c r="H925" t="s">
        <v>58</v>
      </c>
      <c r="I925">
        <v>0</v>
      </c>
      <c r="J925" t="s">
        <v>19</v>
      </c>
      <c r="K925">
        <v>1</v>
      </c>
      <c r="L925" t="str">
        <f>HYPERLINK("https://www.colorado.edu/aerospace/hisham-ali","https://www.colorado.edu/aerospace/hisham-ali")</f>
        <v>https://www.colorado.edu/aerospace/hisham-ali</v>
      </c>
    </row>
    <row r="926" spans="1:12" x14ac:dyDescent="0.3">
      <c r="A926">
        <v>723</v>
      </c>
      <c r="B926" t="s">
        <v>1602</v>
      </c>
      <c r="C926" t="s">
        <v>1588</v>
      </c>
      <c r="D926" t="s">
        <v>14</v>
      </c>
      <c r="E926" t="s">
        <v>1603</v>
      </c>
      <c r="F926" t="s">
        <v>16</v>
      </c>
      <c r="G926" t="s">
        <v>17</v>
      </c>
      <c r="H926" t="s">
        <v>225</v>
      </c>
      <c r="I926">
        <v>39</v>
      </c>
      <c r="J926" t="s">
        <v>19</v>
      </c>
      <c r="K926">
        <v>1</v>
      </c>
      <c r="L926" t="str">
        <f>HYPERLINK("https://www.colorado.edu/mechanical/peter-hamlington","https://www.colorado.edu/mechanical/peter-hamlington")</f>
        <v>https://www.colorado.edu/mechanical/peter-hamlington</v>
      </c>
    </row>
    <row r="927" spans="1:12" x14ac:dyDescent="0.3">
      <c r="A927">
        <v>724</v>
      </c>
      <c r="B927" t="s">
        <v>1604</v>
      </c>
      <c r="C927" t="s">
        <v>1588</v>
      </c>
      <c r="D927" t="s">
        <v>14</v>
      </c>
      <c r="E927" t="s">
        <v>1605</v>
      </c>
      <c r="F927" t="s">
        <v>62</v>
      </c>
      <c r="G927" t="s">
        <v>63</v>
      </c>
      <c r="H927" t="s">
        <v>182</v>
      </c>
      <c r="I927">
        <v>29</v>
      </c>
      <c r="J927" t="s">
        <v>19</v>
      </c>
      <c r="K927">
        <v>1</v>
      </c>
      <c r="L927" t="str">
        <f>HYPERLINK("https://www.colorado.edu/mechanical/nicole-labbe","https://www.colorado.edu/mechanical/nicole-labbe")</f>
        <v>https://www.colorado.edu/mechanical/nicole-labbe</v>
      </c>
    </row>
    <row r="928" spans="1:12" x14ac:dyDescent="0.3">
      <c r="A928">
        <v>729</v>
      </c>
      <c r="B928" t="s">
        <v>1615</v>
      </c>
      <c r="C928" t="s">
        <v>1613</v>
      </c>
      <c r="D928" t="s">
        <v>161</v>
      </c>
      <c r="E928" t="s">
        <v>1616</v>
      </c>
      <c r="F928" t="s">
        <v>335</v>
      </c>
      <c r="G928" t="s">
        <v>336</v>
      </c>
      <c r="H928" t="s">
        <v>225</v>
      </c>
      <c r="I928">
        <v>18</v>
      </c>
      <c r="J928" t="s">
        <v>19</v>
      </c>
      <c r="K928">
        <v>1</v>
      </c>
      <c r="L928" t="str">
        <f>HYPERLINK("https://mechanical-aerospace-manufacturing.engineering.uconn.edu/person/george-matheou/","https://mechanical-aerospace-manufacturing.engineering.uconn.edu/person/george-matheou/")</f>
        <v>https://mechanical-aerospace-manufacturing.engineering.uconn.edu/person/george-matheou/</v>
      </c>
    </row>
    <row r="929" spans="1:12" hidden="1" x14ac:dyDescent="0.3">
      <c r="A929">
        <v>928</v>
      </c>
      <c r="B929" t="s">
        <v>2030</v>
      </c>
      <c r="C929" t="s">
        <v>2022</v>
      </c>
      <c r="D929" t="s">
        <v>31</v>
      </c>
      <c r="E929" t="s">
        <v>2031</v>
      </c>
      <c r="F929" t="s">
        <v>27</v>
      </c>
      <c r="G929" t="s">
        <v>28</v>
      </c>
      <c r="H929" t="s">
        <v>254</v>
      </c>
      <c r="I929">
        <v>23</v>
      </c>
      <c r="J929" t="s">
        <v>19</v>
      </c>
      <c r="K929">
        <v>1</v>
      </c>
      <c r="L929" t="str">
        <f>HYPERLINK("https://sse.umkc.edu/profiles/cao-shuhao.html","https://sse.umkc.edu/profiles/cao-shuhao.html")</f>
        <v>https://sse.umkc.edu/profiles/cao-shuhao.html</v>
      </c>
    </row>
    <row r="930" spans="1:12" hidden="1" x14ac:dyDescent="0.3">
      <c r="A930">
        <v>929</v>
      </c>
      <c r="B930" t="s">
        <v>2032</v>
      </c>
      <c r="C930" t="s">
        <v>2022</v>
      </c>
      <c r="D930" t="s">
        <v>31</v>
      </c>
      <c r="E930" t="s">
        <v>2033</v>
      </c>
      <c r="F930" t="s">
        <v>27</v>
      </c>
      <c r="G930" t="s">
        <v>28</v>
      </c>
      <c r="H930" t="s">
        <v>305</v>
      </c>
      <c r="I930">
        <v>6</v>
      </c>
      <c r="J930" t="s">
        <v>19</v>
      </c>
      <c r="K930">
        <v>1</v>
      </c>
      <c r="L930" t="str">
        <f>HYPERLINK("https://sse.umkc.edu/profiles/qiao-zhuang.html","https://sse.umkc.edu/profiles/qiao-zhuang.html")</f>
        <v>https://sse.umkc.edu/profiles/qiao-zhuang.html</v>
      </c>
    </row>
    <row r="931" spans="1:12" hidden="1" x14ac:dyDescent="0.3">
      <c r="A931">
        <v>930</v>
      </c>
      <c r="B931" t="s">
        <v>2034</v>
      </c>
      <c r="C931" t="s">
        <v>2022</v>
      </c>
      <c r="D931" t="s">
        <v>31</v>
      </c>
      <c r="E931" t="s">
        <v>2035</v>
      </c>
      <c r="F931" t="s">
        <v>27</v>
      </c>
      <c r="G931" t="s">
        <v>28</v>
      </c>
      <c r="H931" t="s">
        <v>39</v>
      </c>
      <c r="I931">
        <v>39</v>
      </c>
      <c r="J931" t="s">
        <v>19</v>
      </c>
      <c r="K931">
        <v>1</v>
      </c>
      <c r="L931" t="str">
        <f>HYPERLINK("https://sse.umkc.edu/profiles/bani-yaghoub-majid.html","https://sse.umkc.edu/profiles/bani-yaghoub-majid.html")</f>
        <v>https://sse.umkc.edu/profiles/bani-yaghoub-majid.html</v>
      </c>
    </row>
    <row r="932" spans="1:12" x14ac:dyDescent="0.3">
      <c r="A932">
        <v>730</v>
      </c>
      <c r="B932" t="s">
        <v>1617</v>
      </c>
      <c r="C932" t="s">
        <v>1613</v>
      </c>
      <c r="D932" t="s">
        <v>161</v>
      </c>
      <c r="E932" t="s">
        <v>1618</v>
      </c>
      <c r="F932" t="s">
        <v>27</v>
      </c>
      <c r="G932" t="s">
        <v>28</v>
      </c>
      <c r="H932" t="s">
        <v>24</v>
      </c>
      <c r="I932">
        <v>684</v>
      </c>
      <c r="J932" t="s">
        <v>19</v>
      </c>
      <c r="K932">
        <v>1</v>
      </c>
      <c r="L932" t="str">
        <f>HYPERLINK("https://mechanical-aerospace-manufacturing.engineering.uconn.edu/person/xinyu-zhao/","https://mechanical-aerospace-manufacturing.engineering.uconn.edu/person/xinyu-zhao/")</f>
        <v>https://mechanical-aerospace-manufacturing.engineering.uconn.edu/person/xinyu-zhao/</v>
      </c>
    </row>
    <row r="933" spans="1:12" x14ac:dyDescent="0.3">
      <c r="A933">
        <v>731</v>
      </c>
      <c r="B933" t="s">
        <v>1619</v>
      </c>
      <c r="C933" t="s">
        <v>1613</v>
      </c>
      <c r="D933" t="s">
        <v>161</v>
      </c>
      <c r="E933" t="s">
        <v>1620</v>
      </c>
      <c r="F933" t="s">
        <v>335</v>
      </c>
      <c r="G933" t="s">
        <v>336</v>
      </c>
      <c r="H933" t="s">
        <v>124</v>
      </c>
      <c r="I933">
        <v>33</v>
      </c>
      <c r="J933" t="s">
        <v>19</v>
      </c>
      <c r="K933">
        <v>1</v>
      </c>
      <c r="L933" t="str">
        <f>HYPERLINK("https://mechanical-aerospace-manufacturing.engineering.uconn.edu/person/chih-jen-sung/","https://mechanical-aerospace-manufacturing.engineering.uconn.edu/person/chih-jen-sung/")</f>
        <v>https://mechanical-aerospace-manufacturing.engineering.uconn.edu/person/chih-jen-sung/</v>
      </c>
    </row>
    <row r="934" spans="1:12" hidden="1" x14ac:dyDescent="0.3">
      <c r="A934">
        <v>933</v>
      </c>
      <c r="B934" t="s">
        <v>2040</v>
      </c>
      <c r="C934" t="s">
        <v>2037</v>
      </c>
      <c r="D934" t="s">
        <v>31</v>
      </c>
      <c r="E934" t="s">
        <v>2041</v>
      </c>
      <c r="F934" t="s">
        <v>114</v>
      </c>
      <c r="G934" t="s">
        <v>115</v>
      </c>
      <c r="H934" t="s">
        <v>140</v>
      </c>
      <c r="I934">
        <v>36</v>
      </c>
      <c r="J934" t="s">
        <v>116</v>
      </c>
      <c r="K934">
        <v>3</v>
      </c>
      <c r="L934" t="str">
        <f>HYPERLINK("https://engineering.unl.edu/mme/about/faculty-staff/","https://engineering.unl.edu/mme/about/faculty-staff/")</f>
        <v>https://engineering.unl.edu/mme/about/faculty-staff/</v>
      </c>
    </row>
    <row r="935" spans="1:12" x14ac:dyDescent="0.3">
      <c r="A935">
        <v>732</v>
      </c>
      <c r="B935" t="s">
        <v>1621</v>
      </c>
      <c r="C935" t="s">
        <v>1613</v>
      </c>
      <c r="D935" t="s">
        <v>161</v>
      </c>
      <c r="E935" t="s">
        <v>1622</v>
      </c>
      <c r="F935" t="s">
        <v>335</v>
      </c>
      <c r="G935" t="s">
        <v>336</v>
      </c>
      <c r="H935" t="s">
        <v>305</v>
      </c>
      <c r="I935">
        <v>1</v>
      </c>
      <c r="J935" t="s">
        <v>19</v>
      </c>
      <c r="K935">
        <v>1</v>
      </c>
      <c r="L935" t="str">
        <f>HYPERLINK("https://mechanical-aerospace-manufacturing.engineering.uconn.edu/person/baki-cetegen/","https://mechanical-aerospace-manufacturing.engineering.uconn.edu/person/baki-cetegen/")</f>
        <v>https://mechanical-aerospace-manufacturing.engineering.uconn.edu/person/baki-cetegen/</v>
      </c>
    </row>
    <row r="936" spans="1:12" x14ac:dyDescent="0.3">
      <c r="A936">
        <v>736</v>
      </c>
      <c r="B936" t="s">
        <v>1629</v>
      </c>
      <c r="C936" t="s">
        <v>1630</v>
      </c>
      <c r="D936" t="s">
        <v>161</v>
      </c>
      <c r="E936" t="s">
        <v>1631</v>
      </c>
      <c r="F936" t="s">
        <v>16</v>
      </c>
      <c r="G936" t="s">
        <v>17</v>
      </c>
      <c r="H936" t="s">
        <v>36</v>
      </c>
      <c r="I936">
        <v>30</v>
      </c>
      <c r="J936" t="s">
        <v>19</v>
      </c>
      <c r="K936">
        <v>1</v>
      </c>
      <c r="L936" t="str">
        <f>HYPERLINK("https://udayton.edu/directory/engineering/mechanical-and-aerospace/rumpfkeil_markus.php","https://udayton.edu/directory/engineering/mechanical-and-aerospace/rumpfkeil_markus.php")</f>
        <v>https://udayton.edu/directory/engineering/mechanical-and-aerospace/rumpfkeil_markus.php</v>
      </c>
    </row>
    <row r="937" spans="1:12" x14ac:dyDescent="0.3">
      <c r="A937">
        <v>738</v>
      </c>
      <c r="B937" t="s">
        <v>1634</v>
      </c>
      <c r="C937" t="s">
        <v>1630</v>
      </c>
      <c r="D937" t="s">
        <v>161</v>
      </c>
      <c r="E937" t="s">
        <v>1635</v>
      </c>
      <c r="F937" t="s">
        <v>62</v>
      </c>
      <c r="G937" t="s">
        <v>63</v>
      </c>
      <c r="H937" t="s">
        <v>167</v>
      </c>
      <c r="I937">
        <v>12</v>
      </c>
      <c r="J937" t="s">
        <v>19</v>
      </c>
      <c r="K937">
        <v>1</v>
      </c>
      <c r="L937" t="str">
        <f>HYPERLINK("https://udayton.edu/directory/engineering/mechanical-and-aerospace/crowe-darrell.php","https://udayton.edu/directory/engineering/mechanical-and-aerospace/crowe-darrell.php")</f>
        <v>https://udayton.edu/directory/engineering/mechanical-and-aerospace/crowe-darrell.php</v>
      </c>
    </row>
    <row r="938" spans="1:12" hidden="1" x14ac:dyDescent="0.3">
      <c r="A938">
        <v>937</v>
      </c>
      <c r="B938" t="s">
        <v>2047</v>
      </c>
      <c r="C938" t="s">
        <v>2037</v>
      </c>
      <c r="D938" t="s">
        <v>31</v>
      </c>
      <c r="E938" t="s">
        <v>2048</v>
      </c>
      <c r="F938" t="s">
        <v>16</v>
      </c>
      <c r="G938" t="s">
        <v>17</v>
      </c>
      <c r="H938" t="s">
        <v>85</v>
      </c>
      <c r="I938">
        <v>38</v>
      </c>
      <c r="J938" t="s">
        <v>19</v>
      </c>
      <c r="K938">
        <v>1</v>
      </c>
      <c r="L938" t="str">
        <f>HYPERLINK("https://math.unl.edu/person/adam-larios/","https://math.unl.edu/person/adam-larios/")</f>
        <v>https://math.unl.edu/person/adam-larios/</v>
      </c>
    </row>
    <row r="939" spans="1:12" hidden="1" x14ac:dyDescent="0.3">
      <c r="A939">
        <v>938</v>
      </c>
      <c r="B939" t="s">
        <v>2049</v>
      </c>
      <c r="C939" t="s">
        <v>2037</v>
      </c>
      <c r="D939" t="s">
        <v>31</v>
      </c>
      <c r="E939" t="s">
        <v>2050</v>
      </c>
      <c r="F939" t="s">
        <v>27</v>
      </c>
      <c r="G939" t="s">
        <v>28</v>
      </c>
      <c r="H939" t="s">
        <v>225</v>
      </c>
      <c r="I939">
        <v>10</v>
      </c>
      <c r="J939" t="s">
        <v>19</v>
      </c>
      <c r="K939">
        <v>1</v>
      </c>
      <c r="L939" t="str">
        <f>HYPERLINK("https://math.unl.edu/people/faculty/","https://math.unl.edu/people/faculty/")</f>
        <v>https://math.unl.edu/people/faculty/</v>
      </c>
    </row>
    <row r="940" spans="1:12" x14ac:dyDescent="0.3">
      <c r="A940">
        <v>739</v>
      </c>
      <c r="B940" t="s">
        <v>1636</v>
      </c>
      <c r="C940" t="s">
        <v>1630</v>
      </c>
      <c r="D940" t="s">
        <v>161</v>
      </c>
      <c r="E940" t="s">
        <v>1637</v>
      </c>
      <c r="F940" t="s">
        <v>62</v>
      </c>
      <c r="G940" t="s">
        <v>63</v>
      </c>
      <c r="H940" t="s">
        <v>159</v>
      </c>
      <c r="I940">
        <v>19</v>
      </c>
      <c r="J940" t="s">
        <v>19</v>
      </c>
      <c r="K940">
        <v>1</v>
      </c>
      <c r="L940" t="str">
        <f>HYPERLINK("https://udayton.edu/directory/engineering/mechanical-and-aerospace/amin-abdullah.php","https://udayton.edu/directory/engineering/mechanical-and-aerospace/amin-abdullah.php")</f>
        <v>https://udayton.edu/directory/engineering/mechanical-and-aerospace/amin-abdullah.php</v>
      </c>
    </row>
    <row r="941" spans="1:12" x14ac:dyDescent="0.3">
      <c r="A941">
        <v>741</v>
      </c>
      <c r="B941" t="s">
        <v>1640</v>
      </c>
      <c r="C941" t="s">
        <v>1641</v>
      </c>
      <c r="D941" t="s">
        <v>14</v>
      </c>
      <c r="E941" t="s">
        <v>1642</v>
      </c>
      <c r="F941" t="s">
        <v>16</v>
      </c>
      <c r="G941" t="s">
        <v>17</v>
      </c>
      <c r="H941" t="s">
        <v>305</v>
      </c>
      <c r="I941">
        <v>24</v>
      </c>
      <c r="J941" t="s">
        <v>19</v>
      </c>
      <c r="K941">
        <v>1</v>
      </c>
      <c r="L941" t="str">
        <f>HYPERLINK("https://me.udel.edu/people/faculty-profiles/","https://me.udel.edu/people/faculty-profiles/")</f>
        <v>https://me.udel.edu/people/faculty-profiles/</v>
      </c>
    </row>
    <row r="942" spans="1:12" x14ac:dyDescent="0.3">
      <c r="A942">
        <v>742</v>
      </c>
      <c r="B942" t="s">
        <v>1643</v>
      </c>
      <c r="C942" t="s">
        <v>1641</v>
      </c>
      <c r="D942" t="s">
        <v>14</v>
      </c>
      <c r="E942" t="s">
        <v>1644</v>
      </c>
      <c r="F942" t="s">
        <v>16</v>
      </c>
      <c r="G942" t="s">
        <v>17</v>
      </c>
      <c r="H942" t="s">
        <v>159</v>
      </c>
      <c r="I942">
        <v>21</v>
      </c>
      <c r="J942" t="s">
        <v>19</v>
      </c>
      <c r="K942">
        <v>1</v>
      </c>
      <c r="L942" t="str">
        <f>HYPERLINK("https://me.udel.edu/people/faculty-profiles/","https://me.udel.edu/people/faculty-profiles/")</f>
        <v>https://me.udel.edu/people/faculty-profiles/</v>
      </c>
    </row>
    <row r="943" spans="1:12" hidden="1" x14ac:dyDescent="0.3">
      <c r="A943">
        <v>942</v>
      </c>
      <c r="B943" t="s">
        <v>2055</v>
      </c>
      <c r="C943" t="s">
        <v>2052</v>
      </c>
      <c r="D943" t="s">
        <v>31</v>
      </c>
      <c r="E943" t="s">
        <v>2056</v>
      </c>
      <c r="F943" t="s">
        <v>16</v>
      </c>
      <c r="G943" t="s">
        <v>17</v>
      </c>
      <c r="H943" t="s">
        <v>39</v>
      </c>
      <c r="I943">
        <v>14</v>
      </c>
      <c r="J943" t="s">
        <v>19</v>
      </c>
      <c r="K943">
        <v>1</v>
      </c>
      <c r="L943" t="str">
        <f>HYPERLINK("https://www.unlv.edu/people/monika-neda","https://www.unlv.edu/people/monika-neda")</f>
        <v>https://www.unlv.edu/people/monika-neda</v>
      </c>
    </row>
    <row r="944" spans="1:12" hidden="1" x14ac:dyDescent="0.3">
      <c r="A944">
        <v>943</v>
      </c>
      <c r="B944" t="s">
        <v>2057</v>
      </c>
      <c r="C944" t="s">
        <v>2052</v>
      </c>
      <c r="D944" t="s">
        <v>31</v>
      </c>
      <c r="E944" t="s">
        <v>2058</v>
      </c>
      <c r="F944" t="s">
        <v>16</v>
      </c>
      <c r="G944" t="s">
        <v>17</v>
      </c>
      <c r="H944" t="s">
        <v>182</v>
      </c>
      <c r="I944">
        <v>45</v>
      </c>
      <c r="J944" t="s">
        <v>19</v>
      </c>
      <c r="K944">
        <v>1</v>
      </c>
      <c r="L944" t="str">
        <f>HYPERLINK("https://www.unlv.edu/people/jichun-li","https://www.unlv.edu/people/jichun-li")</f>
        <v>https://www.unlv.edu/people/jichun-li</v>
      </c>
    </row>
    <row r="945" spans="1:12" hidden="1" x14ac:dyDescent="0.3">
      <c r="A945">
        <v>944</v>
      </c>
      <c r="B945" t="s">
        <v>2059</v>
      </c>
      <c r="C945" t="s">
        <v>2052</v>
      </c>
      <c r="D945" t="s">
        <v>31</v>
      </c>
      <c r="E945" t="s">
        <v>2060</v>
      </c>
      <c r="F945" t="s">
        <v>16</v>
      </c>
      <c r="G945" t="s">
        <v>17</v>
      </c>
      <c r="H945" t="s">
        <v>406</v>
      </c>
      <c r="I945">
        <v>26</v>
      </c>
      <c r="J945" t="s">
        <v>19</v>
      </c>
      <c r="K945">
        <v>1</v>
      </c>
      <c r="L945" t="str">
        <f>HYPERLINK("https://www.unlv.edu/people/pengtao-sun","https://www.unlv.edu/people/pengtao-sun")</f>
        <v>https://www.unlv.edu/people/pengtao-sun</v>
      </c>
    </row>
    <row r="946" spans="1:12" x14ac:dyDescent="0.3">
      <c r="A946">
        <v>747</v>
      </c>
      <c r="B946" t="s">
        <v>1653</v>
      </c>
      <c r="C946" t="s">
        <v>1641</v>
      </c>
      <c r="D946" t="s">
        <v>381</v>
      </c>
      <c r="E946" t="s">
        <v>1654</v>
      </c>
      <c r="F946" t="s">
        <v>83</v>
      </c>
      <c r="G946" t="s">
        <v>84</v>
      </c>
      <c r="H946" t="s">
        <v>516</v>
      </c>
      <c r="I946">
        <v>16</v>
      </c>
      <c r="J946" t="s">
        <v>19</v>
      </c>
      <c r="K946">
        <v>1</v>
      </c>
      <c r="L946" t="str">
        <f>HYPERLINK("https://www.udel.edu/academics/colleges/ceoe/departments/smsp/","https://www.udel.edu/academics/colleges/ceoe/departments/smsp/")</f>
        <v>https://www.udel.edu/academics/colleges/ceoe/departments/smsp/</v>
      </c>
    </row>
    <row r="947" spans="1:12" x14ac:dyDescent="0.3">
      <c r="A947">
        <v>757</v>
      </c>
      <c r="B947" t="s">
        <v>1675</v>
      </c>
      <c r="C947" t="s">
        <v>1676</v>
      </c>
      <c r="D947" t="s">
        <v>14</v>
      </c>
      <c r="E947" t="s">
        <v>1677</v>
      </c>
      <c r="F947" t="s">
        <v>27</v>
      </c>
      <c r="G947" t="s">
        <v>28</v>
      </c>
      <c r="H947" t="s">
        <v>1678</v>
      </c>
      <c r="I947">
        <v>12</v>
      </c>
      <c r="J947" t="s">
        <v>19</v>
      </c>
      <c r="K947">
        <v>1</v>
      </c>
      <c r="L947" t="str">
        <f>HYPERLINK("https://engineering.uga.edu/directory/benjamin-davis/","https://engineering.uga.edu/directory/benjamin-davis/")</f>
        <v>https://engineering.uga.edu/directory/benjamin-davis/</v>
      </c>
    </row>
    <row r="948" spans="1:12" x14ac:dyDescent="0.3">
      <c r="A948">
        <v>758</v>
      </c>
      <c r="B948" t="s">
        <v>1679</v>
      </c>
      <c r="C948" t="s">
        <v>1676</v>
      </c>
      <c r="D948" t="s">
        <v>14</v>
      </c>
      <c r="E948" t="s">
        <v>1680</v>
      </c>
      <c r="F948" t="s">
        <v>62</v>
      </c>
      <c r="G948" t="s">
        <v>63</v>
      </c>
      <c r="H948" t="s">
        <v>39</v>
      </c>
      <c r="I948">
        <v>33</v>
      </c>
      <c r="J948" t="s">
        <v>19</v>
      </c>
      <c r="K948">
        <v>1</v>
      </c>
      <c r="L948" t="str">
        <f>HYPERLINK("https://engineering.uga.edu/directory/brandon-rotavera/","https://engineering.uga.edu/directory/brandon-rotavera/")</f>
        <v>https://engineering.uga.edu/directory/brandon-rotavera/</v>
      </c>
    </row>
    <row r="949" spans="1:12" x14ac:dyDescent="0.3">
      <c r="A949">
        <v>761</v>
      </c>
      <c r="B949" t="s">
        <v>1685</v>
      </c>
      <c r="C949" t="s">
        <v>1676</v>
      </c>
      <c r="D949" t="s">
        <v>14</v>
      </c>
      <c r="E949" t="s">
        <v>1686</v>
      </c>
      <c r="F949" t="s">
        <v>62</v>
      </c>
      <c r="G949" t="s">
        <v>63</v>
      </c>
      <c r="H949" t="s">
        <v>225</v>
      </c>
      <c r="I949">
        <v>35</v>
      </c>
      <c r="J949" t="s">
        <v>19</v>
      </c>
      <c r="K949">
        <v>1</v>
      </c>
      <c r="L949" t="str">
        <f>HYPERLINK("https://engineering.uga.edu/directory/c-brock-woodson/","https://engineering.uga.edu/directory/c-brock-woodson/")</f>
        <v>https://engineering.uga.edu/directory/c-brock-woodson/</v>
      </c>
    </row>
    <row r="950" spans="1:12" x14ac:dyDescent="0.3">
      <c r="A950">
        <v>762</v>
      </c>
      <c r="B950" t="s">
        <v>1687</v>
      </c>
      <c r="C950" t="s">
        <v>1676</v>
      </c>
      <c r="D950" t="s">
        <v>14</v>
      </c>
      <c r="E950" t="s">
        <v>1688</v>
      </c>
      <c r="F950" t="s">
        <v>62</v>
      </c>
      <c r="G950" t="s">
        <v>63</v>
      </c>
      <c r="H950" t="s">
        <v>842</v>
      </c>
      <c r="I950">
        <v>16</v>
      </c>
      <c r="J950" t="s">
        <v>19</v>
      </c>
      <c r="K950">
        <v>1</v>
      </c>
      <c r="L950" t="str">
        <f>HYPERLINK("https://engineering.uga.edu/directory/felix-santiago-collazo/","https://engineering.uga.edu/directory/felix-santiago-collazo/")</f>
        <v>https://engineering.uga.edu/directory/felix-santiago-collazo/</v>
      </c>
    </row>
    <row r="951" spans="1:12" x14ac:dyDescent="0.3">
      <c r="A951">
        <v>764</v>
      </c>
      <c r="B951" t="s">
        <v>1693</v>
      </c>
      <c r="C951" t="s">
        <v>1694</v>
      </c>
      <c r="D951" t="s">
        <v>48</v>
      </c>
      <c r="E951" t="s">
        <v>1695</v>
      </c>
      <c r="F951" t="s">
        <v>62</v>
      </c>
      <c r="G951" t="s">
        <v>63</v>
      </c>
      <c r="H951" t="s">
        <v>314</v>
      </c>
      <c r="I951">
        <v>17</v>
      </c>
      <c r="J951" t="s">
        <v>19</v>
      </c>
      <c r="K951">
        <v>1</v>
      </c>
      <c r="L951" t="str">
        <f>HYPERLINK("https://www.soest.hawaii.edu/ore/people/faculty/kwok-fai-cheung/","https://www.soest.hawaii.edu/ore/people/faculty/kwok-fai-cheung/")</f>
        <v>https://www.soest.hawaii.edu/ore/people/faculty/kwok-fai-cheung/</v>
      </c>
    </row>
    <row r="952" spans="1:12" hidden="1" x14ac:dyDescent="0.3">
      <c r="A952">
        <v>951</v>
      </c>
      <c r="B952" t="s">
        <v>2073</v>
      </c>
      <c r="C952" t="s">
        <v>2062</v>
      </c>
      <c r="D952" t="s">
        <v>31</v>
      </c>
      <c r="E952" t="s">
        <v>2074</v>
      </c>
      <c r="F952" t="s">
        <v>27</v>
      </c>
      <c r="G952" t="s">
        <v>28</v>
      </c>
      <c r="H952" t="s">
        <v>182</v>
      </c>
      <c r="I952">
        <v>9</v>
      </c>
      <c r="J952" t="s">
        <v>19</v>
      </c>
      <c r="K952">
        <v>1</v>
      </c>
      <c r="L952" t="str">
        <f>HYPERLINK("https://www.unr.edu/me/people/yanyao-jiang","https://www.unr.edu/me/people/yanyao-jiang")</f>
        <v>https://www.unr.edu/me/people/yanyao-jiang</v>
      </c>
    </row>
    <row r="953" spans="1:12" hidden="1" x14ac:dyDescent="0.3">
      <c r="A953">
        <v>952</v>
      </c>
      <c r="B953" t="s">
        <v>2075</v>
      </c>
      <c r="C953" t="s">
        <v>2062</v>
      </c>
      <c r="D953" t="s">
        <v>31</v>
      </c>
      <c r="E953" t="s">
        <v>2076</v>
      </c>
      <c r="F953" t="s">
        <v>27</v>
      </c>
      <c r="G953" t="s">
        <v>28</v>
      </c>
      <c r="H953" t="s">
        <v>92</v>
      </c>
      <c r="I953">
        <v>7</v>
      </c>
      <c r="J953" t="s">
        <v>19</v>
      </c>
      <c r="K953">
        <v>1</v>
      </c>
      <c r="L953" t="str">
        <f>HYPERLINK("https://www.unr.edu/math-stat/people/aleksey-telyakovskiy","https://www.unr.edu/math-stat/people/aleksey-telyakovskiy")</f>
        <v>https://www.unr.edu/math-stat/people/aleksey-telyakovskiy</v>
      </c>
    </row>
    <row r="954" spans="1:12" x14ac:dyDescent="0.3">
      <c r="A954">
        <v>765</v>
      </c>
      <c r="B954" t="s">
        <v>1696</v>
      </c>
      <c r="C954" t="s">
        <v>1694</v>
      </c>
      <c r="D954" t="s">
        <v>48</v>
      </c>
      <c r="E954" t="s">
        <v>1697</v>
      </c>
      <c r="F954" t="s">
        <v>62</v>
      </c>
      <c r="G954" t="s">
        <v>63</v>
      </c>
      <c r="H954" t="s">
        <v>36</v>
      </c>
      <c r="I954">
        <v>11</v>
      </c>
      <c r="J954" t="s">
        <v>19</v>
      </c>
      <c r="K954">
        <v>1</v>
      </c>
      <c r="L954" t="str">
        <f>HYPERLINK("https://www.soest.hawaii.edu/ore/people/faculty/justin-e-stopa/","https://www.soest.hawaii.edu/ore/people/faculty/justin-e-stopa/")</f>
        <v>https://www.soest.hawaii.edu/ore/people/faculty/justin-e-stopa/</v>
      </c>
    </row>
    <row r="955" spans="1:12" x14ac:dyDescent="0.3">
      <c r="A955">
        <v>766</v>
      </c>
      <c r="B955" t="s">
        <v>1698</v>
      </c>
      <c r="C955" t="s">
        <v>1694</v>
      </c>
      <c r="D955" t="s">
        <v>48</v>
      </c>
      <c r="E955" t="s">
        <v>1699</v>
      </c>
      <c r="F955" t="s">
        <v>62</v>
      </c>
      <c r="G955" t="s">
        <v>63</v>
      </c>
      <c r="H955" t="s">
        <v>140</v>
      </c>
      <c r="I955">
        <v>14</v>
      </c>
      <c r="J955" t="s">
        <v>19</v>
      </c>
      <c r="K955">
        <v>1</v>
      </c>
      <c r="L955" t="str">
        <f>HYPERLINK("https://www.soest.hawaii.edu/ore/people/faculty/eva-marie-nosal/","https://www.soest.hawaii.edu/ore/people/faculty/eva-marie-nosal/")</f>
        <v>https://www.soest.hawaii.edu/ore/people/faculty/eva-marie-nosal/</v>
      </c>
    </row>
    <row r="956" spans="1:12" x14ac:dyDescent="0.3">
      <c r="A956">
        <v>767</v>
      </c>
      <c r="B956" t="s">
        <v>1700</v>
      </c>
      <c r="C956" t="s">
        <v>1694</v>
      </c>
      <c r="D956" t="s">
        <v>48</v>
      </c>
      <c r="E956" t="s">
        <v>1701</v>
      </c>
      <c r="F956" t="s">
        <v>62</v>
      </c>
      <c r="G956" t="s">
        <v>63</v>
      </c>
      <c r="H956" t="s">
        <v>64</v>
      </c>
      <c r="I956">
        <v>20</v>
      </c>
      <c r="J956" t="s">
        <v>19</v>
      </c>
      <c r="K956">
        <v>1</v>
      </c>
      <c r="L956" t="str">
        <f>HYPERLINK("https://www.soest.hawaii.edu/ore/people/faculty/deniz-gedikli/","https://www.soest.hawaii.edu/ore/people/faculty/deniz-gedikli/")</f>
        <v>https://www.soest.hawaii.edu/ore/people/faculty/deniz-gedikli/</v>
      </c>
    </row>
    <row r="957" spans="1:12" x14ac:dyDescent="0.3">
      <c r="A957">
        <v>771</v>
      </c>
      <c r="B957" t="s">
        <v>1709</v>
      </c>
      <c r="C957" t="s">
        <v>1707</v>
      </c>
      <c r="D957" t="s">
        <v>161</v>
      </c>
      <c r="E957" t="s">
        <v>1710</v>
      </c>
      <c r="F957" t="s">
        <v>62</v>
      </c>
      <c r="G957" t="s">
        <v>63</v>
      </c>
      <c r="H957" t="s">
        <v>75</v>
      </c>
      <c r="I957">
        <v>35</v>
      </c>
      <c r="J957" t="s">
        <v>19</v>
      </c>
      <c r="K957">
        <v>1</v>
      </c>
      <c r="L957" t="str">
        <f>HYPERLINK("https://www.me.uh.edu/faculty/yang-di","https://www.me.uh.edu/faculty/yang-di")</f>
        <v>https://www.me.uh.edu/faculty/yang-di</v>
      </c>
    </row>
    <row r="958" spans="1:12" x14ac:dyDescent="0.3">
      <c r="A958">
        <v>772</v>
      </c>
      <c r="B958" t="s">
        <v>1711</v>
      </c>
      <c r="C958" t="s">
        <v>1707</v>
      </c>
      <c r="D958" t="s">
        <v>161</v>
      </c>
      <c r="E958" t="s">
        <v>1712</v>
      </c>
      <c r="F958" t="s">
        <v>62</v>
      </c>
      <c r="G958" t="s">
        <v>63</v>
      </c>
      <c r="H958" t="s">
        <v>70</v>
      </c>
      <c r="I958">
        <v>21</v>
      </c>
      <c r="J958" t="s">
        <v>19</v>
      </c>
      <c r="K958">
        <v>1</v>
      </c>
      <c r="L958" t="str">
        <f>HYPERLINK("https://www.me.uh.edu/faculty/floryan","https://www.me.uh.edu/faculty/floryan")</f>
        <v>https://www.me.uh.edu/faculty/floryan</v>
      </c>
    </row>
    <row r="959" spans="1:12" hidden="1" x14ac:dyDescent="0.3">
      <c r="A959">
        <v>958</v>
      </c>
      <c r="B959" t="s">
        <v>2087</v>
      </c>
      <c r="C959" t="s">
        <v>2078</v>
      </c>
      <c r="D959" t="s">
        <v>31</v>
      </c>
      <c r="E959" t="s">
        <v>2088</v>
      </c>
      <c r="F959" t="s">
        <v>16</v>
      </c>
      <c r="G959" t="s">
        <v>17</v>
      </c>
      <c r="H959" t="s">
        <v>286</v>
      </c>
      <c r="I959">
        <v>119</v>
      </c>
      <c r="J959" t="s">
        <v>19</v>
      </c>
      <c r="K959">
        <v>1</v>
      </c>
      <c r="L959" t="str">
        <f>HYPERLINK("https://ceps.unh.edu/person/marko-knezevic","https://ceps.unh.edu/person/marko-knezevic")</f>
        <v>https://ceps.unh.edu/person/marko-knezevic</v>
      </c>
    </row>
    <row r="960" spans="1:12" x14ac:dyDescent="0.3">
      <c r="A960">
        <v>773</v>
      </c>
      <c r="B960" t="s">
        <v>1713</v>
      </c>
      <c r="C960" t="s">
        <v>1707</v>
      </c>
      <c r="D960" t="s">
        <v>161</v>
      </c>
      <c r="E960" t="s">
        <v>1714</v>
      </c>
      <c r="F960" t="s">
        <v>62</v>
      </c>
      <c r="G960" t="s">
        <v>63</v>
      </c>
      <c r="H960" t="s">
        <v>50</v>
      </c>
      <c r="I960">
        <v>26</v>
      </c>
      <c r="J960" t="s">
        <v>19</v>
      </c>
      <c r="K960">
        <v>1</v>
      </c>
      <c r="L960" t="str">
        <f>HYPERLINK("https://www.me.uh.edu/faculty/lee-myoungkyu","https://www.me.uh.edu/faculty/lee-myoungkyu")</f>
        <v>https://www.me.uh.edu/faculty/lee-myoungkyu</v>
      </c>
    </row>
    <row r="961" spans="1:12" x14ac:dyDescent="0.3">
      <c r="A961">
        <v>788</v>
      </c>
      <c r="B961" t="s">
        <v>1745</v>
      </c>
      <c r="C961" t="s">
        <v>1746</v>
      </c>
      <c r="D961" t="s">
        <v>14</v>
      </c>
      <c r="E961" t="s">
        <v>1747</v>
      </c>
      <c r="F961" t="s">
        <v>27</v>
      </c>
      <c r="G961" t="s">
        <v>476</v>
      </c>
      <c r="H961" t="s">
        <v>29</v>
      </c>
      <c r="I961">
        <v>44</v>
      </c>
      <c r="J961" t="s">
        <v>19</v>
      </c>
      <c r="K961">
        <v>1</v>
      </c>
      <c r="L961" t="str">
        <f>HYPERLINK("https://mie.uic.edu/profiles/constantine-m-megaridis/","https://mie.uic.edu/profiles/constantine-m-megaridis/")</f>
        <v>https://mie.uic.edu/profiles/constantine-m-megaridis/</v>
      </c>
    </row>
    <row r="962" spans="1:12" x14ac:dyDescent="0.3">
      <c r="A962">
        <v>789</v>
      </c>
      <c r="B962" t="s">
        <v>1748</v>
      </c>
      <c r="C962" t="s">
        <v>1746</v>
      </c>
      <c r="D962" t="s">
        <v>14</v>
      </c>
      <c r="E962" t="s">
        <v>1749</v>
      </c>
      <c r="F962" t="s">
        <v>27</v>
      </c>
      <c r="G962" t="s">
        <v>476</v>
      </c>
      <c r="H962" t="s">
        <v>539</v>
      </c>
      <c r="I962">
        <v>111</v>
      </c>
      <c r="J962" t="s">
        <v>19</v>
      </c>
      <c r="K962">
        <v>1</v>
      </c>
      <c r="L962" t="str">
        <f>HYPERLINK("https://mie.uic.edu/profiles/alexander-yarin/","https://mie.uic.edu/profiles/alexander-yarin/")</f>
        <v>https://mie.uic.edu/profiles/alexander-yarin/</v>
      </c>
    </row>
    <row r="963" spans="1:12" x14ac:dyDescent="0.3">
      <c r="A963">
        <v>790</v>
      </c>
      <c r="B963" t="s">
        <v>1750</v>
      </c>
      <c r="C963" t="s">
        <v>1746</v>
      </c>
      <c r="D963" t="s">
        <v>14</v>
      </c>
      <c r="E963" t="s">
        <v>1751</v>
      </c>
      <c r="F963" t="s">
        <v>27</v>
      </c>
      <c r="G963" t="s">
        <v>476</v>
      </c>
      <c r="H963" t="s">
        <v>1279</v>
      </c>
      <c r="I963">
        <v>40</v>
      </c>
      <c r="J963" t="s">
        <v>19</v>
      </c>
      <c r="K963">
        <v>1</v>
      </c>
      <c r="L963" t="str">
        <f>HYPERLINK("https://mie.uic.edu/profiles/parisa-mirbod/","https://mie.uic.edu/profiles/parisa-mirbod/")</f>
        <v>https://mie.uic.edu/profiles/parisa-mirbod/</v>
      </c>
    </row>
    <row r="964" spans="1:12" hidden="1" x14ac:dyDescent="0.3">
      <c r="A964">
        <v>963</v>
      </c>
      <c r="B964" t="s">
        <v>2098</v>
      </c>
      <c r="C964" t="s">
        <v>2090</v>
      </c>
      <c r="D964" t="s">
        <v>31</v>
      </c>
      <c r="E964" t="s">
        <v>2099</v>
      </c>
      <c r="F964" t="s">
        <v>114</v>
      </c>
      <c r="G964" t="s">
        <v>115</v>
      </c>
      <c r="H964" t="s">
        <v>124</v>
      </c>
      <c r="I964">
        <v>3</v>
      </c>
      <c r="J964" t="s">
        <v>116</v>
      </c>
      <c r="K964">
        <v>3</v>
      </c>
      <c r="L964" t="str">
        <f>HYPERLINK("https://math.unm.edu/people/academic-personnel/tenure-stream","https://math.unm.edu/people/academic-personnel/tenure-stream")</f>
        <v>https://math.unm.edu/people/academic-personnel/tenure-stream</v>
      </c>
    </row>
    <row r="965" spans="1:12" hidden="1" x14ac:dyDescent="0.3">
      <c r="A965">
        <v>964</v>
      </c>
      <c r="B965" t="s">
        <v>2100</v>
      </c>
      <c r="C965" t="s">
        <v>2090</v>
      </c>
      <c r="D965" t="s">
        <v>31</v>
      </c>
      <c r="E965" t="s">
        <v>2101</v>
      </c>
      <c r="F965" t="s">
        <v>114</v>
      </c>
      <c r="G965" t="s">
        <v>115</v>
      </c>
      <c r="H965" t="s">
        <v>39</v>
      </c>
      <c r="I965">
        <v>24</v>
      </c>
      <c r="J965" t="s">
        <v>116</v>
      </c>
      <c r="K965">
        <v>3</v>
      </c>
      <c r="L965" t="str">
        <f>HYPERLINK("https://math.unm.edu/people/academic-personnel/tenure-stream","https://math.unm.edu/people/academic-personnel/tenure-stream")</f>
        <v>https://math.unm.edu/people/academic-personnel/tenure-stream</v>
      </c>
    </row>
    <row r="966" spans="1:12" hidden="1" x14ac:dyDescent="0.3">
      <c r="A966">
        <v>965</v>
      </c>
      <c r="B966" t="s">
        <v>2102</v>
      </c>
      <c r="C966" t="s">
        <v>2090</v>
      </c>
      <c r="D966" t="s">
        <v>31</v>
      </c>
      <c r="E966" t="s">
        <v>2103</v>
      </c>
      <c r="F966" t="s">
        <v>114</v>
      </c>
      <c r="G966" t="s">
        <v>115</v>
      </c>
      <c r="H966" t="s">
        <v>406</v>
      </c>
      <c r="I966">
        <v>8</v>
      </c>
      <c r="J966" t="s">
        <v>116</v>
      </c>
      <c r="K966">
        <v>3</v>
      </c>
      <c r="L966" t="str">
        <f>HYPERLINK("https://math.unm.edu/people/academic-personnel/tenure-stream","https://math.unm.edu/people/academic-personnel/tenure-stream")</f>
        <v>https://math.unm.edu/people/academic-personnel/tenure-stream</v>
      </c>
    </row>
    <row r="967" spans="1:12" hidden="1" x14ac:dyDescent="0.3">
      <c r="A967">
        <v>966</v>
      </c>
      <c r="B967" t="s">
        <v>2104</v>
      </c>
      <c r="C967" t="s">
        <v>2090</v>
      </c>
      <c r="D967" t="s">
        <v>31</v>
      </c>
      <c r="E967" t="s">
        <v>2105</v>
      </c>
      <c r="F967" t="s">
        <v>114</v>
      </c>
      <c r="G967" t="s">
        <v>115</v>
      </c>
      <c r="H967" t="s">
        <v>33</v>
      </c>
      <c r="I967">
        <v>31</v>
      </c>
      <c r="J967" t="s">
        <v>116</v>
      </c>
      <c r="K967">
        <v>3</v>
      </c>
      <c r="L967" t="str">
        <f>HYPERLINK("https://math.unm.edu/people/academic-personnel/jacob-schroder","https://math.unm.edu/people/academic-personnel/jacob-schroder")</f>
        <v>https://math.unm.edu/people/academic-personnel/jacob-schroder</v>
      </c>
    </row>
    <row r="968" spans="1:12" hidden="1" x14ac:dyDescent="0.3">
      <c r="A968">
        <v>967</v>
      </c>
      <c r="B968" t="s">
        <v>2106</v>
      </c>
      <c r="C968" t="s">
        <v>2090</v>
      </c>
      <c r="D968" t="s">
        <v>31</v>
      </c>
      <c r="E968" t="s">
        <v>2107</v>
      </c>
      <c r="F968" t="s">
        <v>114</v>
      </c>
      <c r="G968" t="s">
        <v>115</v>
      </c>
      <c r="H968" t="s">
        <v>53</v>
      </c>
      <c r="I968">
        <v>8</v>
      </c>
      <c r="J968" t="s">
        <v>116</v>
      </c>
      <c r="K968">
        <v>3</v>
      </c>
      <c r="L968" t="str">
        <f>HYPERLINK("https://math.unm.edu/people/academic-personnel/jehanzeb-chaudhry","https://math.unm.edu/people/academic-personnel/jehanzeb-chaudhry")</f>
        <v>https://math.unm.edu/people/academic-personnel/jehanzeb-chaudhry</v>
      </c>
    </row>
    <row r="969" spans="1:12" hidden="1" x14ac:dyDescent="0.3">
      <c r="A969">
        <v>968</v>
      </c>
      <c r="B969" t="s">
        <v>2108</v>
      </c>
      <c r="C969" t="s">
        <v>2109</v>
      </c>
      <c r="D969" t="s">
        <v>31</v>
      </c>
      <c r="E969" t="s">
        <v>2110</v>
      </c>
      <c r="F969" t="s">
        <v>27</v>
      </c>
      <c r="G969" t="s">
        <v>476</v>
      </c>
      <c r="H969" t="s">
        <v>516</v>
      </c>
      <c r="I969">
        <v>86</v>
      </c>
      <c r="J969" t="s">
        <v>19</v>
      </c>
      <c r="K969">
        <v>1</v>
      </c>
      <c r="L969" t="str">
        <f>HYPERLINK("https://math.unc.edu/people/boyce-griffith/","https://math.unc.edu/people/boyce-griffith/")</f>
        <v>https://math.unc.edu/people/boyce-griffith/</v>
      </c>
    </row>
    <row r="970" spans="1:12" hidden="1" x14ac:dyDescent="0.3">
      <c r="A970">
        <v>969</v>
      </c>
      <c r="B970" t="s">
        <v>2111</v>
      </c>
      <c r="C970" t="s">
        <v>2109</v>
      </c>
      <c r="D970" t="s">
        <v>31</v>
      </c>
      <c r="E970" t="s">
        <v>2112</v>
      </c>
      <c r="F970" t="s">
        <v>27</v>
      </c>
      <c r="G970" t="s">
        <v>476</v>
      </c>
      <c r="H970" t="s">
        <v>167</v>
      </c>
      <c r="I970">
        <v>65</v>
      </c>
      <c r="J970" t="s">
        <v>19</v>
      </c>
      <c r="K970">
        <v>1</v>
      </c>
      <c r="L970" t="str">
        <f>HYPERLINK("https://math.unc.edu/people/m-gregory-forest/","https://math.unc.edu/people/m-gregory-forest/")</f>
        <v>https://math.unc.edu/people/m-gregory-forest/</v>
      </c>
    </row>
    <row r="971" spans="1:12" hidden="1" x14ac:dyDescent="0.3">
      <c r="A971">
        <v>970</v>
      </c>
      <c r="B971" t="s">
        <v>2113</v>
      </c>
      <c r="C971" t="s">
        <v>2109</v>
      </c>
      <c r="D971" t="s">
        <v>31</v>
      </c>
      <c r="E971" t="s">
        <v>2114</v>
      </c>
      <c r="F971" t="s">
        <v>27</v>
      </c>
      <c r="G971" t="s">
        <v>476</v>
      </c>
      <c r="H971" t="s">
        <v>92</v>
      </c>
      <c r="I971">
        <v>4</v>
      </c>
      <c r="J971" t="s">
        <v>19</v>
      </c>
      <c r="K971">
        <v>1</v>
      </c>
      <c r="L971" t="str">
        <f>HYPERLINK("https://math.unc.edu/people/sorin-mitran/","https://math.unc.edu/people/sorin-mitran/")</f>
        <v>https://math.unc.edu/people/sorin-mitran/</v>
      </c>
    </row>
    <row r="972" spans="1:12" hidden="1" x14ac:dyDescent="0.3">
      <c r="A972">
        <v>971</v>
      </c>
      <c r="B972" t="s">
        <v>2115</v>
      </c>
      <c r="C972" t="s">
        <v>2109</v>
      </c>
      <c r="D972" t="s">
        <v>31</v>
      </c>
      <c r="E972" t="s">
        <v>2116</v>
      </c>
      <c r="F972" t="s">
        <v>27</v>
      </c>
      <c r="G972" t="s">
        <v>476</v>
      </c>
      <c r="H972" t="s">
        <v>85</v>
      </c>
      <c r="I972">
        <v>18</v>
      </c>
      <c r="J972" t="s">
        <v>19</v>
      </c>
      <c r="K972">
        <v>1</v>
      </c>
      <c r="L972" t="str">
        <f>HYPERLINK("https://math.unc.edu/people/pedro-saenz/","https://math.unc.edu/people/pedro-saenz/")</f>
        <v>https://math.unc.edu/people/pedro-saenz/</v>
      </c>
    </row>
    <row r="973" spans="1:12" hidden="1" x14ac:dyDescent="0.3">
      <c r="A973">
        <v>972</v>
      </c>
      <c r="B973" t="s">
        <v>2117</v>
      </c>
      <c r="C973" t="s">
        <v>2109</v>
      </c>
      <c r="D973" t="s">
        <v>31</v>
      </c>
      <c r="E973" t="s">
        <v>2118</v>
      </c>
      <c r="F973" t="s">
        <v>27</v>
      </c>
      <c r="G973" t="s">
        <v>476</v>
      </c>
      <c r="H973" t="s">
        <v>29</v>
      </c>
      <c r="I973">
        <v>10</v>
      </c>
      <c r="J973" t="s">
        <v>19</v>
      </c>
      <c r="K973">
        <v>1</v>
      </c>
      <c r="L973" t="str">
        <f>HYPERLINK("https://math.unc.edu/people/jingfang-huang/","https://math.unc.edu/people/jingfang-huang/")</f>
        <v>https://math.unc.edu/people/jingfang-huang/</v>
      </c>
    </row>
    <row r="974" spans="1:12" hidden="1" x14ac:dyDescent="0.3">
      <c r="A974">
        <v>973</v>
      </c>
      <c r="B974" t="s">
        <v>2119</v>
      </c>
      <c r="C974" t="s">
        <v>2109</v>
      </c>
      <c r="D974" t="s">
        <v>31</v>
      </c>
      <c r="E974" t="s">
        <v>2120</v>
      </c>
      <c r="F974" t="s">
        <v>27</v>
      </c>
      <c r="G974" t="s">
        <v>476</v>
      </c>
      <c r="H974" t="s">
        <v>159</v>
      </c>
      <c r="I974">
        <v>42</v>
      </c>
      <c r="J974" t="s">
        <v>19</v>
      </c>
      <c r="K974">
        <v>1</v>
      </c>
      <c r="L974" t="str">
        <f>HYPERLINK("https://math.unc.edu/people/jeremy-marzuola/","https://math.unc.edu/people/jeremy-marzuola/")</f>
        <v>https://math.unc.edu/people/jeremy-marzuola/</v>
      </c>
    </row>
    <row r="975" spans="1:12" hidden="1" x14ac:dyDescent="0.3">
      <c r="A975">
        <v>974</v>
      </c>
      <c r="B975" t="s">
        <v>2121</v>
      </c>
      <c r="C975" t="s">
        <v>2109</v>
      </c>
      <c r="D975" t="s">
        <v>31</v>
      </c>
      <c r="E975" t="s">
        <v>2122</v>
      </c>
      <c r="F975" t="s">
        <v>27</v>
      </c>
      <c r="G975" t="s">
        <v>476</v>
      </c>
      <c r="H975" t="s">
        <v>225</v>
      </c>
      <c r="I975">
        <v>15</v>
      </c>
      <c r="J975" t="s">
        <v>19</v>
      </c>
      <c r="K975">
        <v>1</v>
      </c>
      <c r="L975" t="str">
        <f>HYPERLINK("https://aps.unc.edu/faculty-member/daphne-klotsa/","https://aps.unc.edu/faculty-member/daphne-klotsa/")</f>
        <v>https://aps.unc.edu/faculty-member/daphne-klotsa/</v>
      </c>
    </row>
    <row r="976" spans="1:12" x14ac:dyDescent="0.3">
      <c r="A976">
        <v>791</v>
      </c>
      <c r="B976" t="s">
        <v>1752</v>
      </c>
      <c r="C976" t="s">
        <v>1746</v>
      </c>
      <c r="D976" t="s">
        <v>14</v>
      </c>
      <c r="E976" t="s">
        <v>1753</v>
      </c>
      <c r="F976" t="s">
        <v>27</v>
      </c>
      <c r="G976" t="s">
        <v>476</v>
      </c>
      <c r="H976" t="s">
        <v>70</v>
      </c>
      <c r="I976">
        <v>5</v>
      </c>
      <c r="J976" t="s">
        <v>19</v>
      </c>
      <c r="K976">
        <v>1</v>
      </c>
      <c r="L976" t="str">
        <f>HYPERLINK("https://mie.uic.edu/profiles/jonathan-komperda/","https://mie.uic.edu/profiles/jonathan-komperda/")</f>
        <v>https://mie.uic.edu/profiles/jonathan-komperda/</v>
      </c>
    </row>
    <row r="977" spans="1:12" hidden="1" x14ac:dyDescent="0.3">
      <c r="A977">
        <v>976</v>
      </c>
      <c r="B977" t="s">
        <v>2124</v>
      </c>
      <c r="C977" t="s">
        <v>2109</v>
      </c>
      <c r="D977" t="s">
        <v>31</v>
      </c>
      <c r="E977" t="s">
        <v>2125</v>
      </c>
      <c r="F977" t="s">
        <v>27</v>
      </c>
      <c r="G977" t="s">
        <v>476</v>
      </c>
      <c r="H977" t="s">
        <v>213</v>
      </c>
      <c r="I977">
        <v>6</v>
      </c>
      <c r="J977" t="s">
        <v>19</v>
      </c>
      <c r="K977">
        <v>1</v>
      </c>
      <c r="L977" t="str">
        <f>HYPERLINK("https://math.unc.edu/people/jason-metcalfe/","https://math.unc.edu/people/jason-metcalfe/")</f>
        <v>https://math.unc.edu/people/jason-metcalfe/</v>
      </c>
    </row>
    <row r="978" spans="1:12" hidden="1" x14ac:dyDescent="0.3">
      <c r="A978">
        <v>977</v>
      </c>
      <c r="B978" t="s">
        <v>2126</v>
      </c>
      <c r="C978" t="s">
        <v>2109</v>
      </c>
      <c r="D978" t="s">
        <v>31</v>
      </c>
      <c r="E978" t="s">
        <v>2127</v>
      </c>
      <c r="F978" t="s">
        <v>27</v>
      </c>
      <c r="G978" t="s">
        <v>476</v>
      </c>
      <c r="H978" t="s">
        <v>36</v>
      </c>
      <c r="I978">
        <v>14</v>
      </c>
      <c r="J978" t="s">
        <v>19</v>
      </c>
      <c r="K978">
        <v>1</v>
      </c>
      <c r="L978" t="str">
        <f>HYPERLINK("https://math.unc.edu/people/shahar-kovalsky/","https://math.unc.edu/people/shahar-kovalsky/")</f>
        <v>https://math.unc.edu/people/shahar-kovalsky/</v>
      </c>
    </row>
    <row r="979" spans="1:12" x14ac:dyDescent="0.3">
      <c r="A979">
        <v>792</v>
      </c>
      <c r="B979" t="s">
        <v>1754</v>
      </c>
      <c r="C979" t="s">
        <v>1746</v>
      </c>
      <c r="D979" t="s">
        <v>14</v>
      </c>
      <c r="E979" t="s">
        <v>1755</v>
      </c>
      <c r="F979" t="s">
        <v>27</v>
      </c>
      <c r="G979" t="s">
        <v>476</v>
      </c>
      <c r="H979" t="s">
        <v>36</v>
      </c>
      <c r="I979">
        <v>38</v>
      </c>
      <c r="J979" t="s">
        <v>19</v>
      </c>
      <c r="K979">
        <v>1</v>
      </c>
      <c r="L979" t="str">
        <f>HYPERLINK("https://mie.uic.edu/profiles/patrick-t-lynch/","https://mie.uic.edu/profiles/patrick-t-lynch/")</f>
        <v>https://mie.uic.edu/profiles/patrick-t-lynch/</v>
      </c>
    </row>
    <row r="980" spans="1:12" x14ac:dyDescent="0.3">
      <c r="A980">
        <v>811</v>
      </c>
      <c r="B980" t="s">
        <v>1790</v>
      </c>
      <c r="C980" t="s">
        <v>1791</v>
      </c>
      <c r="D980" t="s">
        <v>112</v>
      </c>
      <c r="E980" t="s">
        <v>1792</v>
      </c>
      <c r="F980" t="s">
        <v>62</v>
      </c>
      <c r="G980" t="s">
        <v>63</v>
      </c>
      <c r="H980" t="s">
        <v>1793</v>
      </c>
      <c r="I980">
        <v>33</v>
      </c>
      <c r="J980" t="s">
        <v>19</v>
      </c>
      <c r="K980">
        <v>1</v>
      </c>
      <c r="L980" t="str">
        <f>HYPERLINK("https://engineering.uiowa.edu/people/me-people/me-faculty","https://engineering.uiowa.edu/people/me-people/me-faculty")</f>
        <v>https://engineering.uiowa.edu/people/me-people/me-faculty</v>
      </c>
    </row>
    <row r="981" spans="1:12" x14ac:dyDescent="0.3">
      <c r="A981">
        <v>812</v>
      </c>
      <c r="B981" t="s">
        <v>1794</v>
      </c>
      <c r="C981" t="s">
        <v>1791</v>
      </c>
      <c r="D981" t="s">
        <v>112</v>
      </c>
      <c r="E981" t="s">
        <v>1795</v>
      </c>
      <c r="F981" t="s">
        <v>62</v>
      </c>
      <c r="G981" t="s">
        <v>63</v>
      </c>
      <c r="H981" t="s">
        <v>417</v>
      </c>
      <c r="I981">
        <v>0</v>
      </c>
      <c r="J981" t="s">
        <v>19</v>
      </c>
      <c r="K981">
        <v>1</v>
      </c>
      <c r="L981" t="str">
        <f>HYPERLINK("https://engineering.uiowa.edu/people/me-people/me-faculty","https://engineering.uiowa.edu/people/me-people/me-faculty")</f>
        <v>https://engineering.uiowa.edu/people/me-people/me-faculty</v>
      </c>
    </row>
    <row r="982" spans="1:12" hidden="1" x14ac:dyDescent="0.3">
      <c r="A982">
        <v>981</v>
      </c>
      <c r="B982" t="s">
        <v>2135</v>
      </c>
      <c r="C982" t="s">
        <v>2129</v>
      </c>
      <c r="D982" t="s">
        <v>31</v>
      </c>
      <c r="E982" t="s">
        <v>2136</v>
      </c>
      <c r="F982" t="s">
        <v>16</v>
      </c>
      <c r="G982" t="s">
        <v>17</v>
      </c>
      <c r="H982" t="s">
        <v>159</v>
      </c>
      <c r="I982">
        <v>28</v>
      </c>
      <c r="J982" t="s">
        <v>19</v>
      </c>
      <c r="K982">
        <v>1</v>
      </c>
      <c r="L982" t="str">
        <f>HYPERLINK("https://engineering.charlotte.edu/people/alireza-tabarraei/","https://engineering.charlotte.edu/people/alireza-tabarraei/")</f>
        <v>https://engineering.charlotte.edu/people/alireza-tabarraei/</v>
      </c>
    </row>
    <row r="983" spans="1:12" hidden="1" x14ac:dyDescent="0.3">
      <c r="A983">
        <v>982</v>
      </c>
      <c r="B983" t="s">
        <v>2137</v>
      </c>
      <c r="C983" t="s">
        <v>2129</v>
      </c>
      <c r="D983" t="s">
        <v>31</v>
      </c>
      <c r="E983" t="s">
        <v>2138</v>
      </c>
      <c r="F983" t="s">
        <v>27</v>
      </c>
      <c r="G983" t="s">
        <v>28</v>
      </c>
      <c r="H983" t="s">
        <v>213</v>
      </c>
      <c r="I983">
        <v>16</v>
      </c>
      <c r="J983" t="s">
        <v>19</v>
      </c>
      <c r="K983">
        <v>1</v>
      </c>
      <c r="L983" t="str">
        <f>HYPERLINK("https://engineering.charlotte.edu/people/harish-cherukuri/","https://engineering.charlotte.edu/people/harish-cherukuri/")</f>
        <v>https://engineering.charlotte.edu/people/harish-cherukuri/</v>
      </c>
    </row>
    <row r="984" spans="1:12" x14ac:dyDescent="0.3">
      <c r="A984">
        <v>813</v>
      </c>
      <c r="B984" t="s">
        <v>1796</v>
      </c>
      <c r="C984" t="s">
        <v>1791</v>
      </c>
      <c r="D984" t="s">
        <v>112</v>
      </c>
      <c r="E984" t="s">
        <v>1797</v>
      </c>
      <c r="F984" t="s">
        <v>62</v>
      </c>
      <c r="G984" t="s">
        <v>63</v>
      </c>
      <c r="H984" t="s">
        <v>417</v>
      </c>
      <c r="I984">
        <v>0</v>
      </c>
      <c r="J984" t="s">
        <v>19</v>
      </c>
      <c r="K984">
        <v>1</v>
      </c>
      <c r="L984" t="str">
        <f>HYPERLINK("https://engineering.uiowa.edu/people/me-people/me-faculty","https://engineering.uiowa.edu/people/me-people/me-faculty")</f>
        <v>https://engineering.uiowa.edu/people/me-people/me-faculty</v>
      </c>
    </row>
    <row r="985" spans="1:12" hidden="1" x14ac:dyDescent="0.3">
      <c r="A985">
        <v>984</v>
      </c>
      <c r="B985" t="s">
        <v>2141</v>
      </c>
      <c r="C985" t="s">
        <v>2129</v>
      </c>
      <c r="D985" t="s">
        <v>31</v>
      </c>
      <c r="E985" t="s">
        <v>57</v>
      </c>
      <c r="F985" t="s">
        <v>16</v>
      </c>
      <c r="G985" t="s">
        <v>17</v>
      </c>
      <c r="H985" t="s">
        <v>58</v>
      </c>
      <c r="I985">
        <v>0</v>
      </c>
      <c r="J985" t="s">
        <v>19</v>
      </c>
      <c r="K985">
        <v>1</v>
      </c>
      <c r="L985" t="str">
        <f>HYPERLINK("https://math.charlotte.edu/people/duan-chen/","https://math.charlotte.edu/people/duan-chen/")</f>
        <v>https://math.charlotte.edu/people/duan-chen/</v>
      </c>
    </row>
    <row r="986" spans="1:12" hidden="1" x14ac:dyDescent="0.3">
      <c r="A986">
        <v>985</v>
      </c>
      <c r="B986" t="s">
        <v>2142</v>
      </c>
      <c r="C986" t="s">
        <v>2129</v>
      </c>
      <c r="D986" t="s">
        <v>31</v>
      </c>
      <c r="E986" t="s">
        <v>2143</v>
      </c>
      <c r="F986" t="s">
        <v>16</v>
      </c>
      <c r="G986" t="s">
        <v>17</v>
      </c>
      <c r="H986" t="s">
        <v>146</v>
      </c>
      <c r="I986">
        <v>64</v>
      </c>
      <c r="J986" t="s">
        <v>19</v>
      </c>
      <c r="K986">
        <v>1</v>
      </c>
      <c r="L986" t="str">
        <f>HYPERLINK("https://math.charlotte.edu/people/michael-klibanov/","https://math.charlotte.edu/people/michael-klibanov/")</f>
        <v>https://math.charlotte.edu/people/michael-klibanov/</v>
      </c>
    </row>
    <row r="987" spans="1:12" hidden="1" x14ac:dyDescent="0.3">
      <c r="A987">
        <v>986</v>
      </c>
      <c r="B987" t="s">
        <v>2144</v>
      </c>
      <c r="C987" t="s">
        <v>2129</v>
      </c>
      <c r="D987" t="s">
        <v>31</v>
      </c>
      <c r="E987" t="s">
        <v>2145</v>
      </c>
      <c r="F987" t="s">
        <v>16</v>
      </c>
      <c r="G987" t="s">
        <v>17</v>
      </c>
      <c r="H987" t="s">
        <v>92</v>
      </c>
      <c r="I987">
        <v>39</v>
      </c>
      <c r="J987" t="s">
        <v>19</v>
      </c>
      <c r="K987">
        <v>1</v>
      </c>
      <c r="L987" t="str">
        <f>HYPERLINK("https://math.charlotte.edu/people/taufiquar-khan/","https://math.charlotte.edu/people/taufiquar-khan/")</f>
        <v>https://math.charlotte.edu/people/taufiquar-khan/</v>
      </c>
    </row>
    <row r="988" spans="1:12" hidden="1" x14ac:dyDescent="0.3">
      <c r="A988">
        <v>987</v>
      </c>
      <c r="B988" t="s">
        <v>2146</v>
      </c>
      <c r="C988" t="s">
        <v>2129</v>
      </c>
      <c r="D988" t="s">
        <v>31</v>
      </c>
      <c r="E988" t="s">
        <v>57</v>
      </c>
      <c r="F988" t="s">
        <v>22</v>
      </c>
      <c r="G988" t="s">
        <v>23</v>
      </c>
      <c r="H988" t="s">
        <v>58</v>
      </c>
      <c r="I988">
        <v>0</v>
      </c>
      <c r="J988" t="s">
        <v>19</v>
      </c>
      <c r="K988">
        <v>1</v>
      </c>
      <c r="L988" t="str">
        <f>HYPERLINK("https://math.charlotte.edu/people/loc-nguyen/","https://math.charlotte.edu/people/loc-nguyen/")</f>
        <v>https://math.charlotte.edu/people/loc-nguyen/</v>
      </c>
    </row>
    <row r="989" spans="1:12" x14ac:dyDescent="0.3">
      <c r="A989">
        <v>814</v>
      </c>
      <c r="B989" t="s">
        <v>1798</v>
      </c>
      <c r="C989" t="s">
        <v>1791</v>
      </c>
      <c r="D989" t="s">
        <v>112</v>
      </c>
      <c r="E989" t="s">
        <v>1799</v>
      </c>
      <c r="F989" t="s">
        <v>16</v>
      </c>
      <c r="G989" t="s">
        <v>17</v>
      </c>
      <c r="H989" t="s">
        <v>417</v>
      </c>
      <c r="I989">
        <v>0</v>
      </c>
      <c r="J989" t="s">
        <v>19</v>
      </c>
      <c r="K989">
        <v>1</v>
      </c>
      <c r="L989" t="str">
        <f>HYPERLINK("https://engineering.uiowa.edu/directory/ching-long-lin","https://engineering.uiowa.edu/directory/ching-long-lin")</f>
        <v>https://engineering.uiowa.edu/directory/ching-long-lin</v>
      </c>
    </row>
    <row r="990" spans="1:12" x14ac:dyDescent="0.3">
      <c r="A990">
        <v>816</v>
      </c>
      <c r="B990" t="s">
        <v>1802</v>
      </c>
      <c r="C990" t="s">
        <v>1791</v>
      </c>
      <c r="D990" t="s">
        <v>14</v>
      </c>
      <c r="E990" t="s">
        <v>1803</v>
      </c>
      <c r="F990" t="s">
        <v>62</v>
      </c>
      <c r="G990" t="s">
        <v>63</v>
      </c>
      <c r="H990" t="s">
        <v>417</v>
      </c>
      <c r="I990">
        <v>0</v>
      </c>
      <c r="J990" t="s">
        <v>19</v>
      </c>
      <c r="K990">
        <v>1</v>
      </c>
      <c r="L990" t="str">
        <f>HYPERLINK("https://engineering.uiowa.edu/people/me-people/me-faculty","https://engineering.uiowa.edu/people/me-people/me-faculty")</f>
        <v>https://engineering.uiowa.edu/people/me-people/me-faculty</v>
      </c>
    </row>
    <row r="991" spans="1:12" x14ac:dyDescent="0.3">
      <c r="A991">
        <v>817</v>
      </c>
      <c r="B991" t="s">
        <v>1804</v>
      </c>
      <c r="C991" t="s">
        <v>1791</v>
      </c>
      <c r="D991" t="s">
        <v>14</v>
      </c>
      <c r="E991" t="s">
        <v>1805</v>
      </c>
      <c r="F991" t="s">
        <v>62</v>
      </c>
      <c r="G991" t="s">
        <v>63</v>
      </c>
      <c r="H991" t="s">
        <v>417</v>
      </c>
      <c r="I991">
        <v>0</v>
      </c>
      <c r="J991" t="s">
        <v>19</v>
      </c>
      <c r="K991">
        <v>1</v>
      </c>
      <c r="L991" t="str">
        <f>HYPERLINK("https://engineering.uiowa.edu/people/me-people/me-faculty","https://engineering.uiowa.edu/people/me-people/me-faculty")</f>
        <v>https://engineering.uiowa.edu/people/me-people/me-faculty</v>
      </c>
    </row>
    <row r="992" spans="1:12" hidden="1" x14ac:dyDescent="0.3">
      <c r="A992">
        <v>991</v>
      </c>
      <c r="B992" t="s">
        <v>2154</v>
      </c>
      <c r="C992" t="s">
        <v>2148</v>
      </c>
      <c r="D992" t="s">
        <v>31</v>
      </c>
      <c r="E992" t="s">
        <v>2155</v>
      </c>
      <c r="F992" t="s">
        <v>114</v>
      </c>
      <c r="G992" t="s">
        <v>115</v>
      </c>
      <c r="H992" t="s">
        <v>842</v>
      </c>
      <c r="I992">
        <v>7</v>
      </c>
      <c r="J992" t="s">
        <v>116</v>
      </c>
      <c r="K992">
        <v>3</v>
      </c>
      <c r="L992" t="str">
        <f>HYPERLINK("https://aero.und.edu/atmos/faculty-and-staff.html","https://aero.und.edu/atmos/faculty-and-staff.html")</f>
        <v>https://aero.und.edu/atmos/faculty-and-staff.html</v>
      </c>
    </row>
    <row r="993" spans="1:12" hidden="1" x14ac:dyDescent="0.3">
      <c r="A993">
        <v>992</v>
      </c>
      <c r="B993" t="s">
        <v>2156</v>
      </c>
      <c r="C993" t="s">
        <v>2148</v>
      </c>
      <c r="D993" t="s">
        <v>31</v>
      </c>
      <c r="E993" t="s">
        <v>2157</v>
      </c>
      <c r="F993" t="s">
        <v>27</v>
      </c>
      <c r="G993" t="s">
        <v>28</v>
      </c>
      <c r="H993" t="s">
        <v>39</v>
      </c>
      <c r="I993">
        <v>20</v>
      </c>
      <c r="J993" t="s">
        <v>19</v>
      </c>
      <c r="K993">
        <v>1</v>
      </c>
      <c r="L993" t="str">
        <f>HYPERLINK("https://campus.und.edu/directory/app.php/profile/aaron.kennedy","https://campus.und.edu/directory/app.php/profile/aaron.kennedy")</f>
        <v>https://campus.und.edu/directory/app.php/profile/aaron.kennedy</v>
      </c>
    </row>
    <row r="994" spans="1:12" x14ac:dyDescent="0.3">
      <c r="A994">
        <v>819</v>
      </c>
      <c r="B994" t="s">
        <v>1808</v>
      </c>
      <c r="C994" t="s">
        <v>1791</v>
      </c>
      <c r="D994" t="s">
        <v>14</v>
      </c>
      <c r="E994" t="s">
        <v>1809</v>
      </c>
      <c r="F994" t="s">
        <v>62</v>
      </c>
      <c r="G994" t="s">
        <v>63</v>
      </c>
      <c r="H994" t="s">
        <v>70</v>
      </c>
      <c r="I994">
        <v>46</v>
      </c>
      <c r="J994" t="s">
        <v>19</v>
      </c>
      <c r="K994">
        <v>1</v>
      </c>
      <c r="L994" t="str">
        <f>HYPERLINK("https://engineering.uiowa.edu/people/me-people/me-faculty","https://engineering.uiowa.edu/people/me-people/me-faculty")</f>
        <v>https://engineering.uiowa.edu/people/me-people/me-faculty</v>
      </c>
    </row>
    <row r="995" spans="1:12" x14ac:dyDescent="0.3">
      <c r="A995">
        <v>822</v>
      </c>
      <c r="B995" t="s">
        <v>1814</v>
      </c>
      <c r="C995" t="s">
        <v>1812</v>
      </c>
      <c r="D995" t="s">
        <v>48</v>
      </c>
      <c r="E995" t="s">
        <v>1815</v>
      </c>
      <c r="F995" t="s">
        <v>16</v>
      </c>
      <c r="G995" t="s">
        <v>17</v>
      </c>
      <c r="H995" t="s">
        <v>70</v>
      </c>
      <c r="I995">
        <v>23</v>
      </c>
      <c r="J995" t="s">
        <v>19</v>
      </c>
      <c r="K995">
        <v>1</v>
      </c>
      <c r="L995" t="str">
        <f>HYPERLINK("https://ae.ku.edu/people/shawn-keshmiri","https://ae.ku.edu/people/shawn-keshmiri")</f>
        <v>https://ae.ku.edu/people/shawn-keshmiri</v>
      </c>
    </row>
    <row r="996" spans="1:12" hidden="1" x14ac:dyDescent="0.3">
      <c r="A996">
        <v>995</v>
      </c>
      <c r="B996" t="s">
        <v>2163</v>
      </c>
      <c r="C996" t="s">
        <v>2161</v>
      </c>
      <c r="D996" t="s">
        <v>31</v>
      </c>
      <c r="E996" t="s">
        <v>2164</v>
      </c>
      <c r="F996" t="s">
        <v>16</v>
      </c>
      <c r="G996" t="s">
        <v>17</v>
      </c>
      <c r="H996" t="s">
        <v>406</v>
      </c>
      <c r="I996">
        <v>48</v>
      </c>
      <c r="J996" t="s">
        <v>19</v>
      </c>
      <c r="K996">
        <v>1</v>
      </c>
      <c r="L996" t="str">
        <f>HYPERLINK("https://engineering.unt.edu/people/zhenhua-huang.html","https://engineering.unt.edu/people/zhenhua-huang.html")</f>
        <v>https://engineering.unt.edu/people/zhenhua-huang.html</v>
      </c>
    </row>
    <row r="997" spans="1:12" x14ac:dyDescent="0.3">
      <c r="A997">
        <v>823</v>
      </c>
      <c r="B997" t="s">
        <v>1816</v>
      </c>
      <c r="C997" t="s">
        <v>1812</v>
      </c>
      <c r="D997" t="s">
        <v>48</v>
      </c>
      <c r="E997" t="s">
        <v>1817</v>
      </c>
      <c r="F997" t="s">
        <v>22</v>
      </c>
      <c r="G997" t="s">
        <v>23</v>
      </c>
      <c r="H997" t="s">
        <v>213</v>
      </c>
      <c r="I997">
        <v>17</v>
      </c>
      <c r="J997" t="s">
        <v>19</v>
      </c>
      <c r="K997">
        <v>1</v>
      </c>
      <c r="L997" t="str">
        <f>HYPERLINK("https://ae.ku.edu/people/emily-arnold","https://ae.ku.edu/people/emily-arnold")</f>
        <v>https://ae.ku.edu/people/emily-arnold</v>
      </c>
    </row>
    <row r="998" spans="1:12" hidden="1" x14ac:dyDescent="0.3">
      <c r="A998">
        <v>997</v>
      </c>
      <c r="B998" t="s">
        <v>2167</v>
      </c>
      <c r="C998" t="s">
        <v>2161</v>
      </c>
      <c r="D998" t="s">
        <v>31</v>
      </c>
      <c r="E998" t="s">
        <v>2168</v>
      </c>
      <c r="F998" t="s">
        <v>151</v>
      </c>
      <c r="G998" t="s">
        <v>152</v>
      </c>
      <c r="H998" t="s">
        <v>140</v>
      </c>
      <c r="I998">
        <v>99</v>
      </c>
      <c r="J998" t="s">
        <v>154</v>
      </c>
      <c r="K998">
        <v>3</v>
      </c>
      <c r="L998" t="str">
        <f>HYPERLINK("https://facultyinfo.unt.edu/faculty-profile?profile=jgliu","https://facultyinfo.unt.edu/faculty-profile?profile=jgliu")</f>
        <v>https://facultyinfo.unt.edu/faculty-profile?profile=jgliu</v>
      </c>
    </row>
    <row r="999" spans="1:12" x14ac:dyDescent="0.3">
      <c r="A999">
        <v>827</v>
      </c>
      <c r="B999" t="s">
        <v>1823</v>
      </c>
      <c r="C999" t="s">
        <v>1812</v>
      </c>
      <c r="D999" t="s">
        <v>14</v>
      </c>
      <c r="E999" t="s">
        <v>1824</v>
      </c>
      <c r="F999" t="s">
        <v>83</v>
      </c>
      <c r="G999" t="s">
        <v>84</v>
      </c>
      <c r="H999" t="s">
        <v>200</v>
      </c>
      <c r="I999">
        <v>23</v>
      </c>
      <c r="J999" t="s">
        <v>19</v>
      </c>
      <c r="K999">
        <v>1</v>
      </c>
      <c r="L999" t="str">
        <f>HYPERLINK("https://engr.ku.edu/people/christopher-depcik","https://engr.ku.edu/people/christopher-depcik")</f>
        <v>https://engr.ku.edu/people/christopher-depcik</v>
      </c>
    </row>
    <row r="1000" spans="1:12" x14ac:dyDescent="0.3">
      <c r="A1000">
        <v>831</v>
      </c>
      <c r="B1000" t="s">
        <v>1831</v>
      </c>
      <c r="C1000" t="s">
        <v>1832</v>
      </c>
      <c r="D1000" t="s">
        <v>161</v>
      </c>
      <c r="E1000" t="s">
        <v>1833</v>
      </c>
      <c r="F1000" t="s">
        <v>62</v>
      </c>
      <c r="G1000" t="s">
        <v>63</v>
      </c>
      <c r="H1000" t="s">
        <v>1834</v>
      </c>
      <c r="I1000">
        <v>109</v>
      </c>
      <c r="J1000" t="s">
        <v>19</v>
      </c>
      <c r="K1000">
        <v>1</v>
      </c>
      <c r="L1000" t="str">
        <f>HYPERLINK("https://mae.engr.uky.edu/people/alexandre-martin","https://mae.engr.uky.edu/people/alexandre-martin")</f>
        <v>https://mae.engr.uky.edu/people/alexandre-martin</v>
      </c>
    </row>
    <row r="1001" spans="1:12" x14ac:dyDescent="0.3">
      <c r="A1001">
        <v>832</v>
      </c>
      <c r="B1001" t="s">
        <v>1835</v>
      </c>
      <c r="C1001" t="s">
        <v>1832</v>
      </c>
      <c r="D1001" t="s">
        <v>161</v>
      </c>
      <c r="E1001" t="s">
        <v>1836</v>
      </c>
      <c r="F1001" t="s">
        <v>62</v>
      </c>
      <c r="G1001" t="s">
        <v>63</v>
      </c>
      <c r="H1001" t="s">
        <v>254</v>
      </c>
      <c r="I1001">
        <v>62</v>
      </c>
      <c r="J1001" t="s">
        <v>19</v>
      </c>
      <c r="K1001">
        <v>1</v>
      </c>
      <c r="L1001" t="str">
        <f>HYPERLINK("https://mae.engr.uky.edu/people/savio-poovathingal","https://mae.engr.uky.edu/people/savio-poovathingal")</f>
        <v>https://mae.engr.uky.edu/people/savio-poovathingal</v>
      </c>
    </row>
    <row r="1002" spans="1:12" x14ac:dyDescent="0.3">
      <c r="A1002">
        <v>833</v>
      </c>
      <c r="B1002" t="s">
        <v>1837</v>
      </c>
      <c r="C1002" t="s">
        <v>1832</v>
      </c>
      <c r="D1002" t="s">
        <v>161</v>
      </c>
      <c r="E1002" t="s">
        <v>1838</v>
      </c>
      <c r="F1002" t="s">
        <v>62</v>
      </c>
      <c r="G1002" t="s">
        <v>63</v>
      </c>
      <c r="H1002" t="s">
        <v>33</v>
      </c>
      <c r="I1002">
        <v>45</v>
      </c>
      <c r="J1002" t="s">
        <v>19</v>
      </c>
      <c r="K1002">
        <v>1</v>
      </c>
      <c r="L1002" t="str">
        <f>HYPERLINK("https://mae.engr.uky.edu/people/sean-bailey","https://mae.engr.uky.edu/people/sean-bailey")</f>
        <v>https://mae.engr.uky.edu/people/sean-bailey</v>
      </c>
    </row>
    <row r="1003" spans="1:12" x14ac:dyDescent="0.3">
      <c r="A1003">
        <v>834</v>
      </c>
      <c r="B1003" t="s">
        <v>1839</v>
      </c>
      <c r="C1003" t="s">
        <v>1832</v>
      </c>
      <c r="D1003" t="s">
        <v>161</v>
      </c>
      <c r="E1003" t="s">
        <v>1840</v>
      </c>
      <c r="F1003" t="s">
        <v>62</v>
      </c>
      <c r="G1003" t="s">
        <v>63</v>
      </c>
      <c r="H1003" t="s">
        <v>39</v>
      </c>
      <c r="I1003">
        <v>24</v>
      </c>
      <c r="J1003" t="s">
        <v>19</v>
      </c>
      <c r="K1003">
        <v>1</v>
      </c>
      <c r="L1003" t="str">
        <f>HYPERLINK("https://mae.engr.uky.edu/people/dan-fries","https://mae.engr.uky.edu/people/dan-fries")</f>
        <v>https://mae.engr.uky.edu/people/dan-fries</v>
      </c>
    </row>
    <row r="1004" spans="1:12" x14ac:dyDescent="0.3">
      <c r="A1004">
        <v>836</v>
      </c>
      <c r="B1004" t="s">
        <v>1843</v>
      </c>
      <c r="C1004" t="s">
        <v>1832</v>
      </c>
      <c r="D1004" t="s">
        <v>161</v>
      </c>
      <c r="E1004" t="s">
        <v>1844</v>
      </c>
      <c r="F1004" t="s">
        <v>62</v>
      </c>
      <c r="G1004" t="s">
        <v>63</v>
      </c>
      <c r="H1004" t="s">
        <v>273</v>
      </c>
      <c r="I1004">
        <v>50</v>
      </c>
      <c r="J1004" t="s">
        <v>19</v>
      </c>
      <c r="K1004">
        <v>1</v>
      </c>
      <c r="L1004" t="str">
        <f>HYPERLINK("https://mae.engr.uky.edu/people/jesse-hoagg","https://mae.engr.uky.edu/people/jesse-hoagg")</f>
        <v>https://mae.engr.uky.edu/people/jesse-hoagg</v>
      </c>
    </row>
    <row r="1005" spans="1:12" x14ac:dyDescent="0.3">
      <c r="A1005">
        <v>840</v>
      </c>
      <c r="B1005" t="s">
        <v>1852</v>
      </c>
      <c r="C1005" t="s">
        <v>1853</v>
      </c>
      <c r="D1005" t="s">
        <v>14</v>
      </c>
      <c r="E1005" t="s">
        <v>1854</v>
      </c>
      <c r="F1005" t="s">
        <v>27</v>
      </c>
      <c r="G1005" t="s">
        <v>476</v>
      </c>
      <c r="H1005" t="s">
        <v>92</v>
      </c>
      <c r="I1005">
        <v>10</v>
      </c>
      <c r="J1005" t="s">
        <v>19</v>
      </c>
      <c r="K1005">
        <v>1</v>
      </c>
      <c r="L1005" t="str">
        <f>HYPERLINK("https://engineering.louisville.edu/academics/faculty/page/6/?cat=14","https://engineering.louisville.edu/academics/faculty/page/6/?cat=14")</f>
        <v>https://engineering.louisville.edu/academics/faculty/page/6/?cat=14</v>
      </c>
    </row>
    <row r="1006" spans="1:12" x14ac:dyDescent="0.3">
      <c r="A1006">
        <v>841</v>
      </c>
      <c r="B1006" t="s">
        <v>1855</v>
      </c>
      <c r="C1006" t="s">
        <v>1853</v>
      </c>
      <c r="D1006" t="s">
        <v>14</v>
      </c>
      <c r="E1006" t="s">
        <v>1856</v>
      </c>
      <c r="F1006" t="s">
        <v>27</v>
      </c>
      <c r="G1006" t="s">
        <v>476</v>
      </c>
      <c r="H1006" t="s">
        <v>495</v>
      </c>
      <c r="I1006">
        <v>24</v>
      </c>
      <c r="J1006" t="s">
        <v>19</v>
      </c>
      <c r="K1006">
        <v>1</v>
      </c>
      <c r="L1006" t="str">
        <f>HYPERLINK("https://engineering.louisville.edu/faculty/stuart-j-williams/","https://engineering.louisville.edu/faculty/stuart-j-williams/")</f>
        <v>https://engineering.louisville.edu/faculty/stuart-j-williams/</v>
      </c>
    </row>
    <row r="1007" spans="1:12" x14ac:dyDescent="0.3">
      <c r="A1007">
        <v>842</v>
      </c>
      <c r="B1007" t="s">
        <v>1857</v>
      </c>
      <c r="C1007" t="s">
        <v>1853</v>
      </c>
      <c r="D1007" t="s">
        <v>14</v>
      </c>
      <c r="E1007" t="s">
        <v>1858</v>
      </c>
      <c r="F1007" t="s">
        <v>27</v>
      </c>
      <c r="G1007" t="s">
        <v>476</v>
      </c>
      <c r="H1007" t="s">
        <v>200</v>
      </c>
      <c r="I1007">
        <v>47</v>
      </c>
      <c r="J1007" t="s">
        <v>19</v>
      </c>
      <c r="K1007">
        <v>1</v>
      </c>
      <c r="L1007" t="str">
        <f>HYPERLINK("https://engineering.louisville.edu/academics/faculty/","https://engineering.louisville.edu/academics/faculty/")</f>
        <v>https://engineering.louisville.edu/academics/faculty/</v>
      </c>
    </row>
    <row r="1008" spans="1:12" hidden="1" x14ac:dyDescent="0.3">
      <c r="A1008">
        <v>1007</v>
      </c>
      <c r="B1008" t="s">
        <v>2189</v>
      </c>
      <c r="C1008" t="s">
        <v>2170</v>
      </c>
      <c r="D1008" t="s">
        <v>31</v>
      </c>
      <c r="E1008" t="s">
        <v>2190</v>
      </c>
      <c r="F1008" t="s">
        <v>335</v>
      </c>
      <c r="G1008" t="s">
        <v>336</v>
      </c>
      <c r="H1008" t="s">
        <v>516</v>
      </c>
      <c r="I1008">
        <v>20</v>
      </c>
      <c r="J1008" t="s">
        <v>19</v>
      </c>
      <c r="K1008">
        <v>1</v>
      </c>
      <c r="L1008" t="str">
        <f>HYPERLINK("https://engineering.nd.edu/faculty/karel-matous/","https://engineering.nd.edu/faculty/karel-matous/")</f>
        <v>https://engineering.nd.edu/faculty/karel-matous/</v>
      </c>
    </row>
    <row r="1009" spans="1:12" hidden="1" x14ac:dyDescent="0.3">
      <c r="A1009">
        <v>1008</v>
      </c>
      <c r="B1009" t="s">
        <v>2191</v>
      </c>
      <c r="C1009" t="s">
        <v>2170</v>
      </c>
      <c r="D1009" t="s">
        <v>31</v>
      </c>
      <c r="E1009" t="s">
        <v>2192</v>
      </c>
      <c r="F1009" t="s">
        <v>335</v>
      </c>
      <c r="G1009" t="s">
        <v>336</v>
      </c>
      <c r="H1009" t="s">
        <v>200</v>
      </c>
      <c r="I1009">
        <v>107</v>
      </c>
      <c r="J1009" t="s">
        <v>19</v>
      </c>
      <c r="K1009">
        <v>1</v>
      </c>
      <c r="L1009" t="str">
        <f>HYPERLINK("https://engineering.nd.edu/faculty/ryan-mcclarren/","https://engineering.nd.edu/faculty/ryan-mcclarren/")</f>
        <v>https://engineering.nd.edu/faculty/ryan-mcclarren/</v>
      </c>
    </row>
    <row r="1010" spans="1:12" x14ac:dyDescent="0.3">
      <c r="A1010">
        <v>848</v>
      </c>
      <c r="B1010" t="s">
        <v>1868</v>
      </c>
      <c r="C1010" t="s">
        <v>1864</v>
      </c>
      <c r="D1010" t="s">
        <v>14</v>
      </c>
      <c r="E1010" t="s">
        <v>1869</v>
      </c>
      <c r="F1010" t="s">
        <v>62</v>
      </c>
      <c r="G1010" t="s">
        <v>63</v>
      </c>
      <c r="H1010" t="s">
        <v>842</v>
      </c>
      <c r="I1010">
        <v>30</v>
      </c>
      <c r="J1010" t="s">
        <v>19</v>
      </c>
      <c r="K1010">
        <v>1</v>
      </c>
      <c r="L1010" t="str">
        <f>HYPERLINK("https://umaine.edu/directory/ums_directory/ahmed-aboelezz/","https://umaine.edu/directory/ums_directory/ahmed-aboelezz/")</f>
        <v>https://umaine.edu/directory/ums_directory/ahmed-aboelezz/</v>
      </c>
    </row>
    <row r="1011" spans="1:12" hidden="1" x14ac:dyDescent="0.3">
      <c r="A1011">
        <v>1010</v>
      </c>
      <c r="B1011" t="s">
        <v>2195</v>
      </c>
      <c r="C1011" t="s">
        <v>2170</v>
      </c>
      <c r="D1011" t="s">
        <v>31</v>
      </c>
      <c r="E1011" t="s">
        <v>2196</v>
      </c>
      <c r="F1011" t="s">
        <v>62</v>
      </c>
      <c r="G1011" t="s">
        <v>63</v>
      </c>
      <c r="H1011" t="s">
        <v>254</v>
      </c>
      <c r="I1011">
        <v>22</v>
      </c>
      <c r="J1011" t="s">
        <v>19</v>
      </c>
      <c r="K1011">
        <v>1</v>
      </c>
      <c r="L1011" t="str">
        <f>HYPERLINK("https://acms.nd.edu/people/martina-buka/","https://acms.nd.edu/people/martina-buka/")</f>
        <v>https://acms.nd.edu/people/martina-buka/</v>
      </c>
    </row>
    <row r="1012" spans="1:12" hidden="1" x14ac:dyDescent="0.3">
      <c r="A1012">
        <v>1011</v>
      </c>
      <c r="B1012" t="s">
        <v>2197</v>
      </c>
      <c r="C1012" t="s">
        <v>2170</v>
      </c>
      <c r="D1012" t="s">
        <v>31</v>
      </c>
      <c r="E1012" t="s">
        <v>2198</v>
      </c>
      <c r="F1012" t="s">
        <v>22</v>
      </c>
      <c r="G1012" t="s">
        <v>23</v>
      </c>
      <c r="H1012" t="s">
        <v>45</v>
      </c>
      <c r="I1012">
        <v>44</v>
      </c>
      <c r="J1012" t="s">
        <v>19</v>
      </c>
      <c r="K1012">
        <v>1</v>
      </c>
      <c r="L1012" t="str">
        <f>HYPERLINK("https://acms.nd.edu/people/guosheng-fu/","https://acms.nd.edu/people/guosheng-fu/")</f>
        <v>https://acms.nd.edu/people/guosheng-fu/</v>
      </c>
    </row>
    <row r="1013" spans="1:12" hidden="1" x14ac:dyDescent="0.3">
      <c r="A1013">
        <v>1012</v>
      </c>
      <c r="B1013" t="s">
        <v>2199</v>
      </c>
      <c r="C1013" t="s">
        <v>2170</v>
      </c>
      <c r="D1013" t="s">
        <v>31</v>
      </c>
      <c r="E1013" t="s">
        <v>2200</v>
      </c>
      <c r="F1013" t="s">
        <v>191</v>
      </c>
      <c r="G1013" t="s">
        <v>192</v>
      </c>
      <c r="H1013" t="s">
        <v>213</v>
      </c>
      <c r="I1013">
        <v>44</v>
      </c>
      <c r="J1013" t="s">
        <v>154</v>
      </c>
      <c r="K1013">
        <v>3</v>
      </c>
      <c r="L1013" t="str">
        <f>HYPERLINK("https://acms.nd.edu/people/zhiliang-xu/","https://acms.nd.edu/people/zhiliang-xu/")</f>
        <v>https://acms.nd.edu/people/zhiliang-xu/</v>
      </c>
    </row>
    <row r="1014" spans="1:12" x14ac:dyDescent="0.3">
      <c r="A1014">
        <v>849</v>
      </c>
      <c r="B1014" t="s">
        <v>1870</v>
      </c>
      <c r="C1014" t="s">
        <v>1864</v>
      </c>
      <c r="D1014" t="s">
        <v>14</v>
      </c>
      <c r="E1014" t="s">
        <v>1871</v>
      </c>
      <c r="F1014" t="s">
        <v>62</v>
      </c>
      <c r="G1014" t="s">
        <v>63</v>
      </c>
      <c r="H1014" t="s">
        <v>220</v>
      </c>
      <c r="I1014">
        <v>53</v>
      </c>
      <c r="J1014" t="s">
        <v>19</v>
      </c>
      <c r="K1014">
        <v>1</v>
      </c>
      <c r="L1014" t="str">
        <f>HYPERLINK("https://umaine.edu/directory/ums_directory/kewei-xu-2/","https://umaine.edu/directory/ums_directory/kewei-xu-2/")</f>
        <v>https://umaine.edu/directory/ums_directory/kewei-xu-2/</v>
      </c>
    </row>
    <row r="1015" spans="1:12" x14ac:dyDescent="0.3">
      <c r="A1015">
        <v>856</v>
      </c>
      <c r="B1015" t="s">
        <v>1885</v>
      </c>
      <c r="C1015" t="s">
        <v>1877</v>
      </c>
      <c r="D1015" t="s">
        <v>48</v>
      </c>
      <c r="E1015" t="s">
        <v>1886</v>
      </c>
      <c r="F1015" t="s">
        <v>83</v>
      </c>
      <c r="G1015" t="s">
        <v>84</v>
      </c>
      <c r="H1015" t="s">
        <v>519</v>
      </c>
      <c r="I1015">
        <v>34</v>
      </c>
      <c r="J1015" t="s">
        <v>19</v>
      </c>
      <c r="K1015">
        <v>1</v>
      </c>
      <c r="L1015" t="str">
        <f>HYPERLINK("https://aero.umd.edu/clark/faculty/23/Inderjit-Chopra","https://aero.umd.edu/clark/faculty/23/Inderjit-Chopra")</f>
        <v>https://aero.umd.edu/clark/faculty/23/Inderjit-Chopra</v>
      </c>
    </row>
    <row r="1016" spans="1:12" x14ac:dyDescent="0.3">
      <c r="A1016">
        <v>860</v>
      </c>
      <c r="B1016" t="s">
        <v>1893</v>
      </c>
      <c r="C1016" t="s">
        <v>1894</v>
      </c>
      <c r="D1016" t="s">
        <v>14</v>
      </c>
      <c r="E1016" t="s">
        <v>1895</v>
      </c>
      <c r="F1016" t="s">
        <v>62</v>
      </c>
      <c r="G1016" t="s">
        <v>63</v>
      </c>
      <c r="H1016" t="s">
        <v>273</v>
      </c>
      <c r="I1016">
        <v>30</v>
      </c>
      <c r="J1016" t="s">
        <v>19</v>
      </c>
      <c r="K1016">
        <v>1</v>
      </c>
      <c r="L1016" t="str">
        <f>HYPERLINK("https://mie.umass.edu/faculty/yahya-modarres-sadeghi","https://mie.umass.edu/faculty/yahya-modarres-sadeghi")</f>
        <v>https://mie.umass.edu/faculty/yahya-modarres-sadeghi</v>
      </c>
    </row>
    <row r="1017" spans="1:12" hidden="1" x14ac:dyDescent="0.3">
      <c r="A1017">
        <v>1016</v>
      </c>
      <c r="B1017" t="s">
        <v>2208</v>
      </c>
      <c r="C1017" t="s">
        <v>2202</v>
      </c>
      <c r="D1017" t="s">
        <v>31</v>
      </c>
      <c r="E1017" t="s">
        <v>2209</v>
      </c>
      <c r="F1017" t="s">
        <v>114</v>
      </c>
      <c r="G1017" t="s">
        <v>115</v>
      </c>
      <c r="H1017" t="s">
        <v>220</v>
      </c>
      <c r="I1017">
        <v>1</v>
      </c>
      <c r="J1017" t="s">
        <v>116</v>
      </c>
      <c r="K1017">
        <v>3</v>
      </c>
      <c r="L1017" t="str">
        <f>HYPERLINK("https://www.ou.edu/coe/ame/people/faculty.html","https://www.ou.edu/coe/ame/people/faculty.html")</f>
        <v>https://www.ou.edu/coe/ame/people/faculty.html</v>
      </c>
    </row>
    <row r="1018" spans="1:12" hidden="1" x14ac:dyDescent="0.3">
      <c r="A1018">
        <v>1017</v>
      </c>
      <c r="B1018" t="s">
        <v>2210</v>
      </c>
      <c r="C1018" t="s">
        <v>2202</v>
      </c>
      <c r="D1018" t="s">
        <v>31</v>
      </c>
      <c r="E1018" t="s">
        <v>2211</v>
      </c>
      <c r="F1018" t="s">
        <v>62</v>
      </c>
      <c r="G1018" t="s">
        <v>63</v>
      </c>
      <c r="H1018" t="s">
        <v>140</v>
      </c>
      <c r="I1018">
        <v>68</v>
      </c>
      <c r="J1018" t="s">
        <v>19</v>
      </c>
      <c r="K1018">
        <v>1</v>
      </c>
      <c r="L1018" t="str">
        <f>HYPERLINK("https://www.ou.edu/coe/ame/people/faculty/shuozhi-xu.html","https://www.ou.edu/coe/ame/people/faculty/shuozhi-xu.html")</f>
        <v>https://www.ou.edu/coe/ame/people/faculty/shuozhi-xu.html</v>
      </c>
    </row>
    <row r="1019" spans="1:12" hidden="1" x14ac:dyDescent="0.3">
      <c r="A1019">
        <v>1018</v>
      </c>
      <c r="B1019" t="s">
        <v>2212</v>
      </c>
      <c r="C1019" t="s">
        <v>2202</v>
      </c>
      <c r="D1019" t="s">
        <v>31</v>
      </c>
      <c r="E1019" t="s">
        <v>2213</v>
      </c>
      <c r="F1019" t="s">
        <v>114</v>
      </c>
      <c r="G1019" t="s">
        <v>115</v>
      </c>
      <c r="H1019" t="s">
        <v>18</v>
      </c>
      <c r="I1019">
        <v>66</v>
      </c>
      <c r="J1019" t="s">
        <v>116</v>
      </c>
      <c r="K1019">
        <v>3</v>
      </c>
      <c r="L1019" t="str">
        <f>HYPERLINK("https://www.ou.edu/coe/ame/people/faculty.html","https://www.ou.edu/coe/ame/people/faculty.html")</f>
        <v>https://www.ou.edu/coe/ame/people/faculty.html</v>
      </c>
    </row>
    <row r="1020" spans="1:12" x14ac:dyDescent="0.3">
      <c r="A1020">
        <v>861</v>
      </c>
      <c r="B1020" t="s">
        <v>1896</v>
      </c>
      <c r="C1020" t="s">
        <v>1894</v>
      </c>
      <c r="D1020" t="s">
        <v>14</v>
      </c>
      <c r="E1020" t="s">
        <v>1897</v>
      </c>
      <c r="F1020" t="s">
        <v>62</v>
      </c>
      <c r="G1020" t="s">
        <v>63</v>
      </c>
      <c r="H1020" t="s">
        <v>516</v>
      </c>
      <c r="I1020">
        <v>25</v>
      </c>
      <c r="J1020" t="s">
        <v>19</v>
      </c>
      <c r="K1020">
        <v>1</v>
      </c>
      <c r="L1020" t="str">
        <f>HYPERLINK("https://mie.umass.edu/faculty/stephen-de-bruyn-kops","https://mie.umass.edu/faculty/stephen-de-bruyn-kops")</f>
        <v>https://mie.umass.edu/faculty/stephen-de-bruyn-kops</v>
      </c>
    </row>
    <row r="1021" spans="1:12" x14ac:dyDescent="0.3">
      <c r="A1021">
        <v>862</v>
      </c>
      <c r="B1021" t="s">
        <v>1898</v>
      </c>
      <c r="C1021" t="s">
        <v>1894</v>
      </c>
      <c r="D1021" t="s">
        <v>14</v>
      </c>
      <c r="E1021" t="s">
        <v>1899</v>
      </c>
      <c r="F1021" t="s">
        <v>62</v>
      </c>
      <c r="G1021" t="s">
        <v>63</v>
      </c>
      <c r="H1021" t="s">
        <v>273</v>
      </c>
      <c r="I1021">
        <v>16</v>
      </c>
      <c r="J1021" t="s">
        <v>19</v>
      </c>
      <c r="K1021">
        <v>1</v>
      </c>
      <c r="L1021" t="str">
        <f>HYPERLINK("https://mie.umass.edu/faculty/matthew-lackner","https://mie.umass.edu/faculty/matthew-lackner")</f>
        <v>https://mie.umass.edu/faculty/matthew-lackner</v>
      </c>
    </row>
    <row r="1022" spans="1:12" hidden="1" x14ac:dyDescent="0.3">
      <c r="A1022">
        <v>1021</v>
      </c>
      <c r="B1022" t="s">
        <v>2218</v>
      </c>
      <c r="C1022" t="s">
        <v>2202</v>
      </c>
      <c r="D1022" t="s">
        <v>31</v>
      </c>
      <c r="E1022" t="s">
        <v>2219</v>
      </c>
      <c r="F1022" t="s">
        <v>27</v>
      </c>
      <c r="G1022" t="s">
        <v>28</v>
      </c>
      <c r="H1022" t="s">
        <v>519</v>
      </c>
      <c r="I1022">
        <v>1</v>
      </c>
      <c r="J1022" t="s">
        <v>19</v>
      </c>
      <c r="K1022">
        <v>1</v>
      </c>
      <c r="L1022" t="str">
        <f>HYPERLINK("https://www.math.ou.edu/people/faculty.html","https://www.math.ou.edu/people/faculty.html")</f>
        <v>https://www.math.ou.edu/people/faculty.html</v>
      </c>
    </row>
    <row r="1023" spans="1:12" x14ac:dyDescent="0.3">
      <c r="A1023">
        <v>863</v>
      </c>
      <c r="B1023" t="s">
        <v>1900</v>
      </c>
      <c r="C1023" t="s">
        <v>1894</v>
      </c>
      <c r="D1023" t="s">
        <v>14</v>
      </c>
      <c r="E1023" t="s">
        <v>1901</v>
      </c>
      <c r="F1023" t="s">
        <v>62</v>
      </c>
      <c r="G1023" t="s">
        <v>63</v>
      </c>
      <c r="H1023" t="s">
        <v>620</v>
      </c>
      <c r="I1023">
        <v>17</v>
      </c>
      <c r="J1023" t="s">
        <v>19</v>
      </c>
      <c r="K1023">
        <v>1</v>
      </c>
      <c r="L1023" t="str">
        <f>HYPERLINK("https://mie.umass.edu/faculty/david-schmidt","https://mie.umass.edu/faculty/david-schmidt")</f>
        <v>https://mie.umass.edu/faculty/david-schmidt</v>
      </c>
    </row>
    <row r="1024" spans="1:12" x14ac:dyDescent="0.3">
      <c r="A1024">
        <v>864</v>
      </c>
      <c r="B1024" t="s">
        <v>1902</v>
      </c>
      <c r="C1024" t="s">
        <v>1894</v>
      </c>
      <c r="D1024" t="s">
        <v>14</v>
      </c>
      <c r="E1024" t="s">
        <v>1903</v>
      </c>
      <c r="F1024" t="s">
        <v>62</v>
      </c>
      <c r="G1024" t="s">
        <v>63</v>
      </c>
      <c r="H1024" t="s">
        <v>33</v>
      </c>
      <c r="I1024">
        <v>27</v>
      </c>
      <c r="J1024" t="s">
        <v>19</v>
      </c>
      <c r="K1024">
        <v>1</v>
      </c>
      <c r="L1024" t="str">
        <f>HYPERLINK("https://mie.umass.edu/faculty/jonathan-rothstein","https://mie.umass.edu/faculty/jonathan-rothstein")</f>
        <v>https://mie.umass.edu/faculty/jonathan-rothstein</v>
      </c>
    </row>
    <row r="1025" spans="1:12" hidden="1" x14ac:dyDescent="0.3">
      <c r="A1025">
        <v>1024</v>
      </c>
      <c r="B1025" t="s">
        <v>2225</v>
      </c>
      <c r="C1025" t="s">
        <v>2221</v>
      </c>
      <c r="D1025" t="s">
        <v>31</v>
      </c>
      <c r="E1025" t="s">
        <v>2226</v>
      </c>
      <c r="F1025" t="s">
        <v>16</v>
      </c>
      <c r="G1025" t="s">
        <v>17</v>
      </c>
      <c r="H1025" t="s">
        <v>29</v>
      </c>
      <c r="I1025">
        <v>17</v>
      </c>
      <c r="J1025" t="s">
        <v>19</v>
      </c>
      <c r="K1025">
        <v>1</v>
      </c>
      <c r="L1025" t="str">
        <f>HYPERLINK("https://directory.engineering.upenn.edu/pedro-ponte-castaneda/","https://directory.engineering.upenn.edu/pedro-ponte-castaneda/")</f>
        <v>https://directory.engineering.upenn.edu/pedro-ponte-castaneda/</v>
      </c>
    </row>
    <row r="1026" spans="1:12" x14ac:dyDescent="0.3">
      <c r="A1026">
        <v>865</v>
      </c>
      <c r="B1026" t="s">
        <v>1904</v>
      </c>
      <c r="C1026" t="s">
        <v>1894</v>
      </c>
      <c r="D1026" t="s">
        <v>14</v>
      </c>
      <c r="E1026" t="s">
        <v>1905</v>
      </c>
      <c r="F1026" t="s">
        <v>62</v>
      </c>
      <c r="G1026" t="s">
        <v>63</v>
      </c>
      <c r="H1026" t="s">
        <v>213</v>
      </c>
      <c r="I1026">
        <v>3</v>
      </c>
      <c r="J1026" t="s">
        <v>19</v>
      </c>
      <c r="K1026">
        <v>1</v>
      </c>
      <c r="L1026" t="str">
        <f>HYPERLINK("https://mie.umass.edu/faculty/j-blair-perot","https://mie.umass.edu/faculty/j-blair-perot")</f>
        <v>https://mie.umass.edu/faculty/j-blair-perot</v>
      </c>
    </row>
    <row r="1027" spans="1:12" x14ac:dyDescent="0.3">
      <c r="A1027">
        <v>866</v>
      </c>
      <c r="B1027" t="s">
        <v>1906</v>
      </c>
      <c r="C1027" t="s">
        <v>1894</v>
      </c>
      <c r="D1027" t="s">
        <v>14</v>
      </c>
      <c r="E1027" t="s">
        <v>1907</v>
      </c>
      <c r="F1027" t="s">
        <v>62</v>
      </c>
      <c r="G1027" t="s">
        <v>63</v>
      </c>
      <c r="H1027" t="s">
        <v>220</v>
      </c>
      <c r="I1027">
        <v>18</v>
      </c>
      <c r="J1027" t="s">
        <v>19</v>
      </c>
      <c r="K1027">
        <v>1</v>
      </c>
      <c r="L1027" t="str">
        <f>HYPERLINK("https://mie.umass.edu/faculty/krish-thiagarajan-sharman","https://mie.umass.edu/faculty/krish-thiagarajan-sharman")</f>
        <v>https://mie.umass.edu/faculty/krish-thiagarajan-sharman</v>
      </c>
    </row>
    <row r="1028" spans="1:12" hidden="1" x14ac:dyDescent="0.3">
      <c r="A1028">
        <v>1027</v>
      </c>
      <c r="B1028" t="s">
        <v>2231</v>
      </c>
      <c r="C1028" t="s">
        <v>2221</v>
      </c>
      <c r="D1028" t="s">
        <v>31</v>
      </c>
      <c r="E1028" t="s">
        <v>2232</v>
      </c>
      <c r="F1028" t="s">
        <v>151</v>
      </c>
      <c r="G1028" t="s">
        <v>152</v>
      </c>
      <c r="H1028" t="s">
        <v>143</v>
      </c>
      <c r="I1028">
        <v>52</v>
      </c>
      <c r="J1028" t="s">
        <v>154</v>
      </c>
      <c r="K1028">
        <v>3</v>
      </c>
      <c r="L1028" t="str">
        <f>HYPERLINK("https://www.math.upenn.edu/people/yoichiro-mori","https://www.math.upenn.edu/people/yoichiro-mori")</f>
        <v>https://www.math.upenn.edu/people/yoichiro-mori</v>
      </c>
    </row>
    <row r="1029" spans="1:12" x14ac:dyDescent="0.3">
      <c r="A1029">
        <v>891</v>
      </c>
      <c r="B1029" t="s">
        <v>1959</v>
      </c>
      <c r="C1029" t="s">
        <v>1958</v>
      </c>
      <c r="D1029" t="s">
        <v>48</v>
      </c>
      <c r="E1029" t="s">
        <v>1960</v>
      </c>
      <c r="F1029" t="s">
        <v>27</v>
      </c>
      <c r="G1029" t="s">
        <v>476</v>
      </c>
      <c r="H1029" t="s">
        <v>225</v>
      </c>
      <c r="I1029">
        <v>90</v>
      </c>
      <c r="J1029" t="s">
        <v>19</v>
      </c>
      <c r="K1029">
        <v>1</v>
      </c>
      <c r="L1029" t="str">
        <f>HYPERLINK("https://aero.engin.umich.edu/people/duraisamy-karthik/","https://aero.engin.umich.edu/people/duraisamy-karthik/")</f>
        <v>https://aero.engin.umich.edu/people/duraisamy-karthik/</v>
      </c>
    </row>
    <row r="1030" spans="1:12" x14ac:dyDescent="0.3">
      <c r="A1030">
        <v>893</v>
      </c>
      <c r="B1030" t="s">
        <v>1962</v>
      </c>
      <c r="C1030" t="s">
        <v>1958</v>
      </c>
      <c r="D1030" t="s">
        <v>48</v>
      </c>
      <c r="E1030" t="s">
        <v>1963</v>
      </c>
      <c r="F1030" t="s">
        <v>27</v>
      </c>
      <c r="G1030" t="s">
        <v>476</v>
      </c>
      <c r="H1030" t="s">
        <v>33</v>
      </c>
      <c r="I1030">
        <v>158</v>
      </c>
      <c r="J1030" t="s">
        <v>19</v>
      </c>
      <c r="K1030">
        <v>1</v>
      </c>
      <c r="L1030" t="str">
        <f>HYPERLINK("https://aero.engin.umich.edu/people/martins-joaquim-r-r-a/","https://aero.engin.umich.edu/people/martins-joaquim-r-r-a/")</f>
        <v>https://aero.engin.umich.edu/people/martins-joaquim-r-r-a/</v>
      </c>
    </row>
    <row r="1031" spans="1:12" x14ac:dyDescent="0.3">
      <c r="A1031">
        <v>894</v>
      </c>
      <c r="B1031" t="s">
        <v>1964</v>
      </c>
      <c r="C1031" t="s">
        <v>1958</v>
      </c>
      <c r="D1031" t="s">
        <v>48</v>
      </c>
      <c r="E1031" t="s">
        <v>1965</v>
      </c>
      <c r="F1031" t="s">
        <v>27</v>
      </c>
      <c r="G1031" t="s">
        <v>476</v>
      </c>
      <c r="H1031" t="s">
        <v>200</v>
      </c>
      <c r="I1031">
        <v>32</v>
      </c>
      <c r="J1031" t="s">
        <v>19</v>
      </c>
      <c r="K1031">
        <v>1</v>
      </c>
      <c r="L1031" t="str">
        <f>HYPERLINK("https://aero.engin.umich.edu/people/gamba-mirko/","https://aero.engin.umich.edu/people/gamba-mirko/")</f>
        <v>https://aero.engin.umich.edu/people/gamba-mirko/</v>
      </c>
    </row>
    <row r="1032" spans="1:12" x14ac:dyDescent="0.3">
      <c r="A1032">
        <v>897</v>
      </c>
      <c r="B1032" t="s">
        <v>1968</v>
      </c>
      <c r="C1032" t="s">
        <v>1958</v>
      </c>
      <c r="D1032" t="s">
        <v>48</v>
      </c>
      <c r="E1032" t="s">
        <v>1969</v>
      </c>
      <c r="F1032" t="s">
        <v>27</v>
      </c>
      <c r="G1032" t="s">
        <v>476</v>
      </c>
      <c r="H1032" t="s">
        <v>127</v>
      </c>
      <c r="I1032">
        <v>54</v>
      </c>
      <c r="J1032" t="s">
        <v>19</v>
      </c>
      <c r="K1032">
        <v>1</v>
      </c>
      <c r="L1032" t="str">
        <f>HYPERLINK("https://aero.engin.umich.edu/people/cinar-gokcin/","https://aero.engin.umich.edu/people/cinar-gokcin/")</f>
        <v>https://aero.engin.umich.edu/people/cinar-gokcin/</v>
      </c>
    </row>
    <row r="1033" spans="1:12" x14ac:dyDescent="0.3">
      <c r="A1033">
        <v>898</v>
      </c>
      <c r="B1033" t="s">
        <v>1970</v>
      </c>
      <c r="C1033" t="s">
        <v>1958</v>
      </c>
      <c r="D1033" t="s">
        <v>48</v>
      </c>
      <c r="E1033" t="s">
        <v>1971</v>
      </c>
      <c r="F1033" t="s">
        <v>27</v>
      </c>
      <c r="G1033" t="s">
        <v>476</v>
      </c>
      <c r="H1033" t="s">
        <v>519</v>
      </c>
      <c r="I1033">
        <v>2</v>
      </c>
      <c r="J1033" t="s">
        <v>19</v>
      </c>
      <c r="K1033">
        <v>1</v>
      </c>
      <c r="L1033" t="str">
        <f>HYPERLINK("https://aero.engin.umich.edu/people/powell-kenneth-g/","https://aero.engin.umich.edu/people/powell-kenneth-g/")</f>
        <v>https://aero.engin.umich.edu/people/powell-kenneth-g/</v>
      </c>
    </row>
    <row r="1034" spans="1:12" hidden="1" x14ac:dyDescent="0.3">
      <c r="A1034">
        <v>1033</v>
      </c>
      <c r="B1034" t="s">
        <v>2244</v>
      </c>
      <c r="C1034" t="s">
        <v>2236</v>
      </c>
      <c r="D1034" t="s">
        <v>31</v>
      </c>
      <c r="E1034" t="s">
        <v>2245</v>
      </c>
      <c r="F1034" t="s">
        <v>114</v>
      </c>
      <c r="G1034" t="s">
        <v>115</v>
      </c>
      <c r="H1034" t="s">
        <v>286</v>
      </c>
      <c r="I1034">
        <v>27</v>
      </c>
      <c r="J1034" t="s">
        <v>116</v>
      </c>
      <c r="K1034">
        <v>3</v>
      </c>
      <c r="L1034" t="str">
        <f>HYPERLINK("https://www.mathematics.pitt.edu/people/ant-73","https://www.mathematics.pitt.edu/people/ant-73")</f>
        <v>https://www.mathematics.pitt.edu/people/ant-73</v>
      </c>
    </row>
    <row r="1035" spans="1:12" hidden="1" x14ac:dyDescent="0.3">
      <c r="A1035">
        <v>1034</v>
      </c>
      <c r="B1035" t="s">
        <v>2246</v>
      </c>
      <c r="C1035" t="s">
        <v>2236</v>
      </c>
      <c r="D1035" t="s">
        <v>31</v>
      </c>
      <c r="E1035" t="s">
        <v>2247</v>
      </c>
      <c r="F1035" t="s">
        <v>114</v>
      </c>
      <c r="G1035" t="s">
        <v>115</v>
      </c>
      <c r="H1035" t="s">
        <v>29</v>
      </c>
      <c r="I1035">
        <v>40</v>
      </c>
      <c r="J1035" t="s">
        <v>116</v>
      </c>
      <c r="K1035">
        <v>3</v>
      </c>
      <c r="L1035" t="str">
        <f>HYPERLINK("https://www.mathematics.pitt.edu/people/dehua-wang","https://www.mathematics.pitt.edu/people/dehua-wang")</f>
        <v>https://www.mathematics.pitt.edu/people/dehua-wang</v>
      </c>
    </row>
    <row r="1036" spans="1:12" hidden="1" x14ac:dyDescent="0.3">
      <c r="A1036">
        <v>1035</v>
      </c>
      <c r="B1036" t="s">
        <v>2248</v>
      </c>
      <c r="C1036" t="s">
        <v>2236</v>
      </c>
      <c r="D1036" t="s">
        <v>31</v>
      </c>
      <c r="E1036" t="s">
        <v>2249</v>
      </c>
      <c r="F1036" t="s">
        <v>114</v>
      </c>
      <c r="G1036" t="s">
        <v>115</v>
      </c>
      <c r="H1036" t="s">
        <v>36</v>
      </c>
      <c r="I1036">
        <v>32</v>
      </c>
      <c r="J1036" t="s">
        <v>116</v>
      </c>
      <c r="K1036">
        <v>3</v>
      </c>
      <c r="L1036" t="str">
        <f>HYPERLINK("https://www.mathematics.pitt.edu/people/michael-j-neilan","https://www.mathematics.pitt.edu/people/michael-j-neilan")</f>
        <v>https://www.mathematics.pitt.edu/people/michael-j-neilan</v>
      </c>
    </row>
    <row r="1037" spans="1:12" hidden="1" x14ac:dyDescent="0.3">
      <c r="A1037">
        <v>1036</v>
      </c>
      <c r="B1037" t="s">
        <v>2250</v>
      </c>
      <c r="C1037" t="s">
        <v>2236</v>
      </c>
      <c r="D1037" t="s">
        <v>31</v>
      </c>
      <c r="E1037" t="s">
        <v>2251</v>
      </c>
      <c r="F1037" t="s">
        <v>114</v>
      </c>
      <c r="G1037" t="s">
        <v>115</v>
      </c>
      <c r="H1037" t="s">
        <v>33</v>
      </c>
      <c r="I1037">
        <v>23</v>
      </c>
      <c r="J1037" t="s">
        <v>116</v>
      </c>
      <c r="K1037">
        <v>3</v>
      </c>
      <c r="L1037" t="str">
        <f>HYPERLINK("https://www.mathematics.pitt.edu/people/catalin-trenchea","https://www.mathematics.pitt.edu/people/catalin-trenchea")</f>
        <v>https://www.mathematics.pitt.edu/people/catalin-trenchea</v>
      </c>
    </row>
    <row r="1038" spans="1:12" hidden="1" x14ac:dyDescent="0.3">
      <c r="A1038">
        <v>1037</v>
      </c>
      <c r="B1038" t="s">
        <v>2252</v>
      </c>
      <c r="C1038" t="s">
        <v>2236</v>
      </c>
      <c r="D1038" t="s">
        <v>31</v>
      </c>
      <c r="E1038" t="s">
        <v>2253</v>
      </c>
      <c r="F1038" t="s">
        <v>114</v>
      </c>
      <c r="G1038" t="s">
        <v>115</v>
      </c>
      <c r="H1038" t="s">
        <v>53</v>
      </c>
      <c r="I1038">
        <v>59</v>
      </c>
      <c r="J1038" t="s">
        <v>116</v>
      </c>
      <c r="K1038">
        <v>3</v>
      </c>
      <c r="L1038" t="str">
        <f>HYPERLINK("https://www.mathematics.pitt.edu/people/armin-schikorra","https://www.mathematics.pitt.edu/people/armin-schikorra")</f>
        <v>https://www.mathematics.pitt.edu/people/armin-schikorra</v>
      </c>
    </row>
    <row r="1039" spans="1:12" hidden="1" x14ac:dyDescent="0.3">
      <c r="A1039">
        <v>1038</v>
      </c>
      <c r="B1039" t="s">
        <v>2254</v>
      </c>
      <c r="C1039" t="s">
        <v>2236</v>
      </c>
      <c r="D1039" t="s">
        <v>31</v>
      </c>
      <c r="E1039" t="s">
        <v>2255</v>
      </c>
      <c r="F1039" t="s">
        <v>27</v>
      </c>
      <c r="G1039" t="s">
        <v>28</v>
      </c>
      <c r="H1039" t="s">
        <v>39</v>
      </c>
      <c r="I1039">
        <v>19</v>
      </c>
      <c r="J1039" t="s">
        <v>19</v>
      </c>
      <c r="K1039">
        <v>1</v>
      </c>
      <c r="L1039" t="str">
        <f>HYPERLINK("https://www.mathematics.pitt.edu/people/robin-ming-chen","https://www.mathematics.pitt.edu/people/robin-ming-chen")</f>
        <v>https://www.mathematics.pitt.edu/people/robin-ming-chen</v>
      </c>
    </row>
    <row r="1040" spans="1:12" x14ac:dyDescent="0.3">
      <c r="A1040">
        <v>899</v>
      </c>
      <c r="B1040" t="s">
        <v>1972</v>
      </c>
      <c r="C1040" t="s">
        <v>1958</v>
      </c>
      <c r="D1040" t="s">
        <v>14</v>
      </c>
      <c r="E1040" t="s">
        <v>1973</v>
      </c>
      <c r="F1040" t="s">
        <v>27</v>
      </c>
      <c r="G1040" t="s">
        <v>476</v>
      </c>
      <c r="H1040" t="s">
        <v>85</v>
      </c>
      <c r="I1040">
        <v>73</v>
      </c>
      <c r="J1040" t="s">
        <v>19</v>
      </c>
      <c r="K1040">
        <v>1</v>
      </c>
      <c r="L1040" t="str">
        <f>HYPERLINK("https://me.engin.umich.edu/people/faculty/jesse-capecelatro/","https://me.engin.umich.edu/people/faculty/jesse-capecelatro/")</f>
        <v>https://me.engin.umich.edu/people/faculty/jesse-capecelatro/</v>
      </c>
    </row>
    <row r="1041" spans="1:12" x14ac:dyDescent="0.3">
      <c r="A1041">
        <v>900</v>
      </c>
      <c r="B1041" t="s">
        <v>1974</v>
      </c>
      <c r="C1041" t="s">
        <v>1958</v>
      </c>
      <c r="D1041" t="s">
        <v>14</v>
      </c>
      <c r="E1041" t="s">
        <v>1975</v>
      </c>
      <c r="F1041" t="s">
        <v>27</v>
      </c>
      <c r="G1041" t="s">
        <v>476</v>
      </c>
      <c r="H1041" t="s">
        <v>1279</v>
      </c>
      <c r="I1041">
        <v>33</v>
      </c>
      <c r="J1041" t="s">
        <v>19</v>
      </c>
      <c r="K1041">
        <v>1</v>
      </c>
      <c r="L1041" t="str">
        <f>HYPERLINK("https://me.engin.umich.edu/people/faculty/eric-johnsen/","https://me.engin.umich.edu/people/faculty/eric-johnsen/")</f>
        <v>https://me.engin.umich.edu/people/faculty/eric-johnsen/</v>
      </c>
    </row>
    <row r="1042" spans="1:12" x14ac:dyDescent="0.3">
      <c r="A1042">
        <v>901</v>
      </c>
      <c r="B1042" t="s">
        <v>1976</v>
      </c>
      <c r="C1042" t="s">
        <v>1958</v>
      </c>
      <c r="D1042" t="s">
        <v>14</v>
      </c>
      <c r="E1042" t="s">
        <v>1977</v>
      </c>
      <c r="F1042" t="s">
        <v>27</v>
      </c>
      <c r="G1042" t="s">
        <v>476</v>
      </c>
      <c r="H1042" t="s">
        <v>18</v>
      </c>
      <c r="I1042">
        <v>70</v>
      </c>
      <c r="J1042" t="s">
        <v>19</v>
      </c>
      <c r="K1042">
        <v>1</v>
      </c>
      <c r="L1042" t="str">
        <f>HYPERLINK("https://me.engin.umich.edu/people/faculty/bogdan-epureanu/","https://me.engin.umich.edu/people/faculty/bogdan-epureanu/")</f>
        <v>https://me.engin.umich.edu/people/faculty/bogdan-epureanu/</v>
      </c>
    </row>
    <row r="1043" spans="1:12" x14ac:dyDescent="0.3">
      <c r="A1043">
        <v>902</v>
      </c>
      <c r="B1043" t="s">
        <v>1978</v>
      </c>
      <c r="C1043" t="s">
        <v>1958</v>
      </c>
      <c r="D1043" t="s">
        <v>14</v>
      </c>
      <c r="E1043" t="s">
        <v>1979</v>
      </c>
      <c r="F1043" t="s">
        <v>27</v>
      </c>
      <c r="G1043" t="s">
        <v>476</v>
      </c>
      <c r="H1043" t="s">
        <v>182</v>
      </c>
      <c r="I1043">
        <v>36</v>
      </c>
      <c r="J1043" t="s">
        <v>19</v>
      </c>
      <c r="K1043">
        <v>1</v>
      </c>
      <c r="L1043" t="str">
        <f>HYPERLINK("https://me.engin.umich.edu/people/faculty/margaret-wooldridge/","https://me.engin.umich.edu/people/faculty/margaret-wooldridge/")</f>
        <v>https://me.engin.umich.edu/people/faculty/margaret-wooldridge/</v>
      </c>
    </row>
    <row r="1044" spans="1:12" x14ac:dyDescent="0.3">
      <c r="A1044">
        <v>905</v>
      </c>
      <c r="B1044" t="s">
        <v>1983</v>
      </c>
      <c r="C1044" t="s">
        <v>1984</v>
      </c>
      <c r="D1044" t="s">
        <v>161</v>
      </c>
      <c r="E1044" t="s">
        <v>1985</v>
      </c>
      <c r="F1044" t="s">
        <v>27</v>
      </c>
      <c r="G1044" t="s">
        <v>476</v>
      </c>
      <c r="H1044" t="s">
        <v>172</v>
      </c>
      <c r="I1044">
        <v>2</v>
      </c>
      <c r="J1044" t="s">
        <v>19</v>
      </c>
      <c r="K1044">
        <v>1</v>
      </c>
      <c r="L1044" t="str">
        <f>HYPERLINK("https://cse.umn.edu/aem/graham-v-candler","https://cse.umn.edu/aem/graham-v-candler")</f>
        <v>https://cse.umn.edu/aem/graham-v-candler</v>
      </c>
    </row>
    <row r="1045" spans="1:12" x14ac:dyDescent="0.3">
      <c r="A1045">
        <v>906</v>
      </c>
      <c r="B1045" t="s">
        <v>1986</v>
      </c>
      <c r="C1045" t="s">
        <v>1984</v>
      </c>
      <c r="D1045" t="s">
        <v>161</v>
      </c>
      <c r="E1045" t="s">
        <v>1987</v>
      </c>
      <c r="F1045" t="s">
        <v>27</v>
      </c>
      <c r="G1045" t="s">
        <v>476</v>
      </c>
      <c r="H1045" t="s">
        <v>273</v>
      </c>
      <c r="I1045">
        <v>65</v>
      </c>
      <c r="J1045" t="s">
        <v>19</v>
      </c>
      <c r="K1045">
        <v>1</v>
      </c>
      <c r="L1045" t="str">
        <f>HYPERLINK("https://cse.umn.edu/aem/tom-schwartzentruber","https://cse.umn.edu/aem/tom-schwartzentruber")</f>
        <v>https://cse.umn.edu/aem/tom-schwartzentruber</v>
      </c>
    </row>
    <row r="1046" spans="1:12" x14ac:dyDescent="0.3">
      <c r="A1046">
        <v>907</v>
      </c>
      <c r="B1046" t="s">
        <v>1988</v>
      </c>
      <c r="C1046" t="s">
        <v>1984</v>
      </c>
      <c r="D1046" t="s">
        <v>161</v>
      </c>
      <c r="E1046" t="s">
        <v>1989</v>
      </c>
      <c r="F1046" t="s">
        <v>27</v>
      </c>
      <c r="G1046" t="s">
        <v>476</v>
      </c>
      <c r="H1046" t="s">
        <v>220</v>
      </c>
      <c r="I1046">
        <v>7</v>
      </c>
      <c r="J1046" t="s">
        <v>19</v>
      </c>
      <c r="K1046">
        <v>1</v>
      </c>
      <c r="L1046" t="str">
        <f>HYPERLINK("https://cse.umn.edu/aem/ellen-k-longmire","https://cse.umn.edu/aem/ellen-k-longmire")</f>
        <v>https://cse.umn.edu/aem/ellen-k-longmire</v>
      </c>
    </row>
    <row r="1047" spans="1:12" x14ac:dyDescent="0.3">
      <c r="A1047">
        <v>908</v>
      </c>
      <c r="B1047" t="s">
        <v>1990</v>
      </c>
      <c r="C1047" t="s">
        <v>1984</v>
      </c>
      <c r="D1047" t="s">
        <v>161</v>
      </c>
      <c r="E1047" t="s">
        <v>1991</v>
      </c>
      <c r="F1047" t="s">
        <v>27</v>
      </c>
      <c r="G1047" t="s">
        <v>476</v>
      </c>
      <c r="H1047" t="s">
        <v>29</v>
      </c>
      <c r="I1047">
        <v>13</v>
      </c>
      <c r="J1047" t="s">
        <v>19</v>
      </c>
      <c r="K1047">
        <v>1</v>
      </c>
      <c r="L1047" t="str">
        <f>HYPERLINK("https://cse.umn.edu/aem/joseph-nichols","https://cse.umn.edu/aem/joseph-nichols")</f>
        <v>https://cse.umn.edu/aem/joseph-nichols</v>
      </c>
    </row>
    <row r="1048" spans="1:12" x14ac:dyDescent="0.3">
      <c r="A1048">
        <v>909</v>
      </c>
      <c r="B1048" t="s">
        <v>1992</v>
      </c>
      <c r="C1048" t="s">
        <v>1984</v>
      </c>
      <c r="D1048" t="s">
        <v>14</v>
      </c>
      <c r="E1048" t="s">
        <v>1993</v>
      </c>
      <c r="F1048" t="s">
        <v>27</v>
      </c>
      <c r="G1048" t="s">
        <v>476</v>
      </c>
      <c r="H1048" t="s">
        <v>18</v>
      </c>
      <c r="I1048">
        <v>96</v>
      </c>
      <c r="J1048" t="s">
        <v>19</v>
      </c>
      <c r="K1048">
        <v>1</v>
      </c>
      <c r="L1048" t="str">
        <f>HYPERLINK("https://cse.umn.edu/me/lian-shen","https://cse.umn.edu/me/lian-shen")</f>
        <v>https://cse.umn.edu/me/lian-shen</v>
      </c>
    </row>
    <row r="1049" spans="1:12" x14ac:dyDescent="0.3">
      <c r="A1049">
        <v>910</v>
      </c>
      <c r="B1049" t="s">
        <v>1994</v>
      </c>
      <c r="C1049" t="s">
        <v>1984</v>
      </c>
      <c r="D1049" t="s">
        <v>14</v>
      </c>
      <c r="E1049" t="s">
        <v>1995</v>
      </c>
      <c r="F1049" t="s">
        <v>27</v>
      </c>
      <c r="G1049" t="s">
        <v>476</v>
      </c>
      <c r="H1049" t="s">
        <v>42</v>
      </c>
      <c r="I1049">
        <v>89</v>
      </c>
      <c r="J1049" t="s">
        <v>19</v>
      </c>
      <c r="K1049">
        <v>1</v>
      </c>
      <c r="L1049" t="str">
        <f>HYPERLINK("https://cse.umn.edu/me/jiarong-hong","https://cse.umn.edu/me/jiarong-hong")</f>
        <v>https://cse.umn.edu/me/jiarong-hong</v>
      </c>
    </row>
    <row r="1050" spans="1:12" x14ac:dyDescent="0.3">
      <c r="A1050">
        <v>911</v>
      </c>
      <c r="B1050" t="s">
        <v>1996</v>
      </c>
      <c r="C1050" t="s">
        <v>1984</v>
      </c>
      <c r="D1050" t="s">
        <v>14</v>
      </c>
      <c r="E1050" t="s">
        <v>1997</v>
      </c>
      <c r="F1050" t="s">
        <v>27</v>
      </c>
      <c r="G1050" t="s">
        <v>476</v>
      </c>
      <c r="H1050" t="s">
        <v>140</v>
      </c>
      <c r="I1050">
        <v>97</v>
      </c>
      <c r="J1050" t="s">
        <v>19</v>
      </c>
      <c r="K1050">
        <v>1</v>
      </c>
      <c r="L1050" t="str">
        <f>HYPERLINK("https://cse.umn.edu/me/suo-yang","https://cse.umn.edu/me/suo-yang")</f>
        <v>https://cse.umn.edu/me/suo-yang</v>
      </c>
    </row>
    <row r="1051" spans="1:12" x14ac:dyDescent="0.3">
      <c r="A1051">
        <v>912</v>
      </c>
      <c r="B1051" t="s">
        <v>1998</v>
      </c>
      <c r="C1051" t="s">
        <v>1984</v>
      </c>
      <c r="D1051" t="s">
        <v>14</v>
      </c>
      <c r="E1051" t="s">
        <v>1999</v>
      </c>
      <c r="F1051" t="s">
        <v>27</v>
      </c>
      <c r="G1051" t="s">
        <v>476</v>
      </c>
      <c r="H1051" t="s">
        <v>127</v>
      </c>
      <c r="I1051">
        <v>8</v>
      </c>
      <c r="J1051" t="s">
        <v>19</v>
      </c>
      <c r="K1051">
        <v>1</v>
      </c>
      <c r="L1051" t="str">
        <f>HYPERLINK("https://cse.umn.edu/me/sean-c-garrick","https://cse.umn.edu/me/sean-c-garrick")</f>
        <v>https://cse.umn.edu/me/sean-c-garrick</v>
      </c>
    </row>
    <row r="1052" spans="1:12" x14ac:dyDescent="0.3">
      <c r="A1052">
        <v>915</v>
      </c>
      <c r="B1052" t="s">
        <v>2004</v>
      </c>
      <c r="C1052" t="s">
        <v>2005</v>
      </c>
      <c r="D1052" t="s">
        <v>14</v>
      </c>
      <c r="E1052" t="s">
        <v>2006</v>
      </c>
      <c r="F1052" t="s">
        <v>16</v>
      </c>
      <c r="G1052" t="s">
        <v>17</v>
      </c>
      <c r="H1052" t="s">
        <v>80</v>
      </c>
      <c r="I1052">
        <v>122</v>
      </c>
      <c r="J1052" t="s">
        <v>19</v>
      </c>
      <c r="K1052">
        <v>1</v>
      </c>
      <c r="L1052" t="str">
        <f>HYPERLINK("https://olemiss.edu/profiles/xzhao7","https://olemiss.edu/profiles/xzhao7")</f>
        <v>https://olemiss.edu/profiles/xzhao7</v>
      </c>
    </row>
    <row r="1053" spans="1:12" hidden="1" x14ac:dyDescent="0.3">
      <c r="A1053">
        <v>1052</v>
      </c>
      <c r="B1053" t="s">
        <v>2283</v>
      </c>
      <c r="C1053" t="s">
        <v>2275</v>
      </c>
      <c r="D1053" t="s">
        <v>31</v>
      </c>
      <c r="E1053" t="s">
        <v>2284</v>
      </c>
      <c r="F1053" t="s">
        <v>114</v>
      </c>
      <c r="G1053" t="s">
        <v>115</v>
      </c>
      <c r="H1053" t="s">
        <v>220</v>
      </c>
      <c r="I1053">
        <v>22</v>
      </c>
      <c r="J1053" t="s">
        <v>116</v>
      </c>
      <c r="K1053">
        <v>3</v>
      </c>
      <c r="L1053" t="str">
        <f>HYPERLINK("https://www.hajim.rochester.edu/me/people/faculty/index.html","https://www.hajim.rochester.edu/me/people/faculty/index.html")</f>
        <v>https://www.hajim.rochester.edu/me/people/faculty/index.html</v>
      </c>
    </row>
    <row r="1054" spans="1:12" x14ac:dyDescent="0.3">
      <c r="A1054">
        <v>916</v>
      </c>
      <c r="B1054" t="s">
        <v>2007</v>
      </c>
      <c r="C1054" t="s">
        <v>2005</v>
      </c>
      <c r="D1054" t="s">
        <v>14</v>
      </c>
      <c r="E1054" t="s">
        <v>2008</v>
      </c>
      <c r="F1054" t="s">
        <v>22</v>
      </c>
      <c r="G1054" t="s">
        <v>23</v>
      </c>
      <c r="H1054" t="s">
        <v>273</v>
      </c>
      <c r="I1054">
        <v>11</v>
      </c>
      <c r="J1054" t="s">
        <v>19</v>
      </c>
      <c r="K1054">
        <v>1</v>
      </c>
      <c r="L1054" t="str">
        <f>HYPERLINK("https://olemiss.edu/profiles/farzbod","https://olemiss.edu/profiles/farzbod")</f>
        <v>https://olemiss.edu/profiles/farzbod</v>
      </c>
    </row>
    <row r="1055" spans="1:12" x14ac:dyDescent="0.3">
      <c r="A1055">
        <v>920</v>
      </c>
      <c r="B1055" t="s">
        <v>2014</v>
      </c>
      <c r="C1055" t="s">
        <v>2015</v>
      </c>
      <c r="D1055" t="s">
        <v>161</v>
      </c>
      <c r="E1055" t="s">
        <v>57</v>
      </c>
      <c r="F1055" t="s">
        <v>16</v>
      </c>
      <c r="G1055" t="s">
        <v>17</v>
      </c>
      <c r="H1055" t="s">
        <v>58</v>
      </c>
      <c r="I1055">
        <v>0</v>
      </c>
      <c r="J1055" t="s">
        <v>19</v>
      </c>
      <c r="K1055">
        <v>1</v>
      </c>
      <c r="L1055" t="str">
        <f>HYPERLINK("https://engineering.missouri.edu/faculty/craig-kluever/","https://engineering.missouri.edu/faculty/craig-kluever/")</f>
        <v>https://engineering.missouri.edu/faculty/craig-kluever/</v>
      </c>
    </row>
    <row r="1056" spans="1:12" x14ac:dyDescent="0.3">
      <c r="A1056">
        <v>921</v>
      </c>
      <c r="B1056" t="s">
        <v>2016</v>
      </c>
      <c r="C1056" t="s">
        <v>2015</v>
      </c>
      <c r="D1056" t="s">
        <v>161</v>
      </c>
      <c r="E1056" t="s">
        <v>2017</v>
      </c>
      <c r="F1056" t="s">
        <v>16</v>
      </c>
      <c r="G1056" t="s">
        <v>17</v>
      </c>
      <c r="H1056" t="s">
        <v>53</v>
      </c>
      <c r="I1056">
        <v>25</v>
      </c>
      <c r="J1056" t="s">
        <v>19</v>
      </c>
      <c r="K1056">
        <v>1</v>
      </c>
      <c r="L1056" t="str">
        <f>HYPERLINK("https://engineering.missouri.edu/faculty/roseanna-zia/","https://engineering.missouri.edu/faculty/roseanna-zia/")</f>
        <v>https://engineering.missouri.edu/faculty/roseanna-zia/</v>
      </c>
    </row>
    <row r="1057" spans="1:12" x14ac:dyDescent="0.3">
      <c r="A1057">
        <v>922</v>
      </c>
      <c r="B1057" t="s">
        <v>2018</v>
      </c>
      <c r="C1057" t="s">
        <v>2015</v>
      </c>
      <c r="D1057" t="s">
        <v>161</v>
      </c>
      <c r="E1057" t="s">
        <v>57</v>
      </c>
      <c r="F1057" t="s">
        <v>16</v>
      </c>
      <c r="G1057" t="s">
        <v>17</v>
      </c>
      <c r="H1057" t="s">
        <v>58</v>
      </c>
      <c r="I1057">
        <v>0</v>
      </c>
      <c r="J1057" t="s">
        <v>19</v>
      </c>
      <c r="K1057">
        <v>1</v>
      </c>
      <c r="L1057" t="str">
        <f>HYPERLINK("https://engineering.missouri.edu/faculty/ming-xin/","https://engineering.missouri.edu/faculty/ming-xin/")</f>
        <v>https://engineering.missouri.edu/faculty/ming-xin/</v>
      </c>
    </row>
    <row r="1058" spans="1:12" x14ac:dyDescent="0.3">
      <c r="A1058">
        <v>923</v>
      </c>
      <c r="B1058" t="s">
        <v>2019</v>
      </c>
      <c r="C1058" t="s">
        <v>2015</v>
      </c>
      <c r="D1058" t="s">
        <v>161</v>
      </c>
      <c r="E1058" t="s">
        <v>2020</v>
      </c>
      <c r="F1058" t="s">
        <v>62</v>
      </c>
      <c r="G1058" t="s">
        <v>63</v>
      </c>
      <c r="H1058" t="s">
        <v>53</v>
      </c>
      <c r="I1058">
        <v>15</v>
      </c>
      <c r="J1058" t="s">
        <v>19</v>
      </c>
      <c r="K1058">
        <v>1</v>
      </c>
      <c r="L1058" t="str">
        <f>HYPERLINK("https://engineering.missouri.edu/faculty/travis-sippel/","https://engineering.missouri.edu/faculty/travis-sippel/")</f>
        <v>https://engineering.missouri.edu/faculty/travis-sippel/</v>
      </c>
    </row>
    <row r="1059" spans="1:12" x14ac:dyDescent="0.3">
      <c r="A1059">
        <v>924</v>
      </c>
      <c r="B1059" t="s">
        <v>2021</v>
      </c>
      <c r="C1059" t="s">
        <v>2022</v>
      </c>
      <c r="D1059" t="s">
        <v>14</v>
      </c>
      <c r="E1059" t="s">
        <v>2023</v>
      </c>
      <c r="F1059" t="s">
        <v>27</v>
      </c>
      <c r="G1059" t="s">
        <v>28</v>
      </c>
      <c r="H1059" t="s">
        <v>301</v>
      </c>
      <c r="I1059">
        <v>12</v>
      </c>
      <c r="J1059" t="s">
        <v>19</v>
      </c>
      <c r="K1059">
        <v>1</v>
      </c>
      <c r="L1059" t="str">
        <f>HYPERLINK("https://sse.umkc.edu/profiles/mehdizadeh-amirfarhang.html","https://sse.umkc.edu/profiles/mehdizadeh-amirfarhang.html")</f>
        <v>https://sse.umkc.edu/profiles/mehdizadeh-amirfarhang.html</v>
      </c>
    </row>
    <row r="1060" spans="1:12" x14ac:dyDescent="0.3">
      <c r="A1060">
        <v>925</v>
      </c>
      <c r="B1060" t="s">
        <v>2024</v>
      </c>
      <c r="C1060" t="s">
        <v>2022</v>
      </c>
      <c r="D1060" t="s">
        <v>14</v>
      </c>
      <c r="E1060" t="s">
        <v>2025</v>
      </c>
      <c r="F1060" t="s">
        <v>27</v>
      </c>
      <c r="G1060" t="s">
        <v>28</v>
      </c>
      <c r="H1060" t="s">
        <v>39</v>
      </c>
      <c r="I1060">
        <v>9</v>
      </c>
      <c r="J1060" t="s">
        <v>19</v>
      </c>
      <c r="K1060">
        <v>1</v>
      </c>
      <c r="L1060" t="str">
        <f>HYPERLINK("https://sse.umkc.edu/profiles/niroobakhsh-zahra.html","https://sse.umkc.edu/profiles/niroobakhsh-zahra.html")</f>
        <v>https://sse.umkc.edu/profiles/niroobakhsh-zahra.html</v>
      </c>
    </row>
    <row r="1061" spans="1:12" x14ac:dyDescent="0.3">
      <c r="A1061">
        <v>926</v>
      </c>
      <c r="B1061" t="s">
        <v>2026</v>
      </c>
      <c r="C1061" t="s">
        <v>2022</v>
      </c>
      <c r="D1061" t="s">
        <v>14</v>
      </c>
      <c r="E1061" t="s">
        <v>2027</v>
      </c>
      <c r="F1061" t="s">
        <v>27</v>
      </c>
      <c r="G1061" t="s">
        <v>28</v>
      </c>
      <c r="H1061" t="s">
        <v>516</v>
      </c>
      <c r="I1061">
        <v>10</v>
      </c>
      <c r="J1061" t="s">
        <v>19</v>
      </c>
      <c r="K1061">
        <v>1</v>
      </c>
      <c r="L1061" t="str">
        <f>HYPERLINK("https://sse.umkc.edu/profiles/fields-travis.html","https://sse.umkc.edu/profiles/fields-travis.html")</f>
        <v>https://sse.umkc.edu/profiles/fields-travis.html</v>
      </c>
    </row>
    <row r="1062" spans="1:12" x14ac:dyDescent="0.3">
      <c r="A1062">
        <v>927</v>
      </c>
      <c r="B1062" t="s">
        <v>2028</v>
      </c>
      <c r="C1062" t="s">
        <v>2022</v>
      </c>
      <c r="D1062" t="s">
        <v>14</v>
      </c>
      <c r="E1062" t="s">
        <v>2029</v>
      </c>
      <c r="F1062" t="s">
        <v>27</v>
      </c>
      <c r="G1062" t="s">
        <v>28</v>
      </c>
      <c r="H1062" t="s">
        <v>124</v>
      </c>
      <c r="I1062">
        <v>96</v>
      </c>
      <c r="J1062" t="s">
        <v>19</v>
      </c>
      <c r="K1062">
        <v>1</v>
      </c>
      <c r="L1062" t="str">
        <f>HYPERLINK("https://sse.umkc.edu/profiles/zhiqiang-chen.html","https://sse.umkc.edu/profiles/zhiqiang-chen.html")</f>
        <v>https://sse.umkc.edu/profiles/zhiqiang-chen.html</v>
      </c>
    </row>
    <row r="1063" spans="1:12" x14ac:dyDescent="0.3">
      <c r="A1063">
        <v>939</v>
      </c>
      <c r="B1063" t="s">
        <v>2051</v>
      </c>
      <c r="C1063" t="s">
        <v>2052</v>
      </c>
      <c r="D1063" t="s">
        <v>14</v>
      </c>
      <c r="E1063" t="s">
        <v>57</v>
      </c>
      <c r="F1063" t="s">
        <v>16</v>
      </c>
      <c r="G1063" t="s">
        <v>17</v>
      </c>
      <c r="H1063" t="s">
        <v>58</v>
      </c>
      <c r="I1063">
        <v>0</v>
      </c>
      <c r="J1063" t="s">
        <v>19</v>
      </c>
      <c r="K1063">
        <v>1</v>
      </c>
      <c r="L1063" t="str">
        <f>HYPERLINK("https://www.unlv.edu/people/hui-zhao","https://www.unlv.edu/people/hui-zhao")</f>
        <v>https://www.unlv.edu/people/hui-zhao</v>
      </c>
    </row>
    <row r="1064" spans="1:12" x14ac:dyDescent="0.3">
      <c r="A1064">
        <v>941</v>
      </c>
      <c r="B1064" t="s">
        <v>2054</v>
      </c>
      <c r="C1064" t="s">
        <v>2052</v>
      </c>
      <c r="D1064" t="s">
        <v>14</v>
      </c>
      <c r="E1064" t="s">
        <v>57</v>
      </c>
      <c r="F1064" t="s">
        <v>62</v>
      </c>
      <c r="G1064" t="s">
        <v>63</v>
      </c>
      <c r="H1064" t="s">
        <v>58</v>
      </c>
      <c r="I1064">
        <v>0</v>
      </c>
      <c r="J1064" t="s">
        <v>19</v>
      </c>
      <c r="K1064">
        <v>1</v>
      </c>
      <c r="L1064" t="str">
        <f>HYPERLINK("https://www.unlv.edu/people/andrew-bae","https://www.unlv.edu/people/andrew-bae")</f>
        <v>https://www.unlv.edu/people/andrew-bae</v>
      </c>
    </row>
    <row r="1065" spans="1:12" x14ac:dyDescent="0.3">
      <c r="A1065">
        <v>945</v>
      </c>
      <c r="B1065" t="s">
        <v>2061</v>
      </c>
      <c r="C1065" t="s">
        <v>2062</v>
      </c>
      <c r="D1065" t="s">
        <v>14</v>
      </c>
      <c r="E1065" t="s">
        <v>2063</v>
      </c>
      <c r="F1065" t="s">
        <v>62</v>
      </c>
      <c r="G1065" t="s">
        <v>63</v>
      </c>
      <c r="H1065" t="s">
        <v>254</v>
      </c>
      <c r="I1065">
        <v>29</v>
      </c>
      <c r="J1065" t="s">
        <v>19</v>
      </c>
      <c r="K1065">
        <v>1</v>
      </c>
      <c r="L1065" t="str">
        <f>HYPERLINK("https://www.unr.edu/me/people/aditya-nair","https://www.unr.edu/me/people/aditya-nair")</f>
        <v>https://www.unr.edu/me/people/aditya-nair</v>
      </c>
    </row>
    <row r="1066" spans="1:12" x14ac:dyDescent="0.3">
      <c r="A1066">
        <v>946</v>
      </c>
      <c r="B1066" t="s">
        <v>2064</v>
      </c>
      <c r="C1066" t="s">
        <v>2062</v>
      </c>
      <c r="D1066" t="s">
        <v>14</v>
      </c>
      <c r="E1066" t="s">
        <v>57</v>
      </c>
      <c r="F1066" t="s">
        <v>62</v>
      </c>
      <c r="G1066" t="s">
        <v>63</v>
      </c>
      <c r="H1066" t="s">
        <v>58</v>
      </c>
      <c r="I1066">
        <v>0</v>
      </c>
      <c r="J1066" t="s">
        <v>19</v>
      </c>
      <c r="K1066">
        <v>1</v>
      </c>
      <c r="L1066" t="str">
        <f>HYPERLINK("https://www.unr.edu/me/people/facundo-booman","https://www.unr.edu/me/people/facundo-booman")</f>
        <v>https://www.unr.edu/me/people/facundo-booman</v>
      </c>
    </row>
    <row r="1067" spans="1:12" x14ac:dyDescent="0.3">
      <c r="A1067">
        <v>947</v>
      </c>
      <c r="B1067" t="s">
        <v>2065</v>
      </c>
      <c r="C1067" t="s">
        <v>2062</v>
      </c>
      <c r="D1067" t="s">
        <v>14</v>
      </c>
      <c r="E1067" t="s">
        <v>2066</v>
      </c>
      <c r="F1067" t="s">
        <v>22</v>
      </c>
      <c r="G1067" t="s">
        <v>23</v>
      </c>
      <c r="H1067" t="s">
        <v>53</v>
      </c>
      <c r="I1067">
        <v>38</v>
      </c>
      <c r="J1067" t="s">
        <v>19</v>
      </c>
      <c r="K1067">
        <v>1</v>
      </c>
      <c r="L1067" t="str">
        <f>HYPERLINK("https://www.unr.edu/me/people/floris-van-breugel","https://www.unr.edu/me/people/floris-van-breugel")</f>
        <v>https://www.unr.edu/me/people/floris-van-breugel</v>
      </c>
    </row>
    <row r="1068" spans="1:12" x14ac:dyDescent="0.3">
      <c r="A1068">
        <v>948</v>
      </c>
      <c r="B1068" t="s">
        <v>2067</v>
      </c>
      <c r="C1068" t="s">
        <v>2062</v>
      </c>
      <c r="D1068" t="s">
        <v>14</v>
      </c>
      <c r="E1068" t="s">
        <v>2068</v>
      </c>
      <c r="F1068" t="s">
        <v>62</v>
      </c>
      <c r="G1068" t="s">
        <v>63</v>
      </c>
      <c r="H1068" t="s">
        <v>70</v>
      </c>
      <c r="I1068">
        <v>9</v>
      </c>
      <c r="J1068" t="s">
        <v>19</v>
      </c>
      <c r="K1068">
        <v>1</v>
      </c>
      <c r="L1068" t="str">
        <f>HYPERLINK("https://www.unr.edu/me/people/hoang-vu-phan","https://www.unr.edu/me/people/hoang-vu-phan")</f>
        <v>https://www.unr.edu/me/people/hoang-vu-phan</v>
      </c>
    </row>
    <row r="1069" spans="1:12" x14ac:dyDescent="0.3">
      <c r="A1069">
        <v>949</v>
      </c>
      <c r="B1069" t="s">
        <v>2069</v>
      </c>
      <c r="C1069" t="s">
        <v>2062</v>
      </c>
      <c r="D1069" t="s">
        <v>14</v>
      </c>
      <c r="E1069" t="s">
        <v>2070</v>
      </c>
      <c r="F1069" t="s">
        <v>22</v>
      </c>
      <c r="G1069" t="s">
        <v>23</v>
      </c>
      <c r="H1069" t="s">
        <v>75</v>
      </c>
      <c r="I1069">
        <v>12</v>
      </c>
      <c r="J1069" t="s">
        <v>19</v>
      </c>
      <c r="K1069">
        <v>1</v>
      </c>
      <c r="L1069" t="str">
        <f>HYPERLINK("https://www.unr.edu/me/people/matteo-aureli","https://www.unr.edu/me/people/matteo-aureli")</f>
        <v>https://www.unr.edu/me/people/matteo-aureli</v>
      </c>
    </row>
    <row r="1070" spans="1:12" x14ac:dyDescent="0.3">
      <c r="A1070">
        <v>950</v>
      </c>
      <c r="B1070" t="s">
        <v>2071</v>
      </c>
      <c r="C1070" t="s">
        <v>2062</v>
      </c>
      <c r="D1070" t="s">
        <v>14</v>
      </c>
      <c r="E1070" t="s">
        <v>2072</v>
      </c>
      <c r="F1070" t="s">
        <v>22</v>
      </c>
      <c r="G1070" t="s">
        <v>23</v>
      </c>
      <c r="H1070" t="s">
        <v>894</v>
      </c>
      <c r="I1070">
        <v>15</v>
      </c>
      <c r="J1070" t="s">
        <v>19</v>
      </c>
      <c r="K1070">
        <v>1</v>
      </c>
      <c r="L1070" t="str">
        <f>HYPERLINK("https://www.unr.edu/me/people/james-hanna","https://www.unr.edu/me/people/james-hanna")</f>
        <v>https://www.unr.edu/me/people/james-hanna</v>
      </c>
    </row>
    <row r="1071" spans="1:12" x14ac:dyDescent="0.3">
      <c r="A1071">
        <v>953</v>
      </c>
      <c r="B1071" t="s">
        <v>2077</v>
      </c>
      <c r="C1071" t="s">
        <v>2078</v>
      </c>
      <c r="D1071" t="s">
        <v>14</v>
      </c>
      <c r="E1071" t="s">
        <v>2079</v>
      </c>
      <c r="F1071" t="s">
        <v>16</v>
      </c>
      <c r="G1071" t="s">
        <v>17</v>
      </c>
      <c r="H1071" t="s">
        <v>779</v>
      </c>
      <c r="I1071">
        <v>8</v>
      </c>
      <c r="J1071" t="s">
        <v>19</v>
      </c>
      <c r="K1071">
        <v>1</v>
      </c>
      <c r="L1071" t="str">
        <f>HYPERLINK("https://ceps.unh.edu/person/christopher-white","https://ceps.unh.edu/person/christopher-white")</f>
        <v>https://ceps.unh.edu/person/christopher-white</v>
      </c>
    </row>
    <row r="1072" spans="1:12" x14ac:dyDescent="0.3">
      <c r="A1072">
        <v>954</v>
      </c>
      <c r="B1072" t="s">
        <v>2080</v>
      </c>
      <c r="C1072" t="s">
        <v>2078</v>
      </c>
      <c r="D1072" t="s">
        <v>161</v>
      </c>
      <c r="E1072" t="s">
        <v>2081</v>
      </c>
      <c r="F1072" t="s">
        <v>16</v>
      </c>
      <c r="G1072" t="s">
        <v>17</v>
      </c>
      <c r="H1072" t="s">
        <v>18</v>
      </c>
      <c r="I1072">
        <v>34</v>
      </c>
      <c r="J1072" t="s">
        <v>19</v>
      </c>
      <c r="K1072">
        <v>1</v>
      </c>
      <c r="L1072" t="str">
        <f>HYPERLINK("https://ceps.unh.edu/person/martin-wosnik","https://ceps.unh.edu/person/martin-wosnik")</f>
        <v>https://ceps.unh.edu/person/martin-wosnik</v>
      </c>
    </row>
    <row r="1073" spans="1:12" x14ac:dyDescent="0.3">
      <c r="A1073">
        <v>955</v>
      </c>
      <c r="B1073" t="s">
        <v>2082</v>
      </c>
      <c r="C1073" t="s">
        <v>2078</v>
      </c>
      <c r="D1073" t="s">
        <v>161</v>
      </c>
      <c r="E1073" t="s">
        <v>2083</v>
      </c>
      <c r="F1073" t="s">
        <v>335</v>
      </c>
      <c r="G1073" t="s">
        <v>336</v>
      </c>
      <c r="H1073" t="s">
        <v>127</v>
      </c>
      <c r="I1073">
        <v>10</v>
      </c>
      <c r="J1073" t="s">
        <v>19</v>
      </c>
      <c r="K1073">
        <v>1</v>
      </c>
      <c r="L1073" t="str">
        <f>HYPERLINK("https://marine.unh.edu/person/tracy-mandel","https://marine.unh.edu/person/tracy-mandel")</f>
        <v>https://marine.unh.edu/person/tracy-mandel</v>
      </c>
    </row>
    <row r="1074" spans="1:12" hidden="1" x14ac:dyDescent="0.3">
      <c r="A1074">
        <v>1073</v>
      </c>
      <c r="B1074" t="s">
        <v>2327</v>
      </c>
      <c r="C1074" t="s">
        <v>2309</v>
      </c>
      <c r="D1074" t="s">
        <v>31</v>
      </c>
      <c r="E1074" t="s">
        <v>2328</v>
      </c>
      <c r="F1074" t="s">
        <v>114</v>
      </c>
      <c r="G1074" t="s">
        <v>115</v>
      </c>
      <c r="H1074" t="s">
        <v>104</v>
      </c>
      <c r="I1074">
        <v>173</v>
      </c>
      <c r="J1074" t="s">
        <v>116</v>
      </c>
      <c r="K1074">
        <v>3</v>
      </c>
      <c r="L1074" t="str">
        <f>HYPERLINK("https://www.usf.edu/arts-sciences/departments/mathematics-statistics/research/faculty-research.aspx","https://www.usf.edu/arts-sciences/departments/mathematics-statistics/research/faculty-research.aspx")</f>
        <v>https://www.usf.edu/arts-sciences/departments/mathematics-statistics/research/faculty-research.aspx</v>
      </c>
    </row>
    <row r="1075" spans="1:12" hidden="1" x14ac:dyDescent="0.3">
      <c r="A1075">
        <v>1074</v>
      </c>
      <c r="B1075" t="s">
        <v>2329</v>
      </c>
      <c r="C1075" t="s">
        <v>2309</v>
      </c>
      <c r="D1075" t="s">
        <v>31</v>
      </c>
      <c r="E1075" t="s">
        <v>2330</v>
      </c>
      <c r="F1075" t="s">
        <v>114</v>
      </c>
      <c r="G1075" t="s">
        <v>115</v>
      </c>
      <c r="H1075" t="s">
        <v>894</v>
      </c>
      <c r="I1075">
        <v>23</v>
      </c>
      <c r="J1075" t="s">
        <v>116</v>
      </c>
      <c r="K1075">
        <v>3</v>
      </c>
      <c r="L1075" t="str">
        <f>HYPERLINK("https://www.usf.edu/arts-sciences/departments/mathematics-statistics/research/faculty-research.aspx","https://www.usf.edu/arts-sciences/departments/mathematics-statistics/research/faculty-research.aspx")</f>
        <v>https://www.usf.edu/arts-sciences/departments/mathematics-statistics/research/faculty-research.aspx</v>
      </c>
    </row>
    <row r="1076" spans="1:12" hidden="1" x14ac:dyDescent="0.3">
      <c r="A1076">
        <v>1075</v>
      </c>
      <c r="B1076" t="s">
        <v>2331</v>
      </c>
      <c r="C1076" t="s">
        <v>2309</v>
      </c>
      <c r="D1076" t="s">
        <v>31</v>
      </c>
      <c r="E1076" t="s">
        <v>2332</v>
      </c>
      <c r="F1076" t="s">
        <v>114</v>
      </c>
      <c r="G1076" t="s">
        <v>115</v>
      </c>
      <c r="H1076" t="s">
        <v>159</v>
      </c>
      <c r="I1076">
        <v>3</v>
      </c>
      <c r="J1076" t="s">
        <v>116</v>
      </c>
      <c r="K1076">
        <v>3</v>
      </c>
      <c r="L1076" t="str">
        <f>HYPERLINK("https://www.usf.edu/arts-sciences/departments/mathematics-statistics/research/faculty-research.aspx","https://www.usf.edu/arts-sciences/departments/mathematics-statistics/research/faculty-research.aspx")</f>
        <v>https://www.usf.edu/arts-sciences/departments/mathematics-statistics/research/faculty-research.aspx</v>
      </c>
    </row>
    <row r="1077" spans="1:12" x14ac:dyDescent="0.3">
      <c r="A1077">
        <v>956</v>
      </c>
      <c r="B1077" t="s">
        <v>2084</v>
      </c>
      <c r="C1077" t="s">
        <v>2078</v>
      </c>
      <c r="D1077" t="s">
        <v>48</v>
      </c>
      <c r="E1077" t="s">
        <v>2085</v>
      </c>
      <c r="F1077" t="s">
        <v>62</v>
      </c>
      <c r="G1077" t="s">
        <v>63</v>
      </c>
      <c r="H1077" t="s">
        <v>70</v>
      </c>
      <c r="I1077">
        <v>20</v>
      </c>
      <c r="J1077" t="s">
        <v>19</v>
      </c>
      <c r="K1077">
        <v>1</v>
      </c>
      <c r="L1077" t="str">
        <f>HYPERLINK("https://ceps.unh.edu/person/nathan-laxague","https://ceps.unh.edu/person/nathan-laxague")</f>
        <v>https://ceps.unh.edu/person/nathan-laxague</v>
      </c>
    </row>
    <row r="1078" spans="1:12" x14ac:dyDescent="0.3">
      <c r="A1078">
        <v>978</v>
      </c>
      <c r="B1078" t="s">
        <v>2128</v>
      </c>
      <c r="C1078" t="s">
        <v>2129</v>
      </c>
      <c r="D1078" t="s">
        <v>112</v>
      </c>
      <c r="E1078" t="s">
        <v>2130</v>
      </c>
      <c r="F1078" t="s">
        <v>16</v>
      </c>
      <c r="G1078" t="s">
        <v>17</v>
      </c>
      <c r="H1078" t="s">
        <v>159</v>
      </c>
      <c r="I1078">
        <v>46</v>
      </c>
      <c r="J1078" t="s">
        <v>19</v>
      </c>
      <c r="K1078">
        <v>1</v>
      </c>
      <c r="L1078" t="str">
        <f>HYPERLINK("https://engineering.charlotte.edu/people/mesbah-uddin/","https://engineering.charlotte.edu/people/mesbah-uddin/")</f>
        <v>https://engineering.charlotte.edu/people/mesbah-uddin/</v>
      </c>
    </row>
    <row r="1079" spans="1:12" x14ac:dyDescent="0.3">
      <c r="A1079">
        <v>979</v>
      </c>
      <c r="B1079" t="s">
        <v>2131</v>
      </c>
      <c r="C1079" t="s">
        <v>2129</v>
      </c>
      <c r="D1079" t="s">
        <v>112</v>
      </c>
      <c r="E1079" t="s">
        <v>2132</v>
      </c>
      <c r="F1079" t="s">
        <v>83</v>
      </c>
      <c r="G1079" t="s">
        <v>84</v>
      </c>
      <c r="H1079" t="s">
        <v>50</v>
      </c>
      <c r="I1079">
        <v>34</v>
      </c>
      <c r="J1079" t="s">
        <v>19</v>
      </c>
      <c r="K1079">
        <v>1</v>
      </c>
      <c r="L1079" t="str">
        <f>HYPERLINK("https://mees.charlotte.edu/people/praveen-ramaprabhu/","https://mees.charlotte.edu/people/praveen-ramaprabhu/")</f>
        <v>https://mees.charlotte.edu/people/praveen-ramaprabhu/</v>
      </c>
    </row>
    <row r="1080" spans="1:12" x14ac:dyDescent="0.3">
      <c r="A1080">
        <v>980</v>
      </c>
      <c r="B1080" t="s">
        <v>2133</v>
      </c>
      <c r="C1080" t="s">
        <v>2129</v>
      </c>
      <c r="D1080" t="s">
        <v>112</v>
      </c>
      <c r="E1080" t="s">
        <v>2134</v>
      </c>
      <c r="F1080" t="s">
        <v>83</v>
      </c>
      <c r="G1080" t="s">
        <v>84</v>
      </c>
      <c r="H1080" t="s">
        <v>80</v>
      </c>
      <c r="I1080">
        <v>33</v>
      </c>
      <c r="J1080" t="s">
        <v>19</v>
      </c>
      <c r="K1080">
        <v>1</v>
      </c>
      <c r="L1080" t="str">
        <f>HYPERLINK("https://mees.charlotte.edu/people/russell-keanini/","https://mees.charlotte.edu/people/russell-keanini/")</f>
        <v>https://mees.charlotte.edu/people/russell-keanini/</v>
      </c>
    </row>
    <row r="1081" spans="1:12" x14ac:dyDescent="0.3">
      <c r="A1081">
        <v>983</v>
      </c>
      <c r="B1081" t="s">
        <v>2139</v>
      </c>
      <c r="C1081" t="s">
        <v>2129</v>
      </c>
      <c r="D1081" t="s">
        <v>112</v>
      </c>
      <c r="E1081" t="s">
        <v>2140</v>
      </c>
      <c r="F1081" t="s">
        <v>27</v>
      </c>
      <c r="G1081" t="s">
        <v>28</v>
      </c>
      <c r="H1081" t="s">
        <v>53</v>
      </c>
      <c r="I1081">
        <v>15</v>
      </c>
      <c r="J1081" t="s">
        <v>19</v>
      </c>
      <c r="K1081">
        <v>1</v>
      </c>
      <c r="L1081" t="str">
        <f>HYPERLINK("https://engineering.charlotte.edu/people/amirhossein-ghasemi/","https://engineering.charlotte.edu/people/amirhossein-ghasemi/")</f>
        <v>https://engineering.charlotte.edu/people/amirhossein-ghasemi/</v>
      </c>
    </row>
    <row r="1082" spans="1:12" x14ac:dyDescent="0.3">
      <c r="A1082">
        <v>988</v>
      </c>
      <c r="B1082" t="s">
        <v>2147</v>
      </c>
      <c r="C1082" t="s">
        <v>2148</v>
      </c>
      <c r="D1082" t="s">
        <v>14</v>
      </c>
      <c r="E1082" t="s">
        <v>2149</v>
      </c>
      <c r="F1082" t="s">
        <v>62</v>
      </c>
      <c r="G1082" t="s">
        <v>63</v>
      </c>
      <c r="H1082" t="s">
        <v>842</v>
      </c>
      <c r="I1082">
        <v>20</v>
      </c>
      <c r="J1082" t="s">
        <v>19</v>
      </c>
      <c r="K1082">
        <v>1</v>
      </c>
      <c r="L1082" t="str">
        <f>HYPERLINK("https://campus.und.edu/directory/carson.running","https://campus.und.edu/directory/carson.running")</f>
        <v>https://campus.und.edu/directory/carson.running</v>
      </c>
    </row>
    <row r="1083" spans="1:12" x14ac:dyDescent="0.3">
      <c r="A1083">
        <v>989</v>
      </c>
      <c r="B1083" t="s">
        <v>2150</v>
      </c>
      <c r="C1083" t="s">
        <v>2148</v>
      </c>
      <c r="D1083" t="s">
        <v>14</v>
      </c>
      <c r="E1083" t="s">
        <v>2151</v>
      </c>
      <c r="F1083" t="s">
        <v>62</v>
      </c>
      <c r="G1083" t="s">
        <v>63</v>
      </c>
      <c r="H1083" t="s">
        <v>75</v>
      </c>
      <c r="I1083">
        <v>10</v>
      </c>
      <c r="J1083" t="s">
        <v>19</v>
      </c>
      <c r="K1083">
        <v>1</v>
      </c>
      <c r="L1083" t="str">
        <f>HYPERLINK("https://campus.und.edu/directory/chonglin.zhang","https://campus.und.edu/directory/chonglin.zhang")</f>
        <v>https://campus.und.edu/directory/chonglin.zhang</v>
      </c>
    </row>
    <row r="1084" spans="1:12" x14ac:dyDescent="0.3">
      <c r="A1084">
        <v>990</v>
      </c>
      <c r="B1084" t="s">
        <v>2152</v>
      </c>
      <c r="C1084" t="s">
        <v>2148</v>
      </c>
      <c r="D1084" t="s">
        <v>14</v>
      </c>
      <c r="E1084" t="s">
        <v>2153</v>
      </c>
      <c r="F1084" t="s">
        <v>16</v>
      </c>
      <c r="G1084" t="s">
        <v>17</v>
      </c>
      <c r="H1084" t="s">
        <v>516</v>
      </c>
      <c r="I1084">
        <v>11</v>
      </c>
      <c r="J1084" t="s">
        <v>19</v>
      </c>
      <c r="K1084">
        <v>1</v>
      </c>
      <c r="L1084" t="str">
        <f>HYPERLINK("https://campus.und.edu/directory/william.semke","https://campus.und.edu/directory/william.semke")</f>
        <v>https://campus.und.edu/directory/william.semke</v>
      </c>
    </row>
    <row r="1085" spans="1:12" x14ac:dyDescent="0.3">
      <c r="A1085">
        <v>993</v>
      </c>
      <c r="B1085" t="s">
        <v>2158</v>
      </c>
      <c r="C1085" t="s">
        <v>2148</v>
      </c>
      <c r="D1085" t="s">
        <v>48</v>
      </c>
      <c r="E1085" t="s">
        <v>2159</v>
      </c>
      <c r="F1085" t="s">
        <v>16</v>
      </c>
      <c r="G1085" t="s">
        <v>17</v>
      </c>
      <c r="H1085" t="s">
        <v>519</v>
      </c>
      <c r="I1085">
        <v>12</v>
      </c>
      <c r="J1085" t="s">
        <v>19</v>
      </c>
      <c r="K1085">
        <v>1</v>
      </c>
      <c r="L1085" t="str">
        <f>HYPERLINK("https://campus.und.edu/directory/pablo.de.leon","https://campus.und.edu/directory/pablo.de.leon")</f>
        <v>https://campus.und.edu/directory/pablo.de.leon</v>
      </c>
    </row>
    <row r="1086" spans="1:12" x14ac:dyDescent="0.3">
      <c r="A1086">
        <v>994</v>
      </c>
      <c r="B1086" t="s">
        <v>2160</v>
      </c>
      <c r="C1086" t="s">
        <v>2161</v>
      </c>
      <c r="D1086" t="s">
        <v>14</v>
      </c>
      <c r="E1086" t="s">
        <v>2162</v>
      </c>
      <c r="F1086" t="s">
        <v>62</v>
      </c>
      <c r="G1086" t="s">
        <v>63</v>
      </c>
      <c r="H1086" t="s">
        <v>85</v>
      </c>
      <c r="I1086">
        <v>2</v>
      </c>
      <c r="J1086" t="s">
        <v>19</v>
      </c>
      <c r="K1086">
        <v>1</v>
      </c>
      <c r="L1086" t="str">
        <f>HYPERLINK("https://engineering.unt.edu/people/hamid-sadat.html","https://engineering.unt.edu/people/hamid-sadat.html")</f>
        <v>https://engineering.unt.edu/people/hamid-sadat.html</v>
      </c>
    </row>
    <row r="1087" spans="1:12" x14ac:dyDescent="0.3">
      <c r="A1087">
        <v>996</v>
      </c>
      <c r="B1087" t="s">
        <v>2165</v>
      </c>
      <c r="C1087" t="s">
        <v>2161</v>
      </c>
      <c r="D1087" t="s">
        <v>14</v>
      </c>
      <c r="E1087" t="s">
        <v>2166</v>
      </c>
      <c r="F1087" t="s">
        <v>22</v>
      </c>
      <c r="G1087" t="s">
        <v>23</v>
      </c>
      <c r="H1087" t="s">
        <v>109</v>
      </c>
      <c r="I1087">
        <v>30</v>
      </c>
      <c r="J1087" t="s">
        <v>19</v>
      </c>
      <c r="K1087">
        <v>1</v>
      </c>
      <c r="L1087" t="str">
        <f>HYPERLINK("https://engineering.unt.edu/people/maurizio-manzo.html","https://engineering.unt.edu/people/maurizio-manzo.html")</f>
        <v>https://engineering.unt.edu/people/maurizio-manzo.html</v>
      </c>
    </row>
    <row r="1088" spans="1:12" x14ac:dyDescent="0.3">
      <c r="A1088">
        <v>998</v>
      </c>
      <c r="B1088" t="s">
        <v>2169</v>
      </c>
      <c r="C1088" t="s">
        <v>2170</v>
      </c>
      <c r="D1088" t="s">
        <v>161</v>
      </c>
      <c r="E1088" t="s">
        <v>2171</v>
      </c>
      <c r="F1088" t="s">
        <v>335</v>
      </c>
      <c r="G1088" t="s">
        <v>336</v>
      </c>
      <c r="H1088" t="s">
        <v>539</v>
      </c>
      <c r="I1088">
        <v>55</v>
      </c>
      <c r="J1088" t="s">
        <v>19</v>
      </c>
      <c r="K1088">
        <v>1</v>
      </c>
      <c r="L1088" t="str">
        <f>HYPERLINK("https://engineering.nd.edu/faculty/thomas-corke/","https://engineering.nd.edu/faculty/thomas-corke/")</f>
        <v>https://engineering.nd.edu/faculty/thomas-corke/</v>
      </c>
    </row>
    <row r="1089" spans="1:12" x14ac:dyDescent="0.3">
      <c r="A1089">
        <v>999</v>
      </c>
      <c r="B1089" t="s">
        <v>2172</v>
      </c>
      <c r="C1089" t="s">
        <v>2170</v>
      </c>
      <c r="D1089" t="s">
        <v>161</v>
      </c>
      <c r="E1089" t="s">
        <v>2173</v>
      </c>
      <c r="F1089" t="s">
        <v>335</v>
      </c>
      <c r="G1089" t="s">
        <v>336</v>
      </c>
      <c r="H1089" t="s">
        <v>2174</v>
      </c>
      <c r="I1089">
        <v>58</v>
      </c>
      <c r="J1089" t="s">
        <v>19</v>
      </c>
      <c r="K1089">
        <v>1</v>
      </c>
      <c r="L1089" t="str">
        <f>HYPERLINK("https://engineering.nd.edu/faculty/scott-morris/","https://engineering.nd.edu/faculty/scott-morris/")</f>
        <v>https://engineering.nd.edu/faculty/scott-morris/</v>
      </c>
    </row>
    <row r="1090" spans="1:12" x14ac:dyDescent="0.3">
      <c r="A1090">
        <v>1000</v>
      </c>
      <c r="B1090" t="s">
        <v>2175</v>
      </c>
      <c r="C1090" t="s">
        <v>2170</v>
      </c>
      <c r="D1090" t="s">
        <v>161</v>
      </c>
      <c r="E1090" t="s">
        <v>2176</v>
      </c>
      <c r="F1090" t="s">
        <v>335</v>
      </c>
      <c r="G1090" t="s">
        <v>336</v>
      </c>
      <c r="H1090" t="s">
        <v>39</v>
      </c>
      <c r="I1090">
        <v>47</v>
      </c>
      <c r="J1090" t="s">
        <v>19</v>
      </c>
      <c r="K1090">
        <v>1</v>
      </c>
      <c r="L1090" t="str">
        <f>HYPERLINK("https://engineering.nd.edu/faculty/thomas-juliano/","https://engineering.nd.edu/faculty/thomas-juliano/")</f>
        <v>https://engineering.nd.edu/faculty/thomas-juliano/</v>
      </c>
    </row>
    <row r="1091" spans="1:12" x14ac:dyDescent="0.3">
      <c r="A1091">
        <v>1001</v>
      </c>
      <c r="B1091" t="s">
        <v>2177</v>
      </c>
      <c r="C1091" t="s">
        <v>2170</v>
      </c>
      <c r="D1091" t="s">
        <v>161</v>
      </c>
      <c r="E1091" t="s">
        <v>2178</v>
      </c>
      <c r="F1091" t="s">
        <v>335</v>
      </c>
      <c r="G1091" t="s">
        <v>336</v>
      </c>
      <c r="H1091" t="s">
        <v>124</v>
      </c>
      <c r="I1091">
        <v>601</v>
      </c>
      <c r="J1091" t="s">
        <v>19</v>
      </c>
      <c r="K1091">
        <v>1</v>
      </c>
      <c r="L1091" t="str">
        <f>HYPERLINK("https://engineering.nd.edu/faculty/meng-wang/","https://engineering.nd.edu/faculty/meng-wang/")</f>
        <v>https://engineering.nd.edu/faculty/meng-wang/</v>
      </c>
    </row>
    <row r="1092" spans="1:12" hidden="1" x14ac:dyDescent="0.3">
      <c r="A1092">
        <v>1091</v>
      </c>
      <c r="B1092" t="s">
        <v>2364</v>
      </c>
      <c r="C1092" t="s">
        <v>2334</v>
      </c>
      <c r="D1092" t="s">
        <v>31</v>
      </c>
      <c r="E1092" t="s">
        <v>2365</v>
      </c>
      <c r="F1092" t="s">
        <v>151</v>
      </c>
      <c r="G1092" t="s">
        <v>152</v>
      </c>
      <c r="H1092" t="s">
        <v>225</v>
      </c>
      <c r="I1092">
        <v>30</v>
      </c>
      <c r="J1092" t="s">
        <v>154</v>
      </c>
      <c r="K1092">
        <v>3</v>
      </c>
      <c r="L1092" t="str">
        <f>HYPERLINK("https://dornsife.usc.edu/profile/juhi-jang/","https://dornsife.usc.edu/profile/juhi-jang/")</f>
        <v>https://dornsife.usc.edu/profile/juhi-jang/</v>
      </c>
    </row>
    <row r="1093" spans="1:12" hidden="1" x14ac:dyDescent="0.3">
      <c r="A1093">
        <v>1092</v>
      </c>
      <c r="B1093" t="s">
        <v>2366</v>
      </c>
      <c r="C1093" t="s">
        <v>2334</v>
      </c>
      <c r="D1093" t="s">
        <v>31</v>
      </c>
      <c r="E1093" t="s">
        <v>2367</v>
      </c>
      <c r="F1093" t="s">
        <v>151</v>
      </c>
      <c r="G1093" t="s">
        <v>152</v>
      </c>
      <c r="H1093" t="s">
        <v>220</v>
      </c>
      <c r="I1093">
        <v>78</v>
      </c>
      <c r="J1093" t="s">
        <v>154</v>
      </c>
      <c r="K1093">
        <v>3</v>
      </c>
      <c r="L1093" t="str">
        <f>HYPERLINK("https://dornsife.usc.edu/profile/igor-kukavica/","https://dornsife.usc.edu/profile/igor-kukavica/")</f>
        <v>https://dornsife.usc.edu/profile/igor-kukavica/</v>
      </c>
    </row>
    <row r="1094" spans="1:12" x14ac:dyDescent="0.3">
      <c r="A1094">
        <v>1002</v>
      </c>
      <c r="B1094" t="s">
        <v>2179</v>
      </c>
      <c r="C1094" t="s">
        <v>2170</v>
      </c>
      <c r="D1094" t="s">
        <v>161</v>
      </c>
      <c r="E1094" t="s">
        <v>2180</v>
      </c>
      <c r="F1094" t="s">
        <v>335</v>
      </c>
      <c r="G1094" t="s">
        <v>336</v>
      </c>
      <c r="H1094" t="s">
        <v>182</v>
      </c>
      <c r="I1094">
        <v>51</v>
      </c>
      <c r="J1094" t="s">
        <v>19</v>
      </c>
      <c r="K1094">
        <v>1</v>
      </c>
      <c r="L1094" t="str">
        <f>HYPERLINK("https://engineering.nd.edu/faculty/stanislav-gordeyev/","https://engineering.nd.edu/faculty/stanislav-gordeyev/")</f>
        <v>https://engineering.nd.edu/faculty/stanislav-gordeyev/</v>
      </c>
    </row>
    <row r="1095" spans="1:12" hidden="1" x14ac:dyDescent="0.3">
      <c r="A1095">
        <v>1094</v>
      </c>
      <c r="B1095" t="s">
        <v>2370</v>
      </c>
      <c r="C1095" t="s">
        <v>2334</v>
      </c>
      <c r="D1095" t="s">
        <v>31</v>
      </c>
      <c r="E1095" t="s">
        <v>2371</v>
      </c>
      <c r="F1095" t="s">
        <v>16</v>
      </c>
      <c r="G1095" t="s">
        <v>17</v>
      </c>
      <c r="H1095" t="s">
        <v>406</v>
      </c>
      <c r="I1095">
        <v>3</v>
      </c>
      <c r="J1095" t="s">
        <v>19</v>
      </c>
      <c r="K1095">
        <v>1</v>
      </c>
      <c r="L1095" t="str">
        <f>HYPERLINK("https://dornsife.usc.edu/profile/mohammed-ziane/","https://dornsife.usc.edu/profile/mohammed-ziane/")</f>
        <v>https://dornsife.usc.edu/profile/mohammed-ziane/</v>
      </c>
    </row>
    <row r="1096" spans="1:12" x14ac:dyDescent="0.3">
      <c r="A1096">
        <v>1003</v>
      </c>
      <c r="B1096" t="s">
        <v>2181</v>
      </c>
      <c r="C1096" t="s">
        <v>2170</v>
      </c>
      <c r="D1096" t="s">
        <v>161</v>
      </c>
      <c r="E1096" t="s">
        <v>2182</v>
      </c>
      <c r="F1096" t="s">
        <v>335</v>
      </c>
      <c r="G1096" t="s">
        <v>336</v>
      </c>
      <c r="H1096" t="s">
        <v>182</v>
      </c>
      <c r="I1096">
        <v>44</v>
      </c>
      <c r="J1096" t="s">
        <v>19</v>
      </c>
      <c r="K1096">
        <v>1</v>
      </c>
      <c r="L1096" t="str">
        <f>HYPERLINK("https://engineering.nd.edu/faculty/hirotaka-sakaue/","https://engineering.nd.edu/faculty/hirotaka-sakaue/")</f>
        <v>https://engineering.nd.edu/faculty/hirotaka-sakaue/</v>
      </c>
    </row>
    <row r="1097" spans="1:12" x14ac:dyDescent="0.3">
      <c r="A1097">
        <v>1004</v>
      </c>
      <c r="B1097" t="s">
        <v>2183</v>
      </c>
      <c r="C1097" t="s">
        <v>2170</v>
      </c>
      <c r="D1097" t="s">
        <v>161</v>
      </c>
      <c r="E1097" t="s">
        <v>2184</v>
      </c>
      <c r="F1097" t="s">
        <v>335</v>
      </c>
      <c r="G1097" t="s">
        <v>336</v>
      </c>
      <c r="H1097" t="s">
        <v>286</v>
      </c>
      <c r="I1097">
        <v>28</v>
      </c>
      <c r="J1097" t="s">
        <v>19</v>
      </c>
      <c r="K1097">
        <v>1</v>
      </c>
      <c r="L1097" t="str">
        <f>HYPERLINK("https://engineering.nd.edu/faculty/joseph-powers/","https://engineering.nd.edu/faculty/joseph-powers/")</f>
        <v>https://engineering.nd.edu/faculty/joseph-powers/</v>
      </c>
    </row>
    <row r="1098" spans="1:12" x14ac:dyDescent="0.3">
      <c r="A1098">
        <v>1005</v>
      </c>
      <c r="B1098" t="s">
        <v>2185</v>
      </c>
      <c r="C1098" t="s">
        <v>2170</v>
      </c>
      <c r="D1098" t="s">
        <v>161</v>
      </c>
      <c r="E1098" t="s">
        <v>2186</v>
      </c>
      <c r="F1098" t="s">
        <v>335</v>
      </c>
      <c r="G1098" t="s">
        <v>336</v>
      </c>
      <c r="H1098" t="s">
        <v>775</v>
      </c>
      <c r="I1098">
        <v>31</v>
      </c>
      <c r="J1098" t="s">
        <v>19</v>
      </c>
      <c r="K1098">
        <v>1</v>
      </c>
      <c r="L1098" t="str">
        <f>HYPERLINK("https://engineering.nd.edu/faculty/shivam-barwey/","https://engineering.nd.edu/faculty/shivam-barwey/")</f>
        <v>https://engineering.nd.edu/faculty/shivam-barwey/</v>
      </c>
    </row>
    <row r="1099" spans="1:12" x14ac:dyDescent="0.3">
      <c r="A1099">
        <v>1006</v>
      </c>
      <c r="B1099" t="s">
        <v>2187</v>
      </c>
      <c r="C1099" t="s">
        <v>2170</v>
      </c>
      <c r="D1099" t="s">
        <v>161</v>
      </c>
      <c r="E1099" t="s">
        <v>2188</v>
      </c>
      <c r="F1099" t="s">
        <v>335</v>
      </c>
      <c r="G1099" t="s">
        <v>336</v>
      </c>
      <c r="H1099" t="s">
        <v>172</v>
      </c>
      <c r="I1099">
        <v>1</v>
      </c>
      <c r="J1099" t="s">
        <v>19</v>
      </c>
      <c r="K1099">
        <v>1</v>
      </c>
      <c r="L1099" t="str">
        <f>HYPERLINK("https://engineering.nd.edu/faculty/dasha-gloutak/","https://engineering.nd.edu/faculty/dasha-gloutak/")</f>
        <v>https://engineering.nd.edu/faculty/dasha-gloutak/</v>
      </c>
    </row>
    <row r="1100" spans="1:12" hidden="1" x14ac:dyDescent="0.3">
      <c r="A1100">
        <v>1099</v>
      </c>
      <c r="B1100" t="s">
        <v>2379</v>
      </c>
      <c r="C1100" t="s">
        <v>2373</v>
      </c>
      <c r="D1100" t="s">
        <v>31</v>
      </c>
      <c r="E1100" t="s">
        <v>57</v>
      </c>
      <c r="F1100" t="s">
        <v>114</v>
      </c>
      <c r="G1100" t="s">
        <v>115</v>
      </c>
      <c r="H1100" t="s">
        <v>58</v>
      </c>
      <c r="I1100">
        <v>0</v>
      </c>
      <c r="J1100" t="s">
        <v>116</v>
      </c>
      <c r="K1100">
        <v>3</v>
      </c>
      <c r="L1100" t="str">
        <f>HYPERLINK("https://tickle.utk.edu/mae/faculty/reza-abedi/","https://tickle.utk.edu/mae/faculty/reza-abedi/")</f>
        <v>https://tickle.utk.edu/mae/faculty/reza-abedi/</v>
      </c>
    </row>
    <row r="1101" spans="1:12" x14ac:dyDescent="0.3">
      <c r="A1101">
        <v>1009</v>
      </c>
      <c r="B1101" t="s">
        <v>2193</v>
      </c>
      <c r="C1101" t="s">
        <v>2170</v>
      </c>
      <c r="D1101" t="s">
        <v>271</v>
      </c>
      <c r="E1101" t="s">
        <v>2194</v>
      </c>
      <c r="F1101" t="s">
        <v>335</v>
      </c>
      <c r="G1101" t="s">
        <v>336</v>
      </c>
      <c r="H1101" t="s">
        <v>1279</v>
      </c>
      <c r="I1101">
        <v>62</v>
      </c>
      <c r="J1101" t="s">
        <v>19</v>
      </c>
      <c r="K1101">
        <v>1</v>
      </c>
      <c r="L1101" t="str">
        <f>HYPERLINK("https://engineering.nd.edu/faculty/david-richter/","https://engineering.nd.edu/faculty/david-richter/")</f>
        <v>https://engineering.nd.edu/faculty/david-richter/</v>
      </c>
    </row>
    <row r="1102" spans="1:12" x14ac:dyDescent="0.3">
      <c r="A1102">
        <v>1013</v>
      </c>
      <c r="B1102" t="s">
        <v>2201</v>
      </c>
      <c r="C1102" t="s">
        <v>2202</v>
      </c>
      <c r="D1102" t="s">
        <v>161</v>
      </c>
      <c r="E1102" t="s">
        <v>2203</v>
      </c>
      <c r="F1102" t="s">
        <v>16</v>
      </c>
      <c r="G1102" t="s">
        <v>17</v>
      </c>
      <c r="H1102" t="s">
        <v>495</v>
      </c>
      <c r="I1102">
        <v>8</v>
      </c>
      <c r="J1102" t="s">
        <v>19</v>
      </c>
      <c r="K1102">
        <v>1</v>
      </c>
      <c r="L1102" t="str">
        <f>HYPERLINK("https://www.ou.edu/coe/ame/people/faculty/ramkumar-parthasarathy.html","https://www.ou.edu/coe/ame/people/faculty/ramkumar-parthasarathy.html")</f>
        <v>https://www.ou.edu/coe/ame/people/faculty/ramkumar-parthasarathy.html</v>
      </c>
    </row>
    <row r="1103" spans="1:12" x14ac:dyDescent="0.3">
      <c r="A1103">
        <v>1014</v>
      </c>
      <c r="B1103" t="s">
        <v>2204</v>
      </c>
      <c r="C1103" t="s">
        <v>2202</v>
      </c>
      <c r="D1103" t="s">
        <v>161</v>
      </c>
      <c r="E1103" t="s">
        <v>2205</v>
      </c>
      <c r="F1103" t="s">
        <v>16</v>
      </c>
      <c r="G1103" t="s">
        <v>17</v>
      </c>
      <c r="H1103" t="s">
        <v>18</v>
      </c>
      <c r="I1103">
        <v>89</v>
      </c>
      <c r="J1103" t="s">
        <v>19</v>
      </c>
      <c r="K1103">
        <v>1</v>
      </c>
      <c r="L1103" t="str">
        <f>HYPERLINK("https://www.ou.edu/coe/ame/people/faculty/yingtao-liu.html","https://www.ou.edu/coe/ame/people/faculty/yingtao-liu.html")</f>
        <v>https://www.ou.edu/coe/ame/people/faculty/yingtao-liu.html</v>
      </c>
    </row>
    <row r="1104" spans="1:12" hidden="1" x14ac:dyDescent="0.3">
      <c r="A1104">
        <v>1103</v>
      </c>
      <c r="B1104" t="s">
        <v>2387</v>
      </c>
      <c r="C1104" t="s">
        <v>2381</v>
      </c>
      <c r="D1104" t="s">
        <v>31</v>
      </c>
      <c r="E1104" t="s">
        <v>57</v>
      </c>
      <c r="F1104" t="s">
        <v>114</v>
      </c>
      <c r="G1104" t="s">
        <v>115</v>
      </c>
      <c r="H1104" t="s">
        <v>58</v>
      </c>
      <c r="I1104">
        <v>0</v>
      </c>
      <c r="J1104" t="s">
        <v>116</v>
      </c>
      <c r="K1104">
        <v>3</v>
      </c>
      <c r="L1104" t="str">
        <f>HYPERLINK("https://tickle.utk.edu/mae/faculty/devina-sanjaya/","https://tickle.utk.edu/mae/faculty/devina-sanjaya/")</f>
        <v>https://tickle.utk.edu/mae/faculty/devina-sanjaya/</v>
      </c>
    </row>
    <row r="1105" spans="1:12" x14ac:dyDescent="0.3">
      <c r="A1105">
        <v>1022</v>
      </c>
      <c r="B1105" t="s">
        <v>2220</v>
      </c>
      <c r="C1105" t="s">
        <v>2221</v>
      </c>
      <c r="D1105" t="s">
        <v>14</v>
      </c>
      <c r="E1105" t="s">
        <v>2222</v>
      </c>
      <c r="F1105" t="s">
        <v>16</v>
      </c>
      <c r="G1105" t="s">
        <v>17</v>
      </c>
      <c r="H1105" t="s">
        <v>33</v>
      </c>
      <c r="I1105">
        <v>62</v>
      </c>
      <c r="J1105" t="s">
        <v>19</v>
      </c>
      <c r="K1105">
        <v>1</v>
      </c>
      <c r="L1105" t="str">
        <f>HYPERLINK("https://directory.engineering.upenn.edu/paulo-e-arratia/","https://directory.engineering.upenn.edu/paulo-e-arratia/")</f>
        <v>https://directory.engineering.upenn.edu/paulo-e-arratia/</v>
      </c>
    </row>
    <row r="1106" spans="1:12" x14ac:dyDescent="0.3">
      <c r="A1106">
        <v>1023</v>
      </c>
      <c r="B1106" t="s">
        <v>2223</v>
      </c>
      <c r="C1106" t="s">
        <v>2221</v>
      </c>
      <c r="D1106" t="s">
        <v>14</v>
      </c>
      <c r="E1106" t="s">
        <v>2224</v>
      </c>
      <c r="F1106" t="s">
        <v>22</v>
      </c>
      <c r="G1106" t="s">
        <v>23</v>
      </c>
      <c r="H1106" t="s">
        <v>33</v>
      </c>
      <c r="I1106">
        <v>21</v>
      </c>
      <c r="J1106" t="s">
        <v>19</v>
      </c>
      <c r="K1106">
        <v>1</v>
      </c>
      <c r="L1106" t="str">
        <f>HYPERLINK("https://directory.engineering.upenn.edu/igor-bargatin/","https://directory.engineering.upenn.edu/igor-bargatin/")</f>
        <v>https://directory.engineering.upenn.edu/igor-bargatin/</v>
      </c>
    </row>
    <row r="1107" spans="1:12" x14ac:dyDescent="0.3">
      <c r="A1107">
        <v>1025</v>
      </c>
      <c r="B1107" t="s">
        <v>2227</v>
      </c>
      <c r="C1107" t="s">
        <v>2221</v>
      </c>
      <c r="D1107" t="s">
        <v>14</v>
      </c>
      <c r="E1107" t="s">
        <v>2228</v>
      </c>
      <c r="F1107" t="s">
        <v>16</v>
      </c>
      <c r="G1107" t="s">
        <v>17</v>
      </c>
      <c r="H1107" t="s">
        <v>301</v>
      </c>
      <c r="I1107">
        <v>53</v>
      </c>
      <c r="J1107" t="s">
        <v>19</v>
      </c>
      <c r="K1107">
        <v>1</v>
      </c>
      <c r="L1107" t="str">
        <f>HYPERLINK("https://directory.engineering.upenn.edu/prashant-k-purohit/","https://directory.engineering.upenn.edu/prashant-k-purohit/")</f>
        <v>https://directory.engineering.upenn.edu/prashant-k-purohit/</v>
      </c>
    </row>
    <row r="1108" spans="1:12" x14ac:dyDescent="0.3">
      <c r="A1108">
        <v>1026</v>
      </c>
      <c r="B1108" t="s">
        <v>2229</v>
      </c>
      <c r="C1108" t="s">
        <v>2221</v>
      </c>
      <c r="D1108" t="s">
        <v>14</v>
      </c>
      <c r="E1108" t="s">
        <v>2230</v>
      </c>
      <c r="F1108" t="s">
        <v>22</v>
      </c>
      <c r="G1108" t="s">
        <v>23</v>
      </c>
      <c r="H1108" t="s">
        <v>80</v>
      </c>
      <c r="I1108">
        <v>30</v>
      </c>
      <c r="J1108" t="s">
        <v>19</v>
      </c>
      <c r="K1108">
        <v>1</v>
      </c>
      <c r="L1108" t="str">
        <f>HYPERLINK("https://directory.engineering.upenn.edu/cynthia-sung/","https://directory.engineering.upenn.edu/cynthia-sung/")</f>
        <v>https://directory.engineering.upenn.edu/cynthia-sung/</v>
      </c>
    </row>
    <row r="1109" spans="1:12" x14ac:dyDescent="0.3">
      <c r="A1109">
        <v>1029</v>
      </c>
      <c r="B1109" t="s">
        <v>2235</v>
      </c>
      <c r="C1109" t="s">
        <v>2236</v>
      </c>
      <c r="D1109" t="s">
        <v>112</v>
      </c>
      <c r="E1109" t="s">
        <v>2237</v>
      </c>
      <c r="F1109" t="s">
        <v>16</v>
      </c>
      <c r="G1109" t="s">
        <v>17</v>
      </c>
      <c r="H1109" t="s">
        <v>24</v>
      </c>
      <c r="I1109">
        <v>36</v>
      </c>
      <c r="J1109" t="s">
        <v>19</v>
      </c>
      <c r="K1109">
        <v>1</v>
      </c>
      <c r="L1109" t="str">
        <f>HYPERLINK("https://www.engineering.pitt.edu/people/faculty/peyman-givi/","https://www.engineering.pitt.edu/people/faculty/peyman-givi/")</f>
        <v>https://www.engineering.pitt.edu/people/faculty/peyman-givi/</v>
      </c>
    </row>
    <row r="1110" spans="1:12" hidden="1" x14ac:dyDescent="0.3">
      <c r="A1110">
        <v>1109</v>
      </c>
      <c r="B1110" t="s">
        <v>2398</v>
      </c>
      <c r="C1110" t="s">
        <v>2396</v>
      </c>
      <c r="D1110" t="s">
        <v>31</v>
      </c>
      <c r="E1110" t="s">
        <v>2399</v>
      </c>
      <c r="F1110" t="s">
        <v>151</v>
      </c>
      <c r="G1110" t="s">
        <v>152</v>
      </c>
      <c r="H1110" t="s">
        <v>29</v>
      </c>
      <c r="I1110">
        <v>66</v>
      </c>
      <c r="J1110" t="s">
        <v>154</v>
      </c>
      <c r="K1110">
        <v>3</v>
      </c>
      <c r="L1110" t="str">
        <f>HYPERLINK("https://www.uta.edu/academics/faculty/profile?user=cliu","https://www.uta.edu/academics/faculty/profile?user=cliu")</f>
        <v>https://www.uta.edu/academics/faculty/profile?user=cliu</v>
      </c>
    </row>
    <row r="1111" spans="1:12" x14ac:dyDescent="0.3">
      <c r="A1111">
        <v>1030</v>
      </c>
      <c r="B1111" t="s">
        <v>2238</v>
      </c>
      <c r="C1111" t="s">
        <v>2236</v>
      </c>
      <c r="D1111" t="s">
        <v>112</v>
      </c>
      <c r="E1111" t="s">
        <v>2239</v>
      </c>
      <c r="F1111" t="s">
        <v>16</v>
      </c>
      <c r="G1111" t="s">
        <v>17</v>
      </c>
      <c r="H1111" t="s">
        <v>140</v>
      </c>
      <c r="I1111">
        <v>24</v>
      </c>
      <c r="J1111" t="s">
        <v>19</v>
      </c>
      <c r="K1111">
        <v>1</v>
      </c>
      <c r="L1111" t="str">
        <f>HYPERLINK("https://www.engineering.pitt.edu/people/faculty/inanc-senocak/","https://www.engineering.pitt.edu/people/faculty/inanc-senocak/")</f>
        <v>https://www.engineering.pitt.edu/people/faculty/inanc-senocak/</v>
      </c>
    </row>
    <row r="1112" spans="1:12" x14ac:dyDescent="0.3">
      <c r="A1112">
        <v>1031</v>
      </c>
      <c r="B1112" t="s">
        <v>2240</v>
      </c>
      <c r="C1112" t="s">
        <v>2236</v>
      </c>
      <c r="D1112" t="s">
        <v>112</v>
      </c>
      <c r="E1112" t="s">
        <v>2241</v>
      </c>
      <c r="F1112" t="s">
        <v>22</v>
      </c>
      <c r="G1112" t="s">
        <v>23</v>
      </c>
      <c r="H1112" t="s">
        <v>75</v>
      </c>
      <c r="I1112">
        <v>54</v>
      </c>
      <c r="J1112" t="s">
        <v>19</v>
      </c>
      <c r="K1112">
        <v>1</v>
      </c>
      <c r="L1112" t="str">
        <f>HYPERLINK("https://www.engineering.pitt.edu/people/faculty/hessam-babaee/","https://www.engineering.pitt.edu/people/faculty/hessam-babaee/")</f>
        <v>https://www.engineering.pitt.edu/people/faculty/hessam-babaee/</v>
      </c>
    </row>
    <row r="1113" spans="1:12" x14ac:dyDescent="0.3">
      <c r="A1113">
        <v>1032</v>
      </c>
      <c r="B1113" t="s">
        <v>2242</v>
      </c>
      <c r="C1113" t="s">
        <v>2236</v>
      </c>
      <c r="D1113" t="s">
        <v>112</v>
      </c>
      <c r="E1113" t="s">
        <v>2243</v>
      </c>
      <c r="F1113" t="s">
        <v>62</v>
      </c>
      <c r="G1113" t="s">
        <v>63</v>
      </c>
      <c r="H1113" t="s">
        <v>75</v>
      </c>
      <c r="I1113">
        <v>11</v>
      </c>
      <c r="J1113" t="s">
        <v>19</v>
      </c>
      <c r="K1113">
        <v>1</v>
      </c>
      <c r="L1113" t="str">
        <f>HYPERLINK("https://www.engineering.pitt.edu/people/faculty/juan-jose-mendoza-arenas/","https://www.engineering.pitt.edu/people/faculty/juan-jose-mendoza-arenas/")</f>
        <v>https://www.engineering.pitt.edu/people/faculty/juan-jose-mendoza-arenas/</v>
      </c>
    </row>
    <row r="1114" spans="1:12" x14ac:dyDescent="0.3">
      <c r="A1114">
        <v>1039</v>
      </c>
      <c r="B1114" t="s">
        <v>2256</v>
      </c>
      <c r="C1114" t="s">
        <v>2257</v>
      </c>
      <c r="D1114" t="s">
        <v>48</v>
      </c>
      <c r="E1114" t="s">
        <v>2258</v>
      </c>
      <c r="F1114" t="s">
        <v>62</v>
      </c>
      <c r="G1114" t="s">
        <v>63</v>
      </c>
      <c r="H1114" t="s">
        <v>406</v>
      </c>
      <c r="I1114">
        <v>9</v>
      </c>
      <c r="J1114" t="s">
        <v>19</v>
      </c>
      <c r="K1114">
        <v>1</v>
      </c>
      <c r="L1114" t="str">
        <f>HYPERLINK("https://web.uri.edu/oce/people/","https://web.uri.edu/oce/people/")</f>
        <v>https://web.uri.edu/oce/people/</v>
      </c>
    </row>
    <row r="1115" spans="1:12" hidden="1" x14ac:dyDescent="0.3">
      <c r="A1115">
        <v>1114</v>
      </c>
      <c r="B1115" t="s">
        <v>2408</v>
      </c>
      <c r="C1115" t="s">
        <v>2396</v>
      </c>
      <c r="D1115" t="s">
        <v>31</v>
      </c>
      <c r="E1115" t="s">
        <v>2409</v>
      </c>
      <c r="F1115" t="s">
        <v>151</v>
      </c>
      <c r="G1115" t="s">
        <v>152</v>
      </c>
      <c r="H1115" t="s">
        <v>200</v>
      </c>
      <c r="I1115">
        <v>34</v>
      </c>
      <c r="J1115" t="s">
        <v>154</v>
      </c>
      <c r="K1115">
        <v>3</v>
      </c>
      <c r="L1115" t="str">
        <f>HYPERLINK("https://www.uta.edu/academics/faculty/profile?user=souvik.roy","https://www.uta.edu/academics/faculty/profile?user=souvik.roy")</f>
        <v>https://www.uta.edu/academics/faculty/profile?user=souvik.roy</v>
      </c>
    </row>
    <row r="1116" spans="1:12" hidden="1" x14ac:dyDescent="0.3">
      <c r="A1116">
        <v>1115</v>
      </c>
      <c r="B1116" t="s">
        <v>2410</v>
      </c>
      <c r="C1116" t="s">
        <v>2396</v>
      </c>
      <c r="D1116" t="s">
        <v>31</v>
      </c>
      <c r="E1116" t="s">
        <v>2411</v>
      </c>
      <c r="F1116" t="s">
        <v>151</v>
      </c>
      <c r="G1116" t="s">
        <v>152</v>
      </c>
      <c r="H1116" t="s">
        <v>80</v>
      </c>
      <c r="I1116">
        <v>43</v>
      </c>
      <c r="J1116" t="s">
        <v>154</v>
      </c>
      <c r="K1116">
        <v>3</v>
      </c>
      <c r="L1116" t="str">
        <f>HYPERLINK("https://www.uta.edu/academics/faculty/profile?user=rcli","https://www.uta.edu/academics/faculty/profile?user=rcli")</f>
        <v>https://www.uta.edu/academics/faculty/profile?user=rcli</v>
      </c>
    </row>
    <row r="1117" spans="1:12" hidden="1" x14ac:dyDescent="0.3">
      <c r="A1117">
        <v>1116</v>
      </c>
      <c r="B1117" t="s">
        <v>2412</v>
      </c>
      <c r="C1117" t="s">
        <v>2396</v>
      </c>
      <c r="D1117" t="s">
        <v>31</v>
      </c>
      <c r="E1117" t="s">
        <v>2413</v>
      </c>
      <c r="F1117" t="s">
        <v>151</v>
      </c>
      <c r="G1117" t="s">
        <v>152</v>
      </c>
      <c r="H1117" t="s">
        <v>516</v>
      </c>
      <c r="I1117">
        <v>16</v>
      </c>
      <c r="J1117" t="s">
        <v>154</v>
      </c>
      <c r="K1117">
        <v>3</v>
      </c>
      <c r="L1117" t="str">
        <f>HYPERLINK("https://www.uta.edu/academics/faculty/profile?user=hristo","https://www.uta.edu/academics/faculty/profile?user=hristo")</f>
        <v>https://www.uta.edu/academics/faculty/profile?user=hristo</v>
      </c>
    </row>
    <row r="1118" spans="1:12" x14ac:dyDescent="0.3">
      <c r="A1118">
        <v>1040</v>
      </c>
      <c r="B1118" t="s">
        <v>2259</v>
      </c>
      <c r="C1118" t="s">
        <v>2257</v>
      </c>
      <c r="D1118" t="s">
        <v>48</v>
      </c>
      <c r="E1118" t="s">
        <v>2260</v>
      </c>
      <c r="F1118" t="s">
        <v>62</v>
      </c>
      <c r="G1118" t="s">
        <v>63</v>
      </c>
      <c r="H1118" t="s">
        <v>67</v>
      </c>
      <c r="I1118">
        <v>37</v>
      </c>
      <c r="J1118" t="s">
        <v>19</v>
      </c>
      <c r="K1118">
        <v>1</v>
      </c>
      <c r="L1118" t="str">
        <f>HYPERLINK("https://web.uri.edu/oce/people/","https://web.uri.edu/oce/people/")</f>
        <v>https://web.uri.edu/oce/people/</v>
      </c>
    </row>
    <row r="1119" spans="1:12" x14ac:dyDescent="0.3">
      <c r="A1119">
        <v>1041</v>
      </c>
      <c r="B1119" t="s">
        <v>2261</v>
      </c>
      <c r="C1119" t="s">
        <v>2257</v>
      </c>
      <c r="D1119" t="s">
        <v>48</v>
      </c>
      <c r="E1119" t="s">
        <v>2262</v>
      </c>
      <c r="F1119" t="s">
        <v>62</v>
      </c>
      <c r="G1119" t="s">
        <v>63</v>
      </c>
      <c r="H1119" t="s">
        <v>159</v>
      </c>
      <c r="I1119">
        <v>9</v>
      </c>
      <c r="J1119" t="s">
        <v>19</v>
      </c>
      <c r="K1119">
        <v>1</v>
      </c>
      <c r="L1119" t="str">
        <f>HYPERLINK("https://web.uri.edu/oce/people/","https://web.uri.edu/oce/people/")</f>
        <v>https://web.uri.edu/oce/people/</v>
      </c>
    </row>
    <row r="1120" spans="1:12" x14ac:dyDescent="0.3">
      <c r="A1120">
        <v>1042</v>
      </c>
      <c r="B1120" t="s">
        <v>2263</v>
      </c>
      <c r="C1120" t="s">
        <v>2257</v>
      </c>
      <c r="D1120" t="s">
        <v>48</v>
      </c>
      <c r="E1120" t="s">
        <v>2264</v>
      </c>
      <c r="F1120" t="s">
        <v>62</v>
      </c>
      <c r="G1120" t="s">
        <v>63</v>
      </c>
      <c r="H1120" t="s">
        <v>159</v>
      </c>
      <c r="I1120">
        <v>7</v>
      </c>
      <c r="J1120" t="s">
        <v>19</v>
      </c>
      <c r="K1120">
        <v>1</v>
      </c>
      <c r="L1120" t="str">
        <f>HYPERLINK("https://web.uri.edu/oce/people/","https://web.uri.edu/oce/people/")</f>
        <v>https://web.uri.edu/oce/people/</v>
      </c>
    </row>
    <row r="1121" spans="1:12" x14ac:dyDescent="0.3">
      <c r="A1121">
        <v>1043</v>
      </c>
      <c r="B1121" t="s">
        <v>2265</v>
      </c>
      <c r="C1121" t="s">
        <v>2257</v>
      </c>
      <c r="D1121" t="s">
        <v>48</v>
      </c>
      <c r="E1121" t="s">
        <v>2266</v>
      </c>
      <c r="F1121" t="s">
        <v>62</v>
      </c>
      <c r="G1121" t="s">
        <v>63</v>
      </c>
      <c r="H1121" t="s">
        <v>39</v>
      </c>
      <c r="I1121">
        <v>12</v>
      </c>
      <c r="J1121" t="s">
        <v>19</v>
      </c>
      <c r="K1121">
        <v>1</v>
      </c>
      <c r="L1121" t="str">
        <f>HYPERLINK("https://web.uri.edu/oce/people/","https://web.uri.edu/oce/people/")</f>
        <v>https://web.uri.edu/oce/people/</v>
      </c>
    </row>
    <row r="1122" spans="1:12" x14ac:dyDescent="0.3">
      <c r="A1122">
        <v>1044</v>
      </c>
      <c r="B1122" t="s">
        <v>2267</v>
      </c>
      <c r="C1122" t="s">
        <v>2257</v>
      </c>
      <c r="D1122" t="s">
        <v>14</v>
      </c>
      <c r="E1122" t="s">
        <v>2268</v>
      </c>
      <c r="F1122" t="s">
        <v>62</v>
      </c>
      <c r="G1122" t="s">
        <v>63</v>
      </c>
      <c r="H1122" t="s">
        <v>167</v>
      </c>
      <c r="I1122">
        <v>40</v>
      </c>
      <c r="J1122" t="s">
        <v>19</v>
      </c>
      <c r="K1122">
        <v>1</v>
      </c>
      <c r="L1122" t="str">
        <f>HYPERLINK("https://web.uri.edu/mcise/people/","https://web.uri.edu/mcise/people/")</f>
        <v>https://web.uri.edu/mcise/people/</v>
      </c>
    </row>
    <row r="1123" spans="1:12" hidden="1" x14ac:dyDescent="0.3">
      <c r="A1123">
        <v>1122</v>
      </c>
      <c r="B1123" t="s">
        <v>2424</v>
      </c>
      <c r="C1123" t="s">
        <v>2415</v>
      </c>
      <c r="D1123" t="s">
        <v>31</v>
      </c>
      <c r="E1123" t="s">
        <v>2425</v>
      </c>
      <c r="F1123" t="s">
        <v>62</v>
      </c>
      <c r="G1123" t="s">
        <v>63</v>
      </c>
      <c r="H1123" t="s">
        <v>140</v>
      </c>
      <c r="I1123">
        <v>15</v>
      </c>
      <c r="J1123" t="s">
        <v>19</v>
      </c>
      <c r="K1123">
        <v>1</v>
      </c>
      <c r="L1123" t="str">
        <f>HYPERLINK("https://me.utdallas.edu/faculty/","https://me.utdallas.edu/faculty/")</f>
        <v>https://me.utdallas.edu/faculty/</v>
      </c>
    </row>
    <row r="1124" spans="1:12" hidden="1" x14ac:dyDescent="0.3">
      <c r="A1124">
        <v>1123</v>
      </c>
      <c r="B1124" t="s">
        <v>2426</v>
      </c>
      <c r="C1124" t="s">
        <v>2415</v>
      </c>
      <c r="D1124" t="s">
        <v>31</v>
      </c>
      <c r="E1124" t="s">
        <v>2427</v>
      </c>
      <c r="F1124" t="s">
        <v>62</v>
      </c>
      <c r="G1124" t="s">
        <v>63</v>
      </c>
      <c r="H1124" t="s">
        <v>213</v>
      </c>
      <c r="I1124">
        <v>35</v>
      </c>
      <c r="J1124" t="s">
        <v>19</v>
      </c>
      <c r="K1124">
        <v>1</v>
      </c>
      <c r="L1124" t="str">
        <f>HYPERLINK("https://me.utdallas.edu/faculty/","https://me.utdallas.edu/faculty/")</f>
        <v>https://me.utdallas.edu/faculty/</v>
      </c>
    </row>
    <row r="1125" spans="1:12" x14ac:dyDescent="0.3">
      <c r="A1125">
        <v>1045</v>
      </c>
      <c r="B1125" t="s">
        <v>2269</v>
      </c>
      <c r="C1125" t="s">
        <v>2257</v>
      </c>
      <c r="D1125" t="s">
        <v>14</v>
      </c>
      <c r="E1125" t="s">
        <v>2270</v>
      </c>
      <c r="F1125" t="s">
        <v>62</v>
      </c>
      <c r="G1125" t="s">
        <v>63</v>
      </c>
      <c r="H1125" t="s">
        <v>88</v>
      </c>
      <c r="I1125">
        <v>10</v>
      </c>
      <c r="J1125" t="s">
        <v>19</v>
      </c>
      <c r="K1125">
        <v>1</v>
      </c>
      <c r="L1125" t="str">
        <f>HYPERLINK("https://web.uri.edu/mcise/people/","https://web.uri.edu/mcise/people/")</f>
        <v>https://web.uri.edu/mcise/people/</v>
      </c>
    </row>
    <row r="1126" spans="1:12" x14ac:dyDescent="0.3">
      <c r="A1126">
        <v>1046</v>
      </c>
      <c r="B1126" t="s">
        <v>2271</v>
      </c>
      <c r="C1126" t="s">
        <v>2257</v>
      </c>
      <c r="D1126" t="s">
        <v>14</v>
      </c>
      <c r="E1126" t="s">
        <v>2272</v>
      </c>
      <c r="F1126" t="s">
        <v>62</v>
      </c>
      <c r="G1126" t="s">
        <v>63</v>
      </c>
      <c r="H1126" t="s">
        <v>406</v>
      </c>
      <c r="I1126">
        <v>21</v>
      </c>
      <c r="J1126" t="s">
        <v>19</v>
      </c>
      <c r="K1126">
        <v>1</v>
      </c>
      <c r="L1126" t="str">
        <f>HYPERLINK("https://web.uri.edu/mcise/people/","https://web.uri.edu/mcise/people/")</f>
        <v>https://web.uri.edu/mcise/people/</v>
      </c>
    </row>
    <row r="1127" spans="1:12" hidden="1" x14ac:dyDescent="0.3">
      <c r="A1127">
        <v>1126</v>
      </c>
      <c r="B1127" t="s">
        <v>2433</v>
      </c>
      <c r="C1127" t="s">
        <v>2431</v>
      </c>
      <c r="D1127" t="s">
        <v>31</v>
      </c>
      <c r="E1127" t="s">
        <v>2434</v>
      </c>
      <c r="F1127" t="s">
        <v>62</v>
      </c>
      <c r="G1127" t="s">
        <v>63</v>
      </c>
      <c r="H1127" t="s">
        <v>140</v>
      </c>
      <c r="I1127">
        <v>2</v>
      </c>
      <c r="J1127" t="s">
        <v>19</v>
      </c>
      <c r="K1127">
        <v>1</v>
      </c>
      <c r="L1127" t="str">
        <f>HYPERLINK("https://www.utep.edu/engineering/mechanical/people/faculty.html","https://www.utep.edu/engineering/mechanical/people/faculty.html")</f>
        <v>https://www.utep.edu/engineering/mechanical/people/faculty.html</v>
      </c>
    </row>
    <row r="1128" spans="1:12" x14ac:dyDescent="0.3">
      <c r="A1128">
        <v>1047</v>
      </c>
      <c r="B1128" t="s">
        <v>2273</v>
      </c>
      <c r="C1128" t="s">
        <v>2257</v>
      </c>
      <c r="D1128" t="s">
        <v>48</v>
      </c>
      <c r="E1128" t="s">
        <v>57</v>
      </c>
      <c r="F1128" t="s">
        <v>62</v>
      </c>
      <c r="G1128" t="s">
        <v>63</v>
      </c>
      <c r="H1128" t="s">
        <v>58</v>
      </c>
      <c r="I1128">
        <v>0</v>
      </c>
      <c r="J1128" t="s">
        <v>19</v>
      </c>
      <c r="K1128">
        <v>1</v>
      </c>
      <c r="L1128" t="str">
        <f>HYPERLINK("https://web.uri.edu/oce/people/","https://web.uri.edu/oce/people/")</f>
        <v>https://web.uri.edu/oce/people/</v>
      </c>
    </row>
    <row r="1129" spans="1:12" x14ac:dyDescent="0.3">
      <c r="A1129">
        <v>1050</v>
      </c>
      <c r="B1129" t="s">
        <v>2279</v>
      </c>
      <c r="C1129" t="s">
        <v>2275</v>
      </c>
      <c r="D1129" t="s">
        <v>161</v>
      </c>
      <c r="E1129" t="s">
        <v>2280</v>
      </c>
      <c r="F1129" t="s">
        <v>16</v>
      </c>
      <c r="G1129" t="s">
        <v>17</v>
      </c>
      <c r="H1129" t="s">
        <v>286</v>
      </c>
      <c r="I1129">
        <v>56</v>
      </c>
      <c r="J1129" t="s">
        <v>19</v>
      </c>
      <c r="K1129">
        <v>1</v>
      </c>
      <c r="L1129" t="str">
        <f>HYPERLINK("https://www.hajim.rochester.edu/me/people/faculty/kelley_doug/index.html","https://www.hajim.rochester.edu/me/people/faculty/kelley_doug/index.html")</f>
        <v>https://www.hajim.rochester.edu/me/people/faculty/kelley_doug/index.html</v>
      </c>
    </row>
    <row r="1130" spans="1:12" hidden="1" x14ac:dyDescent="0.3">
      <c r="A1130">
        <v>1129</v>
      </c>
      <c r="B1130" t="s">
        <v>2439</v>
      </c>
      <c r="C1130" t="s">
        <v>2431</v>
      </c>
      <c r="D1130" t="s">
        <v>31</v>
      </c>
      <c r="E1130" t="s">
        <v>2440</v>
      </c>
      <c r="F1130" t="s">
        <v>22</v>
      </c>
      <c r="G1130" t="s">
        <v>23</v>
      </c>
      <c r="H1130" t="s">
        <v>127</v>
      </c>
      <c r="I1130">
        <v>15</v>
      </c>
      <c r="J1130" t="s">
        <v>19</v>
      </c>
      <c r="K1130">
        <v>1</v>
      </c>
      <c r="L1130" t="str">
        <f>HYPERLINK("https://hb2504.utep.edu/Home/Profile?username=castellanosa","https://hb2504.utep.edu/Home/Profile?username=castellanosa")</f>
        <v>https://hb2504.utep.edu/Home/Profile?username=castellanosa</v>
      </c>
    </row>
    <row r="1131" spans="1:12" hidden="1" x14ac:dyDescent="0.3">
      <c r="A1131">
        <v>1130</v>
      </c>
      <c r="B1131" t="s">
        <v>2441</v>
      </c>
      <c r="C1131" t="s">
        <v>2431</v>
      </c>
      <c r="D1131" t="s">
        <v>31</v>
      </c>
      <c r="E1131" t="s">
        <v>2442</v>
      </c>
      <c r="F1131" t="s">
        <v>27</v>
      </c>
      <c r="G1131" t="s">
        <v>28</v>
      </c>
      <c r="H1131" t="s">
        <v>33</v>
      </c>
      <c r="I1131">
        <v>11</v>
      </c>
      <c r="J1131" t="s">
        <v>19</v>
      </c>
      <c r="K1131">
        <v>1</v>
      </c>
      <c r="L1131" t="str">
        <f>HYPERLINK("https://www.utep.edu/science/math/people/faculty.html","https://www.utep.edu/science/math/people/faculty.html")</f>
        <v>https://www.utep.edu/science/math/people/faculty.html</v>
      </c>
    </row>
    <row r="1132" spans="1:12" hidden="1" x14ac:dyDescent="0.3">
      <c r="A1132">
        <v>1131</v>
      </c>
      <c r="B1132" t="s">
        <v>2443</v>
      </c>
      <c r="C1132" t="s">
        <v>2431</v>
      </c>
      <c r="D1132" t="s">
        <v>31</v>
      </c>
      <c r="E1132" t="s">
        <v>2444</v>
      </c>
      <c r="F1132" t="s">
        <v>27</v>
      </c>
      <c r="G1132" t="s">
        <v>28</v>
      </c>
      <c r="H1132" t="s">
        <v>1939</v>
      </c>
      <c r="I1132">
        <v>2</v>
      </c>
      <c r="J1132" t="s">
        <v>19</v>
      </c>
      <c r="K1132">
        <v>1</v>
      </c>
      <c r="L1132" t="str">
        <f>HYPERLINK("https://www.utep.edu/science/math/people/faculty.html","https://www.utep.edu/science/math/people/faculty.html")</f>
        <v>https://www.utep.edu/science/math/people/faculty.html</v>
      </c>
    </row>
    <row r="1133" spans="1:12" x14ac:dyDescent="0.3">
      <c r="A1133">
        <v>1059</v>
      </c>
      <c r="B1133" t="s">
        <v>2298</v>
      </c>
      <c r="C1133" t="s">
        <v>2294</v>
      </c>
      <c r="D1133" t="s">
        <v>161</v>
      </c>
      <c r="E1133" t="s">
        <v>2299</v>
      </c>
      <c r="F1133" t="s">
        <v>27</v>
      </c>
      <c r="G1133" t="s">
        <v>28</v>
      </c>
      <c r="H1133" t="s">
        <v>200</v>
      </c>
      <c r="I1133">
        <v>15</v>
      </c>
      <c r="J1133" t="s">
        <v>19</v>
      </c>
      <c r="K1133">
        <v>1</v>
      </c>
      <c r="L1133" t="str">
        <f>HYPERLINK("https://sc.edu/study/colleges_schools/engineering_and_computing/faculty-staff/won_sang_hee.php","https://sc.edu/study/colleges_schools/engineering_and_computing/faculty-staff/won_sang_hee.php")</f>
        <v>https://sc.edu/study/colleges_schools/engineering_and_computing/faculty-staff/won_sang_hee.php</v>
      </c>
    </row>
    <row r="1134" spans="1:12" x14ac:dyDescent="0.3">
      <c r="A1134">
        <v>1076</v>
      </c>
      <c r="B1134" t="s">
        <v>2333</v>
      </c>
      <c r="C1134" t="s">
        <v>2334</v>
      </c>
      <c r="D1134" t="s">
        <v>161</v>
      </c>
      <c r="E1134" t="s">
        <v>2335</v>
      </c>
      <c r="F1134" t="s">
        <v>62</v>
      </c>
      <c r="G1134" t="s">
        <v>63</v>
      </c>
      <c r="H1134" t="s">
        <v>67</v>
      </c>
      <c r="I1134">
        <v>83</v>
      </c>
      <c r="J1134" t="s">
        <v>19</v>
      </c>
      <c r="K1134">
        <v>1</v>
      </c>
      <c r="L1134" t="str">
        <f>HYPERLINK("https://viterbi.usc.edu/directory/faculty/Oberai/Assad","https://viterbi.usc.edu/directory/faculty/Oberai/Assad")</f>
        <v>https://viterbi.usc.edu/directory/faculty/Oberai/Assad</v>
      </c>
    </row>
    <row r="1135" spans="1:12" x14ac:dyDescent="0.3">
      <c r="A1135">
        <v>1077</v>
      </c>
      <c r="B1135" t="s">
        <v>2336</v>
      </c>
      <c r="C1135" t="s">
        <v>2334</v>
      </c>
      <c r="D1135" t="s">
        <v>161</v>
      </c>
      <c r="E1135" t="s">
        <v>2337</v>
      </c>
      <c r="F1135" t="s">
        <v>62</v>
      </c>
      <c r="G1135" t="s">
        <v>63</v>
      </c>
      <c r="H1135" t="s">
        <v>39</v>
      </c>
      <c r="I1135">
        <v>12</v>
      </c>
      <c r="J1135" t="s">
        <v>19</v>
      </c>
      <c r="K1135">
        <v>1</v>
      </c>
      <c r="L1135" t="str">
        <f>HYPERLINK("https://viterbi.usc.edu/directory/faculty/Bermejo-Moreno/Ivan","https://viterbi.usc.edu/directory/faculty/Bermejo-Moreno/Ivan")</f>
        <v>https://viterbi.usc.edu/directory/faculty/Bermejo-Moreno/Ivan</v>
      </c>
    </row>
    <row r="1136" spans="1:12" x14ac:dyDescent="0.3">
      <c r="A1136">
        <v>1078</v>
      </c>
      <c r="B1136" t="s">
        <v>2338</v>
      </c>
      <c r="C1136" t="s">
        <v>2334</v>
      </c>
      <c r="D1136" t="s">
        <v>161</v>
      </c>
      <c r="E1136" t="s">
        <v>2339</v>
      </c>
      <c r="F1136" t="s">
        <v>62</v>
      </c>
      <c r="G1136" t="s">
        <v>63</v>
      </c>
      <c r="H1136" t="s">
        <v>53</v>
      </c>
      <c r="I1136">
        <v>38</v>
      </c>
      <c r="J1136" t="s">
        <v>19</v>
      </c>
      <c r="K1136">
        <v>1</v>
      </c>
      <c r="L1136" t="str">
        <f>HYPERLINK("https://viterbi.usc.edu/directory/faculty/Luhar/Mitul","https://viterbi.usc.edu/directory/faculty/Luhar/Mitul")</f>
        <v>https://viterbi.usc.edu/directory/faculty/Luhar/Mitul</v>
      </c>
    </row>
    <row r="1137" spans="1:12" x14ac:dyDescent="0.3">
      <c r="A1137">
        <v>1080</v>
      </c>
      <c r="B1137" t="s">
        <v>2342</v>
      </c>
      <c r="C1137" t="s">
        <v>2334</v>
      </c>
      <c r="D1137" t="s">
        <v>161</v>
      </c>
      <c r="E1137" t="s">
        <v>2343</v>
      </c>
      <c r="F1137" t="s">
        <v>27</v>
      </c>
      <c r="G1137" t="s">
        <v>28</v>
      </c>
      <c r="H1137" t="s">
        <v>24</v>
      </c>
      <c r="I1137">
        <v>8</v>
      </c>
      <c r="J1137" t="s">
        <v>19</v>
      </c>
      <c r="K1137">
        <v>1</v>
      </c>
      <c r="L1137" t="str">
        <f>HYPERLINK("https://viterbi.usc.edu/directory/faculty/Spedding/Geoffrey","https://viterbi.usc.edu/directory/faculty/Spedding/Geoffrey")</f>
        <v>https://viterbi.usc.edu/directory/faculty/Spedding/Geoffrey</v>
      </c>
    </row>
    <row r="1138" spans="1:12" hidden="1" x14ac:dyDescent="0.3">
      <c r="A1138">
        <v>1137</v>
      </c>
      <c r="B1138" t="s">
        <v>2456</v>
      </c>
      <c r="C1138" t="s">
        <v>2446</v>
      </c>
      <c r="D1138" t="s">
        <v>31</v>
      </c>
      <c r="E1138" t="s">
        <v>2457</v>
      </c>
      <c r="F1138" t="s">
        <v>16</v>
      </c>
      <c r="G1138" t="s">
        <v>17</v>
      </c>
      <c r="H1138" t="s">
        <v>301</v>
      </c>
      <c r="I1138">
        <v>31</v>
      </c>
      <c r="J1138" t="s">
        <v>19</v>
      </c>
      <c r="K1138">
        <v>1</v>
      </c>
      <c r="L1138" t="str">
        <f>HYPERLINK("https://klesse.utsa.edu/faculty/profiles/millwater-harry.html","https://klesse.utsa.edu/faculty/profiles/millwater-harry.html")</f>
        <v>https://klesse.utsa.edu/faculty/profiles/millwater-harry.html</v>
      </c>
    </row>
    <row r="1139" spans="1:12" x14ac:dyDescent="0.3">
      <c r="A1139">
        <v>1082</v>
      </c>
      <c r="B1139" t="s">
        <v>2346</v>
      </c>
      <c r="C1139" t="s">
        <v>2334</v>
      </c>
      <c r="D1139" t="s">
        <v>161</v>
      </c>
      <c r="E1139" t="s">
        <v>2347</v>
      </c>
      <c r="F1139" t="s">
        <v>62</v>
      </c>
      <c r="G1139" t="s">
        <v>63</v>
      </c>
      <c r="H1139" t="s">
        <v>301</v>
      </c>
      <c r="I1139">
        <v>10</v>
      </c>
      <c r="J1139" t="s">
        <v>19</v>
      </c>
      <c r="K1139">
        <v>1</v>
      </c>
      <c r="L1139" t="str">
        <f>HYPERLINK("https://viterbi.usc.edu/directory/faculty/Ronney/Paul","https://viterbi.usc.edu/directory/faculty/Ronney/Paul")</f>
        <v>https://viterbi.usc.edu/directory/faculty/Ronney/Paul</v>
      </c>
    </row>
    <row r="1140" spans="1:12" hidden="1" x14ac:dyDescent="0.3">
      <c r="A1140">
        <v>1139</v>
      </c>
      <c r="B1140" t="s">
        <v>2460</v>
      </c>
      <c r="C1140" t="s">
        <v>2446</v>
      </c>
      <c r="D1140" t="s">
        <v>31</v>
      </c>
      <c r="E1140" t="s">
        <v>2461</v>
      </c>
      <c r="F1140" t="s">
        <v>16</v>
      </c>
      <c r="G1140" t="s">
        <v>17</v>
      </c>
      <c r="H1140" t="s">
        <v>124</v>
      </c>
      <c r="I1140">
        <v>17</v>
      </c>
      <c r="J1140" t="s">
        <v>19</v>
      </c>
      <c r="K1140">
        <v>1</v>
      </c>
      <c r="L1140" t="str">
        <f>HYPERLINK("https://klesse.utsa.edu/faculty/profiles/feng-yusheng.html","https://klesse.utsa.edu/faculty/profiles/feng-yusheng.html")</f>
        <v>https://klesse.utsa.edu/faculty/profiles/feng-yusheng.html</v>
      </c>
    </row>
    <row r="1141" spans="1:12" x14ac:dyDescent="0.3">
      <c r="A1141">
        <v>1084</v>
      </c>
      <c r="B1141" t="s">
        <v>2350</v>
      </c>
      <c r="C1141" t="s">
        <v>2334</v>
      </c>
      <c r="D1141" t="s">
        <v>161</v>
      </c>
      <c r="E1141" t="s">
        <v>2351</v>
      </c>
      <c r="F1141" t="s">
        <v>16</v>
      </c>
      <c r="G1141" t="s">
        <v>17</v>
      </c>
      <c r="H1141" t="s">
        <v>182</v>
      </c>
      <c r="I1141">
        <v>11</v>
      </c>
      <c r="J1141" t="s">
        <v>19</v>
      </c>
      <c r="K1141">
        <v>1</v>
      </c>
      <c r="L1141" t="str">
        <f>HYPERLINK("https://viterbi.usc.edu/directory/faculty/Pantano-Rubino/Carlos","https://viterbi.usc.edu/directory/faculty/Pantano-Rubino/Carlos")</f>
        <v>https://viterbi.usc.edu/directory/faculty/Pantano-Rubino/Carlos</v>
      </c>
    </row>
    <row r="1142" spans="1:12" hidden="1" x14ac:dyDescent="0.3">
      <c r="A1142">
        <v>1141</v>
      </c>
      <c r="B1142" t="s">
        <v>2464</v>
      </c>
      <c r="C1142" t="s">
        <v>2446</v>
      </c>
      <c r="D1142" t="s">
        <v>31</v>
      </c>
      <c r="E1142" t="s">
        <v>2465</v>
      </c>
      <c r="F1142" t="s">
        <v>22</v>
      </c>
      <c r="G1142" t="s">
        <v>23</v>
      </c>
      <c r="H1142" t="s">
        <v>172</v>
      </c>
      <c r="I1142">
        <v>2</v>
      </c>
      <c r="J1142" t="s">
        <v>19</v>
      </c>
      <c r="K1142">
        <v>1</v>
      </c>
      <c r="L1142" t="str">
        <f>HYPERLINK("https://sciences.utsa.edu/faculty/profiles/cao-weiming.html","https://sciences.utsa.edu/faculty/profiles/cao-weiming.html")</f>
        <v>https://sciences.utsa.edu/faculty/profiles/cao-weiming.html</v>
      </c>
    </row>
    <row r="1143" spans="1:12" hidden="1" x14ac:dyDescent="0.3">
      <c r="A1143">
        <v>1142</v>
      </c>
      <c r="B1143" t="s">
        <v>2466</v>
      </c>
      <c r="C1143" t="s">
        <v>2446</v>
      </c>
      <c r="D1143" t="s">
        <v>31</v>
      </c>
      <c r="E1143" t="s">
        <v>2467</v>
      </c>
      <c r="F1143" t="s">
        <v>22</v>
      </c>
      <c r="G1143" t="s">
        <v>23</v>
      </c>
      <c r="H1143" t="s">
        <v>273</v>
      </c>
      <c r="I1143">
        <v>0</v>
      </c>
      <c r="J1143" t="s">
        <v>19</v>
      </c>
      <c r="K1143">
        <v>1</v>
      </c>
      <c r="L1143" t="str">
        <f>HYPERLINK("https://sciences.utsa.edu/faculty/profiles/chen-fengxin.html","https://sciences.utsa.edu/faculty/profiles/chen-fengxin.html")</f>
        <v>https://sciences.utsa.edu/faculty/profiles/chen-fengxin.html</v>
      </c>
    </row>
    <row r="1144" spans="1:12" x14ac:dyDescent="0.3">
      <c r="A1144">
        <v>1085</v>
      </c>
      <c r="B1144" t="s">
        <v>2352</v>
      </c>
      <c r="C1144" t="s">
        <v>2334</v>
      </c>
      <c r="D1144" t="s">
        <v>271</v>
      </c>
      <c r="E1144" t="s">
        <v>2353</v>
      </c>
      <c r="F1144" t="s">
        <v>16</v>
      </c>
      <c r="G1144" t="s">
        <v>17</v>
      </c>
      <c r="H1144" t="s">
        <v>92</v>
      </c>
      <c r="I1144">
        <v>68</v>
      </c>
      <c r="J1144" t="s">
        <v>19</v>
      </c>
      <c r="K1144">
        <v>1</v>
      </c>
      <c r="L1144" t="str">
        <f>HYPERLINK("https://viterbi.usc.edu/directory/faculty/Jovanovic/Mihailo","https://viterbi.usc.edu/directory/faculty/Jovanovic/Mihailo")</f>
        <v>https://viterbi.usc.edu/directory/faculty/Jovanovic/Mihailo</v>
      </c>
    </row>
    <row r="1145" spans="1:12" x14ac:dyDescent="0.3">
      <c r="A1145">
        <v>1086</v>
      </c>
      <c r="B1145" t="s">
        <v>2354</v>
      </c>
      <c r="C1145" t="s">
        <v>2334</v>
      </c>
      <c r="D1145" t="s">
        <v>161</v>
      </c>
      <c r="E1145" t="s">
        <v>2355</v>
      </c>
      <c r="F1145" t="s">
        <v>62</v>
      </c>
      <c r="G1145" t="s">
        <v>63</v>
      </c>
      <c r="H1145" t="s">
        <v>75</v>
      </c>
      <c r="I1145">
        <v>93</v>
      </c>
      <c r="J1145" t="s">
        <v>19</v>
      </c>
      <c r="K1145">
        <v>1</v>
      </c>
      <c r="L1145" t="str">
        <f>HYPERLINK("https://viterbi.usc.edu/directory/faculty/Pahlevan/Niema","https://viterbi.usc.edu/directory/faculty/Pahlevan/Niema")</f>
        <v>https://viterbi.usc.edu/directory/faculty/Pahlevan/Niema</v>
      </c>
    </row>
    <row r="1146" spans="1:12" x14ac:dyDescent="0.3">
      <c r="A1146">
        <v>1087</v>
      </c>
      <c r="B1146" t="s">
        <v>2356</v>
      </c>
      <c r="C1146" t="s">
        <v>2334</v>
      </c>
      <c r="D1146" t="s">
        <v>161</v>
      </c>
      <c r="E1146" t="s">
        <v>2357</v>
      </c>
      <c r="F1146" t="s">
        <v>62</v>
      </c>
      <c r="G1146" t="s">
        <v>63</v>
      </c>
      <c r="H1146" t="s">
        <v>593</v>
      </c>
      <c r="I1146">
        <v>17</v>
      </c>
      <c r="J1146" t="s">
        <v>19</v>
      </c>
      <c r="K1146">
        <v>1</v>
      </c>
      <c r="L1146" t="str">
        <f>HYPERLINK("https://viterbi.usc.edu/directory/faculty/Puri/Ishwar","https://viterbi.usc.edu/directory/faculty/Puri/Ishwar")</f>
        <v>https://viterbi.usc.edu/directory/faculty/Puri/Ishwar</v>
      </c>
    </row>
    <row r="1147" spans="1:12" x14ac:dyDescent="0.3">
      <c r="A1147">
        <v>1088</v>
      </c>
      <c r="B1147" t="s">
        <v>2358</v>
      </c>
      <c r="C1147" t="s">
        <v>2334</v>
      </c>
      <c r="D1147" t="s">
        <v>161</v>
      </c>
      <c r="E1147" t="s">
        <v>2359</v>
      </c>
      <c r="F1147" t="s">
        <v>16</v>
      </c>
      <c r="G1147" t="s">
        <v>17</v>
      </c>
      <c r="H1147" t="s">
        <v>80</v>
      </c>
      <c r="I1147">
        <v>61</v>
      </c>
      <c r="J1147" t="s">
        <v>19</v>
      </c>
      <c r="K1147">
        <v>1</v>
      </c>
      <c r="L1147" t="str">
        <f>HYPERLINK("https://viterbi.usc.edu/directory/faculty/Ghanem/Roger","https://viterbi.usc.edu/directory/faculty/Ghanem/Roger")</f>
        <v>https://viterbi.usc.edu/directory/faculty/Ghanem/Roger</v>
      </c>
    </row>
    <row r="1148" spans="1:12" hidden="1" x14ac:dyDescent="0.3">
      <c r="A1148">
        <v>1147</v>
      </c>
      <c r="B1148" t="s">
        <v>2478</v>
      </c>
      <c r="C1148" t="s">
        <v>2469</v>
      </c>
      <c r="D1148" t="s">
        <v>31</v>
      </c>
      <c r="E1148" t="s">
        <v>2479</v>
      </c>
      <c r="F1148" t="s">
        <v>114</v>
      </c>
      <c r="G1148" t="s">
        <v>115</v>
      </c>
      <c r="H1148" t="s">
        <v>33</v>
      </c>
      <c r="I1148">
        <v>29</v>
      </c>
      <c r="J1148" t="s">
        <v>116</v>
      </c>
      <c r="K1148">
        <v>3</v>
      </c>
      <c r="L1148" t="str">
        <f>HYPERLINK("https://www.utoledo.edu/nsm/mathstats/faculty-staff/","https://www.utoledo.edu/nsm/mathstats/faculty-staff/")</f>
        <v>https://www.utoledo.edu/nsm/mathstats/faculty-staff/</v>
      </c>
    </row>
    <row r="1149" spans="1:12" hidden="1" x14ac:dyDescent="0.3">
      <c r="A1149">
        <v>1148</v>
      </c>
      <c r="B1149" t="s">
        <v>2480</v>
      </c>
      <c r="C1149" t="s">
        <v>2469</v>
      </c>
      <c r="D1149" t="s">
        <v>31</v>
      </c>
      <c r="E1149" t="s">
        <v>2481</v>
      </c>
      <c r="F1149" t="s">
        <v>114</v>
      </c>
      <c r="G1149" t="s">
        <v>115</v>
      </c>
      <c r="H1149" t="s">
        <v>159</v>
      </c>
      <c r="I1149">
        <v>7</v>
      </c>
      <c r="J1149" t="s">
        <v>116</v>
      </c>
      <c r="K1149">
        <v>3</v>
      </c>
      <c r="L1149" t="str">
        <f>HYPERLINK("https://www.utoledo.edu/nsm/mathstats/faculty-staff/","https://www.utoledo.edu/nsm/mathstats/faculty-staff/")</f>
        <v>https://www.utoledo.edu/nsm/mathstats/faculty-staff/</v>
      </c>
    </row>
    <row r="1150" spans="1:12" x14ac:dyDescent="0.3">
      <c r="A1150">
        <v>1089</v>
      </c>
      <c r="B1150" t="s">
        <v>2360</v>
      </c>
      <c r="C1150" t="s">
        <v>2334</v>
      </c>
      <c r="D1150" t="s">
        <v>161</v>
      </c>
      <c r="E1150" t="s">
        <v>2361</v>
      </c>
      <c r="F1150" t="s">
        <v>22</v>
      </c>
      <c r="G1150" t="s">
        <v>23</v>
      </c>
      <c r="H1150" t="s">
        <v>220</v>
      </c>
      <c r="I1150">
        <v>0</v>
      </c>
      <c r="J1150" t="s">
        <v>19</v>
      </c>
      <c r="K1150">
        <v>1</v>
      </c>
      <c r="L1150" t="str">
        <f>HYPERLINK("https://viterbi.usc.edu/directory/faculty/Wang/Joseph","https://viterbi.usc.edu/directory/faculty/Wang/Joseph")</f>
        <v>https://viterbi.usc.edu/directory/faculty/Wang/Joseph</v>
      </c>
    </row>
    <row r="1151" spans="1:12" x14ac:dyDescent="0.3">
      <c r="A1151">
        <v>1090</v>
      </c>
      <c r="B1151" t="s">
        <v>2362</v>
      </c>
      <c r="C1151" t="s">
        <v>2334</v>
      </c>
      <c r="D1151" t="s">
        <v>161</v>
      </c>
      <c r="E1151" t="s">
        <v>2363</v>
      </c>
      <c r="F1151" t="s">
        <v>16</v>
      </c>
      <c r="G1151" t="s">
        <v>17</v>
      </c>
      <c r="H1151" t="s">
        <v>1279</v>
      </c>
      <c r="I1151">
        <v>1</v>
      </c>
      <c r="J1151" t="s">
        <v>19</v>
      </c>
      <c r="K1151">
        <v>1</v>
      </c>
      <c r="L1151" t="str">
        <f>HYPERLINK("https://viterbi.usc.edu/directory/faculty/Erwin/Daniel","https://viterbi.usc.edu/directory/faculty/Erwin/Daniel")</f>
        <v>https://viterbi.usc.edu/directory/faculty/Erwin/Daniel</v>
      </c>
    </row>
    <row r="1152" spans="1:12" x14ac:dyDescent="0.3">
      <c r="A1152">
        <v>1093</v>
      </c>
      <c r="B1152" t="s">
        <v>2368</v>
      </c>
      <c r="C1152" t="s">
        <v>2334</v>
      </c>
      <c r="D1152" t="s">
        <v>271</v>
      </c>
      <c r="E1152" t="s">
        <v>2369</v>
      </c>
      <c r="F1152" t="s">
        <v>62</v>
      </c>
      <c r="G1152" t="s">
        <v>63</v>
      </c>
      <c r="H1152" t="s">
        <v>539</v>
      </c>
      <c r="I1152">
        <v>25</v>
      </c>
      <c r="J1152" t="s">
        <v>19</v>
      </c>
      <c r="K1152">
        <v>1</v>
      </c>
      <c r="L1152" t="str">
        <f>HYPERLINK("https://dornsife.usc.edu/profile/paul-newton/","https://dornsife.usc.edu/profile/paul-newton/")</f>
        <v>https://dornsife.usc.edu/profile/paul-newton/</v>
      </c>
    </row>
    <row r="1153" spans="1:12" x14ac:dyDescent="0.3">
      <c r="A1153">
        <v>1098</v>
      </c>
      <c r="B1153" t="s">
        <v>2377</v>
      </c>
      <c r="C1153" t="s">
        <v>2373</v>
      </c>
      <c r="D1153" t="s">
        <v>161</v>
      </c>
      <c r="E1153" t="s">
        <v>2378</v>
      </c>
      <c r="F1153" t="s">
        <v>83</v>
      </c>
      <c r="G1153" t="s">
        <v>84</v>
      </c>
      <c r="H1153" t="s">
        <v>124</v>
      </c>
      <c r="I1153">
        <v>10</v>
      </c>
      <c r="J1153" t="s">
        <v>19</v>
      </c>
      <c r="K1153">
        <v>1</v>
      </c>
      <c r="L1153" t="str">
        <f>HYPERLINK("https://tickle.utk.edu/mae/faculty/trevor-moeller/","https://tickle.utk.edu/mae/faculty/trevor-moeller/")</f>
        <v>https://tickle.utk.edu/mae/faculty/trevor-moeller/</v>
      </c>
    </row>
    <row r="1154" spans="1:12" hidden="1" x14ac:dyDescent="0.3">
      <c r="A1154">
        <v>1153</v>
      </c>
      <c r="B1154" t="s">
        <v>2491</v>
      </c>
      <c r="C1154" t="s">
        <v>2483</v>
      </c>
      <c r="D1154" t="s">
        <v>31</v>
      </c>
      <c r="E1154" t="s">
        <v>2492</v>
      </c>
      <c r="F1154" t="s">
        <v>27</v>
      </c>
      <c r="G1154" t="s">
        <v>28</v>
      </c>
      <c r="H1154" t="s">
        <v>140</v>
      </c>
      <c r="I1154">
        <v>70</v>
      </c>
      <c r="J1154" t="s">
        <v>19</v>
      </c>
      <c r="K1154">
        <v>1</v>
      </c>
      <c r="L1154" t="str">
        <f>HYPERLINK("https://www.math.utah.edu/people/faculty.php","https://www.math.utah.edu/people/faculty.php")</f>
        <v>https://www.math.utah.edu/people/faculty.php</v>
      </c>
    </row>
    <row r="1155" spans="1:12" hidden="1" x14ac:dyDescent="0.3">
      <c r="A1155">
        <v>1154</v>
      </c>
      <c r="B1155" t="s">
        <v>2493</v>
      </c>
      <c r="C1155" t="s">
        <v>2483</v>
      </c>
      <c r="D1155" t="s">
        <v>31</v>
      </c>
      <c r="E1155" t="s">
        <v>2494</v>
      </c>
      <c r="F1155" t="s">
        <v>27</v>
      </c>
      <c r="G1155" t="s">
        <v>28</v>
      </c>
      <c r="H1155" t="s">
        <v>225</v>
      </c>
      <c r="I1155">
        <v>19</v>
      </c>
      <c r="J1155" t="s">
        <v>19</v>
      </c>
      <c r="K1155">
        <v>1</v>
      </c>
      <c r="L1155" t="str">
        <f>HYPERLINK("https://www.math.utah.edu/people/faculty.php","https://www.math.utah.edu/people/faculty.php")</f>
        <v>https://www.math.utah.edu/people/faculty.php</v>
      </c>
    </row>
    <row r="1156" spans="1:12" hidden="1" x14ac:dyDescent="0.3">
      <c r="A1156">
        <v>1155</v>
      </c>
      <c r="B1156" t="s">
        <v>2495</v>
      </c>
      <c r="C1156" t="s">
        <v>2483</v>
      </c>
      <c r="D1156" t="s">
        <v>31</v>
      </c>
      <c r="E1156" t="s">
        <v>2496</v>
      </c>
      <c r="F1156" t="s">
        <v>27</v>
      </c>
      <c r="G1156" t="s">
        <v>28</v>
      </c>
      <c r="H1156" t="s">
        <v>24</v>
      </c>
      <c r="I1156">
        <v>33</v>
      </c>
      <c r="J1156" t="s">
        <v>19</v>
      </c>
      <c r="K1156">
        <v>1</v>
      </c>
      <c r="L1156" t="str">
        <f>HYPERLINK("https://www.math.utah.edu/people/faculty.php","https://www.math.utah.edu/people/faculty.php")</f>
        <v>https://www.math.utah.edu/people/faculty.php</v>
      </c>
    </row>
    <row r="1157" spans="1:12" hidden="1" x14ac:dyDescent="0.3">
      <c r="A1157">
        <v>1156</v>
      </c>
      <c r="B1157" t="s">
        <v>2497</v>
      </c>
      <c r="C1157" t="s">
        <v>2483</v>
      </c>
      <c r="D1157" t="s">
        <v>31</v>
      </c>
      <c r="E1157" t="s">
        <v>2498</v>
      </c>
      <c r="F1157" t="s">
        <v>27</v>
      </c>
      <c r="G1157" t="s">
        <v>28</v>
      </c>
      <c r="H1157" t="s">
        <v>33</v>
      </c>
      <c r="I1157">
        <v>23</v>
      </c>
      <c r="J1157" t="s">
        <v>19</v>
      </c>
      <c r="K1157">
        <v>1</v>
      </c>
      <c r="L1157" t="str">
        <f>HYPERLINK("https://www.math.utah.edu/people/faculty.php","https://www.math.utah.edu/people/faculty.php")</f>
        <v>https://www.math.utah.edu/people/faculty.php</v>
      </c>
    </row>
    <row r="1158" spans="1:12" hidden="1" x14ac:dyDescent="0.3">
      <c r="A1158">
        <v>1157</v>
      </c>
      <c r="B1158" t="s">
        <v>2499</v>
      </c>
      <c r="C1158" t="s">
        <v>2483</v>
      </c>
      <c r="D1158" t="s">
        <v>31</v>
      </c>
      <c r="E1158" t="s">
        <v>2500</v>
      </c>
      <c r="F1158" t="s">
        <v>27</v>
      </c>
      <c r="G1158" t="s">
        <v>28</v>
      </c>
      <c r="H1158" t="s">
        <v>225</v>
      </c>
      <c r="I1158">
        <v>38</v>
      </c>
      <c r="J1158" t="s">
        <v>19</v>
      </c>
      <c r="K1158">
        <v>1</v>
      </c>
      <c r="L1158" t="str">
        <f>HYPERLINK("https://www.math.utah.edu/people/faculty.php","https://www.math.utah.edu/people/faculty.php")</f>
        <v>https://www.math.utah.edu/people/faculty.php</v>
      </c>
    </row>
    <row r="1159" spans="1:12" x14ac:dyDescent="0.3">
      <c r="A1159">
        <v>1117</v>
      </c>
      <c r="B1159" t="s">
        <v>2414</v>
      </c>
      <c r="C1159" t="s">
        <v>2415</v>
      </c>
      <c r="D1159" t="s">
        <v>14</v>
      </c>
      <c r="E1159" t="s">
        <v>57</v>
      </c>
      <c r="F1159" t="s">
        <v>16</v>
      </c>
      <c r="G1159" t="s">
        <v>17</v>
      </c>
      <c r="H1159" t="s">
        <v>58</v>
      </c>
      <c r="I1159">
        <v>0</v>
      </c>
      <c r="J1159" t="s">
        <v>19</v>
      </c>
      <c r="K1159">
        <v>1</v>
      </c>
      <c r="L1159" t="str">
        <f>HYPERLINK("https://me.utdallas.edu/faculty/william-anderson/","https://me.utdallas.edu/faculty/william-anderson/")</f>
        <v>https://me.utdallas.edu/faculty/william-anderson/</v>
      </c>
    </row>
    <row r="1160" spans="1:12" x14ac:dyDescent="0.3">
      <c r="A1160">
        <v>1118</v>
      </c>
      <c r="B1160" t="s">
        <v>2416</v>
      </c>
      <c r="C1160" t="s">
        <v>2415</v>
      </c>
      <c r="D1160" t="s">
        <v>14</v>
      </c>
      <c r="E1160" t="s">
        <v>2417</v>
      </c>
      <c r="F1160" t="s">
        <v>16</v>
      </c>
      <c r="G1160" t="s">
        <v>17</v>
      </c>
      <c r="H1160" t="s">
        <v>213</v>
      </c>
      <c r="I1160">
        <v>41</v>
      </c>
      <c r="J1160" t="s">
        <v>19</v>
      </c>
      <c r="K1160">
        <v>1</v>
      </c>
      <c r="L1160" t="str">
        <f>HYPERLINK("https://me.utdallas.edu/faculty/stefano-leonardi/","https://me.utdallas.edu/faculty/stefano-leonardi/")</f>
        <v>https://me.utdallas.edu/faculty/stefano-leonardi/</v>
      </c>
    </row>
    <row r="1161" spans="1:12" x14ac:dyDescent="0.3">
      <c r="A1161">
        <v>1119</v>
      </c>
      <c r="B1161" t="s">
        <v>2418</v>
      </c>
      <c r="C1161" t="s">
        <v>2415</v>
      </c>
      <c r="D1161" t="s">
        <v>14</v>
      </c>
      <c r="E1161" t="s">
        <v>2419</v>
      </c>
      <c r="F1161" t="s">
        <v>22</v>
      </c>
      <c r="G1161" t="s">
        <v>23</v>
      </c>
      <c r="H1161" t="s">
        <v>225</v>
      </c>
      <c r="I1161">
        <v>39</v>
      </c>
      <c r="J1161" t="s">
        <v>19</v>
      </c>
      <c r="K1161">
        <v>1</v>
      </c>
      <c r="L1161" t="str">
        <f>HYPERLINK("https://me.utdallas.edu/faculty/giacomo-valerio-iungo/","https://me.utdallas.edu/faculty/giacomo-valerio-iungo/")</f>
        <v>https://me.utdallas.edu/faculty/giacomo-valerio-iungo/</v>
      </c>
    </row>
    <row r="1162" spans="1:12" x14ac:dyDescent="0.3">
      <c r="A1162">
        <v>1120</v>
      </c>
      <c r="B1162" t="s">
        <v>2420</v>
      </c>
      <c r="C1162" t="s">
        <v>2415</v>
      </c>
      <c r="D1162" t="s">
        <v>14</v>
      </c>
      <c r="E1162" t="s">
        <v>2421</v>
      </c>
      <c r="F1162" t="s">
        <v>62</v>
      </c>
      <c r="G1162" t="s">
        <v>63</v>
      </c>
      <c r="H1162" t="s">
        <v>64</v>
      </c>
      <c r="I1162">
        <v>8</v>
      </c>
      <c r="J1162" t="s">
        <v>19</v>
      </c>
      <c r="K1162">
        <v>1</v>
      </c>
      <c r="L1162" t="str">
        <f>HYPERLINK("https://me.utdallas.edu/faculty/kianoosh-yousefi/","https://me.utdallas.edu/faculty/kianoosh-yousefi/")</f>
        <v>https://me.utdallas.edu/faculty/kianoosh-yousefi/</v>
      </c>
    </row>
    <row r="1163" spans="1:12" x14ac:dyDescent="0.3">
      <c r="A1163">
        <v>1121</v>
      </c>
      <c r="B1163" t="s">
        <v>2422</v>
      </c>
      <c r="C1163" t="s">
        <v>2415</v>
      </c>
      <c r="D1163" t="s">
        <v>14</v>
      </c>
      <c r="E1163" t="s">
        <v>2423</v>
      </c>
      <c r="F1163" t="s">
        <v>62</v>
      </c>
      <c r="G1163" t="s">
        <v>63</v>
      </c>
      <c r="H1163" t="s">
        <v>495</v>
      </c>
      <c r="I1163">
        <v>39</v>
      </c>
      <c r="J1163" t="s">
        <v>19</v>
      </c>
      <c r="K1163">
        <v>1</v>
      </c>
      <c r="L1163" t="str">
        <f>HYPERLINK("https://me.utdallas.edu/faculty/","https://me.utdallas.edu/faculty/")</f>
        <v>https://me.utdallas.edu/faculty/</v>
      </c>
    </row>
    <row r="1164" spans="1:12" x14ac:dyDescent="0.3">
      <c r="A1164">
        <v>1124</v>
      </c>
      <c r="B1164" t="s">
        <v>2428</v>
      </c>
      <c r="C1164" t="s">
        <v>2415</v>
      </c>
      <c r="D1164" t="s">
        <v>14</v>
      </c>
      <c r="E1164" t="s">
        <v>2429</v>
      </c>
      <c r="F1164" t="s">
        <v>62</v>
      </c>
      <c r="G1164" t="s">
        <v>63</v>
      </c>
      <c r="H1164" t="s">
        <v>1664</v>
      </c>
      <c r="I1164">
        <v>38</v>
      </c>
      <c r="J1164" t="s">
        <v>19</v>
      </c>
      <c r="K1164">
        <v>1</v>
      </c>
      <c r="L1164" t="str">
        <f>HYPERLINK("https://me.utdallas.edu/faculty/","https://me.utdallas.edu/faculty/")</f>
        <v>https://me.utdallas.edu/faculty/</v>
      </c>
    </row>
    <row r="1165" spans="1:12" x14ac:dyDescent="0.3">
      <c r="A1165">
        <v>1125</v>
      </c>
      <c r="B1165" t="s">
        <v>2430</v>
      </c>
      <c r="C1165" t="s">
        <v>2431</v>
      </c>
      <c r="D1165" t="s">
        <v>161</v>
      </c>
      <c r="E1165" t="s">
        <v>2432</v>
      </c>
      <c r="F1165" t="s">
        <v>62</v>
      </c>
      <c r="G1165" t="s">
        <v>63</v>
      </c>
      <c r="H1165" t="s">
        <v>33</v>
      </c>
      <c r="I1165">
        <v>41</v>
      </c>
      <c r="J1165" t="s">
        <v>19</v>
      </c>
      <c r="K1165">
        <v>1</v>
      </c>
      <c r="L1165" t="str">
        <f>HYPERLINK("https://www.utep.edu/engineering/mechanical/people/faculty.html","https://www.utep.edu/engineering/mechanical/people/faculty.html")</f>
        <v>https://www.utep.edu/engineering/mechanical/people/faculty.html</v>
      </c>
    </row>
    <row r="1166" spans="1:12" x14ac:dyDescent="0.3">
      <c r="A1166">
        <v>1127</v>
      </c>
      <c r="B1166" t="s">
        <v>2435</v>
      </c>
      <c r="C1166" t="s">
        <v>2431</v>
      </c>
      <c r="D1166" t="s">
        <v>14</v>
      </c>
      <c r="E1166" t="s">
        <v>2436</v>
      </c>
      <c r="F1166" t="s">
        <v>16</v>
      </c>
      <c r="G1166" t="s">
        <v>17</v>
      </c>
      <c r="H1166" t="s">
        <v>104</v>
      </c>
      <c r="I1166">
        <v>28</v>
      </c>
      <c r="J1166" t="s">
        <v>19</v>
      </c>
      <c r="K1166">
        <v>1</v>
      </c>
      <c r="L1166" t="str">
        <f>HYPERLINK("https://expertise.utep.edu/node/24849","https://expertise.utep.edu/node/24849")</f>
        <v>https://expertise.utep.edu/node/24849</v>
      </c>
    </row>
    <row r="1167" spans="1:12" x14ac:dyDescent="0.3">
      <c r="A1167">
        <v>1128</v>
      </c>
      <c r="B1167" t="s">
        <v>2437</v>
      </c>
      <c r="C1167" t="s">
        <v>2431</v>
      </c>
      <c r="D1167" t="s">
        <v>14</v>
      </c>
      <c r="E1167" t="s">
        <v>2438</v>
      </c>
      <c r="F1167" t="s">
        <v>62</v>
      </c>
      <c r="G1167" t="s">
        <v>63</v>
      </c>
      <c r="H1167" t="s">
        <v>75</v>
      </c>
      <c r="I1167">
        <v>20</v>
      </c>
      <c r="J1167" t="s">
        <v>19</v>
      </c>
      <c r="K1167">
        <v>1</v>
      </c>
      <c r="L1167" t="str">
        <f>HYPERLINK("https://www.utep.edu/engineering/mechanical/people/faculty.html","https://www.utep.edu/engineering/mechanical/people/faculty.html")</f>
        <v>https://www.utep.edu/engineering/mechanical/people/faculty.html</v>
      </c>
    </row>
    <row r="1168" spans="1:12" x14ac:dyDescent="0.3">
      <c r="A1168">
        <v>1132</v>
      </c>
      <c r="B1168" t="s">
        <v>2445</v>
      </c>
      <c r="C1168" t="s">
        <v>2446</v>
      </c>
      <c r="D1168" t="s">
        <v>161</v>
      </c>
      <c r="E1168" t="s">
        <v>2447</v>
      </c>
      <c r="F1168" t="s">
        <v>16</v>
      </c>
      <c r="G1168" t="s">
        <v>17</v>
      </c>
      <c r="H1168" t="s">
        <v>357</v>
      </c>
      <c r="I1168">
        <v>38</v>
      </c>
      <c r="J1168" t="s">
        <v>19</v>
      </c>
      <c r="K1168">
        <v>1</v>
      </c>
      <c r="L1168" t="str">
        <f>HYPERLINK("https://klesse.utsa.edu/faculty/profiles/combs-christopher.html","https://klesse.utsa.edu/faculty/profiles/combs-christopher.html")</f>
        <v>https://klesse.utsa.edu/faculty/profiles/combs-christopher.html</v>
      </c>
    </row>
    <row r="1169" spans="1:12" hidden="1" x14ac:dyDescent="0.3">
      <c r="A1169">
        <v>1168</v>
      </c>
      <c r="B1169" t="s">
        <v>2522</v>
      </c>
      <c r="C1169" t="s">
        <v>2517</v>
      </c>
      <c r="D1169" t="s">
        <v>31</v>
      </c>
      <c r="E1169" t="s">
        <v>2523</v>
      </c>
      <c r="F1169" t="s">
        <v>62</v>
      </c>
      <c r="G1169" t="s">
        <v>63</v>
      </c>
      <c r="H1169" t="s">
        <v>92</v>
      </c>
      <c r="I1169">
        <v>7</v>
      </c>
      <c r="J1169" t="s">
        <v>19</v>
      </c>
      <c r="K1169">
        <v>1</v>
      </c>
      <c r="L1169" t="str">
        <f>HYPERLINK("https://www.aa.washington.edu/facultyfinder/bhuvana-srinivasan","https://www.aa.washington.edu/facultyfinder/bhuvana-srinivasan")</f>
        <v>https://www.aa.washington.edu/facultyfinder/bhuvana-srinivasan</v>
      </c>
    </row>
    <row r="1170" spans="1:12" x14ac:dyDescent="0.3">
      <c r="A1170">
        <v>1133</v>
      </c>
      <c r="B1170" t="s">
        <v>2448</v>
      </c>
      <c r="C1170" t="s">
        <v>2446</v>
      </c>
      <c r="D1170" t="s">
        <v>161</v>
      </c>
      <c r="E1170" t="s">
        <v>2449</v>
      </c>
      <c r="F1170" t="s">
        <v>22</v>
      </c>
      <c r="G1170" t="s">
        <v>23</v>
      </c>
      <c r="H1170" t="s">
        <v>225</v>
      </c>
      <c r="I1170">
        <v>40</v>
      </c>
      <c r="J1170" t="s">
        <v>19</v>
      </c>
      <c r="K1170">
        <v>1</v>
      </c>
      <c r="L1170" t="str">
        <f>HYPERLINK("https://klesse.utsa.edu/faculty/profiles/araya-guillermo.html","https://klesse.utsa.edu/faculty/profiles/araya-guillermo.html")</f>
        <v>https://klesse.utsa.edu/faculty/profiles/araya-guillermo.html</v>
      </c>
    </row>
    <row r="1171" spans="1:12" x14ac:dyDescent="0.3">
      <c r="A1171">
        <v>1134</v>
      </c>
      <c r="B1171" t="s">
        <v>2450</v>
      </c>
      <c r="C1171" t="s">
        <v>2446</v>
      </c>
      <c r="D1171" t="s">
        <v>161</v>
      </c>
      <c r="E1171" t="s">
        <v>2451</v>
      </c>
      <c r="F1171" t="s">
        <v>16</v>
      </c>
      <c r="G1171" t="s">
        <v>17</v>
      </c>
      <c r="H1171" t="s">
        <v>50</v>
      </c>
      <c r="I1171">
        <v>24</v>
      </c>
      <c r="J1171" t="s">
        <v>19</v>
      </c>
      <c r="K1171">
        <v>1</v>
      </c>
      <c r="L1171" t="str">
        <f>HYPERLINK("https://klesse.utsa.edu/faculty/profiles/bhaganagar-kiran.html","https://klesse.utsa.edu/faculty/profiles/bhaganagar-kiran.html")</f>
        <v>https://klesse.utsa.edu/faculty/profiles/bhaganagar-kiran.html</v>
      </c>
    </row>
    <row r="1172" spans="1:12" x14ac:dyDescent="0.3">
      <c r="A1172">
        <v>1135</v>
      </c>
      <c r="B1172" t="s">
        <v>2452</v>
      </c>
      <c r="C1172" t="s">
        <v>2446</v>
      </c>
      <c r="D1172" t="s">
        <v>161</v>
      </c>
      <c r="E1172" t="s">
        <v>2453</v>
      </c>
      <c r="F1172" t="s">
        <v>22</v>
      </c>
      <c r="G1172" t="s">
        <v>23</v>
      </c>
      <c r="H1172" t="s">
        <v>406</v>
      </c>
      <c r="I1172">
        <v>24</v>
      </c>
      <c r="J1172" t="s">
        <v>19</v>
      </c>
      <c r="K1172">
        <v>1</v>
      </c>
      <c r="L1172" t="str">
        <f>HYPERLINK("https://klesse.utsa.edu/faculty/profiles/pineda-daniel.html","https://klesse.utsa.edu/faculty/profiles/pineda-daniel.html")</f>
        <v>https://klesse.utsa.edu/faculty/profiles/pineda-daniel.html</v>
      </c>
    </row>
    <row r="1173" spans="1:12" x14ac:dyDescent="0.3">
      <c r="A1173">
        <v>1136</v>
      </c>
      <c r="B1173" t="s">
        <v>2454</v>
      </c>
      <c r="C1173" t="s">
        <v>2446</v>
      </c>
      <c r="D1173" t="s">
        <v>161</v>
      </c>
      <c r="E1173" t="s">
        <v>2455</v>
      </c>
      <c r="F1173" t="s">
        <v>22</v>
      </c>
      <c r="G1173" t="s">
        <v>23</v>
      </c>
      <c r="H1173" t="s">
        <v>182</v>
      </c>
      <c r="I1173">
        <v>1</v>
      </c>
      <c r="J1173" t="s">
        <v>19</v>
      </c>
      <c r="K1173">
        <v>1</v>
      </c>
      <c r="L1173" t="str">
        <f>HYPERLINK("https://klesse.utsa.edu/faculty/profiles/feng-zhi-gang.html","https://klesse.utsa.edu/faculty/profiles/feng-zhi-gang.html")</f>
        <v>https://klesse.utsa.edu/faculty/profiles/feng-zhi-gang.html</v>
      </c>
    </row>
    <row r="1174" spans="1:12" x14ac:dyDescent="0.3">
      <c r="A1174">
        <v>1138</v>
      </c>
      <c r="B1174" t="s">
        <v>2458</v>
      </c>
      <c r="C1174" t="s">
        <v>2446</v>
      </c>
      <c r="D1174" t="s">
        <v>161</v>
      </c>
      <c r="E1174" t="s">
        <v>2459</v>
      </c>
      <c r="F1174" t="s">
        <v>16</v>
      </c>
      <c r="G1174" t="s">
        <v>17</v>
      </c>
      <c r="H1174" t="s">
        <v>42</v>
      </c>
      <c r="I1174">
        <v>15</v>
      </c>
      <c r="J1174" t="s">
        <v>19</v>
      </c>
      <c r="K1174">
        <v>1</v>
      </c>
      <c r="L1174" t="str">
        <f>HYPERLINK("https://klesse.utsa.edu/faculty/profiles/han-hai-chao.html","https://klesse.utsa.edu/faculty/profiles/han-hai-chao.html")</f>
        <v>https://klesse.utsa.edu/faculty/profiles/han-hai-chao.html</v>
      </c>
    </row>
    <row r="1175" spans="1:12" x14ac:dyDescent="0.3">
      <c r="A1175">
        <v>1140</v>
      </c>
      <c r="B1175" t="s">
        <v>2462</v>
      </c>
      <c r="C1175" t="s">
        <v>2446</v>
      </c>
      <c r="D1175" t="s">
        <v>161</v>
      </c>
      <c r="E1175" t="s">
        <v>2463</v>
      </c>
      <c r="F1175" t="s">
        <v>16</v>
      </c>
      <c r="G1175" t="s">
        <v>17</v>
      </c>
      <c r="H1175" t="s">
        <v>273</v>
      </c>
      <c r="I1175">
        <v>15</v>
      </c>
      <c r="J1175" t="s">
        <v>19</v>
      </c>
      <c r="K1175">
        <v>1</v>
      </c>
      <c r="L1175" t="str">
        <f>HYPERLINK("https://klesse.utsa.edu/faculty/profiles/testik-firat.html","https://klesse.utsa.edu/faculty/profiles/testik-firat.html")</f>
        <v>https://klesse.utsa.edu/faculty/profiles/testik-firat.html</v>
      </c>
    </row>
    <row r="1176" spans="1:12" x14ac:dyDescent="0.3">
      <c r="A1176">
        <v>1143</v>
      </c>
      <c r="B1176" t="s">
        <v>2468</v>
      </c>
      <c r="C1176" t="s">
        <v>2469</v>
      </c>
      <c r="D1176" t="s">
        <v>14</v>
      </c>
      <c r="E1176" t="s">
        <v>2470</v>
      </c>
      <c r="F1176" t="s">
        <v>16</v>
      </c>
      <c r="G1176" t="s">
        <v>17</v>
      </c>
      <c r="H1176" t="s">
        <v>2471</v>
      </c>
      <c r="I1176">
        <v>4</v>
      </c>
      <c r="J1176" t="s">
        <v>19</v>
      </c>
      <c r="K1176">
        <v>1</v>
      </c>
      <c r="L1176" t="str">
        <f>HYPERLINK("https://www.utoledo.edu/engineering/mechanical-industrial-manufacturing-engineering/people/hixon.html","https://www.utoledo.edu/engineering/mechanical-industrial-manufacturing-engineering/people/hixon.html")</f>
        <v>https://www.utoledo.edu/engineering/mechanical-industrial-manufacturing-engineering/people/hixon.html</v>
      </c>
    </row>
    <row r="1177" spans="1:12" x14ac:dyDescent="0.3">
      <c r="A1177">
        <v>1144</v>
      </c>
      <c r="B1177" t="s">
        <v>2472</v>
      </c>
      <c r="C1177" t="s">
        <v>2469</v>
      </c>
      <c r="D1177" t="s">
        <v>14</v>
      </c>
      <c r="E1177" t="s">
        <v>2473</v>
      </c>
      <c r="F1177" t="s">
        <v>62</v>
      </c>
      <c r="G1177" t="s">
        <v>63</v>
      </c>
      <c r="H1177" t="s">
        <v>225</v>
      </c>
      <c r="I1177">
        <v>15</v>
      </c>
      <c r="J1177" t="s">
        <v>19</v>
      </c>
      <c r="K1177">
        <v>1</v>
      </c>
      <c r="L1177" t="str">
        <f>HYPERLINK("https://www.utoledo.edu/engineering/mechanical-industrial-manufacturing-engineering/people/Amili.html","https://www.utoledo.edu/engineering/mechanical-industrial-manufacturing-engineering/people/Amili.html")</f>
        <v>https://www.utoledo.edu/engineering/mechanical-industrial-manufacturing-engineering/people/Amili.html</v>
      </c>
    </row>
    <row r="1178" spans="1:12" hidden="1" x14ac:dyDescent="0.3">
      <c r="A1178">
        <v>1177</v>
      </c>
      <c r="B1178" t="s">
        <v>2538</v>
      </c>
      <c r="C1178" t="s">
        <v>2517</v>
      </c>
      <c r="D1178" t="s">
        <v>31</v>
      </c>
      <c r="E1178" t="s">
        <v>2539</v>
      </c>
      <c r="F1178" t="s">
        <v>191</v>
      </c>
      <c r="G1178" t="s">
        <v>192</v>
      </c>
      <c r="H1178" t="s">
        <v>18</v>
      </c>
      <c r="I1178">
        <v>15</v>
      </c>
      <c r="J1178" t="s">
        <v>154</v>
      </c>
      <c r="K1178">
        <v>3</v>
      </c>
      <c r="L1178" t="str">
        <f>HYPERLINK("https://amath.washington.edu/people/bernard-deconinck","https://amath.washington.edu/people/bernard-deconinck")</f>
        <v>https://amath.washington.edu/people/bernard-deconinck</v>
      </c>
    </row>
    <row r="1179" spans="1:12" hidden="1" x14ac:dyDescent="0.3">
      <c r="A1179">
        <v>1178</v>
      </c>
      <c r="B1179" t="s">
        <v>2540</v>
      </c>
      <c r="C1179" t="s">
        <v>2517</v>
      </c>
      <c r="D1179" t="s">
        <v>31</v>
      </c>
      <c r="E1179" t="s">
        <v>2541</v>
      </c>
      <c r="F1179" t="s">
        <v>16</v>
      </c>
      <c r="G1179" t="s">
        <v>17</v>
      </c>
      <c r="H1179" t="s">
        <v>213</v>
      </c>
      <c r="I1179">
        <v>147</v>
      </c>
      <c r="J1179" t="s">
        <v>19</v>
      </c>
      <c r="K1179">
        <v>1</v>
      </c>
      <c r="L1179" t="str">
        <f>HYPERLINK("https://amath.washington.edu/people/j-nathan-kutz","https://amath.washington.edu/people/j-nathan-kutz")</f>
        <v>https://amath.washington.edu/people/j-nathan-kutz</v>
      </c>
    </row>
    <row r="1180" spans="1:12" hidden="1" x14ac:dyDescent="0.3">
      <c r="A1180">
        <v>1179</v>
      </c>
      <c r="B1180" t="s">
        <v>2542</v>
      </c>
      <c r="C1180" t="s">
        <v>2517</v>
      </c>
      <c r="D1180" t="s">
        <v>31</v>
      </c>
      <c r="E1180" t="s">
        <v>2543</v>
      </c>
      <c r="F1180" t="s">
        <v>191</v>
      </c>
      <c r="G1180" t="s">
        <v>192</v>
      </c>
      <c r="H1180" t="s">
        <v>159</v>
      </c>
      <c r="I1180">
        <v>30</v>
      </c>
      <c r="J1180" t="s">
        <v>154</v>
      </c>
      <c r="K1180">
        <v>3</v>
      </c>
      <c r="L1180" t="str">
        <f>HYPERLINK("https://amath.washington.edu/people/jingwei-hu","https://amath.washington.edu/people/jingwei-hu")</f>
        <v>https://amath.washington.edu/people/jingwei-hu</v>
      </c>
    </row>
    <row r="1181" spans="1:12" x14ac:dyDescent="0.3">
      <c r="A1181">
        <v>1145</v>
      </c>
      <c r="B1181" t="s">
        <v>2474</v>
      </c>
      <c r="C1181" t="s">
        <v>2469</v>
      </c>
      <c r="D1181" t="s">
        <v>14</v>
      </c>
      <c r="E1181" t="s">
        <v>2475</v>
      </c>
      <c r="F1181" t="s">
        <v>62</v>
      </c>
      <c r="G1181" t="s">
        <v>63</v>
      </c>
      <c r="H1181" t="s">
        <v>75</v>
      </c>
      <c r="I1181">
        <v>2</v>
      </c>
      <c r="J1181" t="s">
        <v>19</v>
      </c>
      <c r="K1181">
        <v>1</v>
      </c>
      <c r="L1181" t="str">
        <f>HYPERLINK("https://www.utoledo.edu/engineering/mechanical-industrial-manufacturing-engineering/people/choueiri.html","https://www.utoledo.edu/engineering/mechanical-industrial-manufacturing-engineering/people/choueiri.html")</f>
        <v>https://www.utoledo.edu/engineering/mechanical-industrial-manufacturing-engineering/people/choueiri.html</v>
      </c>
    </row>
    <row r="1182" spans="1:12" x14ac:dyDescent="0.3">
      <c r="A1182">
        <v>1146</v>
      </c>
      <c r="B1182" t="s">
        <v>2476</v>
      </c>
      <c r="C1182" t="s">
        <v>2469</v>
      </c>
      <c r="D1182" t="s">
        <v>14</v>
      </c>
      <c r="E1182" t="s">
        <v>2477</v>
      </c>
      <c r="F1182" t="s">
        <v>62</v>
      </c>
      <c r="G1182" t="s">
        <v>63</v>
      </c>
      <c r="H1182" t="s">
        <v>36</v>
      </c>
      <c r="I1182">
        <v>10</v>
      </c>
      <c r="J1182" t="s">
        <v>19</v>
      </c>
      <c r="K1182">
        <v>1</v>
      </c>
      <c r="L1182" t="str">
        <f>HYPERLINK("https://www.utoledo.edu/engineering/engineering-technology/people/qiuying-zhao.html","https://www.utoledo.edu/engineering/engineering-technology/people/qiuying-zhao.html")</f>
        <v>https://www.utoledo.edu/engineering/engineering-technology/people/qiuying-zhao.html</v>
      </c>
    </row>
    <row r="1183" spans="1:12" x14ac:dyDescent="0.3">
      <c r="A1183">
        <v>1149</v>
      </c>
      <c r="B1183" t="s">
        <v>2482</v>
      </c>
      <c r="C1183" t="s">
        <v>2483</v>
      </c>
      <c r="D1183" t="s">
        <v>14</v>
      </c>
      <c r="E1183" t="s">
        <v>2484</v>
      </c>
      <c r="F1183" t="s">
        <v>16</v>
      </c>
      <c r="G1183" t="s">
        <v>17</v>
      </c>
      <c r="H1183" t="s">
        <v>146</v>
      </c>
      <c r="I1183">
        <v>23</v>
      </c>
      <c r="J1183" t="s">
        <v>19</v>
      </c>
      <c r="K1183">
        <v>1</v>
      </c>
      <c r="L1183" t="str">
        <f>HYPERLINK("https://www.mech.utah.edu/directory/faculty/rob-stoll/","https://www.mech.utah.edu/directory/faculty/rob-stoll/")</f>
        <v>https://www.mech.utah.edu/directory/faculty/rob-stoll/</v>
      </c>
    </row>
    <row r="1184" spans="1:12" x14ac:dyDescent="0.3">
      <c r="A1184">
        <v>1150</v>
      </c>
      <c r="B1184" t="s">
        <v>2485</v>
      </c>
      <c r="C1184" t="s">
        <v>2483</v>
      </c>
      <c r="D1184" t="s">
        <v>14</v>
      </c>
      <c r="E1184" t="s">
        <v>2486</v>
      </c>
      <c r="F1184" t="s">
        <v>62</v>
      </c>
      <c r="G1184" t="s">
        <v>63</v>
      </c>
      <c r="H1184" t="s">
        <v>67</v>
      </c>
      <c r="I1184">
        <v>22</v>
      </c>
      <c r="J1184" t="s">
        <v>19</v>
      </c>
      <c r="K1184">
        <v>1</v>
      </c>
      <c r="L1184" t="str">
        <f>HYPERLINK("https://www.mech.utah.edu/directory/faculty/henry-fu/","https://www.mech.utah.edu/directory/faculty/henry-fu/")</f>
        <v>https://www.mech.utah.edu/directory/faculty/henry-fu/</v>
      </c>
    </row>
    <row r="1185" spans="1:12" x14ac:dyDescent="0.3">
      <c r="A1185">
        <v>1151</v>
      </c>
      <c r="B1185" t="s">
        <v>2487</v>
      </c>
      <c r="C1185" t="s">
        <v>2483</v>
      </c>
      <c r="D1185" t="s">
        <v>14</v>
      </c>
      <c r="E1185" t="s">
        <v>2488</v>
      </c>
      <c r="F1185" t="s">
        <v>27</v>
      </c>
      <c r="G1185" t="s">
        <v>28</v>
      </c>
      <c r="H1185" t="s">
        <v>104</v>
      </c>
      <c r="I1185">
        <v>148</v>
      </c>
      <c r="J1185" t="s">
        <v>19</v>
      </c>
      <c r="K1185">
        <v>1</v>
      </c>
      <c r="L1185" t="str">
        <f>HYPERLINK("https://www.mech.utah.edu/directory/faculty/xiaowei-he/","https://www.mech.utah.edu/directory/faculty/xiaowei-he/")</f>
        <v>https://www.mech.utah.edu/directory/faculty/xiaowei-he/</v>
      </c>
    </row>
    <row r="1186" spans="1:12" x14ac:dyDescent="0.3">
      <c r="A1186">
        <v>1158</v>
      </c>
      <c r="B1186" t="s">
        <v>2501</v>
      </c>
      <c r="C1186" t="s">
        <v>2502</v>
      </c>
      <c r="D1186" t="s">
        <v>161</v>
      </c>
      <c r="E1186" t="s">
        <v>2503</v>
      </c>
      <c r="F1186" t="s">
        <v>22</v>
      </c>
      <c r="G1186" t="s">
        <v>23</v>
      </c>
      <c r="H1186" t="s">
        <v>406</v>
      </c>
      <c r="I1186">
        <v>26</v>
      </c>
      <c r="J1186" t="s">
        <v>19</v>
      </c>
      <c r="K1186">
        <v>1</v>
      </c>
      <c r="L1186" t="str">
        <f>HYPERLINK("https://environment.virginia.edu/expert/christopher-goyne","https://environment.virginia.edu/expert/christopher-goyne")</f>
        <v>https://environment.virginia.edu/expert/christopher-goyne</v>
      </c>
    </row>
    <row r="1187" spans="1:12" hidden="1" x14ac:dyDescent="0.3">
      <c r="A1187">
        <v>1186</v>
      </c>
      <c r="B1187" t="s">
        <v>2555</v>
      </c>
      <c r="C1187" t="s">
        <v>2545</v>
      </c>
      <c r="D1187" t="s">
        <v>31</v>
      </c>
      <c r="E1187" t="s">
        <v>57</v>
      </c>
      <c r="F1187" t="s">
        <v>16</v>
      </c>
      <c r="G1187" t="s">
        <v>17</v>
      </c>
      <c r="H1187" t="s">
        <v>58</v>
      </c>
      <c r="I1187">
        <v>0</v>
      </c>
      <c r="J1187" t="s">
        <v>19</v>
      </c>
      <c r="K1187">
        <v>1</v>
      </c>
      <c r="L1187" t="str">
        <f>HYPERLINK("https://engineering.wisc.edu/directory/profile/curt-bronkhorst/","https://engineering.wisc.edu/directory/profile/curt-bronkhorst/")</f>
        <v>https://engineering.wisc.edu/directory/profile/curt-bronkhorst/</v>
      </c>
    </row>
    <row r="1188" spans="1:12" hidden="1" x14ac:dyDescent="0.3">
      <c r="A1188">
        <v>1187</v>
      </c>
      <c r="B1188" t="s">
        <v>2556</v>
      </c>
      <c r="C1188" t="s">
        <v>2545</v>
      </c>
      <c r="D1188" t="s">
        <v>31</v>
      </c>
      <c r="E1188" t="s">
        <v>2557</v>
      </c>
      <c r="F1188" t="s">
        <v>22</v>
      </c>
      <c r="G1188" t="s">
        <v>23</v>
      </c>
      <c r="H1188" t="s">
        <v>53</v>
      </c>
      <c r="I1188">
        <v>21</v>
      </c>
      <c r="J1188" t="s">
        <v>19</v>
      </c>
      <c r="K1188">
        <v>1</v>
      </c>
      <c r="L1188" t="str">
        <f>HYPERLINK("https://engineering.wisc.edu/directory/profile/shiva-rudraraju/","https://engineering.wisc.edu/directory/profile/shiva-rudraraju/")</f>
        <v>https://engineering.wisc.edu/directory/profile/shiva-rudraraju/</v>
      </c>
    </row>
    <row r="1189" spans="1:12" x14ac:dyDescent="0.3">
      <c r="A1189">
        <v>1159</v>
      </c>
      <c r="B1189" t="s">
        <v>2504</v>
      </c>
      <c r="C1189" t="s">
        <v>2502</v>
      </c>
      <c r="D1189" t="s">
        <v>161</v>
      </c>
      <c r="E1189" t="s">
        <v>2505</v>
      </c>
      <c r="F1189" t="s">
        <v>16</v>
      </c>
      <c r="G1189" t="s">
        <v>17</v>
      </c>
      <c r="H1189" t="s">
        <v>2506</v>
      </c>
      <c r="I1189">
        <v>67</v>
      </c>
      <c r="J1189" t="s">
        <v>19</v>
      </c>
      <c r="K1189">
        <v>1</v>
      </c>
      <c r="L1189" t="str">
        <f>HYPERLINK("https://environment.virginia.edu/expert/eric-loth","https://environment.virginia.edu/expert/eric-loth")</f>
        <v>https://environment.virginia.edu/expert/eric-loth</v>
      </c>
    </row>
    <row r="1190" spans="1:12" hidden="1" x14ac:dyDescent="0.3">
      <c r="A1190">
        <v>1189</v>
      </c>
      <c r="B1190" t="s">
        <v>2559</v>
      </c>
      <c r="C1190" t="s">
        <v>2545</v>
      </c>
      <c r="D1190" t="s">
        <v>31</v>
      </c>
      <c r="E1190" t="s">
        <v>57</v>
      </c>
      <c r="F1190" t="s">
        <v>151</v>
      </c>
      <c r="G1190" t="s">
        <v>152</v>
      </c>
      <c r="H1190" t="s">
        <v>58</v>
      </c>
      <c r="I1190">
        <v>0</v>
      </c>
      <c r="J1190" t="s">
        <v>154</v>
      </c>
      <c r="K1190">
        <v>3</v>
      </c>
      <c r="L1190" t="str">
        <f>HYPERLINK("https://engineering.wisc.edu/news/focus-on-new-faculty-hong-qin-is-improving-simulations-that-predict-plasma-behavior-for-fusion-energy/","https://engineering.wisc.edu/news/focus-on-new-faculty-hong-qin-is-improving-simulations-that-predict-plasma-behavior-for-fusion-energy/")</f>
        <v>https://engineering.wisc.edu/news/focus-on-new-faculty-hong-qin-is-improving-simulations-that-predict-plasma-behavior-for-fusion-energy/</v>
      </c>
    </row>
    <row r="1191" spans="1:12" x14ac:dyDescent="0.3">
      <c r="A1191">
        <v>1160</v>
      </c>
      <c r="B1191" t="s">
        <v>2507</v>
      </c>
      <c r="C1191" t="s">
        <v>2502</v>
      </c>
      <c r="D1191" t="s">
        <v>161</v>
      </c>
      <c r="E1191" t="s">
        <v>2508</v>
      </c>
      <c r="F1191" t="s">
        <v>16</v>
      </c>
      <c r="G1191" t="s">
        <v>17</v>
      </c>
      <c r="H1191" t="s">
        <v>516</v>
      </c>
      <c r="I1191">
        <v>71</v>
      </c>
      <c r="J1191" t="s">
        <v>19</v>
      </c>
      <c r="K1191">
        <v>1</v>
      </c>
      <c r="L1191" t="str">
        <f>HYPERLINK("https://environment.virginia.edu/expert/haibo-dong","https://environment.virginia.edu/expert/haibo-dong")</f>
        <v>https://environment.virginia.edu/expert/haibo-dong</v>
      </c>
    </row>
    <row r="1192" spans="1:12" hidden="1" x14ac:dyDescent="0.3">
      <c r="A1192">
        <v>1191</v>
      </c>
      <c r="B1192" t="s">
        <v>2562</v>
      </c>
      <c r="C1192" t="s">
        <v>2545</v>
      </c>
      <c r="D1192" t="s">
        <v>31</v>
      </c>
      <c r="E1192" t="s">
        <v>57</v>
      </c>
      <c r="F1192" t="s">
        <v>151</v>
      </c>
      <c r="G1192" t="s">
        <v>152</v>
      </c>
      <c r="H1192" t="s">
        <v>58</v>
      </c>
      <c r="I1192">
        <v>0</v>
      </c>
      <c r="J1192" t="s">
        <v>154</v>
      </c>
      <c r="K1192">
        <v>3</v>
      </c>
      <c r="L1192" t="str">
        <f>HYPERLINK("https://www.math.wisc.edu/staff/thiffeault-jean-luc/","https://www.math.wisc.edu/staff/thiffeault-jean-luc/")</f>
        <v>https://www.math.wisc.edu/staff/thiffeault-jean-luc/</v>
      </c>
    </row>
    <row r="1193" spans="1:12" hidden="1" x14ac:dyDescent="0.3">
      <c r="A1193">
        <v>1192</v>
      </c>
      <c r="B1193" t="s">
        <v>2563</v>
      </c>
      <c r="C1193" t="s">
        <v>2545</v>
      </c>
      <c r="D1193" t="s">
        <v>31</v>
      </c>
      <c r="E1193" t="s">
        <v>2564</v>
      </c>
      <c r="F1193" t="s">
        <v>151</v>
      </c>
      <c r="G1193" t="s">
        <v>152</v>
      </c>
      <c r="H1193" t="s">
        <v>39</v>
      </c>
      <c r="I1193">
        <v>22</v>
      </c>
      <c r="J1193" t="s">
        <v>154</v>
      </c>
      <c r="K1193">
        <v>3</v>
      </c>
      <c r="L1193" t="str">
        <f>HYPERLINK("https://www.math.wisc.edu/staff/spagnolie-saverio/","https://www.math.wisc.edu/staff/spagnolie-saverio/")</f>
        <v>https://www.math.wisc.edu/staff/spagnolie-saverio/</v>
      </c>
    </row>
    <row r="1194" spans="1:12" hidden="1" x14ac:dyDescent="0.3">
      <c r="A1194">
        <v>1193</v>
      </c>
      <c r="B1194" t="s">
        <v>2565</v>
      </c>
      <c r="C1194" t="s">
        <v>2545</v>
      </c>
      <c r="D1194" t="s">
        <v>31</v>
      </c>
      <c r="E1194" t="s">
        <v>57</v>
      </c>
      <c r="F1194" t="s">
        <v>151</v>
      </c>
      <c r="G1194" t="s">
        <v>152</v>
      </c>
      <c r="H1194" t="s">
        <v>58</v>
      </c>
      <c r="I1194">
        <v>0</v>
      </c>
      <c r="J1194" t="s">
        <v>154</v>
      </c>
      <c r="K1194">
        <v>3</v>
      </c>
      <c r="L1194" t="str">
        <f>HYPERLINK("https://www.math.wisc.edu/math-faculty/","https://www.math.wisc.edu/math-faculty/")</f>
        <v>https://www.math.wisc.edu/math-faculty/</v>
      </c>
    </row>
    <row r="1195" spans="1:12" hidden="1" x14ac:dyDescent="0.3">
      <c r="A1195">
        <v>1194</v>
      </c>
      <c r="B1195" t="s">
        <v>2566</v>
      </c>
      <c r="C1195" t="s">
        <v>2545</v>
      </c>
      <c r="D1195" t="s">
        <v>31</v>
      </c>
      <c r="E1195" t="s">
        <v>2567</v>
      </c>
      <c r="F1195" t="s">
        <v>151</v>
      </c>
      <c r="G1195" t="s">
        <v>152</v>
      </c>
      <c r="H1195" t="s">
        <v>649</v>
      </c>
      <c r="I1195">
        <v>340</v>
      </c>
      <c r="J1195" t="s">
        <v>154</v>
      </c>
      <c r="K1195">
        <v>3</v>
      </c>
      <c r="L1195" t="str">
        <f>HYPERLINK("https://www.math.wisc.edu/staff/li-qin/","https://www.math.wisc.edu/staff/li-qin/")</f>
        <v>https://www.math.wisc.edu/staff/li-qin/</v>
      </c>
    </row>
    <row r="1196" spans="1:12" x14ac:dyDescent="0.3">
      <c r="A1196">
        <v>1161</v>
      </c>
      <c r="B1196" t="s">
        <v>2509</v>
      </c>
      <c r="C1196" t="s">
        <v>2502</v>
      </c>
      <c r="D1196" t="s">
        <v>161</v>
      </c>
      <c r="E1196" t="s">
        <v>57</v>
      </c>
      <c r="F1196" t="s">
        <v>22</v>
      </c>
      <c r="G1196" t="s">
        <v>23</v>
      </c>
      <c r="H1196" t="s">
        <v>58</v>
      </c>
      <c r="I1196">
        <v>0</v>
      </c>
      <c r="J1196" t="s">
        <v>19</v>
      </c>
      <c r="K1196">
        <v>1</v>
      </c>
      <c r="L1196" t="str">
        <f>HYPERLINK("https://environment.virginia.edu/expert/daniel-quinn","https://environment.virginia.edu/expert/daniel-quinn")</f>
        <v>https://environment.virginia.edu/expert/daniel-quinn</v>
      </c>
    </row>
    <row r="1197" spans="1:12" x14ac:dyDescent="0.3">
      <c r="A1197">
        <v>1162</v>
      </c>
      <c r="B1197" t="s">
        <v>2510</v>
      </c>
      <c r="C1197" t="s">
        <v>2502</v>
      </c>
      <c r="D1197" t="s">
        <v>161</v>
      </c>
      <c r="E1197" t="s">
        <v>2511</v>
      </c>
      <c r="F1197" t="s">
        <v>22</v>
      </c>
      <c r="G1197" t="s">
        <v>23</v>
      </c>
      <c r="H1197" t="s">
        <v>70</v>
      </c>
      <c r="I1197">
        <v>51</v>
      </c>
      <c r="J1197" t="s">
        <v>19</v>
      </c>
      <c r="K1197">
        <v>1</v>
      </c>
      <c r="L1197" t="str">
        <f>HYPERLINK("https://environment.virginia.edu/expert/chloe-dedic","https://environment.virginia.edu/expert/chloe-dedic")</f>
        <v>https://environment.virginia.edu/expert/chloe-dedic</v>
      </c>
    </row>
    <row r="1198" spans="1:12" x14ac:dyDescent="0.3">
      <c r="A1198">
        <v>1163</v>
      </c>
      <c r="B1198" t="s">
        <v>2512</v>
      </c>
      <c r="C1198" t="s">
        <v>2502</v>
      </c>
      <c r="D1198" t="s">
        <v>161</v>
      </c>
      <c r="E1198" t="s">
        <v>2513</v>
      </c>
      <c r="F1198" t="s">
        <v>16</v>
      </c>
      <c r="G1198" t="s">
        <v>17</v>
      </c>
      <c r="H1198" t="s">
        <v>29</v>
      </c>
      <c r="I1198">
        <v>8</v>
      </c>
      <c r="J1198" t="s">
        <v>19</v>
      </c>
      <c r="K1198">
        <v>1</v>
      </c>
      <c r="L1198" t="str">
        <f>HYPERLINK("https://environment.virginia.edu/expert-directory?keyword=Harsha+Chelliah","https://environment.virginia.edu/expert-directory?keyword=Harsha+Chelliah")</f>
        <v>https://environment.virginia.edu/expert-directory?keyword=Harsha+Chelliah</v>
      </c>
    </row>
    <row r="1199" spans="1:12" x14ac:dyDescent="0.3">
      <c r="A1199">
        <v>1164</v>
      </c>
      <c r="B1199" t="s">
        <v>2514</v>
      </c>
      <c r="C1199" t="s">
        <v>2502</v>
      </c>
      <c r="D1199" t="s">
        <v>161</v>
      </c>
      <c r="E1199" t="s">
        <v>2515</v>
      </c>
      <c r="F1199" t="s">
        <v>83</v>
      </c>
      <c r="G1199" t="s">
        <v>84</v>
      </c>
      <c r="H1199" t="s">
        <v>92</v>
      </c>
      <c r="I1199">
        <v>7</v>
      </c>
      <c r="J1199" t="s">
        <v>19</v>
      </c>
      <c r="K1199">
        <v>1</v>
      </c>
      <c r="L1199" t="str">
        <f>HYPERLINK("https://environment.virginia.edu/expert-directory?keyword=Hilary+Bart-Smith","https://environment.virginia.edu/expert-directory?keyword=Hilary+Bart-Smith")</f>
        <v>https://environment.virginia.edu/expert-directory?keyword=Hilary+Bart-Smith</v>
      </c>
    </row>
    <row r="1200" spans="1:12" x14ac:dyDescent="0.3">
      <c r="A1200">
        <v>1165</v>
      </c>
      <c r="B1200" t="s">
        <v>2516</v>
      </c>
      <c r="C1200" t="s">
        <v>2517</v>
      </c>
      <c r="D1200" t="s">
        <v>48</v>
      </c>
      <c r="E1200" t="s">
        <v>2518</v>
      </c>
      <c r="F1200" t="s">
        <v>16</v>
      </c>
      <c r="G1200" t="s">
        <v>17</v>
      </c>
      <c r="H1200" t="s">
        <v>516</v>
      </c>
      <c r="I1200">
        <v>9</v>
      </c>
      <c r="J1200" t="s">
        <v>19</v>
      </c>
      <c r="K1200">
        <v>1</v>
      </c>
      <c r="L1200" t="str">
        <f>HYPERLINK("https://www.aa.washington.edu/facultyfinder/antonino-ferrante","https://www.aa.washington.edu/facultyfinder/antonino-ferrante")</f>
        <v>https://www.aa.washington.edu/facultyfinder/antonino-ferrante</v>
      </c>
    </row>
    <row r="1201" spans="1:12" x14ac:dyDescent="0.3">
      <c r="A1201">
        <v>1167</v>
      </c>
      <c r="B1201" t="s">
        <v>2521</v>
      </c>
      <c r="C1201" t="s">
        <v>2517</v>
      </c>
      <c r="D1201" t="s">
        <v>48</v>
      </c>
      <c r="E1201" t="s">
        <v>57</v>
      </c>
      <c r="F1201" t="s">
        <v>16</v>
      </c>
      <c r="G1201" t="s">
        <v>17</v>
      </c>
      <c r="H1201" t="s">
        <v>58</v>
      </c>
      <c r="I1201">
        <v>0</v>
      </c>
      <c r="J1201" t="s">
        <v>19</v>
      </c>
      <c r="K1201">
        <v>1</v>
      </c>
      <c r="L1201" t="str">
        <f>HYPERLINK("https://www.aa.washington.edu/facultyfinder/uri-shumlak","https://www.aa.washington.edu/facultyfinder/uri-shumlak")</f>
        <v>https://www.aa.washington.edu/facultyfinder/uri-shumlak</v>
      </c>
    </row>
    <row r="1202" spans="1:12" hidden="1" x14ac:dyDescent="0.3">
      <c r="A1202">
        <v>1201</v>
      </c>
      <c r="B1202" t="s">
        <v>2581</v>
      </c>
      <c r="C1202" t="s">
        <v>2579</v>
      </c>
      <c r="D1202" t="s">
        <v>31</v>
      </c>
      <c r="E1202" t="s">
        <v>2582</v>
      </c>
      <c r="F1202" t="s">
        <v>62</v>
      </c>
      <c r="G1202" t="s">
        <v>63</v>
      </c>
      <c r="H1202" t="s">
        <v>329</v>
      </c>
      <c r="I1202">
        <v>1</v>
      </c>
      <c r="J1202" t="s">
        <v>19</v>
      </c>
      <c r="K1202">
        <v>1</v>
      </c>
      <c r="L1202" t="str">
        <f>HYPERLINK("https://www.uwyo.edu/mechanical/faculty-staff/faculty/index.html","https://www.uwyo.edu/mechanical/faculty-staff/faculty/index.html")</f>
        <v>https://www.uwyo.edu/mechanical/faculty-staff/faculty/index.html</v>
      </c>
    </row>
    <row r="1203" spans="1:12" x14ac:dyDescent="0.3">
      <c r="A1203">
        <v>1171</v>
      </c>
      <c r="B1203" t="s">
        <v>2527</v>
      </c>
      <c r="C1203" t="s">
        <v>2517</v>
      </c>
      <c r="D1203" t="s">
        <v>48</v>
      </c>
      <c r="E1203" t="s">
        <v>2528</v>
      </c>
      <c r="F1203" t="s">
        <v>16</v>
      </c>
      <c r="G1203" t="s">
        <v>17</v>
      </c>
      <c r="H1203" t="s">
        <v>45</v>
      </c>
      <c r="I1203">
        <v>29</v>
      </c>
      <c r="J1203" t="s">
        <v>19</v>
      </c>
      <c r="K1203">
        <v>1</v>
      </c>
      <c r="L1203" t="str">
        <f>HYPERLINK("https://www.aa.washington.edu/facultyfinder/eli-livne","https://www.aa.washington.edu/facultyfinder/eli-livne")</f>
        <v>https://www.aa.washington.edu/facultyfinder/eli-livne</v>
      </c>
    </row>
    <row r="1204" spans="1:12" x14ac:dyDescent="0.3">
      <c r="A1204">
        <v>1172</v>
      </c>
      <c r="B1204" t="s">
        <v>2529</v>
      </c>
      <c r="C1204" t="s">
        <v>2517</v>
      </c>
      <c r="D1204" t="s">
        <v>14</v>
      </c>
      <c r="E1204" t="s">
        <v>2530</v>
      </c>
      <c r="F1204" t="s">
        <v>27</v>
      </c>
      <c r="G1204" t="s">
        <v>28</v>
      </c>
      <c r="H1204" t="s">
        <v>329</v>
      </c>
      <c r="I1204">
        <v>217</v>
      </c>
      <c r="J1204" t="s">
        <v>19</v>
      </c>
      <c r="K1204">
        <v>1</v>
      </c>
      <c r="L1204" t="str">
        <f>HYPERLINK("https://www.me.washington.edu/facultyfinder/steven-brunton","https://www.me.washington.edu/facultyfinder/steven-brunton")</f>
        <v>https://www.me.washington.edu/facultyfinder/steven-brunton</v>
      </c>
    </row>
    <row r="1205" spans="1:12" hidden="1" x14ac:dyDescent="0.3">
      <c r="A1205">
        <v>1204</v>
      </c>
      <c r="B1205" t="s">
        <v>2586</v>
      </c>
      <c r="C1205" t="s">
        <v>2579</v>
      </c>
      <c r="D1205" t="s">
        <v>31</v>
      </c>
      <c r="E1205" t="s">
        <v>57</v>
      </c>
      <c r="F1205" t="s">
        <v>62</v>
      </c>
      <c r="G1205" t="s">
        <v>63</v>
      </c>
      <c r="H1205" t="s">
        <v>58</v>
      </c>
      <c r="I1205">
        <v>0</v>
      </c>
      <c r="J1205" t="s">
        <v>19</v>
      </c>
      <c r="K1205">
        <v>1</v>
      </c>
      <c r="L1205" t="str">
        <f>HYPERLINK("https://www.uwyo.edu/mechanical/faculty-staff/faculty/index.html","https://www.uwyo.edu/mechanical/faculty-staff/faculty/index.html")</f>
        <v>https://www.uwyo.edu/mechanical/faculty-staff/faculty/index.html</v>
      </c>
    </row>
    <row r="1206" spans="1:12" x14ac:dyDescent="0.3">
      <c r="A1206">
        <v>1173</v>
      </c>
      <c r="B1206" t="s">
        <v>2531</v>
      </c>
      <c r="C1206" t="s">
        <v>2517</v>
      </c>
      <c r="D1206" t="s">
        <v>14</v>
      </c>
      <c r="E1206" t="s">
        <v>2532</v>
      </c>
      <c r="F1206" t="s">
        <v>16</v>
      </c>
      <c r="G1206" t="s">
        <v>17</v>
      </c>
      <c r="H1206" t="s">
        <v>140</v>
      </c>
      <c r="I1206">
        <v>72</v>
      </c>
      <c r="J1206" t="s">
        <v>19</v>
      </c>
      <c r="K1206">
        <v>1</v>
      </c>
      <c r="L1206" t="str">
        <f>HYPERLINK("https://www.me.washington.edu/facultyfinder/alberto-aliseda","https://www.me.washington.edu/facultyfinder/alberto-aliseda")</f>
        <v>https://www.me.washington.edu/facultyfinder/alberto-aliseda</v>
      </c>
    </row>
    <row r="1207" spans="1:12" hidden="1" x14ac:dyDescent="0.3">
      <c r="A1207">
        <v>1206</v>
      </c>
      <c r="B1207" t="s">
        <v>2589</v>
      </c>
      <c r="C1207" t="s">
        <v>2579</v>
      </c>
      <c r="D1207" t="s">
        <v>31</v>
      </c>
      <c r="E1207" t="s">
        <v>2590</v>
      </c>
      <c r="F1207" t="s">
        <v>151</v>
      </c>
      <c r="G1207" t="s">
        <v>152</v>
      </c>
      <c r="H1207" t="s">
        <v>29</v>
      </c>
      <c r="I1207">
        <v>424</v>
      </c>
      <c r="J1207" t="s">
        <v>154</v>
      </c>
      <c r="K1207">
        <v>3</v>
      </c>
      <c r="L1207" t="str">
        <f>HYPERLINK("https://www.uwyo.edu/soc/people/faculty/index.html","https://www.uwyo.edu/soc/people/faculty/index.html")</f>
        <v>https://www.uwyo.edu/soc/people/faculty/index.html</v>
      </c>
    </row>
    <row r="1208" spans="1:12" hidden="1" x14ac:dyDescent="0.3">
      <c r="A1208">
        <v>1207</v>
      </c>
      <c r="B1208" t="s">
        <v>2591</v>
      </c>
      <c r="C1208" t="s">
        <v>2579</v>
      </c>
      <c r="D1208" t="s">
        <v>31</v>
      </c>
      <c r="E1208" t="s">
        <v>2592</v>
      </c>
      <c r="F1208" t="s">
        <v>83</v>
      </c>
      <c r="G1208" t="s">
        <v>84</v>
      </c>
      <c r="H1208" t="s">
        <v>45</v>
      </c>
      <c r="I1208">
        <v>65</v>
      </c>
      <c r="J1208" t="s">
        <v>19</v>
      </c>
      <c r="K1208">
        <v>1</v>
      </c>
      <c r="L1208" t="str">
        <f>HYPERLINK("https://www.uwyo.edu/atms/faculty-staff/faculty/bart-geerts.html","https://www.uwyo.edu/atms/faculty-staff/faculty/bart-geerts.html")</f>
        <v>https://www.uwyo.edu/atms/faculty-staff/faculty/bart-geerts.html</v>
      </c>
    </row>
    <row r="1209" spans="1:12" hidden="1" x14ac:dyDescent="0.3">
      <c r="A1209">
        <v>1208</v>
      </c>
      <c r="B1209" t="s">
        <v>2593</v>
      </c>
      <c r="C1209" t="s">
        <v>2579</v>
      </c>
      <c r="D1209" t="s">
        <v>31</v>
      </c>
      <c r="E1209" t="s">
        <v>2594</v>
      </c>
      <c r="F1209" t="s">
        <v>83</v>
      </c>
      <c r="G1209" t="s">
        <v>84</v>
      </c>
      <c r="H1209" t="s">
        <v>406</v>
      </c>
      <c r="I1209">
        <v>26</v>
      </c>
      <c r="J1209" t="s">
        <v>19</v>
      </c>
      <c r="K1209">
        <v>1</v>
      </c>
      <c r="L1209" t="str">
        <f>HYPERLINK("https://www.uwyo.edu/atms/faculty-staff/faculty/jeffrey-french.html","https://www.uwyo.edu/atms/faculty-staff/faculty/jeffrey-french.html")</f>
        <v>https://www.uwyo.edu/atms/faculty-staff/faculty/jeffrey-french.html</v>
      </c>
    </row>
    <row r="1210" spans="1:12" x14ac:dyDescent="0.3">
      <c r="A1210">
        <v>1174</v>
      </c>
      <c r="B1210" t="s">
        <v>2533</v>
      </c>
      <c r="C1210" t="s">
        <v>2517</v>
      </c>
      <c r="D1210" t="s">
        <v>14</v>
      </c>
      <c r="E1210" t="s">
        <v>57</v>
      </c>
      <c r="F1210" t="s">
        <v>62</v>
      </c>
      <c r="G1210" t="s">
        <v>63</v>
      </c>
      <c r="H1210" t="s">
        <v>58</v>
      </c>
      <c r="I1210">
        <v>0</v>
      </c>
      <c r="J1210" t="s">
        <v>19</v>
      </c>
      <c r="K1210">
        <v>1</v>
      </c>
      <c r="L1210" t="str">
        <f>HYPERLINK("https://www.me.washington.edu/facultyfinder/john-palmore-jr","https://www.me.washington.edu/facultyfinder/john-palmore-jr")</f>
        <v>https://www.me.washington.edu/facultyfinder/john-palmore-jr</v>
      </c>
    </row>
    <row r="1211" spans="1:12" x14ac:dyDescent="0.3">
      <c r="A1211">
        <v>1175</v>
      </c>
      <c r="B1211" t="s">
        <v>2534</v>
      </c>
      <c r="C1211" t="s">
        <v>2517</v>
      </c>
      <c r="D1211" t="s">
        <v>14</v>
      </c>
      <c r="E1211" t="s">
        <v>2535</v>
      </c>
      <c r="F1211" t="s">
        <v>16</v>
      </c>
      <c r="G1211" t="s">
        <v>17</v>
      </c>
      <c r="H1211" t="s">
        <v>39</v>
      </c>
      <c r="I1211">
        <v>50</v>
      </c>
      <c r="J1211" t="s">
        <v>19</v>
      </c>
      <c r="K1211">
        <v>1</v>
      </c>
      <c r="L1211" t="str">
        <f>HYPERLINK("https://www.me.washington.edu/facultyfinder/brian-polagye","https://www.me.washington.edu/facultyfinder/brian-polagye")</f>
        <v>https://www.me.washington.edu/facultyfinder/brian-polagye</v>
      </c>
    </row>
    <row r="1212" spans="1:12" x14ac:dyDescent="0.3">
      <c r="A1212">
        <v>1181</v>
      </c>
      <c r="B1212" t="s">
        <v>2547</v>
      </c>
      <c r="C1212" t="s">
        <v>2545</v>
      </c>
      <c r="D1212" t="s">
        <v>14</v>
      </c>
      <c r="E1212" t="s">
        <v>57</v>
      </c>
      <c r="F1212" t="s">
        <v>22</v>
      </c>
      <c r="G1212" t="s">
        <v>23</v>
      </c>
      <c r="H1212" t="s">
        <v>58</v>
      </c>
      <c r="I1212">
        <v>0</v>
      </c>
      <c r="J1212" t="s">
        <v>19</v>
      </c>
      <c r="K1212">
        <v>1</v>
      </c>
      <c r="L1212" t="str">
        <f>HYPERLINK("https://engineering.wisc.edu/directory/profile/jennifer-franck/","https://engineering.wisc.edu/directory/profile/jennifer-franck/")</f>
        <v>https://engineering.wisc.edu/directory/profile/jennifer-franck/</v>
      </c>
    </row>
    <row r="1213" spans="1:12" x14ac:dyDescent="0.3">
      <c r="A1213">
        <v>1182</v>
      </c>
      <c r="B1213" t="s">
        <v>2548</v>
      </c>
      <c r="C1213" t="s">
        <v>2545</v>
      </c>
      <c r="D1213" t="s">
        <v>14</v>
      </c>
      <c r="E1213" t="s">
        <v>2549</v>
      </c>
      <c r="F1213" t="s">
        <v>62</v>
      </c>
      <c r="G1213" t="s">
        <v>63</v>
      </c>
      <c r="H1213" t="s">
        <v>714</v>
      </c>
      <c r="I1213">
        <v>18</v>
      </c>
      <c r="J1213" t="s">
        <v>19</v>
      </c>
      <c r="K1213">
        <v>1</v>
      </c>
      <c r="L1213" t="str">
        <f>HYPERLINK("https://engineering.wisc.edu/directory/profile/prateek-jaiswal/","https://engineering.wisc.edu/directory/profile/prateek-jaiswal/")</f>
        <v>https://engineering.wisc.edu/directory/profile/prateek-jaiswal/</v>
      </c>
    </row>
    <row r="1214" spans="1:12" x14ac:dyDescent="0.3">
      <c r="A1214">
        <v>1184</v>
      </c>
      <c r="B1214" t="s">
        <v>2552</v>
      </c>
      <c r="C1214" t="s">
        <v>2545</v>
      </c>
      <c r="D1214" t="s">
        <v>14</v>
      </c>
      <c r="E1214" t="s">
        <v>57</v>
      </c>
      <c r="F1214" t="s">
        <v>62</v>
      </c>
      <c r="G1214" t="s">
        <v>63</v>
      </c>
      <c r="H1214" t="s">
        <v>58</v>
      </c>
      <c r="I1214">
        <v>0</v>
      </c>
      <c r="J1214" t="s">
        <v>19</v>
      </c>
      <c r="K1214">
        <v>1</v>
      </c>
      <c r="L1214" t="str">
        <f>HYPERLINK("https://engineering.wisc.edu/blog/new-mechanical-engineering-faculty-douglas-carter/","https://engineering.wisc.edu/blog/new-mechanical-engineering-faculty-douglas-carter/")</f>
        <v>https://engineering.wisc.edu/blog/new-mechanical-engineering-faculty-douglas-carter/</v>
      </c>
    </row>
    <row r="1215" spans="1:12" x14ac:dyDescent="0.3">
      <c r="A1215">
        <v>1185</v>
      </c>
      <c r="B1215" t="s">
        <v>2553</v>
      </c>
      <c r="C1215" t="s">
        <v>2545</v>
      </c>
      <c r="D1215" t="s">
        <v>14</v>
      </c>
      <c r="E1215" t="s">
        <v>2554</v>
      </c>
      <c r="F1215" t="s">
        <v>16</v>
      </c>
      <c r="G1215" t="s">
        <v>17</v>
      </c>
      <c r="H1215" t="s">
        <v>254</v>
      </c>
      <c r="I1215">
        <v>20</v>
      </c>
      <c r="J1215" t="s">
        <v>19</v>
      </c>
      <c r="K1215">
        <v>1</v>
      </c>
      <c r="L1215" t="str">
        <f>HYPERLINK("https://engineering.wisc.edu/departments/mechanical-engineering/research/mechanics/","https://engineering.wisc.edu/departments/mechanical-engineering/research/mechanics/")</f>
        <v>https://engineering.wisc.edu/departments/mechanical-engineering/research/mechanics/</v>
      </c>
    </row>
    <row r="1216" spans="1:12" x14ac:dyDescent="0.3">
      <c r="A1216">
        <v>1188</v>
      </c>
      <c r="B1216" t="s">
        <v>2558</v>
      </c>
      <c r="C1216" t="s">
        <v>2545</v>
      </c>
      <c r="D1216" t="s">
        <v>14</v>
      </c>
      <c r="E1216" t="s">
        <v>57</v>
      </c>
      <c r="F1216" t="s">
        <v>16</v>
      </c>
      <c r="G1216" t="s">
        <v>17</v>
      </c>
      <c r="H1216" t="s">
        <v>58</v>
      </c>
      <c r="I1216">
        <v>0</v>
      </c>
      <c r="J1216" t="s">
        <v>19</v>
      </c>
      <c r="K1216">
        <v>1</v>
      </c>
      <c r="L1216" t="str">
        <f>HYPERLINK("https://engineering.wisc.edu/directory/profile/chris-hegna/","https://engineering.wisc.edu/directory/profile/chris-hegna/")</f>
        <v>https://engineering.wisc.edu/directory/profile/chris-hegna/</v>
      </c>
    </row>
    <row r="1217" spans="1:12" x14ac:dyDescent="0.3">
      <c r="A1217">
        <v>1195</v>
      </c>
      <c r="B1217" t="s">
        <v>2568</v>
      </c>
      <c r="C1217" t="s">
        <v>2569</v>
      </c>
      <c r="D1217" t="s">
        <v>14</v>
      </c>
      <c r="E1217" t="s">
        <v>2570</v>
      </c>
      <c r="F1217" t="s">
        <v>16</v>
      </c>
      <c r="G1217" t="s">
        <v>17</v>
      </c>
      <c r="H1217" t="s">
        <v>329</v>
      </c>
      <c r="I1217">
        <v>47</v>
      </c>
      <c r="J1217" t="s">
        <v>19</v>
      </c>
      <c r="K1217">
        <v>1</v>
      </c>
      <c r="L1217" t="str">
        <f>HYPERLINK("https://uwm.edu/engineering/directory/amano-ryoichi/","https://uwm.edu/engineering/directory/amano-ryoichi/")</f>
        <v>https://uwm.edu/engineering/directory/amano-ryoichi/</v>
      </c>
    </row>
    <row r="1218" spans="1:12" hidden="1" x14ac:dyDescent="0.3">
      <c r="A1218">
        <v>1217</v>
      </c>
      <c r="B1218" t="s">
        <v>2610</v>
      </c>
      <c r="C1218" t="s">
        <v>2596</v>
      </c>
      <c r="D1218" t="s">
        <v>31</v>
      </c>
      <c r="E1218" t="s">
        <v>2611</v>
      </c>
      <c r="F1218" t="s">
        <v>151</v>
      </c>
      <c r="G1218" t="s">
        <v>152</v>
      </c>
      <c r="H1218" t="s">
        <v>33</v>
      </c>
      <c r="I1218">
        <v>56</v>
      </c>
      <c r="J1218" t="s">
        <v>154</v>
      </c>
      <c r="K1218">
        <v>3</v>
      </c>
      <c r="L1218" t="str">
        <f>HYPERLINK("https://math.vt.edu/people/faculty/iliescu-traian.html","https://math.vt.edu/people/faculty/iliescu-traian.html")</f>
        <v>https://math.vt.edu/people/faculty/iliescu-traian.html</v>
      </c>
    </row>
    <row r="1219" spans="1:12" hidden="1" x14ac:dyDescent="0.3">
      <c r="A1219">
        <v>1218</v>
      </c>
      <c r="B1219" t="s">
        <v>2612</v>
      </c>
      <c r="C1219" t="s">
        <v>2596</v>
      </c>
      <c r="D1219" t="s">
        <v>31</v>
      </c>
      <c r="E1219" t="s">
        <v>2613</v>
      </c>
      <c r="F1219" t="s">
        <v>151</v>
      </c>
      <c r="G1219" t="s">
        <v>152</v>
      </c>
      <c r="H1219" t="s">
        <v>50</v>
      </c>
      <c r="I1219">
        <v>0</v>
      </c>
      <c r="J1219" t="s">
        <v>154</v>
      </c>
      <c r="K1219">
        <v>3</v>
      </c>
      <c r="L1219" t="str">
        <f>HYPERLINK("https://math.vt.edu/people/faculty/zietsman-lizette.html","https://math.vt.edu/people/faculty/zietsman-lizette.html")</f>
        <v>https://math.vt.edu/people/faculty/zietsman-lizette.html</v>
      </c>
    </row>
    <row r="1220" spans="1:12" x14ac:dyDescent="0.3">
      <c r="A1220">
        <v>1196</v>
      </c>
      <c r="B1220" t="s">
        <v>2571</v>
      </c>
      <c r="C1220" t="s">
        <v>2569</v>
      </c>
      <c r="D1220" t="s">
        <v>14</v>
      </c>
      <c r="E1220" t="s">
        <v>57</v>
      </c>
      <c r="F1220" t="s">
        <v>16</v>
      </c>
      <c r="G1220" t="s">
        <v>17</v>
      </c>
      <c r="H1220" t="s">
        <v>58</v>
      </c>
      <c r="I1220">
        <v>0</v>
      </c>
      <c r="J1220" t="s">
        <v>19</v>
      </c>
      <c r="K1220">
        <v>1</v>
      </c>
      <c r="L1220" t="str">
        <f>HYPERLINK("https://uwm.edu/engineering/directory/reisel-john/","https://uwm.edu/engineering/directory/reisel-john/")</f>
        <v>https://uwm.edu/engineering/directory/reisel-john/</v>
      </c>
    </row>
    <row r="1221" spans="1:12" x14ac:dyDescent="0.3">
      <c r="A1221">
        <v>1197</v>
      </c>
      <c r="B1221" t="s">
        <v>2572</v>
      </c>
      <c r="C1221" t="s">
        <v>2569</v>
      </c>
      <c r="D1221" t="s">
        <v>14</v>
      </c>
      <c r="E1221" t="s">
        <v>2573</v>
      </c>
      <c r="F1221" t="s">
        <v>16</v>
      </c>
      <c r="G1221" t="s">
        <v>17</v>
      </c>
      <c r="H1221" t="s">
        <v>33</v>
      </c>
      <c r="I1221">
        <v>3</v>
      </c>
      <c r="J1221" t="s">
        <v>19</v>
      </c>
      <c r="K1221">
        <v>1</v>
      </c>
      <c r="L1221" t="str">
        <f>HYPERLINK("https://uwm.edu/engineering/directory/avdeev-ilya/","https://uwm.edu/engineering/directory/avdeev-ilya/")</f>
        <v>https://uwm.edu/engineering/directory/avdeev-ilya/</v>
      </c>
    </row>
    <row r="1222" spans="1:12" x14ac:dyDescent="0.3">
      <c r="A1222">
        <v>1198</v>
      </c>
      <c r="B1222" t="s">
        <v>2574</v>
      </c>
      <c r="C1222" t="s">
        <v>2569</v>
      </c>
      <c r="D1222" t="s">
        <v>14</v>
      </c>
      <c r="E1222" t="s">
        <v>2575</v>
      </c>
      <c r="F1222" t="s">
        <v>22</v>
      </c>
      <c r="G1222" t="s">
        <v>23</v>
      </c>
      <c r="H1222" t="s">
        <v>75</v>
      </c>
      <c r="I1222">
        <v>18</v>
      </c>
      <c r="J1222" t="s">
        <v>19</v>
      </c>
      <c r="K1222">
        <v>1</v>
      </c>
      <c r="L1222" t="str">
        <f>HYPERLINK("https://uwm.edu/engineering/directory/salowitz-nathan/","https://uwm.edu/engineering/directory/salowitz-nathan/")</f>
        <v>https://uwm.edu/engineering/directory/salowitz-nathan/</v>
      </c>
    </row>
    <row r="1223" spans="1:12" hidden="1" x14ac:dyDescent="0.3">
      <c r="A1223">
        <v>1222</v>
      </c>
      <c r="B1223" t="s">
        <v>2621</v>
      </c>
      <c r="C1223" t="s">
        <v>2615</v>
      </c>
      <c r="D1223" t="s">
        <v>31</v>
      </c>
      <c r="E1223" t="s">
        <v>57</v>
      </c>
      <c r="F1223" t="s">
        <v>114</v>
      </c>
      <c r="G1223" t="s">
        <v>115</v>
      </c>
      <c r="H1223" t="s">
        <v>58</v>
      </c>
      <c r="I1223">
        <v>0</v>
      </c>
      <c r="J1223" t="s">
        <v>116</v>
      </c>
      <c r="K1223">
        <v>3</v>
      </c>
      <c r="L1223" t="str">
        <f>HYPERLINK("https://mme.wsu.edu/mme-personnel/wsu-profile/ding/","https://mme.wsu.edu/mme-personnel/wsu-profile/ding/")</f>
        <v>https://mme.wsu.edu/mme-personnel/wsu-profile/ding/</v>
      </c>
    </row>
    <row r="1224" spans="1:12" hidden="1" x14ac:dyDescent="0.3">
      <c r="A1224">
        <v>1223</v>
      </c>
      <c r="B1224" t="s">
        <v>2622</v>
      </c>
      <c r="C1224" t="s">
        <v>2615</v>
      </c>
      <c r="D1224" t="s">
        <v>31</v>
      </c>
      <c r="E1224" t="s">
        <v>2623</v>
      </c>
      <c r="F1224" t="s">
        <v>191</v>
      </c>
      <c r="G1224" t="s">
        <v>192</v>
      </c>
      <c r="H1224" t="s">
        <v>143</v>
      </c>
      <c r="I1224">
        <v>29</v>
      </c>
      <c r="J1224" t="s">
        <v>154</v>
      </c>
      <c r="K1224">
        <v>3</v>
      </c>
      <c r="L1224" t="str">
        <f>HYPERLINK("https://math.wsu.edu/faculty/wsu-profile/bkrishna/","https://math.wsu.edu/faculty/wsu-profile/bkrishna/")</f>
        <v>https://math.wsu.edu/faculty/wsu-profile/bkrishna/</v>
      </c>
    </row>
    <row r="1225" spans="1:12" hidden="1" x14ac:dyDescent="0.3">
      <c r="A1225">
        <v>1224</v>
      </c>
      <c r="B1225" t="s">
        <v>2624</v>
      </c>
      <c r="C1225" t="s">
        <v>2615</v>
      </c>
      <c r="D1225" t="s">
        <v>31</v>
      </c>
      <c r="E1225" t="s">
        <v>57</v>
      </c>
      <c r="F1225" t="s">
        <v>114</v>
      </c>
      <c r="G1225" t="s">
        <v>115</v>
      </c>
      <c r="H1225" t="s">
        <v>58</v>
      </c>
      <c r="I1225">
        <v>0</v>
      </c>
      <c r="J1225" t="s">
        <v>116</v>
      </c>
      <c r="K1225">
        <v>3</v>
      </c>
      <c r="L1225" t="str">
        <f>HYPERLINK("https://math.wsu.edu/faculty/wsu-profile/rhdillon/","https://math.wsu.edu/faculty/wsu-profile/rhdillon/")</f>
        <v>https://math.wsu.edu/faculty/wsu-profile/rhdillon/</v>
      </c>
    </row>
    <row r="1226" spans="1:12" hidden="1" x14ac:dyDescent="0.3">
      <c r="A1226">
        <v>1225</v>
      </c>
      <c r="B1226" t="s">
        <v>2625</v>
      </c>
      <c r="C1226" t="s">
        <v>2615</v>
      </c>
      <c r="D1226" t="s">
        <v>31</v>
      </c>
      <c r="E1226" t="s">
        <v>57</v>
      </c>
      <c r="F1226" t="s">
        <v>191</v>
      </c>
      <c r="G1226" t="s">
        <v>192</v>
      </c>
      <c r="H1226" t="s">
        <v>58</v>
      </c>
      <c r="I1226">
        <v>0</v>
      </c>
      <c r="J1226" t="s">
        <v>154</v>
      </c>
      <c r="K1226">
        <v>3</v>
      </c>
      <c r="L1226" t="str">
        <f>HYPERLINK("https://math.wsu.edu/faculty/wsu-profile/lynn.schreyer/","https://math.wsu.edu/faculty/wsu-profile/lynn.schreyer/")</f>
        <v>https://math.wsu.edu/faculty/wsu-profile/lynn.schreyer/</v>
      </c>
    </row>
    <row r="1227" spans="1:12" hidden="1" x14ac:dyDescent="0.3">
      <c r="A1227">
        <v>1226</v>
      </c>
      <c r="B1227" t="s">
        <v>2626</v>
      </c>
      <c r="C1227" t="s">
        <v>2615</v>
      </c>
      <c r="D1227" t="s">
        <v>31</v>
      </c>
      <c r="E1227" t="s">
        <v>2627</v>
      </c>
      <c r="F1227" t="s">
        <v>191</v>
      </c>
      <c r="G1227" t="s">
        <v>192</v>
      </c>
      <c r="H1227" t="s">
        <v>80</v>
      </c>
      <c r="I1227">
        <v>9</v>
      </c>
      <c r="J1227" t="s">
        <v>154</v>
      </c>
      <c r="K1227">
        <v>3</v>
      </c>
      <c r="L1227" t="str">
        <f>HYPERLINK("https://math.wsu.edu/faculty/wsu-profile/hyin/","https://math.wsu.edu/faculty/wsu-profile/hyin/")</f>
        <v>https://math.wsu.edu/faculty/wsu-profile/hyin/</v>
      </c>
    </row>
    <row r="1228" spans="1:12" x14ac:dyDescent="0.3">
      <c r="A1228">
        <v>1199</v>
      </c>
      <c r="B1228" t="s">
        <v>2576</v>
      </c>
      <c r="C1228" t="s">
        <v>2569</v>
      </c>
      <c r="D1228" t="s">
        <v>14</v>
      </c>
      <c r="E1228" t="s">
        <v>2577</v>
      </c>
      <c r="F1228" t="s">
        <v>62</v>
      </c>
      <c r="G1228" t="s">
        <v>63</v>
      </c>
      <c r="H1228" t="s">
        <v>39</v>
      </c>
      <c r="I1228">
        <v>11</v>
      </c>
      <c r="J1228" t="s">
        <v>19</v>
      </c>
      <c r="K1228">
        <v>1</v>
      </c>
      <c r="L1228" t="str">
        <f>HYPERLINK("https://uwm.edu/engineering/directory/musinski-william/","https://uwm.edu/engineering/directory/musinski-william/")</f>
        <v>https://uwm.edu/engineering/directory/musinski-william/</v>
      </c>
    </row>
    <row r="1229" spans="1:12" x14ac:dyDescent="0.3">
      <c r="A1229">
        <v>1200</v>
      </c>
      <c r="B1229" t="s">
        <v>2578</v>
      </c>
      <c r="C1229" t="s">
        <v>2579</v>
      </c>
      <c r="D1229" t="s">
        <v>161</v>
      </c>
      <c r="E1229" t="s">
        <v>2580</v>
      </c>
      <c r="F1229" t="s">
        <v>62</v>
      </c>
      <c r="G1229" t="s">
        <v>63</v>
      </c>
      <c r="H1229" t="s">
        <v>45</v>
      </c>
      <c r="I1229">
        <v>40</v>
      </c>
      <c r="J1229" t="s">
        <v>19</v>
      </c>
      <c r="K1229">
        <v>1</v>
      </c>
      <c r="L1229" t="str">
        <f>HYPERLINK("https://www.uwyo.edu/mechanical/faculty-staff/faculty/index.html","https://www.uwyo.edu/mechanical/faculty-staff/faculty/index.html")</f>
        <v>https://www.uwyo.edu/mechanical/faculty-staff/faculty/index.html</v>
      </c>
    </row>
    <row r="1230" spans="1:12" x14ac:dyDescent="0.3">
      <c r="A1230">
        <v>1202</v>
      </c>
      <c r="B1230" t="s">
        <v>2583</v>
      </c>
      <c r="C1230" t="s">
        <v>2579</v>
      </c>
      <c r="D1230" t="s">
        <v>14</v>
      </c>
      <c r="E1230" t="s">
        <v>2584</v>
      </c>
      <c r="F1230" t="s">
        <v>62</v>
      </c>
      <c r="G1230" t="s">
        <v>63</v>
      </c>
      <c r="H1230" t="s">
        <v>36</v>
      </c>
      <c r="I1230">
        <v>8</v>
      </c>
      <c r="J1230" t="s">
        <v>19</v>
      </c>
      <c r="K1230">
        <v>1</v>
      </c>
      <c r="L1230" t="str">
        <f>HYPERLINK("https://www.uwyo.edu/mechanical/faculty-staff/faculty/michael-stoellinger.html","https://www.uwyo.edu/mechanical/faculty-staff/faculty/michael-stoellinger.html")</f>
        <v>https://www.uwyo.edu/mechanical/faculty-staff/faculty/michael-stoellinger.html</v>
      </c>
    </row>
    <row r="1231" spans="1:12" hidden="1" x14ac:dyDescent="0.3">
      <c r="A1231">
        <v>1230</v>
      </c>
      <c r="B1231" t="s">
        <v>2635</v>
      </c>
      <c r="C1231" t="s">
        <v>2629</v>
      </c>
      <c r="D1231" t="s">
        <v>31</v>
      </c>
      <c r="E1231" t="s">
        <v>2636</v>
      </c>
      <c r="F1231" t="s">
        <v>16</v>
      </c>
      <c r="G1231" t="s">
        <v>17</v>
      </c>
      <c r="H1231" t="s">
        <v>273</v>
      </c>
      <c r="I1231">
        <v>15</v>
      </c>
      <c r="J1231" t="s">
        <v>19</v>
      </c>
      <c r="K1231">
        <v>1</v>
      </c>
      <c r="L1231" t="str">
        <f>HYPERLINK("https://math.wustl.edu/people/ari-stern","https://math.wustl.edu/people/ari-stern")</f>
        <v>https://math.wustl.edu/people/ari-stern</v>
      </c>
    </row>
    <row r="1232" spans="1:12" hidden="1" x14ac:dyDescent="0.3">
      <c r="A1232">
        <v>1231</v>
      </c>
      <c r="B1232" t="s">
        <v>2637</v>
      </c>
      <c r="C1232" t="s">
        <v>2629</v>
      </c>
      <c r="D1232" t="s">
        <v>31</v>
      </c>
      <c r="E1232" t="s">
        <v>2638</v>
      </c>
      <c r="F1232" t="s">
        <v>16</v>
      </c>
      <c r="G1232" t="s">
        <v>17</v>
      </c>
      <c r="H1232" t="s">
        <v>45</v>
      </c>
      <c r="I1232">
        <v>12</v>
      </c>
      <c r="J1232" t="s">
        <v>19</v>
      </c>
      <c r="K1232">
        <v>1</v>
      </c>
      <c r="L1232" t="str">
        <f>HYPERLINK("https://math.wustl.edu/people/renato-feres","https://math.wustl.edu/people/renato-feres")</f>
        <v>https://math.wustl.edu/people/renato-feres</v>
      </c>
    </row>
    <row r="1233" spans="1:12" x14ac:dyDescent="0.3">
      <c r="A1233">
        <v>1203</v>
      </c>
      <c r="B1233" t="s">
        <v>2585</v>
      </c>
      <c r="C1233" t="s">
        <v>2579</v>
      </c>
      <c r="D1233" t="s">
        <v>14</v>
      </c>
      <c r="E1233" t="s">
        <v>57</v>
      </c>
      <c r="F1233" t="s">
        <v>62</v>
      </c>
      <c r="G1233" t="s">
        <v>63</v>
      </c>
      <c r="H1233" t="s">
        <v>58</v>
      </c>
      <c r="I1233">
        <v>0</v>
      </c>
      <c r="J1233" t="s">
        <v>19</v>
      </c>
      <c r="K1233">
        <v>1</v>
      </c>
      <c r="L1233" t="str">
        <f>HYPERLINK("https://www.uwyo.edu/mechanical/faculty-staff/faculty/index.html","https://www.uwyo.edu/mechanical/faculty-staff/faculty/index.html")</f>
        <v>https://www.uwyo.edu/mechanical/faculty-staff/faculty/index.html</v>
      </c>
    </row>
    <row r="1234" spans="1:12" x14ac:dyDescent="0.3">
      <c r="A1234">
        <v>1205</v>
      </c>
      <c r="B1234" t="s">
        <v>2587</v>
      </c>
      <c r="C1234" t="s">
        <v>2579</v>
      </c>
      <c r="D1234" t="s">
        <v>14</v>
      </c>
      <c r="E1234" t="s">
        <v>2588</v>
      </c>
      <c r="F1234" t="s">
        <v>62</v>
      </c>
      <c r="G1234" t="s">
        <v>63</v>
      </c>
      <c r="H1234" t="s">
        <v>64</v>
      </c>
      <c r="I1234">
        <v>10</v>
      </c>
      <c r="J1234" t="s">
        <v>19</v>
      </c>
      <c r="K1234">
        <v>1</v>
      </c>
      <c r="L1234" t="str">
        <f>HYPERLINK("https://www.uwyo.edu/mechanical/faculty-staff/faculty/index.html","https://www.uwyo.edu/mechanical/faculty-staff/faculty/index.html")</f>
        <v>https://www.uwyo.edu/mechanical/faculty-staff/faculty/index.html</v>
      </c>
    </row>
    <row r="1235" spans="1:12" x14ac:dyDescent="0.3">
      <c r="A1235">
        <v>1211</v>
      </c>
      <c r="B1235" t="s">
        <v>2600</v>
      </c>
      <c r="C1235" t="s">
        <v>2596</v>
      </c>
      <c r="D1235" t="s">
        <v>48</v>
      </c>
      <c r="E1235" t="s">
        <v>2601</v>
      </c>
      <c r="F1235" t="s">
        <v>62</v>
      </c>
      <c r="G1235" t="s">
        <v>63</v>
      </c>
      <c r="H1235" t="s">
        <v>39</v>
      </c>
      <c r="I1235">
        <v>103</v>
      </c>
      <c r="J1235" t="s">
        <v>19</v>
      </c>
      <c r="K1235">
        <v>1</v>
      </c>
      <c r="L1235" t="str">
        <f>HYPERLINK("https://www.aoe.vt.edu/people/faculty/lowe.html","https://www.aoe.vt.edu/people/faculty/lowe.html")</f>
        <v>https://www.aoe.vt.edu/people/faculty/lowe.html</v>
      </c>
    </row>
    <row r="1236" spans="1:12" x14ac:dyDescent="0.3">
      <c r="A1236">
        <v>1213</v>
      </c>
      <c r="B1236" t="s">
        <v>2603</v>
      </c>
      <c r="C1236" t="s">
        <v>2596</v>
      </c>
      <c r="D1236" t="s">
        <v>48</v>
      </c>
      <c r="E1236" t="s">
        <v>2604</v>
      </c>
      <c r="F1236" t="s">
        <v>62</v>
      </c>
      <c r="G1236" t="s">
        <v>63</v>
      </c>
      <c r="H1236" t="s">
        <v>92</v>
      </c>
      <c r="I1236">
        <v>9</v>
      </c>
      <c r="J1236" t="s">
        <v>19</v>
      </c>
      <c r="K1236">
        <v>1</v>
      </c>
      <c r="L1236" t="str">
        <f>HYPERLINK("https://www.aoe.vt.edu/people/faculty/gilbert.html","https://www.aoe.vt.edu/people/faculty/gilbert.html")</f>
        <v>https://www.aoe.vt.edu/people/faculty/gilbert.html</v>
      </c>
    </row>
    <row r="1237" spans="1:12" x14ac:dyDescent="0.3">
      <c r="A1237">
        <v>1227</v>
      </c>
      <c r="B1237" t="s">
        <v>2628</v>
      </c>
      <c r="C1237" t="s">
        <v>2629</v>
      </c>
      <c r="D1237" t="s">
        <v>112</v>
      </c>
      <c r="E1237" t="s">
        <v>2630</v>
      </c>
      <c r="F1237" t="s">
        <v>16</v>
      </c>
      <c r="G1237" t="s">
        <v>17</v>
      </c>
      <c r="H1237" t="s">
        <v>67</v>
      </c>
      <c r="I1237">
        <v>275</v>
      </c>
      <c r="J1237" t="s">
        <v>19</v>
      </c>
      <c r="K1237">
        <v>1</v>
      </c>
      <c r="L1237" t="str">
        <f>HYPERLINK("https://engineering.washu.edu/faculty/Ramesh-Agarwal.html","https://engineering.washu.edu/faculty/Ramesh-Agarwal.html")</f>
        <v>https://engineering.washu.edu/faculty/Ramesh-Agarwal.html</v>
      </c>
    </row>
    <row r="1238" spans="1:12" x14ac:dyDescent="0.3">
      <c r="A1238">
        <v>1228</v>
      </c>
      <c r="B1238" t="s">
        <v>2631</v>
      </c>
      <c r="C1238" t="s">
        <v>2629</v>
      </c>
      <c r="D1238" t="s">
        <v>112</v>
      </c>
      <c r="E1238" t="s">
        <v>2632</v>
      </c>
      <c r="F1238" t="s">
        <v>16</v>
      </c>
      <c r="G1238" t="s">
        <v>17</v>
      </c>
      <c r="H1238" t="s">
        <v>104</v>
      </c>
      <c r="I1238">
        <v>64</v>
      </c>
      <c r="J1238" t="s">
        <v>19</v>
      </c>
      <c r="K1238">
        <v>1</v>
      </c>
      <c r="L1238" t="str">
        <f>HYPERLINK("https://engineering.washu.edu/faculty/Philip-Bayly.html","https://engineering.washu.edu/faculty/Philip-Bayly.html")</f>
        <v>https://engineering.washu.edu/faculty/Philip-Bayly.html</v>
      </c>
    </row>
    <row r="1239" spans="1:12" x14ac:dyDescent="0.3">
      <c r="A1239">
        <v>1229</v>
      </c>
      <c r="B1239" t="s">
        <v>2633</v>
      </c>
      <c r="C1239" t="s">
        <v>2629</v>
      </c>
      <c r="D1239" t="s">
        <v>112</v>
      </c>
      <c r="E1239" t="s">
        <v>2634</v>
      </c>
      <c r="F1239" t="s">
        <v>16</v>
      </c>
      <c r="G1239" t="s">
        <v>17</v>
      </c>
      <c r="H1239" t="s">
        <v>33</v>
      </c>
      <c r="I1239">
        <v>46</v>
      </c>
      <c r="J1239" t="s">
        <v>19</v>
      </c>
      <c r="K1239">
        <v>1</v>
      </c>
      <c r="L1239" t="str">
        <f>HYPERLINK("https://engineering.washu.edu/faculty/Amit-Pathak.html","https://engineering.washu.edu/faculty/Amit-Pathak.html")</f>
        <v>https://engineering.washu.edu/faculty/Amit-Pathak.html</v>
      </c>
    </row>
    <row r="1240" spans="1:12" x14ac:dyDescent="0.3">
      <c r="A1240">
        <v>1232</v>
      </c>
      <c r="B1240" t="s">
        <v>2639</v>
      </c>
      <c r="C1240" t="s">
        <v>2640</v>
      </c>
      <c r="D1240" t="s">
        <v>14</v>
      </c>
      <c r="E1240" t="s">
        <v>2641</v>
      </c>
      <c r="F1240" t="s">
        <v>62</v>
      </c>
      <c r="G1240" t="s">
        <v>63</v>
      </c>
      <c r="H1240" t="s">
        <v>85</v>
      </c>
      <c r="I1240">
        <v>12</v>
      </c>
      <c r="J1240" t="s">
        <v>19</v>
      </c>
      <c r="K1240">
        <v>1</v>
      </c>
      <c r="L1240" t="str">
        <f>HYPERLINK("https://engineering.wayne.edu/profile/gy5595","https://engineering.wayne.edu/profile/gy5595")</f>
        <v>https://engineering.wayne.edu/profile/gy5595</v>
      </c>
    </row>
    <row r="1241" spans="1:12" x14ac:dyDescent="0.3">
      <c r="A1241">
        <v>1233</v>
      </c>
      <c r="B1241" t="s">
        <v>2642</v>
      </c>
      <c r="C1241" t="s">
        <v>2640</v>
      </c>
      <c r="D1241" t="s">
        <v>14</v>
      </c>
      <c r="E1241" t="s">
        <v>2643</v>
      </c>
      <c r="F1241" t="s">
        <v>22</v>
      </c>
      <c r="G1241" t="s">
        <v>23</v>
      </c>
      <c r="H1241" t="s">
        <v>75</v>
      </c>
      <c r="I1241">
        <v>12</v>
      </c>
      <c r="J1241" t="s">
        <v>19</v>
      </c>
      <c r="K1241">
        <v>1</v>
      </c>
      <c r="L1241" t="str">
        <f>HYPERLINK("https://engineering.wayne.edu/profile/eg8067","https://engineering.wayne.edu/profile/eg8067")</f>
        <v>https://engineering.wayne.edu/profile/eg8067</v>
      </c>
    </row>
    <row r="1242" spans="1:12" x14ac:dyDescent="0.3">
      <c r="A1242">
        <v>1234</v>
      </c>
      <c r="B1242" t="s">
        <v>2644</v>
      </c>
      <c r="C1242" t="s">
        <v>2640</v>
      </c>
      <c r="D1242" t="s">
        <v>14</v>
      </c>
      <c r="E1242" t="s">
        <v>2645</v>
      </c>
      <c r="F1242" t="s">
        <v>27</v>
      </c>
      <c r="G1242" t="s">
        <v>28</v>
      </c>
      <c r="H1242" t="s">
        <v>213</v>
      </c>
      <c r="I1242">
        <v>39</v>
      </c>
      <c r="J1242" t="s">
        <v>19</v>
      </c>
      <c r="K1242">
        <v>1</v>
      </c>
      <c r="L1242" t="str">
        <f>HYPERLINK("https://engineering.wayne.edu/profile/aa1045","https://engineering.wayne.edu/profile/aa1045")</f>
        <v>https://engineering.wayne.edu/profile/aa1045</v>
      </c>
    </row>
    <row r="1243" spans="1:12" x14ac:dyDescent="0.3">
      <c r="A1243">
        <v>1235</v>
      </c>
      <c r="B1243" t="s">
        <v>2646</v>
      </c>
      <c r="C1243" t="s">
        <v>2640</v>
      </c>
      <c r="D1243" t="s">
        <v>14</v>
      </c>
      <c r="E1243" t="s">
        <v>2647</v>
      </c>
      <c r="F1243" t="s">
        <v>27</v>
      </c>
      <c r="G1243" t="s">
        <v>28</v>
      </c>
      <c r="H1243" t="s">
        <v>45</v>
      </c>
      <c r="I1243">
        <v>11</v>
      </c>
      <c r="J1243" t="s">
        <v>19</v>
      </c>
      <c r="K1243">
        <v>1</v>
      </c>
      <c r="L1243" t="str">
        <f>HYPERLINK("https://engineering.wayne.edu/profile/aa1039","https://engineering.wayne.edu/profile/aa1039")</f>
        <v>https://engineering.wayne.edu/profile/aa1039</v>
      </c>
    </row>
    <row r="1244" spans="1:12" x14ac:dyDescent="0.3">
      <c r="A1244">
        <v>1236</v>
      </c>
      <c r="B1244" t="s">
        <v>2648</v>
      </c>
      <c r="C1244" t="s">
        <v>2640</v>
      </c>
      <c r="D1244" t="s">
        <v>14</v>
      </c>
      <c r="E1244" t="s">
        <v>2649</v>
      </c>
      <c r="F1244" t="s">
        <v>62</v>
      </c>
      <c r="G1244" t="s">
        <v>63</v>
      </c>
      <c r="H1244" t="s">
        <v>301</v>
      </c>
      <c r="I1244">
        <v>2</v>
      </c>
      <c r="J1244" t="s">
        <v>19</v>
      </c>
      <c r="K1244">
        <v>1</v>
      </c>
      <c r="L1244" t="str">
        <f>HYPERLINK("https://engineering.wayne.edu/profile/ab9714","https://engineering.wayne.edu/profile/ab9714")</f>
        <v>https://engineering.wayne.edu/profile/ab9714</v>
      </c>
    </row>
    <row r="1245" spans="1:12" x14ac:dyDescent="0.3">
      <c r="A1245">
        <v>1237</v>
      </c>
      <c r="B1245" t="s">
        <v>2650</v>
      </c>
      <c r="C1245" t="s">
        <v>2640</v>
      </c>
      <c r="D1245" t="s">
        <v>14</v>
      </c>
      <c r="E1245" t="s">
        <v>2651</v>
      </c>
      <c r="F1245" t="s">
        <v>62</v>
      </c>
      <c r="G1245" t="s">
        <v>63</v>
      </c>
      <c r="H1245" t="s">
        <v>314</v>
      </c>
      <c r="I1245">
        <v>31</v>
      </c>
      <c r="J1245" t="s">
        <v>19</v>
      </c>
      <c r="K1245">
        <v>1</v>
      </c>
      <c r="L1245" t="str">
        <f>HYPERLINK("https://engineering.wayne.edu/profile/hj1787","https://engineering.wayne.edu/profile/hj1787")</f>
        <v>https://engineering.wayne.edu/profile/hj1787</v>
      </c>
    </row>
    <row r="1246" spans="1:12" x14ac:dyDescent="0.3">
      <c r="A1246">
        <v>1238</v>
      </c>
      <c r="B1246" t="s">
        <v>2652</v>
      </c>
      <c r="C1246" t="s">
        <v>2640</v>
      </c>
      <c r="D1246" t="s">
        <v>14</v>
      </c>
      <c r="E1246" t="s">
        <v>2653</v>
      </c>
      <c r="F1246" t="s">
        <v>62</v>
      </c>
      <c r="G1246" t="s">
        <v>63</v>
      </c>
      <c r="H1246" t="s">
        <v>33</v>
      </c>
      <c r="I1246">
        <v>38</v>
      </c>
      <c r="J1246" t="s">
        <v>19</v>
      </c>
      <c r="K1246">
        <v>1</v>
      </c>
      <c r="L1246" t="str">
        <f>HYPERLINK("https://engineering.wayne.edu/profile/ic3645","https://engineering.wayne.edu/profile/ic3645")</f>
        <v>https://engineering.wayne.edu/profile/ic3645</v>
      </c>
    </row>
    <row r="1247" spans="1:12" x14ac:dyDescent="0.3">
      <c r="A1247">
        <v>1239</v>
      </c>
      <c r="B1247" t="s">
        <v>2654</v>
      </c>
      <c r="C1247" t="s">
        <v>2640</v>
      </c>
      <c r="D1247" t="s">
        <v>14</v>
      </c>
      <c r="E1247" t="s">
        <v>2655</v>
      </c>
      <c r="F1247" t="s">
        <v>22</v>
      </c>
      <c r="G1247" t="s">
        <v>23</v>
      </c>
      <c r="H1247" t="s">
        <v>70</v>
      </c>
      <c r="I1247">
        <v>64</v>
      </c>
      <c r="J1247" t="s">
        <v>19</v>
      </c>
      <c r="K1247">
        <v>1</v>
      </c>
      <c r="L1247" t="str">
        <f>HYPERLINK("https://engineering.wayne.edu/profile/gy5553","https://engineering.wayne.edu/profile/gy5553")</f>
        <v>https://engineering.wayne.edu/profile/gy5553</v>
      </c>
    </row>
    <row r="1248" spans="1:12" x14ac:dyDescent="0.3">
      <c r="A1248">
        <v>1240</v>
      </c>
      <c r="B1248" t="s">
        <v>2656</v>
      </c>
      <c r="C1248" t="s">
        <v>2640</v>
      </c>
      <c r="D1248" t="s">
        <v>14</v>
      </c>
      <c r="E1248" t="s">
        <v>2657</v>
      </c>
      <c r="F1248" t="s">
        <v>62</v>
      </c>
      <c r="G1248" t="s">
        <v>63</v>
      </c>
      <c r="H1248" t="s">
        <v>842</v>
      </c>
      <c r="I1248">
        <v>24</v>
      </c>
      <c r="J1248" t="s">
        <v>19</v>
      </c>
      <c r="K1248">
        <v>1</v>
      </c>
      <c r="L1248" t="str">
        <f>HYPERLINK("https://engineering.wayne.edu/profile/hr2821","https://engineering.wayne.edu/profile/hr2821")</f>
        <v>https://engineering.wayne.edu/profile/hr2821</v>
      </c>
    </row>
    <row r="1249" spans="1:12" x14ac:dyDescent="0.3">
      <c r="A1249">
        <v>1248</v>
      </c>
      <c r="B1249" t="s">
        <v>2672</v>
      </c>
      <c r="C1249" t="s">
        <v>2673</v>
      </c>
      <c r="D1249" t="s">
        <v>48</v>
      </c>
      <c r="E1249" t="s">
        <v>2674</v>
      </c>
      <c r="F1249" t="s">
        <v>83</v>
      </c>
      <c r="G1249" t="s">
        <v>84</v>
      </c>
      <c r="H1249" t="s">
        <v>714</v>
      </c>
      <c r="I1249">
        <v>24</v>
      </c>
      <c r="J1249" t="s">
        <v>19</v>
      </c>
      <c r="K1249">
        <v>1</v>
      </c>
      <c r="L1249" t="str">
        <f>HYPERLINK("https://www.wichita.edu/profiles/academics/engineering/aerospace/faculty/01_Faculty/Kianvashrad-Nadia.php","https://www.wichita.edu/profiles/academics/engineering/aerospace/faculty/01_Faculty/Kianvashrad-Nadia.php")</f>
        <v>https://www.wichita.edu/profiles/academics/engineering/aerospace/faculty/01_Faculty/Kianvashrad-Nadia.php</v>
      </c>
    </row>
    <row r="1250" spans="1:12" x14ac:dyDescent="0.3">
      <c r="A1250">
        <v>1249</v>
      </c>
      <c r="B1250" t="s">
        <v>2675</v>
      </c>
      <c r="C1250" t="s">
        <v>2673</v>
      </c>
      <c r="D1250" t="s">
        <v>48</v>
      </c>
      <c r="E1250" t="s">
        <v>2676</v>
      </c>
      <c r="F1250" t="s">
        <v>83</v>
      </c>
      <c r="G1250" t="s">
        <v>84</v>
      </c>
      <c r="H1250" t="s">
        <v>39</v>
      </c>
      <c r="I1250">
        <v>33</v>
      </c>
      <c r="J1250" t="s">
        <v>19</v>
      </c>
      <c r="K1250">
        <v>1</v>
      </c>
      <c r="L1250" t="str">
        <f>HYPERLINK("https://www.wichita.edu/profiles/academics/engineering/aerospace/astronautics/Dutta-Atri.php","https://www.wichita.edu/profiles/academics/engineering/aerospace/astronautics/Dutta-Atri.php")</f>
        <v>https://www.wichita.edu/profiles/academics/engineering/aerospace/astronautics/Dutta-Atri.php</v>
      </c>
    </row>
    <row r="1251" spans="1:12" x14ac:dyDescent="0.3">
      <c r="A1251">
        <v>1250</v>
      </c>
      <c r="B1251" t="s">
        <v>2677</v>
      </c>
      <c r="C1251" t="s">
        <v>2673</v>
      </c>
      <c r="D1251" t="s">
        <v>48</v>
      </c>
      <c r="E1251" t="s">
        <v>2678</v>
      </c>
      <c r="F1251" t="s">
        <v>83</v>
      </c>
      <c r="G1251" t="s">
        <v>84</v>
      </c>
      <c r="H1251" t="s">
        <v>67</v>
      </c>
      <c r="I1251">
        <v>25</v>
      </c>
      <c r="J1251" t="s">
        <v>19</v>
      </c>
      <c r="K1251">
        <v>1</v>
      </c>
      <c r="L1251" t="str">
        <f>HYPERLINK("https://www.wichita.edu/profiles/academics/engineering/aerospace/xaefaculty.php","https://www.wichita.edu/profiles/academics/engineering/aerospace/xaefaculty.php")</f>
        <v>https://www.wichita.edu/profiles/academics/engineering/aerospace/xaefaculty.php</v>
      </c>
    </row>
    <row r="1252" spans="1:12" x14ac:dyDescent="0.3">
      <c r="A1252">
        <v>1251</v>
      </c>
      <c r="B1252" t="s">
        <v>2679</v>
      </c>
      <c r="C1252" t="s">
        <v>2673</v>
      </c>
      <c r="D1252" t="s">
        <v>48</v>
      </c>
      <c r="E1252" t="s">
        <v>2680</v>
      </c>
      <c r="F1252" t="s">
        <v>83</v>
      </c>
      <c r="G1252" t="s">
        <v>84</v>
      </c>
      <c r="H1252" t="s">
        <v>140</v>
      </c>
      <c r="I1252">
        <v>6</v>
      </c>
      <c r="J1252" t="s">
        <v>19</v>
      </c>
      <c r="K1252">
        <v>1</v>
      </c>
      <c r="L1252" t="str">
        <f>HYPERLINK("https://www.wichita.edu/profiles/academics/engineering/aerospace/faculty/01_Faculty/Keshavanarayana-Suresh.php","https://www.wichita.edu/profiles/academics/engineering/aerospace/faculty/01_Faculty/Keshavanarayana-Suresh.php")</f>
        <v>https://www.wichita.edu/profiles/academics/engineering/aerospace/faculty/01_Faculty/Keshavanarayana-Suresh.php</v>
      </c>
    </row>
    <row r="1253" spans="1:12" x14ac:dyDescent="0.3">
      <c r="A1253">
        <v>1252</v>
      </c>
      <c r="B1253" t="s">
        <v>2681</v>
      </c>
      <c r="C1253" t="s">
        <v>2673</v>
      </c>
      <c r="D1253" t="s">
        <v>14</v>
      </c>
      <c r="E1253" t="s">
        <v>2682</v>
      </c>
      <c r="F1253" t="s">
        <v>83</v>
      </c>
      <c r="G1253" t="s">
        <v>84</v>
      </c>
      <c r="H1253" t="s">
        <v>406</v>
      </c>
      <c r="I1253">
        <v>142</v>
      </c>
      <c r="J1253" t="s">
        <v>19</v>
      </c>
      <c r="K1253">
        <v>1</v>
      </c>
      <c r="L1253" t="str">
        <f>HYPERLINK("https://www.wichita.edu/profiles/academics/engineering/mechanical_engineering/01_Faculty/index.php","https://www.wichita.edu/profiles/academics/engineering/mechanical_engineering/01_Faculty/index.php")</f>
        <v>https://www.wichita.edu/profiles/academics/engineering/mechanical_engineering/01_Faculty/index.php</v>
      </c>
    </row>
    <row r="1254" spans="1:12" hidden="1" x14ac:dyDescent="0.3">
      <c r="A1254">
        <v>1253</v>
      </c>
      <c r="B1254" t="s">
        <v>2683</v>
      </c>
      <c r="C1254" t="s">
        <v>2673</v>
      </c>
      <c r="D1254" t="s">
        <v>31</v>
      </c>
      <c r="E1254" t="s">
        <v>2684</v>
      </c>
      <c r="F1254" t="s">
        <v>83</v>
      </c>
      <c r="G1254" t="s">
        <v>84</v>
      </c>
      <c r="H1254" t="s">
        <v>70</v>
      </c>
      <c r="I1254">
        <v>10</v>
      </c>
      <c r="J1254" t="s">
        <v>19</v>
      </c>
      <c r="K1254">
        <v>1</v>
      </c>
      <c r="L1254" t="str">
        <f>HYPERLINK("https://www.wichita.edu/profiles/academics/fairmount_college_of_liberal_arts_and_sciences/Math/Faculty/index.php","https://www.wichita.edu/profiles/academics/fairmount_college_of_liberal_arts_and_sciences/Math/Faculty/index.php")</f>
        <v>https://www.wichita.edu/profiles/academics/fairmount_college_of_liberal_arts_and_sciences/Math/Faculty/index.php</v>
      </c>
    </row>
    <row r="1255" spans="1:12" hidden="1" x14ac:dyDescent="0.3">
      <c r="A1255">
        <v>1254</v>
      </c>
      <c r="B1255" t="s">
        <v>2685</v>
      </c>
      <c r="C1255" t="s">
        <v>2673</v>
      </c>
      <c r="D1255" t="s">
        <v>31</v>
      </c>
      <c r="E1255" t="s">
        <v>2686</v>
      </c>
      <c r="F1255" t="s">
        <v>62</v>
      </c>
      <c r="G1255" t="s">
        <v>63</v>
      </c>
      <c r="H1255" t="s">
        <v>842</v>
      </c>
      <c r="I1255">
        <v>1</v>
      </c>
      <c r="J1255" t="s">
        <v>19</v>
      </c>
      <c r="K1255">
        <v>1</v>
      </c>
      <c r="L1255" t="str">
        <f>HYPERLINK("https://www.math.wichita.edu/~lu/resume/","https://www.math.wichita.edu/~lu/resume/")</f>
        <v>https://www.math.wichita.edu/~lu/resume/</v>
      </c>
    </row>
    <row r="1256" spans="1:12" hidden="1" x14ac:dyDescent="0.3">
      <c r="A1256">
        <v>1255</v>
      </c>
      <c r="B1256" t="s">
        <v>2687</v>
      </c>
      <c r="C1256" t="s">
        <v>2673</v>
      </c>
      <c r="D1256" t="s">
        <v>31</v>
      </c>
      <c r="E1256" t="s">
        <v>2688</v>
      </c>
      <c r="F1256" t="s">
        <v>83</v>
      </c>
      <c r="G1256" t="s">
        <v>84</v>
      </c>
      <c r="H1256" t="s">
        <v>33</v>
      </c>
      <c r="I1256">
        <v>31</v>
      </c>
      <c r="J1256" t="s">
        <v>19</v>
      </c>
      <c r="K1256">
        <v>1</v>
      </c>
      <c r="L1256" t="str">
        <f>HYPERLINK("https://www.wichita.edu/profiles/academics/fairmount_college_of_liberal_arts_and_sciences/Math/Faculty/Nasser-Mohamed.php","https://www.wichita.edu/profiles/academics/fairmount_college_of_liberal_arts_and_sciences/Math/Faculty/Nasser-Mohamed.php")</f>
        <v>https://www.wichita.edu/profiles/academics/fairmount_college_of_liberal_arts_and_sciences/Math/Faculty/Nasser-Mohamed.php</v>
      </c>
    </row>
    <row r="1257" spans="1:12" x14ac:dyDescent="0.3">
      <c r="A1257">
        <v>1256</v>
      </c>
      <c r="B1257" t="s">
        <v>2689</v>
      </c>
      <c r="C1257" t="s">
        <v>2690</v>
      </c>
      <c r="D1257" t="s">
        <v>14</v>
      </c>
      <c r="E1257" t="s">
        <v>2691</v>
      </c>
      <c r="F1257" t="s">
        <v>16</v>
      </c>
      <c r="G1257" t="s">
        <v>17</v>
      </c>
      <c r="H1257" t="s">
        <v>36</v>
      </c>
      <c r="I1257">
        <v>48</v>
      </c>
      <c r="J1257" t="s">
        <v>19</v>
      </c>
      <c r="K1257">
        <v>1</v>
      </c>
      <c r="L1257" t="str">
        <f>HYPERLINK("https://people.wright.edu/zifeng.yang","https://people.wright.edu/zifeng.yang")</f>
        <v>https://people.wright.edu/zifeng.yang</v>
      </c>
    </row>
    <row r="1258" spans="1:12" x14ac:dyDescent="0.3">
      <c r="A1258">
        <v>1257</v>
      </c>
      <c r="B1258" t="s">
        <v>2692</v>
      </c>
      <c r="C1258" t="s">
        <v>2690</v>
      </c>
      <c r="D1258" t="s">
        <v>14</v>
      </c>
      <c r="E1258" t="s">
        <v>2693</v>
      </c>
      <c r="F1258" t="s">
        <v>16</v>
      </c>
      <c r="G1258" t="s">
        <v>17</v>
      </c>
      <c r="H1258" t="s">
        <v>516</v>
      </c>
      <c r="I1258">
        <v>23</v>
      </c>
      <c r="J1258" t="s">
        <v>19</v>
      </c>
      <c r="K1258">
        <v>1</v>
      </c>
      <c r="L1258" t="str">
        <f>HYPERLINK("https://people.wright.edu/mitch.wolff","https://people.wright.edu/mitch.wolff")</f>
        <v>https://people.wright.edu/mitch.wolff</v>
      </c>
    </row>
    <row r="1259" spans="1:12" hidden="1" x14ac:dyDescent="0.3">
      <c r="A1259">
        <v>1258</v>
      </c>
      <c r="B1259" t="s">
        <v>2694</v>
      </c>
      <c r="C1259" t="s">
        <v>2690</v>
      </c>
      <c r="D1259" t="s">
        <v>31</v>
      </c>
      <c r="E1259" t="s">
        <v>2695</v>
      </c>
      <c r="F1259" t="s">
        <v>16</v>
      </c>
      <c r="G1259" t="s">
        <v>17</v>
      </c>
      <c r="H1259" t="s">
        <v>53</v>
      </c>
      <c r="I1259">
        <v>15</v>
      </c>
      <c r="J1259" t="s">
        <v>19</v>
      </c>
      <c r="K1259">
        <v>1</v>
      </c>
      <c r="L1259" t="str">
        <f>HYPERLINK("https://people.wright.edu/hamed.attariani","https://people.wright.edu/hamed.attariani")</f>
        <v>https://people.wright.edu/hamed.attariani</v>
      </c>
    </row>
    <row r="1260" spans="1:12" x14ac:dyDescent="0.3">
      <c r="A1260">
        <v>1259</v>
      </c>
      <c r="B1260" t="s">
        <v>2696</v>
      </c>
      <c r="C1260" t="s">
        <v>2690</v>
      </c>
      <c r="D1260" t="s">
        <v>14</v>
      </c>
      <c r="E1260" t="s">
        <v>57</v>
      </c>
      <c r="F1260" t="s">
        <v>16</v>
      </c>
      <c r="G1260" t="s">
        <v>17</v>
      </c>
      <c r="H1260" t="s">
        <v>58</v>
      </c>
      <c r="I1260">
        <v>0</v>
      </c>
      <c r="J1260" t="s">
        <v>19</v>
      </c>
      <c r="K1260">
        <v>1</v>
      </c>
      <c r="L1260" t="str">
        <f>HYPERLINK("https://people.wright.edu/sheng.li","https://people.wright.edu/sheng.li")</f>
        <v>https://people.wright.edu/sheng.li</v>
      </c>
    </row>
    <row r="1261" spans="1:12" hidden="1" x14ac:dyDescent="0.3">
      <c r="A1261">
        <v>1260</v>
      </c>
      <c r="B1261" t="s">
        <v>2697</v>
      </c>
      <c r="C1261" t="s">
        <v>2690</v>
      </c>
      <c r="D1261" t="s">
        <v>31</v>
      </c>
      <c r="E1261" t="s">
        <v>2698</v>
      </c>
      <c r="F1261" t="s">
        <v>16</v>
      </c>
      <c r="G1261" t="s">
        <v>17</v>
      </c>
      <c r="H1261" t="s">
        <v>80</v>
      </c>
      <c r="I1261">
        <v>3</v>
      </c>
      <c r="J1261" t="s">
        <v>19</v>
      </c>
      <c r="K1261">
        <v>1</v>
      </c>
      <c r="L1261" t="str">
        <f>HYPERLINK("https://people.wright.edu/weifu.fang","https://people.wright.edu/weifu.fang")</f>
        <v>https://people.wright.edu/weifu.fang</v>
      </c>
    </row>
    <row r="1262" spans="1:12" hidden="1" x14ac:dyDescent="0.3">
      <c r="A1262">
        <v>1261</v>
      </c>
      <c r="B1262" t="s">
        <v>2699</v>
      </c>
      <c r="C1262" t="s">
        <v>2690</v>
      </c>
      <c r="D1262" t="s">
        <v>31</v>
      </c>
      <c r="E1262" t="s">
        <v>57</v>
      </c>
      <c r="F1262" t="s">
        <v>27</v>
      </c>
      <c r="G1262" t="s">
        <v>476</v>
      </c>
      <c r="H1262" t="s">
        <v>58</v>
      </c>
      <c r="I1262">
        <v>0</v>
      </c>
      <c r="J1262" t="s">
        <v>59</v>
      </c>
      <c r="K1262">
        <v>2</v>
      </c>
      <c r="L1262" t="str">
        <f>HYPERLINK("https://people.wright.edu/ayse.sahin","https://people.wright.edu/ayse.sahin")</f>
        <v>https://people.wright.edu/ayse.sahin</v>
      </c>
    </row>
    <row r="1263" spans="1:12" x14ac:dyDescent="0.3">
      <c r="A1263">
        <v>1262</v>
      </c>
      <c r="B1263" t="s">
        <v>2700</v>
      </c>
      <c r="C1263" t="s">
        <v>2701</v>
      </c>
      <c r="D1263" t="s">
        <v>112</v>
      </c>
      <c r="E1263" t="s">
        <v>2702</v>
      </c>
      <c r="F1263" t="s">
        <v>62</v>
      </c>
      <c r="G1263" t="s">
        <v>63</v>
      </c>
      <c r="H1263" t="s">
        <v>329</v>
      </c>
      <c r="I1263">
        <v>1</v>
      </c>
      <c r="J1263" t="s">
        <v>19</v>
      </c>
      <c r="K1263">
        <v>1</v>
      </c>
      <c r="L1263" t="str">
        <f>HYPERLINK("https://engineering.yale.edu/research-and-faculty/faculty-directory/mitchell-smooke","https://engineering.yale.edu/research-and-faculty/faculty-directory/mitchell-smooke")</f>
        <v>https://engineering.yale.edu/research-and-faculty/faculty-directory/mitchell-smooke</v>
      </c>
    </row>
    <row r="1264" spans="1:12" x14ac:dyDescent="0.3">
      <c r="A1264">
        <v>1263</v>
      </c>
      <c r="B1264" t="s">
        <v>2703</v>
      </c>
      <c r="C1264" t="s">
        <v>2701</v>
      </c>
      <c r="D1264" t="s">
        <v>112</v>
      </c>
      <c r="E1264" t="s">
        <v>2704</v>
      </c>
      <c r="F1264" t="s">
        <v>16</v>
      </c>
      <c r="G1264" t="s">
        <v>17</v>
      </c>
      <c r="H1264" t="s">
        <v>67</v>
      </c>
      <c r="I1264">
        <v>11</v>
      </c>
      <c r="J1264" t="s">
        <v>19</v>
      </c>
      <c r="K1264">
        <v>1</v>
      </c>
      <c r="L1264" t="str">
        <f>HYPERLINK("https://engineering.yale.edu/research-and-faculty/faculty-directory/alessandro-gomez","https://engineering.yale.edu/research-and-faculty/faculty-directory/alessandro-gomez")</f>
        <v>https://engineering.yale.edu/research-and-faculty/faculty-directory/alessandro-gomez</v>
      </c>
    </row>
    <row r="1265" spans="1:12" x14ac:dyDescent="0.3">
      <c r="A1265">
        <v>1264</v>
      </c>
      <c r="B1265" t="s">
        <v>2705</v>
      </c>
      <c r="C1265" t="s">
        <v>2701</v>
      </c>
      <c r="D1265" t="s">
        <v>112</v>
      </c>
      <c r="E1265" t="s">
        <v>2706</v>
      </c>
      <c r="F1265" t="s">
        <v>62</v>
      </c>
      <c r="G1265" t="s">
        <v>63</v>
      </c>
      <c r="H1265" t="s">
        <v>36</v>
      </c>
      <c r="I1265">
        <v>27</v>
      </c>
      <c r="J1265" t="s">
        <v>19</v>
      </c>
      <c r="K1265">
        <v>1</v>
      </c>
      <c r="L1265" t="str">
        <f>HYPERLINK("https://engineering.yale.edu/research-and-faculty/faculty-directory/amir-pahlavan","https://engineering.yale.edu/research-and-faculty/faculty-directory/amir-pahlavan")</f>
        <v>https://engineering.yale.edu/research-and-faculty/faculty-directory/amir-pahlavan</v>
      </c>
    </row>
    <row r="1266" spans="1:12" hidden="1" x14ac:dyDescent="0.3">
      <c r="A1266">
        <v>1265</v>
      </c>
      <c r="B1266" t="s">
        <v>2707</v>
      </c>
      <c r="C1266" t="s">
        <v>2701</v>
      </c>
      <c r="D1266" t="s">
        <v>31</v>
      </c>
      <c r="E1266" t="s">
        <v>2708</v>
      </c>
      <c r="F1266" t="s">
        <v>27</v>
      </c>
      <c r="G1266" t="s">
        <v>28</v>
      </c>
      <c r="H1266" t="s">
        <v>18</v>
      </c>
      <c r="I1266">
        <v>80</v>
      </c>
      <c r="J1266" t="s">
        <v>19</v>
      </c>
      <c r="K1266">
        <v>1</v>
      </c>
      <c r="L1266" t="str">
        <f>HYPERLINK("https://engineering.yale.edu/research-and-faculty/faculty-directory/corey-ohern","https://engineering.yale.edu/research-and-faculty/faculty-directory/corey-ohern")</f>
        <v>https://engineering.yale.edu/research-and-faculty/faculty-directory/corey-ohern</v>
      </c>
    </row>
    <row r="1267" spans="1:12" x14ac:dyDescent="0.3">
      <c r="A1267">
        <v>1266</v>
      </c>
      <c r="B1267" t="s">
        <v>2709</v>
      </c>
      <c r="C1267" t="s">
        <v>2701</v>
      </c>
      <c r="D1267" t="s">
        <v>112</v>
      </c>
      <c r="E1267" t="s">
        <v>2710</v>
      </c>
      <c r="F1267" t="s">
        <v>62</v>
      </c>
      <c r="G1267" t="s">
        <v>63</v>
      </c>
      <c r="H1267" t="s">
        <v>127</v>
      </c>
      <c r="I1267">
        <v>20</v>
      </c>
      <c r="J1267" t="s">
        <v>19</v>
      </c>
      <c r="K1267">
        <v>1</v>
      </c>
      <c r="L1267" t="str">
        <f>HYPERLINK("https://engineering.yale.edu/research-and-faculty/faculty-directory/bauyrzhan-primkulov","https://engineering.yale.edu/research-and-faculty/faculty-directory/bauyrzhan-primkulov")</f>
        <v>https://engineering.yale.edu/research-and-faculty/faculty-directory/bauyrzhan-primkulov</v>
      </c>
    </row>
    <row r="1268" spans="1:12" hidden="1" x14ac:dyDescent="0.3">
      <c r="A1268">
        <v>1267</v>
      </c>
      <c r="B1268" t="s">
        <v>2711</v>
      </c>
      <c r="C1268" t="s">
        <v>2701</v>
      </c>
      <c r="D1268" t="s">
        <v>31</v>
      </c>
      <c r="E1268" t="s">
        <v>2712</v>
      </c>
      <c r="F1268" t="s">
        <v>16</v>
      </c>
      <c r="G1268" t="s">
        <v>17</v>
      </c>
      <c r="H1268" t="s">
        <v>638</v>
      </c>
      <c r="I1268">
        <v>7</v>
      </c>
      <c r="J1268" t="s">
        <v>19</v>
      </c>
      <c r="K1268">
        <v>1</v>
      </c>
      <c r="L1268" t="str">
        <f>HYPERLINK("https://engineering.yale.edu/research-and-faculty/faculty-directory/vladimir-rokhlin","https://engineering.yale.edu/research-and-faculty/faculty-directory/vladimir-rokhlin")</f>
        <v>https://engineering.yale.edu/research-and-faculty/faculty-directory/vladimir-rokhlin</v>
      </c>
    </row>
    <row r="1269" spans="1:12" hidden="1" x14ac:dyDescent="0.3">
      <c r="A1269">
        <v>1268</v>
      </c>
      <c r="B1269" t="s">
        <v>2713</v>
      </c>
      <c r="C1269" t="s">
        <v>2701</v>
      </c>
      <c r="D1269" t="s">
        <v>31</v>
      </c>
      <c r="E1269" t="s">
        <v>2714</v>
      </c>
      <c r="F1269" t="s">
        <v>16</v>
      </c>
      <c r="G1269" t="s">
        <v>17</v>
      </c>
      <c r="H1269" t="s">
        <v>92</v>
      </c>
      <c r="I1269">
        <v>1</v>
      </c>
      <c r="J1269" t="s">
        <v>19</v>
      </c>
      <c r="K1269">
        <v>1</v>
      </c>
      <c r="L1269" t="str">
        <f>HYPERLINK("https://engineering.yale.edu/research-and-faculty/faculty-directory/ronald-coifman","https://engineering.yale.edu/research-and-faculty/faculty-directory/ronald-coifman")</f>
        <v>https://engineering.yale.edu/research-and-faculty/faculty-directory/ronald-coifman</v>
      </c>
    </row>
    <row r="1270" spans="1:12" x14ac:dyDescent="0.3">
      <c r="A1270">
        <v>1269</v>
      </c>
      <c r="B1270" t="s">
        <v>2715</v>
      </c>
      <c r="C1270" t="s">
        <v>2701</v>
      </c>
      <c r="D1270" t="s">
        <v>112</v>
      </c>
      <c r="E1270" t="s">
        <v>2716</v>
      </c>
      <c r="F1270" t="s">
        <v>22</v>
      </c>
      <c r="G1270" t="s">
        <v>23</v>
      </c>
      <c r="H1270" t="s">
        <v>140</v>
      </c>
      <c r="I1270">
        <v>14</v>
      </c>
      <c r="J1270" t="s">
        <v>19</v>
      </c>
      <c r="K1270">
        <v>1</v>
      </c>
      <c r="L1270" t="str">
        <f>HYPERLINK("https://engineering.yale.edu/research-and-faculty/faculty-directory/madhusudhan-venkadesan","https://engineering.yale.edu/research-and-faculty/faculty-directory/madhusudhan-venkadesan")</f>
        <v>https://engineering.yale.edu/research-and-faculty/faculty-directory/madhusudhan-venkadesan</v>
      </c>
    </row>
  </sheetData>
  <autoFilter ref="D1:D1270" xr:uid="{2C4EC11E-2E04-456C-AE22-B1126AAA2DB3}">
    <filterColumn colId="0">
      <filters>
        <filter val="Aero"/>
        <filter val="Aero/Math"/>
        <filter val="Mech"/>
        <filter val="Mech/Aero"/>
        <filter val="Mech/Aero/Math"/>
        <filter val="Mech/Math"/>
        <filter val="Other"/>
      </filters>
    </filterColumn>
  </autoFilter>
  <sortState xmlns:xlrd2="http://schemas.microsoft.com/office/spreadsheetml/2017/richdata2" ref="A2:L1270">
    <sortCondition descending="1" ref="K664:K127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faculty_status_audit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keshavp1@hotmail.com</cp:lastModifiedBy>
  <dcterms:created xsi:type="dcterms:W3CDTF">2026-09-19T13:03:21Z</dcterms:created>
  <dcterms:modified xsi:type="dcterms:W3CDTF">2026-09-19T13:03:21Z</dcterms:modified>
</cp:coreProperties>
</file>