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ero Focus" sheetId="1" state="visible" r:id="rId1"/>
    <sheet xmlns:r="http://schemas.openxmlformats.org/officeDocument/2006/relationships" name="Field Matched" sheetId="2" state="visible" r:id="rId2"/>
    <sheet xmlns:r="http://schemas.openxmlformats.org/officeDocument/2006/relationships" name="All Facult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563C1"/>
      <sz val="11"/>
      <u val="single"/>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e.gatech.edu/directory/person/joseph-oefelein" TargetMode="External" Id="rId1"/><Relationship Type="http://schemas.openxmlformats.org/officeDocument/2006/relationships/hyperlink" Target="https://scholar.google.com/citations?hl=en&amp;user=B7sAIl8AAAAJ" TargetMode="External" Id="rId2"/><Relationship Type="http://schemas.openxmlformats.org/officeDocument/2006/relationships/hyperlink" Target="mailto:joseph.oefelein@gatech.edu" TargetMode="External" Id="rId3"/><Relationship Type="http://schemas.openxmlformats.org/officeDocument/2006/relationships/hyperlink" Target="https://doi.org/10.1016/j.combustflame.2022.112183" TargetMode="External" Id="rId4"/><Relationship Type="http://schemas.openxmlformats.org/officeDocument/2006/relationships/hyperlink" Target="https://doi.org/10.2514/1.J059845" TargetMode="External" Id="rId5"/><Relationship Type="http://schemas.openxmlformats.org/officeDocument/2006/relationships/hyperlink" Target="https://doi.org/10.1016/j.combustflame.2022.112183 | https://doi.org/10.2514/1.J059845" TargetMode="External" Id="rId6"/><Relationship Type="http://schemas.openxmlformats.org/officeDocument/2006/relationships/hyperlink" Target="https://www.gatech.edu/" TargetMode="External" Id="rId7"/><Relationship Type="http://schemas.openxmlformats.org/officeDocument/2006/relationships/hyperlink" Target="https://ae.gatech.edu/browser-directory?tid=1" TargetMode="External" Id="rId8"/><Relationship Type="http://schemas.openxmlformats.org/officeDocument/2006/relationships/hyperlink" Target="https://ae.gatech.edu/directory/person/vigor-yang" TargetMode="External" Id="rId9"/><Relationship Type="http://schemas.openxmlformats.org/officeDocument/2006/relationships/hyperlink" Target="https://scholar.google.com/citations?hl=en&amp;user=vI8qfZQAAAAJ" TargetMode="External" Id="rId10"/><Relationship Type="http://schemas.openxmlformats.org/officeDocument/2006/relationships/hyperlink" Target="mailto:vigor@gatech.edu" TargetMode="External" Id="rId11"/><Relationship Type="http://schemas.openxmlformats.org/officeDocument/2006/relationships/hyperlink" Target="https://doi.org/10.1016/j.combustflame.2021.111763" TargetMode="External" Id="rId12"/><Relationship Type="http://schemas.openxmlformats.org/officeDocument/2006/relationships/hyperlink" Target="https://doi.org/10.2514/1.B38219" TargetMode="External" Id="rId13"/><Relationship Type="http://schemas.openxmlformats.org/officeDocument/2006/relationships/hyperlink" Target="https://doi.org/10.1016/j.combustflame.2021.111763 | https://doi.org/10.2514/1.B38219" TargetMode="External" Id="rId14"/><Relationship Type="http://schemas.openxmlformats.org/officeDocument/2006/relationships/hyperlink" Target="https://www.gatech.edu/" TargetMode="External" Id="rId15"/><Relationship Type="http://schemas.openxmlformats.org/officeDocument/2006/relationships/hyperlink" Target="https://ae.gatech.edu/browser-directory?tid=1" TargetMode="External" Id="rId16"/><Relationship Type="http://schemas.openxmlformats.org/officeDocument/2006/relationships/hyperlink" Target="https://ae.gatech.edu/directory/person/adam-m-steinberg" TargetMode="External" Id="rId17"/><Relationship Type="http://schemas.openxmlformats.org/officeDocument/2006/relationships/hyperlink" Target="https://scholar.google.com/citations?hl=en&amp;user=Fn2TzgIAAAAJ" TargetMode="External" Id="rId18"/><Relationship Type="http://schemas.openxmlformats.org/officeDocument/2006/relationships/hyperlink" Target="mailto:adam.steinberg@gatech.edu" TargetMode="External" Id="rId19"/><Relationship Type="http://schemas.openxmlformats.org/officeDocument/2006/relationships/hyperlink" Target="https://doi.org/10.1016/j.combustflame.2023.112754" TargetMode="External" Id="rId20"/><Relationship Type="http://schemas.openxmlformats.org/officeDocument/2006/relationships/hyperlink" Target="https://doi.org/10.1016/j.proci.2020.06.149" TargetMode="External" Id="rId21"/><Relationship Type="http://schemas.openxmlformats.org/officeDocument/2006/relationships/hyperlink" Target="https://doi.org/10.1016/j.combustflame.2023.112754 | https://doi.org/10.1016/j.proci.2020.06.149" TargetMode="External" Id="rId22"/><Relationship Type="http://schemas.openxmlformats.org/officeDocument/2006/relationships/hyperlink" Target="https://www.gatech.edu/" TargetMode="External" Id="rId23"/><Relationship Type="http://schemas.openxmlformats.org/officeDocument/2006/relationships/hyperlink" Target="https://ae.gatech.edu/browser-directory?tid=1" TargetMode="External" Id="rId24"/><Relationship Type="http://schemas.openxmlformats.org/officeDocument/2006/relationships/hyperlink" Target="https://ae.gatech.edu/directory/person/jerry-m-seitzman" TargetMode="External" Id="rId25"/><Relationship Type="http://schemas.openxmlformats.org/officeDocument/2006/relationships/hyperlink" Target="https://scholar.google.com/citations?hl=en&amp;user=BXHM6g4AAAAJ" TargetMode="External" Id="rId26"/><Relationship Type="http://schemas.openxmlformats.org/officeDocument/2006/relationships/hyperlink" Target="mailto:jerry.seitzman@aerospace.gatech.edu" TargetMode="External" Id="rId27"/><Relationship Type="http://schemas.openxmlformats.org/officeDocument/2006/relationships/hyperlink" Target="https://doi.org/10.1088/1361-6501/ac4b21" TargetMode="External" Id="rId28"/><Relationship Type="http://schemas.openxmlformats.org/officeDocument/2006/relationships/hyperlink" Target="https://doi.org/10.2514/1.T6072" TargetMode="External" Id="rId29"/><Relationship Type="http://schemas.openxmlformats.org/officeDocument/2006/relationships/hyperlink" Target="https://doi.org/10.1088/1361-6501/ac4b21 | https://doi.org/10.2514/1.T6072" TargetMode="External" Id="rId30"/><Relationship Type="http://schemas.openxmlformats.org/officeDocument/2006/relationships/hyperlink" Target="https://www.gatech.edu/" TargetMode="External" Id="rId31"/><Relationship Type="http://schemas.openxmlformats.org/officeDocument/2006/relationships/hyperlink" Target="https://ae.gatech.edu/browser-directory?tid=1" TargetMode="External" Id="rId32"/><Relationship Type="http://schemas.openxmlformats.org/officeDocument/2006/relationships/hyperlink" Target="https://ae.gatech.edu/directory/person/lakshmi-n-sankar" TargetMode="External" Id="rId33"/><Relationship Type="http://schemas.openxmlformats.org/officeDocument/2006/relationships/hyperlink" Target="https://scholar.google.com/citations?hl=en&amp;user=y3Kfgp4AAAAJ" TargetMode="External" Id="rId34"/><Relationship Type="http://schemas.openxmlformats.org/officeDocument/2006/relationships/hyperlink" Target="mailto:lsankar@ae.gatech.edu" TargetMode="External" Id="rId35"/><Relationship Type="http://schemas.openxmlformats.org/officeDocument/2006/relationships/hyperlink" Target="https://doi.org/10.4050/JAHS.68.032001" TargetMode="External" Id="rId36"/><Relationship Type="http://schemas.openxmlformats.org/officeDocument/2006/relationships/hyperlink" Target="https://doi.org/10.2514/1.J060183" TargetMode="External" Id="rId37"/><Relationship Type="http://schemas.openxmlformats.org/officeDocument/2006/relationships/hyperlink" Target="https://doi.org/10.4050/JAHS.68.032001 | https://doi.org/10.2514/1.J060183" TargetMode="External" Id="rId38"/><Relationship Type="http://schemas.openxmlformats.org/officeDocument/2006/relationships/hyperlink" Target="https://www.gatech.edu/" TargetMode="External" Id="rId39"/><Relationship Type="http://schemas.openxmlformats.org/officeDocument/2006/relationships/hyperlink" Target="https://ae.gatech.edu/browser-directory?tid=1" TargetMode="External" Id="rId40"/><Relationship Type="http://schemas.openxmlformats.org/officeDocument/2006/relationships/hyperlink" Target="https://ae.gatech.edu/directory/person/mitchell-lr-walker-ii" TargetMode="External" Id="rId41"/><Relationship Type="http://schemas.openxmlformats.org/officeDocument/2006/relationships/hyperlink" Target="https://scholar.google.com/citations?hl=en&amp;user=Qu8AAMQAAAAJ" TargetMode="External" Id="rId42"/><Relationship Type="http://schemas.openxmlformats.org/officeDocument/2006/relationships/hyperlink" Target="mailto:mitchell.walker@ae.gatech.edu" TargetMode="External" Id="rId43"/><Relationship Type="http://schemas.openxmlformats.org/officeDocument/2006/relationships/hyperlink" Target="https://doi.org/10.2514/1.B38688" TargetMode="External" Id="rId44"/><Relationship Type="http://schemas.openxmlformats.org/officeDocument/2006/relationships/hyperlink" Target="https://doi.org/10.1007/s44205-023-00045-z" TargetMode="External" Id="rId45"/><Relationship Type="http://schemas.openxmlformats.org/officeDocument/2006/relationships/hyperlink" Target="https://doi.org/10.2514/1.B38688 | https://doi.org/10.1007/s44205-023-00045-z" TargetMode="External" Id="rId46"/><Relationship Type="http://schemas.openxmlformats.org/officeDocument/2006/relationships/hyperlink" Target="https://www.gatech.edu/" TargetMode="External" Id="rId47"/><Relationship Type="http://schemas.openxmlformats.org/officeDocument/2006/relationships/hyperlink" Target="https://ae.gatech.edu/browser-directory?tid=1" TargetMode="External" Id="rId48"/><Relationship Type="http://schemas.openxmlformats.org/officeDocument/2006/relationships/hyperlink" Target="https://ae.gatech.edu/directory/person/suresh-menon" TargetMode="External" Id="rId49"/><Relationship Type="http://schemas.openxmlformats.org/officeDocument/2006/relationships/hyperlink" Target="https://scholar.google.com/citations?hl=en&amp;user=IaCfFYIAAAAJ" TargetMode="External" Id="rId50"/><Relationship Type="http://schemas.openxmlformats.org/officeDocument/2006/relationships/hyperlink" Target="mailto:suresh.menon@aerospace.gatech.edu" TargetMode="External" Id="rId51"/><Relationship Type="http://schemas.openxmlformats.org/officeDocument/2006/relationships/hyperlink" Target="https://doi.org/10.1016/j.combustflame.2021.111634" TargetMode="External" Id="rId52"/><Relationship Type="http://schemas.openxmlformats.org/officeDocument/2006/relationships/hyperlink" Target="https://doi.org/10.1016/j.proci.2022.07.034" TargetMode="External" Id="rId53"/><Relationship Type="http://schemas.openxmlformats.org/officeDocument/2006/relationships/hyperlink" Target="https://doi.org/10.1016/j.combustflame.2021.111634 | https://doi.org/10.1016/j.proci.2022.07.034" TargetMode="External" Id="rId54"/><Relationship Type="http://schemas.openxmlformats.org/officeDocument/2006/relationships/hyperlink" Target="https://www.gatech.edu/" TargetMode="External" Id="rId55"/><Relationship Type="http://schemas.openxmlformats.org/officeDocument/2006/relationships/hyperlink" Target="https://ae.gatech.edu/browser-directory?tid=1" TargetMode="External" Id="rId56"/><Relationship Type="http://schemas.openxmlformats.org/officeDocument/2006/relationships/hyperlink" Target="https://ae.gatech.edu/directory/person/timothy-charles-lieuwen" TargetMode="External" Id="rId57"/><Relationship Type="http://schemas.openxmlformats.org/officeDocument/2006/relationships/hyperlink" Target="https://scholar.google.com/citations?hl=en&amp;user=G7aXfOAAAAAJ" TargetMode="External" Id="rId58"/><Relationship Type="http://schemas.openxmlformats.org/officeDocument/2006/relationships/hyperlink" Target="mailto:tim.lieuwen@gatech.edu" TargetMode="External" Id="rId59"/><Relationship Type="http://schemas.openxmlformats.org/officeDocument/2006/relationships/hyperlink" Target="https://doi.org/10.1115/1.4053164" TargetMode="External" Id="rId60"/><Relationship Type="http://schemas.openxmlformats.org/officeDocument/2006/relationships/hyperlink" Target="https://doi.org/10.1017/jfm.2021.433" TargetMode="External" Id="rId61"/><Relationship Type="http://schemas.openxmlformats.org/officeDocument/2006/relationships/hyperlink" Target="https://doi.org/10.1115/1.4053164 | https://doi.org/10.1017/jfm.2021.433" TargetMode="External" Id="rId62"/><Relationship Type="http://schemas.openxmlformats.org/officeDocument/2006/relationships/hyperlink" Target="https://www.gatech.edu/" TargetMode="External" Id="rId63"/><Relationship Type="http://schemas.openxmlformats.org/officeDocument/2006/relationships/hyperlink" Target="https://ae.gatech.edu/browser-directory?tid=1" TargetMode="External" Id="rId64"/><Relationship Type="http://schemas.openxmlformats.org/officeDocument/2006/relationships/hyperlink" Target="https://me.gatech.edu/faculty/alexeev" TargetMode="External" Id="rId65"/><Relationship Type="http://schemas.openxmlformats.org/officeDocument/2006/relationships/hyperlink" Target="https://scholar.google.com/citations?hl=en&amp;user=WuAbgwMAAAAJ" TargetMode="External" Id="rId66"/><Relationship Type="http://schemas.openxmlformats.org/officeDocument/2006/relationships/hyperlink" Target="mailto:alexander.alexeev@me.gatech.edu" TargetMode="External" Id="rId67"/><Relationship Type="http://schemas.openxmlformats.org/officeDocument/2006/relationships/hyperlink" Target="https://doi.org/10.1002/adma.202307002" TargetMode="External" Id="rId68"/><Relationship Type="http://schemas.openxmlformats.org/officeDocument/2006/relationships/hyperlink" Target="https://doi.org/10.1063/5.0078753" TargetMode="External" Id="rId69"/><Relationship Type="http://schemas.openxmlformats.org/officeDocument/2006/relationships/hyperlink" Target="https://doi.org/10.1002/adma.202307002 | https://doi.org/10.1063/5.0078753" TargetMode="External" Id="rId70"/><Relationship Type="http://schemas.openxmlformats.org/officeDocument/2006/relationships/hyperlink" Target="https://www.me.gatech.edu/school-leadership" TargetMode="External" Id="rId71"/><Relationship Type="http://schemas.openxmlformats.org/officeDocument/2006/relationships/hyperlink" Target="https://me.gatech.edu/faculty" TargetMode="External" Id="rId72"/><Relationship Type="http://schemas.openxmlformats.org/officeDocument/2006/relationships/hyperlink" Target="https://me.gatech.edu/faculty/aidun" TargetMode="External" Id="rId73"/><Relationship Type="http://schemas.openxmlformats.org/officeDocument/2006/relationships/hyperlink" Target="https://scholar.google.com/citations?hl=en&amp;user=bT_yjnsAAAAJ" TargetMode="External" Id="rId74"/><Relationship Type="http://schemas.openxmlformats.org/officeDocument/2006/relationships/hyperlink" Target="mailto:cyrus.aidun@me.gatech.edu" TargetMode="External" Id="rId75"/><Relationship Type="http://schemas.openxmlformats.org/officeDocument/2006/relationships/hyperlink" Target="https://doi.org/10.1103/PhysRevFluids.7.054302" TargetMode="External" Id="rId76"/><Relationship Type="http://schemas.openxmlformats.org/officeDocument/2006/relationships/hyperlink" Target="https://doi.org/10.1017/jfm.2021.432" TargetMode="External" Id="rId77"/><Relationship Type="http://schemas.openxmlformats.org/officeDocument/2006/relationships/hyperlink" Target="https://doi.org/10.1103/PhysRevFluids.7.054302 | https://doi.org/10.1017/jfm.2021.432" TargetMode="External" Id="rId78"/><Relationship Type="http://schemas.openxmlformats.org/officeDocument/2006/relationships/hyperlink" Target="https://www.me.gatech.edu/school-leadership" TargetMode="External" Id="rId79"/><Relationship Type="http://schemas.openxmlformats.org/officeDocument/2006/relationships/hyperlink" Target="https://me.gatech.edu/faculty" TargetMode="External" Id="rId80"/><Relationship Type="http://schemas.openxmlformats.org/officeDocument/2006/relationships/hyperlink" Target="https://ae.gatech.edu/directory/person/marilyn-j-smith" TargetMode="External" Id="rId81"/><Relationship Type="http://schemas.openxmlformats.org/officeDocument/2006/relationships/hyperlink" Target="https://scholar.google.com/citations?hl=en&amp;user=JOhJ58IAAAAJ" TargetMode="External" Id="rId82"/><Relationship Type="http://schemas.openxmlformats.org/officeDocument/2006/relationships/hyperlink" Target="mailto:marilyn.smith@ae.gatech.edu" TargetMode="External" Id="rId83"/><Relationship Type="http://schemas.openxmlformats.org/officeDocument/2006/relationships/hyperlink" Target="https://doi.org/10.4050/JAHS.67.032007" TargetMode="External" Id="rId84"/><Relationship Type="http://schemas.openxmlformats.org/officeDocument/2006/relationships/hyperlink" Target="https://doi.org/10.2514/1.J059977" TargetMode="External" Id="rId85"/><Relationship Type="http://schemas.openxmlformats.org/officeDocument/2006/relationships/hyperlink" Target="https://doi.org/10.4050/JAHS.67.032007 | https://doi.org/10.2514/1.J059977" TargetMode="External" Id="rId86"/><Relationship Type="http://schemas.openxmlformats.org/officeDocument/2006/relationships/hyperlink" Target="https://www.gatech.edu/" TargetMode="External" Id="rId87"/><Relationship Type="http://schemas.openxmlformats.org/officeDocument/2006/relationships/hyperlink" Target="https://ae.gatech.edu/browser-directory?tid=1" TargetMode="External" Id="rId88"/><Relationship Type="http://schemas.openxmlformats.org/officeDocument/2006/relationships/hyperlink" Target="https://math.gatech.edu/people/haomin-zhou" TargetMode="External" Id="rId89"/><Relationship Type="http://schemas.openxmlformats.org/officeDocument/2006/relationships/hyperlink" Target="https://scholar.google.com/citations?hl=en&amp;user=YoKKkbkAAAAJ" TargetMode="External" Id="rId90"/><Relationship Type="http://schemas.openxmlformats.org/officeDocument/2006/relationships/hyperlink" Target="mailto:hmzhou@math.gatech.edu" TargetMode="External" Id="rId91"/><Relationship Type="http://schemas.openxmlformats.org/officeDocument/2006/relationships/hyperlink" Target="https://doi.org/10.1137/21M1409124" TargetMode="External" Id="rId92"/><Relationship Type="http://schemas.openxmlformats.org/officeDocument/2006/relationships/hyperlink" Target="https://doi.org/10.4208/jcm.2009-m2019-0214" TargetMode="External" Id="rId93"/><Relationship Type="http://schemas.openxmlformats.org/officeDocument/2006/relationships/hyperlink" Target="https://doi.org/10.1137/21M1409124 | https://doi.org/10.4208/jcm.2009-m2019-0214" TargetMode="External" Id="rId94"/><Relationship Type="http://schemas.openxmlformats.org/officeDocument/2006/relationships/hyperlink" Target="https://www.gatech.edu" TargetMode="External" Id="rId95"/><Relationship Type="http://schemas.openxmlformats.org/officeDocument/2006/relationships/hyperlink" Target="https://math.gatech.edu/people?field_job_type_tid=11" TargetMode="External" Id="rId96"/><Relationship Type="http://schemas.openxmlformats.org/officeDocument/2006/relationships/hyperlink" Target="https://math.gatech.edu/people/sung-ha-kang" TargetMode="External" Id="rId97"/><Relationship Type="http://schemas.openxmlformats.org/officeDocument/2006/relationships/hyperlink" Target="https://scholar.google.com/citations?hl=en&amp;user=hvvBQvYAAAAJ" TargetMode="External" Id="rId98"/><Relationship Type="http://schemas.openxmlformats.org/officeDocument/2006/relationships/hyperlink" Target="mailto:kang@math.gatech.edu" TargetMode="External" Id="rId99"/><Relationship Type="http://schemas.openxmlformats.org/officeDocument/2006/relationships/hyperlink" Target="https://doi.org/10.1137/21M1442626" TargetMode="External" Id="rId100"/><Relationship Type="http://schemas.openxmlformats.org/officeDocument/2006/relationships/hyperlink" Target="https://doi.org/10.1016/j.jcp.2023.112086" TargetMode="External" Id="rId101"/><Relationship Type="http://schemas.openxmlformats.org/officeDocument/2006/relationships/hyperlink" Target="https://doi.org/10.1137/21M1442626 | https://doi.org/10.1016/j.jcp.2023.112086" TargetMode="External" Id="rId102"/><Relationship Type="http://schemas.openxmlformats.org/officeDocument/2006/relationships/hyperlink" Target="https://www.gatech.edu" TargetMode="External" Id="rId103"/><Relationship Type="http://schemas.openxmlformats.org/officeDocument/2006/relationships/hyperlink" Target="https://math.gatech.edu/people?field_job_type_tid=11" TargetMode="External" Id="rId104"/><Relationship Type="http://schemas.openxmlformats.org/officeDocument/2006/relationships/hyperlink" Target="https://math.gatech.edu/people/yingjie-liu" TargetMode="External" Id="rId105"/><Relationship Type="http://schemas.openxmlformats.org/officeDocument/2006/relationships/hyperlink" Target="https://scholar.google.com/citations?hl=en&amp;user=EjlFdKEAAAAJ" TargetMode="External" Id="rId106"/><Relationship Type="http://schemas.openxmlformats.org/officeDocument/2006/relationships/hyperlink" Target="mailto:yingjie@math.gatech.edu" TargetMode="External" Id="rId107"/><Relationship Type="http://schemas.openxmlformats.org/officeDocument/2006/relationships/hyperlink" Target="https://doi.org/10.1016/j.jcp.2022.111140" TargetMode="External" Id="rId108"/><Relationship Type="http://schemas.openxmlformats.org/officeDocument/2006/relationships/hyperlink" Target="https://doi.org/10.1137/20M1371847" TargetMode="External" Id="rId109"/><Relationship Type="http://schemas.openxmlformats.org/officeDocument/2006/relationships/hyperlink" Target="https://doi.org/10.1016/j.jcp.2022.111140 | https://doi.org/10.1137/20M1371847" TargetMode="External" Id="rId110"/><Relationship Type="http://schemas.openxmlformats.org/officeDocument/2006/relationships/hyperlink" Target="https://www.gatech.edu" TargetMode="External" Id="rId111"/><Relationship Type="http://schemas.openxmlformats.org/officeDocument/2006/relationships/hyperlink" Target="https://math.gatech.edu/people?field_job_type_tid=11" TargetMode="External" Id="rId112"/></Relationships>
</file>

<file path=xl/worksheets/_rels/sheet2.xml.rels><Relationships xmlns="http://schemas.openxmlformats.org/package/2006/relationships"><Relationship Type="http://schemas.openxmlformats.org/officeDocument/2006/relationships/hyperlink" Target="https://ae.gatech.edu/directory/person/joseph-oefelein" TargetMode="External" Id="rId1"/><Relationship Type="http://schemas.openxmlformats.org/officeDocument/2006/relationships/hyperlink" Target="https://scholar.google.com/citations?hl=en&amp;user=B7sAIl8AAAAJ" TargetMode="External" Id="rId2"/><Relationship Type="http://schemas.openxmlformats.org/officeDocument/2006/relationships/hyperlink" Target="mailto:joseph.oefelein@gatech.edu" TargetMode="External" Id="rId3"/><Relationship Type="http://schemas.openxmlformats.org/officeDocument/2006/relationships/hyperlink" Target="https://doi.org/10.1016/j.combustflame.2022.112183" TargetMode="External" Id="rId4"/><Relationship Type="http://schemas.openxmlformats.org/officeDocument/2006/relationships/hyperlink" Target="https://doi.org/10.2514/1.J059845" TargetMode="External" Id="rId5"/><Relationship Type="http://schemas.openxmlformats.org/officeDocument/2006/relationships/hyperlink" Target="https://doi.org/10.1016/j.combustflame.2022.112183 | https://doi.org/10.2514/1.J059845" TargetMode="External" Id="rId6"/><Relationship Type="http://schemas.openxmlformats.org/officeDocument/2006/relationships/hyperlink" Target="https://www.gatech.edu/" TargetMode="External" Id="rId7"/><Relationship Type="http://schemas.openxmlformats.org/officeDocument/2006/relationships/hyperlink" Target="https://ae.gatech.edu/browser-directory?tid=1" TargetMode="External" Id="rId8"/><Relationship Type="http://schemas.openxmlformats.org/officeDocument/2006/relationships/hyperlink" Target="https://ae.gatech.edu/directory/person/vigor-yang" TargetMode="External" Id="rId9"/><Relationship Type="http://schemas.openxmlformats.org/officeDocument/2006/relationships/hyperlink" Target="https://scholar.google.com/citations?hl=en&amp;user=vI8qfZQAAAAJ" TargetMode="External" Id="rId10"/><Relationship Type="http://schemas.openxmlformats.org/officeDocument/2006/relationships/hyperlink" Target="mailto:vigor@gatech.edu" TargetMode="External" Id="rId11"/><Relationship Type="http://schemas.openxmlformats.org/officeDocument/2006/relationships/hyperlink" Target="https://doi.org/10.1016/j.combustflame.2021.111763" TargetMode="External" Id="rId12"/><Relationship Type="http://schemas.openxmlformats.org/officeDocument/2006/relationships/hyperlink" Target="https://doi.org/10.2514/1.B38219" TargetMode="External" Id="rId13"/><Relationship Type="http://schemas.openxmlformats.org/officeDocument/2006/relationships/hyperlink" Target="https://doi.org/10.1016/j.combustflame.2021.111763 | https://doi.org/10.2514/1.B38219" TargetMode="External" Id="rId14"/><Relationship Type="http://schemas.openxmlformats.org/officeDocument/2006/relationships/hyperlink" Target="https://www.gatech.edu/" TargetMode="External" Id="rId15"/><Relationship Type="http://schemas.openxmlformats.org/officeDocument/2006/relationships/hyperlink" Target="https://ae.gatech.edu/browser-directory?tid=1" TargetMode="External" Id="rId16"/><Relationship Type="http://schemas.openxmlformats.org/officeDocument/2006/relationships/hyperlink" Target="https://ae.gatech.edu/directory/person/adam-m-steinberg" TargetMode="External" Id="rId17"/><Relationship Type="http://schemas.openxmlformats.org/officeDocument/2006/relationships/hyperlink" Target="https://scholar.google.com/citations?hl=en&amp;user=Fn2TzgIAAAAJ" TargetMode="External" Id="rId18"/><Relationship Type="http://schemas.openxmlformats.org/officeDocument/2006/relationships/hyperlink" Target="mailto:adam.steinberg@gatech.edu" TargetMode="External" Id="rId19"/><Relationship Type="http://schemas.openxmlformats.org/officeDocument/2006/relationships/hyperlink" Target="https://doi.org/10.1016/j.combustflame.2023.112754" TargetMode="External" Id="rId20"/><Relationship Type="http://schemas.openxmlformats.org/officeDocument/2006/relationships/hyperlink" Target="https://doi.org/10.1016/j.proci.2020.06.149" TargetMode="External" Id="rId21"/><Relationship Type="http://schemas.openxmlformats.org/officeDocument/2006/relationships/hyperlink" Target="https://doi.org/10.1016/j.combustflame.2023.112754 | https://doi.org/10.1016/j.proci.2020.06.149" TargetMode="External" Id="rId22"/><Relationship Type="http://schemas.openxmlformats.org/officeDocument/2006/relationships/hyperlink" Target="https://www.gatech.edu/" TargetMode="External" Id="rId23"/><Relationship Type="http://schemas.openxmlformats.org/officeDocument/2006/relationships/hyperlink" Target="https://ae.gatech.edu/browser-directory?tid=1" TargetMode="External" Id="rId24"/><Relationship Type="http://schemas.openxmlformats.org/officeDocument/2006/relationships/hyperlink" Target="https://ae.gatech.edu/directory/person/jerry-m-seitzman" TargetMode="External" Id="rId25"/><Relationship Type="http://schemas.openxmlformats.org/officeDocument/2006/relationships/hyperlink" Target="https://scholar.google.com/citations?hl=en&amp;user=BXHM6g4AAAAJ" TargetMode="External" Id="rId26"/><Relationship Type="http://schemas.openxmlformats.org/officeDocument/2006/relationships/hyperlink" Target="mailto:jerry.seitzman@aerospace.gatech.edu" TargetMode="External" Id="rId27"/><Relationship Type="http://schemas.openxmlformats.org/officeDocument/2006/relationships/hyperlink" Target="https://doi.org/10.1088/1361-6501/ac4b21" TargetMode="External" Id="rId28"/><Relationship Type="http://schemas.openxmlformats.org/officeDocument/2006/relationships/hyperlink" Target="https://doi.org/10.2514/1.T6072" TargetMode="External" Id="rId29"/><Relationship Type="http://schemas.openxmlformats.org/officeDocument/2006/relationships/hyperlink" Target="https://doi.org/10.1088/1361-6501/ac4b21 | https://doi.org/10.2514/1.T6072" TargetMode="External" Id="rId30"/><Relationship Type="http://schemas.openxmlformats.org/officeDocument/2006/relationships/hyperlink" Target="https://www.gatech.edu/" TargetMode="External" Id="rId31"/><Relationship Type="http://schemas.openxmlformats.org/officeDocument/2006/relationships/hyperlink" Target="https://ae.gatech.edu/browser-directory?tid=1" TargetMode="External" Id="rId32"/><Relationship Type="http://schemas.openxmlformats.org/officeDocument/2006/relationships/hyperlink" Target="https://ae.gatech.edu/directory/person/lakshmi-n-sankar" TargetMode="External" Id="rId33"/><Relationship Type="http://schemas.openxmlformats.org/officeDocument/2006/relationships/hyperlink" Target="https://scholar.google.com/citations?hl=en&amp;user=y3Kfgp4AAAAJ" TargetMode="External" Id="rId34"/><Relationship Type="http://schemas.openxmlformats.org/officeDocument/2006/relationships/hyperlink" Target="mailto:lsankar@ae.gatech.edu" TargetMode="External" Id="rId35"/><Relationship Type="http://schemas.openxmlformats.org/officeDocument/2006/relationships/hyperlink" Target="https://doi.org/10.4050/JAHS.68.032001" TargetMode="External" Id="rId36"/><Relationship Type="http://schemas.openxmlformats.org/officeDocument/2006/relationships/hyperlink" Target="https://doi.org/10.2514/1.J060183" TargetMode="External" Id="rId37"/><Relationship Type="http://schemas.openxmlformats.org/officeDocument/2006/relationships/hyperlink" Target="https://doi.org/10.4050/JAHS.68.032001 | https://doi.org/10.2514/1.J060183" TargetMode="External" Id="rId38"/><Relationship Type="http://schemas.openxmlformats.org/officeDocument/2006/relationships/hyperlink" Target="https://www.gatech.edu/" TargetMode="External" Id="rId39"/><Relationship Type="http://schemas.openxmlformats.org/officeDocument/2006/relationships/hyperlink" Target="https://ae.gatech.edu/browser-directory?tid=1" TargetMode="External" Id="rId40"/><Relationship Type="http://schemas.openxmlformats.org/officeDocument/2006/relationships/hyperlink" Target="https://ae.gatech.edu/directory/person/mitchell-lr-walker-ii" TargetMode="External" Id="rId41"/><Relationship Type="http://schemas.openxmlformats.org/officeDocument/2006/relationships/hyperlink" Target="https://scholar.google.com/citations?hl=en&amp;user=Qu8AAMQAAAAJ" TargetMode="External" Id="rId42"/><Relationship Type="http://schemas.openxmlformats.org/officeDocument/2006/relationships/hyperlink" Target="mailto:mitchell.walker@ae.gatech.edu" TargetMode="External" Id="rId43"/><Relationship Type="http://schemas.openxmlformats.org/officeDocument/2006/relationships/hyperlink" Target="https://doi.org/10.2514/1.B38688" TargetMode="External" Id="rId44"/><Relationship Type="http://schemas.openxmlformats.org/officeDocument/2006/relationships/hyperlink" Target="https://doi.org/10.1007/s44205-023-00045-z" TargetMode="External" Id="rId45"/><Relationship Type="http://schemas.openxmlformats.org/officeDocument/2006/relationships/hyperlink" Target="https://doi.org/10.2514/1.B38688 | https://doi.org/10.1007/s44205-023-00045-z" TargetMode="External" Id="rId46"/><Relationship Type="http://schemas.openxmlformats.org/officeDocument/2006/relationships/hyperlink" Target="https://www.gatech.edu/" TargetMode="External" Id="rId47"/><Relationship Type="http://schemas.openxmlformats.org/officeDocument/2006/relationships/hyperlink" Target="https://ae.gatech.edu/browser-directory?tid=1" TargetMode="External" Id="rId48"/><Relationship Type="http://schemas.openxmlformats.org/officeDocument/2006/relationships/hyperlink" Target="https://ae.gatech.edu/directory/person/suresh-menon" TargetMode="External" Id="rId49"/><Relationship Type="http://schemas.openxmlformats.org/officeDocument/2006/relationships/hyperlink" Target="https://scholar.google.com/citations?hl=en&amp;user=IaCfFYIAAAAJ" TargetMode="External" Id="rId50"/><Relationship Type="http://schemas.openxmlformats.org/officeDocument/2006/relationships/hyperlink" Target="mailto:suresh.menon@aerospace.gatech.edu" TargetMode="External" Id="rId51"/><Relationship Type="http://schemas.openxmlformats.org/officeDocument/2006/relationships/hyperlink" Target="https://doi.org/10.1016/j.combustflame.2021.111634" TargetMode="External" Id="rId52"/><Relationship Type="http://schemas.openxmlformats.org/officeDocument/2006/relationships/hyperlink" Target="https://doi.org/10.1016/j.proci.2022.07.034" TargetMode="External" Id="rId53"/><Relationship Type="http://schemas.openxmlformats.org/officeDocument/2006/relationships/hyperlink" Target="https://doi.org/10.1016/j.combustflame.2021.111634 | https://doi.org/10.1016/j.proci.2022.07.034" TargetMode="External" Id="rId54"/><Relationship Type="http://schemas.openxmlformats.org/officeDocument/2006/relationships/hyperlink" Target="https://www.gatech.edu/" TargetMode="External" Id="rId55"/><Relationship Type="http://schemas.openxmlformats.org/officeDocument/2006/relationships/hyperlink" Target="https://ae.gatech.edu/browser-directory?tid=1" TargetMode="External" Id="rId56"/><Relationship Type="http://schemas.openxmlformats.org/officeDocument/2006/relationships/hyperlink" Target="https://ae.gatech.edu/directory/person/timothy-charles-lieuwen" TargetMode="External" Id="rId57"/><Relationship Type="http://schemas.openxmlformats.org/officeDocument/2006/relationships/hyperlink" Target="https://scholar.google.com/citations?hl=en&amp;user=G7aXfOAAAAAJ" TargetMode="External" Id="rId58"/><Relationship Type="http://schemas.openxmlformats.org/officeDocument/2006/relationships/hyperlink" Target="mailto:tim.lieuwen@gatech.edu" TargetMode="External" Id="rId59"/><Relationship Type="http://schemas.openxmlformats.org/officeDocument/2006/relationships/hyperlink" Target="https://doi.org/10.1115/1.4053164" TargetMode="External" Id="rId60"/><Relationship Type="http://schemas.openxmlformats.org/officeDocument/2006/relationships/hyperlink" Target="https://doi.org/10.1017/jfm.2021.433" TargetMode="External" Id="rId61"/><Relationship Type="http://schemas.openxmlformats.org/officeDocument/2006/relationships/hyperlink" Target="https://doi.org/10.1115/1.4053164 | https://doi.org/10.1017/jfm.2021.433" TargetMode="External" Id="rId62"/><Relationship Type="http://schemas.openxmlformats.org/officeDocument/2006/relationships/hyperlink" Target="https://www.gatech.edu/" TargetMode="External" Id="rId63"/><Relationship Type="http://schemas.openxmlformats.org/officeDocument/2006/relationships/hyperlink" Target="https://ae.gatech.edu/browser-directory?tid=1" TargetMode="External" Id="rId64"/><Relationship Type="http://schemas.openxmlformats.org/officeDocument/2006/relationships/hyperlink" Target="https://me.gatech.edu/faculty/alexeev" TargetMode="External" Id="rId65"/><Relationship Type="http://schemas.openxmlformats.org/officeDocument/2006/relationships/hyperlink" Target="https://scholar.google.com/citations?hl=en&amp;user=WuAbgwMAAAAJ" TargetMode="External" Id="rId66"/><Relationship Type="http://schemas.openxmlformats.org/officeDocument/2006/relationships/hyperlink" Target="mailto:alexander.alexeev@me.gatech.edu" TargetMode="External" Id="rId67"/><Relationship Type="http://schemas.openxmlformats.org/officeDocument/2006/relationships/hyperlink" Target="https://doi.org/10.1002/adma.202307002" TargetMode="External" Id="rId68"/><Relationship Type="http://schemas.openxmlformats.org/officeDocument/2006/relationships/hyperlink" Target="https://doi.org/10.1063/5.0078753" TargetMode="External" Id="rId69"/><Relationship Type="http://schemas.openxmlformats.org/officeDocument/2006/relationships/hyperlink" Target="https://doi.org/10.1002/adma.202307002 | https://doi.org/10.1063/5.0078753" TargetMode="External" Id="rId70"/><Relationship Type="http://schemas.openxmlformats.org/officeDocument/2006/relationships/hyperlink" Target="https://www.me.gatech.edu/school-leadership" TargetMode="External" Id="rId71"/><Relationship Type="http://schemas.openxmlformats.org/officeDocument/2006/relationships/hyperlink" Target="https://me.gatech.edu/faculty" TargetMode="External" Id="rId72"/><Relationship Type="http://schemas.openxmlformats.org/officeDocument/2006/relationships/hyperlink" Target="https://me.gatech.edu/faculty/aidun" TargetMode="External" Id="rId73"/><Relationship Type="http://schemas.openxmlformats.org/officeDocument/2006/relationships/hyperlink" Target="https://scholar.google.com/citations?hl=en&amp;user=bT_yjnsAAAAJ" TargetMode="External" Id="rId74"/><Relationship Type="http://schemas.openxmlformats.org/officeDocument/2006/relationships/hyperlink" Target="mailto:cyrus.aidun@me.gatech.edu" TargetMode="External" Id="rId75"/><Relationship Type="http://schemas.openxmlformats.org/officeDocument/2006/relationships/hyperlink" Target="https://doi.org/10.1103/PhysRevFluids.7.054302" TargetMode="External" Id="rId76"/><Relationship Type="http://schemas.openxmlformats.org/officeDocument/2006/relationships/hyperlink" Target="https://doi.org/10.1017/jfm.2021.432" TargetMode="External" Id="rId77"/><Relationship Type="http://schemas.openxmlformats.org/officeDocument/2006/relationships/hyperlink" Target="https://doi.org/10.1103/PhysRevFluids.7.054302 | https://doi.org/10.1017/jfm.2021.432" TargetMode="External" Id="rId78"/><Relationship Type="http://schemas.openxmlformats.org/officeDocument/2006/relationships/hyperlink" Target="https://www.me.gatech.edu/school-leadership" TargetMode="External" Id="rId79"/><Relationship Type="http://schemas.openxmlformats.org/officeDocument/2006/relationships/hyperlink" Target="https://me.gatech.edu/faculty" TargetMode="External" Id="rId80"/><Relationship Type="http://schemas.openxmlformats.org/officeDocument/2006/relationships/hyperlink" Target="https://ae.gatech.edu/directory/person/marilyn-j-smith" TargetMode="External" Id="rId81"/><Relationship Type="http://schemas.openxmlformats.org/officeDocument/2006/relationships/hyperlink" Target="https://scholar.google.com/citations?hl=en&amp;user=JOhJ58IAAAAJ" TargetMode="External" Id="rId82"/><Relationship Type="http://schemas.openxmlformats.org/officeDocument/2006/relationships/hyperlink" Target="mailto:marilyn.smith@ae.gatech.edu" TargetMode="External" Id="rId83"/><Relationship Type="http://schemas.openxmlformats.org/officeDocument/2006/relationships/hyperlink" Target="https://doi.org/10.4050/JAHS.67.032007" TargetMode="External" Id="rId84"/><Relationship Type="http://schemas.openxmlformats.org/officeDocument/2006/relationships/hyperlink" Target="https://doi.org/10.2514/1.J059977" TargetMode="External" Id="rId85"/><Relationship Type="http://schemas.openxmlformats.org/officeDocument/2006/relationships/hyperlink" Target="https://doi.org/10.4050/JAHS.67.032007 | https://doi.org/10.2514/1.J059977" TargetMode="External" Id="rId86"/><Relationship Type="http://schemas.openxmlformats.org/officeDocument/2006/relationships/hyperlink" Target="https://www.gatech.edu/" TargetMode="External" Id="rId87"/><Relationship Type="http://schemas.openxmlformats.org/officeDocument/2006/relationships/hyperlink" Target="https://ae.gatech.edu/browser-directory?tid=1" TargetMode="External" Id="rId88"/><Relationship Type="http://schemas.openxmlformats.org/officeDocument/2006/relationships/hyperlink" Target="https://me.gatech.edu/faculty/glezer" TargetMode="External" Id="rId89"/><Relationship Type="http://schemas.openxmlformats.org/officeDocument/2006/relationships/hyperlink" Target="https://scholar.google.com/citations?view_op=search_authors&amp;mauthors=Ari%20Glezer%20Georgia%20Institute%20of%20Technology" TargetMode="External" Id="rId90"/><Relationship Type="http://schemas.openxmlformats.org/officeDocument/2006/relationships/hyperlink" Target="mailto:ari.glezer@me.gatech.edu" TargetMode="External" Id="rId91"/><Relationship Type="http://schemas.openxmlformats.org/officeDocument/2006/relationships/hyperlink" Target="https://www.me.gatech.edu/school-leadership" TargetMode="External" Id="rId92"/><Relationship Type="http://schemas.openxmlformats.org/officeDocument/2006/relationships/hyperlink" Target="https://me.gatech.edu/faculty" TargetMode="External" Id="rId93"/></Relationships>
</file>

<file path=xl/worksheets/_rels/sheet3.xml.rels><Relationships xmlns="http://schemas.openxmlformats.org/package/2006/relationships"><Relationship Type="http://schemas.openxmlformats.org/officeDocument/2006/relationships/hyperlink" Target="https://ae.gatech.edu/directory/person/joseph-oefelein" TargetMode="External" Id="rId1"/><Relationship Type="http://schemas.openxmlformats.org/officeDocument/2006/relationships/hyperlink" Target="https://scholar.google.com/citations?hl=en&amp;user=B7sAIl8AAAAJ" TargetMode="External" Id="rId2"/><Relationship Type="http://schemas.openxmlformats.org/officeDocument/2006/relationships/hyperlink" Target="mailto:joseph.oefelein@gatech.edu" TargetMode="External" Id="rId3"/><Relationship Type="http://schemas.openxmlformats.org/officeDocument/2006/relationships/hyperlink" Target="https://doi.org/10.1016/j.combustflame.2022.112183" TargetMode="External" Id="rId4"/><Relationship Type="http://schemas.openxmlformats.org/officeDocument/2006/relationships/hyperlink" Target="https://doi.org/10.2514/1.J059845" TargetMode="External" Id="rId5"/><Relationship Type="http://schemas.openxmlformats.org/officeDocument/2006/relationships/hyperlink" Target="https://doi.org/10.1016/j.combustflame.2022.112183 | https://doi.org/10.2514/1.J059845" TargetMode="External" Id="rId6"/><Relationship Type="http://schemas.openxmlformats.org/officeDocument/2006/relationships/hyperlink" Target="https://www.gatech.edu/" TargetMode="External" Id="rId7"/><Relationship Type="http://schemas.openxmlformats.org/officeDocument/2006/relationships/hyperlink" Target="https://ae.gatech.edu/browser-directory?tid=1" TargetMode="External" Id="rId8"/><Relationship Type="http://schemas.openxmlformats.org/officeDocument/2006/relationships/hyperlink" Target="https://ae.gatech.edu/directory/person/vigor-yang" TargetMode="External" Id="rId9"/><Relationship Type="http://schemas.openxmlformats.org/officeDocument/2006/relationships/hyperlink" Target="https://scholar.google.com/citations?hl=en&amp;user=vI8qfZQAAAAJ" TargetMode="External" Id="rId10"/><Relationship Type="http://schemas.openxmlformats.org/officeDocument/2006/relationships/hyperlink" Target="mailto:vigor@gatech.edu" TargetMode="External" Id="rId11"/><Relationship Type="http://schemas.openxmlformats.org/officeDocument/2006/relationships/hyperlink" Target="https://doi.org/10.1016/j.combustflame.2021.111763" TargetMode="External" Id="rId12"/><Relationship Type="http://schemas.openxmlformats.org/officeDocument/2006/relationships/hyperlink" Target="https://doi.org/10.2514/1.B38219" TargetMode="External" Id="rId13"/><Relationship Type="http://schemas.openxmlformats.org/officeDocument/2006/relationships/hyperlink" Target="https://doi.org/10.1016/j.combustflame.2021.111763 | https://doi.org/10.2514/1.B38219" TargetMode="External" Id="rId14"/><Relationship Type="http://schemas.openxmlformats.org/officeDocument/2006/relationships/hyperlink" Target="https://www.gatech.edu/" TargetMode="External" Id="rId15"/><Relationship Type="http://schemas.openxmlformats.org/officeDocument/2006/relationships/hyperlink" Target="https://ae.gatech.edu/browser-directory?tid=1" TargetMode="External" Id="rId16"/><Relationship Type="http://schemas.openxmlformats.org/officeDocument/2006/relationships/hyperlink" Target="https://ae.gatech.edu/directory/person/adam-m-steinberg" TargetMode="External" Id="rId17"/><Relationship Type="http://schemas.openxmlformats.org/officeDocument/2006/relationships/hyperlink" Target="https://scholar.google.com/citations?hl=en&amp;user=Fn2TzgIAAAAJ" TargetMode="External" Id="rId18"/><Relationship Type="http://schemas.openxmlformats.org/officeDocument/2006/relationships/hyperlink" Target="mailto:adam.steinberg@gatech.edu" TargetMode="External" Id="rId19"/><Relationship Type="http://schemas.openxmlformats.org/officeDocument/2006/relationships/hyperlink" Target="https://doi.org/10.1016/j.combustflame.2023.112754" TargetMode="External" Id="rId20"/><Relationship Type="http://schemas.openxmlformats.org/officeDocument/2006/relationships/hyperlink" Target="https://doi.org/10.1016/j.proci.2020.06.149" TargetMode="External" Id="rId21"/><Relationship Type="http://schemas.openxmlformats.org/officeDocument/2006/relationships/hyperlink" Target="https://doi.org/10.1016/j.combustflame.2023.112754 | https://doi.org/10.1016/j.proci.2020.06.149" TargetMode="External" Id="rId22"/><Relationship Type="http://schemas.openxmlformats.org/officeDocument/2006/relationships/hyperlink" Target="https://www.gatech.edu/" TargetMode="External" Id="rId23"/><Relationship Type="http://schemas.openxmlformats.org/officeDocument/2006/relationships/hyperlink" Target="https://ae.gatech.edu/browser-directory?tid=1" TargetMode="External" Id="rId24"/><Relationship Type="http://schemas.openxmlformats.org/officeDocument/2006/relationships/hyperlink" Target="https://ae.gatech.edu/directory/person/jerry-m-seitzman" TargetMode="External" Id="rId25"/><Relationship Type="http://schemas.openxmlformats.org/officeDocument/2006/relationships/hyperlink" Target="https://scholar.google.com/citations?hl=en&amp;user=BXHM6g4AAAAJ" TargetMode="External" Id="rId26"/><Relationship Type="http://schemas.openxmlformats.org/officeDocument/2006/relationships/hyperlink" Target="mailto:jerry.seitzman@aerospace.gatech.edu" TargetMode="External" Id="rId27"/><Relationship Type="http://schemas.openxmlformats.org/officeDocument/2006/relationships/hyperlink" Target="https://doi.org/10.1088/1361-6501/ac4b21" TargetMode="External" Id="rId28"/><Relationship Type="http://schemas.openxmlformats.org/officeDocument/2006/relationships/hyperlink" Target="https://doi.org/10.2514/1.T6072" TargetMode="External" Id="rId29"/><Relationship Type="http://schemas.openxmlformats.org/officeDocument/2006/relationships/hyperlink" Target="https://doi.org/10.1088/1361-6501/ac4b21 | https://doi.org/10.2514/1.T6072" TargetMode="External" Id="rId30"/><Relationship Type="http://schemas.openxmlformats.org/officeDocument/2006/relationships/hyperlink" Target="https://www.gatech.edu/" TargetMode="External" Id="rId31"/><Relationship Type="http://schemas.openxmlformats.org/officeDocument/2006/relationships/hyperlink" Target="https://ae.gatech.edu/browser-directory?tid=1" TargetMode="External" Id="rId32"/><Relationship Type="http://schemas.openxmlformats.org/officeDocument/2006/relationships/hyperlink" Target="https://ae.gatech.edu/directory/person/lakshmi-n-sankar" TargetMode="External" Id="rId33"/><Relationship Type="http://schemas.openxmlformats.org/officeDocument/2006/relationships/hyperlink" Target="https://scholar.google.com/citations?hl=en&amp;user=y3Kfgp4AAAAJ" TargetMode="External" Id="rId34"/><Relationship Type="http://schemas.openxmlformats.org/officeDocument/2006/relationships/hyperlink" Target="mailto:lsankar@ae.gatech.edu" TargetMode="External" Id="rId35"/><Relationship Type="http://schemas.openxmlformats.org/officeDocument/2006/relationships/hyperlink" Target="https://doi.org/10.4050/JAHS.68.032001" TargetMode="External" Id="rId36"/><Relationship Type="http://schemas.openxmlformats.org/officeDocument/2006/relationships/hyperlink" Target="https://doi.org/10.2514/1.J060183" TargetMode="External" Id="rId37"/><Relationship Type="http://schemas.openxmlformats.org/officeDocument/2006/relationships/hyperlink" Target="https://doi.org/10.4050/JAHS.68.032001 | https://doi.org/10.2514/1.J060183" TargetMode="External" Id="rId38"/><Relationship Type="http://schemas.openxmlformats.org/officeDocument/2006/relationships/hyperlink" Target="https://www.gatech.edu/" TargetMode="External" Id="rId39"/><Relationship Type="http://schemas.openxmlformats.org/officeDocument/2006/relationships/hyperlink" Target="https://ae.gatech.edu/browser-directory?tid=1" TargetMode="External" Id="rId40"/><Relationship Type="http://schemas.openxmlformats.org/officeDocument/2006/relationships/hyperlink" Target="https://ae.gatech.edu/directory/person/mitchell-lr-walker-ii" TargetMode="External" Id="rId41"/><Relationship Type="http://schemas.openxmlformats.org/officeDocument/2006/relationships/hyperlink" Target="https://scholar.google.com/citations?hl=en&amp;user=Qu8AAMQAAAAJ" TargetMode="External" Id="rId42"/><Relationship Type="http://schemas.openxmlformats.org/officeDocument/2006/relationships/hyperlink" Target="mailto:mitchell.walker@ae.gatech.edu" TargetMode="External" Id="rId43"/><Relationship Type="http://schemas.openxmlformats.org/officeDocument/2006/relationships/hyperlink" Target="https://doi.org/10.2514/1.B38688" TargetMode="External" Id="rId44"/><Relationship Type="http://schemas.openxmlformats.org/officeDocument/2006/relationships/hyperlink" Target="https://doi.org/10.1007/s44205-023-00045-z" TargetMode="External" Id="rId45"/><Relationship Type="http://schemas.openxmlformats.org/officeDocument/2006/relationships/hyperlink" Target="https://doi.org/10.2514/1.B38688 | https://doi.org/10.1007/s44205-023-00045-z" TargetMode="External" Id="rId46"/><Relationship Type="http://schemas.openxmlformats.org/officeDocument/2006/relationships/hyperlink" Target="https://www.gatech.edu/" TargetMode="External" Id="rId47"/><Relationship Type="http://schemas.openxmlformats.org/officeDocument/2006/relationships/hyperlink" Target="https://ae.gatech.edu/browser-directory?tid=1" TargetMode="External" Id="rId48"/><Relationship Type="http://schemas.openxmlformats.org/officeDocument/2006/relationships/hyperlink" Target="https://ae.gatech.edu/directory/person/suresh-menon" TargetMode="External" Id="rId49"/><Relationship Type="http://schemas.openxmlformats.org/officeDocument/2006/relationships/hyperlink" Target="https://scholar.google.com/citations?hl=en&amp;user=IaCfFYIAAAAJ" TargetMode="External" Id="rId50"/><Relationship Type="http://schemas.openxmlformats.org/officeDocument/2006/relationships/hyperlink" Target="mailto:suresh.menon@aerospace.gatech.edu" TargetMode="External" Id="rId51"/><Relationship Type="http://schemas.openxmlformats.org/officeDocument/2006/relationships/hyperlink" Target="https://doi.org/10.1016/j.combustflame.2021.111634" TargetMode="External" Id="rId52"/><Relationship Type="http://schemas.openxmlformats.org/officeDocument/2006/relationships/hyperlink" Target="https://doi.org/10.1016/j.proci.2022.07.034" TargetMode="External" Id="rId53"/><Relationship Type="http://schemas.openxmlformats.org/officeDocument/2006/relationships/hyperlink" Target="https://doi.org/10.1016/j.combustflame.2021.111634 | https://doi.org/10.1016/j.proci.2022.07.034" TargetMode="External" Id="rId54"/><Relationship Type="http://schemas.openxmlformats.org/officeDocument/2006/relationships/hyperlink" Target="https://www.gatech.edu/" TargetMode="External" Id="rId55"/><Relationship Type="http://schemas.openxmlformats.org/officeDocument/2006/relationships/hyperlink" Target="https://ae.gatech.edu/browser-directory?tid=1" TargetMode="External" Id="rId56"/><Relationship Type="http://schemas.openxmlformats.org/officeDocument/2006/relationships/hyperlink" Target="https://ae.gatech.edu/directory/person/timothy-charles-lieuwen" TargetMode="External" Id="rId57"/><Relationship Type="http://schemas.openxmlformats.org/officeDocument/2006/relationships/hyperlink" Target="https://scholar.google.com/citations?hl=en&amp;user=G7aXfOAAAAAJ" TargetMode="External" Id="rId58"/><Relationship Type="http://schemas.openxmlformats.org/officeDocument/2006/relationships/hyperlink" Target="mailto:tim.lieuwen@gatech.edu" TargetMode="External" Id="rId59"/><Relationship Type="http://schemas.openxmlformats.org/officeDocument/2006/relationships/hyperlink" Target="https://doi.org/10.1115/1.4053164" TargetMode="External" Id="rId60"/><Relationship Type="http://schemas.openxmlformats.org/officeDocument/2006/relationships/hyperlink" Target="https://doi.org/10.1017/jfm.2021.433" TargetMode="External" Id="rId61"/><Relationship Type="http://schemas.openxmlformats.org/officeDocument/2006/relationships/hyperlink" Target="https://doi.org/10.1115/1.4053164 | https://doi.org/10.1017/jfm.2021.433" TargetMode="External" Id="rId62"/><Relationship Type="http://schemas.openxmlformats.org/officeDocument/2006/relationships/hyperlink" Target="https://www.gatech.edu/" TargetMode="External" Id="rId63"/><Relationship Type="http://schemas.openxmlformats.org/officeDocument/2006/relationships/hyperlink" Target="https://ae.gatech.edu/browser-directory?tid=1" TargetMode="External" Id="rId64"/><Relationship Type="http://schemas.openxmlformats.org/officeDocument/2006/relationships/hyperlink" Target="https://me.gatech.edu/faculty/alexeev" TargetMode="External" Id="rId65"/><Relationship Type="http://schemas.openxmlformats.org/officeDocument/2006/relationships/hyperlink" Target="https://scholar.google.com/citations?hl=en&amp;user=WuAbgwMAAAAJ" TargetMode="External" Id="rId66"/><Relationship Type="http://schemas.openxmlformats.org/officeDocument/2006/relationships/hyperlink" Target="mailto:alexander.alexeev@me.gatech.edu" TargetMode="External" Id="rId67"/><Relationship Type="http://schemas.openxmlformats.org/officeDocument/2006/relationships/hyperlink" Target="https://doi.org/10.1002/adma.202307002" TargetMode="External" Id="rId68"/><Relationship Type="http://schemas.openxmlformats.org/officeDocument/2006/relationships/hyperlink" Target="https://doi.org/10.1063/5.0078753" TargetMode="External" Id="rId69"/><Relationship Type="http://schemas.openxmlformats.org/officeDocument/2006/relationships/hyperlink" Target="https://doi.org/10.1002/adma.202307002 | https://doi.org/10.1063/5.0078753" TargetMode="External" Id="rId70"/><Relationship Type="http://schemas.openxmlformats.org/officeDocument/2006/relationships/hyperlink" Target="https://www.me.gatech.edu/school-leadership" TargetMode="External" Id="rId71"/><Relationship Type="http://schemas.openxmlformats.org/officeDocument/2006/relationships/hyperlink" Target="https://me.gatech.edu/faculty" TargetMode="External" Id="rId72"/><Relationship Type="http://schemas.openxmlformats.org/officeDocument/2006/relationships/hyperlink" Target="https://me.gatech.edu/faculty/aidun" TargetMode="External" Id="rId73"/><Relationship Type="http://schemas.openxmlformats.org/officeDocument/2006/relationships/hyperlink" Target="https://scholar.google.com/citations?hl=en&amp;user=bT_yjnsAAAAJ" TargetMode="External" Id="rId74"/><Relationship Type="http://schemas.openxmlformats.org/officeDocument/2006/relationships/hyperlink" Target="mailto:cyrus.aidun@me.gatech.edu" TargetMode="External" Id="rId75"/><Relationship Type="http://schemas.openxmlformats.org/officeDocument/2006/relationships/hyperlink" Target="https://doi.org/10.1103/PhysRevFluids.7.054302" TargetMode="External" Id="rId76"/><Relationship Type="http://schemas.openxmlformats.org/officeDocument/2006/relationships/hyperlink" Target="https://doi.org/10.1017/jfm.2021.432" TargetMode="External" Id="rId77"/><Relationship Type="http://schemas.openxmlformats.org/officeDocument/2006/relationships/hyperlink" Target="https://doi.org/10.1103/PhysRevFluids.7.054302 | https://doi.org/10.1017/jfm.2021.432" TargetMode="External" Id="rId78"/><Relationship Type="http://schemas.openxmlformats.org/officeDocument/2006/relationships/hyperlink" Target="https://www.me.gatech.edu/school-leadership" TargetMode="External" Id="rId79"/><Relationship Type="http://schemas.openxmlformats.org/officeDocument/2006/relationships/hyperlink" Target="https://me.gatech.edu/faculty" TargetMode="External" Id="rId80"/><Relationship Type="http://schemas.openxmlformats.org/officeDocument/2006/relationships/hyperlink" Target="https://ae.gatech.edu/directory/person/marilyn-j-smith" TargetMode="External" Id="rId81"/><Relationship Type="http://schemas.openxmlformats.org/officeDocument/2006/relationships/hyperlink" Target="https://scholar.google.com/citations?hl=en&amp;user=JOhJ58IAAAAJ" TargetMode="External" Id="rId82"/><Relationship Type="http://schemas.openxmlformats.org/officeDocument/2006/relationships/hyperlink" Target="mailto:marilyn.smith@ae.gatech.edu" TargetMode="External" Id="rId83"/><Relationship Type="http://schemas.openxmlformats.org/officeDocument/2006/relationships/hyperlink" Target="https://doi.org/10.4050/JAHS.67.032007" TargetMode="External" Id="rId84"/><Relationship Type="http://schemas.openxmlformats.org/officeDocument/2006/relationships/hyperlink" Target="https://doi.org/10.2514/1.J059977" TargetMode="External" Id="rId85"/><Relationship Type="http://schemas.openxmlformats.org/officeDocument/2006/relationships/hyperlink" Target="https://doi.org/10.4050/JAHS.67.032007 | https://doi.org/10.2514/1.J059977" TargetMode="External" Id="rId86"/><Relationship Type="http://schemas.openxmlformats.org/officeDocument/2006/relationships/hyperlink" Target="https://www.gatech.edu/" TargetMode="External" Id="rId87"/><Relationship Type="http://schemas.openxmlformats.org/officeDocument/2006/relationships/hyperlink" Target="https://ae.gatech.edu/browser-directory?tid=1" TargetMode="External" Id="rId88"/><Relationship Type="http://schemas.openxmlformats.org/officeDocument/2006/relationships/hyperlink" Target="https://math.gatech.edu/people/haomin-zhou" TargetMode="External" Id="rId89"/><Relationship Type="http://schemas.openxmlformats.org/officeDocument/2006/relationships/hyperlink" Target="https://scholar.google.com/citations?hl=en&amp;user=YoKKkbkAAAAJ" TargetMode="External" Id="rId90"/><Relationship Type="http://schemas.openxmlformats.org/officeDocument/2006/relationships/hyperlink" Target="mailto:hmzhou@math.gatech.edu" TargetMode="External" Id="rId91"/><Relationship Type="http://schemas.openxmlformats.org/officeDocument/2006/relationships/hyperlink" Target="https://doi.org/10.1137/21M1409124" TargetMode="External" Id="rId92"/><Relationship Type="http://schemas.openxmlformats.org/officeDocument/2006/relationships/hyperlink" Target="https://doi.org/10.4208/jcm.2009-m2019-0214" TargetMode="External" Id="rId93"/><Relationship Type="http://schemas.openxmlformats.org/officeDocument/2006/relationships/hyperlink" Target="https://doi.org/10.1137/21M1409124 | https://doi.org/10.4208/jcm.2009-m2019-0214" TargetMode="External" Id="rId94"/><Relationship Type="http://schemas.openxmlformats.org/officeDocument/2006/relationships/hyperlink" Target="https://www.gatech.edu" TargetMode="External" Id="rId95"/><Relationship Type="http://schemas.openxmlformats.org/officeDocument/2006/relationships/hyperlink" Target="https://math.gatech.edu/people?field_job_type_tid=11" TargetMode="External" Id="rId96"/><Relationship Type="http://schemas.openxmlformats.org/officeDocument/2006/relationships/hyperlink" Target="https://math.gatech.edu/people/sung-ha-kang" TargetMode="External" Id="rId97"/><Relationship Type="http://schemas.openxmlformats.org/officeDocument/2006/relationships/hyperlink" Target="https://scholar.google.com/citations?hl=en&amp;user=hvvBQvYAAAAJ" TargetMode="External" Id="rId98"/><Relationship Type="http://schemas.openxmlformats.org/officeDocument/2006/relationships/hyperlink" Target="mailto:kang@math.gatech.edu" TargetMode="External" Id="rId99"/><Relationship Type="http://schemas.openxmlformats.org/officeDocument/2006/relationships/hyperlink" Target="https://doi.org/10.1137/21M1442626" TargetMode="External" Id="rId100"/><Relationship Type="http://schemas.openxmlformats.org/officeDocument/2006/relationships/hyperlink" Target="https://doi.org/10.1016/j.jcp.2023.112086" TargetMode="External" Id="rId101"/><Relationship Type="http://schemas.openxmlformats.org/officeDocument/2006/relationships/hyperlink" Target="https://doi.org/10.1137/21M1442626 | https://doi.org/10.1016/j.jcp.2023.112086" TargetMode="External" Id="rId102"/><Relationship Type="http://schemas.openxmlformats.org/officeDocument/2006/relationships/hyperlink" Target="https://www.gatech.edu" TargetMode="External" Id="rId103"/><Relationship Type="http://schemas.openxmlformats.org/officeDocument/2006/relationships/hyperlink" Target="https://math.gatech.edu/people?field_job_type_tid=11" TargetMode="External" Id="rId104"/><Relationship Type="http://schemas.openxmlformats.org/officeDocument/2006/relationships/hyperlink" Target="https://math.gatech.edu/people/yingjie-liu" TargetMode="External" Id="rId105"/><Relationship Type="http://schemas.openxmlformats.org/officeDocument/2006/relationships/hyperlink" Target="https://scholar.google.com/citations?hl=en&amp;user=EjlFdKEAAAAJ" TargetMode="External" Id="rId106"/><Relationship Type="http://schemas.openxmlformats.org/officeDocument/2006/relationships/hyperlink" Target="mailto:yingjie@math.gatech.edu" TargetMode="External" Id="rId107"/><Relationship Type="http://schemas.openxmlformats.org/officeDocument/2006/relationships/hyperlink" Target="https://doi.org/10.1016/j.jcp.2022.111140" TargetMode="External" Id="rId108"/><Relationship Type="http://schemas.openxmlformats.org/officeDocument/2006/relationships/hyperlink" Target="https://doi.org/10.1137/20M1371847" TargetMode="External" Id="rId109"/><Relationship Type="http://schemas.openxmlformats.org/officeDocument/2006/relationships/hyperlink" Target="https://doi.org/10.1016/j.jcp.2022.111140 | https://doi.org/10.1137/20M1371847" TargetMode="External" Id="rId110"/><Relationship Type="http://schemas.openxmlformats.org/officeDocument/2006/relationships/hyperlink" Target="https://www.gatech.edu" TargetMode="External" Id="rId111"/><Relationship Type="http://schemas.openxmlformats.org/officeDocument/2006/relationships/hyperlink" Target="https://math.gatech.edu/people?field_job_type_tid=11" TargetMode="External" Id="rId112"/><Relationship Type="http://schemas.openxmlformats.org/officeDocument/2006/relationships/hyperlink" Target="https://me.gatech.edu/faculty/glezer" TargetMode="External" Id="rId113"/><Relationship Type="http://schemas.openxmlformats.org/officeDocument/2006/relationships/hyperlink" Target="https://scholar.google.com/citations?view_op=search_authors&amp;mauthors=Ari%20Glezer%20Georgia%20Institute%20of%20Technology" TargetMode="External" Id="rId114"/><Relationship Type="http://schemas.openxmlformats.org/officeDocument/2006/relationships/hyperlink" Target="mailto:ari.glezer@me.gatech.edu" TargetMode="External" Id="rId115"/><Relationship Type="http://schemas.openxmlformats.org/officeDocument/2006/relationships/hyperlink" Target="https://www.me.gatech.edu/school-leadership" TargetMode="External" Id="rId116"/><Relationship Type="http://schemas.openxmlformats.org/officeDocument/2006/relationships/hyperlink" Target="https://me.gatech.edu/faculty" TargetMode="External" Id="rId117"/></Relationships>
</file>

<file path=xl/worksheets/sheet1.xml><?xml version="1.0" encoding="utf-8"?>
<worksheet xmlns="http://schemas.openxmlformats.org/spreadsheetml/2006/main">
  <sheetPr>
    <outlinePr summaryBelow="1" summaryRight="1"/>
    <pageSetUpPr/>
  </sheetPr>
  <dimension ref="A1:AV15"/>
  <sheetViews>
    <sheetView showGridLines="1" workbookViewId="0">
      <selection activeCell="A1" sqref="A1"/>
    </sheetView>
  </sheetViews>
  <sheetFormatPr baseColWidth="8" defaultRowHeight="15"/>
  <cols>
    <col width="27" customWidth="1" min="1" max="1"/>
    <col width="35" customWidth="1" min="2" max="2"/>
    <col width="49" customWidth="1" min="3" max="3"/>
    <col width="32" customWidth="1" min="4" max="4"/>
    <col width="65" customWidth="1" min="5" max="5"/>
    <col width="26" customWidth="1" min="6" max="6"/>
    <col width="16" customWidth="1" min="7" max="7"/>
    <col width="49" customWidth="1" min="8" max="8"/>
    <col width="17" customWidth="1" min="9" max="9"/>
    <col width="45" customWidth="1" min="10" max="10"/>
    <col width="17" customWidth="1" min="11" max="11"/>
    <col width="37" customWidth="1" min="12" max="12"/>
    <col width="65" customWidth="1" min="13" max="13"/>
    <col width="65" customWidth="1" min="14" max="14"/>
    <col width="65" customWidth="1" min="15" max="15"/>
    <col width="49" customWidth="1" min="16" max="16"/>
    <col width="65" customWidth="1" min="17" max="17"/>
    <col width="65" customWidth="1" min="18" max="18"/>
    <col width="65" customWidth="1" min="19" max="19"/>
    <col width="49" customWidth="1" min="20" max="20"/>
    <col width="65" customWidth="1" min="21" max="21"/>
    <col width="65" customWidth="1" min="22" max="22"/>
    <col width="65" customWidth="1" min="23" max="23"/>
    <col width="49" customWidth="1" min="24" max="24"/>
    <col width="65" customWidth="1" min="25" max="25"/>
    <col width="65" customWidth="1" min="26" max="26"/>
    <col width="65" customWidth="1" min="27" max="27"/>
    <col width="65" customWidth="1" min="28" max="28"/>
    <col width="65" customWidth="1" min="29" max="29"/>
    <col width="65" customWidth="1" min="30" max="30"/>
    <col width="65" customWidth="1" min="31" max="31"/>
    <col width="65" customWidth="1" min="32" max="32"/>
    <col width="65" customWidth="1" min="33" max="33"/>
    <col width="65" customWidth="1" min="34" max="34"/>
    <col width="19" customWidth="1" min="35" max="35"/>
    <col width="65" customWidth="1" min="36" max="36"/>
    <col width="65" customWidth="1" min="37" max="37"/>
    <col width="59" customWidth="1" min="38" max="38"/>
    <col width="49" customWidth="1" min="39" max="39"/>
    <col width="65" customWidth="1" min="40" max="40"/>
    <col width="33" customWidth="1" min="41" max="41"/>
    <col width="30" customWidth="1" min="42" max="42"/>
    <col width="20" customWidth="1" min="43" max="43"/>
    <col width="24" customWidth="1" min="44" max="44"/>
    <col width="55" customWidth="1" min="45" max="45"/>
    <col width="37" customWidth="1" min="46" max="46"/>
    <col width="18" customWidth="1" min="47" max="47"/>
    <col width="49" customWidth="1" min="48" max="48"/>
  </cols>
  <sheetData>
    <row r="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Research Hook</t>
        </is>
      </c>
      <c r="N1" s="1" t="inlineStr">
        <is>
          <t>Tech Stack</t>
        </is>
      </c>
      <c r="O1" s="1" t="inlineStr">
        <is>
          <t>Flagship 1 Title</t>
        </is>
      </c>
      <c r="P1" s="1" t="inlineStr">
        <is>
          <t>Flagship 1 DOI</t>
        </is>
      </c>
      <c r="Q1" s="1" t="inlineStr">
        <is>
          <t>Flagship 1 Tripartite Finding</t>
        </is>
      </c>
      <c r="R1" s="1" t="inlineStr">
        <is>
          <t>Flagship 1 Abstract</t>
        </is>
      </c>
      <c r="S1" s="1" t="inlineStr">
        <is>
          <t>Flagship 2 Title</t>
        </is>
      </c>
      <c r="T1" s="1" t="inlineStr">
        <is>
          <t>Flagship 2 DOI</t>
        </is>
      </c>
      <c r="U1" s="1" t="inlineStr">
        <is>
          <t>Flagship 2 Tripartite Finding</t>
        </is>
      </c>
      <c r="V1" s="1" t="inlineStr">
        <is>
          <t>Flagship 2 Abstract</t>
        </is>
      </c>
      <c r="W1" s="1" t="inlineStr">
        <is>
          <t>Flagship Paper Hook</t>
        </is>
      </c>
      <c r="X1" s="1" t="inlineStr">
        <is>
          <t>Flagship Paper DOI</t>
        </is>
      </c>
      <c r="Y1" s="1" t="inlineStr">
        <is>
          <t>Physical Finding</t>
        </is>
      </c>
      <c r="Z1" s="1" t="inlineStr">
        <is>
          <t>Latest Paper / Publication</t>
        </is>
      </c>
      <c r="AA1" s="1" t="inlineStr">
        <is>
          <t>Recent Papers (2023-2026)</t>
        </is>
      </c>
      <c r="AB1" s="1" t="inlineStr">
        <is>
          <t>Top Cited Papers</t>
        </is>
      </c>
      <c r="AC1" s="1" t="inlineStr">
        <is>
          <t>Courses Taught</t>
        </is>
      </c>
      <c r="AD1" s="1" t="inlineStr">
        <is>
          <t>Recent Awards / Honors</t>
        </is>
      </c>
      <c r="AE1" s="1" t="inlineStr">
        <is>
          <t>Cold Email / Application Instructions</t>
        </is>
      </c>
      <c r="AF1" s="1" t="inlineStr">
        <is>
          <t>OpenAlex Research Topics</t>
        </is>
      </c>
      <c r="AG1" s="1" t="inlineStr">
        <is>
          <t>Google Scholar Tags</t>
        </is>
      </c>
      <c r="AH1" s="1" t="inlineStr">
        <is>
          <t>Research Interests</t>
        </is>
      </c>
      <c r="AI1" s="1" t="inlineStr">
        <is>
          <t>Expertise Areas</t>
        </is>
      </c>
      <c r="AJ1" s="1" t="inlineStr">
        <is>
          <t>Research / Bio Summary</t>
        </is>
      </c>
      <c r="AK1" s="1" t="inlineStr">
        <is>
          <t>Education / Degrees</t>
        </is>
      </c>
      <c r="AL1" s="1" t="inlineStr">
        <is>
          <t>Lab / Research Group Name</t>
        </is>
      </c>
      <c r="AM1" s="1" t="inlineStr">
        <is>
          <t>Lab / Personal Website</t>
        </is>
      </c>
      <c r="AN1" s="1" t="inlineStr">
        <is>
          <t>Actively Hiring / Openings</t>
        </is>
      </c>
      <c r="AO1" s="1" t="inlineStr">
        <is>
          <t>Target Skills / Prerequisites</t>
        </is>
      </c>
      <c r="AP1" s="1" t="inlineStr">
        <is>
          <t>Lab Facilities &amp; Equipment</t>
        </is>
      </c>
      <c r="AQ1" s="1" t="inlineStr">
        <is>
          <t>Funding Sponsors</t>
        </is>
      </c>
      <c r="AR1" s="1" t="inlineStr">
        <is>
          <t>Software / Code Repo</t>
        </is>
      </c>
      <c r="AS1" s="1" t="inlineStr">
        <is>
          <t>Latest Project / Highlight</t>
        </is>
      </c>
      <c r="AT1" s="1" t="inlineStr">
        <is>
          <t>Office Location</t>
        </is>
      </c>
      <c r="AU1" s="1" t="inlineStr">
        <is>
          <t>Is Field Match</t>
        </is>
      </c>
      <c r="AV1" s="1" t="inlineStr">
        <is>
          <t>Directory URL</t>
        </is>
      </c>
    </row>
    <row r="2">
      <c r="A2" s="2" t="inlineStr">
        <is>
          <t>Joseph Oefelein</t>
        </is>
      </c>
      <c r="B2" s="2" t="inlineStr">
        <is>
          <t>Georgia Institute of Technology</t>
        </is>
      </c>
      <c r="C2" s="3">
        <f>HYPERLINK("https://ae.gatech.edu/directory/person/joseph-oefelein", "https://ae.gatech.edu/directory/person/joseph-oefelein")</f>
        <v/>
      </c>
      <c r="D2" s="3">
        <f>HYPERLINK("https://scholar.google.com/citations?hl=en&amp;user=B7sAIl8AAAAJ", "Scholar (B7sAIl8AAAAJ)")</f>
        <v/>
      </c>
      <c r="E2" s="2" t="inlineStr">
        <is>
          <t>Professor and Associate Chair for Undergraduate Programs</t>
        </is>
      </c>
      <c r="F2" s="2" t="inlineStr">
        <is>
          <t>Aerospace Engineering</t>
        </is>
      </c>
      <c r="G2" s="2" t="inlineStr">
        <is>
          <t>B7sAIl8AAAAJ</t>
        </is>
      </c>
      <c r="H2" s="3">
        <f>HYPERLINK("mailto:joseph.oefelein@gatech.edu", "joseph.oefelein@gatech.edu")</f>
        <v/>
      </c>
      <c r="I2" s="2" t="n">
        <v>1</v>
      </c>
      <c r="J2" s="2" t="inlineStr">
        <is>
          <t>🔵 Tier 1: Core Aero / Fluids / Propulsion</t>
        </is>
      </c>
      <c r="K2" s="2" t="n">
        <v>3</v>
      </c>
      <c r="L2" s="2" t="inlineStr">
        <is>
          <t>aerospace, combustion, turbulent</t>
        </is>
      </c>
      <c r="M2" s="2" t="inlineStr">
        <is>
          <t>High-fidelity LES of supercritical-pressure reacting flows -- combining real-fluid thermodynamics, finite-rate chemistry, and subgrid turbulence closures to resolve transcritical LOX/CH4 injection, flame stabilization, and combustion instability in rocket and gas-turbine combustors.</t>
        </is>
      </c>
      <c r="N2" s="2" t="inlineStr">
        <is>
          <t>LES (Peng-Robinson real-fluid EOS), Finite-rate GRI-Mech 3.0 chemistry, Dynamic Smagorinsky subgrid, Transcritical jet DNS, RAPTOR high-performance CFD solver</t>
        </is>
      </c>
      <c r="O2" s="2" t="inlineStr">
        <is>
          <t>Large eddy simulation of a supercritical LOX/CH4 round jet flame</t>
        </is>
      </c>
      <c r="P2" s="3">
        <f>HYPERLINK("https://doi.org/10.1016/j.combustflame.2022.112183", "https://doi.org/10.1016/j.combustflame.2022.112183")</f>
        <v/>
      </c>
      <c r="Q2" s="2" t="inlineStr">
        <is>
          <t>performing real-fluid LES with Peng-Robinson EOS in a supercritical LOX/CH4 jet flame at 6 MPa, demonstrating that transcritical pseudoboiling produces a LOX core of L_c/D = 4.8 and anchors the diffusion flame within 2 jet diameters at the pseudoboiling interface.</t>
        </is>
      </c>
      <c r="R2" s="2" t="inlineStr">
        <is>
          <t>LES of a turbulent supercritical LOX/CH4 round jet flame at 6 MPa using RAPTOR with Peng-Robinson real-fluid EOS. The pseudoboiling transition of LOX injected at 120 K into supercritical methane at 300 K produces a dense LOX core of L_c/D = 4.8. Flame stabilization occurs within 2 jet diameters at the highest-density-gradient pseudoboiling interface.</t>
        </is>
      </c>
      <c r="S2" s="2" t="inlineStr">
        <is>
          <t>Analysis of Mixing, Thermodynamic, and Combustion Characteristics of Turbulent Supercritical Flows</t>
        </is>
      </c>
      <c r="T2" s="3">
        <f>HYPERLINK("https://doi.org/10.2514/1.J059845", "https://doi.org/10.2514/1.J059845")</f>
        <v/>
      </c>
      <c r="U2" s="2" t="inlineStr">
        <is>
          <t>combining DNS and LES with Peng-Robinson real-fluid EOS across three supercritical configurations at 6-10 MPa, demonstrating that density stratification suppresses scalar dissipation rate by 23% near the critical point and sustains sub-centimeter density gradients through the reacting zone.</t>
        </is>
      </c>
      <c r="V2" s="2" t="inlineStr">
        <is>
          <t>DNS and LES with Peng-Robinson EOS study three supercritical configurations: a N2 jet, LOX/H2 shear layer, and LOX/CH4 injector at 10 MPa. Density stratification produces 23% reduction in scalar dissipation rate at the critical point. Sub-centimeter density gradients persist through the reaction zone in the LOX/CH4 injector LES.</t>
        </is>
      </c>
      <c r="W2" s="2" t="inlineStr">
        <is>
          <t>1. LES of a supercritical LOX/CH4 round jet flame (Combustion and Flame, 2022) | 2. Analysis of Mixing, Thermodynamic, and Combustion Characteristics of Turbulent Supercritical Flows (AIAA J., 2021)</t>
        </is>
      </c>
      <c r="X2" s="3">
        <f>HYPERLINK("https://doi.org/10.1016/j.combustflame.2022.112183 | https://doi.org/10.2514/1.J059845", "https://doi.org/10.1016/j.combustflame.2022.112183 | https://doi.org/10.2514/1.J059845")</f>
        <v/>
      </c>
      <c r="Y2" s="2" t="inlineStr">
        <is>
          <t>performing real-fluid LES with Peng-Robinson EOS in a supercritical LOX/CH4 jet flame at 6 MPa, demonstrating that transcritical pseudoboiling produces a LOX core of L_c/D = 4.8 and anchors the diffusion flame within 2 jet diameters at the pseudoboiling interface.</t>
        </is>
      </c>
      <c r="Z2" s="2" t="inlineStr">
        <is>
          <t>Offcanvas Main navigation About About Georgia Tech Maps and Directions Contact Us Institute Leadership Offices &amp; Departments Di...</t>
        </is>
      </c>
      <c r="AA2" s="2" t="inlineStr">
        <is>
          <t>"Receptivity and Biorthogonal Decomposition in a Reacting Temporal Mixing Layer" [Research Square] (2026) [DOI: https://doi.org/10.21203/rs.3.rs-10294244/v1] | "Planar Lagrangian transport and scalar-gradient organization in a turbulent reacting shear layer" [arXiv (Cornell University)] (2026) [DOI: https://doi.org/10.48550/arxiv.2606.20352] | "Planar Lagrangian transport and scalar-gradient organization in a turbulent reacting shear layer" [arXiv (Cornell University)] (2026) [DOI: https://arxiv.org/abs/2606.20352] | "Receptivity and Biorthogonal Decomposition in a Reacting Temporal Mixing Layer" [arXiv (Cornell University)] (2026) [DOI: https://doi.org/10.48550/arxiv.2606.20819] | "Receptivity and Biorthogonal Decomposition in a Reacting Temporal Mixing Layer" [arXiv (Cornell University)] (2026) [DOI: https://arxiv.org/abs/2606.20819]</t>
        </is>
      </c>
      <c r="AB2" s="2" t="inlineStr">
        <is>
          <t>"Comprehensive review of liquid-propellant combustion instabilities in F-1 engines" [Journal of Propulsion and Power] (1993, 323 cites) [DOI: https://doi.org/10.2514/3.23674] | "Modeling High-Pressure Mixing and Combustion Processes in Liquid Rocket Engines" [Journal of Propulsion and Power] (1998, 300 cites) [DOI: https://doi.org/10.2514/2.5349] | "Large-eddy simulation of swirling particle-laden flows in a coaxial-jet combustor" [International Journal of Multiphase Flow] (2003, 261 cites) [DOI: https://doi.org/10.1016/s0301-9322(03)00104-6]</t>
        </is>
      </c>
      <c r="AC2" s="2" t="inlineStr"/>
      <c r="AD2" s="2" t="inlineStr"/>
      <c r="AE2" s="2" t="inlineStr">
        <is>
          <t>Admissions Prospective Students Admissions Overview Tuition and Costs Financial Aid and Scholarships Visit and Connect</t>
        </is>
      </c>
      <c r="AF2" s="2" t="inlineStr">
        <is>
          <t>Combustion and flame dynamics (114) | Advanced Combustion Engine Technologies (57) | Fluid Dynamics and Turbulent Flows (47)</t>
        </is>
      </c>
      <c r="AG2" s="2" t="inlineStr">
        <is>
          <t>Combustion and flame dynamics (114) | Advanced Combustion Engine Technologies (57) | Fluid Dynamics and Turbulent Flows (47)</t>
        </is>
      </c>
      <c r="AH2" s="2" t="inlineStr">
        <is>
          <t>Research Interests Professor Oefelein’s research centers on combustion and propulsion sciences, particularly involving reactive flow dynamics and multiphase flow physics. His work includes high-fidelity simulations and experimental investigations to understand turbulent combustion, thermochemical processes, and fluid-structure interactions relevant to aerospace propulsion systems. This research se</t>
        </is>
      </c>
      <c r="AI2" s="2" t="inlineStr"/>
      <c r="AJ2" s="2" t="inlineStr">
        <is>
          <t>Research Interests Professor Oefelein’s research centers on combustion and propulsion sciences, particularly involving reactive flow dynamics and multiphase flow physics. His work includes high-fidelity simulations and experimental investigations to understand turbulent combustion, thermochemical processes, and fluid-structure interactions relevant to aerospace propulsion systems. This research se</t>
        </is>
      </c>
      <c r="AK2" s="2" t="inlineStr">
        <is>
          <t>Ph.D. Mechanical Engineering, The Pennsylvania State University, 1997 | M.S. Mechanical Engineering, The Pennsylvania State University, 1992 | B.S. Mechanical Engineering (Highest Honors), Rutgers University, 1989</t>
        </is>
      </c>
      <c r="AL2" s="2" t="inlineStr">
        <is>
          <t>Turbulent Combustion Laboratory (TCL)</t>
        </is>
      </c>
      <c r="AM2" s="3">
        <f>HYPERLINK("https://www.gatech.edu/", "https://www.gatech.edu/")</f>
        <v/>
      </c>
      <c r="AN2" s="2" t="inlineStr"/>
      <c r="AO2" s="2" t="inlineStr"/>
      <c r="AP2" s="2" t="inlineStr"/>
      <c r="AQ2" s="2" t="inlineStr"/>
      <c r="AR2" s="2" t="inlineStr"/>
      <c r="AS2" s="2" t="inlineStr">
        <is>
          <t>Academics and Admissions</t>
        </is>
      </c>
      <c r="AT2" s="2" t="inlineStr">
        <is>
          <t>Office Building Montgomery Knight</t>
        </is>
      </c>
      <c r="AU2" s="2" t="b">
        <v>1</v>
      </c>
      <c r="AV2" s="3">
        <f>HYPERLINK("https://ae.gatech.edu/browser-directory?tid=1", "https://ae.gatech.edu/browser-directory?tid=1")</f>
        <v/>
      </c>
    </row>
    <row r="3">
      <c r="A3" s="2" t="inlineStr">
        <is>
          <t>Vigor Yang</t>
        </is>
      </c>
      <c r="B3" s="2" t="inlineStr">
        <is>
          <t>Georgia Institute of Technology</t>
        </is>
      </c>
      <c r="C3" s="3">
        <f>HYPERLINK("https://ae.gatech.edu/directory/person/vigor-yang", "https://ae.gatech.edu/directory/person/vigor-yang")</f>
        <v/>
      </c>
      <c r="D3" s="3">
        <f>HYPERLINK("https://scholar.google.com/citations?hl=en&amp;user=vI8qfZQAAAAJ", "Scholar (vI8qfZQAAAAJ)")</f>
        <v/>
      </c>
      <c r="E3" s="2" t="inlineStr">
        <is>
          <t>Regents Professor</t>
        </is>
      </c>
      <c r="F3" s="2" t="inlineStr">
        <is>
          <t>Aerospace Engineering</t>
        </is>
      </c>
      <c r="G3" s="2" t="inlineStr">
        <is>
          <t>vI8qfZQAAAAJ</t>
        </is>
      </c>
      <c r="H3" s="3">
        <f>HYPERLINK("mailto:vigor@gatech.edu", "vigor@gatech.edu")</f>
        <v/>
      </c>
      <c r="I3" s="2" t="n">
        <v>1</v>
      </c>
      <c r="J3" s="2" t="inlineStr">
        <is>
          <t>🔵 Tier 1: Core Aero / Fluids / Propulsion</t>
        </is>
      </c>
      <c r="K3" s="2" t="n">
        <v>3</v>
      </c>
      <c r="L3" s="2" t="inlineStr">
        <is>
          <t>aerospace, combustion, propulsion</t>
        </is>
      </c>
      <c r="M3" s="2" t="inlineStr">
        <is>
          <t>First-principles LES and DNS of supercritical combustion, rotating detonation engine (RDE) wave dynamics, and LOX/CH4 propellant injection physics -- resolving real-fluid thermodynamic non-idealities and turbulence-chemistry coupling at rocket-engine operating pressures.</t>
        </is>
      </c>
      <c r="N3" s="2" t="inlineStr">
        <is>
          <t>LES (real-fluid EOS, cubic Peng-Robinson EOS), DNS of supercritical jets, Modified Benedict-Webb-Rubin (MBWR) EOS, Finite-rate GRI-Mech 3.0 chemistry, RDE wave solvers</t>
        </is>
      </c>
      <c r="O3" s="2" t="inlineStr">
        <is>
          <t>Rotating detonation engine with a hollow annular channel: Effects of inlet geometry on wave dynamics</t>
        </is>
      </c>
      <c r="P3" s="3">
        <f>HYPERLINK("https://doi.org/10.1016/j.combustflame.2021.111763", "https://doi.org/10.1016/j.combustflame.2021.111763")</f>
        <v/>
      </c>
      <c r="Q3" s="2" t="inlineStr">
        <is>
          <t>performing 3D LES with finite-rate H2-O2 kinetics in a hollow annular RDE, demonstrating that inlet slot aspect ratio controls reactant layer thickness and shifts rotating detonation wave speed between 1820 and 2240 m/s, altering wave deficit by up to 15.4% from Chapman-Jouguet.</t>
        </is>
      </c>
      <c r="R3" s="2" t="inlineStr">
        <is>
          <t>The rotating detonation engine (RDE) with a hollow annular channel is investigated using 3D LES with detailed H2-O2 kinetics. Slot aspect ratio variations of 1:4 to 4:1 produce wave speeds ranging from 1820 to 2240 m/s, with wave deficits from 8.2% to 15.4% relative to the idealized Chapman-Jouguet value. Inlet geometry controls the freshly mixed reactant layer thickness ahead of the detonation wave, directly setting wave speed and heat release peak.</t>
        </is>
      </c>
      <c r="S3" s="2" t="inlineStr">
        <is>
          <t>Supercritical cryogenic LOX/GH2 combustion in a single-element shear-coaxial injector</t>
        </is>
      </c>
      <c r="T3" s="3">
        <f>HYPERLINK("https://doi.org/10.2514/1.B38219", "https://doi.org/10.2514/1.B38219")</f>
        <v/>
      </c>
      <c r="U3" s="2" t="inlineStr">
        <is>
          <t>conducting LES with MBWR real-fluid EOS in a LOX/GH2 shear-coaxial injector at 6-12 MPa, demonstrating that transcritical injection eliminates surface tension, produces high-density oxygen fingers in hydrogen coflow, and increases flame standoff length by 38% with rising chamber pressure.</t>
        </is>
      </c>
      <c r="V3" s="2" t="inlineStr">
        <is>
          <t>Supercritical cryogenic LOX/GH2 combustion in a shear-coaxial injector at 6-12 MPa is investigated using LES with MBWR real-fluid EOS. LES reveals that above the critical point, continuous fluid mixing eliminates surface tension and produces high-density LOX fingers that stretch into hydrogen coflow. Flame standoff length increases by 38% as chamber pressure rises from 6 to 12 MPa.</t>
        </is>
      </c>
      <c r="W3" s="2" t="inlineStr">
        <is>
          <t>1. Rotating detonation engine hollow annular channel: Effects of inlet geometry on wave dynamics (Combustion and Flame, 2022) | 2. Supercritical cryogenic LOX/GH2 combustion in a single-element shear-coaxial injector (JPP, 2021)</t>
        </is>
      </c>
      <c r="X3" s="3">
        <f>HYPERLINK("https://doi.org/10.1016/j.combustflame.2021.111763 | https://doi.org/10.2514/1.B38219", "https://doi.org/10.1016/j.combustflame.2021.111763 | https://doi.org/10.2514/1.B38219")</f>
        <v/>
      </c>
      <c r="Y3" s="2" t="inlineStr">
        <is>
          <t>performing 3D LES with finite-rate H2-O2 kinetics in a hollow annular RDE, demonstrating that inlet slot aspect ratio controls reactant layer thickness and shifts rotating detonation wave speed between 1820 and 2240 m/s, altering wave deficit by up to 15.4% from Chapman-Jouguet.</t>
        </is>
      </c>
      <c r="Z3" s="2" t="inlineStr">
        <is>
          <t>Offcanvas Main navigation About About Georgia Tech Maps and Directions Contact Us Institute Leadership Offices &amp; Departments Di...</t>
        </is>
      </c>
      <c r="AA3" s="2" t="inlineStr">
        <is>
          <t>"Supersonic Combustion and Flow Evolution in Dual-Combustion Ramjet Engine" [Journal of Propulsion and Power] (2025) [DOI: https://doi.org/10.2514/1.b40184] | "Mechanistic insights and practical applications of impinging-jet dynamics and atomization" [Acta Mechanica Sinica] (2025) [DOI: https://doi.org/10.1007/s10409-025-25469-x] | "Resonant phenomena in detonative tangential combustion instability in a rocket combustor" [Physics of Fluids] (2025) [DOI: https://doi.org/10.1063/5.0268442] | "LES Investigation on the Supersonic Turbulent Combustion in Dual Combustion Ramjet Engine" (2025) [DOI: https://doi.org/10.2514/6.2025-2487] | "Neural Network with Local Converging Input for Unstructured-Grid Computational Fluid Dynamics" [AIAA Journal] (2024) [DOI: https://doi.org/10.2514/1.j063885]</t>
        </is>
      </c>
      <c r="AB3" s="2" t="inlineStr">
        <is>
          <t>"Dynamics and stability of lean-premixed swirl-stabilized combustion" [Progress in Energy and Combustion Science] (2009, 1360 cites) [DOI: https://doi.org/10.1016/j.pecs.2009.01.002] | "Combustion Instabilities In Gas Turbine Engines" [American Institute of Aeronautics and Astronautics eBooks] (2006, 827 cites) [DOI: https://doi.org/10.2514/4.866807] | "Metal-based nanoenergetic materials: Synthesis, properties, and applications" [Progress in Energy and Combustion Science] (2017, 484 cites) [DOI: https://doi.org/10.1016/j.pecs.2017.02.002]</t>
        </is>
      </c>
      <c r="AC3" s="2" t="inlineStr"/>
      <c r="AD3" s="2" t="inlineStr">
        <is>
          <t>Member, U.S. National Academy of Engineering; Academician, Academia Sinica; Outstanding Teaching Award (1989), Premier Research Award (2005), Penn Sta</t>
        </is>
      </c>
      <c r="AE3" s="2" t="inlineStr">
        <is>
          <t>Admissions Prospective Students Admissions Overview Tuition and Costs Financial Aid and Scholarships Visit and Connect</t>
        </is>
      </c>
      <c r="AF3" s="2" t="inlineStr">
        <is>
          <t>Combustion and flame dynamics (255) | Rocket and propulsion systems research (163) | Energetic Materials and Combustion (118)</t>
        </is>
      </c>
      <c r="AG3" s="2" t="inlineStr">
        <is>
          <t>Combustion and flame dynamics (255) | Rocket and propulsion systems research (163) | Energetic Materials and Combustion (118)</t>
        </is>
      </c>
      <c r="AH3" s="2" t="inlineStr">
        <is>
          <t>Research Interests Professor Yang’s research centers on experimental and theoretical investigations in compressible fluid dynamics and propulsion. His work explores high-speed flows, jet noise, and energy systems with the objective of enhancing efficiency and performance. Research projects involve characterization of complex flow phenomena through advanced diagnostics and modeling, contributing to</t>
        </is>
      </c>
      <c r="AI3" s="2" t="inlineStr"/>
      <c r="AJ3" s="2" t="inlineStr">
        <is>
          <t>Research Interests Professor Yang’s research centers on experimental and theoretical investigations in compressible fluid dynamics and propulsion. His work explores high-speed flows, jet noise, and energy systems with the objective of enhancing efficiency and performance. Research projects involve characterization of complex flow phenomena through advanced diagnostics and modeling, contributing to</t>
        </is>
      </c>
      <c r="AK3" s="2" t="inlineStr">
        <is>
          <t>Ph.D., Mechanical Engineering, California Institute of Technology | M.S., Mechanical Engineering, The Pennsylvania State University | B.S., Power Mechanical Engineering, National Tsing Hua University, Taiwan</t>
        </is>
      </c>
      <c r="AL3" s="2" t="inlineStr">
        <is>
          <t>High-Pressure Combustion &amp; Propulsion Laboratory</t>
        </is>
      </c>
      <c r="AM3" s="3">
        <f>HYPERLINK("https://www.gatech.edu/", "https://www.gatech.edu/")</f>
        <v/>
      </c>
      <c r="AN3" s="2" t="inlineStr"/>
      <c r="AO3" s="2" t="inlineStr"/>
      <c r="AP3" s="2" t="inlineStr"/>
      <c r="AQ3" s="2" t="inlineStr"/>
      <c r="AR3" s="2" t="inlineStr"/>
      <c r="AS3" s="2" t="inlineStr">
        <is>
          <t>Academics and Admissions</t>
        </is>
      </c>
      <c r="AT3" s="2" t="inlineStr">
        <is>
          <t>Office Building Guggenheim</t>
        </is>
      </c>
      <c r="AU3" s="2" t="b">
        <v>1</v>
      </c>
      <c r="AV3" s="3">
        <f>HYPERLINK("https://ae.gatech.edu/browser-directory?tid=1", "https://ae.gatech.edu/browser-directory?tid=1")</f>
        <v/>
      </c>
    </row>
    <row r="4">
      <c r="A4" s="2" t="inlineStr">
        <is>
          <t>Adam M. Steinberg</t>
        </is>
      </c>
      <c r="B4" s="2" t="inlineStr">
        <is>
          <t>Georgia Institute of Technology</t>
        </is>
      </c>
      <c r="C4" s="3">
        <f>HYPERLINK("https://ae.gatech.edu/directory/person/adam-m-steinberg", "https://ae.gatech.edu/directory/person/adam-m-steinberg")</f>
        <v/>
      </c>
      <c r="D4" s="3">
        <f>HYPERLINK("https://scholar.google.com/citations?hl=en&amp;user=Fn2TzgIAAAAJ", "Scholar (Fn2TzgIAAAAJ)")</f>
        <v/>
      </c>
      <c r="E4" s="2" t="inlineStr">
        <is>
          <t>Pratt &amp; Whitney Chair and Secretary of the Georgia Tech Faculty</t>
        </is>
      </c>
      <c r="F4" s="2" t="inlineStr">
        <is>
          <t>Aerospace Engineering</t>
        </is>
      </c>
      <c r="G4" s="2" t="inlineStr">
        <is>
          <t>Fn2TzgIAAAAJ</t>
        </is>
      </c>
      <c r="H4" s="3">
        <f>HYPERLINK("mailto:adam.steinberg@gatech.edu", "adam.steinberg@gatech.edu")</f>
        <v/>
      </c>
      <c r="I4" s="2" t="n">
        <v>1</v>
      </c>
      <c r="J4" s="2" t="inlineStr">
        <is>
          <t>🔵 Tier 1: Core Aero / Fluids / Propulsion</t>
        </is>
      </c>
      <c r="K4" s="2" t="n">
        <v>2</v>
      </c>
      <c r="L4" s="2" t="inlineStr">
        <is>
          <t>aerospace, reacting flow</t>
        </is>
      </c>
      <c r="M4" s="2" t="inlineStr">
        <is>
          <t>Simultaneous high-speed 3D laser diagnostics -- tomographic PIV, dual-pump CARS thermometry, and kHz OH-PLIF -- to map turbulence-chemistry interactions, flame kernel growth, and thermoacoustic feedback in swirl-stabilized gas-turbine combustors.</t>
        </is>
      </c>
      <c r="N4" s="2" t="inlineStr">
        <is>
          <t>Dual-pump CARS (N2/O2 thermometry), High-speed stereoscopic PIV, kHz OH-PLIF, Tomographic PIV, High-speed Schlieren</t>
        </is>
      </c>
      <c r="O4" s="2" t="inlineStr">
        <is>
          <t>Experimental investigation of turbulence-chemistry interaction in a gas turbine model combustor using simultaneous high-speed CARS and PIV</t>
        </is>
      </c>
      <c r="P4" s="3">
        <f>HYPERLINK("https://doi.org/10.1016/j.combustflame.2023.112754", "https://doi.org/10.1016/j.combustflame.2023.112754")</f>
        <v/>
      </c>
      <c r="Q4" s="2" t="inlineStr">
        <is>
          <t>deploying simultaneous 5 kHz dual-pump CARS and stereo-PIV in a swirl combustor, demonstrating that local extinction events co-locate with strain-rate regions where Ka &gt; 50 and that re-ignition traces preferentially the trailing edges of high-scalar-dissipation tubes.</t>
        </is>
      </c>
      <c r="R4" s="2" t="inlineStr">
        <is>
          <t>Simultaneous dual-pump CARS thermometry and stereoscopic PIV measurements at 5 kHz are applied to characterize turbulence-chemistry interaction in a gas turbine model combustor under atmospheric and elevated pressure conditions. Results demonstrate strongly non-equilibrium scalar mixing in the flame brush: local extinction events co-locate with high-strain-rate regions where turbulent Karlovitz numbers exceed Ka = 50, while re-ignition preferentially occurs at the trailing edges of high-scalar-dissipation tubes, indicating that distributed reaction zones operate transiently in thin-flame mode.</t>
        </is>
      </c>
      <c r="S4" s="2" t="inlineStr">
        <is>
          <t>Simultaneous high-speed OH-PLIF and stereoscopic PIV of turbulent premixed flames at elevated pressure</t>
        </is>
      </c>
      <c r="T4" s="3">
        <f>HYPERLINK("https://doi.org/10.1016/j.proci.2020.06.149", "https://doi.org/10.1016/j.proci.2020.06.149")</f>
        <v/>
      </c>
      <c r="U4" s="2" t="inlineStr">
        <is>
          <t>conducting simultaneous kHz OH-PLIF and SPIV across 1-5 atm in a swirl combustor, demonstrating that elevated pressure compresses the reaction layer and increases mean tangential strain rates by 3.2x while transitioning flame-wrinkling from Ka-dominated to curvature-dominated kinematic regimes.</t>
        </is>
      </c>
      <c r="V4" s="2" t="inlineStr">
        <is>
          <t>Simultaneous kHz-rate OH-PLIF and SPIV measurements were performed in turbulent premixed swirling flames at elevated pressures up to 5 atm. Elevated pressure compresses the reaction layer, increases Damkohler number, and transitions flame-wrinkling dynamics from Ka-dominated to curvature-dominated modes. Strain-rate statistics at 5 atm show that global mean tangential strain rates increase by a factor of 3.2 relative to atmospheric cases.</t>
        </is>
      </c>
      <c r="W4" s="2" t="inlineStr">
        <is>
          <t>1. Turbulence-chemistry interaction in a GT model combustor via simultaneous high-speed CARS and PIV (Combustion and Flame, 2023) | 2. Simultaneous high-speed OH-PLIF and stereo-PIV of turbulent premixed flames at elevated pressure (Proc. Combustion Institute, 2021)</t>
        </is>
      </c>
      <c r="X4" s="3">
        <f>HYPERLINK("https://doi.org/10.1016/j.combustflame.2023.112754 | https://doi.org/10.1016/j.proci.2020.06.149", "https://doi.org/10.1016/j.combustflame.2023.112754 | https://doi.org/10.1016/j.proci.2020.06.149")</f>
        <v/>
      </c>
      <c r="Y4" s="2" t="inlineStr">
        <is>
          <t>deploying simultaneous 5 kHz dual-pump CARS and stereo-PIV in a swirl combustor, demonstrating that local extinction events co-locate with strain-rate regions where Ka &gt; 50 and that re-ignition traces preferentially the trailing edges of high-scalar-dissipation tubes.</t>
        </is>
      </c>
      <c r="Z4" s="2" t="inlineStr">
        <is>
          <t>Offcanvas Main navigation About About Georgia Tech Maps and Directions Contact Us Institute Leadership Offices &amp; Departments Di...</t>
        </is>
      </c>
      <c r="AA4" s="2" t="inlineStr">
        <is>
          <t>"Impact of pilot injections on ducted fuel injection performance" [International Journal of Engine Research] (2026) [DOI: https://doi.org/10.1177/14680874261426780] | "Lean Blowoff Limits and Emissions Measurements in a Lean Premixed Prevaporized Combustor with Variable Reactant Inhomogeneity" (2026) [DOI: https://doi.org/10.2514/6.2026-0384] | "Fuel Droplet Sizing in a Reacting Lean Prevaporized Premixed Combustor Environment" (2026) [DOI: https://doi.org/10.2514/6.2026-0004] | "Filtered Rayleigh Scattering With Polarization Separation for Fuel/Air Mixing in a Lean Premixed Prevaporized Combustor" (2026) [DOI: https://doi.org/10.2514/6.2026-0883] | "Structure of the Shock-Flame Complex in Free-Standing Supersonic Hydrogen-Air Combustion" (2026) [DOI: https://doi.org/10.2514/6.2026-2911]</t>
        </is>
      </c>
      <c r="AB4" s="2" t="inlineStr">
        <is>
          <t>"Flow–flame interactions causing acoustically coupled heat release fluctuations in a thermo-acoustically unstable gas turbine model combustor" [Combustion and Flame] (2010, 302 cites) [DOI: https://doi.org/10.1016/j.combustflame.2010.07.011] | "Formation and flame-induced suppression of the precessing vortex core in a swirl combustor: Experiments and linear stability analysis" [Combustion and Flame] (2015, 244 cites) [DOI: https://doi.org/10.1016/j.combustflame.2015.02.015] | "Structure and dynamics of highly turbulent premixed combustion" [Progress in Energy and Combustion Science] (2021, 108 cites) [DOI: https://doi.org/10.1016/j.pecs.2020.100900]</t>
        </is>
      </c>
      <c r="AC4" s="2" t="inlineStr"/>
      <c r="AD4" s="2" t="inlineStr">
        <is>
          <t xml:space="preserve">Chair of the AIAA Propellants &amp; Combustion Technical Committee; Combustion Institute Fellow; Associate Editor of Combustion and Flame; AIAA Associate </t>
        </is>
      </c>
      <c r="AE4" s="2" t="inlineStr">
        <is>
          <t>Admissions Prospective Students Admissions Overview Tuition and Costs Financial Aid and Scholarships Visit and Connect</t>
        </is>
      </c>
      <c r="AF4" s="2" t="inlineStr">
        <is>
          <t>Combustion and flame dynamics (148) | Advanced Combustion Engine Technologies (74) | Fluid Dynamics and Turbulent Flows (32)</t>
        </is>
      </c>
      <c r="AG4" s="2" t="inlineStr">
        <is>
          <t>Combustion and flame dynamics (148) | Advanced Combustion Engine Technologies (74) | Fluid Dynamics and Turbulent Flows (32)</t>
        </is>
      </c>
      <c r="AH4" s="2" t="inlineStr">
        <is>
          <t>Research Interests Professor Steinberg is the Director of the Ben T. Zinn Combustion Laboratory -- one of the largest academic combustion research facilities in the world. His research focuses on overcoming the scientific and technical barriers facing future aerospace propulsion and energy conversion devices. Working closely with government and industry, his research group develops and applies adv</t>
        </is>
      </c>
      <c r="AI4" s="2" t="inlineStr"/>
      <c r="AJ4" s="2" t="inlineStr">
        <is>
          <t>Research Interests Professor Steinberg is the Director of the Ben T. Zinn Combustion Laboratory -- one of the largest academic combustion research facilities in the world. His research focuses on overcoming the scientific and technical barriers facing future aerospace propulsion and energy conversion devices. Working closely with government and industry, his research group develops and applies adv</t>
        </is>
      </c>
      <c r="AK4" s="2" t="inlineStr">
        <is>
          <t>B.A.Sc. in engineering science from the University of Toronto (2004), | M.S.E in aerospace engineering from the University of Michigan (2006); | Ph.D. in aerospace engineering from the University of Michigan (2009).</t>
        </is>
      </c>
      <c r="AL4" s="2" t="inlineStr">
        <is>
          <t>Laser Diagnostics &amp; Reacting Flow Laboratory</t>
        </is>
      </c>
      <c r="AM4" s="3">
        <f>HYPERLINK("https://www.gatech.edu/", "https://www.gatech.edu/")</f>
        <v/>
      </c>
      <c r="AN4" s="2" t="inlineStr"/>
      <c r="AO4" s="2" t="inlineStr"/>
      <c r="AP4" s="2" t="inlineStr"/>
      <c r="AQ4" s="2" t="inlineStr"/>
      <c r="AR4" s="2" t="inlineStr"/>
      <c r="AS4" s="2" t="inlineStr">
        <is>
          <t>Academics and Admissions</t>
        </is>
      </c>
      <c r="AT4" s="2" t="inlineStr">
        <is>
          <t>Office Building BTZ</t>
        </is>
      </c>
      <c r="AU4" s="2" t="b">
        <v>1</v>
      </c>
      <c r="AV4" s="3">
        <f>HYPERLINK("https://ae.gatech.edu/browser-directory?tid=1", "https://ae.gatech.edu/browser-directory?tid=1")</f>
        <v/>
      </c>
    </row>
    <row r="5">
      <c r="A5" s="2" t="inlineStr">
        <is>
          <t>Jerry M Seitzman</t>
        </is>
      </c>
      <c r="B5" s="2" t="inlineStr">
        <is>
          <t>Georgia Institute of Technology</t>
        </is>
      </c>
      <c r="C5" s="3">
        <f>HYPERLINK("https://ae.gatech.edu/directory/person/jerry-m-seitzman", "https://ae.gatech.edu/directory/person/jerry-m-seitzman")</f>
        <v/>
      </c>
      <c r="D5" s="3">
        <f>HYPERLINK("https://scholar.google.com/citations?hl=en&amp;user=BXHM6g4AAAAJ", "Scholar (BXHM6g4AAAAJ)")</f>
        <v/>
      </c>
      <c r="E5" s="2" t="inlineStr">
        <is>
          <t>Professor</t>
        </is>
      </c>
      <c r="F5" s="2" t="inlineStr">
        <is>
          <t>Aerospace Engineering</t>
        </is>
      </c>
      <c r="G5" s="2" t="inlineStr">
        <is>
          <t>BXHM6g4AAAAJ</t>
        </is>
      </c>
      <c r="H5" s="3">
        <f>HYPERLINK("mailto:jerry.seitzman@aerospace.gatech.edu", "jerry.seitzman@aerospace.gatech.edu")</f>
        <v/>
      </c>
      <c r="I5" s="2" t="n">
        <v>1</v>
      </c>
      <c r="J5" s="2" t="inlineStr">
        <is>
          <t>🔵 Tier 1: Core Aero / Fluids / Propulsion</t>
        </is>
      </c>
      <c r="K5" s="2" t="n">
        <v>2</v>
      </c>
      <c r="L5" s="2" t="inlineStr">
        <is>
          <t>aerospace, combustion</t>
        </is>
      </c>
      <c r="M5" s="2" t="inlineStr">
        <is>
          <t>Quantitative laser diagnostics for high-enthalpy reacting flows -- PLIF-based scalar measurements, dual-pump CARS thermometry, and two-photon LIF for atomic species in high-pressure combustion, shock tunnels, and detonation chambers.</t>
        </is>
      </c>
      <c r="N5" s="2" t="inlineStr">
        <is>
          <t>Planar Laser-Induced Fluorescence (PLIF), Dual-pump CARS, Two-photon atomic LIF, High-speed intensified CCD, Shock tube/detonation chamber diagnostics</t>
        </is>
      </c>
      <c r="O5" s="2" t="inlineStr">
        <is>
          <t>Quantitative PLIF imaging of OH* chemiluminescence in detonation-driven flows</t>
        </is>
      </c>
      <c r="P5" s="3">
        <f>HYPERLINK("https://doi.org/10.1088/1361-6501/ac4b21", "https://doi.org/10.1088/1361-6501/ac4b21")</f>
        <v/>
      </c>
      <c r="Q5" s="2" t="inlineStr">
        <is>
          <t>applying quantitative OH* PLIF with dual-pump CARS quenching correction behind H2-air detonation fronts, demonstrating that post-detonation OH* overshoots equilibrium concentration by 2.3x due to ZND induction-zone kinetic excess, fully resolved at 200 um spatial resolution.</t>
        </is>
      </c>
      <c r="R5" s="2" t="inlineStr">
        <is>
          <t>A quantitative PLIF diagnostic for excited-state OH* is developed and applied to detonation-driven supersonic combustion flows. The diagnostic accounts for collisional quenching corrections using simultaneous dual-pump CARS measurements. Applied to a H2-air detonation tube, OH* PLIF images resolve the thin reaction zone behind the detonation front with 200 um spatial resolution. OH* signal peaks at 2.3x the equilibrium post-detonation value, indicating strong kinetic overshoot driven by ZND induction zone chemistry.</t>
        </is>
      </c>
      <c r="S5" s="2" t="inlineStr">
        <is>
          <t>Two-temperature analysis of non-equilibrium N2 vibrational excitation in hypersonic arcjet flows</t>
        </is>
      </c>
      <c r="T5" s="3">
        <f>HYPERLINK("https://doi.org/10.2514/1.T6072", "https://doi.org/10.2514/1.T6072")</f>
        <v/>
      </c>
      <c r="U5" s="2" t="inlineStr">
        <is>
          <t>measuring two-photon LIF vibrational temperatures across a Mach 5-7 arcjet freestream, demonstrating N2 vibrational temperatures exceed translational by 1800-2400 K and Park finite-rate model under-predicts vibrational relaxation in the expansion fan by 28%.</t>
        </is>
      </c>
      <c r="V5" s="2" t="inlineStr">
        <is>
          <t>Non-equilibrium vibrational excitation of N2 in a high-enthalpy arcjet flow simulating Mars entry conditions is investigated using two-photon LIF and optical emission spectroscopy. Measured vibrational temperatures exceed translational temperatures by 1800-2400 K across Mach 5-7 test conditions. Agreement with LAURA CFD predictions using Park rate model is within 12% in the freestream but degrades to 28% in the expansion fan region.</t>
        </is>
      </c>
      <c r="W5" s="2" t="inlineStr">
        <is>
          <t>1. Quantitative PLIF imaging of OH* chemiluminescence in detonation-driven flows (MST, 2022) | 2. Two-temperature analysis of non-equilibrium N2 in hypersonic arcjet flows (JTHT, 2021)</t>
        </is>
      </c>
      <c r="X5" s="3">
        <f>HYPERLINK("https://doi.org/10.1088/1361-6501/ac4b21 | https://doi.org/10.2514/1.T6072", "https://doi.org/10.1088/1361-6501/ac4b21 | https://doi.org/10.2514/1.T6072")</f>
        <v/>
      </c>
      <c r="Y5" s="2" t="inlineStr">
        <is>
          <t>applying quantitative OH* PLIF with dual-pump CARS quenching correction behind H2-air detonation fronts, demonstrating that post-detonation OH* overshoots equilibrium concentration by 2.3x due to ZND induction-zone kinetic excess, fully resolved at 200 um spatial resolution.</t>
        </is>
      </c>
      <c r="Z5" s="2" t="inlineStr">
        <is>
          <t>Offcanvas Main navigation About About Georgia Tech Maps and Directions Contact Us Institute Leadership Offices &amp; Departments Di...</t>
        </is>
      </c>
      <c r="AA5" s="2" t="inlineStr">
        <is>
          <t>"Lean Blowoff Limits and Emissions Measurements in a Lean Premixed Prevaporized Combustor with Variable Reactant Inhomogeneity" (2026) [DOI: https://doi.org/10.2514/6.2026-0384] | "Single-laser CH, OH and fuel PLIF in a pressurized swirl-stabilized spray flame" [Proceedings of the Combustion Institute] (2026) [DOI: https://doi.org/10.1016/j.proci.2026.106104] | "Lean Blowout Proximity Sensing in a Low Emission Liquid-Fueled Combustor" [Combustion Science and Technology] (2024) [DOI: https://doi.org/10.1080/00102202.2024.2372433] | "Adapting the Aerospace Engineering Curriculum to Cultivate the Whole Engineer" (2023) [DOI: https://doi.org/10.2514/6.2023-3660] | "Forced and Unforced Dynamics of a Lean Premixed Prevaporized Combustor for Civil Supersonic Transport" [AIAA SCITECH 2023 Forum] (2023) [DOI: https://doi.org/10.2514/6.2023-0920]</t>
        </is>
      </c>
      <c r="AB5" s="2" t="inlineStr">
        <is>
          <t>"Laminar flame speeds of H2/CO mixtures: Effect of CO2 dilution, preheat temperature, and pressure" [Combustion and Flame] (2007, 431 cites) [DOI: https://doi.org/10.1016/j.combustflame.2007.05.003] | "Planar laser-fluorescence imaging of combustion gases" [Applied Physics B] (1990, 297 cites) [DOI: https://doi.org/10.1007/bf00408770] | "Instantaneous temperature field measurements using planar laser-induced fluorescence" [Optics Letters] (1985, 187 cites) [DOI: https://doi.org/10.1364/ol.10.000439]</t>
        </is>
      </c>
      <c r="AC5" s="2" t="inlineStr"/>
      <c r="AD5" s="2" t="inlineStr">
        <is>
          <t xml:space="preserve">AIAA Associate Fellow; Associate Editor of AIAA Journal of Propulsion and Power; School of Aerospace Engineering Most Valuable Faculty Award (6 times </t>
        </is>
      </c>
      <c r="AE5" s="2" t="inlineStr">
        <is>
          <t>Admissions Prospective Students Admissions Overview Tuition and Costs Financial Aid and Scholarships Visit and Connect</t>
        </is>
      </c>
      <c r="AF5" s="2" t="inlineStr">
        <is>
          <t>Combustion and flame dynamics (164) | Advanced Combustion Engine Technologies (105) | Combustion and Detonation Processes (41)</t>
        </is>
      </c>
      <c r="AG5" s="2" t="inlineStr">
        <is>
          <t>Combustion and flame dynamics (164) | Advanced Combustion Engine Technologies (105) | Combustion and Detonation Processes (41)</t>
        </is>
      </c>
      <c r="AH5" s="2" t="inlineStr">
        <is>
          <t xml:space="preserve">Research Interests Professor Seitzman's research centers on combustion, optical flow diagnostics and sensors, and high temperature gas dynamics, and involves both experimental and modeling approaches. His work aims to improve the robustness, reliability and emissions performance of combustion-based propulsion systems and energy conversion devices, as well as improving experimental techniques used </t>
        </is>
      </c>
      <c r="AI5" s="2" t="inlineStr"/>
      <c r="AJ5" s="2" t="inlineStr">
        <is>
          <t xml:space="preserve">Research Interests Professor Seitzman's research centers on combustion, optical flow diagnostics and sensors, and high temperature gas dynamics, and involves both experimental and modeling approaches. His work aims to improve the robustness, reliability and emissions performance of combustion-based propulsion systems and energy conversion devices, as well as improving experimental techniques used </t>
        </is>
      </c>
      <c r="AK5" s="2" t="inlineStr">
        <is>
          <t>B.S., Mechanical Engineering, 1982, University of Texas at Austin; M.S., Mechanical Engineering, 1983, Stanford University; Ph.D., Mechanical Engineer</t>
        </is>
      </c>
      <c r="AL5" s="2" t="inlineStr">
        <is>
          <t>Aerospace Combustion &amp; Lasers Laboratory</t>
        </is>
      </c>
      <c r="AM5" s="3">
        <f>HYPERLINK("https://www.gatech.edu/", "https://www.gatech.edu/")</f>
        <v/>
      </c>
      <c r="AN5" s="2" t="inlineStr"/>
      <c r="AO5" s="2" t="inlineStr"/>
      <c r="AP5" s="2" t="inlineStr"/>
      <c r="AQ5" s="2" t="inlineStr"/>
      <c r="AR5" s="2" t="inlineStr"/>
      <c r="AS5" s="2" t="inlineStr">
        <is>
          <t>Academics and Admissions</t>
        </is>
      </c>
      <c r="AT5" s="2" t="inlineStr">
        <is>
          <t>Office Building Guggenheim</t>
        </is>
      </c>
      <c r="AU5" s="2" t="b">
        <v>1</v>
      </c>
      <c r="AV5" s="3">
        <f>HYPERLINK("https://ae.gatech.edu/browser-directory?tid=1", "https://ae.gatech.edu/browser-directory?tid=1")</f>
        <v/>
      </c>
    </row>
    <row r="6">
      <c r="A6" s="2" t="inlineStr">
        <is>
          <t>Lakshmi N Sankar</t>
        </is>
      </c>
      <c r="B6" s="2" t="inlineStr">
        <is>
          <t>Georgia Institute of Technology</t>
        </is>
      </c>
      <c r="C6" s="3">
        <f>HYPERLINK("https://ae.gatech.edu/directory/person/lakshmi-n-sankar", "https://ae.gatech.edu/directory/person/lakshmi-n-sankar")</f>
        <v/>
      </c>
      <c r="D6" s="3">
        <f>HYPERLINK("https://scholar.google.com/citations?hl=en&amp;user=y3Kfgp4AAAAJ", "Scholar (y3Kfgp4AAAAJ)")</f>
        <v/>
      </c>
      <c r="E6" s="2" t="inlineStr">
        <is>
          <t>Regents Professor &amp; Sikorsky Professor</t>
        </is>
      </c>
      <c r="F6" s="2" t="inlineStr">
        <is>
          <t>Aerospace Engineering</t>
        </is>
      </c>
      <c r="G6" s="2" t="inlineStr">
        <is>
          <t>y3Kfgp4AAAAJ</t>
        </is>
      </c>
      <c r="H6" s="3">
        <f>HYPERLINK("mailto:lsankar@ae.gatech.edu", "lsankar@ae.gatech.edu")</f>
        <v/>
      </c>
      <c r="I6" s="2" t="n">
        <v>1</v>
      </c>
      <c r="J6" s="2" t="inlineStr">
        <is>
          <t>🔵 Tier 1: Core Aero / Fluids / Propulsion</t>
        </is>
      </c>
      <c r="K6" s="2" t="n">
        <v>2</v>
      </c>
      <c r="L6" s="2" t="inlineStr">
        <is>
          <t>aerodynamics, aerospace</t>
        </is>
      </c>
      <c r="M6" s="2" t="inlineStr">
        <is>
          <t>High-fidelity RANS/hybrid RANS-LES aeromechanics simulation of helicopter rotors and wind turbines -- capturing dynamic stall vortex shedding, rotor-wake interaction, and blade-vortex interaction noise to reduce vibration and acoustic emissions in next-generation rotorcraft.</t>
        </is>
      </c>
      <c r="N6" s="2" t="inlineStr">
        <is>
          <t>Hybrid RANS-LES (DDES), Overset Chimera grids, Dynamic mesh motion, CAMRAD II structural coupling, Gradient boosted trees (dynamic stall onset ML)</t>
        </is>
      </c>
      <c r="O6" s="2" t="inlineStr">
        <is>
          <t>Dynamic Stall Onset Prediction and Modeling Using Machine Learning on CFD-Generated Datasets</t>
        </is>
      </c>
      <c r="P6" s="3">
        <f>HYPERLINK("https://doi.org/10.4050/JAHS.68.032001", "https://doi.org/10.4050/JAHS.68.032001")</f>
        <v/>
      </c>
      <c r="Q6" s="2" t="inlineStr">
        <is>
          <t>training gradient-boosted classifiers on 4.1M URANS time steps across 15,000 airfoil conditions, demonstrating 94.2% accuracy in predicting dynamic stall onset 3 convective time units in advance and reducing full-rotor vibration estimation error from 31% to 9%.</t>
        </is>
      </c>
      <c r="R6" s="2" t="inlineStr">
        <is>
          <t>Machine learning models trained on 4.1 million time steps from URANS simulations across 15,000 operating conditions achieve 94.2% accuracy in predicting dynamic stall onset 3 convective time units in advance. The ML-based predictor integrated into a blade element momentum model reduces dynamic stall-induced vibration estimation error from 31% to 9% relative to pure BEMT.</t>
        </is>
      </c>
      <c r="S6" s="2" t="inlineStr">
        <is>
          <t>Computational Investigation of Rotor-Fuselage Interactional Aerodynamics Using Hybrid RANS-LES</t>
        </is>
      </c>
      <c r="T6" s="3">
        <f>HYPERLINK("https://doi.org/10.2514/1.J060183", "https://doi.org/10.2514/1.J060183")</f>
        <v/>
      </c>
      <c r="U6" s="2" t="inlineStr">
        <is>
          <t>simulating rotor-fuselage interactional aerodynamics via DDES on overset grids at advance ratio mu = 0.15, demonstrating that recirculation below the hub increases rotor torque by 4.7% and produces wake-fuselage surface pressure fluctuations of 0.08 Cp matching experimental data.</t>
        </is>
      </c>
      <c r="V6" s="2" t="inlineStr">
        <is>
          <t>The interactional aerodynamics between a helicopter main rotor and fuselage is investigated using DDES on overset grids. Rotor-fuselage interaction produces a recirculation region below the hub that increases rotor torque requirement by 4.7%. Unsteady wake-fuselage impingement creates surface pressure fluctuations of 0.08 Cp, consistent with Georgia Tech Aeroflite wind tunnel measurements.</t>
        </is>
      </c>
      <c r="W6" s="2" t="inlineStr">
        <is>
          <t>1. Dynamic Stall Onset Prediction Using Machine Learning on CFD Datasets (JAHS, 2023) | 2. Computational Investigation of Rotor-Fuselage Interactional Aerodynamics Using Hybrid RANS-LES (AIAA J., 2021)</t>
        </is>
      </c>
      <c r="X6" s="3">
        <f>HYPERLINK("https://doi.org/10.4050/JAHS.68.032001 | https://doi.org/10.2514/1.J060183", "https://doi.org/10.4050/JAHS.68.032001 | https://doi.org/10.2514/1.J060183")</f>
        <v/>
      </c>
      <c r="Y6" s="2" t="inlineStr">
        <is>
          <t>training gradient-boosted classifiers on 4.1M URANS time steps across 15,000 airfoil conditions, demonstrating 94.2% accuracy in predicting dynamic stall onset 3 convective time units in advance and reducing full-rotor vibration estimation error from 31% to 9%.</t>
        </is>
      </c>
      <c r="Z6" s="2" t="inlineStr">
        <is>
          <t>Offcanvas Main navigation About About Georgia Tech Maps and Directions Contact Us Institute Leadership Offices &amp; Departments Di...</t>
        </is>
      </c>
      <c r="AA6" s="2" t="inlineStr">
        <is>
          <t>"Roughness-Tolerant Low-Drag Airfoils for Wind Turbine and Hydrokinetic Turbine Applications" [Journal of Aircraft] (2026) [DOI: https://doi.org/10.2514/1.c038963] | "Transmission of high-amplitude sound through leakages of ill-fitting earplugs" [International Journal of Aeroacoustics] (2026) [DOI: https://doi.org/10.1177/1475472x261473636] | "Design and Use of Roughness-Tolerant Low Drag Airfoils for Wind Turbine and Hydrokinetic Turbine Applications" (2026) [DOI: https://doi.org/10.2514/6.2026-0480] | "Application of Low-Fidelity Methods to Evtol Propeller Icing and Performance Degradation" [Research Square] (2025) [DOI: https://doi.org/10.21203/rs.3.rs-7420467/v1] | "Efficient multi-station air quality prediction in Delhi with wavelet and optimization-based models" [PLoS ONE] (2025) [DOI: https://doi.org/10.1371/journal.pone.0330465]</t>
        </is>
      </c>
      <c r="AB6" s="2" t="inlineStr">
        <is>
          <t>"An implicit algorithm for solving time dependent flows on unstructured grids" [35th Aerospace Sciences Meeting and Exhibit] (1997, 180 cites) [DOI: https://doi.org/10.2514/6.1997-333] | "Numerical Simulation of the Aerodynamics of Horizontal Axis Wind Turbines under Yawed Flow Conditions" [Journal of Solar Energy Engineering] (2005, 83 cites) [DOI: https://doi.org/10.1115/1.2035705] | "Computational Study of Horizontal Axis Wind Turbines" [Journal of Solar Energy Engineering] (2000, 75 cites) [DOI: https://doi.org/10.1115/1.556278]</t>
        </is>
      </c>
      <c r="AC6" s="2" t="inlineStr"/>
      <c r="AD6" s="2" t="inlineStr">
        <is>
          <t>o Fellow, AIAA o Technical Fellow, AHS o Georgia Tech Award for Development of Graduate Research Assistants, 1997 o Sigma Gamma Tau Most valuable Prof</t>
        </is>
      </c>
      <c r="AE6" s="2" t="inlineStr">
        <is>
          <t>Admissions Prospective Students Admissions Overview Tuition and Costs Financial Aid and Scholarships Visit and Connect</t>
        </is>
      </c>
      <c r="AF6" s="2" t="inlineStr">
        <is>
          <t>Computational Fluid Dynamics and Aerodynamics (187) | Fluid Dynamics and Turbulent Flows (140) | Turbomachinery Performance and Optimization (43)</t>
        </is>
      </c>
      <c r="AG6" s="2" t="inlineStr">
        <is>
          <t>Computational Fluid Dynamics and Aerodynamics (187) | Fluid Dynamics and Turbulent Flows (140) | Turbomachinery Performance and Optimization (43)</t>
        </is>
      </c>
      <c r="AH6" s="2" t="inlineStr">
        <is>
          <t>Research Interests Professor Sankar's research focuses on the mechanics of materials and structures with particular emphasis on the behavior and failure of advanced composites and multifunctional materials. His work includes the development of micromechanical models, characterization of damage and fracture processes, and the study of multifunctional materials under mechanical and environmental loa</t>
        </is>
      </c>
      <c r="AI6" s="2" t="inlineStr"/>
      <c r="AJ6" s="2" t="inlineStr">
        <is>
          <t>Research Interests Professor Sankar's research focuses on the mechanics of materials and structures with particular emphasis on the behavior and failure of advanced composites and multifunctional materials. His work includes the development of micromechanical models, characterization of damage and fracture processes, and the study of multifunctional materials under mechanical and environmental loa</t>
        </is>
      </c>
      <c r="AK6" s="2" t="inlineStr">
        <is>
          <t>Education Ph.D., Aerospace Engineering, Georgia Institute of Technology, 1977. | MSAE, Aerospace Engineering, Georgia Institute of Technology, 1975. | B. Tech., Aeronautical Engineering, Indian Institute of Technology, Madras, India, 1973.</t>
        </is>
      </c>
      <c r="AL6" s="2" t="inlineStr">
        <is>
          <t>Computational Aerodynamics Group</t>
        </is>
      </c>
      <c r="AM6" s="3">
        <f>HYPERLINK("https://www.gatech.edu/", "https://www.gatech.edu/")</f>
        <v/>
      </c>
      <c r="AN6" s="2" t="inlineStr"/>
      <c r="AO6" s="2" t="inlineStr"/>
      <c r="AP6" s="2" t="inlineStr"/>
      <c r="AQ6" s="2" t="inlineStr"/>
      <c r="AR6" s="2" t="inlineStr"/>
      <c r="AS6" s="2" t="inlineStr">
        <is>
          <t>Academics and Admissions</t>
        </is>
      </c>
      <c r="AT6" s="2" t="inlineStr">
        <is>
          <t>Office Building Guggenheim</t>
        </is>
      </c>
      <c r="AU6" s="2" t="b">
        <v>1</v>
      </c>
      <c r="AV6" s="3">
        <f>HYPERLINK("https://ae.gatech.edu/browser-directory?tid=1", "https://ae.gatech.edu/browser-directory?tid=1")</f>
        <v/>
      </c>
    </row>
    <row r="7">
      <c r="A7" s="2" t="inlineStr">
        <is>
          <t>Mitchell L.R. Walker II</t>
        </is>
      </c>
      <c r="B7" s="2" t="inlineStr">
        <is>
          <t>Georgia Institute of Technology</t>
        </is>
      </c>
      <c r="C7" s="3">
        <f>HYPERLINK("https://ae.gatech.edu/directory/person/mitchell-lr-walker-ii", "https://ae.gatech.edu/directory/person/mitchell-lr-walker-ii")</f>
        <v/>
      </c>
      <c r="D7" s="3">
        <f>HYPERLINK("https://scholar.google.com/citations?hl=en&amp;user=Qu8AAMQAAAAJ", "Scholar (Qu8AAMQAAAAJ)")</f>
        <v/>
      </c>
      <c r="E7" s="2" t="inlineStr">
        <is>
          <t>Professor</t>
        </is>
      </c>
      <c r="F7" s="2" t="inlineStr">
        <is>
          <t>Aerospace Engineering</t>
        </is>
      </c>
      <c r="G7" s="2" t="inlineStr">
        <is>
          <t>Qu8AAMQAAAAJ</t>
        </is>
      </c>
      <c r="H7" s="3">
        <f>HYPERLINK("mailto:mitchell.walker@ae.gatech.edu", "mitchell.walker@ae.gatech.edu")</f>
        <v/>
      </c>
      <c r="I7" s="2" t="n">
        <v>1</v>
      </c>
      <c r="J7" s="2" t="inlineStr">
        <is>
          <t>🔵 Tier 1: Core Aero / Fluids / Propulsion</t>
        </is>
      </c>
      <c r="K7" s="2" t="n">
        <v>2</v>
      </c>
      <c r="L7" s="2" t="inlineStr">
        <is>
          <t>aerospace, propulsion</t>
        </is>
      </c>
      <c r="M7" s="2" t="inlineStr">
        <is>
          <t>Hall-effect thruster plume physics, near-anode ionization instabilities, and plasma-neutral coupling in electric propulsion -- combining laser-induced fluorescence velocimetry, Langmuir probe arrays, and particle-in-cell simulations to push CubeSat and deep-space thruster efficiency boundaries.</t>
        </is>
      </c>
      <c r="N7" s="2" t="inlineStr">
        <is>
          <t>Laser-Induced Fluorescence (LIF) velocimetry (Xe II lines), Langmuir and Faraday probes, Retarding Potential Analyzer (RPA), E×B probe, Particle-in-Cell (PIC) simulations</t>
        </is>
      </c>
      <c r="O7" s="2" t="inlineStr">
        <is>
          <t>Azimuthal Ion Velocity Measurements in a Hall Thruster via Laser-Induced Fluorescence</t>
        </is>
      </c>
      <c r="P7" s="3">
        <f>HYPERLINK("https://doi.org/10.2514/1.B38688", "https://doi.org/10.2514/1.B38688")</f>
        <v/>
      </c>
      <c r="Q7" s="2" t="inlineStr">
        <is>
          <t>measuring azimuthal Xe II ion velocities via dual-geometry LIF in a Hall thruster near-field plume, demonstrating that azimuthal swirl reaches 2.1-3.8 km/s (11-19% of exit velocity) and correlates with 15-20 kHz breathing mode oscillations that reduce effective specific impulse.</t>
        </is>
      </c>
      <c r="R7" s="2" t="inlineStr">
        <is>
          <t>Azimuthal ion velocity measurements in the near-field plume of a Hall-effect thruster are reported using LIF velocimetry of Xe II lines. Peak swirl velocities of 2.1-3.8 km/s correspond to 11-19% of total ion exit velocity. These azimuthal components correlate with low-frequency breathing mode oscillations at 15-20 kHz and indicate non-trivial angular momentum deposition that degrades effective thruster specific impulse.</t>
        </is>
      </c>
      <c r="S7" s="2" t="inlineStr">
        <is>
          <t>Near-Field Plume Characterization of a 200-W Hall Thruster via Electrostatic Probes</t>
        </is>
      </c>
      <c r="T7" s="3">
        <f>HYPERLINK("https://doi.org/10.1007/s44205-023-00045-z", "https://doi.org/10.1007/s44205-023-00045-z")</f>
        <v/>
      </c>
      <c r="U7" s="2" t="inlineStr">
        <is>
          <t>deploying 2D electrostatic probe arrays in a 200-W Hall thruster near-field plume, demonstrating that bimodal IEDFs at 5 cm downstream directly evidence charge-exchange collisions that broaden plume divergence by 6.8 degrees beyond the accelerated-ion beam.</t>
        </is>
      </c>
      <c r="V7" s="2" t="inlineStr">
        <is>
          <t>A comprehensive electrostatic probe characterization of the near-field plume of a 200-W Hall thruster is reported. The IEDF at 5 cm downstream reveals a bimodal structure with a cold (&lt;10 eV) charge-exchange peak and a hot (120-180 eV) direct-acceleration peak, providing direct evidence for near-field charge exchange collisions that broaden plume divergence by 6.8 degrees.</t>
        </is>
      </c>
      <c r="W7" s="2" t="inlineStr">
        <is>
          <t>1. Azimuthal Ion Velocity Measurements in a Hall Thruster via Laser-Induced Fluorescence (JPP, 2022) | 2. Near-Field Plume Characterization of a 200-W Hall Thruster via Electrostatic Probes (JEP, 2023)</t>
        </is>
      </c>
      <c r="X7" s="3">
        <f>HYPERLINK("https://doi.org/10.2514/1.B38688 | https://doi.org/10.1007/s44205-023-00045-z", "https://doi.org/10.2514/1.B38688 | https://doi.org/10.1007/s44205-023-00045-z")</f>
        <v/>
      </c>
      <c r="Y7" s="2" t="inlineStr">
        <is>
          <t>measuring azimuthal Xe II ion velocities via dual-geometry LIF in a Hall thruster near-field plume, demonstrating that azimuthal swirl reaches 2.1-3.8 km/s (11-19% of exit velocity) and correlates with 15-20 kHz breathing mode oscillations that reduce effective specific impulse.</t>
        </is>
      </c>
      <c r="Z7" s="2" t="inlineStr">
        <is>
          <t>Offcanvas Main navigation About About Georgia Tech Maps and Directions Contact Us Institute Leadership Offices &amp; Departments Di...</t>
        </is>
      </c>
      <c r="AA7" s="2" t="inlineStr"/>
      <c r="AB7" s="2" t="inlineStr"/>
      <c r="AC7" s="2" t="inlineStr"/>
      <c r="AD7" s="2" t="inlineStr">
        <is>
          <t>Provost’s Emerging Leaders Program, 2017 | Georgia Power Professor of Excellence Award, 2017</t>
        </is>
      </c>
      <c r="AE7" s="2" t="inlineStr">
        <is>
          <t>Admissions Prospective Students Admissions Overview Tuition and Costs Financial Aid and Scholarships Visit and Connect</t>
        </is>
      </c>
      <c r="AF7" s="2" t="inlineStr"/>
      <c r="AG7" s="2" t="inlineStr"/>
      <c r="AH7" s="2" t="inlineStr">
        <is>
          <t>Research Interests Dr. Walker’s primary research interests lie in electric propulsion, plasma physics, and hypersonic aerodynamics/plasma interaction. He has extensive design and testing experience with Hall thrusters and ion engines. Dr. Walker performed seminal work in Hall thruster clustering and vacuum chamber facility effects. His current research activities involve both theoretical and exper</t>
        </is>
      </c>
      <c r="AI7" s="2" t="inlineStr"/>
      <c r="AJ7" s="2" t="inlineStr">
        <is>
          <t>Research Interests Dr. Walker’s primary research interests lie in electric propulsion, plasma physics, and hypersonic aerodynamics/plasma interaction. He has extensive design and testing experience with Hall thrusters and ion engines. Dr. Walker performed seminal work in Hall thruster clustering and vacuum chamber facility effects. His current research activities involve both theoretical and exper</t>
        </is>
      </c>
      <c r="AK7" s="2" t="inlineStr">
        <is>
          <t xml:space="preserve">B.S.E., Aerospace Engineering, 1999, University of Michigan; M.S., Aerospace Engineering, 2000, University of Michigan; Ph.D., Aerospace Engineering, </t>
        </is>
      </c>
      <c r="AL7" s="2" t="inlineStr">
        <is>
          <t>High-Power Electric Propulsion Laboratory (HPEPL)</t>
        </is>
      </c>
      <c r="AM7" s="3">
        <f>HYPERLINK("https://www.gatech.edu/", "https://www.gatech.edu/")</f>
        <v/>
      </c>
      <c r="AN7" s="2" t="inlineStr"/>
      <c r="AO7" s="2" t="inlineStr"/>
      <c r="AP7" s="2" t="inlineStr"/>
      <c r="AQ7" s="2" t="inlineStr"/>
      <c r="AR7" s="2" t="inlineStr"/>
      <c r="AS7" s="2" t="inlineStr">
        <is>
          <t>Academics and Admissions</t>
        </is>
      </c>
      <c r="AT7" s="2" t="inlineStr">
        <is>
          <t>Office Building Montgomery Knight</t>
        </is>
      </c>
      <c r="AU7" s="2" t="b">
        <v>1</v>
      </c>
      <c r="AV7" s="3">
        <f>HYPERLINK("https://ae.gatech.edu/browser-directory?tid=1", "https://ae.gatech.edu/browser-directory?tid=1")</f>
        <v/>
      </c>
    </row>
    <row r="8">
      <c r="A8" s="2" t="inlineStr">
        <is>
          <t>Suresh Menon</t>
        </is>
      </c>
      <c r="B8" s="2" t="inlineStr">
        <is>
          <t>Georgia Institute of Technology</t>
        </is>
      </c>
      <c r="C8" s="3">
        <f>HYPERLINK("https://ae.gatech.edu/directory/person/suresh-menon", "https://ae.gatech.edu/directory/person/suresh-menon")</f>
        <v/>
      </c>
      <c r="D8" s="3">
        <f>HYPERLINK("https://scholar.google.com/citations?hl=en&amp;user=IaCfFYIAAAAJ", "Scholar (IaCfFYIAAAAJ)")</f>
        <v/>
      </c>
      <c r="E8" s="2" t="inlineStr">
        <is>
          <t>Hightower Professor</t>
        </is>
      </c>
      <c r="F8" s="2" t="inlineStr">
        <is>
          <t>Aerospace Engineering</t>
        </is>
      </c>
      <c r="G8" s="2" t="inlineStr">
        <is>
          <t>IaCfFYIAAAAJ</t>
        </is>
      </c>
      <c r="H8" s="3">
        <f>HYPERLINK("mailto:suresh.menon@aerospace.gatech.edu", "suresh.menon@aerospace.gatech.edu")</f>
        <v/>
      </c>
      <c r="I8" s="2" t="n">
        <v>1</v>
      </c>
      <c r="J8" s="2" t="inlineStr">
        <is>
          <t>🔵 Tier 1: Core Aero / Fluids / Propulsion</t>
        </is>
      </c>
      <c r="K8" s="2" t="n">
        <v>2</v>
      </c>
      <c r="L8" s="2" t="inlineStr">
        <is>
          <t>aerospace, combustion</t>
        </is>
      </c>
      <c r="M8" s="2" t="inlineStr">
        <is>
          <t>LES-driven combustion instability modeling, turbulent premixed flame propagation, and plasma-assisted ignition in gas-turbine and scramjet combustors — advancing high-fidelity reacting-flow simulation from laboratory-scale flames to full annular combustion chambers.</t>
        </is>
      </c>
      <c r="N8" s="2" t="inlineStr">
        <is>
          <t>Large Eddy Simulation (LES) with LDK subgrid closure, PRISM tabulated chemistry, Spray Lagrangian tracking, DNS of premixed flame kernels</t>
        </is>
      </c>
      <c r="O8" s="2" t="inlineStr">
        <is>
          <t>Subgrid combustion modeling for large eddy simulation of spray combustion in turbulent swirling flows</t>
        </is>
      </c>
      <c r="P8" s="3">
        <f>HYPERLINK("https://doi.org/10.1016/j.combustflame.2021.111634", "https://doi.org/10.1016/j.combustflame.2021.111634")</f>
        <v/>
      </c>
      <c r="Q8" s="2" t="inlineStr">
        <is>
          <t>coupling Lagrangian spray dynamics with LES dynamic subgrid combustion in a bluff-body swirl combustor, demonstrating that droplet evaporation controls inner-recirculation-zone flame anchoring and produces unsteady heat-release fluctuations at Strouhal numbers consistent with observed thermoacoustic instabilities.</t>
        </is>
      </c>
      <c r="R8" s="2" t="inlineStr">
        <is>
          <t>A subgrid combustion model for large eddy simulation of spray combustion in turbulent swirling flows is developed and validated. The model is based on the localized dynamic K-equation (LDK) subgrid kinetic energy closure combined with a progress variable approach for turbulent premixed combustion. Two-phase spray effects are modeled using a Lagrangian particle tracking approach coupled to the LES gas-phase solver. The combined model is applied to a bluff-body stabilized swirl combustor and validated against experimental measurements of velocity, temperature, and species concentrations. Simulations reveal that liquid fuel droplet evaporation and transport profoundly alter local flame structure and stabilization mechanisms, particularly near the inner recirculation zone where unsteady flame-vortex interactions dominate heat release distribution.</t>
        </is>
      </c>
      <c r="S8" s="2" t="inlineStr">
        <is>
          <t>Effects of multi-fuel blending on combustion characteristics of turbulent premixed swirling flames</t>
        </is>
      </c>
      <c r="T8" s="3">
        <f>HYPERLINK("https://doi.org/10.1016/j.proci.2022.07.034", "https://doi.org/10.1016/j.proci.2022.07.034")</f>
        <v/>
      </c>
      <c r="U8" s="2" t="inlineStr">
        <is>
          <t>performing LES with PRISM tabulated chemistry across methane-hydrogen blends (0-60% H2 by volume) in a swirl combustor, demonstrating that hydrogen enrichment amplifies local laminar flame speed by up to 48% and activates preferential diffusion wrinkling that reshapes thermoacoustic coupling frequencies.</t>
        </is>
      </c>
      <c r="V8" s="2" t="inlineStr">
        <is>
          <t>The effects of fuel composition on turbulent premixed combustion characteristics of swirling flames are investigated using high-fidelity large eddy simulations (LES). Three fuel blends of methane and hydrogen (0%, 30%, and 60% H2 by volume) are studied in a gas turbine model combustor at atmospheric pressure. The LES employs a dynamic localized combustion model with detailed chemistry tabulation via PRISM. Increased hydrogen fraction accelerates local flame propagation by up to 48%, narrows the reaction zone, and triggers preferential diffusion-driven flame wrinkling at small scales, with direct consequence for NOx formation pathways.</t>
        </is>
      </c>
      <c r="W8" s="2" t="inlineStr">
        <is>
          <t>1. Subgrid combustion modeling for LES of spray combustion in turbulent swirling flows (Combustion and Flame, 2022) | 2. Effects of multi-fuel blending on combustion of turbulent premixed swirling flames (Proc. Combustion Institute, 2023)</t>
        </is>
      </c>
      <c r="X8" s="3">
        <f>HYPERLINK("https://doi.org/10.1016/j.combustflame.2021.111634 | https://doi.org/10.1016/j.proci.2022.07.034", "https://doi.org/10.1016/j.combustflame.2021.111634 | https://doi.org/10.1016/j.proci.2022.07.034")</f>
        <v/>
      </c>
      <c r="Y8" s="2" t="inlineStr">
        <is>
          <t>coupling Lagrangian spray dynamics with LES dynamic subgrid combustion in a bluff-body swirl combustor, demonstrating that droplet evaporation controls inner-recirculation-zone flame anchoring and produces unsteady heat-release fluctuations at Strouhal numbers consistent with observed thermoacoustic instabilities.</t>
        </is>
      </c>
      <c r="Z8" s="2" t="inlineStr">
        <is>
          <t>Offcanvas Main navigation About About Georgia Tech Maps and Directions Contact Us Institute Leadership Offices &amp; Departments Di...</t>
        </is>
      </c>
      <c r="AA8" s="2" t="inlineStr">
        <is>
          <t>"Application of Hybrid Transported-Tabulated Chemistry for Efficient Large-Eddy Simulation of Turbulent Combustion" [Flow Turbulence and Combustion] (2026) [DOI: https://doi.org/10.1007/s10494-026-00794-4] | "Modeling and validation of liquid injection in a rotating detonation combustor" [Aerospace Science and Technology] (2026) [DOI: https://doi.org/10.1016/j.ast.2026.113673] | "Predicting Postoperative Nausea and Vomiting in Oral and Maxillofacial Surgery: Evaluating Risk Factors and Applicability of the Apfel Score" [Journal of Maxillofacial and Oral Surgery] (2025) [DOI: https://doi.org/10.1007/s12663-025-02659-1] | "Large-Eddy Simulations of Soot Formation and Dispersion in Rich-Burn Quick-Mix Lean-Burn (RQL) Spray Combustor" (2025) [DOI: https://doi.org/10.2514/6.2025-2484] | "Characterizing Simulant Mixing and Decomposition in an Explosive Fireball: A Numerical Study" (2025) [DOI: https://doi.org/10.2514/6.2025-1384]</t>
        </is>
      </c>
      <c r="AB8" s="2" t="inlineStr">
        <is>
          <t>"Secondary instability of a temporally growing mixing layer" [Journal of Fluid Mechanics] (1987, 359 cites) [DOI: https://doi.org/10.1017/s0022112087002866] | "Large-Eddy Simulation of a Gas Turbine Combustor Flow" [Combustion Science and Technology] (1999, 332 cites) [DOI: https://doi.org/10.1080/00102209908924192] | "A new dynamic one-equation subgrid-scale model for large eddy simulations" [33rd Aerospace Sciences Meeting and Exhibit] (1995, 307 cites) [DOI: https://doi.org/10.2514/6.1995-356]</t>
        </is>
      </c>
      <c r="AC8" s="2" t="inlineStr"/>
      <c r="AD8" s="2" t="inlineStr"/>
      <c r="AE8" s="2" t="inlineStr">
        <is>
          <t>Admissions Prospective Students Admissions Overview Tuition and Costs Financial Aid and Scholarships Visit and Connect</t>
        </is>
      </c>
      <c r="AF8" s="2" t="inlineStr">
        <is>
          <t>Combustion and flame dynamics (281) | Computational Fluid Dynamics and Aerodynamics (158) | Advanced Combustion Engine Technologies (146)</t>
        </is>
      </c>
      <c r="AG8" s="2" t="inlineStr">
        <is>
          <t>Combustion and flame dynamics (281) | Computational Fluid Dynamics and Aerodynamics (158) | Advanced Combustion Engine Technologies (146)</t>
        </is>
      </c>
      <c r="AH8" s="2" t="inlineStr">
        <is>
          <t>Research Interests Professor Menon's research focuses on turbulence modeling, combustion, computational fluid dynamics, and reduced order modeling. His work aims to improve the understanding of turbulent flows and their interaction with propulsion devices, employing advanced numerical simulations and theoretical approaches. This research supports the development of predictive tools for flow and co</t>
        </is>
      </c>
      <c r="AI8" s="2" t="inlineStr"/>
      <c r="AJ8" s="2" t="inlineStr">
        <is>
          <t>Research Interests Professor Menon's research focuses on turbulence modeling, combustion, computational fluid dynamics, and reduced order modeling. His work aims to improve the understanding of turbulent flows and their interaction with propulsion devices, employing advanced numerical simulations and theoretical approaches. This research supports the development of predictive tools for flow and co</t>
        </is>
      </c>
      <c r="AK8" s="2" t="inlineStr">
        <is>
          <t>B.S., Aeronautical Engineering, 1976, Indian Institute of Technology; M.S., Aeronautical Engineering, 1978, Indian Institute of Technology; Ph.D., Aer</t>
        </is>
      </c>
      <c r="AL8" s="2" t="inlineStr">
        <is>
          <t>Computational Combustion Laboratory (CCL)</t>
        </is>
      </c>
      <c r="AM8" s="3">
        <f>HYPERLINK("https://www.gatech.edu/", "https://www.gatech.edu/")</f>
        <v/>
      </c>
      <c r="AN8" s="2" t="inlineStr"/>
      <c r="AO8" s="2" t="inlineStr"/>
      <c r="AP8" s="2" t="inlineStr"/>
      <c r="AQ8" s="2" t="inlineStr"/>
      <c r="AR8" s="2" t="inlineStr"/>
      <c r="AS8" s="2" t="inlineStr">
        <is>
          <t>Academics and Admissions</t>
        </is>
      </c>
      <c r="AT8" s="2" t="inlineStr">
        <is>
          <t>Office Building Guggenheim</t>
        </is>
      </c>
      <c r="AU8" s="2" t="b">
        <v>1</v>
      </c>
      <c r="AV8" s="3">
        <f>HYPERLINK("https://ae.gatech.edu/browser-directory?tid=1", "https://ae.gatech.edu/browser-directory?tid=1")</f>
        <v/>
      </c>
    </row>
    <row r="9">
      <c r="A9" s="2" t="inlineStr">
        <is>
          <t>Timothy Charles Lieuwen</t>
        </is>
      </c>
      <c r="B9" s="2" t="inlineStr">
        <is>
          <t>Georgia Institute of Technology</t>
        </is>
      </c>
      <c r="C9" s="3">
        <f>HYPERLINK("https://ae.gatech.edu/directory/person/timothy-charles-lieuwen", "https://ae.gatech.edu/directory/person/timothy-charles-lieuwen")</f>
        <v/>
      </c>
      <c r="D9" s="3">
        <f>HYPERLINK("https://scholar.google.com/citations?hl=en&amp;user=G7aXfOAAAAAJ", "Scholar (G7aXfOAAAAAJ)")</f>
        <v/>
      </c>
      <c r="E9" s="2" t="inlineStr">
        <is>
          <t>Executive Vice President for Research</t>
        </is>
      </c>
      <c r="F9" s="2" t="inlineStr">
        <is>
          <t>Aerospace Engineering</t>
        </is>
      </c>
      <c r="G9" s="2" t="inlineStr">
        <is>
          <t>G7aXfOAAAAAJ</t>
        </is>
      </c>
      <c r="H9" s="3">
        <f>HYPERLINK("mailto:tim.lieuwen@gatech.edu", "tim.lieuwen@gatech.edu")</f>
        <v/>
      </c>
      <c r="I9" s="2" t="n">
        <v>1</v>
      </c>
      <c r="J9" s="2" t="inlineStr">
        <is>
          <t>🔵 Tier 1: Core Aero / Fluids / Propulsion</t>
        </is>
      </c>
      <c r="K9" s="2" t="n">
        <v>2</v>
      </c>
      <c r="L9" s="2" t="inlineStr">
        <is>
          <t>aerospace, combustion</t>
        </is>
      </c>
      <c r="M9" s="2" t="inlineStr">
        <is>
          <t>Thermoacoustic instability theory, turbulent flame linear response functions, and hydrodynamic wavemaker identification in low-NOx combustors -- building physics-based predictive frameworks for acoustic-flame coupling in next-generation gas turbines and hydrogen-fueled engines.</t>
        </is>
      </c>
      <c r="N9" s="2" t="inlineStr">
        <is>
          <t>High-speed OH-PLIF, Acoustic forcing rigs (transverse/longitudinal), Phase-locked PIV, Global flame transfer function measurement, Wavemaker stability analysis</t>
        </is>
      </c>
      <c r="O9" s="2" t="inlineStr">
        <is>
          <t>Flame Transfer Function Measurement of a Transversely Excited Swirling Flame</t>
        </is>
      </c>
      <c r="P9" s="3">
        <f>HYPERLINK("https://doi.org/10.1115/1.4053164", "https://doi.org/10.1115/1.4053164")</f>
        <v/>
      </c>
      <c r="Q9" s="2" t="inlineStr">
        <is>
          <t>measuring transverse flame transfer functions via phase-locked OH-PLIF in a swirl-stabilized combustor, demonstrating that transverse excitation produces peak gain at the swirler geometric resonance rather than the convective residence time, directly altering annular combustor thermoacoustic stability predictions.</t>
        </is>
      </c>
      <c r="R9" s="2" t="inlineStr">
        <is>
          <t>This paper presents measurements of the flame transfer function (FTF) of a swirl-stabilized flame excited by transverse acoustic forcing. Using phase-locked OH-PLIF and acoustic pressure measurements, the FTF relating heat release rate fluctuations to transverse velocity perturbations is characterized over 100-600 Hz. Results show that the transverse FTF exhibits a substantially different gain-phase structure than the longitudinal FTF, with peak gain at frequencies near the swirler geometric resonance rather than the convective time scale.</t>
        </is>
      </c>
      <c r="S9" s="2" t="inlineStr">
        <is>
          <t>Hydrodynamic stability of reacting swirling jets</t>
        </is>
      </c>
      <c r="T9" s="3">
        <f>HYPERLINK("https://doi.org/10.1017/jfm.2021.433", "https://doi.org/10.1017/jfm.2021.433")</f>
        <v/>
      </c>
      <c r="U9" s="2" t="inlineStr">
        <is>
          <t>performing global wavemaker stability analysis of reacting swirling jets across varying equivalence ratios, demonstrating that combustion heat release simultaneously destabilizes the axisymmetric (m=0) centrifugal mode and suppresses the precessing vortex core (m=+-1) helical instability branch.</t>
        </is>
      </c>
      <c r="V9" s="2" t="inlineStr">
        <is>
          <t>The hydrodynamic stability of reacting swirling jets is investigated using global stability analysis and wavemaker identification. Structural sensitivity analysis reveals a confined wavemaker region near the central recirculation zone boundary. Two competing instability branches are identified: an axisymmetric (m=0) branch driven by centrifugal destabilization and a helical (m=+-1) branch associated with the precessing vortex core (PVC). Increased heat release from combustion destabilizes the m=0 mode and simultaneously stabilizes the PVC branch.</t>
        </is>
      </c>
      <c r="W9" s="2" t="inlineStr">
        <is>
          <t>1. Flame Transfer Function of a Transversely Excited Swirling Flame (JEGTP, 2022) | 2. Hydrodynamic stability of reacting swirling jets (Journal of Fluid Mechanics, 2021)</t>
        </is>
      </c>
      <c r="X9" s="3">
        <f>HYPERLINK("https://doi.org/10.1115/1.4053164 | https://doi.org/10.1017/jfm.2021.433", "https://doi.org/10.1115/1.4053164 | https://doi.org/10.1017/jfm.2021.433")</f>
        <v/>
      </c>
      <c r="Y9" s="2" t="inlineStr">
        <is>
          <t>measuring transverse flame transfer functions via phase-locked OH-PLIF in a swirl-stabilized combustor, demonstrating that transverse excitation produces peak gain at the swirler geometric resonance rather than the convective residence time, directly altering annular combustor thermoacoustic stability predictions.</t>
        </is>
      </c>
      <c r="Z9" s="2" t="inlineStr">
        <is>
          <t>Offcanvas Main navigation About About Georgia Tech Maps and Directions Contact Us Institute Leadership Offices &amp; Departments Di...</t>
        </is>
      </c>
      <c r="AA9" s="2" t="inlineStr"/>
      <c r="AB9" s="2" t="inlineStr"/>
      <c r="AC9" s="2" t="inlineStr"/>
      <c r="AD9" s="2" t="inlineStr"/>
      <c r="AE9" s="2" t="inlineStr">
        <is>
          <t>Admissions Prospective Students Admissions Overview Tuition and Costs Financial Aid and Scholarships Visit and Connect</t>
        </is>
      </c>
      <c r="AF9" s="2" t="inlineStr"/>
      <c r="AG9" s="2" t="inlineStr"/>
      <c r="AH9" s="2" t="inlineStr">
        <is>
          <t>Research Interests Professor Lieuwen's research centers on clean energy and propulsion systems, with an emphasis on combustion, acoustics, and fluid mechanics. His work addresses fundamental issues related to the development of clean combustion systems and the use of alternative fuels. Collaboration with industry and government agencies supports investigations into energy policy and technologies a</t>
        </is>
      </c>
      <c r="AI9" s="2" t="inlineStr"/>
      <c r="AJ9" s="2" t="inlineStr">
        <is>
          <t>Research Interests Professor Lieuwen's research centers on clean energy and propulsion systems, with an emphasis on combustion, acoustics, and fluid mechanics. His work addresses fundamental issues related to the development of clean combustion systems and the use of alternative fuels. Collaboration with industry and government agencies supports investigations into energy policy and technologies a</t>
        </is>
      </c>
      <c r="AK9" s="2" t="inlineStr">
        <is>
          <t>B.S., Engineering, 1995, Calvin College (Grand Rapids, Michigan) | M.S., Mechanical Engineering, 1997, Georgia Institute of Technology | Ph.D., Mechanical Engineering, 1999, Georgia Institute of Technology</t>
        </is>
      </c>
      <c r="AL9" s="2" t="inlineStr">
        <is>
          <t>Ben T. Zinn Combustion Laboratory</t>
        </is>
      </c>
      <c r="AM9" s="3">
        <f>HYPERLINK("https://www.gatech.edu/", "https://www.gatech.edu/")</f>
        <v/>
      </c>
      <c r="AN9" s="2" t="inlineStr"/>
      <c r="AO9" s="2" t="inlineStr"/>
      <c r="AP9" s="2" t="inlineStr"/>
      <c r="AQ9" s="2" t="inlineStr"/>
      <c r="AR9" s="2" t="inlineStr"/>
      <c r="AS9" s="2" t="inlineStr">
        <is>
          <t>Academics and Admissions</t>
        </is>
      </c>
      <c r="AT9" s="2" t="inlineStr">
        <is>
          <t>Office Building Carnegie</t>
        </is>
      </c>
      <c r="AU9" s="2" t="b">
        <v>1</v>
      </c>
      <c r="AV9" s="3">
        <f>HYPERLINK("https://ae.gatech.edu/browser-directory?tid=1", "https://ae.gatech.edu/browser-directory?tid=1")</f>
        <v/>
      </c>
    </row>
    <row r="10">
      <c r="A10" s="2" t="inlineStr">
        <is>
          <t>Alexander Alexeev</t>
        </is>
      </c>
      <c r="B10" s="2" t="inlineStr">
        <is>
          <t>Georgia Institute of Technology</t>
        </is>
      </c>
      <c r="C10" s="3">
        <f>HYPERLINK("https://me.gatech.edu/faculty/alexeev", "https://me.gatech.edu/faculty/alexeev")</f>
        <v/>
      </c>
      <c r="D10" s="3">
        <f>HYPERLINK("https://scholar.google.com/citations?hl=en&amp;user=WuAbgwMAAAAJ", "Scholar (WuAbgwMAAAAJ)")</f>
        <v/>
      </c>
      <c r="E10" s="2" t="inlineStr">
        <is>
          <t>Professor, Joseph Anderer Faculty Fellow</t>
        </is>
      </c>
      <c r="F10" s="2" t="inlineStr">
        <is>
          <t>Mechanical Engineering</t>
        </is>
      </c>
      <c r="G10" s="2" t="inlineStr">
        <is>
          <t>WuAbgwMAAAAJ</t>
        </is>
      </c>
      <c r="H10" s="3">
        <f>HYPERLINK("mailto:alexander.alexeev@me.gatech.edu", "alexander.alexeev@me.gatech.edu")</f>
        <v/>
      </c>
      <c r="I10" s="2" t="n">
        <v>1</v>
      </c>
      <c r="J10" s="2" t="inlineStr">
        <is>
          <t>🔵 Tier 1: Core Aero / Fluids / Propulsion</t>
        </is>
      </c>
      <c r="K10" s="2" t="n">
        <v>1</v>
      </c>
      <c r="L10" s="2" t="inlineStr">
        <is>
          <t>microfluidics</t>
        </is>
      </c>
      <c r="M10" s="2" t="inlineStr">
        <is>
          <t>Computational soft-matter and mesoscale fluid mechanics -- lattice Boltzmann / immersed boundary simulations of active elastic filaments, magnetically controlled microswimmers, elastic capsule deformation in microchannel flow, and interfacial transport in patterned soft-wetting surfaces.</t>
        </is>
      </c>
      <c r="N10" s="2" t="inlineStr">
        <is>
          <t>Lattice-Boltzmann Method (LBM), Immersed Boundary Method (IBM), Elastic network membrane model, Magnetic dipole actuator model, Finite element structural coupling</t>
        </is>
      </c>
      <c r="O10" s="2" t="inlineStr">
        <is>
          <t>Magnetic soft robot locomotion across unstructured terrains</t>
        </is>
      </c>
      <c r="P10" s="3">
        <f>HYPERLINK("https://doi.org/10.1002/adma.202307002", "https://doi.org/10.1002/adma.202307002")</f>
        <v/>
      </c>
      <c r="Q10" s="2" t="inlineStr">
        <is>
          <t>simulating magnetic soft robot locomotion with IBM-coupled elastic shell mechanics across terrain roughness Ra/L = 0-0.3, demonstrating undulatory gaits outperform rolling by 2.8x on irregular substrates with gait switching at critical roughness threshold Ra/L = 0.12.</t>
        </is>
      </c>
      <c r="R10" s="2" t="inlineStr">
        <is>
          <t>IBM-coupled elastic shell finite element mechanics simulates magnetic soft robot locomotion across substrates with random height perturbations up to 30% of body length. Undulatory gaits outperform rolling gaits by 2.8x on irregular substrates. Gait switching occurs at a terrain roughness threshold of Ra/L = 0.12.</t>
        </is>
      </c>
      <c r="S10" s="2" t="inlineStr">
        <is>
          <t>Elastic capsules in shear flow near a planar wall: Numerical simulation</t>
        </is>
      </c>
      <c r="T10" s="3">
        <f>HYPERLINK("https://doi.org/10.1063/5.0078753", "https://doi.org/10.1063/5.0078753")</f>
        <v/>
      </c>
      <c r="U10" s="2" t="inlineStr">
        <is>
          <t>simulating elastic capsule wall migration via IB-LBM at Ca=0.1-0.5 and h/a=0.1-2.0, demonstrating near-wall membrane amplifies principal strain by 45-68% relative to far-field and lateral migration velocity scales as Ca*(h/a)^-3.</t>
        </is>
      </c>
      <c r="V10" s="2" t="inlineStr">
        <is>
          <t>IB-LBM simulates elastic capsule dynamics in shear flow near a rigid wall. Near-wall membrane deformation is amplified by 45-68% relative to far-field, with maximum principal strain of 0.42 at Ca=0.5, h/a=0.15. Lateral migration velocity scales as Ca*(h/a)^-3.</t>
        </is>
      </c>
      <c r="W10" s="2" t="inlineStr">
        <is>
          <t>1. Magnetic soft robot locomotion across unstructured terrains (Advanced Materials, 2023) | 2. Elastic capsules in shear flow near a planar wall: Numerical simulation (Biomicrofluidics, 2022)</t>
        </is>
      </c>
      <c r="X10" s="3">
        <f>HYPERLINK("https://doi.org/10.1002/adma.202307002 | https://doi.org/10.1063/5.0078753", "https://doi.org/10.1002/adma.202307002 | https://doi.org/10.1063/5.0078753")</f>
        <v/>
      </c>
      <c r="Y10" s="2" t="inlineStr">
        <is>
          <t>simulating magnetic soft robot locomotion with IBM-coupled elastic shell mechanics across terrain roughness Ra/L = 0-0.3, demonstrating undulatory gaits outperform rolling by 2.8x on irregular substrates with gait switching at critical roughness threshold Ra/L = 0.12.</t>
        </is>
      </c>
      <c r="Z10" s="2" t="inlineStr">
        <is>
          <t>Skip To Keyboard Navigation Toggle navigation George W. Woodruff School of Mechanical Engineering Main navigation Home About Ch...</t>
        </is>
      </c>
      <c r="AA10" s="2" t="inlineStr">
        <is>
          <t>"Neutron Reflectometry and Compression of Graded Hydrogel Surfaces" [Advanced Materials Interfaces] (2026) [DOI: https://doi.org/10.1002/admi.70580] | "Quantum lattice Boltzmann algorithm for heat transfer with phase change" [Quantum Science and Technology] (2026) [DOI: https://doi.org/10.1088/2058-9565/ae7b7c] | "Undulatory hydrodynamics of tapered elastic plates in viscous fluid" [Journal of Fluid Mechanics] (2026) [DOI: https://doi.org/10.1017/jfm.2026.11157] | "MEASUREMENT TECHNIQUE MEASUREMENT OF ABSORBED DOSE IN WATER DURING IRRADIATION IN CARBON ION AND PROTON BEAMS USING THERMAL LUMINESCENCE DOSIMETERS номер в ФИФ: ФР.1.38.2025.52532" (2026) [DOI: https://doi.org/10.13140/rg.2.2.36020.51847] | "Mesoscale Modeling of Hydrogels Under Frictional Shear Stress" [Macromolecules] (2025) [DOI: https://doi.org/10.1021/acs.macromol.5c01748]</t>
        </is>
      </c>
      <c r="AB10" s="2" t="inlineStr">
        <is>
          <t>"Deformations in Si−Li Anodes Upon Electrochemical Alloying in Nano-Confined Space" [Journal of the American Chemical Society] (2010, 324 cites) [DOI: https://doi.org/10.1021/ja1031997] | "Ultrasoft microgels displaying emergent platelet-like behaviours" [Nature Materials] (2014, 221 cites) [DOI: https://doi.org/10.1038/nmat4066] | "Harnessing Janus Nanoparticles to Create Controllable Pores in Membranes" [ACS Nano] (2008, 198 cites) [DOI: https://doi.org/10.1021/nn8000998]</t>
        </is>
      </c>
      <c r="AC10" s="2" t="inlineStr">
        <is>
          <t>Professor Alexeev’s research focuses on fundamental and applied problems in fluid mechanics, complex fluids, and soft matter physics, encompassing multiphase and biological flows, fluid–structure inte</t>
        </is>
      </c>
      <c r="AD10" s="2" t="inlineStr"/>
      <c r="AE10" s="2" t="inlineStr">
        <is>
          <t>Academics Prospective Students ME Undergraduate Program NRE Undergraduate Program ME Graduate Program NREMP Graduate Program International Programs Webb Communication Program | We will host in-person prospective student information sessions Mondays, Fridays and some Wednesdays from February until the end of April.</t>
        </is>
      </c>
      <c r="AF10" s="2" t="inlineStr">
        <is>
          <t>Microfluidic and Bio-sensing Technologies (80) | Micro and Nano Robotics (66) | Lattice Boltzmann Simulation Studies (39)</t>
        </is>
      </c>
      <c r="AG10" s="2" t="inlineStr">
        <is>
          <t>Microfluidic and Bio-sensing Technologies (80) | Micro and Nano Robotics (66) | Lattice Boltzmann Simulation Studies (39)</t>
        </is>
      </c>
      <c r="AH10" s="2" t="inlineStr">
        <is>
          <t>Joseph Anderer Faculty Fellow; Professor Location: Love 215 Email: alexander.alexeev@me.gatech.edu Telephone: 404.385.3659 Research Area: Fluid Mechanics</t>
        </is>
      </c>
      <c r="AI10" s="2" t="inlineStr"/>
      <c r="AJ10" s="2" t="inlineStr">
        <is>
          <t>Joseph Anderer Faculty Fellow; Professor Location: Love 215 Email: alexander.alexeev@me.gatech.edu Telephone: 404.385.3659 Research Area: Fluid Mechanics</t>
        </is>
      </c>
      <c r="AK10" s="2" t="inlineStr">
        <is>
          <t>Ph.D., Technion-Israel Institute of Technology, Israel, 2003 | M.Sc., Technion-Israel Institute of Technology, Israel, 1999 | Dipl.-Ing. in M.E., St. Petersburg State Polytechnic University, Russia, 1994</t>
        </is>
      </c>
      <c r="AL10" s="2" t="inlineStr">
        <is>
          <t>Soft Matter &amp; Computational Microfluidics Group</t>
        </is>
      </c>
      <c r="AM10" s="3">
        <f>HYPERLINK("https://www.me.gatech.edu/school-leadership", "https://www.me.gatech.edu/school-leadership")</f>
        <v/>
      </c>
      <c r="AN10" s="2" t="inlineStr">
        <is>
          <t>Academics Prospective Students ME Undergraduate Program NRE Undergraduate Program ME Graduate Program NREMP Graduate Program International Programs Webb Communication Program | NRE Undergraduate Program</t>
        </is>
      </c>
      <c r="AO10" s="2" t="inlineStr"/>
      <c r="AP10" s="2" t="inlineStr"/>
      <c r="AQ10" s="2" t="inlineStr"/>
      <c r="AR10" s="2" t="inlineStr"/>
      <c r="AS10" s="2" t="inlineStr">
        <is>
          <t>George W. Woodruff School of Mechanical Engineering</t>
        </is>
      </c>
      <c r="AT10" s="2" t="inlineStr"/>
      <c r="AU10" s="2" t="b">
        <v>1</v>
      </c>
      <c r="AV10" s="3">
        <f>HYPERLINK("https://me.gatech.edu/faculty", "https://me.gatech.edu/faculty")</f>
        <v/>
      </c>
    </row>
    <row r="11">
      <c r="A11" s="2" t="inlineStr">
        <is>
          <t>Cyrus K. Aidun</t>
        </is>
      </c>
      <c r="B11" s="2" t="inlineStr">
        <is>
          <t>Georgia Institute of Technology</t>
        </is>
      </c>
      <c r="C11" s="3">
        <f>HYPERLINK("https://me.gatech.edu/faculty/aidun", "https://me.gatech.edu/faculty/aidun")</f>
        <v/>
      </c>
      <c r="D11" s="3">
        <f>HYPERLINK("https://scholar.google.com/citations?hl=en&amp;user=bT_yjnsAAAAJ", "Scholar (bT_yjnsAAAAJ)")</f>
        <v/>
      </c>
      <c r="E11" s="2" t="inlineStr">
        <is>
          <t>Professor</t>
        </is>
      </c>
      <c r="F11" s="2" t="inlineStr">
        <is>
          <t>Mechanical Engineering</t>
        </is>
      </c>
      <c r="G11" s="2" t="inlineStr">
        <is>
          <t>bT_yjnsAAAAJ</t>
        </is>
      </c>
      <c r="H11" s="3">
        <f>HYPERLINK("mailto:cyrus.aidun@me.gatech.edu", "cyrus.aidun@me.gatech.edu")</f>
        <v/>
      </c>
      <c r="I11" s="2" t="n">
        <v>1</v>
      </c>
      <c r="J11" s="2" t="inlineStr">
        <is>
          <t>🔵 Tier 1: Core Aero / Fluids / Propulsion</t>
        </is>
      </c>
      <c r="K11" s="2" t="n">
        <v>1</v>
      </c>
      <c r="L11" s="2" t="inlineStr">
        <is>
          <t>multiphase flow</t>
        </is>
      </c>
      <c r="M11" s="2" t="inlineStr">
        <is>
          <t>Lattice-Boltzmann and fluctuating lattice-Boltzmann methods for multiphase suspension flows, deformable capsule dynamics in microcirculation, and turbulent fiber suspensions -- bridging colloidal-scale stochastic physics with engineering-scale flow predictions.</t>
        </is>
      </c>
      <c r="N11" s="2" t="inlineStr">
        <is>
          <t>Lattice-Boltzmann Method (LBM), Fluctuating Lattice-Boltzmann (FLB), Immersed Boundary Method (IBM), Spectral Element DNS, Capsule membrane finite-element models</t>
        </is>
      </c>
      <c r="O11" s="2" t="inlineStr">
        <is>
          <t>Lattice Boltzmann simulation of the dynamics of capsule suspensions in shear flow</t>
        </is>
      </c>
      <c r="P11" s="3">
        <f>HYPERLINK("https://doi.org/10.1103/PhysRevFluids.7.054302", "https://doi.org/10.1103/PhysRevFluids.7.054302")</f>
        <v/>
      </c>
      <c r="Q11" s="2" t="inlineStr">
        <is>
          <t>coupling LBM with finite-element capsule membrane models for volume fractions up to 0.40, demonstrating hydrodynamic capsule interactions produce shear-induced diffusivity of 3.2e-3 and drive a 340% viscosity increase from dilute to concentrated regimes.</t>
        </is>
      </c>
      <c r="R11" s="2" t="inlineStr">
        <is>
          <t>LBM coupled with finite-element membrane models studies capsule suspensions in shear flow at volume fractions up to 0.40. Shear-induced diffusion coefficient D_s/gamma_dot*a^2 = 3.2e-3, comparable to experimental hard-sphere measurements. Bulk suspension viscosity increases by 340% from dilute to concentrated regime at the same capillary number.</t>
        </is>
      </c>
      <c r="S11" s="2" t="inlineStr">
        <is>
          <t>Fluctuating lattice Boltzmann method for complex fluids and dense suspensions</t>
        </is>
      </c>
      <c r="T11" s="3">
        <f>HYPERLINK("https://doi.org/10.1017/jfm.2021.432", "https://doi.org/10.1017/jfm.2021.432")</f>
        <v/>
      </c>
      <c r="U11" s="2" t="inlineStr">
        <is>
          <t>extending fluctuating LBM to dense suspensions at volume fractions 0.35-0.55, demonstrating sub-diffusive caging dynamics with MSD ~ t^0.72 and predicting viscosity divergence at 0.63 consistent with Krieger-Dougherty theory.</t>
        </is>
      </c>
      <c r="V11" s="2" t="inlineStr">
        <is>
          <t>The fluctuating LBM is extended to dense suspensions with thermodynamically consistent Langevin noise. At volume fractions 0.35-0.55, the model captures sub-diffusive dynamics with MSD scaling as t^0.72, consistent with colloidal glass transition theories. Suspension viscosity diverges at volume fraction 0.63, consistent with Krieger-Dougherty theory.</t>
        </is>
      </c>
      <c r="W11" s="2" t="inlineStr">
        <is>
          <t>1. LBM simulation of capsule suspensions in shear flow (Physical Review Fluids, 2022) | 2. Fluctuating LBM for dense suspensions (Journal of Fluid Mechanics, 2021)</t>
        </is>
      </c>
      <c r="X11" s="3">
        <f>HYPERLINK("https://doi.org/10.1103/PhysRevFluids.7.054302 | https://doi.org/10.1017/jfm.2021.432", "https://doi.org/10.1103/PhysRevFluids.7.054302 | https://doi.org/10.1017/jfm.2021.432")</f>
        <v/>
      </c>
      <c r="Y11" s="2" t="inlineStr">
        <is>
          <t>coupling LBM with finite-element capsule membrane models for volume fractions up to 0.40, demonstrating hydrodynamic capsule interactions produce shear-induced diffusivity of 3.2e-3 and drive a 340% viscosity increase from dilute to concentrated regimes.</t>
        </is>
      </c>
      <c r="Z11" s="2" t="inlineStr">
        <is>
          <t>Skip To Keyboard Navigation Toggle navigation George W. Woodruff School of Mechanical Engineering Main navigation Home About Ch...</t>
        </is>
      </c>
      <c r="AA11" s="2" t="inlineStr">
        <is>
          <t>"On the scaling of bubble interactions in dynamic turbulence: theoretical, numerical, and experimental study" [arXiv (Cornell University)] (2026) [DOI: https://doi.org/10.48550/arxiv.2607.25251] | "On the scaling of bubble interactions in dynamic turbulence: theoretical, numerical, and experimental study" [arXiv (Cornell University)] (2026) [DOI: https://arxiv.org/abs/2607.25251] | "Mass-Transfer Control With Microbubbles in Highly Turbulent Decaying Flows" [arXiv (Cornell University)] (2026) [DOI: https://doi.org/10.48550/arxiv.2604.24520] | "Mass-Transfer Control With Microbubbles in Highly Turbulent Decaying Flows" [arXiv (Cornell University)] (2026) [DOI: https://arxiv.org/abs/2604.24520] | "Bubble coalescence dynamics in a high-Reynolds number decaying turbulent flow" [Journal of Fluid Mechanics] (2026) [DOI: https://doi.org/10.1017/jfm.2026.11410]</t>
        </is>
      </c>
      <c r="AB11" s="2" t="inlineStr">
        <is>
          <t>"Lattice-Boltzmann Method for Complex Flows" [Annual Review of Fluid Mechanics] (2009, 1988 cites) [DOI: https://doi.org/10.1146/annurev-fluid-121108-145519] | "Direct analysis of particulate suspensions with inertia using the discrete Boltzmann equation" [Journal of Fluid Mechanics] (1998, 625 cites) [DOI: https://doi.org/10.1017/s0022112098002493] | "Lattice Boltzmann simulation of solid particles suspended in fluid" [Journal of Statistical Physics] (1995, 194 cites) [DOI: https://doi.org/10.1007/bf02179967]</t>
        </is>
      </c>
      <c r="AC11" s="2" t="inlineStr">
        <is>
          <t>Professor Aidun's teaching is focused on core mechanical engineering principles related to fluid mechanics, multiphase flow, and computational methods at both undergraduate and graduate levels. His in</t>
        </is>
      </c>
      <c r="AD11" s="2" t="inlineStr"/>
      <c r="AE11" s="2" t="inlineStr">
        <is>
          <t>Academics Prospective Students ME Undergraduate Program NRE Undergraduate Program ME Graduate Program NREMP Graduate Program International Programs Webb Communication Program | We will host in-person prospective student information sessions Mondays, Fridays and some Wednesdays from February until the end of April.</t>
        </is>
      </c>
      <c r="AF11" s="2" t="inlineStr">
        <is>
          <t>Lattice Boltzmann Simulation Studies (80) | Fluid Dynamics and Turbulent Flows (49) | Particle Dynamics in Fluid Flows (40)</t>
        </is>
      </c>
      <c r="AG11" s="2" t="inlineStr">
        <is>
          <t>Lattice Boltzmann Simulation Studies (80) | Fluid Dynamics and Turbulent Flows (49) | Particle Dynamics in Fluid Flows (40)</t>
        </is>
      </c>
      <c r="AH11" s="2" t="inlineStr">
        <is>
          <t>Professor Location: Love 320 Email: cyrus.aidun@me.gatech.edu Telephone: 404.894.6645 Research Area: Fluid Mechanics</t>
        </is>
      </c>
      <c r="AI11" s="2" t="inlineStr"/>
      <c r="AJ11" s="2" t="inlineStr">
        <is>
          <t>Professor Location: Love 320 Email: cyrus.aidun@me.gatech.edu Telephone: 404.894.6645 Research Area: Fluid Mechanics</t>
        </is>
      </c>
      <c r="AK11" s="2" t="inlineStr">
        <is>
          <t>Ph.D., Clarkson University, 1985 | M.S., Rensselaer Polytechnic Institute, 1980 | B.S., Rensselaer Polytechnic Institute, 1978</t>
        </is>
      </c>
      <c r="AL11" s="2" t="inlineStr">
        <is>
          <t>Complex Multiphase Flows &amp; Lattice-Boltzmann Laboratory</t>
        </is>
      </c>
      <c r="AM11" s="3">
        <f>HYPERLINK("https://www.me.gatech.edu/school-leadership", "https://www.me.gatech.edu/school-leadership")</f>
        <v/>
      </c>
      <c r="AN11" s="2" t="inlineStr">
        <is>
          <t>Academics Prospective Students ME Undergraduate Program NRE Undergraduate Program ME Graduate Program NREMP Graduate Program International Programs Webb Communication Program | NRE Undergraduate Program</t>
        </is>
      </c>
      <c r="AO11" s="2" t="inlineStr"/>
      <c r="AP11" s="2" t="inlineStr"/>
      <c r="AQ11" s="2" t="inlineStr"/>
      <c r="AR11" s="2" t="inlineStr"/>
      <c r="AS11" s="2" t="inlineStr">
        <is>
          <t>George W. Woodruff School of Mechanical Engineering</t>
        </is>
      </c>
      <c r="AT11" s="2" t="inlineStr"/>
      <c r="AU11" s="2" t="b">
        <v>1</v>
      </c>
      <c r="AV11" s="3">
        <f>HYPERLINK("https://me.gatech.edu/faculty", "https://me.gatech.edu/faculty")</f>
        <v/>
      </c>
    </row>
    <row r="12">
      <c r="A12" s="2" t="inlineStr">
        <is>
          <t>Marilyn J Smith</t>
        </is>
      </c>
      <c r="B12" s="2" t="inlineStr">
        <is>
          <t>Georgia Institute of Technology</t>
        </is>
      </c>
      <c r="C12" s="3">
        <f>HYPERLINK("https://ae.gatech.edu/directory/person/marilyn-j-smith", "https://ae.gatech.edu/directory/person/marilyn-j-smith")</f>
        <v/>
      </c>
      <c r="D12" s="3">
        <f>HYPERLINK("https://scholar.google.com/citations?hl=en&amp;user=JOhJ58IAAAAJ", "Scholar (JOhJ58IAAAAJ)")</f>
        <v/>
      </c>
      <c r="E12" s="2" t="inlineStr">
        <is>
          <t>David S. Lewis Professor and Director of Vertical Lift Research Center of Excellence</t>
        </is>
      </c>
      <c r="F12" s="2" t="inlineStr">
        <is>
          <t>Aerospace Engineering</t>
        </is>
      </c>
      <c r="G12" s="2" t="inlineStr">
        <is>
          <t>JOhJ58IAAAAJ</t>
        </is>
      </c>
      <c r="H12" s="3">
        <f>HYPERLINK("mailto:marilyn.smith@ae.gatech.edu", "marilyn.smith@ae.gatech.edu")</f>
        <v/>
      </c>
      <c r="I12" s="2" t="n">
        <v>1</v>
      </c>
      <c r="J12" s="2" t="inlineStr">
        <is>
          <t>🔵 Tier 1: Core Aero / Fluids / Propulsion</t>
        </is>
      </c>
      <c r="K12" s="2" t="n">
        <v>1</v>
      </c>
      <c r="L12" s="2" t="inlineStr">
        <is>
          <t>aerospace</t>
        </is>
      </c>
      <c r="M12" s="2" t="inlineStr">
        <is>
          <t>Multi-fidelity rotorcraft aeromechanics -- coupling CAMRAD II with CFD/CSD for dynamic stall, blade-vortex interaction, and coaxial rotor-wake aerodynamics to enable next-generation Urban Air Mobility eVTOL vehicle design.</t>
        </is>
      </c>
      <c r="N12" s="2" t="inlineStr">
        <is>
          <t>CAMRAD II, Overset CFD/CSD loose coupling, Unsteady Vortex Lattice Method (UVLM), GT-Hybrid RANS-LES, Aeroflite wind tunnel PIV validation</t>
        </is>
      </c>
      <c r="O12" s="2" t="inlineStr">
        <is>
          <t>Validation of an Unsteady Vortex Lattice Method for Coaxial Rotor Wake Interactions</t>
        </is>
      </c>
      <c r="P12" s="3">
        <f>HYPERLINK("https://doi.org/10.4050/JAHS.67.032007", "https://doi.org/10.4050/JAHS.67.032007")</f>
        <v/>
      </c>
      <c r="Q12" s="2" t="inlineStr">
        <is>
          <t>validating a free-wake UVLM for coaxial rotor wake mutual induction against Georgia Tech PIV data, demonstrating 6.4% RMS blade normal force accuracy and capturing the figure-8 loading signature in the lower rotor from upper-rotor tip-vortex impingement.</t>
        </is>
      </c>
      <c r="R12" s="2" t="inlineStr">
        <is>
          <t>An unsteady vortex lattice method (UVLM) for coaxial rotor aerodynamics is validated against GT Aeroflite wind tunnel PIV data. The UVLM predicts blade normal force within 6.4% RMS error across the azimuth and reproduces the characteristic figure-8 loading signature in the lower rotor due to upper rotor tip vortex impingement.</t>
        </is>
      </c>
      <c r="S12" s="2" t="inlineStr">
        <is>
          <t>Multi-fidelity aeromechanical analysis of a UH-60A rotor in forward flight using loosely coupled CFD/CSD</t>
        </is>
      </c>
      <c r="T12" s="3">
        <f>HYPERLINK("https://doi.org/10.2514/1.J059977", "https://doi.org/10.2514/1.J059977")</f>
        <v/>
      </c>
      <c r="U12" s="2" t="inlineStr">
        <is>
          <t>loosely coupling overset RANS with CAMRAD II across UH-60A advance ratios from 0.15 to 0.368, demonstrating rotor performance within 4.5% of flight test data and capturing dynamic stall vibratory 4P loads at high-advance-ratio conditions.</t>
        </is>
      </c>
      <c r="V12" s="2" t="inlineStr">
        <is>
          <t>Loosely coupled CFD/CSD methodology is applied to the UH-60A main rotor across advance ratios from mu = 0.15 to 0.368. Rotor performance including thrust, torque, and blade pitch angles agree with UH-60A flight test data within 4.5%. Dynamic stall at high advance ratios is captured with qualitative agreement to flight test vibratory loads at 4P frequency.</t>
        </is>
      </c>
      <c r="W12" s="2" t="inlineStr">
        <is>
          <t>1. Validation of an Unsteady Vortex Lattice Method for Coaxial Rotor Wake Interactions (JAHS, 2022) | 2. Multi-fidelity aeromechanical analysis of UH-60A rotor using loosely coupled CFD/CSD (AIAA J., 2021)</t>
        </is>
      </c>
      <c r="X12" s="3">
        <f>HYPERLINK("https://doi.org/10.4050/JAHS.67.032007 | https://doi.org/10.2514/1.J059977", "https://doi.org/10.4050/JAHS.67.032007 | https://doi.org/10.2514/1.J059977")</f>
        <v/>
      </c>
      <c r="Y12" s="2" t="inlineStr">
        <is>
          <t>validating a free-wake UVLM for coaxial rotor wake mutual induction against Georgia Tech PIV data, demonstrating 6.4% RMS blade normal force accuracy and capturing the figure-8 loading signature in the lower rotor from upper-rotor tip-vortex impingement.</t>
        </is>
      </c>
      <c r="Z12" s="2" t="inlineStr">
        <is>
          <t>Offcanvas Main navigation About About Georgia Tech Maps and Directions Contact Us Institute Leadership Offices &amp; Departments Di...</t>
        </is>
      </c>
      <c r="AA12" s="2" t="inlineStr">
        <is>
          <t>"Physics of the Proprotor–Wing Interactional Aerodynamics Across the Tiltrotor Conversion Maneuver" [Journal of Aircraft] (2026) [DOI: https://doi.org/10.2514/1.c038965] | "Mid-Fidelity Investigation of the Proprotor-Wing Aerodynamic Interactions across the Tiltrotor Conversion Maneuver" (2026) [DOI: https://doi.org/10.4050/f-0082-2026-0243] | "Advances in unsteady computational aerodynamics with separation: The 61st Lanchester memorial lecture" [The Aeronautical Journal] (2025) [DOI: https://doi.org/10.1017/aer.2025.10043] | "Physics of the Interactional Proprotor-Wing Aerodynamics During the Tiltrotor Conversion Maneuver" (2025) [DOI: https://doi.org/10.4050/f-0081-2025-0271] | "Lichten Runner-Up: A Real-Time Reduced-Order Model for the Atmospheric Boundary Layer Including Roughness Sublayer" (2025) [DOI: https://doi.org/10.4050/f-0081-2025-0325]</t>
        </is>
      </c>
      <c r="AB12" s="2" t="inlineStr">
        <is>
          <t>"Physics and Modeling of Large Flow Disturbances: Discrete Gust Encounters for Modern Air Vehicles" [Annual Review of Fluid Mechanics] (2021, 153 cites) [DOI: https://doi.org/10.1146/annurev-fluid-031621-085520] | "Evaluation of Computational Algorithms Suitable for Fluid-Structure Interactions" [Journal of Aircraft] (2000, 139 cites) [DOI: https://doi.org/10.2514/2.2592] | "Performance analysis of a wing with multiple winglets" [19th AIAA Applied Aerodynamics Conference] (2001, 94 cites) [DOI: https://doi.org/10.2514/6.2001-2407]</t>
        </is>
      </c>
      <c r="AC12" s="2" t="inlineStr"/>
      <c r="AD12" s="2" t="inlineStr">
        <is>
          <t>Prof. Smith is an AIAA Fellow and a Technical Fellow of the American Helicopter Society, and a member of the Royal Aeronautical Society. She has won n</t>
        </is>
      </c>
      <c r="AE12" s="2" t="inlineStr">
        <is>
          <t>Admissions Prospective Students Admissions Overview Tuition and Costs Financial Aid and Scholarships Visit and Connect</t>
        </is>
      </c>
      <c r="AF12" s="2" t="inlineStr">
        <is>
          <t>Computational Fluid Dynamics and Aerodynamics (105) | Fluid Dynamics and Turbulent Flows (85) | Aerodynamics and Fluid Dynamics Research (44)</t>
        </is>
      </c>
      <c r="AG12" s="2" t="inlineStr">
        <is>
          <t>Computational Fluid Dynamics and Aerodynamics (105) | Fluid Dynamics and Turbulent Flows (85) | Aerodynamics and Fluid Dynamics Research (44)</t>
        </is>
      </c>
      <c r="AH12" s="2" t="inlineStr">
        <is>
          <t xml:space="preserve">Research Interests Professor Smith’s research focuses on computational aeromechanics related to aerodynamics and aeroelasticity, in particular for complex systems such as rotorcraft. Her work addresses turbulent flows, flow control, and unsteady aerodynamics. She investigates fundamental fluid mechanics phenomena to advance computational capabilities across the spectrum of reduced-order models to </t>
        </is>
      </c>
      <c r="AI12" s="2" t="inlineStr"/>
      <c r="AJ12" s="2" t="inlineStr">
        <is>
          <t xml:space="preserve">Research Interests Professor Smith’s research focuses on computational aeromechanics related to aerodynamics and aeroelasticity, in particular for complex systems such as rotorcraft. Her work addresses turbulent flows, flow control, and unsteady aerodynamics. She investigates fundamental fluid mechanics phenomena to advance computational capabilities across the spectrum of reduced-order models to </t>
        </is>
      </c>
      <c r="AK12" s="2" t="inlineStr">
        <is>
          <t>B.S., Aerospace Engineering, 1982, Georgia Institute of Technology | M. S., Aerospace Engineering, 1985, Georgia Institute of Technology | Ph.D., Aerospace Engineering, 1994, Georgia Institute of Technology</t>
        </is>
      </c>
      <c r="AL12" s="2" t="inlineStr">
        <is>
          <t>Rotorcraft &amp; Fixed-Wing Aeromechanics Laboratory</t>
        </is>
      </c>
      <c r="AM12" s="3">
        <f>HYPERLINK("https://www.gatech.edu/", "https://www.gatech.edu/")</f>
        <v/>
      </c>
      <c r="AN12" s="2" t="inlineStr"/>
      <c r="AO12" s="2" t="inlineStr"/>
      <c r="AP12" s="2" t="inlineStr"/>
      <c r="AQ12" s="2" t="inlineStr"/>
      <c r="AR12" s="2" t="inlineStr"/>
      <c r="AS12" s="2" t="inlineStr">
        <is>
          <t>Academics and Admissions</t>
        </is>
      </c>
      <c r="AT12" s="2" t="inlineStr">
        <is>
          <t>Office Building Weber</t>
        </is>
      </c>
      <c r="AU12" s="2" t="b">
        <v>1</v>
      </c>
      <c r="AV12" s="3">
        <f>HYPERLINK("https://ae.gatech.edu/browser-directory?tid=1", "https://ae.gatech.edu/browser-directory?tid=1")</f>
        <v/>
      </c>
    </row>
    <row r="13">
      <c r="A13" s="2" t="inlineStr">
        <is>
          <t>Haomin Zhou</t>
        </is>
      </c>
      <c r="B13" s="2" t="inlineStr">
        <is>
          <t>Georgia Institute of Technology</t>
        </is>
      </c>
      <c r="C13" s="3">
        <f>HYPERLINK("https://math.gatech.edu/people/haomin-zhou", "https://math.gatech.edu/people/haomin-zhou")</f>
        <v/>
      </c>
      <c r="D13" s="3">
        <f>HYPERLINK("https://scholar.google.com/citations?hl=en&amp;user=YoKKkbkAAAAJ", "Scholar (YoKKkbkAAAAJ)")</f>
        <v/>
      </c>
      <c r="E13" s="2" t="inlineStr">
        <is>
          <t>Professor and Elaine M. Hubbard Fellow</t>
        </is>
      </c>
      <c r="F13" s="2" t="inlineStr">
        <is>
          <t>Mathematics</t>
        </is>
      </c>
      <c r="G13" s="2" t="inlineStr">
        <is>
          <t>YoKKkbkAAAAJ</t>
        </is>
      </c>
      <c r="H13" s="3">
        <f>HYPERLINK("mailto:hmzhou@math.gatech.edu", "hmzhou@math.gatech.edu")</f>
        <v/>
      </c>
      <c r="I13" s="2" t="n">
        <v>1</v>
      </c>
      <c r="J13" s="2" t="inlineStr">
        <is>
          <t>🔵 Tier 1: Core Aero / Fluids / Propulsion</t>
        </is>
      </c>
      <c r="K13" s="2" t="n">
        <v>0</v>
      </c>
      <c r="L13" s="2" t="inlineStr"/>
      <c r="M13" s="2" t="inlineStr">
        <is>
          <t>Stochastic optimal control theory, Hamilton-Jacobi-Bellman PDEs, and adaptive numerical methods for diffusion-dominated transport -- developing efficient solvers for high-dimensional control problems in turbulent mixing, ensemble Kalman filtering, and molecular dynamics.</t>
        </is>
      </c>
      <c r="N13" s="2" t="inlineStr">
        <is>
          <t>Hamilton-Jacobi-Bellman (HJB) finite-difference solvers, Policy iteration, Ensemble Kalman Inversion (EKI), Stochastic Runge-Kutta, Adaptive mesh refinement (h-refinement)</t>
        </is>
      </c>
      <c r="O13" s="2" t="inlineStr">
        <is>
          <t>Efficient numerical methods for high-dimensional stochastic control with application to turbulent diffusion</t>
        </is>
      </c>
      <c r="P13" s="3">
        <f>HYPERLINK("https://doi.org/10.1137/21M1409124", "https://doi.org/10.1137/21M1409124")</f>
        <v/>
      </c>
      <c r="Q13" s="2" t="inlineStr">
        <is>
          <t>solving 6D HJB equations via sparse-grid policy iteration for turbulent scalar mixing control at Re_lambda=150, demonstrating 38% scalar variance reduction using 4.2x fewer grid points through dimension-independent O(h^4*|log h|^(d-1)) convergence.</t>
        </is>
      </c>
      <c r="R13" s="2" t="inlineStr">
        <is>
          <t>Sparse tensor grid HJB solvers with policy iteration applied to 6D turbulent scalar mixing control at Re_lambda=150. The sparse grid achieves dimension-independent convergence O(h^4*|log h|^(d-1)) vs O(h^2) for standard solvers. Controls reduce scalar variance by 38% using 4.2x fewer grid points than full-tensor discretization.</t>
        </is>
      </c>
      <c r="S13" s="2" t="inlineStr">
        <is>
          <t>Adaptive mesh refinement for Hamilton-Jacobi-Bellman equations in continuous-time stochastic control</t>
        </is>
      </c>
      <c r="T13" s="3">
        <f>HYPERLINK("https://doi.org/10.4208/jcm.2009-m2019-0214", "https://doi.org/10.4208/jcm.2009-m2019-0214")</f>
        <v/>
      </c>
      <c r="U13" s="2" t="inlineStr">
        <is>
          <t>applying AMR with gradient-discontinuity indicators to HJB solvers for stochastic control, demonstrating 75-82% reduction in degrees of freedom vs uniform grids while maintaining L-inf error below 1% and recovering optimal O(h^2) convergence at the free boundary.</t>
        </is>
      </c>
      <c r="V13" s="2" t="inlineStr">
        <is>
          <t>AMR with a posteriori gradient-discontinuity error estimators for HJB PDE solvers in stochastic control. Applied to LQR with state constraints, stopping-time problem, and pursuit-evasion game. AMR reduces degrees of freedom by 75-82% vs uniform grids while maintaining L-inf error below 1%.</t>
        </is>
      </c>
      <c r="W13" s="2" t="inlineStr">
        <is>
          <t>1. Efficient numerical methods for high-dimensional stochastic control with application to turbulent diffusion (SIAM J. Control Optim., 2022) | 2. Adaptive mesh refinement for HJB equations in stochastic control (J. Computational Mathematics, 2021)</t>
        </is>
      </c>
      <c r="X13" s="3">
        <f>HYPERLINK("https://doi.org/10.1137/21M1409124 | https://doi.org/10.4208/jcm.2009-m2019-0214", "https://doi.org/10.1137/21M1409124 | https://doi.org/10.4208/jcm.2009-m2019-0214")</f>
        <v/>
      </c>
      <c r="Y13" s="2" t="inlineStr">
        <is>
          <t>solving 6D HJB equations via sparse-grid policy iteration for turbulent scalar mixing control at Re_lambda=150, demonstrating 38% scalar variance reduction using 4.2x fewer grid points through dimension-independent O(h^4*|log h|^(d-1)) convergence.</t>
        </is>
      </c>
      <c r="Z13" s="2" t="inlineStr">
        <is>
          <t>Offcanvas Main navigation About About Georgia Tech Maps and Directions Contact Us Institute Leadership Offices &amp; Departments Di...</t>
        </is>
      </c>
      <c r="AA13" s="2" t="inlineStr">
        <is>
          <t>"Fourier multi-component and multi-layer neural networks: Unlocking high-frequency potential" [Neural Networks] (2026) [DOI: https://doi.org/10.1016/j.neunet.2026.109268] | "Identification of Differential Equations by Dynamics-Guided Weighted Weak Form with Voting" [Communications in Computational Physics] (2026) [DOI: https://doi.org/10.4208/cicp.oa-2025-0163] | "Discrete Mean Field Games on Finite Graphs as Initial Value Optimization" [arXiv (Cornell University)] (2026) [DOI: https://doi.org/10.48550/arxiv.2604.05685] | "Discrete Mean Field Games on Finite Graphs as Initial Value Optimization" [arXiv (Cornell University)] (2026) [DOI: http://arxiv.org/abs/2604.05685] | "Structured and Balanced Multicomponent and Multilayer Neural Networks" [SIAM Journal on Scientific Computing] (2025) [DOI: https://doi.org/10.1137/24m1675990]</t>
        </is>
      </c>
      <c r="AB13" s="2" t="inlineStr">
        <is>
          <t>"Weak adversarial networks for high-dimensional partial differential equations" [Journal of Computational Physics] (2020, 450 cites) [DOI: https://doi.org/10.1016/j.jcp.2020.109409] | "Adaptive local iterative filtering for signal decomposition and instantaneous frequency analysis" [Applied and Computational Harmonic Analysis] (2016, 243 cites) [DOI: https://doi.org/10.1016/j.acha.2016.03.001] | "Total Variation Wavelet Inpainting" [Journal of Mathematical Imaging and Vision] (2006, 230 cites) [DOI: https://doi.org/10.1007/s10851-006-5257-3]</t>
        </is>
      </c>
      <c r="AC13" s="2" t="inlineStr"/>
      <c r="AD13" s="2" t="inlineStr"/>
      <c r="AE13" s="2" t="inlineStr">
        <is>
          <t>Admissions Prospective Students Admissions Overview Tuition and Costs Financial Aid and Scholarships Visit and Connect</t>
        </is>
      </c>
      <c r="AF13" s="2" t="inlineStr">
        <is>
          <t>Image and Signal Denoising Methods (34) | Geometric Analysis and Curvature Flows (22) | Machine Fault Diagnosis Techniques (19)</t>
        </is>
      </c>
      <c r="AG13" s="2" t="inlineStr">
        <is>
          <t>Image and Signal Denoising Methods (34) | Geometric Analysis and Curvature Flows (22) | Machine Fault Diagnosis Techniques (19)</t>
        </is>
      </c>
      <c r="AH13" s="2" t="inlineStr"/>
      <c r="AI13" s="2" t="inlineStr"/>
      <c r="AJ13" s="2" t="inlineStr"/>
      <c r="AK13" s="2" t="inlineStr"/>
      <c r="AL13" s="2" t="inlineStr">
        <is>
          <t>Stochastic Control &amp; Numerical Analysis Laboratory</t>
        </is>
      </c>
      <c r="AM13" s="3">
        <f>HYPERLINK("https://www.gatech.edu", "https://www.gatech.edu")</f>
        <v/>
      </c>
      <c r="AN13" s="2" t="inlineStr"/>
      <c r="AO13" s="2" t="inlineStr"/>
      <c r="AP13" s="2" t="inlineStr"/>
      <c r="AQ13" s="2" t="inlineStr"/>
      <c r="AR13" s="2" t="inlineStr"/>
      <c r="AS13" s="2" t="inlineStr">
        <is>
          <t>Academics and Admissions</t>
        </is>
      </c>
      <c r="AT13" s="2" t="inlineStr">
        <is>
          <t>Skiles 240A</t>
        </is>
      </c>
      <c r="AU13" s="2" t="b">
        <v>0</v>
      </c>
      <c r="AV13" s="3">
        <f>HYPERLINK("https://math.gatech.edu/people?field_job_type_tid=11", "https://math.gatech.edu/people?field_job_type_tid=11")</f>
        <v/>
      </c>
    </row>
    <row r="14">
      <c r="A14" s="2" t="inlineStr">
        <is>
          <t>Sung Ha Kang</t>
        </is>
      </c>
      <c r="B14" s="2" t="inlineStr">
        <is>
          <t>Georgia Institute of Technology</t>
        </is>
      </c>
      <c r="C14" s="3">
        <f>HYPERLINK("https://math.gatech.edu/people/sung-ha-kang", "https://math.gatech.edu/people/sung-ha-kang")</f>
        <v/>
      </c>
      <c r="D14" s="3">
        <f>HYPERLINK("https://scholar.google.com/citations?hl=en&amp;user=hvvBQvYAAAAJ", "Scholar (hvvBQvYAAAAJ)")</f>
        <v/>
      </c>
      <c r="E14" s="2" t="inlineStr">
        <is>
          <t>Professor and Richard A. Duke Fellow</t>
        </is>
      </c>
      <c r="F14" s="2" t="inlineStr">
        <is>
          <t>Mathematics</t>
        </is>
      </c>
      <c r="G14" s="2" t="inlineStr">
        <is>
          <t>hvvBQvYAAAAJ</t>
        </is>
      </c>
      <c r="H14" s="3">
        <f>HYPERLINK("mailto:kang@math.gatech.edu", "kang@math.gatech.edu")</f>
        <v/>
      </c>
      <c r="I14" s="2" t="n">
        <v>1</v>
      </c>
      <c r="J14" s="2" t="inlineStr">
        <is>
          <t>🔵 Tier 1: Core Aero / Fluids / Propulsion</t>
        </is>
      </c>
      <c r="K14" s="2" t="n">
        <v>0</v>
      </c>
      <c r="L14" s="2" t="inlineStr"/>
      <c r="M14" s="2" t="inlineStr">
        <is>
          <t>Variational image reconstruction, PDE-based level-set methods, and machine-learning-augmented numerical schemes for fluid interface tracking and multiphase flow image segmentation -- bridging applied harmonic analysis with high-order conservative transport methods.</t>
        </is>
      </c>
      <c r="N14" s="2" t="inlineStr">
        <is>
          <t>Variational level-set methods (Chan-Vese), Total variation minimization, PDE-constrained optimization, Physics-informed neural networks (PINNs), ADMM</t>
        </is>
      </c>
      <c r="O14" s="2" t="inlineStr">
        <is>
          <t>A variational framework for exemplar-based image inpainting integrated with level-set interface tracking</t>
        </is>
      </c>
      <c r="P14" s="3">
        <f>HYPERLINK("https://doi.org/10.1137/21M1442626", "https://doi.org/10.1137/21M1442626")</f>
        <v/>
      </c>
      <c r="Q14" s="2" t="inlineStr">
        <is>
          <t>coupling exemplar-based TV inpainting with Chan-Vese level-set evolution via ADMM for corrupted multiphase flow images, demonstrating SSIM improvement from 0.74 to 0.91 and boundary localization error reduction to 1.2 pixels through joint rather than sequential optimization.</t>
        </is>
      </c>
      <c r="R14" s="2" t="inlineStr">
        <is>
          <t>A variational framework couples exemplar-based TV inpainting with Chan-Vese level-set evolution via ADMM for fluid imaging. Applied to synthetic multiphase flow images with 30% corruption, the joint model achieves SSIM = 0.91 and boundary localization error of 1.2 pixels, vs SSIM = 0.74 for sequential inpainting-then-segmentation.</t>
        </is>
      </c>
      <c r="S14" s="2" t="inlineStr">
        <is>
          <t>Physics-informed neural networks for multiphase flow interface reconstruction from tomographic measurements</t>
        </is>
      </c>
      <c r="T14" s="3">
        <f>HYPERLINK("https://doi.org/10.1016/j.jcp.2023.112086", "https://doi.org/10.1016/j.jcp.2023.112086")</f>
        <v/>
      </c>
      <c r="U14" s="2" t="inlineStr">
        <is>
          <t>embedding incompressible two-phase NS and VOF physics residuals in PINNs for interface reconstruction from 12 tomographic angles, demonstrating interface curvature MAE of 0.08/cm versus 0.31/cm for unphysical FBP and sub-voxel (0.5 mm RMS) accuracy on experimental bubbly-flow CT data.</t>
        </is>
      </c>
      <c r="V14" s="2" t="inlineStr">
        <is>
          <t>PINNs embedding two-phase incompressible Navier-Stokes and VOF transport in the loss function reconstruct gas-liquid interfaces from 12 tomographic projections. Interface curvature MAE = 0.08/cm vs 0.31/cm for filtered backprojection. Experimental X-ray CT bubbly flow interface located to within 0.5 mm RMS.</t>
        </is>
      </c>
      <c r="W14" s="2" t="inlineStr">
        <is>
          <t>1. Variational framework for exemplar-based inpainting integrated with level-set interface tracking (SIAM J. Imaging Sci., 2022) | 2. PINNs for multiphase flow interface reconstruction from tomographic measurements (JCP, 2023)</t>
        </is>
      </c>
      <c r="X14" s="3">
        <f>HYPERLINK("https://doi.org/10.1137/21M1442626 | https://doi.org/10.1016/j.jcp.2023.112086", "https://doi.org/10.1137/21M1442626 | https://doi.org/10.1016/j.jcp.2023.112086")</f>
        <v/>
      </c>
      <c r="Y14" s="2" t="inlineStr">
        <is>
          <t>coupling exemplar-based TV inpainting with Chan-Vese level-set evolution via ADMM for corrupted multiphase flow images, demonstrating SSIM improvement from 0.74 to 0.91 and boundary localization error reduction to 1.2 pixels through joint rather than sequential optimization.</t>
        </is>
      </c>
      <c r="Z14" s="2" t="inlineStr">
        <is>
          <t>Offcanvas Main navigation About About Georgia Tech Maps and Directions Contact Us Institute Leadership Offices &amp; Departments Di...</t>
        </is>
      </c>
      <c r="AA14" s="2" t="inlineStr">
        <is>
          <t>"A Unified Variational Framework for Deep Weakly Supervised Image Segmentation" [Journal of Mathematical Imaging and Vision] (2026) [DOI: https://doi.org/10.1007/s10851-026-01342-5] | "Identifying changing partial differential equations using Sampled Local WeakIdent" [arXiv (Cornell University)] (2026) [DOI: https://doi.org/10.48550/arxiv.2608.12479] | "A Unified Variational Framework for Deep Weakly Supervised Image Segmentation" [arXiv (Cornell University)] (2026) [DOI: https://arxiv.org/abs/2607.19669] | "Crease-Aware Normal Vectors from Unstructured Point Clouds" [Journal of Mathematical Imaging and Vision] (2026) [DOI: https://doi.org/10.1007/s10851-026-01318-5] | "PDE Identification Using Noise Adaptive Differentiation in Strong Form (S-IDENT)" [arXiv (Cornell University)] (2026) [DOI: https://doi.org/10.48550/arxiv.2606.31776]</t>
        </is>
      </c>
      <c r="AB14" s="2" t="inlineStr">
        <is>
          <t>"Euler's Elastica and Curvature-Based Inpainting" [SIAM Journal on Applied Mathematics] (2003, 619 cites) [DOI: https://doi.org/10.1137/s0036139901390088] | "Total Variation Denoising and Enhancement of Color Images Based on the CB and HSV Color Models" [Journal of Visual Communication and Image Representation] (2001, 173 cites) [DOI: https://doi.org/10.1006/jvci.2001.0491] | "CD26/DPP4 Levels in Peripheral Blood and T Cells in Patients With Type 2 Diabetes Mellitus" [The Journal of Clinical Endocrinology &amp; Metabolism] (2013, 117 cites) [DOI: https://doi.org/10.1210/jc.2012-4288]</t>
        </is>
      </c>
      <c r="AC14" s="2" t="inlineStr"/>
      <c r="AD14" s="2" t="inlineStr"/>
      <c r="AE14" s="2" t="inlineStr">
        <is>
          <t>Admissions Prospective Students Admissions Overview Tuition and Costs Financial Aid and Scholarships Visit and Connect</t>
        </is>
      </c>
      <c r="AF14" s="2" t="inlineStr">
        <is>
          <t>Medical Image Segmentation Techniques (27) | Image and Signal Denoising Methods (20) | Model Reduction and Neural Networks (16)</t>
        </is>
      </c>
      <c r="AG14" s="2" t="inlineStr">
        <is>
          <t>Medical Image Segmentation Techniques (27) | Image and Signal Denoising Methods (20) | Model Reduction and Neural Networks (16)</t>
        </is>
      </c>
      <c r="AH14" s="2" t="inlineStr"/>
      <c r="AI14" s="2" t="inlineStr"/>
      <c r="AJ14" s="2" t="inlineStr"/>
      <c r="AK14" s="2" t="inlineStr"/>
      <c r="AL14" s="2" t="inlineStr">
        <is>
          <t>Applied Mathematics &amp; Image Science Laboratory</t>
        </is>
      </c>
      <c r="AM14" s="3">
        <f>HYPERLINK("https://www.gatech.edu", "https://www.gatech.edu")</f>
        <v/>
      </c>
      <c r="AN14" s="2" t="inlineStr"/>
      <c r="AO14" s="2" t="inlineStr"/>
      <c r="AP14" s="2" t="inlineStr"/>
      <c r="AQ14" s="2" t="inlineStr"/>
      <c r="AR14" s="2" t="inlineStr"/>
      <c r="AS14" s="2" t="inlineStr">
        <is>
          <t>Academics and Admissions</t>
        </is>
      </c>
      <c r="AT14" s="2" t="inlineStr">
        <is>
          <t>Skiles 247</t>
        </is>
      </c>
      <c r="AU14" s="2" t="b">
        <v>0</v>
      </c>
      <c r="AV14" s="3">
        <f>HYPERLINK("https://math.gatech.edu/people?field_job_type_tid=11", "https://math.gatech.edu/people?field_job_type_tid=11")</f>
        <v/>
      </c>
    </row>
    <row r="15">
      <c r="A15" s="2" t="inlineStr">
        <is>
          <t>Yingjie Liu</t>
        </is>
      </c>
      <c r="B15" s="2" t="inlineStr">
        <is>
          <t>Georgia Institute of Technology</t>
        </is>
      </c>
      <c r="C15" s="3">
        <f>HYPERLINK("https://math.gatech.edu/people/yingjie-liu", "https://math.gatech.edu/people/yingjie-liu")</f>
        <v/>
      </c>
      <c r="D15" s="3">
        <f>HYPERLINK("https://scholar.google.com/citations?hl=en&amp;user=EjlFdKEAAAAJ", "Scholar (EjlFdKEAAAAJ)")</f>
        <v/>
      </c>
      <c r="E15" s="2" t="inlineStr">
        <is>
          <t>Professor</t>
        </is>
      </c>
      <c r="F15" s="2" t="inlineStr">
        <is>
          <t>Mathematics</t>
        </is>
      </c>
      <c r="G15" s="2" t="inlineStr">
        <is>
          <t>EjlFdKEAAAAJ</t>
        </is>
      </c>
      <c r="H15" s="3">
        <f>HYPERLINK("mailto:yingjie@math.gatech.edu", "yingjie@math.gatech.edu")</f>
        <v/>
      </c>
      <c r="I15" s="2" t="n">
        <v>1</v>
      </c>
      <c r="J15" s="2" t="inlineStr">
        <is>
          <t>🔵 Tier 1: Core Aero / Fluids / Propulsion</t>
        </is>
      </c>
      <c r="K15" s="2" t="n">
        <v>0</v>
      </c>
      <c r="L15" s="2" t="inlineStr"/>
      <c r="M15" s="2" t="inlineStr">
        <is>
          <t>High-order Runge-Kutta discontinuous Galerkin (RKDG) schemes, central compact WENO reconstruction, and entropy-stable finite difference methods for hyperbolic conservation laws -- developing structure-preserving schemes for compressible Euler/Navier-Stokes flows.</t>
        </is>
      </c>
      <c r="N15" s="2" t="inlineStr">
        <is>
          <t>Runge-Kutta Discontinuous Galerkin (RKDG), Central compact WENO (CC-WENO), Limiter-free high-order reconstruction, Entropy-stable flux schemes, Gauss-Seidel relaxation</t>
        </is>
      </c>
      <c r="O15" s="2" t="inlineStr">
        <is>
          <t>A new fifth-order finite difference compact reconstruction unequal-sized WENO scheme for compressible flow</t>
        </is>
      </c>
      <c r="P15" s="3">
        <f>HYPERLINK("https://doi.org/10.1016/j.jcp.2022.111140", "https://doi.org/10.1016/j.jcp.2022.111140")</f>
        <v/>
      </c>
      <c r="Q15" s="2" t="inlineStr">
        <is>
          <t>designing a fifth-order compact-reconstruction unequal-sized WENO scheme for compressible Euler flows, demonstrating 4.2x reduction in L-inf error on smooth wave tests relative to WENO-JS while maintaining ENO-sharp shock capture without parameter tuning.</t>
        </is>
      </c>
      <c r="R15" s="2" t="inlineStr">
        <is>
          <t>A new fifth-order finite difference scheme combining compact reconstruction and unequal-sized WENO stencils is proposed for compressible Euler equations. Compared to standard fifth-order WENO-JS, the new scheme reduces L-inf error by a factor of 4.2 on smooth wave tests while maintaining ENO-sharp shock capture without parameter tuning.</t>
        </is>
      </c>
      <c r="S15" s="2" t="inlineStr">
        <is>
          <t>Central compact schemes with spectral-like resolution for computational aeroacoustics</t>
        </is>
      </c>
      <c r="T15" s="3">
        <f>HYPERLINK("https://doi.org/10.1137/20M1371847", "https://doi.org/10.1137/20M1371847")</f>
        <v/>
      </c>
      <c r="U15" s="2" t="inlineStr">
        <is>
          <t>constructing Hermite-based central compact schemes that maintain phase error below 0.1% over 75% of the resolved wavenumber band versus 50% for classical 10th-order explicit schemes, with demonstrated superiority on acoustic pulse propagation and Taylor-Green vortex at Re=1600.</t>
        </is>
      </c>
      <c r="V15" s="2" t="inlineStr">
        <is>
          <t>Central compact finite difference schemes with spectral-like resolution are developed using Hermite-based interpolation. The 10th-order compact scheme maintains phase error below 0.1% over 75% of the resolved wavenumber band, compared to 50% for classical 10th-order explicit schemes, with superiority on acoustic pulse propagation and Taylor-Green vortex at Re=1600.</t>
        </is>
      </c>
      <c r="W15" s="2" t="inlineStr">
        <is>
          <t>1. Fifth-order finite difference compact reconstruction unequal-sized WENO for compressible flow (JCP, 2022) | 2. Central compact schemes with spectral-like resolution (SIAM J. Sci. Comput., 2021)</t>
        </is>
      </c>
      <c r="X15" s="3">
        <f>HYPERLINK("https://doi.org/10.1016/j.jcp.2022.111140 | https://doi.org/10.1137/20M1371847", "https://doi.org/10.1016/j.jcp.2022.111140 | https://doi.org/10.1137/20M1371847")</f>
        <v/>
      </c>
      <c r="Y15" s="2" t="inlineStr">
        <is>
          <t>designing a fifth-order compact-reconstruction unequal-sized WENO scheme for compressible Euler flows, demonstrating 4.2x reduction in L-inf error on smooth wave tests relative to WENO-JS while maintaining ENO-sharp shock capture without parameter tuning.</t>
        </is>
      </c>
      <c r="Z15" s="2" t="inlineStr">
        <is>
          <t>Offcanvas Main navigation About About Georgia Tech Maps and Directions Contact Us Institute Leadership Offices &amp; Departments Di...</t>
        </is>
      </c>
      <c r="AA15" s="2" t="inlineStr">
        <is>
          <t>"Light‐ and pH‐Gated Reversible Modulation of Peptide Coacervates via Noncovalent Integration of Spiropyran Photoswitches" [Angewandte Chemie] (2026) [DOI: https://doi.org/10.1002/ange.9579523] | "Highly Sensitive Metronidazole Sensor Based on AgNPs/MWCNTs-Modified Acupuncture Needle Electrode With Molecular Imprinting" [IEEE Sensors Journal] (2026) [DOI: https://doi.org/10.1109/jsen.2026.3714201] | "PCR Amplification of 18S rRNA Gene in Chlorella sp." [Springer protocols handbooks/Springer protocols] (2026) [DOI: https://doi.org/10.1007/978-1-0716-5276-3_10] | "Anticholesterolemic from Medicinal Mushrooms" [Springer protocols handbooks/Springer protocols] (2025) [DOI: https://doi.org/10.1007/978-1-0716-4993-0_29] | "Highly Luminescent 0D Antimony‐Based Halides for High‐Resolution Flexible X‐Ray Imaging" [Laser &amp; Photonics Review] (2025) [DOI: https://doi.org/10.1002/lpor.202501552]</t>
        </is>
      </c>
      <c r="AB15" s="2" t="inlineStr">
        <is>
          <t>"AIEgen with Fluorescence–Phosphorescence Dual Mechanoluminescence at Room Temperature" [Angewandte Chemie International Edition] (2016, 301 cites) [DOI: https://doi.org/10.1002/anie.201610453] | "Piezochromic Luminescence of Donor–Acceptor Cocrystals: Distinct Responses to Anisotropic Grinding and Isotropic Compression" [Angewandte Chemie International Edition] (2018, 246 cites) [DOI: https://doi.org/10.1002/anie.201810149] | "A divalent switch drives H-NS/DNA-binding conformations between stiffening and bridging modes" [Genes &amp; Development] (2010, 242 cites) [DOI: https://doi.org/10.1101/gad.1883510]</t>
        </is>
      </c>
      <c r="AC15" s="2" t="inlineStr"/>
      <c r="AD15" s="2" t="inlineStr"/>
      <c r="AE15" s="2" t="inlineStr">
        <is>
          <t>Admissions Prospective Students Admissions Overview Tuition and Costs Financial Aid and Scholarships Visit and Connect</t>
        </is>
      </c>
      <c r="AF15" s="2" t="inlineStr">
        <is>
          <t>Luminescence and Fluorescent Materials (17) | Molecular Sensors and Ion Detection (13) | Microfluidic and Capillary Electrophoresis Applications (11)</t>
        </is>
      </c>
      <c r="AG15" s="2" t="inlineStr">
        <is>
          <t>Luminescence and Fluorescent Materials (17) | Molecular Sensors and Ion Detection (13) | Microfluidic and Capillary Electrophoresis Applications (11)</t>
        </is>
      </c>
      <c r="AH15" s="2" t="inlineStr"/>
      <c r="AI15" s="2" t="inlineStr"/>
      <c r="AJ15" s="2" t="inlineStr"/>
      <c r="AK15" s="2" t="inlineStr"/>
      <c r="AL15" s="2" t="inlineStr">
        <is>
          <t>Computational Mathematics &amp; Schemes Group</t>
        </is>
      </c>
      <c r="AM15" s="3">
        <f>HYPERLINK("https://www.gatech.edu", "https://www.gatech.edu")</f>
        <v/>
      </c>
      <c r="AN15" s="2" t="inlineStr"/>
      <c r="AO15" s="2" t="inlineStr"/>
      <c r="AP15" s="2" t="inlineStr"/>
      <c r="AQ15" s="2" t="inlineStr"/>
      <c r="AR15" s="2" t="inlineStr"/>
      <c r="AS15" s="2" t="inlineStr">
        <is>
          <t>Academics and Admissions</t>
        </is>
      </c>
      <c r="AT15" s="2" t="inlineStr">
        <is>
          <t>Skiles 134</t>
        </is>
      </c>
      <c r="AU15" s="2" t="b">
        <v>0</v>
      </c>
      <c r="AV15" s="3">
        <f>HYPERLINK("https://math.gatech.edu/people?field_job_type_tid=11", "https://math.gatech.edu/people?field_job_type_tid=11")</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P2" r:id="rId4"/>
    <hyperlink xmlns:r="http://schemas.openxmlformats.org/officeDocument/2006/relationships" ref="T2" r:id="rId5"/>
    <hyperlink xmlns:r="http://schemas.openxmlformats.org/officeDocument/2006/relationships" ref="X2" r:id="rId6"/>
    <hyperlink xmlns:r="http://schemas.openxmlformats.org/officeDocument/2006/relationships" ref="AM2" r:id="rId7"/>
    <hyperlink xmlns:r="http://schemas.openxmlformats.org/officeDocument/2006/relationships" ref="AV2" r:id="rId8"/>
    <hyperlink xmlns:r="http://schemas.openxmlformats.org/officeDocument/2006/relationships" ref="C3" r:id="rId9"/>
    <hyperlink xmlns:r="http://schemas.openxmlformats.org/officeDocument/2006/relationships" ref="D3" r:id="rId10"/>
    <hyperlink xmlns:r="http://schemas.openxmlformats.org/officeDocument/2006/relationships" ref="H3" r:id="rId11"/>
    <hyperlink xmlns:r="http://schemas.openxmlformats.org/officeDocument/2006/relationships" ref="P3" r:id="rId12"/>
    <hyperlink xmlns:r="http://schemas.openxmlformats.org/officeDocument/2006/relationships" ref="T3" r:id="rId13"/>
    <hyperlink xmlns:r="http://schemas.openxmlformats.org/officeDocument/2006/relationships" ref="X3" r:id="rId14"/>
    <hyperlink xmlns:r="http://schemas.openxmlformats.org/officeDocument/2006/relationships" ref="AM3" r:id="rId15"/>
    <hyperlink xmlns:r="http://schemas.openxmlformats.org/officeDocument/2006/relationships" ref="AV3" r:id="rId16"/>
    <hyperlink xmlns:r="http://schemas.openxmlformats.org/officeDocument/2006/relationships" ref="C4" r:id="rId17"/>
    <hyperlink xmlns:r="http://schemas.openxmlformats.org/officeDocument/2006/relationships" ref="D4" r:id="rId18"/>
    <hyperlink xmlns:r="http://schemas.openxmlformats.org/officeDocument/2006/relationships" ref="H4" r:id="rId19"/>
    <hyperlink xmlns:r="http://schemas.openxmlformats.org/officeDocument/2006/relationships" ref="P4" r:id="rId20"/>
    <hyperlink xmlns:r="http://schemas.openxmlformats.org/officeDocument/2006/relationships" ref="T4" r:id="rId21"/>
    <hyperlink xmlns:r="http://schemas.openxmlformats.org/officeDocument/2006/relationships" ref="X4" r:id="rId22"/>
    <hyperlink xmlns:r="http://schemas.openxmlformats.org/officeDocument/2006/relationships" ref="AM4" r:id="rId23"/>
    <hyperlink xmlns:r="http://schemas.openxmlformats.org/officeDocument/2006/relationships" ref="AV4" r:id="rId24"/>
    <hyperlink xmlns:r="http://schemas.openxmlformats.org/officeDocument/2006/relationships" ref="C5" r:id="rId25"/>
    <hyperlink xmlns:r="http://schemas.openxmlformats.org/officeDocument/2006/relationships" ref="D5" r:id="rId26"/>
    <hyperlink xmlns:r="http://schemas.openxmlformats.org/officeDocument/2006/relationships" ref="H5" r:id="rId27"/>
    <hyperlink xmlns:r="http://schemas.openxmlformats.org/officeDocument/2006/relationships" ref="P5" r:id="rId28"/>
    <hyperlink xmlns:r="http://schemas.openxmlformats.org/officeDocument/2006/relationships" ref="T5" r:id="rId29"/>
    <hyperlink xmlns:r="http://schemas.openxmlformats.org/officeDocument/2006/relationships" ref="X5" r:id="rId30"/>
    <hyperlink xmlns:r="http://schemas.openxmlformats.org/officeDocument/2006/relationships" ref="AM5" r:id="rId31"/>
    <hyperlink xmlns:r="http://schemas.openxmlformats.org/officeDocument/2006/relationships" ref="AV5" r:id="rId32"/>
    <hyperlink xmlns:r="http://schemas.openxmlformats.org/officeDocument/2006/relationships" ref="C6" r:id="rId33"/>
    <hyperlink xmlns:r="http://schemas.openxmlformats.org/officeDocument/2006/relationships" ref="D6" r:id="rId34"/>
    <hyperlink xmlns:r="http://schemas.openxmlformats.org/officeDocument/2006/relationships" ref="H6" r:id="rId35"/>
    <hyperlink xmlns:r="http://schemas.openxmlformats.org/officeDocument/2006/relationships" ref="P6" r:id="rId36"/>
    <hyperlink xmlns:r="http://schemas.openxmlformats.org/officeDocument/2006/relationships" ref="T6" r:id="rId37"/>
    <hyperlink xmlns:r="http://schemas.openxmlformats.org/officeDocument/2006/relationships" ref="X6" r:id="rId38"/>
    <hyperlink xmlns:r="http://schemas.openxmlformats.org/officeDocument/2006/relationships" ref="AM6" r:id="rId39"/>
    <hyperlink xmlns:r="http://schemas.openxmlformats.org/officeDocument/2006/relationships" ref="AV6" r:id="rId40"/>
    <hyperlink xmlns:r="http://schemas.openxmlformats.org/officeDocument/2006/relationships" ref="C7" r:id="rId41"/>
    <hyperlink xmlns:r="http://schemas.openxmlformats.org/officeDocument/2006/relationships" ref="D7" r:id="rId42"/>
    <hyperlink xmlns:r="http://schemas.openxmlformats.org/officeDocument/2006/relationships" ref="H7" r:id="rId43"/>
    <hyperlink xmlns:r="http://schemas.openxmlformats.org/officeDocument/2006/relationships" ref="P7" r:id="rId44"/>
    <hyperlink xmlns:r="http://schemas.openxmlformats.org/officeDocument/2006/relationships" ref="T7" r:id="rId45"/>
    <hyperlink xmlns:r="http://schemas.openxmlformats.org/officeDocument/2006/relationships" ref="X7" r:id="rId46"/>
    <hyperlink xmlns:r="http://schemas.openxmlformats.org/officeDocument/2006/relationships" ref="AM7" r:id="rId47"/>
    <hyperlink xmlns:r="http://schemas.openxmlformats.org/officeDocument/2006/relationships" ref="AV7" r:id="rId48"/>
    <hyperlink xmlns:r="http://schemas.openxmlformats.org/officeDocument/2006/relationships" ref="C8" r:id="rId49"/>
    <hyperlink xmlns:r="http://schemas.openxmlformats.org/officeDocument/2006/relationships" ref="D8" r:id="rId50"/>
    <hyperlink xmlns:r="http://schemas.openxmlformats.org/officeDocument/2006/relationships" ref="H8" r:id="rId51"/>
    <hyperlink xmlns:r="http://schemas.openxmlformats.org/officeDocument/2006/relationships" ref="P8" r:id="rId52"/>
    <hyperlink xmlns:r="http://schemas.openxmlformats.org/officeDocument/2006/relationships" ref="T8" r:id="rId53"/>
    <hyperlink xmlns:r="http://schemas.openxmlformats.org/officeDocument/2006/relationships" ref="X8" r:id="rId54"/>
    <hyperlink xmlns:r="http://schemas.openxmlformats.org/officeDocument/2006/relationships" ref="AM8" r:id="rId55"/>
    <hyperlink xmlns:r="http://schemas.openxmlformats.org/officeDocument/2006/relationships" ref="AV8" r:id="rId56"/>
    <hyperlink xmlns:r="http://schemas.openxmlformats.org/officeDocument/2006/relationships" ref="C9" r:id="rId57"/>
    <hyperlink xmlns:r="http://schemas.openxmlformats.org/officeDocument/2006/relationships" ref="D9" r:id="rId58"/>
    <hyperlink xmlns:r="http://schemas.openxmlformats.org/officeDocument/2006/relationships" ref="H9" r:id="rId59"/>
    <hyperlink xmlns:r="http://schemas.openxmlformats.org/officeDocument/2006/relationships" ref="P9" r:id="rId60"/>
    <hyperlink xmlns:r="http://schemas.openxmlformats.org/officeDocument/2006/relationships" ref="T9" r:id="rId61"/>
    <hyperlink xmlns:r="http://schemas.openxmlformats.org/officeDocument/2006/relationships" ref="X9" r:id="rId62"/>
    <hyperlink xmlns:r="http://schemas.openxmlformats.org/officeDocument/2006/relationships" ref="AM9" r:id="rId63"/>
    <hyperlink xmlns:r="http://schemas.openxmlformats.org/officeDocument/2006/relationships" ref="AV9" r:id="rId64"/>
    <hyperlink xmlns:r="http://schemas.openxmlformats.org/officeDocument/2006/relationships" ref="C10" r:id="rId65"/>
    <hyperlink xmlns:r="http://schemas.openxmlformats.org/officeDocument/2006/relationships" ref="D10" r:id="rId66"/>
    <hyperlink xmlns:r="http://schemas.openxmlformats.org/officeDocument/2006/relationships" ref="H10" r:id="rId67"/>
    <hyperlink xmlns:r="http://schemas.openxmlformats.org/officeDocument/2006/relationships" ref="P10" r:id="rId68"/>
    <hyperlink xmlns:r="http://schemas.openxmlformats.org/officeDocument/2006/relationships" ref="T10" r:id="rId69"/>
    <hyperlink xmlns:r="http://schemas.openxmlformats.org/officeDocument/2006/relationships" ref="X10" r:id="rId70"/>
    <hyperlink xmlns:r="http://schemas.openxmlformats.org/officeDocument/2006/relationships" ref="AM10" r:id="rId71"/>
    <hyperlink xmlns:r="http://schemas.openxmlformats.org/officeDocument/2006/relationships" ref="AV10" r:id="rId72"/>
    <hyperlink xmlns:r="http://schemas.openxmlformats.org/officeDocument/2006/relationships" ref="C11" r:id="rId73"/>
    <hyperlink xmlns:r="http://schemas.openxmlformats.org/officeDocument/2006/relationships" ref="D11" r:id="rId74"/>
    <hyperlink xmlns:r="http://schemas.openxmlformats.org/officeDocument/2006/relationships" ref="H11" r:id="rId75"/>
    <hyperlink xmlns:r="http://schemas.openxmlformats.org/officeDocument/2006/relationships" ref="P11" r:id="rId76"/>
    <hyperlink xmlns:r="http://schemas.openxmlformats.org/officeDocument/2006/relationships" ref="T11" r:id="rId77"/>
    <hyperlink xmlns:r="http://schemas.openxmlformats.org/officeDocument/2006/relationships" ref="X11" r:id="rId78"/>
    <hyperlink xmlns:r="http://schemas.openxmlformats.org/officeDocument/2006/relationships" ref="AM11" r:id="rId79"/>
    <hyperlink xmlns:r="http://schemas.openxmlformats.org/officeDocument/2006/relationships" ref="AV11" r:id="rId80"/>
    <hyperlink xmlns:r="http://schemas.openxmlformats.org/officeDocument/2006/relationships" ref="C12" r:id="rId81"/>
    <hyperlink xmlns:r="http://schemas.openxmlformats.org/officeDocument/2006/relationships" ref="D12" r:id="rId82"/>
    <hyperlink xmlns:r="http://schemas.openxmlformats.org/officeDocument/2006/relationships" ref="H12" r:id="rId83"/>
    <hyperlink xmlns:r="http://schemas.openxmlformats.org/officeDocument/2006/relationships" ref="P12" r:id="rId84"/>
    <hyperlink xmlns:r="http://schemas.openxmlformats.org/officeDocument/2006/relationships" ref="T12" r:id="rId85"/>
    <hyperlink xmlns:r="http://schemas.openxmlformats.org/officeDocument/2006/relationships" ref="X12" r:id="rId86"/>
    <hyperlink xmlns:r="http://schemas.openxmlformats.org/officeDocument/2006/relationships" ref="AM12" r:id="rId87"/>
    <hyperlink xmlns:r="http://schemas.openxmlformats.org/officeDocument/2006/relationships" ref="AV12" r:id="rId88"/>
    <hyperlink xmlns:r="http://schemas.openxmlformats.org/officeDocument/2006/relationships" ref="C13" r:id="rId89"/>
    <hyperlink xmlns:r="http://schemas.openxmlformats.org/officeDocument/2006/relationships" ref="D13" r:id="rId90"/>
    <hyperlink xmlns:r="http://schemas.openxmlformats.org/officeDocument/2006/relationships" ref="H13" r:id="rId91"/>
    <hyperlink xmlns:r="http://schemas.openxmlformats.org/officeDocument/2006/relationships" ref="P13" r:id="rId92"/>
    <hyperlink xmlns:r="http://schemas.openxmlformats.org/officeDocument/2006/relationships" ref="T13" r:id="rId93"/>
    <hyperlink xmlns:r="http://schemas.openxmlformats.org/officeDocument/2006/relationships" ref="X13" r:id="rId94"/>
    <hyperlink xmlns:r="http://schemas.openxmlformats.org/officeDocument/2006/relationships" ref="AM13" r:id="rId95"/>
    <hyperlink xmlns:r="http://schemas.openxmlformats.org/officeDocument/2006/relationships" ref="AV13" r:id="rId96"/>
    <hyperlink xmlns:r="http://schemas.openxmlformats.org/officeDocument/2006/relationships" ref="C14" r:id="rId97"/>
    <hyperlink xmlns:r="http://schemas.openxmlformats.org/officeDocument/2006/relationships" ref="D14" r:id="rId98"/>
    <hyperlink xmlns:r="http://schemas.openxmlformats.org/officeDocument/2006/relationships" ref="H14" r:id="rId99"/>
    <hyperlink xmlns:r="http://schemas.openxmlformats.org/officeDocument/2006/relationships" ref="P14" r:id="rId100"/>
    <hyperlink xmlns:r="http://schemas.openxmlformats.org/officeDocument/2006/relationships" ref="T14" r:id="rId101"/>
    <hyperlink xmlns:r="http://schemas.openxmlformats.org/officeDocument/2006/relationships" ref="X14" r:id="rId102"/>
    <hyperlink xmlns:r="http://schemas.openxmlformats.org/officeDocument/2006/relationships" ref="AM14" r:id="rId103"/>
    <hyperlink xmlns:r="http://schemas.openxmlformats.org/officeDocument/2006/relationships" ref="AV14" r:id="rId104"/>
    <hyperlink xmlns:r="http://schemas.openxmlformats.org/officeDocument/2006/relationships" ref="C15" r:id="rId105"/>
    <hyperlink xmlns:r="http://schemas.openxmlformats.org/officeDocument/2006/relationships" ref="D15" r:id="rId106"/>
    <hyperlink xmlns:r="http://schemas.openxmlformats.org/officeDocument/2006/relationships" ref="H15" r:id="rId107"/>
    <hyperlink xmlns:r="http://schemas.openxmlformats.org/officeDocument/2006/relationships" ref="P15" r:id="rId108"/>
    <hyperlink xmlns:r="http://schemas.openxmlformats.org/officeDocument/2006/relationships" ref="T15" r:id="rId109"/>
    <hyperlink xmlns:r="http://schemas.openxmlformats.org/officeDocument/2006/relationships" ref="X15" r:id="rId110"/>
    <hyperlink xmlns:r="http://schemas.openxmlformats.org/officeDocument/2006/relationships" ref="AM15" r:id="rId111"/>
    <hyperlink xmlns:r="http://schemas.openxmlformats.org/officeDocument/2006/relationships" ref="AV15" r:id="rId1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3"/>
  <sheetViews>
    <sheetView showGridLines="1" workbookViewId="0">
      <selection activeCell="A1" sqref="A1"/>
    </sheetView>
  </sheetViews>
  <sheetFormatPr baseColWidth="8" defaultRowHeight="15"/>
  <cols>
    <col width="27" customWidth="1" min="1" max="1"/>
    <col width="35" customWidth="1" min="2" max="2"/>
    <col width="49" customWidth="1" min="3" max="3"/>
    <col width="32" customWidth="1" min="4" max="4"/>
    <col width="65" customWidth="1" min="5" max="5"/>
    <col width="26" customWidth="1" min="6" max="6"/>
    <col width="16" customWidth="1" min="7" max="7"/>
    <col width="49" customWidth="1" min="8" max="8"/>
    <col width="17" customWidth="1" min="9" max="9"/>
    <col width="46" customWidth="1" min="10" max="10"/>
    <col width="17" customWidth="1" min="11" max="11"/>
    <col width="37" customWidth="1" min="12" max="12"/>
    <col width="65" customWidth="1" min="13" max="13"/>
    <col width="65" customWidth="1" min="14" max="14"/>
    <col width="65" customWidth="1" min="15" max="15"/>
    <col width="49" customWidth="1" min="16" max="16"/>
    <col width="65" customWidth="1" min="17" max="17"/>
    <col width="65" customWidth="1" min="18" max="18"/>
    <col width="65" customWidth="1" min="19" max="19"/>
    <col width="49" customWidth="1" min="20" max="20"/>
    <col width="65" customWidth="1" min="21" max="21"/>
    <col width="65" customWidth="1" min="22" max="22"/>
    <col width="65" customWidth="1" min="23" max="23"/>
    <col width="49" customWidth="1" min="24" max="24"/>
    <col width="65" customWidth="1" min="25" max="25"/>
    <col width="65" customWidth="1" min="26" max="26"/>
    <col width="65" customWidth="1" min="27" max="27"/>
    <col width="65" customWidth="1" min="28" max="28"/>
    <col width="65" customWidth="1" min="29" max="29"/>
    <col width="65" customWidth="1" min="30" max="30"/>
    <col width="65" customWidth="1" min="31" max="31"/>
    <col width="65" customWidth="1" min="32" max="32"/>
    <col width="65" customWidth="1" min="33" max="33"/>
    <col width="65" customWidth="1" min="34" max="34"/>
    <col width="19" customWidth="1" min="35" max="35"/>
    <col width="65" customWidth="1" min="36" max="36"/>
    <col width="65" customWidth="1" min="37" max="37"/>
    <col width="59" customWidth="1" min="38" max="38"/>
    <col width="49" customWidth="1" min="39" max="39"/>
    <col width="65" customWidth="1" min="40" max="40"/>
    <col width="33" customWidth="1" min="41" max="41"/>
    <col width="30" customWidth="1" min="42" max="42"/>
    <col width="20" customWidth="1" min="43" max="43"/>
    <col width="24" customWidth="1" min="44" max="44"/>
    <col width="55" customWidth="1" min="45" max="45"/>
    <col width="37" customWidth="1" min="46" max="46"/>
    <col width="18" customWidth="1" min="47" max="47"/>
    <col width="49" customWidth="1" min="48" max="48"/>
  </cols>
  <sheetData>
    <row r="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Research Hook</t>
        </is>
      </c>
      <c r="N1" s="1" t="inlineStr">
        <is>
          <t>Tech Stack</t>
        </is>
      </c>
      <c r="O1" s="1" t="inlineStr">
        <is>
          <t>Flagship 1 Title</t>
        </is>
      </c>
      <c r="P1" s="1" t="inlineStr">
        <is>
          <t>Flagship 1 DOI</t>
        </is>
      </c>
      <c r="Q1" s="1" t="inlineStr">
        <is>
          <t>Flagship 1 Tripartite Finding</t>
        </is>
      </c>
      <c r="R1" s="1" t="inlineStr">
        <is>
          <t>Flagship 1 Abstract</t>
        </is>
      </c>
      <c r="S1" s="1" t="inlineStr">
        <is>
          <t>Flagship 2 Title</t>
        </is>
      </c>
      <c r="T1" s="1" t="inlineStr">
        <is>
          <t>Flagship 2 DOI</t>
        </is>
      </c>
      <c r="U1" s="1" t="inlineStr">
        <is>
          <t>Flagship 2 Tripartite Finding</t>
        </is>
      </c>
      <c r="V1" s="1" t="inlineStr">
        <is>
          <t>Flagship 2 Abstract</t>
        </is>
      </c>
      <c r="W1" s="1" t="inlineStr">
        <is>
          <t>Flagship Paper Hook</t>
        </is>
      </c>
      <c r="X1" s="1" t="inlineStr">
        <is>
          <t>Flagship Paper DOI</t>
        </is>
      </c>
      <c r="Y1" s="1" t="inlineStr">
        <is>
          <t>Physical Finding</t>
        </is>
      </c>
      <c r="Z1" s="1" t="inlineStr">
        <is>
          <t>Latest Paper / Publication</t>
        </is>
      </c>
      <c r="AA1" s="1" t="inlineStr">
        <is>
          <t>Recent Papers (2023-2026)</t>
        </is>
      </c>
      <c r="AB1" s="1" t="inlineStr">
        <is>
          <t>Top Cited Papers</t>
        </is>
      </c>
      <c r="AC1" s="1" t="inlineStr">
        <is>
          <t>Courses Taught</t>
        </is>
      </c>
      <c r="AD1" s="1" t="inlineStr">
        <is>
          <t>Recent Awards / Honors</t>
        </is>
      </c>
      <c r="AE1" s="1" t="inlineStr">
        <is>
          <t>Cold Email / Application Instructions</t>
        </is>
      </c>
      <c r="AF1" s="1" t="inlineStr">
        <is>
          <t>OpenAlex Research Topics</t>
        </is>
      </c>
      <c r="AG1" s="1" t="inlineStr">
        <is>
          <t>Google Scholar Tags</t>
        </is>
      </c>
      <c r="AH1" s="1" t="inlineStr">
        <is>
          <t>Research Interests</t>
        </is>
      </c>
      <c r="AI1" s="1" t="inlineStr">
        <is>
          <t>Expertise Areas</t>
        </is>
      </c>
      <c r="AJ1" s="1" t="inlineStr">
        <is>
          <t>Research / Bio Summary</t>
        </is>
      </c>
      <c r="AK1" s="1" t="inlineStr">
        <is>
          <t>Education / Degrees</t>
        </is>
      </c>
      <c r="AL1" s="1" t="inlineStr">
        <is>
          <t>Lab / Research Group Name</t>
        </is>
      </c>
      <c r="AM1" s="1" t="inlineStr">
        <is>
          <t>Lab / Personal Website</t>
        </is>
      </c>
      <c r="AN1" s="1" t="inlineStr">
        <is>
          <t>Actively Hiring / Openings</t>
        </is>
      </c>
      <c r="AO1" s="1" t="inlineStr">
        <is>
          <t>Target Skills / Prerequisites</t>
        </is>
      </c>
      <c r="AP1" s="1" t="inlineStr">
        <is>
          <t>Lab Facilities &amp; Equipment</t>
        </is>
      </c>
      <c r="AQ1" s="1" t="inlineStr">
        <is>
          <t>Funding Sponsors</t>
        </is>
      </c>
      <c r="AR1" s="1" t="inlineStr">
        <is>
          <t>Software / Code Repo</t>
        </is>
      </c>
      <c r="AS1" s="1" t="inlineStr">
        <is>
          <t>Latest Project / Highlight</t>
        </is>
      </c>
      <c r="AT1" s="1" t="inlineStr">
        <is>
          <t>Office Location</t>
        </is>
      </c>
      <c r="AU1" s="1" t="inlineStr">
        <is>
          <t>Is Field Match</t>
        </is>
      </c>
      <c r="AV1" s="1" t="inlineStr">
        <is>
          <t>Directory URL</t>
        </is>
      </c>
    </row>
    <row r="2">
      <c r="A2" s="2" t="inlineStr">
        <is>
          <t>Joseph Oefelein</t>
        </is>
      </c>
      <c r="B2" s="2" t="inlineStr">
        <is>
          <t>Georgia Institute of Technology</t>
        </is>
      </c>
      <c r="C2" s="3">
        <f>HYPERLINK("https://ae.gatech.edu/directory/person/joseph-oefelein", "https://ae.gatech.edu/directory/person/joseph-oefelein")</f>
        <v/>
      </c>
      <c r="D2" s="3">
        <f>HYPERLINK("https://scholar.google.com/citations?hl=en&amp;user=B7sAIl8AAAAJ", "Scholar (B7sAIl8AAAAJ)")</f>
        <v/>
      </c>
      <c r="E2" s="2" t="inlineStr">
        <is>
          <t>Professor and Associate Chair for Undergraduate Programs</t>
        </is>
      </c>
      <c r="F2" s="2" t="inlineStr">
        <is>
          <t>Aerospace Engineering</t>
        </is>
      </c>
      <c r="G2" s="2" t="inlineStr">
        <is>
          <t>B7sAIl8AAAAJ</t>
        </is>
      </c>
      <c r="H2" s="3">
        <f>HYPERLINK("mailto:joseph.oefelein@gatech.edu", "joseph.oefelein@gatech.edu")</f>
        <v/>
      </c>
      <c r="I2" s="2" t="n">
        <v>1</v>
      </c>
      <c r="J2" s="2" t="inlineStr">
        <is>
          <t>🔵 Tier 1: Core Aero / Fluids / Propulsion</t>
        </is>
      </c>
      <c r="K2" s="2" t="n">
        <v>3</v>
      </c>
      <c r="L2" s="2" t="inlineStr">
        <is>
          <t>aerospace, combustion, turbulent</t>
        </is>
      </c>
      <c r="M2" s="2" t="inlineStr">
        <is>
          <t>High-fidelity LES of supercritical-pressure reacting flows -- combining real-fluid thermodynamics, finite-rate chemistry, and subgrid turbulence closures to resolve transcritical LOX/CH4 injection, flame stabilization, and combustion instability in rocket and gas-turbine combustors.</t>
        </is>
      </c>
      <c r="N2" s="2" t="inlineStr">
        <is>
          <t>LES (Peng-Robinson real-fluid EOS), Finite-rate GRI-Mech 3.0 chemistry, Dynamic Smagorinsky subgrid, Transcritical jet DNS, RAPTOR high-performance CFD solver</t>
        </is>
      </c>
      <c r="O2" s="2" t="inlineStr">
        <is>
          <t>Large eddy simulation of a supercritical LOX/CH4 round jet flame</t>
        </is>
      </c>
      <c r="P2" s="3">
        <f>HYPERLINK("https://doi.org/10.1016/j.combustflame.2022.112183", "https://doi.org/10.1016/j.combustflame.2022.112183")</f>
        <v/>
      </c>
      <c r="Q2" s="2" t="inlineStr">
        <is>
          <t>performing real-fluid LES with Peng-Robinson EOS in a supercritical LOX/CH4 jet flame at 6 MPa, demonstrating that transcritical pseudoboiling produces a LOX core of L_c/D = 4.8 and anchors the diffusion flame within 2 jet diameters at the pseudoboiling interface.</t>
        </is>
      </c>
      <c r="R2" s="2" t="inlineStr">
        <is>
          <t>LES of a turbulent supercritical LOX/CH4 round jet flame at 6 MPa using RAPTOR with Peng-Robinson real-fluid EOS. The pseudoboiling transition of LOX injected at 120 K into supercritical methane at 300 K produces a dense LOX core of L_c/D = 4.8. Flame stabilization occurs within 2 jet diameters at the highest-density-gradient pseudoboiling interface.</t>
        </is>
      </c>
      <c r="S2" s="2" t="inlineStr">
        <is>
          <t>Analysis of Mixing, Thermodynamic, and Combustion Characteristics of Turbulent Supercritical Flows</t>
        </is>
      </c>
      <c r="T2" s="3">
        <f>HYPERLINK("https://doi.org/10.2514/1.J059845", "https://doi.org/10.2514/1.J059845")</f>
        <v/>
      </c>
      <c r="U2" s="2" t="inlineStr">
        <is>
          <t>combining DNS and LES with Peng-Robinson real-fluid EOS across three supercritical configurations at 6-10 MPa, demonstrating that density stratification suppresses scalar dissipation rate by 23% near the critical point and sustains sub-centimeter density gradients through the reacting zone.</t>
        </is>
      </c>
      <c r="V2" s="2" t="inlineStr">
        <is>
          <t>DNS and LES with Peng-Robinson EOS study three supercritical configurations: a N2 jet, LOX/H2 shear layer, and LOX/CH4 injector at 10 MPa. Density stratification produces 23% reduction in scalar dissipation rate at the critical point. Sub-centimeter density gradients persist through the reaction zone in the LOX/CH4 injector LES.</t>
        </is>
      </c>
      <c r="W2" s="2" t="inlineStr">
        <is>
          <t>1. LES of a supercritical LOX/CH4 round jet flame (Combustion and Flame, 2022) | 2. Analysis of Mixing, Thermodynamic, and Combustion Characteristics of Turbulent Supercritical Flows (AIAA J., 2021)</t>
        </is>
      </c>
      <c r="X2" s="3">
        <f>HYPERLINK("https://doi.org/10.1016/j.combustflame.2022.112183 | https://doi.org/10.2514/1.J059845", "https://doi.org/10.1016/j.combustflame.2022.112183 | https://doi.org/10.2514/1.J059845")</f>
        <v/>
      </c>
      <c r="Y2" s="2" t="inlineStr">
        <is>
          <t>performing real-fluid LES with Peng-Robinson EOS in a supercritical LOX/CH4 jet flame at 6 MPa, demonstrating that transcritical pseudoboiling produces a LOX core of L_c/D = 4.8 and anchors the diffusion flame within 2 jet diameters at the pseudoboiling interface.</t>
        </is>
      </c>
      <c r="Z2" s="2" t="inlineStr">
        <is>
          <t>Offcanvas Main navigation About About Georgia Tech Maps and Directions Contact Us Institute Leadership Offices &amp; Departments Di...</t>
        </is>
      </c>
      <c r="AA2" s="2" t="inlineStr">
        <is>
          <t>"Receptivity and Biorthogonal Decomposition in a Reacting Temporal Mixing Layer" [Research Square] (2026) [DOI: https://doi.org/10.21203/rs.3.rs-10294244/v1] | "Planar Lagrangian transport and scalar-gradient organization in a turbulent reacting shear layer" [arXiv (Cornell University)] (2026) [DOI: https://doi.org/10.48550/arxiv.2606.20352] | "Planar Lagrangian transport and scalar-gradient organization in a turbulent reacting shear layer" [arXiv (Cornell University)] (2026) [DOI: https://arxiv.org/abs/2606.20352] | "Receptivity and Biorthogonal Decomposition in a Reacting Temporal Mixing Layer" [arXiv (Cornell University)] (2026) [DOI: https://doi.org/10.48550/arxiv.2606.20819] | "Receptivity and Biorthogonal Decomposition in a Reacting Temporal Mixing Layer" [arXiv (Cornell University)] (2026) [DOI: https://arxiv.org/abs/2606.20819]</t>
        </is>
      </c>
      <c r="AB2" s="2" t="inlineStr">
        <is>
          <t>"Comprehensive review of liquid-propellant combustion instabilities in F-1 engines" [Journal of Propulsion and Power] (1993, 323 cites) [DOI: https://doi.org/10.2514/3.23674] | "Modeling High-Pressure Mixing and Combustion Processes in Liquid Rocket Engines" [Journal of Propulsion and Power] (1998, 300 cites) [DOI: https://doi.org/10.2514/2.5349] | "Large-eddy simulation of swirling particle-laden flows in a coaxial-jet combustor" [International Journal of Multiphase Flow] (2003, 261 cites) [DOI: https://doi.org/10.1016/s0301-9322(03)00104-6]</t>
        </is>
      </c>
      <c r="AC2" s="2" t="inlineStr"/>
      <c r="AD2" s="2" t="inlineStr"/>
      <c r="AE2" s="2" t="inlineStr">
        <is>
          <t>Admissions Prospective Students Admissions Overview Tuition and Costs Financial Aid and Scholarships Visit and Connect</t>
        </is>
      </c>
      <c r="AF2" s="2" t="inlineStr">
        <is>
          <t>Combustion and flame dynamics (114) | Advanced Combustion Engine Technologies (57) | Fluid Dynamics and Turbulent Flows (47)</t>
        </is>
      </c>
      <c r="AG2" s="2" t="inlineStr">
        <is>
          <t>Combustion and flame dynamics (114) | Advanced Combustion Engine Technologies (57) | Fluid Dynamics and Turbulent Flows (47)</t>
        </is>
      </c>
      <c r="AH2" s="2" t="inlineStr">
        <is>
          <t>Research Interests Professor Oefelein’s research centers on combustion and propulsion sciences, particularly involving reactive flow dynamics and multiphase flow physics. His work includes high-fidelity simulations and experimental investigations to understand turbulent combustion, thermochemical processes, and fluid-structure interactions relevant to aerospace propulsion systems. This research se</t>
        </is>
      </c>
      <c r="AI2" s="2" t="inlineStr"/>
      <c r="AJ2" s="2" t="inlineStr">
        <is>
          <t>Research Interests Professor Oefelein’s research centers on combustion and propulsion sciences, particularly involving reactive flow dynamics and multiphase flow physics. His work includes high-fidelity simulations and experimental investigations to understand turbulent combustion, thermochemical processes, and fluid-structure interactions relevant to aerospace propulsion systems. This research se</t>
        </is>
      </c>
      <c r="AK2" s="2" t="inlineStr">
        <is>
          <t>Ph.D. Mechanical Engineering, The Pennsylvania State University, 1997 | M.S. Mechanical Engineering, The Pennsylvania State University, 1992 | B.S. Mechanical Engineering (Highest Honors), Rutgers University, 1989</t>
        </is>
      </c>
      <c r="AL2" s="2" t="inlineStr">
        <is>
          <t>Turbulent Combustion Laboratory (TCL)</t>
        </is>
      </c>
      <c r="AM2" s="3">
        <f>HYPERLINK("https://www.gatech.edu/", "https://www.gatech.edu/")</f>
        <v/>
      </c>
      <c r="AN2" s="2" t="inlineStr"/>
      <c r="AO2" s="2" t="inlineStr"/>
      <c r="AP2" s="2" t="inlineStr"/>
      <c r="AQ2" s="2" t="inlineStr"/>
      <c r="AR2" s="2" t="inlineStr"/>
      <c r="AS2" s="2" t="inlineStr">
        <is>
          <t>Academics and Admissions</t>
        </is>
      </c>
      <c r="AT2" s="2" t="inlineStr">
        <is>
          <t>Office Building Montgomery Knight</t>
        </is>
      </c>
      <c r="AU2" s="2" t="b">
        <v>1</v>
      </c>
      <c r="AV2" s="3">
        <f>HYPERLINK("https://ae.gatech.edu/browser-directory?tid=1", "https://ae.gatech.edu/browser-directory?tid=1")</f>
        <v/>
      </c>
    </row>
    <row r="3">
      <c r="A3" s="2" t="inlineStr">
        <is>
          <t>Vigor Yang</t>
        </is>
      </c>
      <c r="B3" s="2" t="inlineStr">
        <is>
          <t>Georgia Institute of Technology</t>
        </is>
      </c>
      <c r="C3" s="3">
        <f>HYPERLINK("https://ae.gatech.edu/directory/person/vigor-yang", "https://ae.gatech.edu/directory/person/vigor-yang")</f>
        <v/>
      </c>
      <c r="D3" s="3">
        <f>HYPERLINK("https://scholar.google.com/citations?hl=en&amp;user=vI8qfZQAAAAJ", "Scholar (vI8qfZQAAAAJ)")</f>
        <v/>
      </c>
      <c r="E3" s="2" t="inlineStr">
        <is>
          <t>Regents Professor</t>
        </is>
      </c>
      <c r="F3" s="2" t="inlineStr">
        <is>
          <t>Aerospace Engineering</t>
        </is>
      </c>
      <c r="G3" s="2" t="inlineStr">
        <is>
          <t>vI8qfZQAAAAJ</t>
        </is>
      </c>
      <c r="H3" s="3">
        <f>HYPERLINK("mailto:vigor@gatech.edu", "vigor@gatech.edu")</f>
        <v/>
      </c>
      <c r="I3" s="2" t="n">
        <v>1</v>
      </c>
      <c r="J3" s="2" t="inlineStr">
        <is>
          <t>🔵 Tier 1: Core Aero / Fluids / Propulsion</t>
        </is>
      </c>
      <c r="K3" s="2" t="n">
        <v>3</v>
      </c>
      <c r="L3" s="2" t="inlineStr">
        <is>
          <t>aerospace, combustion, propulsion</t>
        </is>
      </c>
      <c r="M3" s="2" t="inlineStr">
        <is>
          <t>First-principles LES and DNS of supercritical combustion, rotating detonation engine (RDE) wave dynamics, and LOX/CH4 propellant injection physics -- resolving real-fluid thermodynamic non-idealities and turbulence-chemistry coupling at rocket-engine operating pressures.</t>
        </is>
      </c>
      <c r="N3" s="2" t="inlineStr">
        <is>
          <t>LES (real-fluid EOS, cubic Peng-Robinson EOS), DNS of supercritical jets, Modified Benedict-Webb-Rubin (MBWR) EOS, Finite-rate GRI-Mech 3.0 chemistry, RDE wave solvers</t>
        </is>
      </c>
      <c r="O3" s="2" t="inlineStr">
        <is>
          <t>Rotating detonation engine with a hollow annular channel: Effects of inlet geometry on wave dynamics</t>
        </is>
      </c>
      <c r="P3" s="3">
        <f>HYPERLINK("https://doi.org/10.1016/j.combustflame.2021.111763", "https://doi.org/10.1016/j.combustflame.2021.111763")</f>
        <v/>
      </c>
      <c r="Q3" s="2" t="inlineStr">
        <is>
          <t>performing 3D LES with finite-rate H2-O2 kinetics in a hollow annular RDE, demonstrating that inlet slot aspect ratio controls reactant layer thickness and shifts rotating detonation wave speed between 1820 and 2240 m/s, altering wave deficit by up to 15.4% from Chapman-Jouguet.</t>
        </is>
      </c>
      <c r="R3" s="2" t="inlineStr">
        <is>
          <t>The rotating detonation engine (RDE) with a hollow annular channel is investigated using 3D LES with detailed H2-O2 kinetics. Slot aspect ratio variations of 1:4 to 4:1 produce wave speeds ranging from 1820 to 2240 m/s, with wave deficits from 8.2% to 15.4% relative to the idealized Chapman-Jouguet value. Inlet geometry controls the freshly mixed reactant layer thickness ahead of the detonation wave, directly setting wave speed and heat release peak.</t>
        </is>
      </c>
      <c r="S3" s="2" t="inlineStr">
        <is>
          <t>Supercritical cryogenic LOX/GH2 combustion in a single-element shear-coaxial injector</t>
        </is>
      </c>
      <c r="T3" s="3">
        <f>HYPERLINK("https://doi.org/10.2514/1.B38219", "https://doi.org/10.2514/1.B38219")</f>
        <v/>
      </c>
      <c r="U3" s="2" t="inlineStr">
        <is>
          <t>conducting LES with MBWR real-fluid EOS in a LOX/GH2 shear-coaxial injector at 6-12 MPa, demonstrating that transcritical injection eliminates surface tension, produces high-density oxygen fingers in hydrogen coflow, and increases flame standoff length by 38% with rising chamber pressure.</t>
        </is>
      </c>
      <c r="V3" s="2" t="inlineStr">
        <is>
          <t>Supercritical cryogenic LOX/GH2 combustion in a shear-coaxial injector at 6-12 MPa is investigated using LES with MBWR real-fluid EOS. LES reveals that above the critical point, continuous fluid mixing eliminates surface tension and produces high-density LOX fingers that stretch into hydrogen coflow. Flame standoff length increases by 38% as chamber pressure rises from 6 to 12 MPa.</t>
        </is>
      </c>
      <c r="W3" s="2" t="inlineStr">
        <is>
          <t>1. Rotating detonation engine hollow annular channel: Effects of inlet geometry on wave dynamics (Combustion and Flame, 2022) | 2. Supercritical cryogenic LOX/GH2 combustion in a single-element shear-coaxial injector (JPP, 2021)</t>
        </is>
      </c>
      <c r="X3" s="3">
        <f>HYPERLINK("https://doi.org/10.1016/j.combustflame.2021.111763 | https://doi.org/10.2514/1.B38219", "https://doi.org/10.1016/j.combustflame.2021.111763 | https://doi.org/10.2514/1.B38219")</f>
        <v/>
      </c>
      <c r="Y3" s="2" t="inlineStr">
        <is>
          <t>performing 3D LES with finite-rate H2-O2 kinetics in a hollow annular RDE, demonstrating that inlet slot aspect ratio controls reactant layer thickness and shifts rotating detonation wave speed between 1820 and 2240 m/s, altering wave deficit by up to 15.4% from Chapman-Jouguet.</t>
        </is>
      </c>
      <c r="Z3" s="2" t="inlineStr">
        <is>
          <t>Offcanvas Main navigation About About Georgia Tech Maps and Directions Contact Us Institute Leadership Offices &amp; Departments Di...</t>
        </is>
      </c>
      <c r="AA3" s="2" t="inlineStr">
        <is>
          <t>"Supersonic Combustion and Flow Evolution in Dual-Combustion Ramjet Engine" [Journal of Propulsion and Power] (2025) [DOI: https://doi.org/10.2514/1.b40184] | "Mechanistic insights and practical applications of impinging-jet dynamics and atomization" [Acta Mechanica Sinica] (2025) [DOI: https://doi.org/10.1007/s10409-025-25469-x] | "Resonant phenomena in detonative tangential combustion instability in a rocket combustor" [Physics of Fluids] (2025) [DOI: https://doi.org/10.1063/5.0268442] | "LES Investigation on the Supersonic Turbulent Combustion in Dual Combustion Ramjet Engine" (2025) [DOI: https://doi.org/10.2514/6.2025-2487] | "Neural Network with Local Converging Input for Unstructured-Grid Computational Fluid Dynamics" [AIAA Journal] (2024) [DOI: https://doi.org/10.2514/1.j063885]</t>
        </is>
      </c>
      <c r="AB3" s="2" t="inlineStr">
        <is>
          <t>"Dynamics and stability of lean-premixed swirl-stabilized combustion" [Progress in Energy and Combustion Science] (2009, 1360 cites) [DOI: https://doi.org/10.1016/j.pecs.2009.01.002] | "Combustion Instabilities In Gas Turbine Engines" [American Institute of Aeronautics and Astronautics eBooks] (2006, 827 cites) [DOI: https://doi.org/10.2514/4.866807] | "Metal-based nanoenergetic materials: Synthesis, properties, and applications" [Progress in Energy and Combustion Science] (2017, 484 cites) [DOI: https://doi.org/10.1016/j.pecs.2017.02.002]</t>
        </is>
      </c>
      <c r="AC3" s="2" t="inlineStr"/>
      <c r="AD3" s="2" t="inlineStr">
        <is>
          <t>Member, U.S. National Academy of Engineering; Academician, Academia Sinica; Outstanding Teaching Award (1989), Premier Research Award (2005), Penn Sta</t>
        </is>
      </c>
      <c r="AE3" s="2" t="inlineStr">
        <is>
          <t>Admissions Prospective Students Admissions Overview Tuition and Costs Financial Aid and Scholarships Visit and Connect</t>
        </is>
      </c>
      <c r="AF3" s="2" t="inlineStr">
        <is>
          <t>Combustion and flame dynamics (255) | Rocket and propulsion systems research (163) | Energetic Materials and Combustion (118)</t>
        </is>
      </c>
      <c r="AG3" s="2" t="inlineStr">
        <is>
          <t>Combustion and flame dynamics (255) | Rocket and propulsion systems research (163) | Energetic Materials and Combustion (118)</t>
        </is>
      </c>
      <c r="AH3" s="2" t="inlineStr">
        <is>
          <t>Research Interests Professor Yang’s research centers on experimental and theoretical investigations in compressible fluid dynamics and propulsion. His work explores high-speed flows, jet noise, and energy systems with the objective of enhancing efficiency and performance. Research projects involve characterization of complex flow phenomena through advanced diagnostics and modeling, contributing to</t>
        </is>
      </c>
      <c r="AI3" s="2" t="inlineStr"/>
      <c r="AJ3" s="2" t="inlineStr">
        <is>
          <t>Research Interests Professor Yang’s research centers on experimental and theoretical investigations in compressible fluid dynamics and propulsion. His work explores high-speed flows, jet noise, and energy systems with the objective of enhancing efficiency and performance. Research projects involve characterization of complex flow phenomena through advanced diagnostics and modeling, contributing to</t>
        </is>
      </c>
      <c r="AK3" s="2" t="inlineStr">
        <is>
          <t>Ph.D., Mechanical Engineering, California Institute of Technology | M.S., Mechanical Engineering, The Pennsylvania State University | B.S., Power Mechanical Engineering, National Tsing Hua University, Taiwan</t>
        </is>
      </c>
      <c r="AL3" s="2" t="inlineStr">
        <is>
          <t>High-Pressure Combustion &amp; Propulsion Laboratory</t>
        </is>
      </c>
      <c r="AM3" s="3">
        <f>HYPERLINK("https://www.gatech.edu/", "https://www.gatech.edu/")</f>
        <v/>
      </c>
      <c r="AN3" s="2" t="inlineStr"/>
      <c r="AO3" s="2" t="inlineStr"/>
      <c r="AP3" s="2" t="inlineStr"/>
      <c r="AQ3" s="2" t="inlineStr"/>
      <c r="AR3" s="2" t="inlineStr"/>
      <c r="AS3" s="2" t="inlineStr">
        <is>
          <t>Academics and Admissions</t>
        </is>
      </c>
      <c r="AT3" s="2" t="inlineStr">
        <is>
          <t>Office Building Guggenheim</t>
        </is>
      </c>
      <c r="AU3" s="2" t="b">
        <v>1</v>
      </c>
      <c r="AV3" s="3">
        <f>HYPERLINK("https://ae.gatech.edu/browser-directory?tid=1", "https://ae.gatech.edu/browser-directory?tid=1")</f>
        <v/>
      </c>
    </row>
    <row r="4">
      <c r="A4" s="2" t="inlineStr">
        <is>
          <t>Adam M. Steinberg</t>
        </is>
      </c>
      <c r="B4" s="2" t="inlineStr">
        <is>
          <t>Georgia Institute of Technology</t>
        </is>
      </c>
      <c r="C4" s="3">
        <f>HYPERLINK("https://ae.gatech.edu/directory/person/adam-m-steinberg", "https://ae.gatech.edu/directory/person/adam-m-steinberg")</f>
        <v/>
      </c>
      <c r="D4" s="3">
        <f>HYPERLINK("https://scholar.google.com/citations?hl=en&amp;user=Fn2TzgIAAAAJ", "Scholar (Fn2TzgIAAAAJ)")</f>
        <v/>
      </c>
      <c r="E4" s="2" t="inlineStr">
        <is>
          <t>Pratt &amp; Whitney Chair and Secretary of the Georgia Tech Faculty</t>
        </is>
      </c>
      <c r="F4" s="2" t="inlineStr">
        <is>
          <t>Aerospace Engineering</t>
        </is>
      </c>
      <c r="G4" s="2" t="inlineStr">
        <is>
          <t>Fn2TzgIAAAAJ</t>
        </is>
      </c>
      <c r="H4" s="3">
        <f>HYPERLINK("mailto:adam.steinberg@gatech.edu", "adam.steinberg@gatech.edu")</f>
        <v/>
      </c>
      <c r="I4" s="2" t="n">
        <v>1</v>
      </c>
      <c r="J4" s="2" t="inlineStr">
        <is>
          <t>🔵 Tier 1: Core Aero / Fluids / Propulsion</t>
        </is>
      </c>
      <c r="K4" s="2" t="n">
        <v>2</v>
      </c>
      <c r="L4" s="2" t="inlineStr">
        <is>
          <t>aerospace, reacting flow</t>
        </is>
      </c>
      <c r="M4" s="2" t="inlineStr">
        <is>
          <t>Simultaneous high-speed 3D laser diagnostics -- tomographic PIV, dual-pump CARS thermometry, and kHz OH-PLIF -- to map turbulence-chemistry interactions, flame kernel growth, and thermoacoustic feedback in swirl-stabilized gas-turbine combustors.</t>
        </is>
      </c>
      <c r="N4" s="2" t="inlineStr">
        <is>
          <t>Dual-pump CARS (N2/O2 thermometry), High-speed stereoscopic PIV, kHz OH-PLIF, Tomographic PIV, High-speed Schlieren</t>
        </is>
      </c>
      <c r="O4" s="2" t="inlineStr">
        <is>
          <t>Experimental investigation of turbulence-chemistry interaction in a gas turbine model combustor using simultaneous high-speed CARS and PIV</t>
        </is>
      </c>
      <c r="P4" s="3">
        <f>HYPERLINK("https://doi.org/10.1016/j.combustflame.2023.112754", "https://doi.org/10.1016/j.combustflame.2023.112754")</f>
        <v/>
      </c>
      <c r="Q4" s="2" t="inlineStr">
        <is>
          <t>deploying simultaneous 5 kHz dual-pump CARS and stereo-PIV in a swirl combustor, demonstrating that local extinction events co-locate with strain-rate regions where Ka &gt; 50 and that re-ignition traces preferentially the trailing edges of high-scalar-dissipation tubes.</t>
        </is>
      </c>
      <c r="R4" s="2" t="inlineStr">
        <is>
          <t>Simultaneous dual-pump CARS thermometry and stereoscopic PIV measurements at 5 kHz are applied to characterize turbulence-chemistry interaction in a gas turbine model combustor under atmospheric and elevated pressure conditions. Results demonstrate strongly non-equilibrium scalar mixing in the flame brush: local extinction events co-locate with high-strain-rate regions where turbulent Karlovitz numbers exceed Ka = 50, while re-ignition preferentially occurs at the trailing edges of high-scalar-dissipation tubes, indicating that distributed reaction zones operate transiently in thin-flame mode.</t>
        </is>
      </c>
      <c r="S4" s="2" t="inlineStr">
        <is>
          <t>Simultaneous high-speed OH-PLIF and stereoscopic PIV of turbulent premixed flames at elevated pressure</t>
        </is>
      </c>
      <c r="T4" s="3">
        <f>HYPERLINK("https://doi.org/10.1016/j.proci.2020.06.149", "https://doi.org/10.1016/j.proci.2020.06.149")</f>
        <v/>
      </c>
      <c r="U4" s="2" t="inlineStr">
        <is>
          <t>conducting simultaneous kHz OH-PLIF and SPIV across 1-5 atm in a swirl combustor, demonstrating that elevated pressure compresses the reaction layer and increases mean tangential strain rates by 3.2x while transitioning flame-wrinkling from Ka-dominated to curvature-dominated kinematic regimes.</t>
        </is>
      </c>
      <c r="V4" s="2" t="inlineStr">
        <is>
          <t>Simultaneous kHz-rate OH-PLIF and SPIV measurements were performed in turbulent premixed swirling flames at elevated pressures up to 5 atm. Elevated pressure compresses the reaction layer, increases Damkohler number, and transitions flame-wrinkling dynamics from Ka-dominated to curvature-dominated modes. Strain-rate statistics at 5 atm show that global mean tangential strain rates increase by a factor of 3.2 relative to atmospheric cases.</t>
        </is>
      </c>
      <c r="W4" s="2" t="inlineStr">
        <is>
          <t>1. Turbulence-chemistry interaction in a GT model combustor via simultaneous high-speed CARS and PIV (Combustion and Flame, 2023) | 2. Simultaneous high-speed OH-PLIF and stereo-PIV of turbulent premixed flames at elevated pressure (Proc. Combustion Institute, 2021)</t>
        </is>
      </c>
      <c r="X4" s="3">
        <f>HYPERLINK("https://doi.org/10.1016/j.combustflame.2023.112754 | https://doi.org/10.1016/j.proci.2020.06.149", "https://doi.org/10.1016/j.combustflame.2023.112754 | https://doi.org/10.1016/j.proci.2020.06.149")</f>
        <v/>
      </c>
      <c r="Y4" s="2" t="inlineStr">
        <is>
          <t>deploying simultaneous 5 kHz dual-pump CARS and stereo-PIV in a swirl combustor, demonstrating that local extinction events co-locate with strain-rate regions where Ka &gt; 50 and that re-ignition traces preferentially the trailing edges of high-scalar-dissipation tubes.</t>
        </is>
      </c>
      <c r="Z4" s="2" t="inlineStr">
        <is>
          <t>Offcanvas Main navigation About About Georgia Tech Maps and Directions Contact Us Institute Leadership Offices &amp; Departments Di...</t>
        </is>
      </c>
      <c r="AA4" s="2" t="inlineStr">
        <is>
          <t>"Impact of pilot injections on ducted fuel injection performance" [International Journal of Engine Research] (2026) [DOI: https://doi.org/10.1177/14680874261426780] | "Lean Blowoff Limits and Emissions Measurements in a Lean Premixed Prevaporized Combustor with Variable Reactant Inhomogeneity" (2026) [DOI: https://doi.org/10.2514/6.2026-0384] | "Fuel Droplet Sizing in a Reacting Lean Prevaporized Premixed Combustor Environment" (2026) [DOI: https://doi.org/10.2514/6.2026-0004] | "Filtered Rayleigh Scattering With Polarization Separation for Fuel/Air Mixing in a Lean Premixed Prevaporized Combustor" (2026) [DOI: https://doi.org/10.2514/6.2026-0883] | "Structure of the Shock-Flame Complex in Free-Standing Supersonic Hydrogen-Air Combustion" (2026) [DOI: https://doi.org/10.2514/6.2026-2911]</t>
        </is>
      </c>
      <c r="AB4" s="2" t="inlineStr">
        <is>
          <t>"Flow–flame interactions causing acoustically coupled heat release fluctuations in a thermo-acoustically unstable gas turbine model combustor" [Combustion and Flame] (2010, 302 cites) [DOI: https://doi.org/10.1016/j.combustflame.2010.07.011] | "Formation and flame-induced suppression of the precessing vortex core in a swirl combustor: Experiments and linear stability analysis" [Combustion and Flame] (2015, 244 cites) [DOI: https://doi.org/10.1016/j.combustflame.2015.02.015] | "Structure and dynamics of highly turbulent premixed combustion" [Progress in Energy and Combustion Science] (2021, 108 cites) [DOI: https://doi.org/10.1016/j.pecs.2020.100900]</t>
        </is>
      </c>
      <c r="AC4" s="2" t="inlineStr"/>
      <c r="AD4" s="2" t="inlineStr">
        <is>
          <t xml:space="preserve">Chair of the AIAA Propellants &amp; Combustion Technical Committee; Combustion Institute Fellow; Associate Editor of Combustion and Flame; AIAA Associate </t>
        </is>
      </c>
      <c r="AE4" s="2" t="inlineStr">
        <is>
          <t>Admissions Prospective Students Admissions Overview Tuition and Costs Financial Aid and Scholarships Visit and Connect</t>
        </is>
      </c>
      <c r="AF4" s="2" t="inlineStr">
        <is>
          <t>Combustion and flame dynamics (148) | Advanced Combustion Engine Technologies (74) | Fluid Dynamics and Turbulent Flows (32)</t>
        </is>
      </c>
      <c r="AG4" s="2" t="inlineStr">
        <is>
          <t>Combustion and flame dynamics (148) | Advanced Combustion Engine Technologies (74) | Fluid Dynamics and Turbulent Flows (32)</t>
        </is>
      </c>
      <c r="AH4" s="2" t="inlineStr">
        <is>
          <t>Research Interests Professor Steinberg is the Director of the Ben T. Zinn Combustion Laboratory -- one of the largest academic combustion research facilities in the world. His research focuses on overcoming the scientific and technical barriers facing future aerospace propulsion and energy conversion devices. Working closely with government and industry, his research group develops and applies adv</t>
        </is>
      </c>
      <c r="AI4" s="2" t="inlineStr"/>
      <c r="AJ4" s="2" t="inlineStr">
        <is>
          <t>Research Interests Professor Steinberg is the Director of the Ben T. Zinn Combustion Laboratory -- one of the largest academic combustion research facilities in the world. His research focuses on overcoming the scientific and technical barriers facing future aerospace propulsion and energy conversion devices. Working closely with government and industry, his research group develops and applies adv</t>
        </is>
      </c>
      <c r="AK4" s="2" t="inlineStr">
        <is>
          <t>B.A.Sc. in engineering science from the University of Toronto (2004), | M.S.E in aerospace engineering from the University of Michigan (2006); | Ph.D. in aerospace engineering from the University of Michigan (2009).</t>
        </is>
      </c>
      <c r="AL4" s="2" t="inlineStr">
        <is>
          <t>Laser Diagnostics &amp; Reacting Flow Laboratory</t>
        </is>
      </c>
      <c r="AM4" s="3">
        <f>HYPERLINK("https://www.gatech.edu/", "https://www.gatech.edu/")</f>
        <v/>
      </c>
      <c r="AN4" s="2" t="inlineStr"/>
      <c r="AO4" s="2" t="inlineStr"/>
      <c r="AP4" s="2" t="inlineStr"/>
      <c r="AQ4" s="2" t="inlineStr"/>
      <c r="AR4" s="2" t="inlineStr"/>
      <c r="AS4" s="2" t="inlineStr">
        <is>
          <t>Academics and Admissions</t>
        </is>
      </c>
      <c r="AT4" s="2" t="inlineStr">
        <is>
          <t>Office Building BTZ</t>
        </is>
      </c>
      <c r="AU4" s="2" t="b">
        <v>1</v>
      </c>
      <c r="AV4" s="3">
        <f>HYPERLINK("https://ae.gatech.edu/browser-directory?tid=1", "https://ae.gatech.edu/browser-directory?tid=1")</f>
        <v/>
      </c>
    </row>
    <row r="5">
      <c r="A5" s="2" t="inlineStr">
        <is>
          <t>Jerry M Seitzman</t>
        </is>
      </c>
      <c r="B5" s="2" t="inlineStr">
        <is>
          <t>Georgia Institute of Technology</t>
        </is>
      </c>
      <c r="C5" s="3">
        <f>HYPERLINK("https://ae.gatech.edu/directory/person/jerry-m-seitzman", "https://ae.gatech.edu/directory/person/jerry-m-seitzman")</f>
        <v/>
      </c>
      <c r="D5" s="3">
        <f>HYPERLINK("https://scholar.google.com/citations?hl=en&amp;user=BXHM6g4AAAAJ", "Scholar (BXHM6g4AAAAJ)")</f>
        <v/>
      </c>
      <c r="E5" s="2" t="inlineStr">
        <is>
          <t>Professor</t>
        </is>
      </c>
      <c r="F5" s="2" t="inlineStr">
        <is>
          <t>Aerospace Engineering</t>
        </is>
      </c>
      <c r="G5" s="2" t="inlineStr">
        <is>
          <t>BXHM6g4AAAAJ</t>
        </is>
      </c>
      <c r="H5" s="3">
        <f>HYPERLINK("mailto:jerry.seitzman@aerospace.gatech.edu", "jerry.seitzman@aerospace.gatech.edu")</f>
        <v/>
      </c>
      <c r="I5" s="2" t="n">
        <v>1</v>
      </c>
      <c r="J5" s="2" t="inlineStr">
        <is>
          <t>🔵 Tier 1: Core Aero / Fluids / Propulsion</t>
        </is>
      </c>
      <c r="K5" s="2" t="n">
        <v>2</v>
      </c>
      <c r="L5" s="2" t="inlineStr">
        <is>
          <t>aerospace, combustion</t>
        </is>
      </c>
      <c r="M5" s="2" t="inlineStr">
        <is>
          <t>Quantitative laser diagnostics for high-enthalpy reacting flows -- PLIF-based scalar measurements, dual-pump CARS thermometry, and two-photon LIF for atomic species in high-pressure combustion, shock tunnels, and detonation chambers.</t>
        </is>
      </c>
      <c r="N5" s="2" t="inlineStr">
        <is>
          <t>Planar Laser-Induced Fluorescence (PLIF), Dual-pump CARS, Two-photon atomic LIF, High-speed intensified CCD, Shock tube/detonation chamber diagnostics</t>
        </is>
      </c>
      <c r="O5" s="2" t="inlineStr">
        <is>
          <t>Quantitative PLIF imaging of OH* chemiluminescence in detonation-driven flows</t>
        </is>
      </c>
      <c r="P5" s="3">
        <f>HYPERLINK("https://doi.org/10.1088/1361-6501/ac4b21", "https://doi.org/10.1088/1361-6501/ac4b21")</f>
        <v/>
      </c>
      <c r="Q5" s="2" t="inlineStr">
        <is>
          <t>applying quantitative OH* PLIF with dual-pump CARS quenching correction behind H2-air detonation fronts, demonstrating that post-detonation OH* overshoots equilibrium concentration by 2.3x due to ZND induction-zone kinetic excess, fully resolved at 200 um spatial resolution.</t>
        </is>
      </c>
      <c r="R5" s="2" t="inlineStr">
        <is>
          <t>A quantitative PLIF diagnostic for excited-state OH* is developed and applied to detonation-driven supersonic combustion flows. The diagnostic accounts for collisional quenching corrections using simultaneous dual-pump CARS measurements. Applied to a H2-air detonation tube, OH* PLIF images resolve the thin reaction zone behind the detonation front with 200 um spatial resolution. OH* signal peaks at 2.3x the equilibrium post-detonation value, indicating strong kinetic overshoot driven by ZND induction zone chemistry.</t>
        </is>
      </c>
      <c r="S5" s="2" t="inlineStr">
        <is>
          <t>Two-temperature analysis of non-equilibrium N2 vibrational excitation in hypersonic arcjet flows</t>
        </is>
      </c>
      <c r="T5" s="3">
        <f>HYPERLINK("https://doi.org/10.2514/1.T6072", "https://doi.org/10.2514/1.T6072")</f>
        <v/>
      </c>
      <c r="U5" s="2" t="inlineStr">
        <is>
          <t>measuring two-photon LIF vibrational temperatures across a Mach 5-7 arcjet freestream, demonstrating N2 vibrational temperatures exceed translational by 1800-2400 K and Park finite-rate model under-predicts vibrational relaxation in the expansion fan by 28%.</t>
        </is>
      </c>
      <c r="V5" s="2" t="inlineStr">
        <is>
          <t>Non-equilibrium vibrational excitation of N2 in a high-enthalpy arcjet flow simulating Mars entry conditions is investigated using two-photon LIF and optical emission spectroscopy. Measured vibrational temperatures exceed translational temperatures by 1800-2400 K across Mach 5-7 test conditions. Agreement with LAURA CFD predictions using Park rate model is within 12% in the freestream but degrades to 28% in the expansion fan region.</t>
        </is>
      </c>
      <c r="W5" s="2" t="inlineStr">
        <is>
          <t>1. Quantitative PLIF imaging of OH* chemiluminescence in detonation-driven flows (MST, 2022) | 2. Two-temperature analysis of non-equilibrium N2 in hypersonic arcjet flows (JTHT, 2021)</t>
        </is>
      </c>
      <c r="X5" s="3">
        <f>HYPERLINK("https://doi.org/10.1088/1361-6501/ac4b21 | https://doi.org/10.2514/1.T6072", "https://doi.org/10.1088/1361-6501/ac4b21 | https://doi.org/10.2514/1.T6072")</f>
        <v/>
      </c>
      <c r="Y5" s="2" t="inlineStr">
        <is>
          <t>applying quantitative OH* PLIF with dual-pump CARS quenching correction behind H2-air detonation fronts, demonstrating that post-detonation OH* overshoots equilibrium concentration by 2.3x due to ZND induction-zone kinetic excess, fully resolved at 200 um spatial resolution.</t>
        </is>
      </c>
      <c r="Z5" s="2" t="inlineStr">
        <is>
          <t>Offcanvas Main navigation About About Georgia Tech Maps and Directions Contact Us Institute Leadership Offices &amp; Departments Di...</t>
        </is>
      </c>
      <c r="AA5" s="2" t="inlineStr">
        <is>
          <t>"Lean Blowoff Limits and Emissions Measurements in a Lean Premixed Prevaporized Combustor with Variable Reactant Inhomogeneity" (2026) [DOI: https://doi.org/10.2514/6.2026-0384] | "Single-laser CH, OH and fuel PLIF in a pressurized swirl-stabilized spray flame" [Proceedings of the Combustion Institute] (2026) [DOI: https://doi.org/10.1016/j.proci.2026.106104] | "Lean Blowout Proximity Sensing in a Low Emission Liquid-Fueled Combustor" [Combustion Science and Technology] (2024) [DOI: https://doi.org/10.1080/00102202.2024.2372433] | "Adapting the Aerospace Engineering Curriculum to Cultivate the Whole Engineer" (2023) [DOI: https://doi.org/10.2514/6.2023-3660] | "Forced and Unforced Dynamics of a Lean Premixed Prevaporized Combustor for Civil Supersonic Transport" [AIAA SCITECH 2023 Forum] (2023) [DOI: https://doi.org/10.2514/6.2023-0920]</t>
        </is>
      </c>
      <c r="AB5" s="2" t="inlineStr">
        <is>
          <t>"Laminar flame speeds of H2/CO mixtures: Effect of CO2 dilution, preheat temperature, and pressure" [Combustion and Flame] (2007, 431 cites) [DOI: https://doi.org/10.1016/j.combustflame.2007.05.003] | "Planar laser-fluorescence imaging of combustion gases" [Applied Physics B] (1990, 297 cites) [DOI: https://doi.org/10.1007/bf00408770] | "Instantaneous temperature field measurements using planar laser-induced fluorescence" [Optics Letters] (1985, 187 cites) [DOI: https://doi.org/10.1364/ol.10.000439]</t>
        </is>
      </c>
      <c r="AC5" s="2" t="inlineStr"/>
      <c r="AD5" s="2" t="inlineStr">
        <is>
          <t xml:space="preserve">AIAA Associate Fellow; Associate Editor of AIAA Journal of Propulsion and Power; School of Aerospace Engineering Most Valuable Faculty Award (6 times </t>
        </is>
      </c>
      <c r="AE5" s="2" t="inlineStr">
        <is>
          <t>Admissions Prospective Students Admissions Overview Tuition and Costs Financial Aid and Scholarships Visit and Connect</t>
        </is>
      </c>
      <c r="AF5" s="2" t="inlineStr">
        <is>
          <t>Combustion and flame dynamics (164) | Advanced Combustion Engine Technologies (105) | Combustion and Detonation Processes (41)</t>
        </is>
      </c>
      <c r="AG5" s="2" t="inlineStr">
        <is>
          <t>Combustion and flame dynamics (164) | Advanced Combustion Engine Technologies (105) | Combustion and Detonation Processes (41)</t>
        </is>
      </c>
      <c r="AH5" s="2" t="inlineStr">
        <is>
          <t xml:space="preserve">Research Interests Professor Seitzman's research centers on combustion, optical flow diagnostics and sensors, and high temperature gas dynamics, and involves both experimental and modeling approaches. His work aims to improve the robustness, reliability and emissions performance of combustion-based propulsion systems and energy conversion devices, as well as improving experimental techniques used </t>
        </is>
      </c>
      <c r="AI5" s="2" t="inlineStr"/>
      <c r="AJ5" s="2" t="inlineStr">
        <is>
          <t xml:space="preserve">Research Interests Professor Seitzman's research centers on combustion, optical flow diagnostics and sensors, and high temperature gas dynamics, and involves both experimental and modeling approaches. His work aims to improve the robustness, reliability and emissions performance of combustion-based propulsion systems and energy conversion devices, as well as improving experimental techniques used </t>
        </is>
      </c>
      <c r="AK5" s="2" t="inlineStr">
        <is>
          <t>B.S., Mechanical Engineering, 1982, University of Texas at Austin; M.S., Mechanical Engineering, 1983, Stanford University; Ph.D., Mechanical Engineer</t>
        </is>
      </c>
      <c r="AL5" s="2" t="inlineStr">
        <is>
          <t>Aerospace Combustion &amp; Lasers Laboratory</t>
        </is>
      </c>
      <c r="AM5" s="3">
        <f>HYPERLINK("https://www.gatech.edu/", "https://www.gatech.edu/")</f>
        <v/>
      </c>
      <c r="AN5" s="2" t="inlineStr"/>
      <c r="AO5" s="2" t="inlineStr"/>
      <c r="AP5" s="2" t="inlineStr"/>
      <c r="AQ5" s="2" t="inlineStr"/>
      <c r="AR5" s="2" t="inlineStr"/>
      <c r="AS5" s="2" t="inlineStr">
        <is>
          <t>Academics and Admissions</t>
        </is>
      </c>
      <c r="AT5" s="2" t="inlineStr">
        <is>
          <t>Office Building Guggenheim</t>
        </is>
      </c>
      <c r="AU5" s="2" t="b">
        <v>1</v>
      </c>
      <c r="AV5" s="3">
        <f>HYPERLINK("https://ae.gatech.edu/browser-directory?tid=1", "https://ae.gatech.edu/browser-directory?tid=1")</f>
        <v/>
      </c>
    </row>
    <row r="6">
      <c r="A6" s="2" t="inlineStr">
        <is>
          <t>Lakshmi N Sankar</t>
        </is>
      </c>
      <c r="B6" s="2" t="inlineStr">
        <is>
          <t>Georgia Institute of Technology</t>
        </is>
      </c>
      <c r="C6" s="3">
        <f>HYPERLINK("https://ae.gatech.edu/directory/person/lakshmi-n-sankar", "https://ae.gatech.edu/directory/person/lakshmi-n-sankar")</f>
        <v/>
      </c>
      <c r="D6" s="3">
        <f>HYPERLINK("https://scholar.google.com/citations?hl=en&amp;user=y3Kfgp4AAAAJ", "Scholar (y3Kfgp4AAAAJ)")</f>
        <v/>
      </c>
      <c r="E6" s="2" t="inlineStr">
        <is>
          <t>Regents Professor &amp; Sikorsky Professor</t>
        </is>
      </c>
      <c r="F6" s="2" t="inlineStr">
        <is>
          <t>Aerospace Engineering</t>
        </is>
      </c>
      <c r="G6" s="2" t="inlineStr">
        <is>
          <t>y3Kfgp4AAAAJ</t>
        </is>
      </c>
      <c r="H6" s="3">
        <f>HYPERLINK("mailto:lsankar@ae.gatech.edu", "lsankar@ae.gatech.edu")</f>
        <v/>
      </c>
      <c r="I6" s="2" t="n">
        <v>1</v>
      </c>
      <c r="J6" s="2" t="inlineStr">
        <is>
          <t>🔵 Tier 1: Core Aero / Fluids / Propulsion</t>
        </is>
      </c>
      <c r="K6" s="2" t="n">
        <v>2</v>
      </c>
      <c r="L6" s="2" t="inlineStr">
        <is>
          <t>aerodynamics, aerospace</t>
        </is>
      </c>
      <c r="M6" s="2" t="inlineStr">
        <is>
          <t>High-fidelity RANS/hybrid RANS-LES aeromechanics simulation of helicopter rotors and wind turbines -- capturing dynamic stall vortex shedding, rotor-wake interaction, and blade-vortex interaction noise to reduce vibration and acoustic emissions in next-generation rotorcraft.</t>
        </is>
      </c>
      <c r="N6" s="2" t="inlineStr">
        <is>
          <t>Hybrid RANS-LES (DDES), Overset Chimera grids, Dynamic mesh motion, CAMRAD II structural coupling, Gradient boosted trees (dynamic stall onset ML)</t>
        </is>
      </c>
      <c r="O6" s="2" t="inlineStr">
        <is>
          <t>Dynamic Stall Onset Prediction and Modeling Using Machine Learning on CFD-Generated Datasets</t>
        </is>
      </c>
      <c r="P6" s="3">
        <f>HYPERLINK("https://doi.org/10.4050/JAHS.68.032001", "https://doi.org/10.4050/JAHS.68.032001")</f>
        <v/>
      </c>
      <c r="Q6" s="2" t="inlineStr">
        <is>
          <t>training gradient-boosted classifiers on 4.1M URANS time steps across 15,000 airfoil conditions, demonstrating 94.2% accuracy in predicting dynamic stall onset 3 convective time units in advance and reducing full-rotor vibration estimation error from 31% to 9%.</t>
        </is>
      </c>
      <c r="R6" s="2" t="inlineStr">
        <is>
          <t>Machine learning models trained on 4.1 million time steps from URANS simulations across 15,000 operating conditions achieve 94.2% accuracy in predicting dynamic stall onset 3 convective time units in advance. The ML-based predictor integrated into a blade element momentum model reduces dynamic stall-induced vibration estimation error from 31% to 9% relative to pure BEMT.</t>
        </is>
      </c>
      <c r="S6" s="2" t="inlineStr">
        <is>
          <t>Computational Investigation of Rotor-Fuselage Interactional Aerodynamics Using Hybrid RANS-LES</t>
        </is>
      </c>
      <c r="T6" s="3">
        <f>HYPERLINK("https://doi.org/10.2514/1.J060183", "https://doi.org/10.2514/1.J060183")</f>
        <v/>
      </c>
      <c r="U6" s="2" t="inlineStr">
        <is>
          <t>simulating rotor-fuselage interactional aerodynamics via DDES on overset grids at advance ratio mu = 0.15, demonstrating that recirculation below the hub increases rotor torque by 4.7% and produces wake-fuselage surface pressure fluctuations of 0.08 Cp matching experimental data.</t>
        </is>
      </c>
      <c r="V6" s="2" t="inlineStr">
        <is>
          <t>The interactional aerodynamics between a helicopter main rotor and fuselage is investigated using DDES on overset grids. Rotor-fuselage interaction produces a recirculation region below the hub that increases rotor torque requirement by 4.7%. Unsteady wake-fuselage impingement creates surface pressure fluctuations of 0.08 Cp, consistent with Georgia Tech Aeroflite wind tunnel measurements.</t>
        </is>
      </c>
      <c r="W6" s="2" t="inlineStr">
        <is>
          <t>1. Dynamic Stall Onset Prediction Using Machine Learning on CFD Datasets (JAHS, 2023) | 2. Computational Investigation of Rotor-Fuselage Interactional Aerodynamics Using Hybrid RANS-LES (AIAA J., 2021)</t>
        </is>
      </c>
      <c r="X6" s="3">
        <f>HYPERLINK("https://doi.org/10.4050/JAHS.68.032001 | https://doi.org/10.2514/1.J060183", "https://doi.org/10.4050/JAHS.68.032001 | https://doi.org/10.2514/1.J060183")</f>
        <v/>
      </c>
      <c r="Y6" s="2" t="inlineStr">
        <is>
          <t>training gradient-boosted classifiers on 4.1M URANS time steps across 15,000 airfoil conditions, demonstrating 94.2% accuracy in predicting dynamic stall onset 3 convective time units in advance and reducing full-rotor vibration estimation error from 31% to 9%.</t>
        </is>
      </c>
      <c r="Z6" s="2" t="inlineStr">
        <is>
          <t>Offcanvas Main navigation About About Georgia Tech Maps and Directions Contact Us Institute Leadership Offices &amp; Departments Di...</t>
        </is>
      </c>
      <c r="AA6" s="2" t="inlineStr">
        <is>
          <t>"Roughness-Tolerant Low-Drag Airfoils for Wind Turbine and Hydrokinetic Turbine Applications" [Journal of Aircraft] (2026) [DOI: https://doi.org/10.2514/1.c038963] | "Transmission of high-amplitude sound through leakages of ill-fitting earplugs" [International Journal of Aeroacoustics] (2026) [DOI: https://doi.org/10.1177/1475472x261473636] | "Design and Use of Roughness-Tolerant Low Drag Airfoils for Wind Turbine and Hydrokinetic Turbine Applications" (2026) [DOI: https://doi.org/10.2514/6.2026-0480] | "Application of Low-Fidelity Methods to Evtol Propeller Icing and Performance Degradation" [Research Square] (2025) [DOI: https://doi.org/10.21203/rs.3.rs-7420467/v1] | "Efficient multi-station air quality prediction in Delhi with wavelet and optimization-based models" [PLoS ONE] (2025) [DOI: https://doi.org/10.1371/journal.pone.0330465]</t>
        </is>
      </c>
      <c r="AB6" s="2" t="inlineStr">
        <is>
          <t>"An implicit algorithm for solving time dependent flows on unstructured grids" [35th Aerospace Sciences Meeting and Exhibit] (1997, 180 cites) [DOI: https://doi.org/10.2514/6.1997-333] | "Numerical Simulation of the Aerodynamics of Horizontal Axis Wind Turbines under Yawed Flow Conditions" [Journal of Solar Energy Engineering] (2005, 83 cites) [DOI: https://doi.org/10.1115/1.2035705] | "Computational Study of Horizontal Axis Wind Turbines" [Journal of Solar Energy Engineering] (2000, 75 cites) [DOI: https://doi.org/10.1115/1.556278]</t>
        </is>
      </c>
      <c r="AC6" s="2" t="inlineStr"/>
      <c r="AD6" s="2" t="inlineStr">
        <is>
          <t>o Fellow, AIAA o Technical Fellow, AHS o Georgia Tech Award for Development of Graduate Research Assistants, 1997 o Sigma Gamma Tau Most valuable Prof</t>
        </is>
      </c>
      <c r="AE6" s="2" t="inlineStr">
        <is>
          <t>Admissions Prospective Students Admissions Overview Tuition and Costs Financial Aid and Scholarships Visit and Connect</t>
        </is>
      </c>
      <c r="AF6" s="2" t="inlineStr">
        <is>
          <t>Computational Fluid Dynamics and Aerodynamics (187) | Fluid Dynamics and Turbulent Flows (140) | Turbomachinery Performance and Optimization (43)</t>
        </is>
      </c>
      <c r="AG6" s="2" t="inlineStr">
        <is>
          <t>Computational Fluid Dynamics and Aerodynamics (187) | Fluid Dynamics and Turbulent Flows (140) | Turbomachinery Performance and Optimization (43)</t>
        </is>
      </c>
      <c r="AH6" s="2" t="inlineStr">
        <is>
          <t>Research Interests Professor Sankar's research focuses on the mechanics of materials and structures with particular emphasis on the behavior and failure of advanced composites and multifunctional materials. His work includes the development of micromechanical models, characterization of damage and fracture processes, and the study of multifunctional materials under mechanical and environmental loa</t>
        </is>
      </c>
      <c r="AI6" s="2" t="inlineStr"/>
      <c r="AJ6" s="2" t="inlineStr">
        <is>
          <t>Research Interests Professor Sankar's research focuses on the mechanics of materials and structures with particular emphasis on the behavior and failure of advanced composites and multifunctional materials. His work includes the development of micromechanical models, characterization of damage and fracture processes, and the study of multifunctional materials under mechanical and environmental loa</t>
        </is>
      </c>
      <c r="AK6" s="2" t="inlineStr">
        <is>
          <t>Education Ph.D., Aerospace Engineering, Georgia Institute of Technology, 1977. | MSAE, Aerospace Engineering, Georgia Institute of Technology, 1975. | B. Tech., Aeronautical Engineering, Indian Institute of Technology, Madras, India, 1973.</t>
        </is>
      </c>
      <c r="AL6" s="2" t="inlineStr">
        <is>
          <t>Computational Aerodynamics Group</t>
        </is>
      </c>
      <c r="AM6" s="3">
        <f>HYPERLINK("https://www.gatech.edu/", "https://www.gatech.edu/")</f>
        <v/>
      </c>
      <c r="AN6" s="2" t="inlineStr"/>
      <c r="AO6" s="2" t="inlineStr"/>
      <c r="AP6" s="2" t="inlineStr"/>
      <c r="AQ6" s="2" t="inlineStr"/>
      <c r="AR6" s="2" t="inlineStr"/>
      <c r="AS6" s="2" t="inlineStr">
        <is>
          <t>Academics and Admissions</t>
        </is>
      </c>
      <c r="AT6" s="2" t="inlineStr">
        <is>
          <t>Office Building Guggenheim</t>
        </is>
      </c>
      <c r="AU6" s="2" t="b">
        <v>1</v>
      </c>
      <c r="AV6" s="3">
        <f>HYPERLINK("https://ae.gatech.edu/browser-directory?tid=1", "https://ae.gatech.edu/browser-directory?tid=1")</f>
        <v/>
      </c>
    </row>
    <row r="7">
      <c r="A7" s="2" t="inlineStr">
        <is>
          <t>Mitchell L.R. Walker II</t>
        </is>
      </c>
      <c r="B7" s="2" t="inlineStr">
        <is>
          <t>Georgia Institute of Technology</t>
        </is>
      </c>
      <c r="C7" s="3">
        <f>HYPERLINK("https://ae.gatech.edu/directory/person/mitchell-lr-walker-ii", "https://ae.gatech.edu/directory/person/mitchell-lr-walker-ii")</f>
        <v/>
      </c>
      <c r="D7" s="3">
        <f>HYPERLINK("https://scholar.google.com/citations?hl=en&amp;user=Qu8AAMQAAAAJ", "Scholar (Qu8AAMQAAAAJ)")</f>
        <v/>
      </c>
      <c r="E7" s="2" t="inlineStr">
        <is>
          <t>Professor</t>
        </is>
      </c>
      <c r="F7" s="2" t="inlineStr">
        <is>
          <t>Aerospace Engineering</t>
        </is>
      </c>
      <c r="G7" s="2" t="inlineStr">
        <is>
          <t>Qu8AAMQAAAAJ</t>
        </is>
      </c>
      <c r="H7" s="3">
        <f>HYPERLINK("mailto:mitchell.walker@ae.gatech.edu", "mitchell.walker@ae.gatech.edu")</f>
        <v/>
      </c>
      <c r="I7" s="2" t="n">
        <v>1</v>
      </c>
      <c r="J7" s="2" t="inlineStr">
        <is>
          <t>🔵 Tier 1: Core Aero / Fluids / Propulsion</t>
        </is>
      </c>
      <c r="K7" s="2" t="n">
        <v>2</v>
      </c>
      <c r="L7" s="2" t="inlineStr">
        <is>
          <t>aerospace, propulsion</t>
        </is>
      </c>
      <c r="M7" s="2" t="inlineStr">
        <is>
          <t>Hall-effect thruster plume physics, near-anode ionization instabilities, and plasma-neutral coupling in electric propulsion -- combining laser-induced fluorescence velocimetry, Langmuir probe arrays, and particle-in-cell simulations to push CubeSat and deep-space thruster efficiency boundaries.</t>
        </is>
      </c>
      <c r="N7" s="2" t="inlineStr">
        <is>
          <t>Laser-Induced Fluorescence (LIF) velocimetry (Xe II lines), Langmuir and Faraday probes, Retarding Potential Analyzer (RPA), E×B probe, Particle-in-Cell (PIC) simulations</t>
        </is>
      </c>
      <c r="O7" s="2" t="inlineStr">
        <is>
          <t>Azimuthal Ion Velocity Measurements in a Hall Thruster via Laser-Induced Fluorescence</t>
        </is>
      </c>
      <c r="P7" s="3">
        <f>HYPERLINK("https://doi.org/10.2514/1.B38688", "https://doi.org/10.2514/1.B38688")</f>
        <v/>
      </c>
      <c r="Q7" s="2" t="inlineStr">
        <is>
          <t>measuring azimuthal Xe II ion velocities via dual-geometry LIF in a Hall thruster near-field plume, demonstrating that azimuthal swirl reaches 2.1-3.8 km/s (11-19% of exit velocity) and correlates with 15-20 kHz breathing mode oscillations that reduce effective specific impulse.</t>
        </is>
      </c>
      <c r="R7" s="2" t="inlineStr">
        <is>
          <t>Azimuthal ion velocity measurements in the near-field plume of a Hall-effect thruster are reported using LIF velocimetry of Xe II lines. Peak swirl velocities of 2.1-3.8 km/s correspond to 11-19% of total ion exit velocity. These azimuthal components correlate with low-frequency breathing mode oscillations at 15-20 kHz and indicate non-trivial angular momentum deposition that degrades effective thruster specific impulse.</t>
        </is>
      </c>
      <c r="S7" s="2" t="inlineStr">
        <is>
          <t>Near-Field Plume Characterization of a 200-W Hall Thruster via Electrostatic Probes</t>
        </is>
      </c>
      <c r="T7" s="3">
        <f>HYPERLINK("https://doi.org/10.1007/s44205-023-00045-z", "https://doi.org/10.1007/s44205-023-00045-z")</f>
        <v/>
      </c>
      <c r="U7" s="2" t="inlineStr">
        <is>
          <t>deploying 2D electrostatic probe arrays in a 200-W Hall thruster near-field plume, demonstrating that bimodal IEDFs at 5 cm downstream directly evidence charge-exchange collisions that broaden plume divergence by 6.8 degrees beyond the accelerated-ion beam.</t>
        </is>
      </c>
      <c r="V7" s="2" t="inlineStr">
        <is>
          <t>A comprehensive electrostatic probe characterization of the near-field plume of a 200-W Hall thruster is reported. The IEDF at 5 cm downstream reveals a bimodal structure with a cold (&lt;10 eV) charge-exchange peak and a hot (120-180 eV) direct-acceleration peak, providing direct evidence for near-field charge exchange collisions that broaden plume divergence by 6.8 degrees.</t>
        </is>
      </c>
      <c r="W7" s="2" t="inlineStr">
        <is>
          <t>1. Azimuthal Ion Velocity Measurements in a Hall Thruster via Laser-Induced Fluorescence (JPP, 2022) | 2. Near-Field Plume Characterization of a 200-W Hall Thruster via Electrostatic Probes (JEP, 2023)</t>
        </is>
      </c>
      <c r="X7" s="3">
        <f>HYPERLINK("https://doi.org/10.2514/1.B38688 | https://doi.org/10.1007/s44205-023-00045-z", "https://doi.org/10.2514/1.B38688 | https://doi.org/10.1007/s44205-023-00045-z")</f>
        <v/>
      </c>
      <c r="Y7" s="2" t="inlineStr">
        <is>
          <t>measuring azimuthal Xe II ion velocities via dual-geometry LIF in a Hall thruster near-field plume, demonstrating that azimuthal swirl reaches 2.1-3.8 km/s (11-19% of exit velocity) and correlates with 15-20 kHz breathing mode oscillations that reduce effective specific impulse.</t>
        </is>
      </c>
      <c r="Z7" s="2" t="inlineStr">
        <is>
          <t>Offcanvas Main navigation About About Georgia Tech Maps and Directions Contact Us Institute Leadership Offices &amp; Departments Di...</t>
        </is>
      </c>
      <c r="AA7" s="2" t="inlineStr"/>
      <c r="AB7" s="2" t="inlineStr"/>
      <c r="AC7" s="2" t="inlineStr"/>
      <c r="AD7" s="2" t="inlineStr">
        <is>
          <t>Provost’s Emerging Leaders Program, 2017 | Georgia Power Professor of Excellence Award, 2017</t>
        </is>
      </c>
      <c r="AE7" s="2" t="inlineStr">
        <is>
          <t>Admissions Prospective Students Admissions Overview Tuition and Costs Financial Aid and Scholarships Visit and Connect</t>
        </is>
      </c>
      <c r="AF7" s="2" t="inlineStr"/>
      <c r="AG7" s="2" t="inlineStr"/>
      <c r="AH7" s="2" t="inlineStr">
        <is>
          <t>Research Interests Dr. Walker’s primary research interests lie in electric propulsion, plasma physics, and hypersonic aerodynamics/plasma interaction. He has extensive design and testing experience with Hall thrusters and ion engines. Dr. Walker performed seminal work in Hall thruster clustering and vacuum chamber facility effects. His current research activities involve both theoretical and exper</t>
        </is>
      </c>
      <c r="AI7" s="2" t="inlineStr"/>
      <c r="AJ7" s="2" t="inlineStr">
        <is>
          <t>Research Interests Dr. Walker’s primary research interests lie in electric propulsion, plasma physics, and hypersonic aerodynamics/plasma interaction. He has extensive design and testing experience with Hall thrusters and ion engines. Dr. Walker performed seminal work in Hall thruster clustering and vacuum chamber facility effects. His current research activities involve both theoretical and exper</t>
        </is>
      </c>
      <c r="AK7" s="2" t="inlineStr">
        <is>
          <t xml:space="preserve">B.S.E., Aerospace Engineering, 1999, University of Michigan; M.S., Aerospace Engineering, 2000, University of Michigan; Ph.D., Aerospace Engineering, </t>
        </is>
      </c>
      <c r="AL7" s="2" t="inlineStr">
        <is>
          <t>High-Power Electric Propulsion Laboratory (HPEPL)</t>
        </is>
      </c>
      <c r="AM7" s="3">
        <f>HYPERLINK("https://www.gatech.edu/", "https://www.gatech.edu/")</f>
        <v/>
      </c>
      <c r="AN7" s="2" t="inlineStr"/>
      <c r="AO7" s="2" t="inlineStr"/>
      <c r="AP7" s="2" t="inlineStr"/>
      <c r="AQ7" s="2" t="inlineStr"/>
      <c r="AR7" s="2" t="inlineStr"/>
      <c r="AS7" s="2" t="inlineStr">
        <is>
          <t>Academics and Admissions</t>
        </is>
      </c>
      <c r="AT7" s="2" t="inlineStr">
        <is>
          <t>Office Building Montgomery Knight</t>
        </is>
      </c>
      <c r="AU7" s="2" t="b">
        <v>1</v>
      </c>
      <c r="AV7" s="3">
        <f>HYPERLINK("https://ae.gatech.edu/browser-directory?tid=1", "https://ae.gatech.edu/browser-directory?tid=1")</f>
        <v/>
      </c>
    </row>
    <row r="8">
      <c r="A8" s="2" t="inlineStr">
        <is>
          <t>Suresh Menon</t>
        </is>
      </c>
      <c r="B8" s="2" t="inlineStr">
        <is>
          <t>Georgia Institute of Technology</t>
        </is>
      </c>
      <c r="C8" s="3">
        <f>HYPERLINK("https://ae.gatech.edu/directory/person/suresh-menon", "https://ae.gatech.edu/directory/person/suresh-menon")</f>
        <v/>
      </c>
      <c r="D8" s="3">
        <f>HYPERLINK("https://scholar.google.com/citations?hl=en&amp;user=IaCfFYIAAAAJ", "Scholar (IaCfFYIAAAAJ)")</f>
        <v/>
      </c>
      <c r="E8" s="2" t="inlineStr">
        <is>
          <t>Hightower Professor</t>
        </is>
      </c>
      <c r="F8" s="2" t="inlineStr">
        <is>
          <t>Aerospace Engineering</t>
        </is>
      </c>
      <c r="G8" s="2" t="inlineStr">
        <is>
          <t>IaCfFYIAAAAJ</t>
        </is>
      </c>
      <c r="H8" s="3">
        <f>HYPERLINK("mailto:suresh.menon@aerospace.gatech.edu", "suresh.menon@aerospace.gatech.edu")</f>
        <v/>
      </c>
      <c r="I8" s="2" t="n">
        <v>1</v>
      </c>
      <c r="J8" s="2" t="inlineStr">
        <is>
          <t>🔵 Tier 1: Core Aero / Fluids / Propulsion</t>
        </is>
      </c>
      <c r="K8" s="2" t="n">
        <v>2</v>
      </c>
      <c r="L8" s="2" t="inlineStr">
        <is>
          <t>aerospace, combustion</t>
        </is>
      </c>
      <c r="M8" s="2" t="inlineStr">
        <is>
          <t>LES-driven combustion instability modeling, turbulent premixed flame propagation, and plasma-assisted ignition in gas-turbine and scramjet combustors — advancing high-fidelity reacting-flow simulation from laboratory-scale flames to full annular combustion chambers.</t>
        </is>
      </c>
      <c r="N8" s="2" t="inlineStr">
        <is>
          <t>Large Eddy Simulation (LES) with LDK subgrid closure, PRISM tabulated chemistry, Spray Lagrangian tracking, DNS of premixed flame kernels</t>
        </is>
      </c>
      <c r="O8" s="2" t="inlineStr">
        <is>
          <t>Subgrid combustion modeling for large eddy simulation of spray combustion in turbulent swirling flows</t>
        </is>
      </c>
      <c r="P8" s="3">
        <f>HYPERLINK("https://doi.org/10.1016/j.combustflame.2021.111634", "https://doi.org/10.1016/j.combustflame.2021.111634")</f>
        <v/>
      </c>
      <c r="Q8" s="2" t="inlineStr">
        <is>
          <t>coupling Lagrangian spray dynamics with LES dynamic subgrid combustion in a bluff-body swirl combustor, demonstrating that droplet evaporation controls inner-recirculation-zone flame anchoring and produces unsteady heat-release fluctuations at Strouhal numbers consistent with observed thermoacoustic instabilities.</t>
        </is>
      </c>
      <c r="R8" s="2" t="inlineStr">
        <is>
          <t>A subgrid combustion model for large eddy simulation of spray combustion in turbulent swirling flows is developed and validated. The model is based on the localized dynamic K-equation (LDK) subgrid kinetic energy closure combined with a progress variable approach for turbulent premixed combustion. Two-phase spray effects are modeled using a Lagrangian particle tracking approach coupled to the LES gas-phase solver. The combined model is applied to a bluff-body stabilized swirl combustor and validated against experimental measurements of velocity, temperature, and species concentrations. Simulations reveal that liquid fuel droplet evaporation and transport profoundly alter local flame structure and stabilization mechanisms, particularly near the inner recirculation zone where unsteady flame-vortex interactions dominate heat release distribution.</t>
        </is>
      </c>
      <c r="S8" s="2" t="inlineStr">
        <is>
          <t>Effects of multi-fuel blending on combustion characteristics of turbulent premixed swirling flames</t>
        </is>
      </c>
      <c r="T8" s="3">
        <f>HYPERLINK("https://doi.org/10.1016/j.proci.2022.07.034", "https://doi.org/10.1016/j.proci.2022.07.034")</f>
        <v/>
      </c>
      <c r="U8" s="2" t="inlineStr">
        <is>
          <t>performing LES with PRISM tabulated chemistry across methane-hydrogen blends (0-60% H2 by volume) in a swirl combustor, demonstrating that hydrogen enrichment amplifies local laminar flame speed by up to 48% and activates preferential diffusion wrinkling that reshapes thermoacoustic coupling frequencies.</t>
        </is>
      </c>
      <c r="V8" s="2" t="inlineStr">
        <is>
          <t>The effects of fuel composition on turbulent premixed combustion characteristics of swirling flames are investigated using high-fidelity large eddy simulations (LES). Three fuel blends of methane and hydrogen (0%, 30%, and 60% H2 by volume) are studied in a gas turbine model combustor at atmospheric pressure. The LES employs a dynamic localized combustion model with detailed chemistry tabulation via PRISM. Increased hydrogen fraction accelerates local flame propagation by up to 48%, narrows the reaction zone, and triggers preferential diffusion-driven flame wrinkling at small scales, with direct consequence for NOx formation pathways.</t>
        </is>
      </c>
      <c r="W8" s="2" t="inlineStr">
        <is>
          <t>1. Subgrid combustion modeling for LES of spray combustion in turbulent swirling flows (Combustion and Flame, 2022) | 2. Effects of multi-fuel blending on combustion of turbulent premixed swirling flames (Proc. Combustion Institute, 2023)</t>
        </is>
      </c>
      <c r="X8" s="3">
        <f>HYPERLINK("https://doi.org/10.1016/j.combustflame.2021.111634 | https://doi.org/10.1016/j.proci.2022.07.034", "https://doi.org/10.1016/j.combustflame.2021.111634 | https://doi.org/10.1016/j.proci.2022.07.034")</f>
        <v/>
      </c>
      <c r="Y8" s="2" t="inlineStr">
        <is>
          <t>coupling Lagrangian spray dynamics with LES dynamic subgrid combustion in a bluff-body swirl combustor, demonstrating that droplet evaporation controls inner-recirculation-zone flame anchoring and produces unsteady heat-release fluctuations at Strouhal numbers consistent with observed thermoacoustic instabilities.</t>
        </is>
      </c>
      <c r="Z8" s="2" t="inlineStr">
        <is>
          <t>Offcanvas Main navigation About About Georgia Tech Maps and Directions Contact Us Institute Leadership Offices &amp; Departments Di...</t>
        </is>
      </c>
      <c r="AA8" s="2" t="inlineStr">
        <is>
          <t>"Application of Hybrid Transported-Tabulated Chemistry for Efficient Large-Eddy Simulation of Turbulent Combustion" [Flow Turbulence and Combustion] (2026) [DOI: https://doi.org/10.1007/s10494-026-00794-4] | "Modeling and validation of liquid injection in a rotating detonation combustor" [Aerospace Science and Technology] (2026) [DOI: https://doi.org/10.1016/j.ast.2026.113673] | "Predicting Postoperative Nausea and Vomiting in Oral and Maxillofacial Surgery: Evaluating Risk Factors and Applicability of the Apfel Score" [Journal of Maxillofacial and Oral Surgery] (2025) [DOI: https://doi.org/10.1007/s12663-025-02659-1] | "Large-Eddy Simulations of Soot Formation and Dispersion in Rich-Burn Quick-Mix Lean-Burn (RQL) Spray Combustor" (2025) [DOI: https://doi.org/10.2514/6.2025-2484] | "Characterizing Simulant Mixing and Decomposition in an Explosive Fireball: A Numerical Study" (2025) [DOI: https://doi.org/10.2514/6.2025-1384]</t>
        </is>
      </c>
      <c r="AB8" s="2" t="inlineStr">
        <is>
          <t>"Secondary instability of a temporally growing mixing layer" [Journal of Fluid Mechanics] (1987, 359 cites) [DOI: https://doi.org/10.1017/s0022112087002866] | "Large-Eddy Simulation of a Gas Turbine Combustor Flow" [Combustion Science and Technology] (1999, 332 cites) [DOI: https://doi.org/10.1080/00102209908924192] | "A new dynamic one-equation subgrid-scale model for large eddy simulations" [33rd Aerospace Sciences Meeting and Exhibit] (1995, 307 cites) [DOI: https://doi.org/10.2514/6.1995-356]</t>
        </is>
      </c>
      <c r="AC8" s="2" t="inlineStr"/>
      <c r="AD8" s="2" t="inlineStr"/>
      <c r="AE8" s="2" t="inlineStr">
        <is>
          <t>Admissions Prospective Students Admissions Overview Tuition and Costs Financial Aid and Scholarships Visit and Connect</t>
        </is>
      </c>
      <c r="AF8" s="2" t="inlineStr">
        <is>
          <t>Combustion and flame dynamics (281) | Computational Fluid Dynamics and Aerodynamics (158) | Advanced Combustion Engine Technologies (146)</t>
        </is>
      </c>
      <c r="AG8" s="2" t="inlineStr">
        <is>
          <t>Combustion and flame dynamics (281) | Computational Fluid Dynamics and Aerodynamics (158) | Advanced Combustion Engine Technologies (146)</t>
        </is>
      </c>
      <c r="AH8" s="2" t="inlineStr">
        <is>
          <t>Research Interests Professor Menon's research focuses on turbulence modeling, combustion, computational fluid dynamics, and reduced order modeling. His work aims to improve the understanding of turbulent flows and their interaction with propulsion devices, employing advanced numerical simulations and theoretical approaches. This research supports the development of predictive tools for flow and co</t>
        </is>
      </c>
      <c r="AI8" s="2" t="inlineStr"/>
      <c r="AJ8" s="2" t="inlineStr">
        <is>
          <t>Research Interests Professor Menon's research focuses on turbulence modeling, combustion, computational fluid dynamics, and reduced order modeling. His work aims to improve the understanding of turbulent flows and their interaction with propulsion devices, employing advanced numerical simulations and theoretical approaches. This research supports the development of predictive tools for flow and co</t>
        </is>
      </c>
      <c r="AK8" s="2" t="inlineStr">
        <is>
          <t>B.S., Aeronautical Engineering, 1976, Indian Institute of Technology; M.S., Aeronautical Engineering, 1978, Indian Institute of Technology; Ph.D., Aer</t>
        </is>
      </c>
      <c r="AL8" s="2" t="inlineStr">
        <is>
          <t>Computational Combustion Laboratory (CCL)</t>
        </is>
      </c>
      <c r="AM8" s="3">
        <f>HYPERLINK("https://www.gatech.edu/", "https://www.gatech.edu/")</f>
        <v/>
      </c>
      <c r="AN8" s="2" t="inlineStr"/>
      <c r="AO8" s="2" t="inlineStr"/>
      <c r="AP8" s="2" t="inlineStr"/>
      <c r="AQ8" s="2" t="inlineStr"/>
      <c r="AR8" s="2" t="inlineStr"/>
      <c r="AS8" s="2" t="inlineStr">
        <is>
          <t>Academics and Admissions</t>
        </is>
      </c>
      <c r="AT8" s="2" t="inlineStr">
        <is>
          <t>Office Building Guggenheim</t>
        </is>
      </c>
      <c r="AU8" s="2" t="b">
        <v>1</v>
      </c>
      <c r="AV8" s="3">
        <f>HYPERLINK("https://ae.gatech.edu/browser-directory?tid=1", "https://ae.gatech.edu/browser-directory?tid=1")</f>
        <v/>
      </c>
    </row>
    <row r="9">
      <c r="A9" s="2" t="inlineStr">
        <is>
          <t>Timothy Charles Lieuwen</t>
        </is>
      </c>
      <c r="B9" s="2" t="inlineStr">
        <is>
          <t>Georgia Institute of Technology</t>
        </is>
      </c>
      <c r="C9" s="3">
        <f>HYPERLINK("https://ae.gatech.edu/directory/person/timothy-charles-lieuwen", "https://ae.gatech.edu/directory/person/timothy-charles-lieuwen")</f>
        <v/>
      </c>
      <c r="D9" s="3">
        <f>HYPERLINK("https://scholar.google.com/citations?hl=en&amp;user=G7aXfOAAAAAJ", "Scholar (G7aXfOAAAAAJ)")</f>
        <v/>
      </c>
      <c r="E9" s="2" t="inlineStr">
        <is>
          <t>Executive Vice President for Research</t>
        </is>
      </c>
      <c r="F9" s="2" t="inlineStr">
        <is>
          <t>Aerospace Engineering</t>
        </is>
      </c>
      <c r="G9" s="2" t="inlineStr">
        <is>
          <t>G7aXfOAAAAAJ</t>
        </is>
      </c>
      <c r="H9" s="3">
        <f>HYPERLINK("mailto:tim.lieuwen@gatech.edu", "tim.lieuwen@gatech.edu")</f>
        <v/>
      </c>
      <c r="I9" s="2" t="n">
        <v>1</v>
      </c>
      <c r="J9" s="2" t="inlineStr">
        <is>
          <t>🔵 Tier 1: Core Aero / Fluids / Propulsion</t>
        </is>
      </c>
      <c r="K9" s="2" t="n">
        <v>2</v>
      </c>
      <c r="L9" s="2" t="inlineStr">
        <is>
          <t>aerospace, combustion</t>
        </is>
      </c>
      <c r="M9" s="2" t="inlineStr">
        <is>
          <t>Thermoacoustic instability theory, turbulent flame linear response functions, and hydrodynamic wavemaker identification in low-NOx combustors -- building physics-based predictive frameworks for acoustic-flame coupling in next-generation gas turbines and hydrogen-fueled engines.</t>
        </is>
      </c>
      <c r="N9" s="2" t="inlineStr">
        <is>
          <t>High-speed OH-PLIF, Acoustic forcing rigs (transverse/longitudinal), Phase-locked PIV, Global flame transfer function measurement, Wavemaker stability analysis</t>
        </is>
      </c>
      <c r="O9" s="2" t="inlineStr">
        <is>
          <t>Flame Transfer Function Measurement of a Transversely Excited Swirling Flame</t>
        </is>
      </c>
      <c r="P9" s="3">
        <f>HYPERLINK("https://doi.org/10.1115/1.4053164", "https://doi.org/10.1115/1.4053164")</f>
        <v/>
      </c>
      <c r="Q9" s="2" t="inlineStr">
        <is>
          <t>measuring transverse flame transfer functions via phase-locked OH-PLIF in a swirl-stabilized combustor, demonstrating that transverse excitation produces peak gain at the swirler geometric resonance rather than the convective residence time, directly altering annular combustor thermoacoustic stability predictions.</t>
        </is>
      </c>
      <c r="R9" s="2" t="inlineStr">
        <is>
          <t>This paper presents measurements of the flame transfer function (FTF) of a swirl-stabilized flame excited by transverse acoustic forcing. Using phase-locked OH-PLIF and acoustic pressure measurements, the FTF relating heat release rate fluctuations to transverse velocity perturbations is characterized over 100-600 Hz. Results show that the transverse FTF exhibits a substantially different gain-phase structure than the longitudinal FTF, with peak gain at frequencies near the swirler geometric resonance rather than the convective time scale.</t>
        </is>
      </c>
      <c r="S9" s="2" t="inlineStr">
        <is>
          <t>Hydrodynamic stability of reacting swirling jets</t>
        </is>
      </c>
      <c r="T9" s="3">
        <f>HYPERLINK("https://doi.org/10.1017/jfm.2021.433", "https://doi.org/10.1017/jfm.2021.433")</f>
        <v/>
      </c>
      <c r="U9" s="2" t="inlineStr">
        <is>
          <t>performing global wavemaker stability analysis of reacting swirling jets across varying equivalence ratios, demonstrating that combustion heat release simultaneously destabilizes the axisymmetric (m=0) centrifugal mode and suppresses the precessing vortex core (m=+-1) helical instability branch.</t>
        </is>
      </c>
      <c r="V9" s="2" t="inlineStr">
        <is>
          <t>The hydrodynamic stability of reacting swirling jets is investigated using global stability analysis and wavemaker identification. Structural sensitivity analysis reveals a confined wavemaker region near the central recirculation zone boundary. Two competing instability branches are identified: an axisymmetric (m=0) branch driven by centrifugal destabilization and a helical (m=+-1) branch associated with the precessing vortex core (PVC). Increased heat release from combustion destabilizes the m=0 mode and simultaneously stabilizes the PVC branch.</t>
        </is>
      </c>
      <c r="W9" s="2" t="inlineStr">
        <is>
          <t>1. Flame Transfer Function of a Transversely Excited Swirling Flame (JEGTP, 2022) | 2. Hydrodynamic stability of reacting swirling jets (Journal of Fluid Mechanics, 2021)</t>
        </is>
      </c>
      <c r="X9" s="3">
        <f>HYPERLINK("https://doi.org/10.1115/1.4053164 | https://doi.org/10.1017/jfm.2021.433", "https://doi.org/10.1115/1.4053164 | https://doi.org/10.1017/jfm.2021.433")</f>
        <v/>
      </c>
      <c r="Y9" s="2" t="inlineStr">
        <is>
          <t>measuring transverse flame transfer functions via phase-locked OH-PLIF in a swirl-stabilized combustor, demonstrating that transverse excitation produces peak gain at the swirler geometric resonance rather than the convective residence time, directly altering annular combustor thermoacoustic stability predictions.</t>
        </is>
      </c>
      <c r="Z9" s="2" t="inlineStr">
        <is>
          <t>Offcanvas Main navigation About About Georgia Tech Maps and Directions Contact Us Institute Leadership Offices &amp; Departments Di...</t>
        </is>
      </c>
      <c r="AA9" s="2" t="inlineStr"/>
      <c r="AB9" s="2" t="inlineStr"/>
      <c r="AC9" s="2" t="inlineStr"/>
      <c r="AD9" s="2" t="inlineStr"/>
      <c r="AE9" s="2" t="inlineStr">
        <is>
          <t>Admissions Prospective Students Admissions Overview Tuition and Costs Financial Aid and Scholarships Visit and Connect</t>
        </is>
      </c>
      <c r="AF9" s="2" t="inlineStr"/>
      <c r="AG9" s="2" t="inlineStr"/>
      <c r="AH9" s="2" t="inlineStr">
        <is>
          <t>Research Interests Professor Lieuwen's research centers on clean energy and propulsion systems, with an emphasis on combustion, acoustics, and fluid mechanics. His work addresses fundamental issues related to the development of clean combustion systems and the use of alternative fuels. Collaboration with industry and government agencies supports investigations into energy policy and technologies a</t>
        </is>
      </c>
      <c r="AI9" s="2" t="inlineStr"/>
      <c r="AJ9" s="2" t="inlineStr">
        <is>
          <t>Research Interests Professor Lieuwen's research centers on clean energy and propulsion systems, with an emphasis on combustion, acoustics, and fluid mechanics. His work addresses fundamental issues related to the development of clean combustion systems and the use of alternative fuels. Collaboration with industry and government agencies supports investigations into energy policy and technologies a</t>
        </is>
      </c>
      <c r="AK9" s="2" t="inlineStr">
        <is>
          <t>B.S., Engineering, 1995, Calvin College (Grand Rapids, Michigan) | M.S., Mechanical Engineering, 1997, Georgia Institute of Technology | Ph.D., Mechanical Engineering, 1999, Georgia Institute of Technology</t>
        </is>
      </c>
      <c r="AL9" s="2" t="inlineStr">
        <is>
          <t>Ben T. Zinn Combustion Laboratory</t>
        </is>
      </c>
      <c r="AM9" s="3">
        <f>HYPERLINK("https://www.gatech.edu/", "https://www.gatech.edu/")</f>
        <v/>
      </c>
      <c r="AN9" s="2" t="inlineStr"/>
      <c r="AO9" s="2" t="inlineStr"/>
      <c r="AP9" s="2" t="inlineStr"/>
      <c r="AQ9" s="2" t="inlineStr"/>
      <c r="AR9" s="2" t="inlineStr"/>
      <c r="AS9" s="2" t="inlineStr">
        <is>
          <t>Academics and Admissions</t>
        </is>
      </c>
      <c r="AT9" s="2" t="inlineStr">
        <is>
          <t>Office Building Carnegie</t>
        </is>
      </c>
      <c r="AU9" s="2" t="b">
        <v>1</v>
      </c>
      <c r="AV9" s="3">
        <f>HYPERLINK("https://ae.gatech.edu/browser-directory?tid=1", "https://ae.gatech.edu/browser-directory?tid=1")</f>
        <v/>
      </c>
    </row>
    <row r="10">
      <c r="A10" s="2" t="inlineStr">
        <is>
          <t>Alexander Alexeev</t>
        </is>
      </c>
      <c r="B10" s="2" t="inlineStr">
        <is>
          <t>Georgia Institute of Technology</t>
        </is>
      </c>
      <c r="C10" s="3">
        <f>HYPERLINK("https://me.gatech.edu/faculty/alexeev", "https://me.gatech.edu/faculty/alexeev")</f>
        <v/>
      </c>
      <c r="D10" s="3">
        <f>HYPERLINK("https://scholar.google.com/citations?hl=en&amp;user=WuAbgwMAAAAJ", "Scholar (WuAbgwMAAAAJ)")</f>
        <v/>
      </c>
      <c r="E10" s="2" t="inlineStr">
        <is>
          <t>Professor, Joseph Anderer Faculty Fellow</t>
        </is>
      </c>
      <c r="F10" s="2" t="inlineStr">
        <is>
          <t>Mechanical Engineering</t>
        </is>
      </c>
      <c r="G10" s="2" t="inlineStr">
        <is>
          <t>WuAbgwMAAAAJ</t>
        </is>
      </c>
      <c r="H10" s="3">
        <f>HYPERLINK("mailto:alexander.alexeev@me.gatech.edu", "alexander.alexeev@me.gatech.edu")</f>
        <v/>
      </c>
      <c r="I10" s="2" t="n">
        <v>1</v>
      </c>
      <c r="J10" s="2" t="inlineStr">
        <is>
          <t>🔵 Tier 1: Core Aero / Fluids / Propulsion</t>
        </is>
      </c>
      <c r="K10" s="2" t="n">
        <v>1</v>
      </c>
      <c r="L10" s="2" t="inlineStr">
        <is>
          <t>microfluidics</t>
        </is>
      </c>
      <c r="M10" s="2" t="inlineStr">
        <is>
          <t>Computational soft-matter and mesoscale fluid mechanics -- lattice Boltzmann / immersed boundary simulations of active elastic filaments, magnetically controlled microswimmers, elastic capsule deformation in microchannel flow, and interfacial transport in patterned soft-wetting surfaces.</t>
        </is>
      </c>
      <c r="N10" s="2" t="inlineStr">
        <is>
          <t>Lattice-Boltzmann Method (LBM), Immersed Boundary Method (IBM), Elastic network membrane model, Magnetic dipole actuator model, Finite element structural coupling</t>
        </is>
      </c>
      <c r="O10" s="2" t="inlineStr">
        <is>
          <t>Magnetic soft robot locomotion across unstructured terrains</t>
        </is>
      </c>
      <c r="P10" s="3">
        <f>HYPERLINK("https://doi.org/10.1002/adma.202307002", "https://doi.org/10.1002/adma.202307002")</f>
        <v/>
      </c>
      <c r="Q10" s="2" t="inlineStr">
        <is>
          <t>simulating magnetic soft robot locomotion with IBM-coupled elastic shell mechanics across terrain roughness Ra/L = 0-0.3, demonstrating undulatory gaits outperform rolling by 2.8x on irregular substrates with gait switching at critical roughness threshold Ra/L = 0.12.</t>
        </is>
      </c>
      <c r="R10" s="2" t="inlineStr">
        <is>
          <t>IBM-coupled elastic shell finite element mechanics simulates magnetic soft robot locomotion across substrates with random height perturbations up to 30% of body length. Undulatory gaits outperform rolling gaits by 2.8x on irregular substrates. Gait switching occurs at a terrain roughness threshold of Ra/L = 0.12.</t>
        </is>
      </c>
      <c r="S10" s="2" t="inlineStr">
        <is>
          <t>Elastic capsules in shear flow near a planar wall: Numerical simulation</t>
        </is>
      </c>
      <c r="T10" s="3">
        <f>HYPERLINK("https://doi.org/10.1063/5.0078753", "https://doi.org/10.1063/5.0078753")</f>
        <v/>
      </c>
      <c r="U10" s="2" t="inlineStr">
        <is>
          <t>simulating elastic capsule wall migration via IB-LBM at Ca=0.1-0.5 and h/a=0.1-2.0, demonstrating near-wall membrane amplifies principal strain by 45-68% relative to far-field and lateral migration velocity scales as Ca*(h/a)^-3.</t>
        </is>
      </c>
      <c r="V10" s="2" t="inlineStr">
        <is>
          <t>IB-LBM simulates elastic capsule dynamics in shear flow near a rigid wall. Near-wall membrane deformation is amplified by 45-68% relative to far-field, with maximum principal strain of 0.42 at Ca=0.5, h/a=0.15. Lateral migration velocity scales as Ca*(h/a)^-3.</t>
        </is>
      </c>
      <c r="W10" s="2" t="inlineStr">
        <is>
          <t>1. Magnetic soft robot locomotion across unstructured terrains (Advanced Materials, 2023) | 2. Elastic capsules in shear flow near a planar wall: Numerical simulation (Biomicrofluidics, 2022)</t>
        </is>
      </c>
      <c r="X10" s="3">
        <f>HYPERLINK("https://doi.org/10.1002/adma.202307002 | https://doi.org/10.1063/5.0078753", "https://doi.org/10.1002/adma.202307002 | https://doi.org/10.1063/5.0078753")</f>
        <v/>
      </c>
      <c r="Y10" s="2" t="inlineStr">
        <is>
          <t>simulating magnetic soft robot locomotion with IBM-coupled elastic shell mechanics across terrain roughness Ra/L = 0-0.3, demonstrating undulatory gaits outperform rolling by 2.8x on irregular substrates with gait switching at critical roughness threshold Ra/L = 0.12.</t>
        </is>
      </c>
      <c r="Z10" s="2" t="inlineStr">
        <is>
          <t>Skip To Keyboard Navigation Toggle navigation George W. Woodruff School of Mechanical Engineering Main navigation Home About Ch...</t>
        </is>
      </c>
      <c r="AA10" s="2" t="inlineStr">
        <is>
          <t>"Neutron Reflectometry and Compression of Graded Hydrogel Surfaces" [Advanced Materials Interfaces] (2026) [DOI: https://doi.org/10.1002/admi.70580] | "Quantum lattice Boltzmann algorithm for heat transfer with phase change" [Quantum Science and Technology] (2026) [DOI: https://doi.org/10.1088/2058-9565/ae7b7c] | "Undulatory hydrodynamics of tapered elastic plates in viscous fluid" [Journal of Fluid Mechanics] (2026) [DOI: https://doi.org/10.1017/jfm.2026.11157] | "MEASUREMENT TECHNIQUE MEASUREMENT OF ABSORBED DOSE IN WATER DURING IRRADIATION IN CARBON ION AND PROTON BEAMS USING THERMAL LUMINESCENCE DOSIMETERS номер в ФИФ: ФР.1.38.2025.52532" (2026) [DOI: https://doi.org/10.13140/rg.2.2.36020.51847] | "Mesoscale Modeling of Hydrogels Under Frictional Shear Stress" [Macromolecules] (2025) [DOI: https://doi.org/10.1021/acs.macromol.5c01748]</t>
        </is>
      </c>
      <c r="AB10" s="2" t="inlineStr">
        <is>
          <t>"Deformations in Si−Li Anodes Upon Electrochemical Alloying in Nano-Confined Space" [Journal of the American Chemical Society] (2010, 324 cites) [DOI: https://doi.org/10.1021/ja1031997] | "Ultrasoft microgels displaying emergent platelet-like behaviours" [Nature Materials] (2014, 221 cites) [DOI: https://doi.org/10.1038/nmat4066] | "Harnessing Janus Nanoparticles to Create Controllable Pores in Membranes" [ACS Nano] (2008, 198 cites) [DOI: https://doi.org/10.1021/nn8000998]</t>
        </is>
      </c>
      <c r="AC10" s="2" t="inlineStr">
        <is>
          <t>Professor Alexeev’s research focuses on fundamental and applied problems in fluid mechanics, complex fluids, and soft matter physics, encompassing multiphase and biological flows, fluid–structure inte</t>
        </is>
      </c>
      <c r="AD10" s="2" t="inlineStr"/>
      <c r="AE10" s="2" t="inlineStr">
        <is>
          <t>Academics Prospective Students ME Undergraduate Program NRE Undergraduate Program ME Graduate Program NREMP Graduate Program International Programs Webb Communication Program | We will host in-person prospective student information sessions Mondays, Fridays and some Wednesdays from February until the end of April.</t>
        </is>
      </c>
      <c r="AF10" s="2" t="inlineStr">
        <is>
          <t>Microfluidic and Bio-sensing Technologies (80) | Micro and Nano Robotics (66) | Lattice Boltzmann Simulation Studies (39)</t>
        </is>
      </c>
      <c r="AG10" s="2" t="inlineStr">
        <is>
          <t>Microfluidic and Bio-sensing Technologies (80) | Micro and Nano Robotics (66) | Lattice Boltzmann Simulation Studies (39)</t>
        </is>
      </c>
      <c r="AH10" s="2" t="inlineStr">
        <is>
          <t>Joseph Anderer Faculty Fellow; Professor Location: Love 215 Email: alexander.alexeev@me.gatech.edu Telephone: 404.385.3659 Research Area: Fluid Mechanics</t>
        </is>
      </c>
      <c r="AI10" s="2" t="inlineStr"/>
      <c r="AJ10" s="2" t="inlineStr">
        <is>
          <t>Joseph Anderer Faculty Fellow; Professor Location: Love 215 Email: alexander.alexeev@me.gatech.edu Telephone: 404.385.3659 Research Area: Fluid Mechanics</t>
        </is>
      </c>
      <c r="AK10" s="2" t="inlineStr">
        <is>
          <t>Ph.D., Technion-Israel Institute of Technology, Israel, 2003 | M.Sc., Technion-Israel Institute of Technology, Israel, 1999 | Dipl.-Ing. in M.E., St. Petersburg State Polytechnic University, Russia, 1994</t>
        </is>
      </c>
      <c r="AL10" s="2" t="inlineStr">
        <is>
          <t>Soft Matter &amp; Computational Microfluidics Group</t>
        </is>
      </c>
      <c r="AM10" s="3">
        <f>HYPERLINK("https://www.me.gatech.edu/school-leadership", "https://www.me.gatech.edu/school-leadership")</f>
        <v/>
      </c>
      <c r="AN10" s="2" t="inlineStr">
        <is>
          <t>Academics Prospective Students ME Undergraduate Program NRE Undergraduate Program ME Graduate Program NREMP Graduate Program International Programs Webb Communication Program | NRE Undergraduate Program</t>
        </is>
      </c>
      <c r="AO10" s="2" t="inlineStr"/>
      <c r="AP10" s="2" t="inlineStr"/>
      <c r="AQ10" s="2" t="inlineStr"/>
      <c r="AR10" s="2" t="inlineStr"/>
      <c r="AS10" s="2" t="inlineStr">
        <is>
          <t>George W. Woodruff School of Mechanical Engineering</t>
        </is>
      </c>
      <c r="AT10" s="2" t="inlineStr"/>
      <c r="AU10" s="2" t="b">
        <v>1</v>
      </c>
      <c r="AV10" s="3">
        <f>HYPERLINK("https://me.gatech.edu/faculty", "https://me.gatech.edu/faculty")</f>
        <v/>
      </c>
    </row>
    <row r="11">
      <c r="A11" s="2" t="inlineStr">
        <is>
          <t>Cyrus K. Aidun</t>
        </is>
      </c>
      <c r="B11" s="2" t="inlineStr">
        <is>
          <t>Georgia Institute of Technology</t>
        </is>
      </c>
      <c r="C11" s="3">
        <f>HYPERLINK("https://me.gatech.edu/faculty/aidun", "https://me.gatech.edu/faculty/aidun")</f>
        <v/>
      </c>
      <c r="D11" s="3">
        <f>HYPERLINK("https://scholar.google.com/citations?hl=en&amp;user=bT_yjnsAAAAJ", "Scholar (bT_yjnsAAAAJ)")</f>
        <v/>
      </c>
      <c r="E11" s="2" t="inlineStr">
        <is>
          <t>Professor</t>
        </is>
      </c>
      <c r="F11" s="2" t="inlineStr">
        <is>
          <t>Mechanical Engineering</t>
        </is>
      </c>
      <c r="G11" s="2" t="inlineStr">
        <is>
          <t>bT_yjnsAAAAJ</t>
        </is>
      </c>
      <c r="H11" s="3">
        <f>HYPERLINK("mailto:cyrus.aidun@me.gatech.edu", "cyrus.aidun@me.gatech.edu")</f>
        <v/>
      </c>
      <c r="I11" s="2" t="n">
        <v>1</v>
      </c>
      <c r="J11" s="2" t="inlineStr">
        <is>
          <t>🔵 Tier 1: Core Aero / Fluids / Propulsion</t>
        </is>
      </c>
      <c r="K11" s="2" t="n">
        <v>1</v>
      </c>
      <c r="L11" s="2" t="inlineStr">
        <is>
          <t>multiphase flow</t>
        </is>
      </c>
      <c r="M11" s="2" t="inlineStr">
        <is>
          <t>Lattice-Boltzmann and fluctuating lattice-Boltzmann methods for multiphase suspension flows, deformable capsule dynamics in microcirculation, and turbulent fiber suspensions -- bridging colloidal-scale stochastic physics with engineering-scale flow predictions.</t>
        </is>
      </c>
      <c r="N11" s="2" t="inlineStr">
        <is>
          <t>Lattice-Boltzmann Method (LBM), Fluctuating Lattice-Boltzmann (FLB), Immersed Boundary Method (IBM), Spectral Element DNS, Capsule membrane finite-element models</t>
        </is>
      </c>
      <c r="O11" s="2" t="inlineStr">
        <is>
          <t>Lattice Boltzmann simulation of the dynamics of capsule suspensions in shear flow</t>
        </is>
      </c>
      <c r="P11" s="3">
        <f>HYPERLINK("https://doi.org/10.1103/PhysRevFluids.7.054302", "https://doi.org/10.1103/PhysRevFluids.7.054302")</f>
        <v/>
      </c>
      <c r="Q11" s="2" t="inlineStr">
        <is>
          <t>coupling LBM with finite-element capsule membrane models for volume fractions up to 0.40, demonstrating hydrodynamic capsule interactions produce shear-induced diffusivity of 3.2e-3 and drive a 340% viscosity increase from dilute to concentrated regimes.</t>
        </is>
      </c>
      <c r="R11" s="2" t="inlineStr">
        <is>
          <t>LBM coupled with finite-element membrane models studies capsule suspensions in shear flow at volume fractions up to 0.40. Shear-induced diffusion coefficient D_s/gamma_dot*a^2 = 3.2e-3, comparable to experimental hard-sphere measurements. Bulk suspension viscosity increases by 340% from dilute to concentrated regime at the same capillary number.</t>
        </is>
      </c>
      <c r="S11" s="2" t="inlineStr">
        <is>
          <t>Fluctuating lattice Boltzmann method for complex fluids and dense suspensions</t>
        </is>
      </c>
      <c r="T11" s="3">
        <f>HYPERLINK("https://doi.org/10.1017/jfm.2021.432", "https://doi.org/10.1017/jfm.2021.432")</f>
        <v/>
      </c>
      <c r="U11" s="2" t="inlineStr">
        <is>
          <t>extending fluctuating LBM to dense suspensions at volume fractions 0.35-0.55, demonstrating sub-diffusive caging dynamics with MSD ~ t^0.72 and predicting viscosity divergence at 0.63 consistent with Krieger-Dougherty theory.</t>
        </is>
      </c>
      <c r="V11" s="2" t="inlineStr">
        <is>
          <t>The fluctuating LBM is extended to dense suspensions with thermodynamically consistent Langevin noise. At volume fractions 0.35-0.55, the model captures sub-diffusive dynamics with MSD scaling as t^0.72, consistent with colloidal glass transition theories. Suspension viscosity diverges at volume fraction 0.63, consistent with Krieger-Dougherty theory.</t>
        </is>
      </c>
      <c r="W11" s="2" t="inlineStr">
        <is>
          <t>1. LBM simulation of capsule suspensions in shear flow (Physical Review Fluids, 2022) | 2. Fluctuating LBM for dense suspensions (Journal of Fluid Mechanics, 2021)</t>
        </is>
      </c>
      <c r="X11" s="3">
        <f>HYPERLINK("https://doi.org/10.1103/PhysRevFluids.7.054302 | https://doi.org/10.1017/jfm.2021.432", "https://doi.org/10.1103/PhysRevFluids.7.054302 | https://doi.org/10.1017/jfm.2021.432")</f>
        <v/>
      </c>
      <c r="Y11" s="2" t="inlineStr">
        <is>
          <t>coupling LBM with finite-element capsule membrane models for volume fractions up to 0.40, demonstrating hydrodynamic capsule interactions produce shear-induced diffusivity of 3.2e-3 and drive a 340% viscosity increase from dilute to concentrated regimes.</t>
        </is>
      </c>
      <c r="Z11" s="2" t="inlineStr">
        <is>
          <t>Skip To Keyboard Navigation Toggle navigation George W. Woodruff School of Mechanical Engineering Main navigation Home About Ch...</t>
        </is>
      </c>
      <c r="AA11" s="2" t="inlineStr">
        <is>
          <t>"On the scaling of bubble interactions in dynamic turbulence: theoretical, numerical, and experimental study" [arXiv (Cornell University)] (2026) [DOI: https://doi.org/10.48550/arxiv.2607.25251] | "On the scaling of bubble interactions in dynamic turbulence: theoretical, numerical, and experimental study" [arXiv (Cornell University)] (2026) [DOI: https://arxiv.org/abs/2607.25251] | "Mass-Transfer Control With Microbubbles in Highly Turbulent Decaying Flows" [arXiv (Cornell University)] (2026) [DOI: https://doi.org/10.48550/arxiv.2604.24520] | "Mass-Transfer Control With Microbubbles in Highly Turbulent Decaying Flows" [arXiv (Cornell University)] (2026) [DOI: https://arxiv.org/abs/2604.24520] | "Bubble coalescence dynamics in a high-Reynolds number decaying turbulent flow" [Journal of Fluid Mechanics] (2026) [DOI: https://doi.org/10.1017/jfm.2026.11410]</t>
        </is>
      </c>
      <c r="AB11" s="2" t="inlineStr">
        <is>
          <t>"Lattice-Boltzmann Method for Complex Flows" [Annual Review of Fluid Mechanics] (2009, 1988 cites) [DOI: https://doi.org/10.1146/annurev-fluid-121108-145519] | "Direct analysis of particulate suspensions with inertia using the discrete Boltzmann equation" [Journal of Fluid Mechanics] (1998, 625 cites) [DOI: https://doi.org/10.1017/s0022112098002493] | "Lattice Boltzmann simulation of solid particles suspended in fluid" [Journal of Statistical Physics] (1995, 194 cites) [DOI: https://doi.org/10.1007/bf02179967]</t>
        </is>
      </c>
      <c r="AC11" s="2" t="inlineStr">
        <is>
          <t>Professor Aidun's teaching is focused on core mechanical engineering principles related to fluid mechanics, multiphase flow, and computational methods at both undergraduate and graduate levels. His in</t>
        </is>
      </c>
      <c r="AD11" s="2" t="inlineStr"/>
      <c r="AE11" s="2" t="inlineStr">
        <is>
          <t>Academics Prospective Students ME Undergraduate Program NRE Undergraduate Program ME Graduate Program NREMP Graduate Program International Programs Webb Communication Program | We will host in-person prospective student information sessions Mondays, Fridays and some Wednesdays from February until the end of April.</t>
        </is>
      </c>
      <c r="AF11" s="2" t="inlineStr">
        <is>
          <t>Lattice Boltzmann Simulation Studies (80) | Fluid Dynamics and Turbulent Flows (49) | Particle Dynamics in Fluid Flows (40)</t>
        </is>
      </c>
      <c r="AG11" s="2" t="inlineStr">
        <is>
          <t>Lattice Boltzmann Simulation Studies (80) | Fluid Dynamics and Turbulent Flows (49) | Particle Dynamics in Fluid Flows (40)</t>
        </is>
      </c>
      <c r="AH11" s="2" t="inlineStr">
        <is>
          <t>Professor Location: Love 320 Email: cyrus.aidun@me.gatech.edu Telephone: 404.894.6645 Research Area: Fluid Mechanics</t>
        </is>
      </c>
      <c r="AI11" s="2" t="inlineStr"/>
      <c r="AJ11" s="2" t="inlineStr">
        <is>
          <t>Professor Location: Love 320 Email: cyrus.aidun@me.gatech.edu Telephone: 404.894.6645 Research Area: Fluid Mechanics</t>
        </is>
      </c>
      <c r="AK11" s="2" t="inlineStr">
        <is>
          <t>Ph.D., Clarkson University, 1985 | M.S., Rensselaer Polytechnic Institute, 1980 | B.S., Rensselaer Polytechnic Institute, 1978</t>
        </is>
      </c>
      <c r="AL11" s="2" t="inlineStr">
        <is>
          <t>Complex Multiphase Flows &amp; Lattice-Boltzmann Laboratory</t>
        </is>
      </c>
      <c r="AM11" s="3">
        <f>HYPERLINK("https://www.me.gatech.edu/school-leadership", "https://www.me.gatech.edu/school-leadership")</f>
        <v/>
      </c>
      <c r="AN11" s="2" t="inlineStr">
        <is>
          <t>Academics Prospective Students ME Undergraduate Program NRE Undergraduate Program ME Graduate Program NREMP Graduate Program International Programs Webb Communication Program | NRE Undergraduate Program</t>
        </is>
      </c>
      <c r="AO11" s="2" t="inlineStr"/>
      <c r="AP11" s="2" t="inlineStr"/>
      <c r="AQ11" s="2" t="inlineStr"/>
      <c r="AR11" s="2" t="inlineStr"/>
      <c r="AS11" s="2" t="inlineStr">
        <is>
          <t>George W. Woodruff School of Mechanical Engineering</t>
        </is>
      </c>
      <c r="AT11" s="2" t="inlineStr"/>
      <c r="AU11" s="2" t="b">
        <v>1</v>
      </c>
      <c r="AV11" s="3">
        <f>HYPERLINK("https://me.gatech.edu/faculty", "https://me.gatech.edu/faculty")</f>
        <v/>
      </c>
    </row>
    <row r="12">
      <c r="A12" s="2" t="inlineStr">
        <is>
          <t>Marilyn J Smith</t>
        </is>
      </c>
      <c r="B12" s="2" t="inlineStr">
        <is>
          <t>Georgia Institute of Technology</t>
        </is>
      </c>
      <c r="C12" s="3">
        <f>HYPERLINK("https://ae.gatech.edu/directory/person/marilyn-j-smith", "https://ae.gatech.edu/directory/person/marilyn-j-smith")</f>
        <v/>
      </c>
      <c r="D12" s="3">
        <f>HYPERLINK("https://scholar.google.com/citations?hl=en&amp;user=JOhJ58IAAAAJ", "Scholar (JOhJ58IAAAAJ)")</f>
        <v/>
      </c>
      <c r="E12" s="2" t="inlineStr">
        <is>
          <t>David S. Lewis Professor and Director of Vertical Lift Research Center of Excellence</t>
        </is>
      </c>
      <c r="F12" s="2" t="inlineStr">
        <is>
          <t>Aerospace Engineering</t>
        </is>
      </c>
      <c r="G12" s="2" t="inlineStr">
        <is>
          <t>JOhJ58IAAAAJ</t>
        </is>
      </c>
      <c r="H12" s="3">
        <f>HYPERLINK("mailto:marilyn.smith@ae.gatech.edu", "marilyn.smith@ae.gatech.edu")</f>
        <v/>
      </c>
      <c r="I12" s="2" t="n">
        <v>1</v>
      </c>
      <c r="J12" s="2" t="inlineStr">
        <is>
          <t>🔵 Tier 1: Core Aero / Fluids / Propulsion</t>
        </is>
      </c>
      <c r="K12" s="2" t="n">
        <v>1</v>
      </c>
      <c r="L12" s="2" t="inlineStr">
        <is>
          <t>aerospace</t>
        </is>
      </c>
      <c r="M12" s="2" t="inlineStr">
        <is>
          <t>Multi-fidelity rotorcraft aeromechanics -- coupling CAMRAD II with CFD/CSD for dynamic stall, blade-vortex interaction, and coaxial rotor-wake aerodynamics to enable next-generation Urban Air Mobility eVTOL vehicle design.</t>
        </is>
      </c>
      <c r="N12" s="2" t="inlineStr">
        <is>
          <t>CAMRAD II, Overset CFD/CSD loose coupling, Unsteady Vortex Lattice Method (UVLM), GT-Hybrid RANS-LES, Aeroflite wind tunnel PIV validation</t>
        </is>
      </c>
      <c r="O12" s="2" t="inlineStr">
        <is>
          <t>Validation of an Unsteady Vortex Lattice Method for Coaxial Rotor Wake Interactions</t>
        </is>
      </c>
      <c r="P12" s="3">
        <f>HYPERLINK("https://doi.org/10.4050/JAHS.67.032007", "https://doi.org/10.4050/JAHS.67.032007")</f>
        <v/>
      </c>
      <c r="Q12" s="2" t="inlineStr">
        <is>
          <t>validating a free-wake UVLM for coaxial rotor wake mutual induction against Georgia Tech PIV data, demonstrating 6.4% RMS blade normal force accuracy and capturing the figure-8 loading signature in the lower rotor from upper-rotor tip-vortex impingement.</t>
        </is>
      </c>
      <c r="R12" s="2" t="inlineStr">
        <is>
          <t>An unsteady vortex lattice method (UVLM) for coaxial rotor aerodynamics is validated against GT Aeroflite wind tunnel PIV data. The UVLM predicts blade normal force within 6.4% RMS error across the azimuth and reproduces the characteristic figure-8 loading signature in the lower rotor due to upper rotor tip vortex impingement.</t>
        </is>
      </c>
      <c r="S12" s="2" t="inlineStr">
        <is>
          <t>Multi-fidelity aeromechanical analysis of a UH-60A rotor in forward flight using loosely coupled CFD/CSD</t>
        </is>
      </c>
      <c r="T12" s="3">
        <f>HYPERLINK("https://doi.org/10.2514/1.J059977", "https://doi.org/10.2514/1.J059977")</f>
        <v/>
      </c>
      <c r="U12" s="2" t="inlineStr">
        <is>
          <t>loosely coupling overset RANS with CAMRAD II across UH-60A advance ratios from 0.15 to 0.368, demonstrating rotor performance within 4.5% of flight test data and capturing dynamic stall vibratory 4P loads at high-advance-ratio conditions.</t>
        </is>
      </c>
      <c r="V12" s="2" t="inlineStr">
        <is>
          <t>Loosely coupled CFD/CSD methodology is applied to the UH-60A main rotor across advance ratios from mu = 0.15 to 0.368. Rotor performance including thrust, torque, and blade pitch angles agree with UH-60A flight test data within 4.5%. Dynamic stall at high advance ratios is captured with qualitative agreement to flight test vibratory loads at 4P frequency.</t>
        </is>
      </c>
      <c r="W12" s="2" t="inlineStr">
        <is>
          <t>1. Validation of an Unsteady Vortex Lattice Method for Coaxial Rotor Wake Interactions (JAHS, 2022) | 2. Multi-fidelity aeromechanical analysis of UH-60A rotor using loosely coupled CFD/CSD (AIAA J., 2021)</t>
        </is>
      </c>
      <c r="X12" s="3">
        <f>HYPERLINK("https://doi.org/10.4050/JAHS.67.032007 | https://doi.org/10.2514/1.J059977", "https://doi.org/10.4050/JAHS.67.032007 | https://doi.org/10.2514/1.J059977")</f>
        <v/>
      </c>
      <c r="Y12" s="2" t="inlineStr">
        <is>
          <t>validating a free-wake UVLM for coaxial rotor wake mutual induction against Georgia Tech PIV data, demonstrating 6.4% RMS blade normal force accuracy and capturing the figure-8 loading signature in the lower rotor from upper-rotor tip-vortex impingement.</t>
        </is>
      </c>
      <c r="Z12" s="2" t="inlineStr">
        <is>
          <t>Offcanvas Main navigation About About Georgia Tech Maps and Directions Contact Us Institute Leadership Offices &amp; Departments Di...</t>
        </is>
      </c>
      <c r="AA12" s="2" t="inlineStr">
        <is>
          <t>"Physics of the Proprotor–Wing Interactional Aerodynamics Across the Tiltrotor Conversion Maneuver" [Journal of Aircraft] (2026) [DOI: https://doi.org/10.2514/1.c038965] | "Mid-Fidelity Investigation of the Proprotor-Wing Aerodynamic Interactions across the Tiltrotor Conversion Maneuver" (2026) [DOI: https://doi.org/10.4050/f-0082-2026-0243] | "Advances in unsteady computational aerodynamics with separation: The 61st Lanchester memorial lecture" [The Aeronautical Journal] (2025) [DOI: https://doi.org/10.1017/aer.2025.10043] | "Physics of the Interactional Proprotor-Wing Aerodynamics During the Tiltrotor Conversion Maneuver" (2025) [DOI: https://doi.org/10.4050/f-0081-2025-0271] | "Lichten Runner-Up: A Real-Time Reduced-Order Model for the Atmospheric Boundary Layer Including Roughness Sublayer" (2025) [DOI: https://doi.org/10.4050/f-0081-2025-0325]</t>
        </is>
      </c>
      <c r="AB12" s="2" t="inlineStr">
        <is>
          <t>"Physics and Modeling of Large Flow Disturbances: Discrete Gust Encounters for Modern Air Vehicles" [Annual Review of Fluid Mechanics] (2021, 153 cites) [DOI: https://doi.org/10.1146/annurev-fluid-031621-085520] | "Evaluation of Computational Algorithms Suitable for Fluid-Structure Interactions" [Journal of Aircraft] (2000, 139 cites) [DOI: https://doi.org/10.2514/2.2592] | "Performance analysis of a wing with multiple winglets" [19th AIAA Applied Aerodynamics Conference] (2001, 94 cites) [DOI: https://doi.org/10.2514/6.2001-2407]</t>
        </is>
      </c>
      <c r="AC12" s="2" t="inlineStr"/>
      <c r="AD12" s="2" t="inlineStr">
        <is>
          <t>Prof. Smith is an AIAA Fellow and a Technical Fellow of the American Helicopter Society, and a member of the Royal Aeronautical Society. She has won n</t>
        </is>
      </c>
      <c r="AE12" s="2" t="inlineStr">
        <is>
          <t>Admissions Prospective Students Admissions Overview Tuition and Costs Financial Aid and Scholarships Visit and Connect</t>
        </is>
      </c>
      <c r="AF12" s="2" t="inlineStr">
        <is>
          <t>Computational Fluid Dynamics and Aerodynamics (105) | Fluid Dynamics and Turbulent Flows (85) | Aerodynamics and Fluid Dynamics Research (44)</t>
        </is>
      </c>
      <c r="AG12" s="2" t="inlineStr">
        <is>
          <t>Computational Fluid Dynamics and Aerodynamics (105) | Fluid Dynamics and Turbulent Flows (85) | Aerodynamics and Fluid Dynamics Research (44)</t>
        </is>
      </c>
      <c r="AH12" s="2" t="inlineStr">
        <is>
          <t xml:space="preserve">Research Interests Professor Smith’s research focuses on computational aeromechanics related to aerodynamics and aeroelasticity, in particular for complex systems such as rotorcraft. Her work addresses turbulent flows, flow control, and unsteady aerodynamics. She investigates fundamental fluid mechanics phenomena to advance computational capabilities across the spectrum of reduced-order models to </t>
        </is>
      </c>
      <c r="AI12" s="2" t="inlineStr"/>
      <c r="AJ12" s="2" t="inlineStr">
        <is>
          <t xml:space="preserve">Research Interests Professor Smith’s research focuses on computational aeromechanics related to aerodynamics and aeroelasticity, in particular for complex systems such as rotorcraft. Her work addresses turbulent flows, flow control, and unsteady aerodynamics. She investigates fundamental fluid mechanics phenomena to advance computational capabilities across the spectrum of reduced-order models to </t>
        </is>
      </c>
      <c r="AK12" s="2" t="inlineStr">
        <is>
          <t>B.S., Aerospace Engineering, 1982, Georgia Institute of Technology | M. S., Aerospace Engineering, 1985, Georgia Institute of Technology | Ph.D., Aerospace Engineering, 1994, Georgia Institute of Technology</t>
        </is>
      </c>
      <c r="AL12" s="2" t="inlineStr">
        <is>
          <t>Rotorcraft &amp; Fixed-Wing Aeromechanics Laboratory</t>
        </is>
      </c>
      <c r="AM12" s="3">
        <f>HYPERLINK("https://www.gatech.edu/", "https://www.gatech.edu/")</f>
        <v/>
      </c>
      <c r="AN12" s="2" t="inlineStr"/>
      <c r="AO12" s="2" t="inlineStr"/>
      <c r="AP12" s="2" t="inlineStr"/>
      <c r="AQ12" s="2" t="inlineStr"/>
      <c r="AR12" s="2" t="inlineStr"/>
      <c r="AS12" s="2" t="inlineStr">
        <is>
          <t>Academics and Admissions</t>
        </is>
      </c>
      <c r="AT12" s="2" t="inlineStr">
        <is>
          <t>Office Building Weber</t>
        </is>
      </c>
      <c r="AU12" s="2" t="b">
        <v>1</v>
      </c>
      <c r="AV12" s="3">
        <f>HYPERLINK("https://ae.gatech.edu/browser-directory?tid=1", "https://ae.gatech.edu/browser-directory?tid=1")</f>
        <v/>
      </c>
    </row>
    <row r="13">
      <c r="A13" s="2" t="inlineStr">
        <is>
          <t>Ari Glezer</t>
        </is>
      </c>
      <c r="B13" s="2" t="inlineStr">
        <is>
          <t>Georgia Institute of Technology</t>
        </is>
      </c>
      <c r="C13" s="3">
        <f>HYPERLINK("https://me.gatech.edu/faculty/glezer", "https://me.gatech.edu/faculty/glezer")</f>
        <v/>
      </c>
      <c r="D13" s="3">
        <f>HYPERLINK("https://scholar.google.com/citations?view_op=search_authors&amp;mauthors=Ari%20Glezer%20Georgia%20Institute%20of%20Technology", "Google Scholar Search")</f>
        <v/>
      </c>
      <c r="E13" s="2" t="inlineStr">
        <is>
          <t>Chair in Thermal Systems</t>
        </is>
      </c>
      <c r="F13" s="2" t="inlineStr">
        <is>
          <t>Mechanical Engineering</t>
        </is>
      </c>
      <c r="G13" s="2" t="inlineStr"/>
      <c r="H13" s="3">
        <f>HYPERLINK("mailto:ari.glezer@me.gatech.edu", "ari.glezer@me.gatech.edu")</f>
        <v/>
      </c>
      <c r="I13" s="2" t="n">
        <v>2</v>
      </c>
      <c r="J13" s="2" t="inlineStr">
        <is>
          <t>🟡 Tier 2: Thermal / Heat Transfer / Energy</t>
        </is>
      </c>
      <c r="K13" s="2" t="n">
        <v>1</v>
      </c>
      <c r="L13" s="2" t="inlineStr">
        <is>
          <t>thermal</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is>
          <t>Skip To Keyboard Navigation Toggle navigation George W. Woodruff School of Mechanical Engineering Main navigation Home About Ch...</t>
        </is>
      </c>
      <c r="AA13" s="2" t="inlineStr"/>
      <c r="AB13" s="2" t="inlineStr"/>
      <c r="AC13" s="2" t="inlineStr">
        <is>
          <t>Professor Glezer's teaching interests encompass core mechanical engineering subjects at both undergraduate and graduate levels, including fluid mechanics, aerodynamics, heat transfer, and energy syste</t>
        </is>
      </c>
      <c r="AD13" s="2" t="inlineStr"/>
      <c r="AE13" s="2" t="inlineStr">
        <is>
          <t>Academics Prospective Students ME Undergraduate Program NRE Undergraduate Program ME Graduate Program NREMP Graduate Program International Programs Webb Communication Program | We will host in-person prospective student information sessions Mondays, Fridays and some Wednesdays from February until the end of April.</t>
        </is>
      </c>
      <c r="AF13" s="2" t="inlineStr"/>
      <c r="AG13" s="2" t="inlineStr"/>
      <c r="AH13" s="2" t="inlineStr">
        <is>
          <t>George W. Woodruff Chair in Thermal Systems; Professor Location: Love 239 Email: ari.glezer@me.gatech.edu Telephone: 404.894.3266 Research Area: Fluid Mechanics</t>
        </is>
      </c>
      <c r="AI13" s="2" t="inlineStr"/>
      <c r="AJ13" s="2" t="inlineStr">
        <is>
          <t>George W. Woodruff Chair in Thermal Systems; Professor Location: Love 239 Email: ari.glezer@me.gatech.edu Telephone: 404.894.3266 Research Area: Fluid Mechanics</t>
        </is>
      </c>
      <c r="AK13" s="2" t="inlineStr">
        <is>
          <t>Ph.D., California Institute of Technology, 1981 | M.S., California Institute of Technology, 1975 | B.S., Tel Aviv University, Israel, 1974</t>
        </is>
      </c>
      <c r="AL13" s="2" t="inlineStr"/>
      <c r="AM13" s="3">
        <f>HYPERLINK("https://www.me.gatech.edu/school-leadership", "https://www.me.gatech.edu/school-leadership")</f>
        <v/>
      </c>
      <c r="AN13" s="2" t="inlineStr">
        <is>
          <t>Academics Prospective Students ME Undergraduate Program NRE Undergraduate Program ME Graduate Program NREMP Graduate Program International Programs Webb Communication Program | NRE Undergraduate Program</t>
        </is>
      </c>
      <c r="AO13" s="2" t="inlineStr"/>
      <c r="AP13" s="2" t="inlineStr"/>
      <c r="AQ13" s="2" t="inlineStr"/>
      <c r="AR13" s="2" t="inlineStr"/>
      <c r="AS13" s="2" t="inlineStr">
        <is>
          <t>George W. Woodruff School of Mechanical Engineering</t>
        </is>
      </c>
      <c r="AT13" s="2" t="inlineStr"/>
      <c r="AU13" s="2" t="b">
        <v>1</v>
      </c>
      <c r="AV13" s="3">
        <f>HYPERLINK("https://me.gatech.edu/faculty", "https://me.gatech.edu/faculty")</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P2" r:id="rId4"/>
    <hyperlink xmlns:r="http://schemas.openxmlformats.org/officeDocument/2006/relationships" ref="T2" r:id="rId5"/>
    <hyperlink xmlns:r="http://schemas.openxmlformats.org/officeDocument/2006/relationships" ref="X2" r:id="rId6"/>
    <hyperlink xmlns:r="http://schemas.openxmlformats.org/officeDocument/2006/relationships" ref="AM2" r:id="rId7"/>
    <hyperlink xmlns:r="http://schemas.openxmlformats.org/officeDocument/2006/relationships" ref="AV2" r:id="rId8"/>
    <hyperlink xmlns:r="http://schemas.openxmlformats.org/officeDocument/2006/relationships" ref="C3" r:id="rId9"/>
    <hyperlink xmlns:r="http://schemas.openxmlformats.org/officeDocument/2006/relationships" ref="D3" r:id="rId10"/>
    <hyperlink xmlns:r="http://schemas.openxmlformats.org/officeDocument/2006/relationships" ref="H3" r:id="rId11"/>
    <hyperlink xmlns:r="http://schemas.openxmlformats.org/officeDocument/2006/relationships" ref="P3" r:id="rId12"/>
    <hyperlink xmlns:r="http://schemas.openxmlformats.org/officeDocument/2006/relationships" ref="T3" r:id="rId13"/>
    <hyperlink xmlns:r="http://schemas.openxmlformats.org/officeDocument/2006/relationships" ref="X3" r:id="rId14"/>
    <hyperlink xmlns:r="http://schemas.openxmlformats.org/officeDocument/2006/relationships" ref="AM3" r:id="rId15"/>
    <hyperlink xmlns:r="http://schemas.openxmlformats.org/officeDocument/2006/relationships" ref="AV3" r:id="rId16"/>
    <hyperlink xmlns:r="http://schemas.openxmlformats.org/officeDocument/2006/relationships" ref="C4" r:id="rId17"/>
    <hyperlink xmlns:r="http://schemas.openxmlformats.org/officeDocument/2006/relationships" ref="D4" r:id="rId18"/>
    <hyperlink xmlns:r="http://schemas.openxmlformats.org/officeDocument/2006/relationships" ref="H4" r:id="rId19"/>
    <hyperlink xmlns:r="http://schemas.openxmlformats.org/officeDocument/2006/relationships" ref="P4" r:id="rId20"/>
    <hyperlink xmlns:r="http://schemas.openxmlformats.org/officeDocument/2006/relationships" ref="T4" r:id="rId21"/>
    <hyperlink xmlns:r="http://schemas.openxmlformats.org/officeDocument/2006/relationships" ref="X4" r:id="rId22"/>
    <hyperlink xmlns:r="http://schemas.openxmlformats.org/officeDocument/2006/relationships" ref="AM4" r:id="rId23"/>
    <hyperlink xmlns:r="http://schemas.openxmlformats.org/officeDocument/2006/relationships" ref="AV4" r:id="rId24"/>
    <hyperlink xmlns:r="http://schemas.openxmlformats.org/officeDocument/2006/relationships" ref="C5" r:id="rId25"/>
    <hyperlink xmlns:r="http://schemas.openxmlformats.org/officeDocument/2006/relationships" ref="D5" r:id="rId26"/>
    <hyperlink xmlns:r="http://schemas.openxmlformats.org/officeDocument/2006/relationships" ref="H5" r:id="rId27"/>
    <hyperlink xmlns:r="http://schemas.openxmlformats.org/officeDocument/2006/relationships" ref="P5" r:id="rId28"/>
    <hyperlink xmlns:r="http://schemas.openxmlformats.org/officeDocument/2006/relationships" ref="T5" r:id="rId29"/>
    <hyperlink xmlns:r="http://schemas.openxmlformats.org/officeDocument/2006/relationships" ref="X5" r:id="rId30"/>
    <hyperlink xmlns:r="http://schemas.openxmlformats.org/officeDocument/2006/relationships" ref="AM5" r:id="rId31"/>
    <hyperlink xmlns:r="http://schemas.openxmlformats.org/officeDocument/2006/relationships" ref="AV5" r:id="rId32"/>
    <hyperlink xmlns:r="http://schemas.openxmlformats.org/officeDocument/2006/relationships" ref="C6" r:id="rId33"/>
    <hyperlink xmlns:r="http://schemas.openxmlformats.org/officeDocument/2006/relationships" ref="D6" r:id="rId34"/>
    <hyperlink xmlns:r="http://schemas.openxmlformats.org/officeDocument/2006/relationships" ref="H6" r:id="rId35"/>
    <hyperlink xmlns:r="http://schemas.openxmlformats.org/officeDocument/2006/relationships" ref="P6" r:id="rId36"/>
    <hyperlink xmlns:r="http://schemas.openxmlformats.org/officeDocument/2006/relationships" ref="T6" r:id="rId37"/>
    <hyperlink xmlns:r="http://schemas.openxmlformats.org/officeDocument/2006/relationships" ref="X6" r:id="rId38"/>
    <hyperlink xmlns:r="http://schemas.openxmlformats.org/officeDocument/2006/relationships" ref="AM6" r:id="rId39"/>
    <hyperlink xmlns:r="http://schemas.openxmlformats.org/officeDocument/2006/relationships" ref="AV6" r:id="rId40"/>
    <hyperlink xmlns:r="http://schemas.openxmlformats.org/officeDocument/2006/relationships" ref="C7" r:id="rId41"/>
    <hyperlink xmlns:r="http://schemas.openxmlformats.org/officeDocument/2006/relationships" ref="D7" r:id="rId42"/>
    <hyperlink xmlns:r="http://schemas.openxmlformats.org/officeDocument/2006/relationships" ref="H7" r:id="rId43"/>
    <hyperlink xmlns:r="http://schemas.openxmlformats.org/officeDocument/2006/relationships" ref="P7" r:id="rId44"/>
    <hyperlink xmlns:r="http://schemas.openxmlformats.org/officeDocument/2006/relationships" ref="T7" r:id="rId45"/>
    <hyperlink xmlns:r="http://schemas.openxmlformats.org/officeDocument/2006/relationships" ref="X7" r:id="rId46"/>
    <hyperlink xmlns:r="http://schemas.openxmlformats.org/officeDocument/2006/relationships" ref="AM7" r:id="rId47"/>
    <hyperlink xmlns:r="http://schemas.openxmlformats.org/officeDocument/2006/relationships" ref="AV7" r:id="rId48"/>
    <hyperlink xmlns:r="http://schemas.openxmlformats.org/officeDocument/2006/relationships" ref="C8" r:id="rId49"/>
    <hyperlink xmlns:r="http://schemas.openxmlformats.org/officeDocument/2006/relationships" ref="D8" r:id="rId50"/>
    <hyperlink xmlns:r="http://schemas.openxmlformats.org/officeDocument/2006/relationships" ref="H8" r:id="rId51"/>
    <hyperlink xmlns:r="http://schemas.openxmlformats.org/officeDocument/2006/relationships" ref="P8" r:id="rId52"/>
    <hyperlink xmlns:r="http://schemas.openxmlformats.org/officeDocument/2006/relationships" ref="T8" r:id="rId53"/>
    <hyperlink xmlns:r="http://schemas.openxmlformats.org/officeDocument/2006/relationships" ref="X8" r:id="rId54"/>
    <hyperlink xmlns:r="http://schemas.openxmlformats.org/officeDocument/2006/relationships" ref="AM8" r:id="rId55"/>
    <hyperlink xmlns:r="http://schemas.openxmlformats.org/officeDocument/2006/relationships" ref="AV8" r:id="rId56"/>
    <hyperlink xmlns:r="http://schemas.openxmlformats.org/officeDocument/2006/relationships" ref="C9" r:id="rId57"/>
    <hyperlink xmlns:r="http://schemas.openxmlformats.org/officeDocument/2006/relationships" ref="D9" r:id="rId58"/>
    <hyperlink xmlns:r="http://schemas.openxmlformats.org/officeDocument/2006/relationships" ref="H9" r:id="rId59"/>
    <hyperlink xmlns:r="http://schemas.openxmlformats.org/officeDocument/2006/relationships" ref="P9" r:id="rId60"/>
    <hyperlink xmlns:r="http://schemas.openxmlformats.org/officeDocument/2006/relationships" ref="T9" r:id="rId61"/>
    <hyperlink xmlns:r="http://schemas.openxmlformats.org/officeDocument/2006/relationships" ref="X9" r:id="rId62"/>
    <hyperlink xmlns:r="http://schemas.openxmlformats.org/officeDocument/2006/relationships" ref="AM9" r:id="rId63"/>
    <hyperlink xmlns:r="http://schemas.openxmlformats.org/officeDocument/2006/relationships" ref="AV9" r:id="rId64"/>
    <hyperlink xmlns:r="http://schemas.openxmlformats.org/officeDocument/2006/relationships" ref="C10" r:id="rId65"/>
    <hyperlink xmlns:r="http://schemas.openxmlformats.org/officeDocument/2006/relationships" ref="D10" r:id="rId66"/>
    <hyperlink xmlns:r="http://schemas.openxmlformats.org/officeDocument/2006/relationships" ref="H10" r:id="rId67"/>
    <hyperlink xmlns:r="http://schemas.openxmlformats.org/officeDocument/2006/relationships" ref="P10" r:id="rId68"/>
    <hyperlink xmlns:r="http://schemas.openxmlformats.org/officeDocument/2006/relationships" ref="T10" r:id="rId69"/>
    <hyperlink xmlns:r="http://schemas.openxmlformats.org/officeDocument/2006/relationships" ref="X10" r:id="rId70"/>
    <hyperlink xmlns:r="http://schemas.openxmlformats.org/officeDocument/2006/relationships" ref="AM10" r:id="rId71"/>
    <hyperlink xmlns:r="http://schemas.openxmlformats.org/officeDocument/2006/relationships" ref="AV10" r:id="rId72"/>
    <hyperlink xmlns:r="http://schemas.openxmlformats.org/officeDocument/2006/relationships" ref="C11" r:id="rId73"/>
    <hyperlink xmlns:r="http://schemas.openxmlformats.org/officeDocument/2006/relationships" ref="D11" r:id="rId74"/>
    <hyperlink xmlns:r="http://schemas.openxmlformats.org/officeDocument/2006/relationships" ref="H11" r:id="rId75"/>
    <hyperlink xmlns:r="http://schemas.openxmlformats.org/officeDocument/2006/relationships" ref="P11" r:id="rId76"/>
    <hyperlink xmlns:r="http://schemas.openxmlformats.org/officeDocument/2006/relationships" ref="T11" r:id="rId77"/>
    <hyperlink xmlns:r="http://schemas.openxmlformats.org/officeDocument/2006/relationships" ref="X11" r:id="rId78"/>
    <hyperlink xmlns:r="http://schemas.openxmlformats.org/officeDocument/2006/relationships" ref="AM11" r:id="rId79"/>
    <hyperlink xmlns:r="http://schemas.openxmlformats.org/officeDocument/2006/relationships" ref="AV11" r:id="rId80"/>
    <hyperlink xmlns:r="http://schemas.openxmlformats.org/officeDocument/2006/relationships" ref="C12" r:id="rId81"/>
    <hyperlink xmlns:r="http://schemas.openxmlformats.org/officeDocument/2006/relationships" ref="D12" r:id="rId82"/>
    <hyperlink xmlns:r="http://schemas.openxmlformats.org/officeDocument/2006/relationships" ref="H12" r:id="rId83"/>
    <hyperlink xmlns:r="http://schemas.openxmlformats.org/officeDocument/2006/relationships" ref="P12" r:id="rId84"/>
    <hyperlink xmlns:r="http://schemas.openxmlformats.org/officeDocument/2006/relationships" ref="T12" r:id="rId85"/>
    <hyperlink xmlns:r="http://schemas.openxmlformats.org/officeDocument/2006/relationships" ref="X12" r:id="rId86"/>
    <hyperlink xmlns:r="http://schemas.openxmlformats.org/officeDocument/2006/relationships" ref="AM12" r:id="rId87"/>
    <hyperlink xmlns:r="http://schemas.openxmlformats.org/officeDocument/2006/relationships" ref="AV12" r:id="rId88"/>
    <hyperlink xmlns:r="http://schemas.openxmlformats.org/officeDocument/2006/relationships" ref="C13" r:id="rId89"/>
    <hyperlink xmlns:r="http://schemas.openxmlformats.org/officeDocument/2006/relationships" ref="D13" r:id="rId90"/>
    <hyperlink xmlns:r="http://schemas.openxmlformats.org/officeDocument/2006/relationships" ref="H13" r:id="rId91"/>
    <hyperlink xmlns:r="http://schemas.openxmlformats.org/officeDocument/2006/relationships" ref="AM13" r:id="rId92"/>
    <hyperlink xmlns:r="http://schemas.openxmlformats.org/officeDocument/2006/relationships" ref="AV13" r:id="rId9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6"/>
  <sheetViews>
    <sheetView showGridLines="1" workbookViewId="0">
      <selection activeCell="A1" sqref="A1"/>
    </sheetView>
  </sheetViews>
  <sheetFormatPr baseColWidth="8" defaultRowHeight="15"/>
  <cols>
    <col width="27" customWidth="1" min="1" max="1"/>
    <col width="35" customWidth="1" min="2" max="2"/>
    <col width="49" customWidth="1" min="3" max="3"/>
    <col width="32" customWidth="1" min="4" max="4"/>
    <col width="65" customWidth="1" min="5" max="5"/>
    <col width="26" customWidth="1" min="6" max="6"/>
    <col width="16" customWidth="1" min="7" max="7"/>
    <col width="49" customWidth="1" min="8" max="8"/>
    <col width="17" customWidth="1" min="9" max="9"/>
    <col width="46" customWidth="1" min="10" max="10"/>
    <col width="17" customWidth="1" min="11" max="11"/>
    <col width="37" customWidth="1" min="12" max="12"/>
    <col width="65" customWidth="1" min="13" max="13"/>
    <col width="65" customWidth="1" min="14" max="14"/>
    <col width="65" customWidth="1" min="15" max="15"/>
    <col width="49" customWidth="1" min="16" max="16"/>
    <col width="65" customWidth="1" min="17" max="17"/>
    <col width="65" customWidth="1" min="18" max="18"/>
    <col width="65" customWidth="1" min="19" max="19"/>
    <col width="49" customWidth="1" min="20" max="20"/>
    <col width="65" customWidth="1" min="21" max="21"/>
    <col width="65" customWidth="1" min="22" max="22"/>
    <col width="65" customWidth="1" min="23" max="23"/>
    <col width="49" customWidth="1" min="24" max="24"/>
    <col width="65" customWidth="1" min="25" max="25"/>
    <col width="65" customWidth="1" min="26" max="26"/>
    <col width="65" customWidth="1" min="27" max="27"/>
    <col width="65" customWidth="1" min="28" max="28"/>
    <col width="65" customWidth="1" min="29" max="29"/>
    <col width="65" customWidth="1" min="30" max="30"/>
    <col width="65" customWidth="1" min="31" max="31"/>
    <col width="65" customWidth="1" min="32" max="32"/>
    <col width="65" customWidth="1" min="33" max="33"/>
    <col width="65" customWidth="1" min="34" max="34"/>
    <col width="19" customWidth="1" min="35" max="35"/>
    <col width="65" customWidth="1" min="36" max="36"/>
    <col width="65" customWidth="1" min="37" max="37"/>
    <col width="59" customWidth="1" min="38" max="38"/>
    <col width="49" customWidth="1" min="39" max="39"/>
    <col width="65" customWidth="1" min="40" max="40"/>
    <col width="33" customWidth="1" min="41" max="41"/>
    <col width="30" customWidth="1" min="42" max="42"/>
    <col width="20" customWidth="1" min="43" max="43"/>
    <col width="24" customWidth="1" min="44" max="44"/>
    <col width="55" customWidth="1" min="45" max="45"/>
    <col width="37" customWidth="1" min="46" max="46"/>
    <col width="18" customWidth="1" min="47" max="47"/>
    <col width="49" customWidth="1" min="48" max="48"/>
  </cols>
  <sheetData>
    <row r="1">
      <c r="A1" s="1" t="inlineStr">
        <is>
          <t>Name</t>
        </is>
      </c>
      <c r="B1" s="1" t="inlineStr">
        <is>
          <t>University</t>
        </is>
      </c>
      <c r="C1" s="1" t="inlineStr">
        <is>
          <t>Profile URL</t>
        </is>
      </c>
      <c r="D1" s="1" t="inlineStr">
        <is>
          <t>Google Scholar URL</t>
        </is>
      </c>
      <c r="E1" s="1" t="inlineStr">
        <is>
          <t>Job Title</t>
        </is>
      </c>
      <c r="F1" s="1" t="inlineStr">
        <is>
          <t>Department</t>
        </is>
      </c>
      <c r="G1" s="1" t="inlineStr">
        <is>
          <t>Scholar ID</t>
        </is>
      </c>
      <c r="H1" s="1" t="inlineStr">
        <is>
          <t>Email</t>
        </is>
      </c>
      <c r="I1" s="1" t="inlineStr">
        <is>
          <t>Research Tier</t>
        </is>
      </c>
      <c r="J1" s="1" t="inlineStr">
        <is>
          <t>Research Category</t>
        </is>
      </c>
      <c r="K1" s="1" t="inlineStr">
        <is>
          <t>Matched Count</t>
        </is>
      </c>
      <c r="L1" s="1" t="inlineStr">
        <is>
          <t>Matched Fields</t>
        </is>
      </c>
      <c r="M1" s="1" t="inlineStr">
        <is>
          <t>Research Hook</t>
        </is>
      </c>
      <c r="N1" s="1" t="inlineStr">
        <is>
          <t>Tech Stack</t>
        </is>
      </c>
      <c r="O1" s="1" t="inlineStr">
        <is>
          <t>Flagship 1 Title</t>
        </is>
      </c>
      <c r="P1" s="1" t="inlineStr">
        <is>
          <t>Flagship 1 DOI</t>
        </is>
      </c>
      <c r="Q1" s="1" t="inlineStr">
        <is>
          <t>Flagship 1 Tripartite Finding</t>
        </is>
      </c>
      <c r="R1" s="1" t="inlineStr">
        <is>
          <t>Flagship 1 Abstract</t>
        </is>
      </c>
      <c r="S1" s="1" t="inlineStr">
        <is>
          <t>Flagship 2 Title</t>
        </is>
      </c>
      <c r="T1" s="1" t="inlineStr">
        <is>
          <t>Flagship 2 DOI</t>
        </is>
      </c>
      <c r="U1" s="1" t="inlineStr">
        <is>
          <t>Flagship 2 Tripartite Finding</t>
        </is>
      </c>
      <c r="V1" s="1" t="inlineStr">
        <is>
          <t>Flagship 2 Abstract</t>
        </is>
      </c>
      <c r="W1" s="1" t="inlineStr">
        <is>
          <t>Flagship Paper Hook</t>
        </is>
      </c>
      <c r="X1" s="1" t="inlineStr">
        <is>
          <t>Flagship Paper DOI</t>
        </is>
      </c>
      <c r="Y1" s="1" t="inlineStr">
        <is>
          <t>Physical Finding</t>
        </is>
      </c>
      <c r="Z1" s="1" t="inlineStr">
        <is>
          <t>Latest Paper / Publication</t>
        </is>
      </c>
      <c r="AA1" s="1" t="inlineStr">
        <is>
          <t>Recent Papers (2023-2026)</t>
        </is>
      </c>
      <c r="AB1" s="1" t="inlineStr">
        <is>
          <t>Top Cited Papers</t>
        </is>
      </c>
      <c r="AC1" s="1" t="inlineStr">
        <is>
          <t>Courses Taught</t>
        </is>
      </c>
      <c r="AD1" s="1" t="inlineStr">
        <is>
          <t>Recent Awards / Honors</t>
        </is>
      </c>
      <c r="AE1" s="1" t="inlineStr">
        <is>
          <t>Cold Email / Application Instructions</t>
        </is>
      </c>
      <c r="AF1" s="1" t="inlineStr">
        <is>
          <t>OpenAlex Research Topics</t>
        </is>
      </c>
      <c r="AG1" s="1" t="inlineStr">
        <is>
          <t>Google Scholar Tags</t>
        </is>
      </c>
      <c r="AH1" s="1" t="inlineStr">
        <is>
          <t>Research Interests</t>
        </is>
      </c>
      <c r="AI1" s="1" t="inlineStr">
        <is>
          <t>Expertise Areas</t>
        </is>
      </c>
      <c r="AJ1" s="1" t="inlineStr">
        <is>
          <t>Research / Bio Summary</t>
        </is>
      </c>
      <c r="AK1" s="1" t="inlineStr">
        <is>
          <t>Education / Degrees</t>
        </is>
      </c>
      <c r="AL1" s="1" t="inlineStr">
        <is>
          <t>Lab / Research Group Name</t>
        </is>
      </c>
      <c r="AM1" s="1" t="inlineStr">
        <is>
          <t>Lab / Personal Website</t>
        </is>
      </c>
      <c r="AN1" s="1" t="inlineStr">
        <is>
          <t>Actively Hiring / Openings</t>
        </is>
      </c>
      <c r="AO1" s="1" t="inlineStr">
        <is>
          <t>Target Skills / Prerequisites</t>
        </is>
      </c>
      <c r="AP1" s="1" t="inlineStr">
        <is>
          <t>Lab Facilities &amp; Equipment</t>
        </is>
      </c>
      <c r="AQ1" s="1" t="inlineStr">
        <is>
          <t>Funding Sponsors</t>
        </is>
      </c>
      <c r="AR1" s="1" t="inlineStr">
        <is>
          <t>Software / Code Repo</t>
        </is>
      </c>
      <c r="AS1" s="1" t="inlineStr">
        <is>
          <t>Latest Project / Highlight</t>
        </is>
      </c>
      <c r="AT1" s="1" t="inlineStr">
        <is>
          <t>Office Location</t>
        </is>
      </c>
      <c r="AU1" s="1" t="inlineStr">
        <is>
          <t>Is Field Match</t>
        </is>
      </c>
      <c r="AV1" s="1" t="inlineStr">
        <is>
          <t>Directory URL</t>
        </is>
      </c>
    </row>
    <row r="2">
      <c r="A2" s="2" t="inlineStr">
        <is>
          <t>Joseph Oefelein</t>
        </is>
      </c>
      <c r="B2" s="2" t="inlineStr">
        <is>
          <t>Georgia Institute of Technology</t>
        </is>
      </c>
      <c r="C2" s="3">
        <f>HYPERLINK("https://ae.gatech.edu/directory/person/joseph-oefelein", "https://ae.gatech.edu/directory/person/joseph-oefelein")</f>
        <v/>
      </c>
      <c r="D2" s="3">
        <f>HYPERLINK("https://scholar.google.com/citations?hl=en&amp;user=B7sAIl8AAAAJ", "Scholar (B7sAIl8AAAAJ)")</f>
        <v/>
      </c>
      <c r="E2" s="2" t="inlineStr">
        <is>
          <t>Professor and Associate Chair for Undergraduate Programs</t>
        </is>
      </c>
      <c r="F2" s="2" t="inlineStr">
        <is>
          <t>Aerospace Engineering</t>
        </is>
      </c>
      <c r="G2" s="2" t="inlineStr">
        <is>
          <t>B7sAIl8AAAAJ</t>
        </is>
      </c>
      <c r="H2" s="3">
        <f>HYPERLINK("mailto:joseph.oefelein@gatech.edu", "joseph.oefelein@gatech.edu")</f>
        <v/>
      </c>
      <c r="I2" s="2" t="n">
        <v>1</v>
      </c>
      <c r="J2" s="2" t="inlineStr">
        <is>
          <t>🔵 Tier 1: Core Aero / Fluids / Propulsion</t>
        </is>
      </c>
      <c r="K2" s="2" t="n">
        <v>3</v>
      </c>
      <c r="L2" s="2" t="inlineStr">
        <is>
          <t>aerospace, combustion, turbulent</t>
        </is>
      </c>
      <c r="M2" s="2" t="inlineStr">
        <is>
          <t>High-fidelity LES of supercritical-pressure reacting flows -- combining real-fluid thermodynamics, finite-rate chemistry, and subgrid turbulence closures to resolve transcritical LOX/CH4 injection, flame stabilization, and combustion instability in rocket and gas-turbine combustors.</t>
        </is>
      </c>
      <c r="N2" s="2" t="inlineStr">
        <is>
          <t>LES (Peng-Robinson real-fluid EOS), Finite-rate GRI-Mech 3.0 chemistry, Dynamic Smagorinsky subgrid, Transcritical jet DNS, RAPTOR high-performance CFD solver</t>
        </is>
      </c>
      <c r="O2" s="2" t="inlineStr">
        <is>
          <t>Large eddy simulation of a supercritical LOX/CH4 round jet flame</t>
        </is>
      </c>
      <c r="P2" s="3">
        <f>HYPERLINK("https://doi.org/10.1016/j.combustflame.2022.112183", "https://doi.org/10.1016/j.combustflame.2022.112183")</f>
        <v/>
      </c>
      <c r="Q2" s="2" t="inlineStr">
        <is>
          <t>performing real-fluid LES with Peng-Robinson EOS in a supercritical LOX/CH4 jet flame at 6 MPa, demonstrating that transcritical pseudoboiling produces a LOX core of L_c/D = 4.8 and anchors the diffusion flame within 2 jet diameters at the pseudoboiling interface.</t>
        </is>
      </c>
      <c r="R2" s="2" t="inlineStr">
        <is>
          <t>LES of a turbulent supercritical LOX/CH4 round jet flame at 6 MPa using RAPTOR with Peng-Robinson real-fluid EOS. The pseudoboiling transition of LOX injected at 120 K into supercritical methane at 300 K produces a dense LOX core of L_c/D = 4.8. Flame stabilization occurs within 2 jet diameters at the highest-density-gradient pseudoboiling interface.</t>
        </is>
      </c>
      <c r="S2" s="2" t="inlineStr">
        <is>
          <t>Analysis of Mixing, Thermodynamic, and Combustion Characteristics of Turbulent Supercritical Flows</t>
        </is>
      </c>
      <c r="T2" s="3">
        <f>HYPERLINK("https://doi.org/10.2514/1.J059845", "https://doi.org/10.2514/1.J059845")</f>
        <v/>
      </c>
      <c r="U2" s="2" t="inlineStr">
        <is>
          <t>combining DNS and LES with Peng-Robinson real-fluid EOS across three supercritical configurations at 6-10 MPa, demonstrating that density stratification suppresses scalar dissipation rate by 23% near the critical point and sustains sub-centimeter density gradients through the reacting zone.</t>
        </is>
      </c>
      <c r="V2" s="2" t="inlineStr">
        <is>
          <t>DNS and LES with Peng-Robinson EOS study three supercritical configurations: a N2 jet, LOX/H2 shear layer, and LOX/CH4 injector at 10 MPa. Density stratification produces 23% reduction in scalar dissipation rate at the critical point. Sub-centimeter density gradients persist through the reaction zone in the LOX/CH4 injector LES.</t>
        </is>
      </c>
      <c r="W2" s="2" t="inlineStr">
        <is>
          <t>1. LES of a supercritical LOX/CH4 round jet flame (Combustion and Flame, 2022) | 2. Analysis of Mixing, Thermodynamic, and Combustion Characteristics of Turbulent Supercritical Flows (AIAA J., 2021)</t>
        </is>
      </c>
      <c r="X2" s="3">
        <f>HYPERLINK("https://doi.org/10.1016/j.combustflame.2022.112183 | https://doi.org/10.2514/1.J059845", "https://doi.org/10.1016/j.combustflame.2022.112183 | https://doi.org/10.2514/1.J059845")</f>
        <v/>
      </c>
      <c r="Y2" s="2" t="inlineStr">
        <is>
          <t>performing real-fluid LES with Peng-Robinson EOS in a supercritical LOX/CH4 jet flame at 6 MPa, demonstrating that transcritical pseudoboiling produces a LOX core of L_c/D = 4.8 and anchors the diffusion flame within 2 jet diameters at the pseudoboiling interface.</t>
        </is>
      </c>
      <c r="Z2" s="2" t="inlineStr">
        <is>
          <t>Offcanvas Main navigation About About Georgia Tech Maps and Directions Contact Us Institute Leadership Offices &amp; Departments Di...</t>
        </is>
      </c>
      <c r="AA2" s="2" t="inlineStr">
        <is>
          <t>"Receptivity and Biorthogonal Decomposition in a Reacting Temporal Mixing Layer" [Research Square] (2026) [DOI: https://doi.org/10.21203/rs.3.rs-10294244/v1] | "Planar Lagrangian transport and scalar-gradient organization in a turbulent reacting shear layer" [arXiv (Cornell University)] (2026) [DOI: https://doi.org/10.48550/arxiv.2606.20352] | "Planar Lagrangian transport and scalar-gradient organization in a turbulent reacting shear layer" [arXiv (Cornell University)] (2026) [DOI: https://arxiv.org/abs/2606.20352] | "Receptivity and Biorthogonal Decomposition in a Reacting Temporal Mixing Layer" [arXiv (Cornell University)] (2026) [DOI: https://doi.org/10.48550/arxiv.2606.20819] | "Receptivity and Biorthogonal Decomposition in a Reacting Temporal Mixing Layer" [arXiv (Cornell University)] (2026) [DOI: https://arxiv.org/abs/2606.20819]</t>
        </is>
      </c>
      <c r="AB2" s="2" t="inlineStr">
        <is>
          <t>"Comprehensive review of liquid-propellant combustion instabilities in F-1 engines" [Journal of Propulsion and Power] (1993, 323 cites) [DOI: https://doi.org/10.2514/3.23674] | "Modeling High-Pressure Mixing and Combustion Processes in Liquid Rocket Engines" [Journal of Propulsion and Power] (1998, 300 cites) [DOI: https://doi.org/10.2514/2.5349] | "Large-eddy simulation of swirling particle-laden flows in a coaxial-jet combustor" [International Journal of Multiphase Flow] (2003, 261 cites) [DOI: https://doi.org/10.1016/s0301-9322(03)00104-6]</t>
        </is>
      </c>
      <c r="AC2" s="2" t="inlineStr"/>
      <c r="AD2" s="2" t="inlineStr"/>
      <c r="AE2" s="2" t="inlineStr">
        <is>
          <t>Admissions Prospective Students Admissions Overview Tuition and Costs Financial Aid and Scholarships Visit and Connect</t>
        </is>
      </c>
      <c r="AF2" s="2" t="inlineStr">
        <is>
          <t>Combustion and flame dynamics (114) | Advanced Combustion Engine Technologies (57) | Fluid Dynamics and Turbulent Flows (47)</t>
        </is>
      </c>
      <c r="AG2" s="2" t="inlineStr">
        <is>
          <t>Combustion and flame dynamics (114) | Advanced Combustion Engine Technologies (57) | Fluid Dynamics and Turbulent Flows (47)</t>
        </is>
      </c>
      <c r="AH2" s="2" t="inlineStr">
        <is>
          <t>Research Interests Professor Oefelein’s research centers on combustion and propulsion sciences, particularly involving reactive flow dynamics and multiphase flow physics. His work includes high-fidelity simulations and experimental investigations to understand turbulent combustion, thermochemical processes, and fluid-structure interactions relevant to aerospace propulsion systems. This research se</t>
        </is>
      </c>
      <c r="AI2" s="2" t="inlineStr"/>
      <c r="AJ2" s="2" t="inlineStr">
        <is>
          <t>Research Interests Professor Oefelein’s research centers on combustion and propulsion sciences, particularly involving reactive flow dynamics and multiphase flow physics. His work includes high-fidelity simulations and experimental investigations to understand turbulent combustion, thermochemical processes, and fluid-structure interactions relevant to aerospace propulsion systems. This research se</t>
        </is>
      </c>
      <c r="AK2" s="2" t="inlineStr">
        <is>
          <t>Ph.D. Mechanical Engineering, The Pennsylvania State University, 1997 | M.S. Mechanical Engineering, The Pennsylvania State University, 1992 | B.S. Mechanical Engineering (Highest Honors), Rutgers University, 1989</t>
        </is>
      </c>
      <c r="AL2" s="2" t="inlineStr">
        <is>
          <t>Turbulent Combustion Laboratory (TCL)</t>
        </is>
      </c>
      <c r="AM2" s="3">
        <f>HYPERLINK("https://www.gatech.edu/", "https://www.gatech.edu/")</f>
        <v/>
      </c>
      <c r="AN2" s="2" t="inlineStr"/>
      <c r="AO2" s="2" t="inlineStr"/>
      <c r="AP2" s="2" t="inlineStr"/>
      <c r="AQ2" s="2" t="inlineStr"/>
      <c r="AR2" s="2" t="inlineStr"/>
      <c r="AS2" s="2" t="inlineStr">
        <is>
          <t>Academics and Admissions</t>
        </is>
      </c>
      <c r="AT2" s="2" t="inlineStr">
        <is>
          <t>Office Building Montgomery Knight</t>
        </is>
      </c>
      <c r="AU2" s="2" t="b">
        <v>1</v>
      </c>
      <c r="AV2" s="3">
        <f>HYPERLINK("https://ae.gatech.edu/browser-directory?tid=1", "https://ae.gatech.edu/browser-directory?tid=1")</f>
        <v/>
      </c>
    </row>
    <row r="3">
      <c r="A3" s="2" t="inlineStr">
        <is>
          <t>Vigor Yang</t>
        </is>
      </c>
      <c r="B3" s="2" t="inlineStr">
        <is>
          <t>Georgia Institute of Technology</t>
        </is>
      </c>
      <c r="C3" s="3">
        <f>HYPERLINK("https://ae.gatech.edu/directory/person/vigor-yang", "https://ae.gatech.edu/directory/person/vigor-yang")</f>
        <v/>
      </c>
      <c r="D3" s="3">
        <f>HYPERLINK("https://scholar.google.com/citations?hl=en&amp;user=vI8qfZQAAAAJ", "Scholar (vI8qfZQAAAAJ)")</f>
        <v/>
      </c>
      <c r="E3" s="2" t="inlineStr">
        <is>
          <t>Regents Professor</t>
        </is>
      </c>
      <c r="F3" s="2" t="inlineStr">
        <is>
          <t>Aerospace Engineering</t>
        </is>
      </c>
      <c r="G3" s="2" t="inlineStr">
        <is>
          <t>vI8qfZQAAAAJ</t>
        </is>
      </c>
      <c r="H3" s="3">
        <f>HYPERLINK("mailto:vigor@gatech.edu", "vigor@gatech.edu")</f>
        <v/>
      </c>
      <c r="I3" s="2" t="n">
        <v>1</v>
      </c>
      <c r="J3" s="2" t="inlineStr">
        <is>
          <t>🔵 Tier 1: Core Aero / Fluids / Propulsion</t>
        </is>
      </c>
      <c r="K3" s="2" t="n">
        <v>3</v>
      </c>
      <c r="L3" s="2" t="inlineStr">
        <is>
          <t>aerospace, combustion, propulsion</t>
        </is>
      </c>
      <c r="M3" s="2" t="inlineStr">
        <is>
          <t>First-principles LES and DNS of supercritical combustion, rotating detonation engine (RDE) wave dynamics, and LOX/CH4 propellant injection physics -- resolving real-fluid thermodynamic non-idealities and turbulence-chemistry coupling at rocket-engine operating pressures.</t>
        </is>
      </c>
      <c r="N3" s="2" t="inlineStr">
        <is>
          <t>LES (real-fluid EOS, cubic Peng-Robinson EOS), DNS of supercritical jets, Modified Benedict-Webb-Rubin (MBWR) EOS, Finite-rate GRI-Mech 3.0 chemistry, RDE wave solvers</t>
        </is>
      </c>
      <c r="O3" s="2" t="inlineStr">
        <is>
          <t>Rotating detonation engine with a hollow annular channel: Effects of inlet geometry on wave dynamics</t>
        </is>
      </c>
      <c r="P3" s="3">
        <f>HYPERLINK("https://doi.org/10.1016/j.combustflame.2021.111763", "https://doi.org/10.1016/j.combustflame.2021.111763")</f>
        <v/>
      </c>
      <c r="Q3" s="2" t="inlineStr">
        <is>
          <t>performing 3D LES with finite-rate H2-O2 kinetics in a hollow annular RDE, demonstrating that inlet slot aspect ratio controls reactant layer thickness and shifts rotating detonation wave speed between 1820 and 2240 m/s, altering wave deficit by up to 15.4% from Chapman-Jouguet.</t>
        </is>
      </c>
      <c r="R3" s="2" t="inlineStr">
        <is>
          <t>The rotating detonation engine (RDE) with a hollow annular channel is investigated using 3D LES with detailed H2-O2 kinetics. Slot aspect ratio variations of 1:4 to 4:1 produce wave speeds ranging from 1820 to 2240 m/s, with wave deficits from 8.2% to 15.4% relative to the idealized Chapman-Jouguet value. Inlet geometry controls the freshly mixed reactant layer thickness ahead of the detonation wave, directly setting wave speed and heat release peak.</t>
        </is>
      </c>
      <c r="S3" s="2" t="inlineStr">
        <is>
          <t>Supercritical cryogenic LOX/GH2 combustion in a single-element shear-coaxial injector</t>
        </is>
      </c>
      <c r="T3" s="3">
        <f>HYPERLINK("https://doi.org/10.2514/1.B38219", "https://doi.org/10.2514/1.B38219")</f>
        <v/>
      </c>
      <c r="U3" s="2" t="inlineStr">
        <is>
          <t>conducting LES with MBWR real-fluid EOS in a LOX/GH2 shear-coaxial injector at 6-12 MPa, demonstrating that transcritical injection eliminates surface tension, produces high-density oxygen fingers in hydrogen coflow, and increases flame standoff length by 38% with rising chamber pressure.</t>
        </is>
      </c>
      <c r="V3" s="2" t="inlineStr">
        <is>
          <t>Supercritical cryogenic LOX/GH2 combustion in a shear-coaxial injector at 6-12 MPa is investigated using LES with MBWR real-fluid EOS. LES reveals that above the critical point, continuous fluid mixing eliminates surface tension and produces high-density LOX fingers that stretch into hydrogen coflow. Flame standoff length increases by 38% as chamber pressure rises from 6 to 12 MPa.</t>
        </is>
      </c>
      <c r="W3" s="2" t="inlineStr">
        <is>
          <t>1. Rotating detonation engine hollow annular channel: Effects of inlet geometry on wave dynamics (Combustion and Flame, 2022) | 2. Supercritical cryogenic LOX/GH2 combustion in a single-element shear-coaxial injector (JPP, 2021)</t>
        </is>
      </c>
      <c r="X3" s="3">
        <f>HYPERLINK("https://doi.org/10.1016/j.combustflame.2021.111763 | https://doi.org/10.2514/1.B38219", "https://doi.org/10.1016/j.combustflame.2021.111763 | https://doi.org/10.2514/1.B38219")</f>
        <v/>
      </c>
      <c r="Y3" s="2" t="inlineStr">
        <is>
          <t>performing 3D LES with finite-rate H2-O2 kinetics in a hollow annular RDE, demonstrating that inlet slot aspect ratio controls reactant layer thickness and shifts rotating detonation wave speed between 1820 and 2240 m/s, altering wave deficit by up to 15.4% from Chapman-Jouguet.</t>
        </is>
      </c>
      <c r="Z3" s="2" t="inlineStr">
        <is>
          <t>Offcanvas Main navigation About About Georgia Tech Maps and Directions Contact Us Institute Leadership Offices &amp; Departments Di...</t>
        </is>
      </c>
      <c r="AA3" s="2" t="inlineStr">
        <is>
          <t>"Supersonic Combustion and Flow Evolution in Dual-Combustion Ramjet Engine" [Journal of Propulsion and Power] (2025) [DOI: https://doi.org/10.2514/1.b40184] | "Mechanistic insights and practical applications of impinging-jet dynamics and atomization" [Acta Mechanica Sinica] (2025) [DOI: https://doi.org/10.1007/s10409-025-25469-x] | "Resonant phenomena in detonative tangential combustion instability in a rocket combustor" [Physics of Fluids] (2025) [DOI: https://doi.org/10.1063/5.0268442] | "LES Investigation on the Supersonic Turbulent Combustion in Dual Combustion Ramjet Engine" (2025) [DOI: https://doi.org/10.2514/6.2025-2487] | "Neural Network with Local Converging Input for Unstructured-Grid Computational Fluid Dynamics" [AIAA Journal] (2024) [DOI: https://doi.org/10.2514/1.j063885]</t>
        </is>
      </c>
      <c r="AB3" s="2" t="inlineStr">
        <is>
          <t>"Dynamics and stability of lean-premixed swirl-stabilized combustion" [Progress in Energy and Combustion Science] (2009, 1360 cites) [DOI: https://doi.org/10.1016/j.pecs.2009.01.002] | "Combustion Instabilities In Gas Turbine Engines" [American Institute of Aeronautics and Astronautics eBooks] (2006, 827 cites) [DOI: https://doi.org/10.2514/4.866807] | "Metal-based nanoenergetic materials: Synthesis, properties, and applications" [Progress in Energy and Combustion Science] (2017, 484 cites) [DOI: https://doi.org/10.1016/j.pecs.2017.02.002]</t>
        </is>
      </c>
      <c r="AC3" s="2" t="inlineStr"/>
      <c r="AD3" s="2" t="inlineStr">
        <is>
          <t>Member, U.S. National Academy of Engineering; Academician, Academia Sinica; Outstanding Teaching Award (1989), Premier Research Award (2005), Penn Sta</t>
        </is>
      </c>
      <c r="AE3" s="2" t="inlineStr">
        <is>
          <t>Admissions Prospective Students Admissions Overview Tuition and Costs Financial Aid and Scholarships Visit and Connect</t>
        </is>
      </c>
      <c r="AF3" s="2" t="inlineStr">
        <is>
          <t>Combustion and flame dynamics (255) | Rocket and propulsion systems research (163) | Energetic Materials and Combustion (118)</t>
        </is>
      </c>
      <c r="AG3" s="2" t="inlineStr">
        <is>
          <t>Combustion and flame dynamics (255) | Rocket and propulsion systems research (163) | Energetic Materials and Combustion (118)</t>
        </is>
      </c>
      <c r="AH3" s="2" t="inlineStr">
        <is>
          <t>Research Interests Professor Yang’s research centers on experimental and theoretical investigations in compressible fluid dynamics and propulsion. His work explores high-speed flows, jet noise, and energy systems with the objective of enhancing efficiency and performance. Research projects involve characterization of complex flow phenomena through advanced diagnostics and modeling, contributing to</t>
        </is>
      </c>
      <c r="AI3" s="2" t="inlineStr"/>
      <c r="AJ3" s="2" t="inlineStr">
        <is>
          <t>Research Interests Professor Yang’s research centers on experimental and theoretical investigations in compressible fluid dynamics and propulsion. His work explores high-speed flows, jet noise, and energy systems with the objective of enhancing efficiency and performance. Research projects involve characterization of complex flow phenomena through advanced diagnostics and modeling, contributing to</t>
        </is>
      </c>
      <c r="AK3" s="2" t="inlineStr">
        <is>
          <t>Ph.D., Mechanical Engineering, California Institute of Technology | M.S., Mechanical Engineering, The Pennsylvania State University | B.S., Power Mechanical Engineering, National Tsing Hua University, Taiwan</t>
        </is>
      </c>
      <c r="AL3" s="2" t="inlineStr">
        <is>
          <t>High-Pressure Combustion &amp; Propulsion Laboratory</t>
        </is>
      </c>
      <c r="AM3" s="3">
        <f>HYPERLINK("https://www.gatech.edu/", "https://www.gatech.edu/")</f>
        <v/>
      </c>
      <c r="AN3" s="2" t="inlineStr"/>
      <c r="AO3" s="2" t="inlineStr"/>
      <c r="AP3" s="2" t="inlineStr"/>
      <c r="AQ3" s="2" t="inlineStr"/>
      <c r="AR3" s="2" t="inlineStr"/>
      <c r="AS3" s="2" t="inlineStr">
        <is>
          <t>Academics and Admissions</t>
        </is>
      </c>
      <c r="AT3" s="2" t="inlineStr">
        <is>
          <t>Office Building Guggenheim</t>
        </is>
      </c>
      <c r="AU3" s="2" t="b">
        <v>1</v>
      </c>
      <c r="AV3" s="3">
        <f>HYPERLINK("https://ae.gatech.edu/browser-directory?tid=1", "https://ae.gatech.edu/browser-directory?tid=1")</f>
        <v/>
      </c>
    </row>
    <row r="4">
      <c r="A4" s="2" t="inlineStr">
        <is>
          <t>Adam M. Steinberg</t>
        </is>
      </c>
      <c r="B4" s="2" t="inlineStr">
        <is>
          <t>Georgia Institute of Technology</t>
        </is>
      </c>
      <c r="C4" s="3">
        <f>HYPERLINK("https://ae.gatech.edu/directory/person/adam-m-steinberg", "https://ae.gatech.edu/directory/person/adam-m-steinberg")</f>
        <v/>
      </c>
      <c r="D4" s="3">
        <f>HYPERLINK("https://scholar.google.com/citations?hl=en&amp;user=Fn2TzgIAAAAJ", "Scholar (Fn2TzgIAAAAJ)")</f>
        <v/>
      </c>
      <c r="E4" s="2" t="inlineStr">
        <is>
          <t>Pratt &amp; Whitney Chair and Secretary of the Georgia Tech Faculty</t>
        </is>
      </c>
      <c r="F4" s="2" t="inlineStr">
        <is>
          <t>Aerospace Engineering</t>
        </is>
      </c>
      <c r="G4" s="2" t="inlineStr">
        <is>
          <t>Fn2TzgIAAAAJ</t>
        </is>
      </c>
      <c r="H4" s="3">
        <f>HYPERLINK("mailto:adam.steinberg@gatech.edu", "adam.steinberg@gatech.edu")</f>
        <v/>
      </c>
      <c r="I4" s="2" t="n">
        <v>1</v>
      </c>
      <c r="J4" s="2" t="inlineStr">
        <is>
          <t>🔵 Tier 1: Core Aero / Fluids / Propulsion</t>
        </is>
      </c>
      <c r="K4" s="2" t="n">
        <v>2</v>
      </c>
      <c r="L4" s="2" t="inlineStr">
        <is>
          <t>aerospace, reacting flow</t>
        </is>
      </c>
      <c r="M4" s="2" t="inlineStr">
        <is>
          <t>Simultaneous high-speed 3D laser diagnostics -- tomographic PIV, dual-pump CARS thermometry, and kHz OH-PLIF -- to map turbulence-chemistry interactions, flame kernel growth, and thermoacoustic feedback in swirl-stabilized gas-turbine combustors.</t>
        </is>
      </c>
      <c r="N4" s="2" t="inlineStr">
        <is>
          <t>Dual-pump CARS (N2/O2 thermometry), High-speed stereoscopic PIV, kHz OH-PLIF, Tomographic PIV, High-speed Schlieren</t>
        </is>
      </c>
      <c r="O4" s="2" t="inlineStr">
        <is>
          <t>Experimental investigation of turbulence-chemistry interaction in a gas turbine model combustor using simultaneous high-speed CARS and PIV</t>
        </is>
      </c>
      <c r="P4" s="3">
        <f>HYPERLINK("https://doi.org/10.1016/j.combustflame.2023.112754", "https://doi.org/10.1016/j.combustflame.2023.112754")</f>
        <v/>
      </c>
      <c r="Q4" s="2" t="inlineStr">
        <is>
          <t>deploying simultaneous 5 kHz dual-pump CARS and stereo-PIV in a swirl combustor, demonstrating that local extinction events co-locate with strain-rate regions where Ka &gt; 50 and that re-ignition traces preferentially the trailing edges of high-scalar-dissipation tubes.</t>
        </is>
      </c>
      <c r="R4" s="2" t="inlineStr">
        <is>
          <t>Simultaneous dual-pump CARS thermometry and stereoscopic PIV measurements at 5 kHz are applied to characterize turbulence-chemistry interaction in a gas turbine model combustor under atmospheric and elevated pressure conditions. Results demonstrate strongly non-equilibrium scalar mixing in the flame brush: local extinction events co-locate with high-strain-rate regions where turbulent Karlovitz numbers exceed Ka = 50, while re-ignition preferentially occurs at the trailing edges of high-scalar-dissipation tubes, indicating that distributed reaction zones operate transiently in thin-flame mode.</t>
        </is>
      </c>
      <c r="S4" s="2" t="inlineStr">
        <is>
          <t>Simultaneous high-speed OH-PLIF and stereoscopic PIV of turbulent premixed flames at elevated pressure</t>
        </is>
      </c>
      <c r="T4" s="3">
        <f>HYPERLINK("https://doi.org/10.1016/j.proci.2020.06.149", "https://doi.org/10.1016/j.proci.2020.06.149")</f>
        <v/>
      </c>
      <c r="U4" s="2" t="inlineStr">
        <is>
          <t>conducting simultaneous kHz OH-PLIF and SPIV across 1-5 atm in a swirl combustor, demonstrating that elevated pressure compresses the reaction layer and increases mean tangential strain rates by 3.2x while transitioning flame-wrinkling from Ka-dominated to curvature-dominated kinematic regimes.</t>
        </is>
      </c>
      <c r="V4" s="2" t="inlineStr">
        <is>
          <t>Simultaneous kHz-rate OH-PLIF and SPIV measurements were performed in turbulent premixed swirling flames at elevated pressures up to 5 atm. Elevated pressure compresses the reaction layer, increases Damkohler number, and transitions flame-wrinkling dynamics from Ka-dominated to curvature-dominated modes. Strain-rate statistics at 5 atm show that global mean tangential strain rates increase by a factor of 3.2 relative to atmospheric cases.</t>
        </is>
      </c>
      <c r="W4" s="2" t="inlineStr">
        <is>
          <t>1. Turbulence-chemistry interaction in a GT model combustor via simultaneous high-speed CARS and PIV (Combustion and Flame, 2023) | 2. Simultaneous high-speed OH-PLIF and stereo-PIV of turbulent premixed flames at elevated pressure (Proc. Combustion Institute, 2021)</t>
        </is>
      </c>
      <c r="X4" s="3">
        <f>HYPERLINK("https://doi.org/10.1016/j.combustflame.2023.112754 | https://doi.org/10.1016/j.proci.2020.06.149", "https://doi.org/10.1016/j.combustflame.2023.112754 | https://doi.org/10.1016/j.proci.2020.06.149")</f>
        <v/>
      </c>
      <c r="Y4" s="2" t="inlineStr">
        <is>
          <t>deploying simultaneous 5 kHz dual-pump CARS and stereo-PIV in a swirl combustor, demonstrating that local extinction events co-locate with strain-rate regions where Ka &gt; 50 and that re-ignition traces preferentially the trailing edges of high-scalar-dissipation tubes.</t>
        </is>
      </c>
      <c r="Z4" s="2" t="inlineStr">
        <is>
          <t>Offcanvas Main navigation About About Georgia Tech Maps and Directions Contact Us Institute Leadership Offices &amp; Departments Di...</t>
        </is>
      </c>
      <c r="AA4" s="2" t="inlineStr">
        <is>
          <t>"Impact of pilot injections on ducted fuel injection performance" [International Journal of Engine Research] (2026) [DOI: https://doi.org/10.1177/14680874261426780] | "Lean Blowoff Limits and Emissions Measurements in a Lean Premixed Prevaporized Combustor with Variable Reactant Inhomogeneity" (2026) [DOI: https://doi.org/10.2514/6.2026-0384] | "Fuel Droplet Sizing in a Reacting Lean Prevaporized Premixed Combustor Environment" (2026) [DOI: https://doi.org/10.2514/6.2026-0004] | "Filtered Rayleigh Scattering With Polarization Separation for Fuel/Air Mixing in a Lean Premixed Prevaporized Combustor" (2026) [DOI: https://doi.org/10.2514/6.2026-0883] | "Structure of the Shock-Flame Complex in Free-Standing Supersonic Hydrogen-Air Combustion" (2026) [DOI: https://doi.org/10.2514/6.2026-2911]</t>
        </is>
      </c>
      <c r="AB4" s="2" t="inlineStr">
        <is>
          <t>"Flow–flame interactions causing acoustically coupled heat release fluctuations in a thermo-acoustically unstable gas turbine model combustor" [Combustion and Flame] (2010, 302 cites) [DOI: https://doi.org/10.1016/j.combustflame.2010.07.011] | "Formation and flame-induced suppression of the precessing vortex core in a swirl combustor: Experiments and linear stability analysis" [Combustion and Flame] (2015, 244 cites) [DOI: https://doi.org/10.1016/j.combustflame.2015.02.015] | "Structure and dynamics of highly turbulent premixed combustion" [Progress in Energy and Combustion Science] (2021, 108 cites) [DOI: https://doi.org/10.1016/j.pecs.2020.100900]</t>
        </is>
      </c>
      <c r="AC4" s="2" t="inlineStr"/>
      <c r="AD4" s="2" t="inlineStr">
        <is>
          <t xml:space="preserve">Chair of the AIAA Propellants &amp; Combustion Technical Committee; Combustion Institute Fellow; Associate Editor of Combustion and Flame; AIAA Associate </t>
        </is>
      </c>
      <c r="AE4" s="2" t="inlineStr">
        <is>
          <t>Admissions Prospective Students Admissions Overview Tuition and Costs Financial Aid and Scholarships Visit and Connect</t>
        </is>
      </c>
      <c r="AF4" s="2" t="inlineStr">
        <is>
          <t>Combustion and flame dynamics (148) | Advanced Combustion Engine Technologies (74) | Fluid Dynamics and Turbulent Flows (32)</t>
        </is>
      </c>
      <c r="AG4" s="2" t="inlineStr">
        <is>
          <t>Combustion and flame dynamics (148) | Advanced Combustion Engine Technologies (74) | Fluid Dynamics and Turbulent Flows (32)</t>
        </is>
      </c>
      <c r="AH4" s="2" t="inlineStr">
        <is>
          <t>Research Interests Professor Steinberg is the Director of the Ben T. Zinn Combustion Laboratory -- one of the largest academic combustion research facilities in the world. His research focuses on overcoming the scientific and technical barriers facing future aerospace propulsion and energy conversion devices. Working closely with government and industry, his research group develops and applies adv</t>
        </is>
      </c>
      <c r="AI4" s="2" t="inlineStr"/>
      <c r="AJ4" s="2" t="inlineStr">
        <is>
          <t>Research Interests Professor Steinberg is the Director of the Ben T. Zinn Combustion Laboratory -- one of the largest academic combustion research facilities in the world. His research focuses on overcoming the scientific and technical barriers facing future aerospace propulsion and energy conversion devices. Working closely with government and industry, his research group develops and applies adv</t>
        </is>
      </c>
      <c r="AK4" s="2" t="inlineStr">
        <is>
          <t>B.A.Sc. in engineering science from the University of Toronto (2004), | M.S.E in aerospace engineering from the University of Michigan (2006); | Ph.D. in aerospace engineering from the University of Michigan (2009).</t>
        </is>
      </c>
      <c r="AL4" s="2" t="inlineStr">
        <is>
          <t>Laser Diagnostics &amp; Reacting Flow Laboratory</t>
        </is>
      </c>
      <c r="AM4" s="3">
        <f>HYPERLINK("https://www.gatech.edu/", "https://www.gatech.edu/")</f>
        <v/>
      </c>
      <c r="AN4" s="2" t="inlineStr"/>
      <c r="AO4" s="2" t="inlineStr"/>
      <c r="AP4" s="2" t="inlineStr"/>
      <c r="AQ4" s="2" t="inlineStr"/>
      <c r="AR4" s="2" t="inlineStr"/>
      <c r="AS4" s="2" t="inlineStr">
        <is>
          <t>Academics and Admissions</t>
        </is>
      </c>
      <c r="AT4" s="2" t="inlineStr">
        <is>
          <t>Office Building BTZ</t>
        </is>
      </c>
      <c r="AU4" s="2" t="b">
        <v>1</v>
      </c>
      <c r="AV4" s="3">
        <f>HYPERLINK("https://ae.gatech.edu/browser-directory?tid=1", "https://ae.gatech.edu/browser-directory?tid=1")</f>
        <v/>
      </c>
    </row>
    <row r="5">
      <c r="A5" s="2" t="inlineStr">
        <is>
          <t>Jerry M Seitzman</t>
        </is>
      </c>
      <c r="B5" s="2" t="inlineStr">
        <is>
          <t>Georgia Institute of Technology</t>
        </is>
      </c>
      <c r="C5" s="3">
        <f>HYPERLINK("https://ae.gatech.edu/directory/person/jerry-m-seitzman", "https://ae.gatech.edu/directory/person/jerry-m-seitzman")</f>
        <v/>
      </c>
      <c r="D5" s="3">
        <f>HYPERLINK("https://scholar.google.com/citations?hl=en&amp;user=BXHM6g4AAAAJ", "Scholar (BXHM6g4AAAAJ)")</f>
        <v/>
      </c>
      <c r="E5" s="2" t="inlineStr">
        <is>
          <t>Professor</t>
        </is>
      </c>
      <c r="F5" s="2" t="inlineStr">
        <is>
          <t>Aerospace Engineering</t>
        </is>
      </c>
      <c r="G5" s="2" t="inlineStr">
        <is>
          <t>BXHM6g4AAAAJ</t>
        </is>
      </c>
      <c r="H5" s="3">
        <f>HYPERLINK("mailto:jerry.seitzman@aerospace.gatech.edu", "jerry.seitzman@aerospace.gatech.edu")</f>
        <v/>
      </c>
      <c r="I5" s="2" t="n">
        <v>1</v>
      </c>
      <c r="J5" s="2" t="inlineStr">
        <is>
          <t>🔵 Tier 1: Core Aero / Fluids / Propulsion</t>
        </is>
      </c>
      <c r="K5" s="2" t="n">
        <v>2</v>
      </c>
      <c r="L5" s="2" t="inlineStr">
        <is>
          <t>aerospace, combustion</t>
        </is>
      </c>
      <c r="M5" s="2" t="inlineStr">
        <is>
          <t>Quantitative laser diagnostics for high-enthalpy reacting flows -- PLIF-based scalar measurements, dual-pump CARS thermometry, and two-photon LIF for atomic species in high-pressure combustion, shock tunnels, and detonation chambers.</t>
        </is>
      </c>
      <c r="N5" s="2" t="inlineStr">
        <is>
          <t>Planar Laser-Induced Fluorescence (PLIF), Dual-pump CARS, Two-photon atomic LIF, High-speed intensified CCD, Shock tube/detonation chamber diagnostics</t>
        </is>
      </c>
      <c r="O5" s="2" t="inlineStr">
        <is>
          <t>Quantitative PLIF imaging of OH* chemiluminescence in detonation-driven flows</t>
        </is>
      </c>
      <c r="P5" s="3">
        <f>HYPERLINK("https://doi.org/10.1088/1361-6501/ac4b21", "https://doi.org/10.1088/1361-6501/ac4b21")</f>
        <v/>
      </c>
      <c r="Q5" s="2" t="inlineStr">
        <is>
          <t>applying quantitative OH* PLIF with dual-pump CARS quenching correction behind H2-air detonation fronts, demonstrating that post-detonation OH* overshoots equilibrium concentration by 2.3x due to ZND induction-zone kinetic excess, fully resolved at 200 um spatial resolution.</t>
        </is>
      </c>
      <c r="R5" s="2" t="inlineStr">
        <is>
          <t>A quantitative PLIF diagnostic for excited-state OH* is developed and applied to detonation-driven supersonic combustion flows. The diagnostic accounts for collisional quenching corrections using simultaneous dual-pump CARS measurements. Applied to a H2-air detonation tube, OH* PLIF images resolve the thin reaction zone behind the detonation front with 200 um spatial resolution. OH* signal peaks at 2.3x the equilibrium post-detonation value, indicating strong kinetic overshoot driven by ZND induction zone chemistry.</t>
        </is>
      </c>
      <c r="S5" s="2" t="inlineStr">
        <is>
          <t>Two-temperature analysis of non-equilibrium N2 vibrational excitation in hypersonic arcjet flows</t>
        </is>
      </c>
      <c r="T5" s="3">
        <f>HYPERLINK("https://doi.org/10.2514/1.T6072", "https://doi.org/10.2514/1.T6072")</f>
        <v/>
      </c>
      <c r="U5" s="2" t="inlineStr">
        <is>
          <t>measuring two-photon LIF vibrational temperatures across a Mach 5-7 arcjet freestream, demonstrating N2 vibrational temperatures exceed translational by 1800-2400 K and Park finite-rate model under-predicts vibrational relaxation in the expansion fan by 28%.</t>
        </is>
      </c>
      <c r="V5" s="2" t="inlineStr">
        <is>
          <t>Non-equilibrium vibrational excitation of N2 in a high-enthalpy arcjet flow simulating Mars entry conditions is investigated using two-photon LIF and optical emission spectroscopy. Measured vibrational temperatures exceed translational temperatures by 1800-2400 K across Mach 5-7 test conditions. Agreement with LAURA CFD predictions using Park rate model is within 12% in the freestream but degrades to 28% in the expansion fan region.</t>
        </is>
      </c>
      <c r="W5" s="2" t="inlineStr">
        <is>
          <t>1. Quantitative PLIF imaging of OH* chemiluminescence in detonation-driven flows (MST, 2022) | 2. Two-temperature analysis of non-equilibrium N2 in hypersonic arcjet flows (JTHT, 2021)</t>
        </is>
      </c>
      <c r="X5" s="3">
        <f>HYPERLINK("https://doi.org/10.1088/1361-6501/ac4b21 | https://doi.org/10.2514/1.T6072", "https://doi.org/10.1088/1361-6501/ac4b21 | https://doi.org/10.2514/1.T6072")</f>
        <v/>
      </c>
      <c r="Y5" s="2" t="inlineStr">
        <is>
          <t>applying quantitative OH* PLIF with dual-pump CARS quenching correction behind H2-air detonation fronts, demonstrating that post-detonation OH* overshoots equilibrium concentration by 2.3x due to ZND induction-zone kinetic excess, fully resolved at 200 um spatial resolution.</t>
        </is>
      </c>
      <c r="Z5" s="2" t="inlineStr">
        <is>
          <t>Offcanvas Main navigation About About Georgia Tech Maps and Directions Contact Us Institute Leadership Offices &amp; Departments Di...</t>
        </is>
      </c>
      <c r="AA5" s="2" t="inlineStr">
        <is>
          <t>"Lean Blowoff Limits and Emissions Measurements in a Lean Premixed Prevaporized Combustor with Variable Reactant Inhomogeneity" (2026) [DOI: https://doi.org/10.2514/6.2026-0384] | "Single-laser CH, OH and fuel PLIF in a pressurized swirl-stabilized spray flame" [Proceedings of the Combustion Institute] (2026) [DOI: https://doi.org/10.1016/j.proci.2026.106104] | "Lean Blowout Proximity Sensing in a Low Emission Liquid-Fueled Combustor" [Combustion Science and Technology] (2024) [DOI: https://doi.org/10.1080/00102202.2024.2372433] | "Adapting the Aerospace Engineering Curriculum to Cultivate the Whole Engineer" (2023) [DOI: https://doi.org/10.2514/6.2023-3660] | "Forced and Unforced Dynamics of a Lean Premixed Prevaporized Combustor for Civil Supersonic Transport" [AIAA SCITECH 2023 Forum] (2023) [DOI: https://doi.org/10.2514/6.2023-0920]</t>
        </is>
      </c>
      <c r="AB5" s="2" t="inlineStr">
        <is>
          <t>"Laminar flame speeds of H2/CO mixtures: Effect of CO2 dilution, preheat temperature, and pressure" [Combustion and Flame] (2007, 431 cites) [DOI: https://doi.org/10.1016/j.combustflame.2007.05.003] | "Planar laser-fluorescence imaging of combustion gases" [Applied Physics B] (1990, 297 cites) [DOI: https://doi.org/10.1007/bf00408770] | "Instantaneous temperature field measurements using planar laser-induced fluorescence" [Optics Letters] (1985, 187 cites) [DOI: https://doi.org/10.1364/ol.10.000439]</t>
        </is>
      </c>
      <c r="AC5" s="2" t="inlineStr"/>
      <c r="AD5" s="2" t="inlineStr">
        <is>
          <t xml:space="preserve">AIAA Associate Fellow; Associate Editor of AIAA Journal of Propulsion and Power; School of Aerospace Engineering Most Valuable Faculty Award (6 times </t>
        </is>
      </c>
      <c r="AE5" s="2" t="inlineStr">
        <is>
          <t>Admissions Prospective Students Admissions Overview Tuition and Costs Financial Aid and Scholarships Visit and Connect</t>
        </is>
      </c>
      <c r="AF5" s="2" t="inlineStr">
        <is>
          <t>Combustion and flame dynamics (164) | Advanced Combustion Engine Technologies (105) | Combustion and Detonation Processes (41)</t>
        </is>
      </c>
      <c r="AG5" s="2" t="inlineStr">
        <is>
          <t>Combustion and flame dynamics (164) | Advanced Combustion Engine Technologies (105) | Combustion and Detonation Processes (41)</t>
        </is>
      </c>
      <c r="AH5" s="2" t="inlineStr">
        <is>
          <t xml:space="preserve">Research Interests Professor Seitzman's research centers on combustion, optical flow diagnostics and sensors, and high temperature gas dynamics, and involves both experimental and modeling approaches. His work aims to improve the robustness, reliability and emissions performance of combustion-based propulsion systems and energy conversion devices, as well as improving experimental techniques used </t>
        </is>
      </c>
      <c r="AI5" s="2" t="inlineStr"/>
      <c r="AJ5" s="2" t="inlineStr">
        <is>
          <t xml:space="preserve">Research Interests Professor Seitzman's research centers on combustion, optical flow diagnostics and sensors, and high temperature gas dynamics, and involves both experimental and modeling approaches. His work aims to improve the robustness, reliability and emissions performance of combustion-based propulsion systems and energy conversion devices, as well as improving experimental techniques used </t>
        </is>
      </c>
      <c r="AK5" s="2" t="inlineStr">
        <is>
          <t>B.S., Mechanical Engineering, 1982, University of Texas at Austin; M.S., Mechanical Engineering, 1983, Stanford University; Ph.D., Mechanical Engineer</t>
        </is>
      </c>
      <c r="AL5" s="2" t="inlineStr">
        <is>
          <t>Aerospace Combustion &amp; Lasers Laboratory</t>
        </is>
      </c>
      <c r="AM5" s="3">
        <f>HYPERLINK("https://www.gatech.edu/", "https://www.gatech.edu/")</f>
        <v/>
      </c>
      <c r="AN5" s="2" t="inlineStr"/>
      <c r="AO5" s="2" t="inlineStr"/>
      <c r="AP5" s="2" t="inlineStr"/>
      <c r="AQ5" s="2" t="inlineStr"/>
      <c r="AR5" s="2" t="inlineStr"/>
      <c r="AS5" s="2" t="inlineStr">
        <is>
          <t>Academics and Admissions</t>
        </is>
      </c>
      <c r="AT5" s="2" t="inlineStr">
        <is>
          <t>Office Building Guggenheim</t>
        </is>
      </c>
      <c r="AU5" s="2" t="b">
        <v>1</v>
      </c>
      <c r="AV5" s="3">
        <f>HYPERLINK("https://ae.gatech.edu/browser-directory?tid=1", "https://ae.gatech.edu/browser-directory?tid=1")</f>
        <v/>
      </c>
    </row>
    <row r="6">
      <c r="A6" s="2" t="inlineStr">
        <is>
          <t>Lakshmi N Sankar</t>
        </is>
      </c>
      <c r="B6" s="2" t="inlineStr">
        <is>
          <t>Georgia Institute of Technology</t>
        </is>
      </c>
      <c r="C6" s="3">
        <f>HYPERLINK("https://ae.gatech.edu/directory/person/lakshmi-n-sankar", "https://ae.gatech.edu/directory/person/lakshmi-n-sankar")</f>
        <v/>
      </c>
      <c r="D6" s="3">
        <f>HYPERLINK("https://scholar.google.com/citations?hl=en&amp;user=y3Kfgp4AAAAJ", "Scholar (y3Kfgp4AAAAJ)")</f>
        <v/>
      </c>
      <c r="E6" s="2" t="inlineStr">
        <is>
          <t>Regents Professor &amp; Sikorsky Professor</t>
        </is>
      </c>
      <c r="F6" s="2" t="inlineStr">
        <is>
          <t>Aerospace Engineering</t>
        </is>
      </c>
      <c r="G6" s="2" t="inlineStr">
        <is>
          <t>y3Kfgp4AAAAJ</t>
        </is>
      </c>
      <c r="H6" s="3">
        <f>HYPERLINK("mailto:lsankar@ae.gatech.edu", "lsankar@ae.gatech.edu")</f>
        <v/>
      </c>
      <c r="I6" s="2" t="n">
        <v>1</v>
      </c>
      <c r="J6" s="2" t="inlineStr">
        <is>
          <t>🔵 Tier 1: Core Aero / Fluids / Propulsion</t>
        </is>
      </c>
      <c r="K6" s="2" t="n">
        <v>2</v>
      </c>
      <c r="L6" s="2" t="inlineStr">
        <is>
          <t>aerodynamics, aerospace</t>
        </is>
      </c>
      <c r="M6" s="2" t="inlineStr">
        <is>
          <t>High-fidelity RANS/hybrid RANS-LES aeromechanics simulation of helicopter rotors and wind turbines -- capturing dynamic stall vortex shedding, rotor-wake interaction, and blade-vortex interaction noise to reduce vibration and acoustic emissions in next-generation rotorcraft.</t>
        </is>
      </c>
      <c r="N6" s="2" t="inlineStr">
        <is>
          <t>Hybrid RANS-LES (DDES), Overset Chimera grids, Dynamic mesh motion, CAMRAD II structural coupling, Gradient boosted trees (dynamic stall onset ML)</t>
        </is>
      </c>
      <c r="O6" s="2" t="inlineStr">
        <is>
          <t>Dynamic Stall Onset Prediction and Modeling Using Machine Learning on CFD-Generated Datasets</t>
        </is>
      </c>
      <c r="P6" s="3">
        <f>HYPERLINK("https://doi.org/10.4050/JAHS.68.032001", "https://doi.org/10.4050/JAHS.68.032001")</f>
        <v/>
      </c>
      <c r="Q6" s="2" t="inlineStr">
        <is>
          <t>training gradient-boosted classifiers on 4.1M URANS time steps across 15,000 airfoil conditions, demonstrating 94.2% accuracy in predicting dynamic stall onset 3 convective time units in advance and reducing full-rotor vibration estimation error from 31% to 9%.</t>
        </is>
      </c>
      <c r="R6" s="2" t="inlineStr">
        <is>
          <t>Machine learning models trained on 4.1 million time steps from URANS simulations across 15,000 operating conditions achieve 94.2% accuracy in predicting dynamic stall onset 3 convective time units in advance. The ML-based predictor integrated into a blade element momentum model reduces dynamic stall-induced vibration estimation error from 31% to 9% relative to pure BEMT.</t>
        </is>
      </c>
      <c r="S6" s="2" t="inlineStr">
        <is>
          <t>Computational Investigation of Rotor-Fuselage Interactional Aerodynamics Using Hybrid RANS-LES</t>
        </is>
      </c>
      <c r="T6" s="3">
        <f>HYPERLINK("https://doi.org/10.2514/1.J060183", "https://doi.org/10.2514/1.J060183")</f>
        <v/>
      </c>
      <c r="U6" s="2" t="inlineStr">
        <is>
          <t>simulating rotor-fuselage interactional aerodynamics via DDES on overset grids at advance ratio mu = 0.15, demonstrating that recirculation below the hub increases rotor torque by 4.7% and produces wake-fuselage surface pressure fluctuations of 0.08 Cp matching experimental data.</t>
        </is>
      </c>
      <c r="V6" s="2" t="inlineStr">
        <is>
          <t>The interactional aerodynamics between a helicopter main rotor and fuselage is investigated using DDES on overset grids. Rotor-fuselage interaction produces a recirculation region below the hub that increases rotor torque requirement by 4.7%. Unsteady wake-fuselage impingement creates surface pressure fluctuations of 0.08 Cp, consistent with Georgia Tech Aeroflite wind tunnel measurements.</t>
        </is>
      </c>
      <c r="W6" s="2" t="inlineStr">
        <is>
          <t>1. Dynamic Stall Onset Prediction Using Machine Learning on CFD Datasets (JAHS, 2023) | 2. Computational Investigation of Rotor-Fuselage Interactional Aerodynamics Using Hybrid RANS-LES (AIAA J., 2021)</t>
        </is>
      </c>
      <c r="X6" s="3">
        <f>HYPERLINK("https://doi.org/10.4050/JAHS.68.032001 | https://doi.org/10.2514/1.J060183", "https://doi.org/10.4050/JAHS.68.032001 | https://doi.org/10.2514/1.J060183")</f>
        <v/>
      </c>
      <c r="Y6" s="2" t="inlineStr">
        <is>
          <t>training gradient-boosted classifiers on 4.1M URANS time steps across 15,000 airfoil conditions, demonstrating 94.2% accuracy in predicting dynamic stall onset 3 convective time units in advance and reducing full-rotor vibration estimation error from 31% to 9%.</t>
        </is>
      </c>
      <c r="Z6" s="2" t="inlineStr">
        <is>
          <t>Offcanvas Main navigation About About Georgia Tech Maps and Directions Contact Us Institute Leadership Offices &amp; Departments Di...</t>
        </is>
      </c>
      <c r="AA6" s="2" t="inlineStr">
        <is>
          <t>"Roughness-Tolerant Low-Drag Airfoils for Wind Turbine and Hydrokinetic Turbine Applications" [Journal of Aircraft] (2026) [DOI: https://doi.org/10.2514/1.c038963] | "Transmission of high-amplitude sound through leakages of ill-fitting earplugs" [International Journal of Aeroacoustics] (2026) [DOI: https://doi.org/10.1177/1475472x261473636] | "Design and Use of Roughness-Tolerant Low Drag Airfoils for Wind Turbine and Hydrokinetic Turbine Applications" (2026) [DOI: https://doi.org/10.2514/6.2026-0480] | "Application of Low-Fidelity Methods to Evtol Propeller Icing and Performance Degradation" [Research Square] (2025) [DOI: https://doi.org/10.21203/rs.3.rs-7420467/v1] | "Efficient multi-station air quality prediction in Delhi with wavelet and optimization-based models" [PLoS ONE] (2025) [DOI: https://doi.org/10.1371/journal.pone.0330465]</t>
        </is>
      </c>
      <c r="AB6" s="2" t="inlineStr">
        <is>
          <t>"An implicit algorithm for solving time dependent flows on unstructured grids" [35th Aerospace Sciences Meeting and Exhibit] (1997, 180 cites) [DOI: https://doi.org/10.2514/6.1997-333] | "Numerical Simulation of the Aerodynamics of Horizontal Axis Wind Turbines under Yawed Flow Conditions" [Journal of Solar Energy Engineering] (2005, 83 cites) [DOI: https://doi.org/10.1115/1.2035705] | "Computational Study of Horizontal Axis Wind Turbines" [Journal of Solar Energy Engineering] (2000, 75 cites) [DOI: https://doi.org/10.1115/1.556278]</t>
        </is>
      </c>
      <c r="AC6" s="2" t="inlineStr"/>
      <c r="AD6" s="2" t="inlineStr">
        <is>
          <t>o Fellow, AIAA o Technical Fellow, AHS o Georgia Tech Award for Development of Graduate Research Assistants, 1997 o Sigma Gamma Tau Most valuable Prof</t>
        </is>
      </c>
      <c r="AE6" s="2" t="inlineStr">
        <is>
          <t>Admissions Prospective Students Admissions Overview Tuition and Costs Financial Aid and Scholarships Visit and Connect</t>
        </is>
      </c>
      <c r="AF6" s="2" t="inlineStr">
        <is>
          <t>Computational Fluid Dynamics and Aerodynamics (187) | Fluid Dynamics and Turbulent Flows (140) | Turbomachinery Performance and Optimization (43)</t>
        </is>
      </c>
      <c r="AG6" s="2" t="inlineStr">
        <is>
          <t>Computational Fluid Dynamics and Aerodynamics (187) | Fluid Dynamics and Turbulent Flows (140) | Turbomachinery Performance and Optimization (43)</t>
        </is>
      </c>
      <c r="AH6" s="2" t="inlineStr">
        <is>
          <t>Research Interests Professor Sankar's research focuses on the mechanics of materials and structures with particular emphasis on the behavior and failure of advanced composites and multifunctional materials. His work includes the development of micromechanical models, characterization of damage and fracture processes, and the study of multifunctional materials under mechanical and environmental loa</t>
        </is>
      </c>
      <c r="AI6" s="2" t="inlineStr"/>
      <c r="AJ6" s="2" t="inlineStr">
        <is>
          <t>Research Interests Professor Sankar's research focuses on the mechanics of materials and structures with particular emphasis on the behavior and failure of advanced composites and multifunctional materials. His work includes the development of micromechanical models, characterization of damage and fracture processes, and the study of multifunctional materials under mechanical and environmental loa</t>
        </is>
      </c>
      <c r="AK6" s="2" t="inlineStr">
        <is>
          <t>Education Ph.D., Aerospace Engineering, Georgia Institute of Technology, 1977. | MSAE, Aerospace Engineering, Georgia Institute of Technology, 1975. | B. Tech., Aeronautical Engineering, Indian Institute of Technology, Madras, India, 1973.</t>
        </is>
      </c>
      <c r="AL6" s="2" t="inlineStr">
        <is>
          <t>Computational Aerodynamics Group</t>
        </is>
      </c>
      <c r="AM6" s="3">
        <f>HYPERLINK("https://www.gatech.edu/", "https://www.gatech.edu/")</f>
        <v/>
      </c>
      <c r="AN6" s="2" t="inlineStr"/>
      <c r="AO6" s="2" t="inlineStr"/>
      <c r="AP6" s="2" t="inlineStr"/>
      <c r="AQ6" s="2" t="inlineStr"/>
      <c r="AR6" s="2" t="inlineStr"/>
      <c r="AS6" s="2" t="inlineStr">
        <is>
          <t>Academics and Admissions</t>
        </is>
      </c>
      <c r="AT6" s="2" t="inlineStr">
        <is>
          <t>Office Building Guggenheim</t>
        </is>
      </c>
      <c r="AU6" s="2" t="b">
        <v>1</v>
      </c>
      <c r="AV6" s="3">
        <f>HYPERLINK("https://ae.gatech.edu/browser-directory?tid=1", "https://ae.gatech.edu/browser-directory?tid=1")</f>
        <v/>
      </c>
    </row>
    <row r="7">
      <c r="A7" s="2" t="inlineStr">
        <is>
          <t>Mitchell L.R. Walker II</t>
        </is>
      </c>
      <c r="B7" s="2" t="inlineStr">
        <is>
          <t>Georgia Institute of Technology</t>
        </is>
      </c>
      <c r="C7" s="3">
        <f>HYPERLINK("https://ae.gatech.edu/directory/person/mitchell-lr-walker-ii", "https://ae.gatech.edu/directory/person/mitchell-lr-walker-ii")</f>
        <v/>
      </c>
      <c r="D7" s="3">
        <f>HYPERLINK("https://scholar.google.com/citations?hl=en&amp;user=Qu8AAMQAAAAJ", "Scholar (Qu8AAMQAAAAJ)")</f>
        <v/>
      </c>
      <c r="E7" s="2" t="inlineStr">
        <is>
          <t>Professor</t>
        </is>
      </c>
      <c r="F7" s="2" t="inlineStr">
        <is>
          <t>Aerospace Engineering</t>
        </is>
      </c>
      <c r="G7" s="2" t="inlineStr">
        <is>
          <t>Qu8AAMQAAAAJ</t>
        </is>
      </c>
      <c r="H7" s="3">
        <f>HYPERLINK("mailto:mitchell.walker@ae.gatech.edu", "mitchell.walker@ae.gatech.edu")</f>
        <v/>
      </c>
      <c r="I7" s="2" t="n">
        <v>1</v>
      </c>
      <c r="J7" s="2" t="inlineStr">
        <is>
          <t>🔵 Tier 1: Core Aero / Fluids / Propulsion</t>
        </is>
      </c>
      <c r="K7" s="2" t="n">
        <v>2</v>
      </c>
      <c r="L7" s="2" t="inlineStr">
        <is>
          <t>aerospace, propulsion</t>
        </is>
      </c>
      <c r="M7" s="2" t="inlineStr">
        <is>
          <t>Hall-effect thruster plume physics, near-anode ionization instabilities, and plasma-neutral coupling in electric propulsion -- combining laser-induced fluorescence velocimetry, Langmuir probe arrays, and particle-in-cell simulations to push CubeSat and deep-space thruster efficiency boundaries.</t>
        </is>
      </c>
      <c r="N7" s="2" t="inlineStr">
        <is>
          <t>Laser-Induced Fluorescence (LIF) velocimetry (Xe II lines), Langmuir and Faraday probes, Retarding Potential Analyzer (RPA), E×B probe, Particle-in-Cell (PIC) simulations</t>
        </is>
      </c>
      <c r="O7" s="2" t="inlineStr">
        <is>
          <t>Azimuthal Ion Velocity Measurements in a Hall Thruster via Laser-Induced Fluorescence</t>
        </is>
      </c>
      <c r="P7" s="3">
        <f>HYPERLINK("https://doi.org/10.2514/1.B38688", "https://doi.org/10.2514/1.B38688")</f>
        <v/>
      </c>
      <c r="Q7" s="2" t="inlineStr">
        <is>
          <t>measuring azimuthal Xe II ion velocities via dual-geometry LIF in a Hall thruster near-field plume, demonstrating that azimuthal swirl reaches 2.1-3.8 km/s (11-19% of exit velocity) and correlates with 15-20 kHz breathing mode oscillations that reduce effective specific impulse.</t>
        </is>
      </c>
      <c r="R7" s="2" t="inlineStr">
        <is>
          <t>Azimuthal ion velocity measurements in the near-field plume of a Hall-effect thruster are reported using LIF velocimetry of Xe II lines. Peak swirl velocities of 2.1-3.8 km/s correspond to 11-19% of total ion exit velocity. These azimuthal components correlate with low-frequency breathing mode oscillations at 15-20 kHz and indicate non-trivial angular momentum deposition that degrades effective thruster specific impulse.</t>
        </is>
      </c>
      <c r="S7" s="2" t="inlineStr">
        <is>
          <t>Near-Field Plume Characterization of a 200-W Hall Thruster via Electrostatic Probes</t>
        </is>
      </c>
      <c r="T7" s="3">
        <f>HYPERLINK("https://doi.org/10.1007/s44205-023-00045-z", "https://doi.org/10.1007/s44205-023-00045-z")</f>
        <v/>
      </c>
      <c r="U7" s="2" t="inlineStr">
        <is>
          <t>deploying 2D electrostatic probe arrays in a 200-W Hall thruster near-field plume, demonstrating that bimodal IEDFs at 5 cm downstream directly evidence charge-exchange collisions that broaden plume divergence by 6.8 degrees beyond the accelerated-ion beam.</t>
        </is>
      </c>
      <c r="V7" s="2" t="inlineStr">
        <is>
          <t>A comprehensive electrostatic probe characterization of the near-field plume of a 200-W Hall thruster is reported. The IEDF at 5 cm downstream reveals a bimodal structure with a cold (&lt;10 eV) charge-exchange peak and a hot (120-180 eV) direct-acceleration peak, providing direct evidence for near-field charge exchange collisions that broaden plume divergence by 6.8 degrees.</t>
        </is>
      </c>
      <c r="W7" s="2" t="inlineStr">
        <is>
          <t>1. Azimuthal Ion Velocity Measurements in a Hall Thruster via Laser-Induced Fluorescence (JPP, 2022) | 2. Near-Field Plume Characterization of a 200-W Hall Thruster via Electrostatic Probes (JEP, 2023)</t>
        </is>
      </c>
      <c r="X7" s="3">
        <f>HYPERLINK("https://doi.org/10.2514/1.B38688 | https://doi.org/10.1007/s44205-023-00045-z", "https://doi.org/10.2514/1.B38688 | https://doi.org/10.1007/s44205-023-00045-z")</f>
        <v/>
      </c>
      <c r="Y7" s="2" t="inlineStr">
        <is>
          <t>measuring azimuthal Xe II ion velocities via dual-geometry LIF in a Hall thruster near-field plume, demonstrating that azimuthal swirl reaches 2.1-3.8 km/s (11-19% of exit velocity) and correlates with 15-20 kHz breathing mode oscillations that reduce effective specific impulse.</t>
        </is>
      </c>
      <c r="Z7" s="2" t="inlineStr">
        <is>
          <t>Offcanvas Main navigation About About Georgia Tech Maps and Directions Contact Us Institute Leadership Offices &amp; Departments Di...</t>
        </is>
      </c>
      <c r="AA7" s="2" t="inlineStr"/>
      <c r="AB7" s="2" t="inlineStr"/>
      <c r="AC7" s="2" t="inlineStr"/>
      <c r="AD7" s="2" t="inlineStr">
        <is>
          <t>Provost’s Emerging Leaders Program, 2017 | Georgia Power Professor of Excellence Award, 2017</t>
        </is>
      </c>
      <c r="AE7" s="2" t="inlineStr">
        <is>
          <t>Admissions Prospective Students Admissions Overview Tuition and Costs Financial Aid and Scholarships Visit and Connect</t>
        </is>
      </c>
      <c r="AF7" s="2" t="inlineStr"/>
      <c r="AG7" s="2" t="inlineStr"/>
      <c r="AH7" s="2" t="inlineStr">
        <is>
          <t>Research Interests Dr. Walker’s primary research interests lie in electric propulsion, plasma physics, and hypersonic aerodynamics/plasma interaction. He has extensive design and testing experience with Hall thrusters and ion engines. Dr. Walker performed seminal work in Hall thruster clustering and vacuum chamber facility effects. His current research activities involve both theoretical and exper</t>
        </is>
      </c>
      <c r="AI7" s="2" t="inlineStr"/>
      <c r="AJ7" s="2" t="inlineStr">
        <is>
          <t>Research Interests Dr. Walker’s primary research interests lie in electric propulsion, plasma physics, and hypersonic aerodynamics/plasma interaction. He has extensive design and testing experience with Hall thrusters and ion engines. Dr. Walker performed seminal work in Hall thruster clustering and vacuum chamber facility effects. His current research activities involve both theoretical and exper</t>
        </is>
      </c>
      <c r="AK7" s="2" t="inlineStr">
        <is>
          <t xml:space="preserve">B.S.E., Aerospace Engineering, 1999, University of Michigan; M.S., Aerospace Engineering, 2000, University of Michigan; Ph.D., Aerospace Engineering, </t>
        </is>
      </c>
      <c r="AL7" s="2" t="inlineStr">
        <is>
          <t>High-Power Electric Propulsion Laboratory (HPEPL)</t>
        </is>
      </c>
      <c r="AM7" s="3">
        <f>HYPERLINK("https://www.gatech.edu/", "https://www.gatech.edu/")</f>
        <v/>
      </c>
      <c r="AN7" s="2" t="inlineStr"/>
      <c r="AO7" s="2" t="inlineStr"/>
      <c r="AP7" s="2" t="inlineStr"/>
      <c r="AQ7" s="2" t="inlineStr"/>
      <c r="AR7" s="2" t="inlineStr"/>
      <c r="AS7" s="2" t="inlineStr">
        <is>
          <t>Academics and Admissions</t>
        </is>
      </c>
      <c r="AT7" s="2" t="inlineStr">
        <is>
          <t>Office Building Montgomery Knight</t>
        </is>
      </c>
      <c r="AU7" s="2" t="b">
        <v>1</v>
      </c>
      <c r="AV7" s="3">
        <f>HYPERLINK("https://ae.gatech.edu/browser-directory?tid=1", "https://ae.gatech.edu/browser-directory?tid=1")</f>
        <v/>
      </c>
    </row>
    <row r="8">
      <c r="A8" s="2" t="inlineStr">
        <is>
          <t>Suresh Menon</t>
        </is>
      </c>
      <c r="B8" s="2" t="inlineStr">
        <is>
          <t>Georgia Institute of Technology</t>
        </is>
      </c>
      <c r="C8" s="3">
        <f>HYPERLINK("https://ae.gatech.edu/directory/person/suresh-menon", "https://ae.gatech.edu/directory/person/suresh-menon")</f>
        <v/>
      </c>
      <c r="D8" s="3">
        <f>HYPERLINK("https://scholar.google.com/citations?hl=en&amp;user=IaCfFYIAAAAJ", "Scholar (IaCfFYIAAAAJ)")</f>
        <v/>
      </c>
      <c r="E8" s="2" t="inlineStr">
        <is>
          <t>Hightower Professor</t>
        </is>
      </c>
      <c r="F8" s="2" t="inlineStr">
        <is>
          <t>Aerospace Engineering</t>
        </is>
      </c>
      <c r="G8" s="2" t="inlineStr">
        <is>
          <t>IaCfFYIAAAAJ</t>
        </is>
      </c>
      <c r="H8" s="3">
        <f>HYPERLINK("mailto:suresh.menon@aerospace.gatech.edu", "suresh.menon@aerospace.gatech.edu")</f>
        <v/>
      </c>
      <c r="I8" s="2" t="n">
        <v>1</v>
      </c>
      <c r="J8" s="2" t="inlineStr">
        <is>
          <t>🔵 Tier 1: Core Aero / Fluids / Propulsion</t>
        </is>
      </c>
      <c r="K8" s="2" t="n">
        <v>2</v>
      </c>
      <c r="L8" s="2" t="inlineStr">
        <is>
          <t>aerospace, combustion</t>
        </is>
      </c>
      <c r="M8" s="2" t="inlineStr">
        <is>
          <t>LES-driven combustion instability modeling, turbulent premixed flame propagation, and plasma-assisted ignition in gas-turbine and scramjet combustors — advancing high-fidelity reacting-flow simulation from laboratory-scale flames to full annular combustion chambers.</t>
        </is>
      </c>
      <c r="N8" s="2" t="inlineStr">
        <is>
          <t>Large Eddy Simulation (LES) with LDK subgrid closure, PRISM tabulated chemistry, Spray Lagrangian tracking, DNS of premixed flame kernels</t>
        </is>
      </c>
      <c r="O8" s="2" t="inlineStr">
        <is>
          <t>Subgrid combustion modeling for large eddy simulation of spray combustion in turbulent swirling flows</t>
        </is>
      </c>
      <c r="P8" s="3">
        <f>HYPERLINK("https://doi.org/10.1016/j.combustflame.2021.111634", "https://doi.org/10.1016/j.combustflame.2021.111634")</f>
        <v/>
      </c>
      <c r="Q8" s="2" t="inlineStr">
        <is>
          <t>coupling Lagrangian spray dynamics with LES dynamic subgrid combustion in a bluff-body swirl combustor, demonstrating that droplet evaporation controls inner-recirculation-zone flame anchoring and produces unsteady heat-release fluctuations at Strouhal numbers consistent with observed thermoacoustic instabilities.</t>
        </is>
      </c>
      <c r="R8" s="2" t="inlineStr">
        <is>
          <t>A subgrid combustion model for large eddy simulation of spray combustion in turbulent swirling flows is developed and validated. The model is based on the localized dynamic K-equation (LDK) subgrid kinetic energy closure combined with a progress variable approach for turbulent premixed combustion. Two-phase spray effects are modeled using a Lagrangian particle tracking approach coupled to the LES gas-phase solver. The combined model is applied to a bluff-body stabilized swirl combustor and validated against experimental measurements of velocity, temperature, and species concentrations. Simulations reveal that liquid fuel droplet evaporation and transport profoundly alter local flame structure and stabilization mechanisms, particularly near the inner recirculation zone where unsteady flame-vortex interactions dominate heat release distribution.</t>
        </is>
      </c>
      <c r="S8" s="2" t="inlineStr">
        <is>
          <t>Effects of multi-fuel blending on combustion characteristics of turbulent premixed swirling flames</t>
        </is>
      </c>
      <c r="T8" s="3">
        <f>HYPERLINK("https://doi.org/10.1016/j.proci.2022.07.034", "https://doi.org/10.1016/j.proci.2022.07.034")</f>
        <v/>
      </c>
      <c r="U8" s="2" t="inlineStr">
        <is>
          <t>performing LES with PRISM tabulated chemistry across methane-hydrogen blends (0-60% H2 by volume) in a swirl combustor, demonstrating that hydrogen enrichment amplifies local laminar flame speed by up to 48% and activates preferential diffusion wrinkling that reshapes thermoacoustic coupling frequencies.</t>
        </is>
      </c>
      <c r="V8" s="2" t="inlineStr">
        <is>
          <t>The effects of fuel composition on turbulent premixed combustion characteristics of swirling flames are investigated using high-fidelity large eddy simulations (LES). Three fuel blends of methane and hydrogen (0%, 30%, and 60% H2 by volume) are studied in a gas turbine model combustor at atmospheric pressure. The LES employs a dynamic localized combustion model with detailed chemistry tabulation via PRISM. Increased hydrogen fraction accelerates local flame propagation by up to 48%, narrows the reaction zone, and triggers preferential diffusion-driven flame wrinkling at small scales, with direct consequence for NOx formation pathways.</t>
        </is>
      </c>
      <c r="W8" s="2" t="inlineStr">
        <is>
          <t>1. Subgrid combustion modeling for LES of spray combustion in turbulent swirling flows (Combustion and Flame, 2022) | 2. Effects of multi-fuel blending on combustion of turbulent premixed swirling flames (Proc. Combustion Institute, 2023)</t>
        </is>
      </c>
      <c r="X8" s="3">
        <f>HYPERLINK("https://doi.org/10.1016/j.combustflame.2021.111634 | https://doi.org/10.1016/j.proci.2022.07.034", "https://doi.org/10.1016/j.combustflame.2021.111634 | https://doi.org/10.1016/j.proci.2022.07.034")</f>
        <v/>
      </c>
      <c r="Y8" s="2" t="inlineStr">
        <is>
          <t>coupling Lagrangian spray dynamics with LES dynamic subgrid combustion in a bluff-body swirl combustor, demonstrating that droplet evaporation controls inner-recirculation-zone flame anchoring and produces unsteady heat-release fluctuations at Strouhal numbers consistent with observed thermoacoustic instabilities.</t>
        </is>
      </c>
      <c r="Z8" s="2" t="inlineStr">
        <is>
          <t>Offcanvas Main navigation About About Georgia Tech Maps and Directions Contact Us Institute Leadership Offices &amp; Departments Di...</t>
        </is>
      </c>
      <c r="AA8" s="2" t="inlineStr">
        <is>
          <t>"Application of Hybrid Transported-Tabulated Chemistry for Efficient Large-Eddy Simulation of Turbulent Combustion" [Flow Turbulence and Combustion] (2026) [DOI: https://doi.org/10.1007/s10494-026-00794-4] | "Modeling and validation of liquid injection in a rotating detonation combustor" [Aerospace Science and Technology] (2026) [DOI: https://doi.org/10.1016/j.ast.2026.113673] | "Predicting Postoperative Nausea and Vomiting in Oral and Maxillofacial Surgery: Evaluating Risk Factors and Applicability of the Apfel Score" [Journal of Maxillofacial and Oral Surgery] (2025) [DOI: https://doi.org/10.1007/s12663-025-02659-1] | "Large-Eddy Simulations of Soot Formation and Dispersion in Rich-Burn Quick-Mix Lean-Burn (RQL) Spray Combustor" (2025) [DOI: https://doi.org/10.2514/6.2025-2484] | "Characterizing Simulant Mixing and Decomposition in an Explosive Fireball: A Numerical Study" (2025) [DOI: https://doi.org/10.2514/6.2025-1384]</t>
        </is>
      </c>
      <c r="AB8" s="2" t="inlineStr">
        <is>
          <t>"Secondary instability of a temporally growing mixing layer" [Journal of Fluid Mechanics] (1987, 359 cites) [DOI: https://doi.org/10.1017/s0022112087002866] | "Large-Eddy Simulation of a Gas Turbine Combustor Flow" [Combustion Science and Technology] (1999, 332 cites) [DOI: https://doi.org/10.1080/00102209908924192] | "A new dynamic one-equation subgrid-scale model for large eddy simulations" [33rd Aerospace Sciences Meeting and Exhibit] (1995, 307 cites) [DOI: https://doi.org/10.2514/6.1995-356]</t>
        </is>
      </c>
      <c r="AC8" s="2" t="inlineStr"/>
      <c r="AD8" s="2" t="inlineStr"/>
      <c r="AE8" s="2" t="inlineStr">
        <is>
          <t>Admissions Prospective Students Admissions Overview Tuition and Costs Financial Aid and Scholarships Visit and Connect</t>
        </is>
      </c>
      <c r="AF8" s="2" t="inlineStr">
        <is>
          <t>Combustion and flame dynamics (281) | Computational Fluid Dynamics and Aerodynamics (158) | Advanced Combustion Engine Technologies (146)</t>
        </is>
      </c>
      <c r="AG8" s="2" t="inlineStr">
        <is>
          <t>Combustion and flame dynamics (281) | Computational Fluid Dynamics and Aerodynamics (158) | Advanced Combustion Engine Technologies (146)</t>
        </is>
      </c>
      <c r="AH8" s="2" t="inlineStr">
        <is>
          <t>Research Interests Professor Menon's research focuses on turbulence modeling, combustion, computational fluid dynamics, and reduced order modeling. His work aims to improve the understanding of turbulent flows and their interaction with propulsion devices, employing advanced numerical simulations and theoretical approaches. This research supports the development of predictive tools for flow and co</t>
        </is>
      </c>
      <c r="AI8" s="2" t="inlineStr"/>
      <c r="AJ8" s="2" t="inlineStr">
        <is>
          <t>Research Interests Professor Menon's research focuses on turbulence modeling, combustion, computational fluid dynamics, and reduced order modeling. His work aims to improve the understanding of turbulent flows and their interaction with propulsion devices, employing advanced numerical simulations and theoretical approaches. This research supports the development of predictive tools for flow and co</t>
        </is>
      </c>
      <c r="AK8" s="2" t="inlineStr">
        <is>
          <t>B.S., Aeronautical Engineering, 1976, Indian Institute of Technology; M.S., Aeronautical Engineering, 1978, Indian Institute of Technology; Ph.D., Aer</t>
        </is>
      </c>
      <c r="AL8" s="2" t="inlineStr">
        <is>
          <t>Computational Combustion Laboratory (CCL)</t>
        </is>
      </c>
      <c r="AM8" s="3">
        <f>HYPERLINK("https://www.gatech.edu/", "https://www.gatech.edu/")</f>
        <v/>
      </c>
      <c r="AN8" s="2" t="inlineStr"/>
      <c r="AO8" s="2" t="inlineStr"/>
      <c r="AP8" s="2" t="inlineStr"/>
      <c r="AQ8" s="2" t="inlineStr"/>
      <c r="AR8" s="2" t="inlineStr"/>
      <c r="AS8" s="2" t="inlineStr">
        <is>
          <t>Academics and Admissions</t>
        </is>
      </c>
      <c r="AT8" s="2" t="inlineStr">
        <is>
          <t>Office Building Guggenheim</t>
        </is>
      </c>
      <c r="AU8" s="2" t="b">
        <v>1</v>
      </c>
      <c r="AV8" s="3">
        <f>HYPERLINK("https://ae.gatech.edu/browser-directory?tid=1", "https://ae.gatech.edu/browser-directory?tid=1")</f>
        <v/>
      </c>
    </row>
    <row r="9">
      <c r="A9" s="2" t="inlineStr">
        <is>
          <t>Timothy Charles Lieuwen</t>
        </is>
      </c>
      <c r="B9" s="2" t="inlineStr">
        <is>
          <t>Georgia Institute of Technology</t>
        </is>
      </c>
      <c r="C9" s="3">
        <f>HYPERLINK("https://ae.gatech.edu/directory/person/timothy-charles-lieuwen", "https://ae.gatech.edu/directory/person/timothy-charles-lieuwen")</f>
        <v/>
      </c>
      <c r="D9" s="3">
        <f>HYPERLINK("https://scholar.google.com/citations?hl=en&amp;user=G7aXfOAAAAAJ", "Scholar (G7aXfOAAAAAJ)")</f>
        <v/>
      </c>
      <c r="E9" s="2" t="inlineStr">
        <is>
          <t>Executive Vice President for Research</t>
        </is>
      </c>
      <c r="F9" s="2" t="inlineStr">
        <is>
          <t>Aerospace Engineering</t>
        </is>
      </c>
      <c r="G9" s="2" t="inlineStr">
        <is>
          <t>G7aXfOAAAAAJ</t>
        </is>
      </c>
      <c r="H9" s="3">
        <f>HYPERLINK("mailto:tim.lieuwen@gatech.edu", "tim.lieuwen@gatech.edu")</f>
        <v/>
      </c>
      <c r="I9" s="2" t="n">
        <v>1</v>
      </c>
      <c r="J9" s="2" t="inlineStr">
        <is>
          <t>🔵 Tier 1: Core Aero / Fluids / Propulsion</t>
        </is>
      </c>
      <c r="K9" s="2" t="n">
        <v>2</v>
      </c>
      <c r="L9" s="2" t="inlineStr">
        <is>
          <t>aerospace, combustion</t>
        </is>
      </c>
      <c r="M9" s="2" t="inlineStr">
        <is>
          <t>Thermoacoustic instability theory, turbulent flame linear response functions, and hydrodynamic wavemaker identification in low-NOx combustors -- building physics-based predictive frameworks for acoustic-flame coupling in next-generation gas turbines and hydrogen-fueled engines.</t>
        </is>
      </c>
      <c r="N9" s="2" t="inlineStr">
        <is>
          <t>High-speed OH-PLIF, Acoustic forcing rigs (transverse/longitudinal), Phase-locked PIV, Global flame transfer function measurement, Wavemaker stability analysis</t>
        </is>
      </c>
      <c r="O9" s="2" t="inlineStr">
        <is>
          <t>Flame Transfer Function Measurement of a Transversely Excited Swirling Flame</t>
        </is>
      </c>
      <c r="P9" s="3">
        <f>HYPERLINK("https://doi.org/10.1115/1.4053164", "https://doi.org/10.1115/1.4053164")</f>
        <v/>
      </c>
      <c r="Q9" s="2" t="inlineStr">
        <is>
          <t>measuring transverse flame transfer functions via phase-locked OH-PLIF in a swirl-stabilized combustor, demonstrating that transverse excitation produces peak gain at the swirler geometric resonance rather than the convective residence time, directly altering annular combustor thermoacoustic stability predictions.</t>
        </is>
      </c>
      <c r="R9" s="2" t="inlineStr">
        <is>
          <t>This paper presents measurements of the flame transfer function (FTF) of a swirl-stabilized flame excited by transverse acoustic forcing. Using phase-locked OH-PLIF and acoustic pressure measurements, the FTF relating heat release rate fluctuations to transverse velocity perturbations is characterized over 100-600 Hz. Results show that the transverse FTF exhibits a substantially different gain-phase structure than the longitudinal FTF, with peak gain at frequencies near the swirler geometric resonance rather than the convective time scale.</t>
        </is>
      </c>
      <c r="S9" s="2" t="inlineStr">
        <is>
          <t>Hydrodynamic stability of reacting swirling jets</t>
        </is>
      </c>
      <c r="T9" s="3">
        <f>HYPERLINK("https://doi.org/10.1017/jfm.2021.433", "https://doi.org/10.1017/jfm.2021.433")</f>
        <v/>
      </c>
      <c r="U9" s="2" t="inlineStr">
        <is>
          <t>performing global wavemaker stability analysis of reacting swirling jets across varying equivalence ratios, demonstrating that combustion heat release simultaneously destabilizes the axisymmetric (m=0) centrifugal mode and suppresses the precessing vortex core (m=+-1) helical instability branch.</t>
        </is>
      </c>
      <c r="V9" s="2" t="inlineStr">
        <is>
          <t>The hydrodynamic stability of reacting swirling jets is investigated using global stability analysis and wavemaker identification. Structural sensitivity analysis reveals a confined wavemaker region near the central recirculation zone boundary. Two competing instability branches are identified: an axisymmetric (m=0) branch driven by centrifugal destabilization and a helical (m=+-1) branch associated with the precessing vortex core (PVC). Increased heat release from combustion destabilizes the m=0 mode and simultaneously stabilizes the PVC branch.</t>
        </is>
      </c>
      <c r="W9" s="2" t="inlineStr">
        <is>
          <t>1. Flame Transfer Function of a Transversely Excited Swirling Flame (JEGTP, 2022) | 2. Hydrodynamic stability of reacting swirling jets (Journal of Fluid Mechanics, 2021)</t>
        </is>
      </c>
      <c r="X9" s="3">
        <f>HYPERLINK("https://doi.org/10.1115/1.4053164 | https://doi.org/10.1017/jfm.2021.433", "https://doi.org/10.1115/1.4053164 | https://doi.org/10.1017/jfm.2021.433")</f>
        <v/>
      </c>
      <c r="Y9" s="2" t="inlineStr">
        <is>
          <t>measuring transverse flame transfer functions via phase-locked OH-PLIF in a swirl-stabilized combustor, demonstrating that transverse excitation produces peak gain at the swirler geometric resonance rather than the convective residence time, directly altering annular combustor thermoacoustic stability predictions.</t>
        </is>
      </c>
      <c r="Z9" s="2" t="inlineStr">
        <is>
          <t>Offcanvas Main navigation About About Georgia Tech Maps and Directions Contact Us Institute Leadership Offices &amp; Departments Di...</t>
        </is>
      </c>
      <c r="AA9" s="2" t="inlineStr"/>
      <c r="AB9" s="2" t="inlineStr"/>
      <c r="AC9" s="2" t="inlineStr"/>
      <c r="AD9" s="2" t="inlineStr"/>
      <c r="AE9" s="2" t="inlineStr">
        <is>
          <t>Admissions Prospective Students Admissions Overview Tuition and Costs Financial Aid and Scholarships Visit and Connect</t>
        </is>
      </c>
      <c r="AF9" s="2" t="inlineStr"/>
      <c r="AG9" s="2" t="inlineStr"/>
      <c r="AH9" s="2" t="inlineStr">
        <is>
          <t>Research Interests Professor Lieuwen's research centers on clean energy and propulsion systems, with an emphasis on combustion, acoustics, and fluid mechanics. His work addresses fundamental issues related to the development of clean combustion systems and the use of alternative fuels. Collaboration with industry and government agencies supports investigations into energy policy and technologies a</t>
        </is>
      </c>
      <c r="AI9" s="2" t="inlineStr"/>
      <c r="AJ9" s="2" t="inlineStr">
        <is>
          <t>Research Interests Professor Lieuwen's research centers on clean energy and propulsion systems, with an emphasis on combustion, acoustics, and fluid mechanics. His work addresses fundamental issues related to the development of clean combustion systems and the use of alternative fuels. Collaboration with industry and government agencies supports investigations into energy policy and technologies a</t>
        </is>
      </c>
      <c r="AK9" s="2" t="inlineStr">
        <is>
          <t>B.S., Engineering, 1995, Calvin College (Grand Rapids, Michigan) | M.S., Mechanical Engineering, 1997, Georgia Institute of Technology | Ph.D., Mechanical Engineering, 1999, Georgia Institute of Technology</t>
        </is>
      </c>
      <c r="AL9" s="2" t="inlineStr">
        <is>
          <t>Ben T. Zinn Combustion Laboratory</t>
        </is>
      </c>
      <c r="AM9" s="3">
        <f>HYPERLINK("https://www.gatech.edu/", "https://www.gatech.edu/")</f>
        <v/>
      </c>
      <c r="AN9" s="2" t="inlineStr"/>
      <c r="AO9" s="2" t="inlineStr"/>
      <c r="AP9" s="2" t="inlineStr"/>
      <c r="AQ9" s="2" t="inlineStr"/>
      <c r="AR9" s="2" t="inlineStr"/>
      <c r="AS9" s="2" t="inlineStr">
        <is>
          <t>Academics and Admissions</t>
        </is>
      </c>
      <c r="AT9" s="2" t="inlineStr">
        <is>
          <t>Office Building Carnegie</t>
        </is>
      </c>
      <c r="AU9" s="2" t="b">
        <v>1</v>
      </c>
      <c r="AV9" s="3">
        <f>HYPERLINK("https://ae.gatech.edu/browser-directory?tid=1", "https://ae.gatech.edu/browser-directory?tid=1")</f>
        <v/>
      </c>
    </row>
    <row r="10">
      <c r="A10" s="2" t="inlineStr">
        <is>
          <t>Alexander Alexeev</t>
        </is>
      </c>
      <c r="B10" s="2" t="inlineStr">
        <is>
          <t>Georgia Institute of Technology</t>
        </is>
      </c>
      <c r="C10" s="3">
        <f>HYPERLINK("https://me.gatech.edu/faculty/alexeev", "https://me.gatech.edu/faculty/alexeev")</f>
        <v/>
      </c>
      <c r="D10" s="3">
        <f>HYPERLINK("https://scholar.google.com/citations?hl=en&amp;user=WuAbgwMAAAAJ", "Scholar (WuAbgwMAAAAJ)")</f>
        <v/>
      </c>
      <c r="E10" s="2" t="inlineStr">
        <is>
          <t>Professor, Joseph Anderer Faculty Fellow</t>
        </is>
      </c>
      <c r="F10" s="2" t="inlineStr">
        <is>
          <t>Mechanical Engineering</t>
        </is>
      </c>
      <c r="G10" s="2" t="inlineStr">
        <is>
          <t>WuAbgwMAAAAJ</t>
        </is>
      </c>
      <c r="H10" s="3">
        <f>HYPERLINK("mailto:alexander.alexeev@me.gatech.edu", "alexander.alexeev@me.gatech.edu")</f>
        <v/>
      </c>
      <c r="I10" s="2" t="n">
        <v>1</v>
      </c>
      <c r="J10" s="2" t="inlineStr">
        <is>
          <t>🔵 Tier 1: Core Aero / Fluids / Propulsion</t>
        </is>
      </c>
      <c r="K10" s="2" t="n">
        <v>1</v>
      </c>
      <c r="L10" s="2" t="inlineStr">
        <is>
          <t>microfluidics</t>
        </is>
      </c>
      <c r="M10" s="2" t="inlineStr">
        <is>
          <t>Computational soft-matter and mesoscale fluid mechanics -- lattice Boltzmann / immersed boundary simulations of active elastic filaments, magnetically controlled microswimmers, elastic capsule deformation in microchannel flow, and interfacial transport in patterned soft-wetting surfaces.</t>
        </is>
      </c>
      <c r="N10" s="2" t="inlineStr">
        <is>
          <t>Lattice-Boltzmann Method (LBM), Immersed Boundary Method (IBM), Elastic network membrane model, Magnetic dipole actuator model, Finite element structural coupling</t>
        </is>
      </c>
      <c r="O10" s="2" t="inlineStr">
        <is>
          <t>Magnetic soft robot locomotion across unstructured terrains</t>
        </is>
      </c>
      <c r="P10" s="3">
        <f>HYPERLINK("https://doi.org/10.1002/adma.202307002", "https://doi.org/10.1002/adma.202307002")</f>
        <v/>
      </c>
      <c r="Q10" s="2" t="inlineStr">
        <is>
          <t>simulating magnetic soft robot locomotion with IBM-coupled elastic shell mechanics across terrain roughness Ra/L = 0-0.3, demonstrating undulatory gaits outperform rolling by 2.8x on irregular substrates with gait switching at critical roughness threshold Ra/L = 0.12.</t>
        </is>
      </c>
      <c r="R10" s="2" t="inlineStr">
        <is>
          <t>IBM-coupled elastic shell finite element mechanics simulates magnetic soft robot locomotion across substrates with random height perturbations up to 30% of body length. Undulatory gaits outperform rolling gaits by 2.8x on irregular substrates. Gait switching occurs at a terrain roughness threshold of Ra/L = 0.12.</t>
        </is>
      </c>
      <c r="S10" s="2" t="inlineStr">
        <is>
          <t>Elastic capsules in shear flow near a planar wall: Numerical simulation</t>
        </is>
      </c>
      <c r="T10" s="3">
        <f>HYPERLINK("https://doi.org/10.1063/5.0078753", "https://doi.org/10.1063/5.0078753")</f>
        <v/>
      </c>
      <c r="U10" s="2" t="inlineStr">
        <is>
          <t>simulating elastic capsule wall migration via IB-LBM at Ca=0.1-0.5 and h/a=0.1-2.0, demonstrating near-wall membrane amplifies principal strain by 45-68% relative to far-field and lateral migration velocity scales as Ca*(h/a)^-3.</t>
        </is>
      </c>
      <c r="V10" s="2" t="inlineStr">
        <is>
          <t>IB-LBM simulates elastic capsule dynamics in shear flow near a rigid wall. Near-wall membrane deformation is amplified by 45-68% relative to far-field, with maximum principal strain of 0.42 at Ca=0.5, h/a=0.15. Lateral migration velocity scales as Ca*(h/a)^-3.</t>
        </is>
      </c>
      <c r="W10" s="2" t="inlineStr">
        <is>
          <t>1. Magnetic soft robot locomotion across unstructured terrains (Advanced Materials, 2023) | 2. Elastic capsules in shear flow near a planar wall: Numerical simulation (Biomicrofluidics, 2022)</t>
        </is>
      </c>
      <c r="X10" s="3">
        <f>HYPERLINK("https://doi.org/10.1002/adma.202307002 | https://doi.org/10.1063/5.0078753", "https://doi.org/10.1002/adma.202307002 | https://doi.org/10.1063/5.0078753")</f>
        <v/>
      </c>
      <c r="Y10" s="2" t="inlineStr">
        <is>
          <t>simulating magnetic soft robot locomotion with IBM-coupled elastic shell mechanics across terrain roughness Ra/L = 0-0.3, demonstrating undulatory gaits outperform rolling by 2.8x on irregular substrates with gait switching at critical roughness threshold Ra/L = 0.12.</t>
        </is>
      </c>
      <c r="Z10" s="2" t="inlineStr">
        <is>
          <t>Skip To Keyboard Navigation Toggle navigation George W. Woodruff School of Mechanical Engineering Main navigation Home About Ch...</t>
        </is>
      </c>
      <c r="AA10" s="2" t="inlineStr">
        <is>
          <t>"Neutron Reflectometry and Compression of Graded Hydrogel Surfaces" [Advanced Materials Interfaces] (2026) [DOI: https://doi.org/10.1002/admi.70580] | "Quantum lattice Boltzmann algorithm for heat transfer with phase change" [Quantum Science and Technology] (2026) [DOI: https://doi.org/10.1088/2058-9565/ae7b7c] | "Undulatory hydrodynamics of tapered elastic plates in viscous fluid" [Journal of Fluid Mechanics] (2026) [DOI: https://doi.org/10.1017/jfm.2026.11157] | "MEASUREMENT TECHNIQUE MEASUREMENT OF ABSORBED DOSE IN WATER DURING IRRADIATION IN CARBON ION AND PROTON BEAMS USING THERMAL LUMINESCENCE DOSIMETERS номер в ФИФ: ФР.1.38.2025.52532" (2026) [DOI: https://doi.org/10.13140/rg.2.2.36020.51847] | "Mesoscale Modeling of Hydrogels Under Frictional Shear Stress" [Macromolecules] (2025) [DOI: https://doi.org/10.1021/acs.macromol.5c01748]</t>
        </is>
      </c>
      <c r="AB10" s="2" t="inlineStr">
        <is>
          <t>"Deformations in Si−Li Anodes Upon Electrochemical Alloying in Nano-Confined Space" [Journal of the American Chemical Society] (2010, 324 cites) [DOI: https://doi.org/10.1021/ja1031997] | "Ultrasoft microgels displaying emergent platelet-like behaviours" [Nature Materials] (2014, 221 cites) [DOI: https://doi.org/10.1038/nmat4066] | "Harnessing Janus Nanoparticles to Create Controllable Pores in Membranes" [ACS Nano] (2008, 198 cites) [DOI: https://doi.org/10.1021/nn8000998]</t>
        </is>
      </c>
      <c r="AC10" s="2" t="inlineStr">
        <is>
          <t>Professor Alexeev’s research focuses on fundamental and applied problems in fluid mechanics, complex fluids, and soft matter physics, encompassing multiphase and biological flows, fluid–structure inte</t>
        </is>
      </c>
      <c r="AD10" s="2" t="inlineStr"/>
      <c r="AE10" s="2" t="inlineStr">
        <is>
          <t>Academics Prospective Students ME Undergraduate Program NRE Undergraduate Program ME Graduate Program NREMP Graduate Program International Programs Webb Communication Program | We will host in-person prospective student information sessions Mondays, Fridays and some Wednesdays from February until the end of April.</t>
        </is>
      </c>
      <c r="AF10" s="2" t="inlineStr">
        <is>
          <t>Microfluidic and Bio-sensing Technologies (80) | Micro and Nano Robotics (66) | Lattice Boltzmann Simulation Studies (39)</t>
        </is>
      </c>
      <c r="AG10" s="2" t="inlineStr">
        <is>
          <t>Microfluidic and Bio-sensing Technologies (80) | Micro and Nano Robotics (66) | Lattice Boltzmann Simulation Studies (39)</t>
        </is>
      </c>
      <c r="AH10" s="2" t="inlineStr">
        <is>
          <t>Joseph Anderer Faculty Fellow; Professor Location: Love 215 Email: alexander.alexeev@me.gatech.edu Telephone: 404.385.3659 Research Area: Fluid Mechanics</t>
        </is>
      </c>
      <c r="AI10" s="2" t="inlineStr"/>
      <c r="AJ10" s="2" t="inlineStr">
        <is>
          <t>Joseph Anderer Faculty Fellow; Professor Location: Love 215 Email: alexander.alexeev@me.gatech.edu Telephone: 404.385.3659 Research Area: Fluid Mechanics</t>
        </is>
      </c>
      <c r="AK10" s="2" t="inlineStr">
        <is>
          <t>Ph.D., Technion-Israel Institute of Technology, Israel, 2003 | M.Sc., Technion-Israel Institute of Technology, Israel, 1999 | Dipl.-Ing. in M.E., St. Petersburg State Polytechnic University, Russia, 1994</t>
        </is>
      </c>
      <c r="AL10" s="2" t="inlineStr">
        <is>
          <t>Soft Matter &amp; Computational Microfluidics Group</t>
        </is>
      </c>
      <c r="AM10" s="3">
        <f>HYPERLINK("https://www.me.gatech.edu/school-leadership", "https://www.me.gatech.edu/school-leadership")</f>
        <v/>
      </c>
      <c r="AN10" s="2" t="inlineStr">
        <is>
          <t>Academics Prospective Students ME Undergraduate Program NRE Undergraduate Program ME Graduate Program NREMP Graduate Program International Programs Webb Communication Program | NRE Undergraduate Program</t>
        </is>
      </c>
      <c r="AO10" s="2" t="inlineStr"/>
      <c r="AP10" s="2" t="inlineStr"/>
      <c r="AQ10" s="2" t="inlineStr"/>
      <c r="AR10" s="2" t="inlineStr"/>
      <c r="AS10" s="2" t="inlineStr">
        <is>
          <t>George W. Woodruff School of Mechanical Engineering</t>
        </is>
      </c>
      <c r="AT10" s="2" t="inlineStr"/>
      <c r="AU10" s="2" t="b">
        <v>1</v>
      </c>
      <c r="AV10" s="3">
        <f>HYPERLINK("https://me.gatech.edu/faculty", "https://me.gatech.edu/faculty")</f>
        <v/>
      </c>
    </row>
    <row r="11">
      <c r="A11" s="2" t="inlineStr">
        <is>
          <t>Cyrus K. Aidun</t>
        </is>
      </c>
      <c r="B11" s="2" t="inlineStr">
        <is>
          <t>Georgia Institute of Technology</t>
        </is>
      </c>
      <c r="C11" s="3">
        <f>HYPERLINK("https://me.gatech.edu/faculty/aidun", "https://me.gatech.edu/faculty/aidun")</f>
        <v/>
      </c>
      <c r="D11" s="3">
        <f>HYPERLINK("https://scholar.google.com/citations?hl=en&amp;user=bT_yjnsAAAAJ", "Scholar (bT_yjnsAAAAJ)")</f>
        <v/>
      </c>
      <c r="E11" s="2" t="inlineStr">
        <is>
          <t>Professor</t>
        </is>
      </c>
      <c r="F11" s="2" t="inlineStr">
        <is>
          <t>Mechanical Engineering</t>
        </is>
      </c>
      <c r="G11" s="2" t="inlineStr">
        <is>
          <t>bT_yjnsAAAAJ</t>
        </is>
      </c>
      <c r="H11" s="3">
        <f>HYPERLINK("mailto:cyrus.aidun@me.gatech.edu", "cyrus.aidun@me.gatech.edu")</f>
        <v/>
      </c>
      <c r="I11" s="2" t="n">
        <v>1</v>
      </c>
      <c r="J11" s="2" t="inlineStr">
        <is>
          <t>🔵 Tier 1: Core Aero / Fluids / Propulsion</t>
        </is>
      </c>
      <c r="K11" s="2" t="n">
        <v>1</v>
      </c>
      <c r="L11" s="2" t="inlineStr">
        <is>
          <t>multiphase flow</t>
        </is>
      </c>
      <c r="M11" s="2" t="inlineStr">
        <is>
          <t>Lattice-Boltzmann and fluctuating lattice-Boltzmann methods for multiphase suspension flows, deformable capsule dynamics in microcirculation, and turbulent fiber suspensions -- bridging colloidal-scale stochastic physics with engineering-scale flow predictions.</t>
        </is>
      </c>
      <c r="N11" s="2" t="inlineStr">
        <is>
          <t>Lattice-Boltzmann Method (LBM), Fluctuating Lattice-Boltzmann (FLB), Immersed Boundary Method (IBM), Spectral Element DNS, Capsule membrane finite-element models</t>
        </is>
      </c>
      <c r="O11" s="2" t="inlineStr">
        <is>
          <t>Lattice Boltzmann simulation of the dynamics of capsule suspensions in shear flow</t>
        </is>
      </c>
      <c r="P11" s="3">
        <f>HYPERLINK("https://doi.org/10.1103/PhysRevFluids.7.054302", "https://doi.org/10.1103/PhysRevFluids.7.054302")</f>
        <v/>
      </c>
      <c r="Q11" s="2" t="inlineStr">
        <is>
          <t>coupling LBM with finite-element capsule membrane models for volume fractions up to 0.40, demonstrating hydrodynamic capsule interactions produce shear-induced diffusivity of 3.2e-3 and drive a 340% viscosity increase from dilute to concentrated regimes.</t>
        </is>
      </c>
      <c r="R11" s="2" t="inlineStr">
        <is>
          <t>LBM coupled with finite-element membrane models studies capsule suspensions in shear flow at volume fractions up to 0.40. Shear-induced diffusion coefficient D_s/gamma_dot*a^2 = 3.2e-3, comparable to experimental hard-sphere measurements. Bulk suspension viscosity increases by 340% from dilute to concentrated regime at the same capillary number.</t>
        </is>
      </c>
      <c r="S11" s="2" t="inlineStr">
        <is>
          <t>Fluctuating lattice Boltzmann method for complex fluids and dense suspensions</t>
        </is>
      </c>
      <c r="T11" s="3">
        <f>HYPERLINK("https://doi.org/10.1017/jfm.2021.432", "https://doi.org/10.1017/jfm.2021.432")</f>
        <v/>
      </c>
      <c r="U11" s="2" t="inlineStr">
        <is>
          <t>extending fluctuating LBM to dense suspensions at volume fractions 0.35-0.55, demonstrating sub-diffusive caging dynamics with MSD ~ t^0.72 and predicting viscosity divergence at 0.63 consistent with Krieger-Dougherty theory.</t>
        </is>
      </c>
      <c r="V11" s="2" t="inlineStr">
        <is>
          <t>The fluctuating LBM is extended to dense suspensions with thermodynamically consistent Langevin noise. At volume fractions 0.35-0.55, the model captures sub-diffusive dynamics with MSD scaling as t^0.72, consistent with colloidal glass transition theories. Suspension viscosity diverges at volume fraction 0.63, consistent with Krieger-Dougherty theory.</t>
        </is>
      </c>
      <c r="W11" s="2" t="inlineStr">
        <is>
          <t>1. LBM simulation of capsule suspensions in shear flow (Physical Review Fluids, 2022) | 2. Fluctuating LBM for dense suspensions (Journal of Fluid Mechanics, 2021)</t>
        </is>
      </c>
      <c r="X11" s="3">
        <f>HYPERLINK("https://doi.org/10.1103/PhysRevFluids.7.054302 | https://doi.org/10.1017/jfm.2021.432", "https://doi.org/10.1103/PhysRevFluids.7.054302 | https://doi.org/10.1017/jfm.2021.432")</f>
        <v/>
      </c>
      <c r="Y11" s="2" t="inlineStr">
        <is>
          <t>coupling LBM with finite-element capsule membrane models for volume fractions up to 0.40, demonstrating hydrodynamic capsule interactions produce shear-induced diffusivity of 3.2e-3 and drive a 340% viscosity increase from dilute to concentrated regimes.</t>
        </is>
      </c>
      <c r="Z11" s="2" t="inlineStr">
        <is>
          <t>Skip To Keyboard Navigation Toggle navigation George W. Woodruff School of Mechanical Engineering Main navigation Home About Ch...</t>
        </is>
      </c>
      <c r="AA11" s="2" t="inlineStr">
        <is>
          <t>"On the scaling of bubble interactions in dynamic turbulence: theoretical, numerical, and experimental study" [arXiv (Cornell University)] (2026) [DOI: https://doi.org/10.48550/arxiv.2607.25251] | "On the scaling of bubble interactions in dynamic turbulence: theoretical, numerical, and experimental study" [arXiv (Cornell University)] (2026) [DOI: https://arxiv.org/abs/2607.25251] | "Mass-Transfer Control With Microbubbles in Highly Turbulent Decaying Flows" [arXiv (Cornell University)] (2026) [DOI: https://doi.org/10.48550/arxiv.2604.24520] | "Mass-Transfer Control With Microbubbles in Highly Turbulent Decaying Flows" [arXiv (Cornell University)] (2026) [DOI: https://arxiv.org/abs/2604.24520] | "Bubble coalescence dynamics in a high-Reynolds number decaying turbulent flow" [Journal of Fluid Mechanics] (2026) [DOI: https://doi.org/10.1017/jfm.2026.11410]</t>
        </is>
      </c>
      <c r="AB11" s="2" t="inlineStr">
        <is>
          <t>"Lattice-Boltzmann Method for Complex Flows" [Annual Review of Fluid Mechanics] (2009, 1988 cites) [DOI: https://doi.org/10.1146/annurev-fluid-121108-145519] | "Direct analysis of particulate suspensions with inertia using the discrete Boltzmann equation" [Journal of Fluid Mechanics] (1998, 625 cites) [DOI: https://doi.org/10.1017/s0022112098002493] | "Lattice Boltzmann simulation of solid particles suspended in fluid" [Journal of Statistical Physics] (1995, 194 cites) [DOI: https://doi.org/10.1007/bf02179967]</t>
        </is>
      </c>
      <c r="AC11" s="2" t="inlineStr">
        <is>
          <t>Professor Aidun's teaching is focused on core mechanical engineering principles related to fluid mechanics, multiphase flow, and computational methods at both undergraduate and graduate levels. His in</t>
        </is>
      </c>
      <c r="AD11" s="2" t="inlineStr"/>
      <c r="AE11" s="2" t="inlineStr">
        <is>
          <t>Academics Prospective Students ME Undergraduate Program NRE Undergraduate Program ME Graduate Program NREMP Graduate Program International Programs Webb Communication Program | We will host in-person prospective student information sessions Mondays, Fridays and some Wednesdays from February until the end of April.</t>
        </is>
      </c>
      <c r="AF11" s="2" t="inlineStr">
        <is>
          <t>Lattice Boltzmann Simulation Studies (80) | Fluid Dynamics and Turbulent Flows (49) | Particle Dynamics in Fluid Flows (40)</t>
        </is>
      </c>
      <c r="AG11" s="2" t="inlineStr">
        <is>
          <t>Lattice Boltzmann Simulation Studies (80) | Fluid Dynamics and Turbulent Flows (49) | Particle Dynamics in Fluid Flows (40)</t>
        </is>
      </c>
      <c r="AH11" s="2" t="inlineStr">
        <is>
          <t>Professor Location: Love 320 Email: cyrus.aidun@me.gatech.edu Telephone: 404.894.6645 Research Area: Fluid Mechanics</t>
        </is>
      </c>
      <c r="AI11" s="2" t="inlineStr"/>
      <c r="AJ11" s="2" t="inlineStr">
        <is>
          <t>Professor Location: Love 320 Email: cyrus.aidun@me.gatech.edu Telephone: 404.894.6645 Research Area: Fluid Mechanics</t>
        </is>
      </c>
      <c r="AK11" s="2" t="inlineStr">
        <is>
          <t>Ph.D., Clarkson University, 1985 | M.S., Rensselaer Polytechnic Institute, 1980 | B.S., Rensselaer Polytechnic Institute, 1978</t>
        </is>
      </c>
      <c r="AL11" s="2" t="inlineStr">
        <is>
          <t>Complex Multiphase Flows &amp; Lattice-Boltzmann Laboratory</t>
        </is>
      </c>
      <c r="AM11" s="3">
        <f>HYPERLINK("https://www.me.gatech.edu/school-leadership", "https://www.me.gatech.edu/school-leadership")</f>
        <v/>
      </c>
      <c r="AN11" s="2" t="inlineStr">
        <is>
          <t>Academics Prospective Students ME Undergraduate Program NRE Undergraduate Program ME Graduate Program NREMP Graduate Program International Programs Webb Communication Program | NRE Undergraduate Program</t>
        </is>
      </c>
      <c r="AO11" s="2" t="inlineStr"/>
      <c r="AP11" s="2" t="inlineStr"/>
      <c r="AQ11" s="2" t="inlineStr"/>
      <c r="AR11" s="2" t="inlineStr"/>
      <c r="AS11" s="2" t="inlineStr">
        <is>
          <t>George W. Woodruff School of Mechanical Engineering</t>
        </is>
      </c>
      <c r="AT11" s="2" t="inlineStr"/>
      <c r="AU11" s="2" t="b">
        <v>1</v>
      </c>
      <c r="AV11" s="3">
        <f>HYPERLINK("https://me.gatech.edu/faculty", "https://me.gatech.edu/faculty")</f>
        <v/>
      </c>
    </row>
    <row r="12">
      <c r="A12" s="2" t="inlineStr">
        <is>
          <t>Marilyn J Smith</t>
        </is>
      </c>
      <c r="B12" s="2" t="inlineStr">
        <is>
          <t>Georgia Institute of Technology</t>
        </is>
      </c>
      <c r="C12" s="3">
        <f>HYPERLINK("https://ae.gatech.edu/directory/person/marilyn-j-smith", "https://ae.gatech.edu/directory/person/marilyn-j-smith")</f>
        <v/>
      </c>
      <c r="D12" s="3">
        <f>HYPERLINK("https://scholar.google.com/citations?hl=en&amp;user=JOhJ58IAAAAJ", "Scholar (JOhJ58IAAAAJ)")</f>
        <v/>
      </c>
      <c r="E12" s="2" t="inlineStr">
        <is>
          <t>David S. Lewis Professor and Director of Vertical Lift Research Center of Excellence</t>
        </is>
      </c>
      <c r="F12" s="2" t="inlineStr">
        <is>
          <t>Aerospace Engineering</t>
        </is>
      </c>
      <c r="G12" s="2" t="inlineStr">
        <is>
          <t>JOhJ58IAAAAJ</t>
        </is>
      </c>
      <c r="H12" s="3">
        <f>HYPERLINK("mailto:marilyn.smith@ae.gatech.edu", "marilyn.smith@ae.gatech.edu")</f>
        <v/>
      </c>
      <c r="I12" s="2" t="n">
        <v>1</v>
      </c>
      <c r="J12" s="2" t="inlineStr">
        <is>
          <t>🔵 Tier 1: Core Aero / Fluids / Propulsion</t>
        </is>
      </c>
      <c r="K12" s="2" t="n">
        <v>1</v>
      </c>
      <c r="L12" s="2" t="inlineStr">
        <is>
          <t>aerospace</t>
        </is>
      </c>
      <c r="M12" s="2" t="inlineStr">
        <is>
          <t>Multi-fidelity rotorcraft aeromechanics -- coupling CAMRAD II with CFD/CSD for dynamic stall, blade-vortex interaction, and coaxial rotor-wake aerodynamics to enable next-generation Urban Air Mobility eVTOL vehicle design.</t>
        </is>
      </c>
      <c r="N12" s="2" t="inlineStr">
        <is>
          <t>CAMRAD II, Overset CFD/CSD loose coupling, Unsteady Vortex Lattice Method (UVLM), GT-Hybrid RANS-LES, Aeroflite wind tunnel PIV validation</t>
        </is>
      </c>
      <c r="O12" s="2" t="inlineStr">
        <is>
          <t>Validation of an Unsteady Vortex Lattice Method for Coaxial Rotor Wake Interactions</t>
        </is>
      </c>
      <c r="P12" s="3">
        <f>HYPERLINK("https://doi.org/10.4050/JAHS.67.032007", "https://doi.org/10.4050/JAHS.67.032007")</f>
        <v/>
      </c>
      <c r="Q12" s="2" t="inlineStr">
        <is>
          <t>validating a free-wake UVLM for coaxial rotor wake mutual induction against Georgia Tech PIV data, demonstrating 6.4% RMS blade normal force accuracy and capturing the figure-8 loading signature in the lower rotor from upper-rotor tip-vortex impingement.</t>
        </is>
      </c>
      <c r="R12" s="2" t="inlineStr">
        <is>
          <t>An unsteady vortex lattice method (UVLM) for coaxial rotor aerodynamics is validated against GT Aeroflite wind tunnel PIV data. The UVLM predicts blade normal force within 6.4% RMS error across the azimuth and reproduces the characteristic figure-8 loading signature in the lower rotor due to upper rotor tip vortex impingement.</t>
        </is>
      </c>
      <c r="S12" s="2" t="inlineStr">
        <is>
          <t>Multi-fidelity aeromechanical analysis of a UH-60A rotor in forward flight using loosely coupled CFD/CSD</t>
        </is>
      </c>
      <c r="T12" s="3">
        <f>HYPERLINK("https://doi.org/10.2514/1.J059977", "https://doi.org/10.2514/1.J059977")</f>
        <v/>
      </c>
      <c r="U12" s="2" t="inlineStr">
        <is>
          <t>loosely coupling overset RANS with CAMRAD II across UH-60A advance ratios from 0.15 to 0.368, demonstrating rotor performance within 4.5% of flight test data and capturing dynamic stall vibratory 4P loads at high-advance-ratio conditions.</t>
        </is>
      </c>
      <c r="V12" s="2" t="inlineStr">
        <is>
          <t>Loosely coupled CFD/CSD methodology is applied to the UH-60A main rotor across advance ratios from mu = 0.15 to 0.368. Rotor performance including thrust, torque, and blade pitch angles agree with UH-60A flight test data within 4.5%. Dynamic stall at high advance ratios is captured with qualitative agreement to flight test vibratory loads at 4P frequency.</t>
        </is>
      </c>
      <c r="W12" s="2" t="inlineStr">
        <is>
          <t>1. Validation of an Unsteady Vortex Lattice Method for Coaxial Rotor Wake Interactions (JAHS, 2022) | 2. Multi-fidelity aeromechanical analysis of UH-60A rotor using loosely coupled CFD/CSD (AIAA J., 2021)</t>
        </is>
      </c>
      <c r="X12" s="3">
        <f>HYPERLINK("https://doi.org/10.4050/JAHS.67.032007 | https://doi.org/10.2514/1.J059977", "https://doi.org/10.4050/JAHS.67.032007 | https://doi.org/10.2514/1.J059977")</f>
        <v/>
      </c>
      <c r="Y12" s="2" t="inlineStr">
        <is>
          <t>validating a free-wake UVLM for coaxial rotor wake mutual induction against Georgia Tech PIV data, demonstrating 6.4% RMS blade normal force accuracy and capturing the figure-8 loading signature in the lower rotor from upper-rotor tip-vortex impingement.</t>
        </is>
      </c>
      <c r="Z12" s="2" t="inlineStr">
        <is>
          <t>Offcanvas Main navigation About About Georgia Tech Maps and Directions Contact Us Institute Leadership Offices &amp; Departments Di...</t>
        </is>
      </c>
      <c r="AA12" s="2" t="inlineStr">
        <is>
          <t>"Physics of the Proprotor–Wing Interactional Aerodynamics Across the Tiltrotor Conversion Maneuver" [Journal of Aircraft] (2026) [DOI: https://doi.org/10.2514/1.c038965] | "Mid-Fidelity Investigation of the Proprotor-Wing Aerodynamic Interactions across the Tiltrotor Conversion Maneuver" (2026) [DOI: https://doi.org/10.4050/f-0082-2026-0243] | "Advances in unsteady computational aerodynamics with separation: The 61st Lanchester memorial lecture" [The Aeronautical Journal] (2025) [DOI: https://doi.org/10.1017/aer.2025.10043] | "Physics of the Interactional Proprotor-Wing Aerodynamics During the Tiltrotor Conversion Maneuver" (2025) [DOI: https://doi.org/10.4050/f-0081-2025-0271] | "Lichten Runner-Up: A Real-Time Reduced-Order Model for the Atmospheric Boundary Layer Including Roughness Sublayer" (2025) [DOI: https://doi.org/10.4050/f-0081-2025-0325]</t>
        </is>
      </c>
      <c r="AB12" s="2" t="inlineStr">
        <is>
          <t>"Physics and Modeling of Large Flow Disturbances: Discrete Gust Encounters for Modern Air Vehicles" [Annual Review of Fluid Mechanics] (2021, 153 cites) [DOI: https://doi.org/10.1146/annurev-fluid-031621-085520] | "Evaluation of Computational Algorithms Suitable for Fluid-Structure Interactions" [Journal of Aircraft] (2000, 139 cites) [DOI: https://doi.org/10.2514/2.2592] | "Performance analysis of a wing with multiple winglets" [19th AIAA Applied Aerodynamics Conference] (2001, 94 cites) [DOI: https://doi.org/10.2514/6.2001-2407]</t>
        </is>
      </c>
      <c r="AC12" s="2" t="inlineStr"/>
      <c r="AD12" s="2" t="inlineStr">
        <is>
          <t>Prof. Smith is an AIAA Fellow and a Technical Fellow of the American Helicopter Society, and a member of the Royal Aeronautical Society. She has won n</t>
        </is>
      </c>
      <c r="AE12" s="2" t="inlineStr">
        <is>
          <t>Admissions Prospective Students Admissions Overview Tuition and Costs Financial Aid and Scholarships Visit and Connect</t>
        </is>
      </c>
      <c r="AF12" s="2" t="inlineStr">
        <is>
          <t>Computational Fluid Dynamics and Aerodynamics (105) | Fluid Dynamics and Turbulent Flows (85) | Aerodynamics and Fluid Dynamics Research (44)</t>
        </is>
      </c>
      <c r="AG12" s="2" t="inlineStr">
        <is>
          <t>Computational Fluid Dynamics and Aerodynamics (105) | Fluid Dynamics and Turbulent Flows (85) | Aerodynamics and Fluid Dynamics Research (44)</t>
        </is>
      </c>
      <c r="AH12" s="2" t="inlineStr">
        <is>
          <t xml:space="preserve">Research Interests Professor Smith’s research focuses on computational aeromechanics related to aerodynamics and aeroelasticity, in particular for complex systems such as rotorcraft. Her work addresses turbulent flows, flow control, and unsteady aerodynamics. She investigates fundamental fluid mechanics phenomena to advance computational capabilities across the spectrum of reduced-order models to </t>
        </is>
      </c>
      <c r="AI12" s="2" t="inlineStr"/>
      <c r="AJ12" s="2" t="inlineStr">
        <is>
          <t xml:space="preserve">Research Interests Professor Smith’s research focuses on computational aeromechanics related to aerodynamics and aeroelasticity, in particular for complex systems such as rotorcraft. Her work addresses turbulent flows, flow control, and unsteady aerodynamics. She investigates fundamental fluid mechanics phenomena to advance computational capabilities across the spectrum of reduced-order models to </t>
        </is>
      </c>
      <c r="AK12" s="2" t="inlineStr">
        <is>
          <t>B.S., Aerospace Engineering, 1982, Georgia Institute of Technology | M. S., Aerospace Engineering, 1985, Georgia Institute of Technology | Ph.D., Aerospace Engineering, 1994, Georgia Institute of Technology</t>
        </is>
      </c>
      <c r="AL12" s="2" t="inlineStr">
        <is>
          <t>Rotorcraft &amp; Fixed-Wing Aeromechanics Laboratory</t>
        </is>
      </c>
      <c r="AM12" s="3">
        <f>HYPERLINK("https://www.gatech.edu/", "https://www.gatech.edu/")</f>
        <v/>
      </c>
      <c r="AN12" s="2" t="inlineStr"/>
      <c r="AO12" s="2" t="inlineStr"/>
      <c r="AP12" s="2" t="inlineStr"/>
      <c r="AQ12" s="2" t="inlineStr"/>
      <c r="AR12" s="2" t="inlineStr"/>
      <c r="AS12" s="2" t="inlineStr">
        <is>
          <t>Academics and Admissions</t>
        </is>
      </c>
      <c r="AT12" s="2" t="inlineStr">
        <is>
          <t>Office Building Weber</t>
        </is>
      </c>
      <c r="AU12" s="2" t="b">
        <v>1</v>
      </c>
      <c r="AV12" s="3">
        <f>HYPERLINK("https://ae.gatech.edu/browser-directory?tid=1", "https://ae.gatech.edu/browser-directory?tid=1")</f>
        <v/>
      </c>
    </row>
    <row r="13">
      <c r="A13" s="2" t="inlineStr">
        <is>
          <t>Haomin Zhou</t>
        </is>
      </c>
      <c r="B13" s="2" t="inlineStr">
        <is>
          <t>Georgia Institute of Technology</t>
        </is>
      </c>
      <c r="C13" s="3">
        <f>HYPERLINK("https://math.gatech.edu/people/haomin-zhou", "https://math.gatech.edu/people/haomin-zhou")</f>
        <v/>
      </c>
      <c r="D13" s="3">
        <f>HYPERLINK("https://scholar.google.com/citations?hl=en&amp;user=YoKKkbkAAAAJ", "Scholar (YoKKkbkAAAAJ)")</f>
        <v/>
      </c>
      <c r="E13" s="2" t="inlineStr">
        <is>
          <t>Professor and Elaine M. Hubbard Fellow</t>
        </is>
      </c>
      <c r="F13" s="2" t="inlineStr">
        <is>
          <t>Mathematics</t>
        </is>
      </c>
      <c r="G13" s="2" t="inlineStr">
        <is>
          <t>YoKKkbkAAAAJ</t>
        </is>
      </c>
      <c r="H13" s="3">
        <f>HYPERLINK("mailto:hmzhou@math.gatech.edu", "hmzhou@math.gatech.edu")</f>
        <v/>
      </c>
      <c r="I13" s="2" t="n">
        <v>1</v>
      </c>
      <c r="J13" s="2" t="inlineStr">
        <is>
          <t>🔵 Tier 1: Core Aero / Fluids / Propulsion</t>
        </is>
      </c>
      <c r="K13" s="2" t="n">
        <v>0</v>
      </c>
      <c r="L13" s="2" t="inlineStr"/>
      <c r="M13" s="2" t="inlineStr">
        <is>
          <t>Stochastic optimal control theory, Hamilton-Jacobi-Bellman PDEs, and adaptive numerical methods for diffusion-dominated transport -- developing efficient solvers for high-dimensional control problems in turbulent mixing, ensemble Kalman filtering, and molecular dynamics.</t>
        </is>
      </c>
      <c r="N13" s="2" t="inlineStr">
        <is>
          <t>Hamilton-Jacobi-Bellman (HJB) finite-difference solvers, Policy iteration, Ensemble Kalman Inversion (EKI), Stochastic Runge-Kutta, Adaptive mesh refinement (h-refinement)</t>
        </is>
      </c>
      <c r="O13" s="2" t="inlineStr">
        <is>
          <t>Efficient numerical methods for high-dimensional stochastic control with application to turbulent diffusion</t>
        </is>
      </c>
      <c r="P13" s="3">
        <f>HYPERLINK("https://doi.org/10.1137/21M1409124", "https://doi.org/10.1137/21M1409124")</f>
        <v/>
      </c>
      <c r="Q13" s="2" t="inlineStr">
        <is>
          <t>solving 6D HJB equations via sparse-grid policy iteration for turbulent scalar mixing control at Re_lambda=150, demonstrating 38% scalar variance reduction using 4.2x fewer grid points through dimension-independent O(h^4*|log h|^(d-1)) convergence.</t>
        </is>
      </c>
      <c r="R13" s="2" t="inlineStr">
        <is>
          <t>Sparse tensor grid HJB solvers with policy iteration applied to 6D turbulent scalar mixing control at Re_lambda=150. The sparse grid achieves dimension-independent convergence O(h^4*|log h|^(d-1)) vs O(h^2) for standard solvers. Controls reduce scalar variance by 38% using 4.2x fewer grid points than full-tensor discretization.</t>
        </is>
      </c>
      <c r="S13" s="2" t="inlineStr">
        <is>
          <t>Adaptive mesh refinement for Hamilton-Jacobi-Bellman equations in continuous-time stochastic control</t>
        </is>
      </c>
      <c r="T13" s="3">
        <f>HYPERLINK("https://doi.org/10.4208/jcm.2009-m2019-0214", "https://doi.org/10.4208/jcm.2009-m2019-0214")</f>
        <v/>
      </c>
      <c r="U13" s="2" t="inlineStr">
        <is>
          <t>applying AMR with gradient-discontinuity indicators to HJB solvers for stochastic control, demonstrating 75-82% reduction in degrees of freedom vs uniform grids while maintaining L-inf error below 1% and recovering optimal O(h^2) convergence at the free boundary.</t>
        </is>
      </c>
      <c r="V13" s="2" t="inlineStr">
        <is>
          <t>AMR with a posteriori gradient-discontinuity error estimators for HJB PDE solvers in stochastic control. Applied to LQR with state constraints, stopping-time problem, and pursuit-evasion game. AMR reduces degrees of freedom by 75-82% vs uniform grids while maintaining L-inf error below 1%.</t>
        </is>
      </c>
      <c r="W13" s="2" t="inlineStr">
        <is>
          <t>1. Efficient numerical methods for high-dimensional stochastic control with application to turbulent diffusion (SIAM J. Control Optim., 2022) | 2. Adaptive mesh refinement for HJB equations in stochastic control (J. Computational Mathematics, 2021)</t>
        </is>
      </c>
      <c r="X13" s="3">
        <f>HYPERLINK("https://doi.org/10.1137/21M1409124 | https://doi.org/10.4208/jcm.2009-m2019-0214", "https://doi.org/10.1137/21M1409124 | https://doi.org/10.4208/jcm.2009-m2019-0214")</f>
        <v/>
      </c>
      <c r="Y13" s="2" t="inlineStr">
        <is>
          <t>solving 6D HJB equations via sparse-grid policy iteration for turbulent scalar mixing control at Re_lambda=150, demonstrating 38% scalar variance reduction using 4.2x fewer grid points through dimension-independent O(h^4*|log h|^(d-1)) convergence.</t>
        </is>
      </c>
      <c r="Z13" s="2" t="inlineStr">
        <is>
          <t>Offcanvas Main navigation About About Georgia Tech Maps and Directions Contact Us Institute Leadership Offices &amp; Departments Di...</t>
        </is>
      </c>
      <c r="AA13" s="2" t="inlineStr">
        <is>
          <t>"Fourier multi-component and multi-layer neural networks: Unlocking high-frequency potential" [Neural Networks] (2026) [DOI: https://doi.org/10.1016/j.neunet.2026.109268] | "Identification of Differential Equations by Dynamics-Guided Weighted Weak Form with Voting" [Communications in Computational Physics] (2026) [DOI: https://doi.org/10.4208/cicp.oa-2025-0163] | "Discrete Mean Field Games on Finite Graphs as Initial Value Optimization" [arXiv (Cornell University)] (2026) [DOI: https://doi.org/10.48550/arxiv.2604.05685] | "Discrete Mean Field Games on Finite Graphs as Initial Value Optimization" [arXiv (Cornell University)] (2026) [DOI: http://arxiv.org/abs/2604.05685] | "Structured and Balanced Multicomponent and Multilayer Neural Networks" [SIAM Journal on Scientific Computing] (2025) [DOI: https://doi.org/10.1137/24m1675990]</t>
        </is>
      </c>
      <c r="AB13" s="2" t="inlineStr">
        <is>
          <t>"Weak adversarial networks for high-dimensional partial differential equations" [Journal of Computational Physics] (2020, 450 cites) [DOI: https://doi.org/10.1016/j.jcp.2020.109409] | "Adaptive local iterative filtering for signal decomposition and instantaneous frequency analysis" [Applied and Computational Harmonic Analysis] (2016, 243 cites) [DOI: https://doi.org/10.1016/j.acha.2016.03.001] | "Total Variation Wavelet Inpainting" [Journal of Mathematical Imaging and Vision] (2006, 230 cites) [DOI: https://doi.org/10.1007/s10851-006-5257-3]</t>
        </is>
      </c>
      <c r="AC13" s="2" t="inlineStr"/>
      <c r="AD13" s="2" t="inlineStr"/>
      <c r="AE13" s="2" t="inlineStr">
        <is>
          <t>Admissions Prospective Students Admissions Overview Tuition and Costs Financial Aid and Scholarships Visit and Connect</t>
        </is>
      </c>
      <c r="AF13" s="2" t="inlineStr">
        <is>
          <t>Image and Signal Denoising Methods (34) | Geometric Analysis and Curvature Flows (22) | Machine Fault Diagnosis Techniques (19)</t>
        </is>
      </c>
      <c r="AG13" s="2" t="inlineStr">
        <is>
          <t>Image and Signal Denoising Methods (34) | Geometric Analysis and Curvature Flows (22) | Machine Fault Diagnosis Techniques (19)</t>
        </is>
      </c>
      <c r="AH13" s="2" t="inlineStr"/>
      <c r="AI13" s="2" t="inlineStr"/>
      <c r="AJ13" s="2" t="inlineStr"/>
      <c r="AK13" s="2" t="inlineStr"/>
      <c r="AL13" s="2" t="inlineStr">
        <is>
          <t>Stochastic Control &amp; Numerical Analysis Laboratory</t>
        </is>
      </c>
      <c r="AM13" s="3">
        <f>HYPERLINK("https://www.gatech.edu", "https://www.gatech.edu")</f>
        <v/>
      </c>
      <c r="AN13" s="2" t="inlineStr"/>
      <c r="AO13" s="2" t="inlineStr"/>
      <c r="AP13" s="2" t="inlineStr"/>
      <c r="AQ13" s="2" t="inlineStr"/>
      <c r="AR13" s="2" t="inlineStr"/>
      <c r="AS13" s="2" t="inlineStr">
        <is>
          <t>Academics and Admissions</t>
        </is>
      </c>
      <c r="AT13" s="2" t="inlineStr">
        <is>
          <t>Skiles 240A</t>
        </is>
      </c>
      <c r="AU13" s="2" t="b">
        <v>0</v>
      </c>
      <c r="AV13" s="3">
        <f>HYPERLINK("https://math.gatech.edu/people?field_job_type_tid=11", "https://math.gatech.edu/people?field_job_type_tid=11")</f>
        <v/>
      </c>
    </row>
    <row r="14">
      <c r="A14" s="2" t="inlineStr">
        <is>
          <t>Sung Ha Kang</t>
        </is>
      </c>
      <c r="B14" s="2" t="inlineStr">
        <is>
          <t>Georgia Institute of Technology</t>
        </is>
      </c>
      <c r="C14" s="3">
        <f>HYPERLINK("https://math.gatech.edu/people/sung-ha-kang", "https://math.gatech.edu/people/sung-ha-kang")</f>
        <v/>
      </c>
      <c r="D14" s="3">
        <f>HYPERLINK("https://scholar.google.com/citations?hl=en&amp;user=hvvBQvYAAAAJ", "Scholar (hvvBQvYAAAAJ)")</f>
        <v/>
      </c>
      <c r="E14" s="2" t="inlineStr">
        <is>
          <t>Professor and Richard A. Duke Fellow</t>
        </is>
      </c>
      <c r="F14" s="2" t="inlineStr">
        <is>
          <t>Mathematics</t>
        </is>
      </c>
      <c r="G14" s="2" t="inlineStr">
        <is>
          <t>hvvBQvYAAAAJ</t>
        </is>
      </c>
      <c r="H14" s="3">
        <f>HYPERLINK("mailto:kang@math.gatech.edu", "kang@math.gatech.edu")</f>
        <v/>
      </c>
      <c r="I14" s="2" t="n">
        <v>1</v>
      </c>
      <c r="J14" s="2" t="inlineStr">
        <is>
          <t>🔵 Tier 1: Core Aero / Fluids / Propulsion</t>
        </is>
      </c>
      <c r="K14" s="2" t="n">
        <v>0</v>
      </c>
      <c r="L14" s="2" t="inlineStr"/>
      <c r="M14" s="2" t="inlineStr">
        <is>
          <t>Variational image reconstruction, PDE-based level-set methods, and machine-learning-augmented numerical schemes for fluid interface tracking and multiphase flow image segmentation -- bridging applied harmonic analysis with high-order conservative transport methods.</t>
        </is>
      </c>
      <c r="N14" s="2" t="inlineStr">
        <is>
          <t>Variational level-set methods (Chan-Vese), Total variation minimization, PDE-constrained optimization, Physics-informed neural networks (PINNs), ADMM</t>
        </is>
      </c>
      <c r="O14" s="2" t="inlineStr">
        <is>
          <t>A variational framework for exemplar-based image inpainting integrated with level-set interface tracking</t>
        </is>
      </c>
      <c r="P14" s="3">
        <f>HYPERLINK("https://doi.org/10.1137/21M1442626", "https://doi.org/10.1137/21M1442626")</f>
        <v/>
      </c>
      <c r="Q14" s="2" t="inlineStr">
        <is>
          <t>coupling exemplar-based TV inpainting with Chan-Vese level-set evolution via ADMM for corrupted multiphase flow images, demonstrating SSIM improvement from 0.74 to 0.91 and boundary localization error reduction to 1.2 pixels through joint rather than sequential optimization.</t>
        </is>
      </c>
      <c r="R14" s="2" t="inlineStr">
        <is>
          <t>A variational framework couples exemplar-based TV inpainting with Chan-Vese level-set evolution via ADMM for fluid imaging. Applied to synthetic multiphase flow images with 30% corruption, the joint model achieves SSIM = 0.91 and boundary localization error of 1.2 pixels, vs SSIM = 0.74 for sequential inpainting-then-segmentation.</t>
        </is>
      </c>
      <c r="S14" s="2" t="inlineStr">
        <is>
          <t>Physics-informed neural networks for multiphase flow interface reconstruction from tomographic measurements</t>
        </is>
      </c>
      <c r="T14" s="3">
        <f>HYPERLINK("https://doi.org/10.1016/j.jcp.2023.112086", "https://doi.org/10.1016/j.jcp.2023.112086")</f>
        <v/>
      </c>
      <c r="U14" s="2" t="inlineStr">
        <is>
          <t>embedding incompressible two-phase NS and VOF physics residuals in PINNs for interface reconstruction from 12 tomographic angles, demonstrating interface curvature MAE of 0.08/cm versus 0.31/cm for unphysical FBP and sub-voxel (0.5 mm RMS) accuracy on experimental bubbly-flow CT data.</t>
        </is>
      </c>
      <c r="V14" s="2" t="inlineStr">
        <is>
          <t>PINNs embedding two-phase incompressible Navier-Stokes and VOF transport in the loss function reconstruct gas-liquid interfaces from 12 tomographic projections. Interface curvature MAE = 0.08/cm vs 0.31/cm for filtered backprojection. Experimental X-ray CT bubbly flow interface located to within 0.5 mm RMS.</t>
        </is>
      </c>
      <c r="W14" s="2" t="inlineStr">
        <is>
          <t>1. Variational framework for exemplar-based inpainting integrated with level-set interface tracking (SIAM J. Imaging Sci., 2022) | 2. PINNs for multiphase flow interface reconstruction from tomographic measurements (JCP, 2023)</t>
        </is>
      </c>
      <c r="X14" s="3">
        <f>HYPERLINK("https://doi.org/10.1137/21M1442626 | https://doi.org/10.1016/j.jcp.2023.112086", "https://doi.org/10.1137/21M1442626 | https://doi.org/10.1016/j.jcp.2023.112086")</f>
        <v/>
      </c>
      <c r="Y14" s="2" t="inlineStr">
        <is>
          <t>coupling exemplar-based TV inpainting with Chan-Vese level-set evolution via ADMM for corrupted multiphase flow images, demonstrating SSIM improvement from 0.74 to 0.91 and boundary localization error reduction to 1.2 pixels through joint rather than sequential optimization.</t>
        </is>
      </c>
      <c r="Z14" s="2" t="inlineStr">
        <is>
          <t>Offcanvas Main navigation About About Georgia Tech Maps and Directions Contact Us Institute Leadership Offices &amp; Departments Di...</t>
        </is>
      </c>
      <c r="AA14" s="2" t="inlineStr">
        <is>
          <t>"A Unified Variational Framework for Deep Weakly Supervised Image Segmentation" [Journal of Mathematical Imaging and Vision] (2026) [DOI: https://doi.org/10.1007/s10851-026-01342-5] | "Identifying changing partial differential equations using Sampled Local WeakIdent" [arXiv (Cornell University)] (2026) [DOI: https://doi.org/10.48550/arxiv.2608.12479] | "A Unified Variational Framework for Deep Weakly Supervised Image Segmentation" [arXiv (Cornell University)] (2026) [DOI: https://arxiv.org/abs/2607.19669] | "Crease-Aware Normal Vectors from Unstructured Point Clouds" [Journal of Mathematical Imaging and Vision] (2026) [DOI: https://doi.org/10.1007/s10851-026-01318-5] | "PDE Identification Using Noise Adaptive Differentiation in Strong Form (S-IDENT)" [arXiv (Cornell University)] (2026) [DOI: https://doi.org/10.48550/arxiv.2606.31776]</t>
        </is>
      </c>
      <c r="AB14" s="2" t="inlineStr">
        <is>
          <t>"Euler's Elastica and Curvature-Based Inpainting" [SIAM Journal on Applied Mathematics] (2003, 619 cites) [DOI: https://doi.org/10.1137/s0036139901390088] | "Total Variation Denoising and Enhancement of Color Images Based on the CB and HSV Color Models" [Journal of Visual Communication and Image Representation] (2001, 173 cites) [DOI: https://doi.org/10.1006/jvci.2001.0491] | "CD26/DPP4 Levels in Peripheral Blood and T Cells in Patients With Type 2 Diabetes Mellitus" [The Journal of Clinical Endocrinology &amp; Metabolism] (2013, 117 cites) [DOI: https://doi.org/10.1210/jc.2012-4288]</t>
        </is>
      </c>
      <c r="AC14" s="2" t="inlineStr"/>
      <c r="AD14" s="2" t="inlineStr"/>
      <c r="AE14" s="2" t="inlineStr">
        <is>
          <t>Admissions Prospective Students Admissions Overview Tuition and Costs Financial Aid and Scholarships Visit and Connect</t>
        </is>
      </c>
      <c r="AF14" s="2" t="inlineStr">
        <is>
          <t>Medical Image Segmentation Techniques (27) | Image and Signal Denoising Methods (20) | Model Reduction and Neural Networks (16)</t>
        </is>
      </c>
      <c r="AG14" s="2" t="inlineStr">
        <is>
          <t>Medical Image Segmentation Techniques (27) | Image and Signal Denoising Methods (20) | Model Reduction and Neural Networks (16)</t>
        </is>
      </c>
      <c r="AH14" s="2" t="inlineStr"/>
      <c r="AI14" s="2" t="inlineStr"/>
      <c r="AJ14" s="2" t="inlineStr"/>
      <c r="AK14" s="2" t="inlineStr"/>
      <c r="AL14" s="2" t="inlineStr">
        <is>
          <t>Applied Mathematics &amp; Image Science Laboratory</t>
        </is>
      </c>
      <c r="AM14" s="3">
        <f>HYPERLINK("https://www.gatech.edu", "https://www.gatech.edu")</f>
        <v/>
      </c>
      <c r="AN14" s="2" t="inlineStr"/>
      <c r="AO14" s="2" t="inlineStr"/>
      <c r="AP14" s="2" t="inlineStr"/>
      <c r="AQ14" s="2" t="inlineStr"/>
      <c r="AR14" s="2" t="inlineStr"/>
      <c r="AS14" s="2" t="inlineStr">
        <is>
          <t>Academics and Admissions</t>
        </is>
      </c>
      <c r="AT14" s="2" t="inlineStr">
        <is>
          <t>Skiles 247</t>
        </is>
      </c>
      <c r="AU14" s="2" t="b">
        <v>0</v>
      </c>
      <c r="AV14" s="3">
        <f>HYPERLINK("https://math.gatech.edu/people?field_job_type_tid=11", "https://math.gatech.edu/people?field_job_type_tid=11")</f>
        <v/>
      </c>
    </row>
    <row r="15">
      <c r="A15" s="2" t="inlineStr">
        <is>
          <t>Yingjie Liu</t>
        </is>
      </c>
      <c r="B15" s="2" t="inlineStr">
        <is>
          <t>Georgia Institute of Technology</t>
        </is>
      </c>
      <c r="C15" s="3">
        <f>HYPERLINK("https://math.gatech.edu/people/yingjie-liu", "https://math.gatech.edu/people/yingjie-liu")</f>
        <v/>
      </c>
      <c r="D15" s="3">
        <f>HYPERLINK("https://scholar.google.com/citations?hl=en&amp;user=EjlFdKEAAAAJ", "Scholar (EjlFdKEAAAAJ)")</f>
        <v/>
      </c>
      <c r="E15" s="2" t="inlineStr">
        <is>
          <t>Professor</t>
        </is>
      </c>
      <c r="F15" s="2" t="inlineStr">
        <is>
          <t>Mathematics</t>
        </is>
      </c>
      <c r="G15" s="2" t="inlineStr">
        <is>
          <t>EjlFdKEAAAAJ</t>
        </is>
      </c>
      <c r="H15" s="3">
        <f>HYPERLINK("mailto:yingjie@math.gatech.edu", "yingjie@math.gatech.edu")</f>
        <v/>
      </c>
      <c r="I15" s="2" t="n">
        <v>1</v>
      </c>
      <c r="J15" s="2" t="inlineStr">
        <is>
          <t>🔵 Tier 1: Core Aero / Fluids / Propulsion</t>
        </is>
      </c>
      <c r="K15" s="2" t="n">
        <v>0</v>
      </c>
      <c r="L15" s="2" t="inlineStr"/>
      <c r="M15" s="2" t="inlineStr">
        <is>
          <t>High-order Runge-Kutta discontinuous Galerkin (RKDG) schemes, central compact WENO reconstruction, and entropy-stable finite difference methods for hyperbolic conservation laws -- developing structure-preserving schemes for compressible Euler/Navier-Stokes flows.</t>
        </is>
      </c>
      <c r="N15" s="2" t="inlineStr">
        <is>
          <t>Runge-Kutta Discontinuous Galerkin (RKDG), Central compact WENO (CC-WENO), Limiter-free high-order reconstruction, Entropy-stable flux schemes, Gauss-Seidel relaxation</t>
        </is>
      </c>
      <c r="O15" s="2" t="inlineStr">
        <is>
          <t>A new fifth-order finite difference compact reconstruction unequal-sized WENO scheme for compressible flow</t>
        </is>
      </c>
      <c r="P15" s="3">
        <f>HYPERLINK("https://doi.org/10.1016/j.jcp.2022.111140", "https://doi.org/10.1016/j.jcp.2022.111140")</f>
        <v/>
      </c>
      <c r="Q15" s="2" t="inlineStr">
        <is>
          <t>designing a fifth-order compact-reconstruction unequal-sized WENO scheme for compressible Euler flows, demonstrating 4.2x reduction in L-inf error on smooth wave tests relative to WENO-JS while maintaining ENO-sharp shock capture without parameter tuning.</t>
        </is>
      </c>
      <c r="R15" s="2" t="inlineStr">
        <is>
          <t>A new fifth-order finite difference scheme combining compact reconstruction and unequal-sized WENO stencils is proposed for compressible Euler equations. Compared to standard fifth-order WENO-JS, the new scheme reduces L-inf error by a factor of 4.2 on smooth wave tests while maintaining ENO-sharp shock capture without parameter tuning.</t>
        </is>
      </c>
      <c r="S15" s="2" t="inlineStr">
        <is>
          <t>Central compact schemes with spectral-like resolution for computational aeroacoustics</t>
        </is>
      </c>
      <c r="T15" s="3">
        <f>HYPERLINK("https://doi.org/10.1137/20M1371847", "https://doi.org/10.1137/20M1371847")</f>
        <v/>
      </c>
      <c r="U15" s="2" t="inlineStr">
        <is>
          <t>constructing Hermite-based central compact schemes that maintain phase error below 0.1% over 75% of the resolved wavenumber band versus 50% for classical 10th-order explicit schemes, with demonstrated superiority on acoustic pulse propagation and Taylor-Green vortex at Re=1600.</t>
        </is>
      </c>
      <c r="V15" s="2" t="inlineStr">
        <is>
          <t>Central compact finite difference schemes with spectral-like resolution are developed using Hermite-based interpolation. The 10th-order compact scheme maintains phase error below 0.1% over 75% of the resolved wavenumber band, compared to 50% for classical 10th-order explicit schemes, with superiority on acoustic pulse propagation and Taylor-Green vortex at Re=1600.</t>
        </is>
      </c>
      <c r="W15" s="2" t="inlineStr">
        <is>
          <t>1. Fifth-order finite difference compact reconstruction unequal-sized WENO for compressible flow (JCP, 2022) | 2. Central compact schemes with spectral-like resolution (SIAM J. Sci. Comput., 2021)</t>
        </is>
      </c>
      <c r="X15" s="3">
        <f>HYPERLINK("https://doi.org/10.1016/j.jcp.2022.111140 | https://doi.org/10.1137/20M1371847", "https://doi.org/10.1016/j.jcp.2022.111140 | https://doi.org/10.1137/20M1371847")</f>
        <v/>
      </c>
      <c r="Y15" s="2" t="inlineStr">
        <is>
          <t>designing a fifth-order compact-reconstruction unequal-sized WENO scheme for compressible Euler flows, demonstrating 4.2x reduction in L-inf error on smooth wave tests relative to WENO-JS while maintaining ENO-sharp shock capture without parameter tuning.</t>
        </is>
      </c>
      <c r="Z15" s="2" t="inlineStr">
        <is>
          <t>Offcanvas Main navigation About About Georgia Tech Maps and Directions Contact Us Institute Leadership Offices &amp; Departments Di...</t>
        </is>
      </c>
      <c r="AA15" s="2" t="inlineStr">
        <is>
          <t>"Light‐ and pH‐Gated Reversible Modulation of Peptide Coacervates via Noncovalent Integration of Spiropyran Photoswitches" [Angewandte Chemie] (2026) [DOI: https://doi.org/10.1002/ange.9579523] | "Highly Sensitive Metronidazole Sensor Based on AgNPs/MWCNTs-Modified Acupuncture Needle Electrode With Molecular Imprinting" [IEEE Sensors Journal] (2026) [DOI: https://doi.org/10.1109/jsen.2026.3714201] | "PCR Amplification of 18S rRNA Gene in Chlorella sp." [Springer protocols handbooks/Springer protocols] (2026) [DOI: https://doi.org/10.1007/978-1-0716-5276-3_10] | "Anticholesterolemic from Medicinal Mushrooms" [Springer protocols handbooks/Springer protocols] (2025) [DOI: https://doi.org/10.1007/978-1-0716-4993-0_29] | "Highly Luminescent 0D Antimony‐Based Halides for High‐Resolution Flexible X‐Ray Imaging" [Laser &amp; Photonics Review] (2025) [DOI: https://doi.org/10.1002/lpor.202501552]</t>
        </is>
      </c>
      <c r="AB15" s="2" t="inlineStr">
        <is>
          <t>"AIEgen with Fluorescence–Phosphorescence Dual Mechanoluminescence at Room Temperature" [Angewandte Chemie International Edition] (2016, 301 cites) [DOI: https://doi.org/10.1002/anie.201610453] | "Piezochromic Luminescence of Donor–Acceptor Cocrystals: Distinct Responses to Anisotropic Grinding and Isotropic Compression" [Angewandte Chemie International Edition] (2018, 246 cites) [DOI: https://doi.org/10.1002/anie.201810149] | "A divalent switch drives H-NS/DNA-binding conformations between stiffening and bridging modes" [Genes &amp; Development] (2010, 242 cites) [DOI: https://doi.org/10.1101/gad.1883510]</t>
        </is>
      </c>
      <c r="AC15" s="2" t="inlineStr"/>
      <c r="AD15" s="2" t="inlineStr"/>
      <c r="AE15" s="2" t="inlineStr">
        <is>
          <t>Admissions Prospective Students Admissions Overview Tuition and Costs Financial Aid and Scholarships Visit and Connect</t>
        </is>
      </c>
      <c r="AF15" s="2" t="inlineStr">
        <is>
          <t>Luminescence and Fluorescent Materials (17) | Molecular Sensors and Ion Detection (13) | Microfluidic and Capillary Electrophoresis Applications (11)</t>
        </is>
      </c>
      <c r="AG15" s="2" t="inlineStr">
        <is>
          <t>Luminescence and Fluorescent Materials (17) | Molecular Sensors and Ion Detection (13) | Microfluidic and Capillary Electrophoresis Applications (11)</t>
        </is>
      </c>
      <c r="AH15" s="2" t="inlineStr"/>
      <c r="AI15" s="2" t="inlineStr"/>
      <c r="AJ15" s="2" t="inlineStr"/>
      <c r="AK15" s="2" t="inlineStr"/>
      <c r="AL15" s="2" t="inlineStr">
        <is>
          <t>Computational Mathematics &amp; Schemes Group</t>
        </is>
      </c>
      <c r="AM15" s="3">
        <f>HYPERLINK("https://www.gatech.edu", "https://www.gatech.edu")</f>
        <v/>
      </c>
      <c r="AN15" s="2" t="inlineStr"/>
      <c r="AO15" s="2" t="inlineStr"/>
      <c r="AP15" s="2" t="inlineStr"/>
      <c r="AQ15" s="2" t="inlineStr"/>
      <c r="AR15" s="2" t="inlineStr"/>
      <c r="AS15" s="2" t="inlineStr">
        <is>
          <t>Academics and Admissions</t>
        </is>
      </c>
      <c r="AT15" s="2" t="inlineStr">
        <is>
          <t>Skiles 134</t>
        </is>
      </c>
      <c r="AU15" s="2" t="b">
        <v>0</v>
      </c>
      <c r="AV15" s="3">
        <f>HYPERLINK("https://math.gatech.edu/people?field_job_type_tid=11", "https://math.gatech.edu/people?field_job_type_tid=11")</f>
        <v/>
      </c>
    </row>
    <row r="16">
      <c r="A16" s="2" t="inlineStr">
        <is>
          <t>Ari Glezer</t>
        </is>
      </c>
      <c r="B16" s="2" t="inlineStr">
        <is>
          <t>Georgia Institute of Technology</t>
        </is>
      </c>
      <c r="C16" s="3">
        <f>HYPERLINK("https://me.gatech.edu/faculty/glezer", "https://me.gatech.edu/faculty/glezer")</f>
        <v/>
      </c>
      <c r="D16" s="3">
        <f>HYPERLINK("https://scholar.google.com/citations?view_op=search_authors&amp;mauthors=Ari%20Glezer%20Georgia%20Institute%20of%20Technology", "Google Scholar Search")</f>
        <v/>
      </c>
      <c r="E16" s="2" t="inlineStr">
        <is>
          <t>Chair in Thermal Systems</t>
        </is>
      </c>
      <c r="F16" s="2" t="inlineStr">
        <is>
          <t>Mechanical Engineering</t>
        </is>
      </c>
      <c r="G16" s="2" t="inlineStr"/>
      <c r="H16" s="3">
        <f>HYPERLINK("mailto:ari.glezer@me.gatech.edu", "ari.glezer@me.gatech.edu")</f>
        <v/>
      </c>
      <c r="I16" s="2" t="n">
        <v>2</v>
      </c>
      <c r="J16" s="2" t="inlineStr">
        <is>
          <t>🟡 Tier 2: Thermal / Heat Transfer / Energy</t>
        </is>
      </c>
      <c r="K16" s="2" t="n">
        <v>1</v>
      </c>
      <c r="L16" s="2" t="inlineStr">
        <is>
          <t>thermal</t>
        </is>
      </c>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is>
          <t>Skip To Keyboard Navigation Toggle navigation George W. Woodruff School of Mechanical Engineering Main navigation Home About Ch...</t>
        </is>
      </c>
      <c r="AA16" s="2" t="inlineStr"/>
      <c r="AB16" s="2" t="inlineStr"/>
      <c r="AC16" s="2" t="inlineStr">
        <is>
          <t>Professor Glezer's teaching interests encompass core mechanical engineering subjects at both undergraduate and graduate levels, including fluid mechanics, aerodynamics, heat transfer, and energy syste</t>
        </is>
      </c>
      <c r="AD16" s="2" t="inlineStr"/>
      <c r="AE16" s="2" t="inlineStr">
        <is>
          <t>Academics Prospective Students ME Undergraduate Program NRE Undergraduate Program ME Graduate Program NREMP Graduate Program International Programs Webb Communication Program | We will host in-person prospective student information sessions Mondays, Fridays and some Wednesdays from February until the end of April.</t>
        </is>
      </c>
      <c r="AF16" s="2" t="inlineStr"/>
      <c r="AG16" s="2" t="inlineStr"/>
      <c r="AH16" s="2" t="inlineStr">
        <is>
          <t>George W. Woodruff Chair in Thermal Systems; Professor Location: Love 239 Email: ari.glezer@me.gatech.edu Telephone: 404.894.3266 Research Area: Fluid Mechanics</t>
        </is>
      </c>
      <c r="AI16" s="2" t="inlineStr"/>
      <c r="AJ16" s="2" t="inlineStr">
        <is>
          <t>George W. Woodruff Chair in Thermal Systems; Professor Location: Love 239 Email: ari.glezer@me.gatech.edu Telephone: 404.894.3266 Research Area: Fluid Mechanics</t>
        </is>
      </c>
      <c r="AK16" s="2" t="inlineStr">
        <is>
          <t>Ph.D., California Institute of Technology, 1981 | M.S., California Institute of Technology, 1975 | B.S., Tel Aviv University, Israel, 1974</t>
        </is>
      </c>
      <c r="AL16" s="2" t="inlineStr"/>
      <c r="AM16" s="3">
        <f>HYPERLINK("https://www.me.gatech.edu/school-leadership", "https://www.me.gatech.edu/school-leadership")</f>
        <v/>
      </c>
      <c r="AN16" s="2" t="inlineStr">
        <is>
          <t>Academics Prospective Students ME Undergraduate Program NRE Undergraduate Program ME Graduate Program NREMP Graduate Program International Programs Webb Communication Program | NRE Undergraduate Program</t>
        </is>
      </c>
      <c r="AO16" s="2" t="inlineStr"/>
      <c r="AP16" s="2" t="inlineStr"/>
      <c r="AQ16" s="2" t="inlineStr"/>
      <c r="AR16" s="2" t="inlineStr"/>
      <c r="AS16" s="2" t="inlineStr">
        <is>
          <t>George W. Woodruff School of Mechanical Engineering</t>
        </is>
      </c>
      <c r="AT16" s="2" t="inlineStr"/>
      <c r="AU16" s="2" t="b">
        <v>1</v>
      </c>
      <c r="AV16" s="3">
        <f>HYPERLINK("https://me.gatech.edu/faculty", "https://me.gatech.edu/faculty")</f>
        <v/>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H2" r:id="rId3"/>
    <hyperlink xmlns:r="http://schemas.openxmlformats.org/officeDocument/2006/relationships" ref="P2" r:id="rId4"/>
    <hyperlink xmlns:r="http://schemas.openxmlformats.org/officeDocument/2006/relationships" ref="T2" r:id="rId5"/>
    <hyperlink xmlns:r="http://schemas.openxmlformats.org/officeDocument/2006/relationships" ref="X2" r:id="rId6"/>
    <hyperlink xmlns:r="http://schemas.openxmlformats.org/officeDocument/2006/relationships" ref="AM2" r:id="rId7"/>
    <hyperlink xmlns:r="http://schemas.openxmlformats.org/officeDocument/2006/relationships" ref="AV2" r:id="rId8"/>
    <hyperlink xmlns:r="http://schemas.openxmlformats.org/officeDocument/2006/relationships" ref="C3" r:id="rId9"/>
    <hyperlink xmlns:r="http://schemas.openxmlformats.org/officeDocument/2006/relationships" ref="D3" r:id="rId10"/>
    <hyperlink xmlns:r="http://schemas.openxmlformats.org/officeDocument/2006/relationships" ref="H3" r:id="rId11"/>
    <hyperlink xmlns:r="http://schemas.openxmlformats.org/officeDocument/2006/relationships" ref="P3" r:id="rId12"/>
    <hyperlink xmlns:r="http://schemas.openxmlformats.org/officeDocument/2006/relationships" ref="T3" r:id="rId13"/>
    <hyperlink xmlns:r="http://schemas.openxmlformats.org/officeDocument/2006/relationships" ref="X3" r:id="rId14"/>
    <hyperlink xmlns:r="http://schemas.openxmlformats.org/officeDocument/2006/relationships" ref="AM3" r:id="rId15"/>
    <hyperlink xmlns:r="http://schemas.openxmlformats.org/officeDocument/2006/relationships" ref="AV3" r:id="rId16"/>
    <hyperlink xmlns:r="http://schemas.openxmlformats.org/officeDocument/2006/relationships" ref="C4" r:id="rId17"/>
    <hyperlink xmlns:r="http://schemas.openxmlformats.org/officeDocument/2006/relationships" ref="D4" r:id="rId18"/>
    <hyperlink xmlns:r="http://schemas.openxmlformats.org/officeDocument/2006/relationships" ref="H4" r:id="rId19"/>
    <hyperlink xmlns:r="http://schemas.openxmlformats.org/officeDocument/2006/relationships" ref="P4" r:id="rId20"/>
    <hyperlink xmlns:r="http://schemas.openxmlformats.org/officeDocument/2006/relationships" ref="T4" r:id="rId21"/>
    <hyperlink xmlns:r="http://schemas.openxmlformats.org/officeDocument/2006/relationships" ref="X4" r:id="rId22"/>
    <hyperlink xmlns:r="http://schemas.openxmlformats.org/officeDocument/2006/relationships" ref="AM4" r:id="rId23"/>
    <hyperlink xmlns:r="http://schemas.openxmlformats.org/officeDocument/2006/relationships" ref="AV4" r:id="rId24"/>
    <hyperlink xmlns:r="http://schemas.openxmlformats.org/officeDocument/2006/relationships" ref="C5" r:id="rId25"/>
    <hyperlink xmlns:r="http://schemas.openxmlformats.org/officeDocument/2006/relationships" ref="D5" r:id="rId26"/>
    <hyperlink xmlns:r="http://schemas.openxmlformats.org/officeDocument/2006/relationships" ref="H5" r:id="rId27"/>
    <hyperlink xmlns:r="http://schemas.openxmlformats.org/officeDocument/2006/relationships" ref="P5" r:id="rId28"/>
    <hyperlink xmlns:r="http://schemas.openxmlformats.org/officeDocument/2006/relationships" ref="T5" r:id="rId29"/>
    <hyperlink xmlns:r="http://schemas.openxmlformats.org/officeDocument/2006/relationships" ref="X5" r:id="rId30"/>
    <hyperlink xmlns:r="http://schemas.openxmlformats.org/officeDocument/2006/relationships" ref="AM5" r:id="rId31"/>
    <hyperlink xmlns:r="http://schemas.openxmlformats.org/officeDocument/2006/relationships" ref="AV5" r:id="rId32"/>
    <hyperlink xmlns:r="http://schemas.openxmlformats.org/officeDocument/2006/relationships" ref="C6" r:id="rId33"/>
    <hyperlink xmlns:r="http://schemas.openxmlformats.org/officeDocument/2006/relationships" ref="D6" r:id="rId34"/>
    <hyperlink xmlns:r="http://schemas.openxmlformats.org/officeDocument/2006/relationships" ref="H6" r:id="rId35"/>
    <hyperlink xmlns:r="http://schemas.openxmlformats.org/officeDocument/2006/relationships" ref="P6" r:id="rId36"/>
    <hyperlink xmlns:r="http://schemas.openxmlformats.org/officeDocument/2006/relationships" ref="T6" r:id="rId37"/>
    <hyperlink xmlns:r="http://schemas.openxmlformats.org/officeDocument/2006/relationships" ref="X6" r:id="rId38"/>
    <hyperlink xmlns:r="http://schemas.openxmlformats.org/officeDocument/2006/relationships" ref="AM6" r:id="rId39"/>
    <hyperlink xmlns:r="http://schemas.openxmlformats.org/officeDocument/2006/relationships" ref="AV6" r:id="rId40"/>
    <hyperlink xmlns:r="http://schemas.openxmlformats.org/officeDocument/2006/relationships" ref="C7" r:id="rId41"/>
    <hyperlink xmlns:r="http://schemas.openxmlformats.org/officeDocument/2006/relationships" ref="D7" r:id="rId42"/>
    <hyperlink xmlns:r="http://schemas.openxmlformats.org/officeDocument/2006/relationships" ref="H7" r:id="rId43"/>
    <hyperlink xmlns:r="http://schemas.openxmlformats.org/officeDocument/2006/relationships" ref="P7" r:id="rId44"/>
    <hyperlink xmlns:r="http://schemas.openxmlformats.org/officeDocument/2006/relationships" ref="T7" r:id="rId45"/>
    <hyperlink xmlns:r="http://schemas.openxmlformats.org/officeDocument/2006/relationships" ref="X7" r:id="rId46"/>
    <hyperlink xmlns:r="http://schemas.openxmlformats.org/officeDocument/2006/relationships" ref="AM7" r:id="rId47"/>
    <hyperlink xmlns:r="http://schemas.openxmlformats.org/officeDocument/2006/relationships" ref="AV7" r:id="rId48"/>
    <hyperlink xmlns:r="http://schemas.openxmlformats.org/officeDocument/2006/relationships" ref="C8" r:id="rId49"/>
    <hyperlink xmlns:r="http://schemas.openxmlformats.org/officeDocument/2006/relationships" ref="D8" r:id="rId50"/>
    <hyperlink xmlns:r="http://schemas.openxmlformats.org/officeDocument/2006/relationships" ref="H8" r:id="rId51"/>
    <hyperlink xmlns:r="http://schemas.openxmlformats.org/officeDocument/2006/relationships" ref="P8" r:id="rId52"/>
    <hyperlink xmlns:r="http://schemas.openxmlformats.org/officeDocument/2006/relationships" ref="T8" r:id="rId53"/>
    <hyperlink xmlns:r="http://schemas.openxmlformats.org/officeDocument/2006/relationships" ref="X8" r:id="rId54"/>
    <hyperlink xmlns:r="http://schemas.openxmlformats.org/officeDocument/2006/relationships" ref="AM8" r:id="rId55"/>
    <hyperlink xmlns:r="http://schemas.openxmlformats.org/officeDocument/2006/relationships" ref="AV8" r:id="rId56"/>
    <hyperlink xmlns:r="http://schemas.openxmlformats.org/officeDocument/2006/relationships" ref="C9" r:id="rId57"/>
    <hyperlink xmlns:r="http://schemas.openxmlformats.org/officeDocument/2006/relationships" ref="D9" r:id="rId58"/>
    <hyperlink xmlns:r="http://schemas.openxmlformats.org/officeDocument/2006/relationships" ref="H9" r:id="rId59"/>
    <hyperlink xmlns:r="http://schemas.openxmlformats.org/officeDocument/2006/relationships" ref="P9" r:id="rId60"/>
    <hyperlink xmlns:r="http://schemas.openxmlformats.org/officeDocument/2006/relationships" ref="T9" r:id="rId61"/>
    <hyperlink xmlns:r="http://schemas.openxmlformats.org/officeDocument/2006/relationships" ref="X9" r:id="rId62"/>
    <hyperlink xmlns:r="http://schemas.openxmlformats.org/officeDocument/2006/relationships" ref="AM9" r:id="rId63"/>
    <hyperlink xmlns:r="http://schemas.openxmlformats.org/officeDocument/2006/relationships" ref="AV9" r:id="rId64"/>
    <hyperlink xmlns:r="http://schemas.openxmlformats.org/officeDocument/2006/relationships" ref="C10" r:id="rId65"/>
    <hyperlink xmlns:r="http://schemas.openxmlformats.org/officeDocument/2006/relationships" ref="D10" r:id="rId66"/>
    <hyperlink xmlns:r="http://schemas.openxmlformats.org/officeDocument/2006/relationships" ref="H10" r:id="rId67"/>
    <hyperlink xmlns:r="http://schemas.openxmlformats.org/officeDocument/2006/relationships" ref="P10" r:id="rId68"/>
    <hyperlink xmlns:r="http://schemas.openxmlformats.org/officeDocument/2006/relationships" ref="T10" r:id="rId69"/>
    <hyperlink xmlns:r="http://schemas.openxmlformats.org/officeDocument/2006/relationships" ref="X10" r:id="rId70"/>
    <hyperlink xmlns:r="http://schemas.openxmlformats.org/officeDocument/2006/relationships" ref="AM10" r:id="rId71"/>
    <hyperlink xmlns:r="http://schemas.openxmlformats.org/officeDocument/2006/relationships" ref="AV10" r:id="rId72"/>
    <hyperlink xmlns:r="http://schemas.openxmlformats.org/officeDocument/2006/relationships" ref="C11" r:id="rId73"/>
    <hyperlink xmlns:r="http://schemas.openxmlformats.org/officeDocument/2006/relationships" ref="D11" r:id="rId74"/>
    <hyperlink xmlns:r="http://schemas.openxmlformats.org/officeDocument/2006/relationships" ref="H11" r:id="rId75"/>
    <hyperlink xmlns:r="http://schemas.openxmlformats.org/officeDocument/2006/relationships" ref="P11" r:id="rId76"/>
    <hyperlink xmlns:r="http://schemas.openxmlformats.org/officeDocument/2006/relationships" ref="T11" r:id="rId77"/>
    <hyperlink xmlns:r="http://schemas.openxmlformats.org/officeDocument/2006/relationships" ref="X11" r:id="rId78"/>
    <hyperlink xmlns:r="http://schemas.openxmlformats.org/officeDocument/2006/relationships" ref="AM11" r:id="rId79"/>
    <hyperlink xmlns:r="http://schemas.openxmlformats.org/officeDocument/2006/relationships" ref="AV11" r:id="rId80"/>
    <hyperlink xmlns:r="http://schemas.openxmlformats.org/officeDocument/2006/relationships" ref="C12" r:id="rId81"/>
    <hyperlink xmlns:r="http://schemas.openxmlformats.org/officeDocument/2006/relationships" ref="D12" r:id="rId82"/>
    <hyperlink xmlns:r="http://schemas.openxmlformats.org/officeDocument/2006/relationships" ref="H12" r:id="rId83"/>
    <hyperlink xmlns:r="http://schemas.openxmlformats.org/officeDocument/2006/relationships" ref="P12" r:id="rId84"/>
    <hyperlink xmlns:r="http://schemas.openxmlformats.org/officeDocument/2006/relationships" ref="T12" r:id="rId85"/>
    <hyperlink xmlns:r="http://schemas.openxmlformats.org/officeDocument/2006/relationships" ref="X12" r:id="rId86"/>
    <hyperlink xmlns:r="http://schemas.openxmlformats.org/officeDocument/2006/relationships" ref="AM12" r:id="rId87"/>
    <hyperlink xmlns:r="http://schemas.openxmlformats.org/officeDocument/2006/relationships" ref="AV12" r:id="rId88"/>
    <hyperlink xmlns:r="http://schemas.openxmlformats.org/officeDocument/2006/relationships" ref="C13" r:id="rId89"/>
    <hyperlink xmlns:r="http://schemas.openxmlformats.org/officeDocument/2006/relationships" ref="D13" r:id="rId90"/>
    <hyperlink xmlns:r="http://schemas.openxmlformats.org/officeDocument/2006/relationships" ref="H13" r:id="rId91"/>
    <hyperlink xmlns:r="http://schemas.openxmlformats.org/officeDocument/2006/relationships" ref="P13" r:id="rId92"/>
    <hyperlink xmlns:r="http://schemas.openxmlformats.org/officeDocument/2006/relationships" ref="T13" r:id="rId93"/>
    <hyperlink xmlns:r="http://schemas.openxmlformats.org/officeDocument/2006/relationships" ref="X13" r:id="rId94"/>
    <hyperlink xmlns:r="http://schemas.openxmlformats.org/officeDocument/2006/relationships" ref="AM13" r:id="rId95"/>
    <hyperlink xmlns:r="http://schemas.openxmlformats.org/officeDocument/2006/relationships" ref="AV13" r:id="rId96"/>
    <hyperlink xmlns:r="http://schemas.openxmlformats.org/officeDocument/2006/relationships" ref="C14" r:id="rId97"/>
    <hyperlink xmlns:r="http://schemas.openxmlformats.org/officeDocument/2006/relationships" ref="D14" r:id="rId98"/>
    <hyperlink xmlns:r="http://schemas.openxmlformats.org/officeDocument/2006/relationships" ref="H14" r:id="rId99"/>
    <hyperlink xmlns:r="http://schemas.openxmlformats.org/officeDocument/2006/relationships" ref="P14" r:id="rId100"/>
    <hyperlink xmlns:r="http://schemas.openxmlformats.org/officeDocument/2006/relationships" ref="T14" r:id="rId101"/>
    <hyperlink xmlns:r="http://schemas.openxmlformats.org/officeDocument/2006/relationships" ref="X14" r:id="rId102"/>
    <hyperlink xmlns:r="http://schemas.openxmlformats.org/officeDocument/2006/relationships" ref="AM14" r:id="rId103"/>
    <hyperlink xmlns:r="http://schemas.openxmlformats.org/officeDocument/2006/relationships" ref="AV14" r:id="rId104"/>
    <hyperlink xmlns:r="http://schemas.openxmlformats.org/officeDocument/2006/relationships" ref="C15" r:id="rId105"/>
    <hyperlink xmlns:r="http://schemas.openxmlformats.org/officeDocument/2006/relationships" ref="D15" r:id="rId106"/>
    <hyperlink xmlns:r="http://schemas.openxmlformats.org/officeDocument/2006/relationships" ref="H15" r:id="rId107"/>
    <hyperlink xmlns:r="http://schemas.openxmlformats.org/officeDocument/2006/relationships" ref="P15" r:id="rId108"/>
    <hyperlink xmlns:r="http://schemas.openxmlformats.org/officeDocument/2006/relationships" ref="T15" r:id="rId109"/>
    <hyperlink xmlns:r="http://schemas.openxmlformats.org/officeDocument/2006/relationships" ref="X15" r:id="rId110"/>
    <hyperlink xmlns:r="http://schemas.openxmlformats.org/officeDocument/2006/relationships" ref="AM15" r:id="rId111"/>
    <hyperlink xmlns:r="http://schemas.openxmlformats.org/officeDocument/2006/relationships" ref="AV15" r:id="rId112"/>
    <hyperlink xmlns:r="http://schemas.openxmlformats.org/officeDocument/2006/relationships" ref="C16" r:id="rId113"/>
    <hyperlink xmlns:r="http://schemas.openxmlformats.org/officeDocument/2006/relationships" ref="D16" r:id="rId114"/>
    <hyperlink xmlns:r="http://schemas.openxmlformats.org/officeDocument/2006/relationships" ref="H16" r:id="rId115"/>
    <hyperlink xmlns:r="http://schemas.openxmlformats.org/officeDocument/2006/relationships" ref="AM16" r:id="rId116"/>
    <hyperlink xmlns:r="http://schemas.openxmlformats.org/officeDocument/2006/relationships" ref="AV16" r:id="rId1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2026-09-19T04:06:58Z</dcterms:created>
  <dcterms:modified xmlns:dcterms="http://purl.org/dc/terms/" xmlns:xsi="http://www.w3.org/2001/XMLSchema-instance" xsi:type="dcterms:W3CDTF">2026-09-19T04:06:58Z</dcterms:modified>
</cp:coreProperties>
</file>