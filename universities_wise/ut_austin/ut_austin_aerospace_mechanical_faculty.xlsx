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ero Focus" sheetId="1" state="visible" r:id="rId1"/>
    <sheet xmlns:r="http://schemas.openxmlformats.org/officeDocument/2006/relationships" name="Field Matched" sheetId="2" state="visible" r:id="rId2"/>
    <sheet xmlns:r="http://schemas.openxmlformats.org/officeDocument/2006/relationships" name="All Facult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1"/>
    </font>
    <font>
      <name val="Calibri"/>
      <color rgb="000563C1"/>
      <sz val="11"/>
      <u val="single"/>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e.utexas.edu/person/laxminarayan-l-raja/" TargetMode="External" Id="rId1"/><Relationship Type="http://schemas.openxmlformats.org/officeDocument/2006/relationships/hyperlink" Target="https://scholar.google.com/citations?view_op=search_authors&amp;mauthors=Laxminarayan%20L.%20Raja%20University%20of%20Texas%20at%20Austin" TargetMode="External" Id="rId2"/><Relationship Type="http://schemas.openxmlformats.org/officeDocument/2006/relationships/hyperlink" Target="mailto:lraja@mail.utexas.edu" TargetMode="External" Id="rId3"/><Relationship Type="http://schemas.openxmlformats.org/officeDocument/2006/relationships/hyperlink" Target="https://doi.org/10.48550/arxiv.2607.28976" TargetMode="External" Id="rId4"/><Relationship Type="http://schemas.openxmlformats.org/officeDocument/2006/relationships/hyperlink" Target="https://doi.org/10.1063/5.0325672" TargetMode="External" Id="rId5"/><Relationship Type="http://schemas.openxmlformats.org/officeDocument/2006/relationships/hyperlink" Target="https://doi.org/10.48550/arxiv.2607.28976" TargetMode="External" Id="rId6"/><Relationship Type="http://schemas.openxmlformats.org/officeDocument/2006/relationships/hyperlink" Target="https://ae.utexas.edu/people/faculty" TargetMode="External" Id="rId7"/><Relationship Type="http://schemas.openxmlformats.org/officeDocument/2006/relationships/hyperlink" Target="https://ae.utexas.edu/person/fabrizio-bisetti/" TargetMode="External" Id="rId8"/><Relationship Type="http://schemas.openxmlformats.org/officeDocument/2006/relationships/hyperlink" Target="https://scholar.google.com/citations?hl=en&amp;user=P6u6t40AAAAJ" TargetMode="External" Id="rId9"/><Relationship Type="http://schemas.openxmlformats.org/officeDocument/2006/relationships/hyperlink" Target="mailto:fbisetti@utexas.edu" TargetMode="External" Id="rId10"/><Relationship Type="http://schemas.openxmlformats.org/officeDocument/2006/relationships/hyperlink" Target="https://doi.org/10.1080/13647830.2026.2621925" TargetMode="External" Id="rId11"/><Relationship Type="http://schemas.openxmlformats.org/officeDocument/2006/relationships/hyperlink" Target="https://doi.org/10.48550/arxiv.2607.25048" TargetMode="External" Id="rId12"/><Relationship Type="http://schemas.openxmlformats.org/officeDocument/2006/relationships/hyperlink" Target="https://doi.org/10.1080/13647830.2026.2621925" TargetMode="External" Id="rId13"/><Relationship Type="http://schemas.openxmlformats.org/officeDocument/2006/relationships/hyperlink" Target="https://ae.utexas.edu/people/faculty" TargetMode="External" Id="rId14"/><Relationship Type="http://schemas.openxmlformats.org/officeDocument/2006/relationships/hyperlink" Target="https://ae.utexas.edu/person/noel-t-clemens/" TargetMode="External" Id="rId15"/><Relationship Type="http://schemas.openxmlformats.org/officeDocument/2006/relationships/hyperlink" Target="https://scholar.google.com/citations?view_op=search_authors&amp;mauthors=Noel%20T.%20Clemens%20University%20of%20Texas%20at%20Austin" TargetMode="External" Id="rId16"/><Relationship Type="http://schemas.openxmlformats.org/officeDocument/2006/relationships/hyperlink" Target="mailto:clemens@mail.utexas.edu" TargetMode="External" Id="rId17"/><Relationship Type="http://schemas.openxmlformats.org/officeDocument/2006/relationships/hyperlink" Target="https://doi.org/10.2514/6.2026-0460" TargetMode="External" Id="rId18"/><Relationship Type="http://schemas.openxmlformats.org/officeDocument/2006/relationships/hyperlink" Target="https://doi.org/10.2514/6.2026-1315" TargetMode="External" Id="rId19"/><Relationship Type="http://schemas.openxmlformats.org/officeDocument/2006/relationships/hyperlink" Target="https://doi.org/10.2514/6.2026-0460" TargetMode="External" Id="rId20"/><Relationship Type="http://schemas.openxmlformats.org/officeDocument/2006/relationships/hyperlink" Target="https://ae.utexas.edu/people/faculty" TargetMode="External" Id="rId21"/><Relationship Type="http://schemas.openxmlformats.org/officeDocument/2006/relationships/hyperlink" Target="https://ae.utexas.edu/person/david-b-goldstein/" TargetMode="External" Id="rId22"/><Relationship Type="http://schemas.openxmlformats.org/officeDocument/2006/relationships/hyperlink" Target="https://scholar.google.com/citations?view_op=search_authors&amp;mauthors=David%20B.%20Goldstein%20University%20of%20Texas%20at%20Austin" TargetMode="External" Id="rId23"/><Relationship Type="http://schemas.openxmlformats.org/officeDocument/2006/relationships/hyperlink" Target="mailto:david@oden.utexas.edu" TargetMode="External" Id="rId24"/><Relationship Type="http://schemas.openxmlformats.org/officeDocument/2006/relationships/hyperlink" Target="https://doi.org/10.2514/6.2025-1302" TargetMode="External" Id="rId25"/><Relationship Type="http://schemas.openxmlformats.org/officeDocument/2006/relationships/hyperlink" Target="https://doi.org/10.2514/6.2025-1162" TargetMode="External" Id="rId26"/><Relationship Type="http://schemas.openxmlformats.org/officeDocument/2006/relationships/hyperlink" Target="https://doi.org/10.2514/6.2025-1302" TargetMode="External" Id="rId27"/><Relationship Type="http://schemas.openxmlformats.org/officeDocument/2006/relationships/hyperlink" Target="https://ae.utexas.edu/people/faculty" TargetMode="External" Id="rId28"/><Relationship Type="http://schemas.openxmlformats.org/officeDocument/2006/relationships/hyperlink" Target="https://ae.utexas.edu/person/clint-n-dawson/" TargetMode="External" Id="rId29"/><Relationship Type="http://schemas.openxmlformats.org/officeDocument/2006/relationships/hyperlink" Target="https://scholar.google.com/citations?view_op=search_authors&amp;mauthors=Clint%20N.%20Dawson%20University%20of%20Texas%20at%20Austin" TargetMode="External" Id="rId30"/><Relationship Type="http://schemas.openxmlformats.org/officeDocument/2006/relationships/hyperlink" Target="mailto:clint.dawson@austin.utexas.edu" TargetMode="External" Id="rId31"/><Relationship Type="http://schemas.openxmlformats.org/officeDocument/2006/relationships/hyperlink" Target="https://doi.org/10.1029/2025jh000697" TargetMode="External" Id="rId32"/><Relationship Type="http://schemas.openxmlformats.org/officeDocument/2006/relationships/hyperlink" Target="https://doi.org/10.24433/co.5021363.v1" TargetMode="External" Id="rId33"/><Relationship Type="http://schemas.openxmlformats.org/officeDocument/2006/relationships/hyperlink" Target="https://doi.org/10.1029/2025jh000697" TargetMode="External" Id="rId34"/><Relationship Type="http://schemas.openxmlformats.org/officeDocument/2006/relationships/hyperlink" Target="https://ae.utexas.edu/people/faculty" TargetMode="External" Id="rId35"/><Relationship Type="http://schemas.openxmlformats.org/officeDocument/2006/relationships/hyperlink" Target="https://ae.utexas.edu/person/jesse-chan/" TargetMode="External" Id="rId36"/><Relationship Type="http://schemas.openxmlformats.org/officeDocument/2006/relationships/hyperlink" Target="https://scholar.google.com/citations?hl=en&amp;user=e3T0l3IAAAAJ" TargetMode="External" Id="rId37"/><Relationship Type="http://schemas.openxmlformats.org/officeDocument/2006/relationships/hyperlink" Target="mailto:jesse.chan@oden.utexas.edu" TargetMode="External" Id="rId38"/><Relationship Type="http://schemas.openxmlformats.org/officeDocument/2006/relationships/hyperlink" Target="https://doi.org/10.48550/arxiv.2604.03158" TargetMode="External" Id="rId39"/><Relationship Type="http://schemas.openxmlformats.org/officeDocument/2006/relationships/hyperlink" Target="https://doi.org/10.48550/arxiv.2603.24189" TargetMode="External" Id="rId40"/><Relationship Type="http://schemas.openxmlformats.org/officeDocument/2006/relationships/hyperlink" Target="https://doi.org/10.48550/arxiv.2604.03158" TargetMode="External" Id="rId41"/><Relationship Type="http://schemas.openxmlformats.org/officeDocument/2006/relationships/hyperlink" Target="https://ae.utexas.edu/people/faculty" TargetMode="External" Id="rId42"/><Relationship Type="http://schemas.openxmlformats.org/officeDocument/2006/relationships/hyperlink" Target="https://ae.utexas.edu/person/philip-l-varghese/" TargetMode="External" Id="rId43"/><Relationship Type="http://schemas.openxmlformats.org/officeDocument/2006/relationships/hyperlink" Target="https://scholar.google.com/citations?view_op=search_authors&amp;mauthors=Philip%20L.%20Varghese%20University%20of%20Texas%20at%20Austin" TargetMode="External" Id="rId44"/><Relationship Type="http://schemas.openxmlformats.org/officeDocument/2006/relationships/hyperlink" Target="mailto:varghese@mail.utexas.edu" TargetMode="External" Id="rId45"/><Relationship Type="http://schemas.openxmlformats.org/officeDocument/2006/relationships/hyperlink" Target="https://doi.org/10.1029/2025je009389" TargetMode="External" Id="rId46"/><Relationship Type="http://schemas.openxmlformats.org/officeDocument/2006/relationships/hyperlink" Target="https://doi.org/10.48550/arxiv.2607.23904" TargetMode="External" Id="rId47"/><Relationship Type="http://schemas.openxmlformats.org/officeDocument/2006/relationships/hyperlink" Target="https://doi.org/10.1029/2025je009389" TargetMode="External" Id="rId48"/><Relationship Type="http://schemas.openxmlformats.org/officeDocument/2006/relationships/hyperlink" Target="https://ae.utexas.edu/people/faculty" TargetMode="External" Id="rId49"/><Relationship Type="http://schemas.openxmlformats.org/officeDocument/2006/relationships/hyperlink" Target="https://ae.utexas.edu/person/thomas-j-hughes/" TargetMode="External" Id="rId50"/><Relationship Type="http://schemas.openxmlformats.org/officeDocument/2006/relationships/hyperlink" Target="https://scholar.google.com/citations?view_op=search_authors&amp;mauthors=Thomas%20J.%20Hughes%20University%20of%20Texas%20at%20Austin" TargetMode="External" Id="rId51"/><Relationship Type="http://schemas.openxmlformats.org/officeDocument/2006/relationships/hyperlink" Target="mailto:hughes@oden.utexas.edu" TargetMode="External" Id="rId52"/><Relationship Type="http://schemas.openxmlformats.org/officeDocument/2006/relationships/hyperlink" Target="https://doi.org/10.1016/j.cma.2026.119046" TargetMode="External" Id="rId53"/><Relationship Type="http://schemas.openxmlformats.org/officeDocument/2006/relationships/hyperlink" Target="https://doi.org/10.1142/s021820252650003x" TargetMode="External" Id="rId54"/><Relationship Type="http://schemas.openxmlformats.org/officeDocument/2006/relationships/hyperlink" Target="https://doi.org/10.1016/j.cma.2026.119046" TargetMode="External" Id="rId55"/><Relationship Type="http://schemas.openxmlformats.org/officeDocument/2006/relationships/hyperlink" Target="https://ae.utexas.edu/people/faculty" TargetMode="External" Id="rId56"/><Relationship Type="http://schemas.openxmlformats.org/officeDocument/2006/relationships/hyperlink" Target="https://me.utexas.edu/person/david-bogard/" TargetMode="External" Id="rId57"/><Relationship Type="http://schemas.openxmlformats.org/officeDocument/2006/relationships/hyperlink" Target="https://scholar.google.com/citations?hl=en&amp;user=z-y3V4EAAAAJ" TargetMode="External" Id="rId58"/><Relationship Type="http://schemas.openxmlformats.org/officeDocument/2006/relationships/hyperlink" Target="mailto:dbogard@mail.utexas.edu" TargetMode="External" Id="rId59"/><Relationship Type="http://schemas.openxmlformats.org/officeDocument/2006/relationships/hyperlink" Target="https://doi.org/10.1115/1.4069945" TargetMode="External" Id="rId60"/><Relationship Type="http://schemas.openxmlformats.org/officeDocument/2006/relationships/hyperlink" Target="https://doi.org/10.1115/1.4069942" TargetMode="External" Id="rId61"/><Relationship Type="http://schemas.openxmlformats.org/officeDocument/2006/relationships/hyperlink" Target="https://doi.org/10.1115/1.4069945" TargetMode="External" Id="rId62"/><Relationship Type="http://schemas.openxmlformats.org/officeDocument/2006/relationships/hyperlink" Target="https://me.utexas.edu/people/faculty" TargetMode="External" Id="rId63"/><Relationship Type="http://schemas.openxmlformats.org/officeDocument/2006/relationships/hyperlink" Target="https://ae.utexas.edu/person/greg-zwernemann/" TargetMode="External" Id="rId64"/><Relationship Type="http://schemas.openxmlformats.org/officeDocument/2006/relationships/hyperlink" Target="https://scholar.google.com/citations?view_op=search_authors&amp;mauthors=Greg%20Zwernemann%20University%20of%20Texas%20at%20Austin" TargetMode="External" Id="rId65"/><Relationship Type="http://schemas.openxmlformats.org/officeDocument/2006/relationships/hyperlink" Target="mailto:greg.zwernemann@austin.utexas.edu" TargetMode="External" Id="rId66"/><Relationship Type="http://schemas.openxmlformats.org/officeDocument/2006/relationships/hyperlink" Target="https://ae.utexas.edu/people/faculty" TargetMode="External" Id="rId67"/><Relationship Type="http://schemas.openxmlformats.org/officeDocument/2006/relationships/hyperlink" Target="https://ae.utexas.edu/person/karen-e-willcox/" TargetMode="External" Id="rId68"/><Relationship Type="http://schemas.openxmlformats.org/officeDocument/2006/relationships/hyperlink" Target="https://scholar.google.com/citations?hl=en&amp;user=Uf5L_wAAAAAJ" TargetMode="External" Id="rId69"/><Relationship Type="http://schemas.openxmlformats.org/officeDocument/2006/relationships/hyperlink" Target="mailto:kwillcox@oden.utexas.edu" TargetMode="External" Id="rId70"/><Relationship Type="http://schemas.openxmlformats.org/officeDocument/2006/relationships/hyperlink" Target="https://doi.org/10.1007/s10444-026-10322-7" TargetMode="External" Id="rId71"/><Relationship Type="http://schemas.openxmlformats.org/officeDocument/2006/relationships/hyperlink" Target="https://doi.org/10.1186/s12911-026-03520-2" TargetMode="External" Id="rId72"/><Relationship Type="http://schemas.openxmlformats.org/officeDocument/2006/relationships/hyperlink" Target="https://doi.org/10.1007/s10444-026-10322-7" TargetMode="External" Id="rId73"/><Relationship Type="http://schemas.openxmlformats.org/officeDocument/2006/relationships/hyperlink" Target="https://ae.utexas.edu/people/faculty" TargetMode="External" Id="rId74"/><Relationship Type="http://schemas.openxmlformats.org/officeDocument/2006/relationships/hyperlink" Target="https://ae.utexas.edu/person/leszek-f-demkowicz/" TargetMode="External" Id="rId75"/><Relationship Type="http://schemas.openxmlformats.org/officeDocument/2006/relationships/hyperlink" Target="https://scholar.google.com/citations?view_op=search_authors&amp;mauthors=Leszek%20F.%20Demkowicz%20University%20of%20Texas%20at%20Austin" TargetMode="External" Id="rId76"/><Relationship Type="http://schemas.openxmlformats.org/officeDocument/2006/relationships/hyperlink" Target="mailto:leszek@oden.utexas.edu" TargetMode="External" Id="rId77"/><Relationship Type="http://schemas.openxmlformats.org/officeDocument/2006/relationships/hyperlink" Target="https://ae.utexas.edu/people/faculty" TargetMode="External" Id="rId78"/><Relationship Type="http://schemas.openxmlformats.org/officeDocument/2006/relationships/hyperlink" Target="https://me.utexas.edu/person/robert-moser/" TargetMode="External" Id="rId79"/><Relationship Type="http://schemas.openxmlformats.org/officeDocument/2006/relationships/hyperlink" Target="https://scholar.google.com/citations?hl=en&amp;user=6yB0J0wAAAAJ" TargetMode="External" Id="rId80"/><Relationship Type="http://schemas.openxmlformats.org/officeDocument/2006/relationships/hyperlink" Target="mailto:rmoser@mail.utexas.edu" TargetMode="External" Id="rId81"/><Relationship Type="http://schemas.openxmlformats.org/officeDocument/2006/relationships/hyperlink" Target="https://doi.org/10.48550/arxiv.2502.16555" TargetMode="External" Id="rId82"/><Relationship Type="http://schemas.openxmlformats.org/officeDocument/2006/relationships/hyperlink" Target="https://doi.org/10.1088/1361-6595/ae0c33" TargetMode="External" Id="rId83"/><Relationship Type="http://schemas.openxmlformats.org/officeDocument/2006/relationships/hyperlink" Target="https://doi.org/10.48550/arxiv.2502.16555" TargetMode="External" Id="rId84"/><Relationship Type="http://schemas.openxmlformats.org/officeDocument/2006/relationships/hyperlink" Target="https://me.utexas.edu/people/faculty" TargetMode="External" Id="rId85"/><Relationship Type="http://schemas.openxmlformats.org/officeDocument/2006/relationships/hyperlink" Target="https://me.utexas.edu/person/spencer-bryngelson/" TargetMode="External" Id="rId86"/><Relationship Type="http://schemas.openxmlformats.org/officeDocument/2006/relationships/hyperlink" Target="https://scholar.google.com/citations?hl=en&amp;user=K765N4AAAAAJ" TargetMode="External" Id="rId87"/><Relationship Type="http://schemas.openxmlformats.org/officeDocument/2006/relationships/hyperlink" Target="mailto:shb@utexas.edu" TargetMode="External" Id="rId88"/><Relationship Type="http://schemas.openxmlformats.org/officeDocument/2006/relationships/hyperlink" Target="https://doi.org/10.48550/arxiv.2608.02223" TargetMode="External" Id="rId89"/><Relationship Type="http://schemas.openxmlformats.org/officeDocument/2006/relationships/hyperlink" Target="https://doi.org/10.48550/arxiv.2607.28932" TargetMode="External" Id="rId90"/><Relationship Type="http://schemas.openxmlformats.org/officeDocument/2006/relationships/hyperlink" Target="https://doi.org/10.48550/arxiv.2608.02223" TargetMode="External" Id="rId91"/><Relationship Type="http://schemas.openxmlformats.org/officeDocument/2006/relationships/hyperlink" Target="https://me.utexas.edu/people/faculty" TargetMode="External" Id="rId92"/><Relationship Type="http://schemas.openxmlformats.org/officeDocument/2006/relationships/hyperlink" Target="https://ae.utexas.edu/person/thomas-underwood/" TargetMode="External" Id="rId93"/><Relationship Type="http://schemas.openxmlformats.org/officeDocument/2006/relationships/hyperlink" Target="https://scholar.google.com/citations?hl=en&amp;user=j9Bkn8IAAAAJ" TargetMode="External" Id="rId94"/><Relationship Type="http://schemas.openxmlformats.org/officeDocument/2006/relationships/hyperlink" Target="mailto:thomas.underwood@utexas.edu" TargetMode="External" Id="rId95"/><Relationship Type="http://schemas.openxmlformats.org/officeDocument/2006/relationships/hyperlink" Target="https://doi.org/10.2514/1.b40460" TargetMode="External" Id="rId96"/><Relationship Type="http://schemas.openxmlformats.org/officeDocument/2006/relationships/hyperlink" Target="https://doi.org/10.1063/5.0325672" TargetMode="External" Id="rId97"/><Relationship Type="http://schemas.openxmlformats.org/officeDocument/2006/relationships/hyperlink" Target="https://doi.org/10.2514/1.b40460" TargetMode="External" Id="rId98"/><Relationship Type="http://schemas.openxmlformats.org/officeDocument/2006/relationships/hyperlink" Target="https://ae.utexas.edu/people/faculty" TargetMode="External" Id="rId99"/><Relationship Type="http://schemas.openxmlformats.org/officeDocument/2006/relationships/hyperlink" Target="https://me.utexas.edu/person/vaibhav-bahadur/" TargetMode="External" Id="rId100"/><Relationship Type="http://schemas.openxmlformats.org/officeDocument/2006/relationships/hyperlink" Target="https://scholar.google.com/citations?hl=en&amp;user=2iFj40AAAAAJ" TargetMode="External" Id="rId101"/><Relationship Type="http://schemas.openxmlformats.org/officeDocument/2006/relationships/hyperlink" Target="mailto:vb@austin.utexas.edu" TargetMode="External" Id="rId102"/><Relationship Type="http://schemas.openxmlformats.org/officeDocument/2006/relationships/hyperlink" Target="https://doi.org/10.1115/es2025-155214" TargetMode="External" Id="rId103"/><Relationship Type="http://schemas.openxmlformats.org/officeDocument/2006/relationships/hyperlink" Target="https://doi.org/10.1126/sciadv.aed5744" TargetMode="External" Id="rId104"/><Relationship Type="http://schemas.openxmlformats.org/officeDocument/2006/relationships/hyperlink" Target="https://doi.org/10.1115/es2025-155214" TargetMode="External" Id="rId105"/><Relationship Type="http://schemas.openxmlformats.org/officeDocument/2006/relationships/hyperlink" Target="https://me.utexas.edu/people/faculty" TargetMode="External" Id="rId106"/><Relationship Type="http://schemas.openxmlformats.org/officeDocument/2006/relationships/hyperlink" Target="https://me.utexas.edu/person/george-biros/" TargetMode="External" Id="rId107"/><Relationship Type="http://schemas.openxmlformats.org/officeDocument/2006/relationships/hyperlink" Target="https://scholar.google.com/citations?hl=en&amp;user=cK-Fz2wAAAAJ" TargetMode="External" Id="rId108"/><Relationship Type="http://schemas.openxmlformats.org/officeDocument/2006/relationships/hyperlink" Target="mailto:gbiros@acm.org" TargetMode="External" Id="rId109"/><Relationship Type="http://schemas.openxmlformats.org/officeDocument/2006/relationships/hyperlink" Target="https://doi.org/10.48550/arxiv.2609.07912" TargetMode="External" Id="rId110"/><Relationship Type="http://schemas.openxmlformats.org/officeDocument/2006/relationships/hyperlink" Target="https://doi.org/10.1137/25m1753097" TargetMode="External" Id="rId111"/><Relationship Type="http://schemas.openxmlformats.org/officeDocument/2006/relationships/hyperlink" Target="https://doi.org/10.48550/arxiv.2609.07912" TargetMode="External" Id="rId112"/><Relationship Type="http://schemas.openxmlformats.org/officeDocument/2006/relationships/hyperlink" Target="https://me.utexas.edu/people/faculty" TargetMode="External" Id="rId113"/><Relationship Type="http://schemas.openxmlformats.org/officeDocument/2006/relationships/hyperlink" Target="https://me.utexas.edu/person/matthew-meier/" TargetMode="External" Id="rId114"/><Relationship Type="http://schemas.openxmlformats.org/officeDocument/2006/relationships/hyperlink" Target="https://scholar.google.com/citations?view_op=search_authors&amp;mauthors=Matthew%20Meier%20University%20of%20Texas%20at%20Austin" TargetMode="External" Id="rId115"/><Relationship Type="http://schemas.openxmlformats.org/officeDocument/2006/relationships/hyperlink" Target="mailto:mmeier@utexas.edu" TargetMode="External" Id="rId116"/><Relationship Type="http://schemas.openxmlformats.org/officeDocument/2006/relationships/hyperlink" Target="https://me.utexas.edu/people/faculty" TargetMode="External" Id="rId117"/><Relationship Type="http://schemas.openxmlformats.org/officeDocument/2006/relationships/hyperlink" Target="https://me.utexas.edu/person/ofodike-ezekoye/" TargetMode="External" Id="rId118"/><Relationship Type="http://schemas.openxmlformats.org/officeDocument/2006/relationships/hyperlink" Target="https://scholar.google.com/citations?hl=en&amp;user=oX_f42wAAAAJ" TargetMode="External" Id="rId119"/><Relationship Type="http://schemas.openxmlformats.org/officeDocument/2006/relationships/hyperlink" Target="mailto:dezekoye@mail.utexas.edu" TargetMode="External" Id="rId120"/><Relationship Type="http://schemas.openxmlformats.org/officeDocument/2006/relationships/hyperlink" Target="https://doi.org/10.1002/aenm.71193" TargetMode="External" Id="rId121"/><Relationship Type="http://schemas.openxmlformats.org/officeDocument/2006/relationships/hyperlink" Target="https://doi.org/10.6084/m9.figshare.32570274" TargetMode="External" Id="rId122"/><Relationship Type="http://schemas.openxmlformats.org/officeDocument/2006/relationships/hyperlink" Target="https://doi.org/10.1002/aenm.71193" TargetMode="External" Id="rId123"/><Relationship Type="http://schemas.openxmlformats.org/officeDocument/2006/relationships/hyperlink" Target="https://me.utexas.edu/people/faculty" TargetMode="External" Id="rId124"/><Relationship Type="http://schemas.openxmlformats.org/officeDocument/2006/relationships/hyperlink" Target="https://math.utexas.edu/directory/bjorn-engquist" TargetMode="External" Id="rId125"/><Relationship Type="http://schemas.openxmlformats.org/officeDocument/2006/relationships/hyperlink" Target="https://scholar.google.com/citations?hl=en&amp;user=G-5Y2_AAAAAJ" TargetMode="External" Id="rId126"/><Relationship Type="http://schemas.openxmlformats.org/officeDocument/2006/relationships/hyperlink" Target="mailto:engquist@math.utexas.edu" TargetMode="External" Id="rId127"/><Relationship Type="http://schemas.openxmlformats.org/officeDocument/2006/relationships/hyperlink" Target="https://doi.org/10.48550/arxiv.2602.22097" TargetMode="External" Id="rId128"/><Relationship Type="http://schemas.openxmlformats.org/officeDocument/2006/relationships/hyperlink" Target="https://doi.org/10.1137/24m1668755" TargetMode="External" Id="rId129"/><Relationship Type="http://schemas.openxmlformats.org/officeDocument/2006/relationships/hyperlink" Target="https://doi.org/10.48550/arxiv.2602.22097" TargetMode="External" Id="rId130"/><Relationship Type="http://schemas.openxmlformats.org/officeDocument/2006/relationships/hyperlink" Target="https://math.utexas.edu/directory/faculty" TargetMode="External" Id="rId131"/><Relationship Type="http://schemas.openxmlformats.org/officeDocument/2006/relationships/hyperlink" Target="https://math.utexas.edu/directory/irene-gamba" TargetMode="External" Id="rId132"/><Relationship Type="http://schemas.openxmlformats.org/officeDocument/2006/relationships/hyperlink" Target="https://scholar.google.com/citations?hl=en&amp;user=H30Fz_sAAAAJ" TargetMode="External" Id="rId133"/><Relationship Type="http://schemas.openxmlformats.org/officeDocument/2006/relationships/hyperlink" Target="mailto:gamba@math.utexas.edu" TargetMode="External" Id="rId134"/><Relationship Type="http://schemas.openxmlformats.org/officeDocument/2006/relationships/hyperlink" Target="https://doi.org/10.1137/25m1737341" TargetMode="External" Id="rId135"/><Relationship Type="http://schemas.openxmlformats.org/officeDocument/2006/relationships/hyperlink" Target="https://doi.org/10.1007/978-3-032-00094-1_66" TargetMode="External" Id="rId136"/><Relationship Type="http://schemas.openxmlformats.org/officeDocument/2006/relationships/hyperlink" Target="https://doi.org/10.1137/25m1737341" TargetMode="External" Id="rId137"/><Relationship Type="http://schemas.openxmlformats.org/officeDocument/2006/relationships/hyperlink" Target="https://math.utexas.edu/directory/faculty" TargetMode="External" Id="rId138"/><Relationship Type="http://schemas.openxmlformats.org/officeDocument/2006/relationships/hyperlink" Target="https://me.utexas.edu/person/omar-ghattas/" TargetMode="External" Id="rId139"/><Relationship Type="http://schemas.openxmlformats.org/officeDocument/2006/relationships/hyperlink" Target="https://scholar.google.com/citations?hl=en&amp;user=QjR-sWMAAAAJ" TargetMode="External" Id="rId140"/><Relationship Type="http://schemas.openxmlformats.org/officeDocument/2006/relationships/hyperlink" Target="mailto:omar@ices.utexas.edu" TargetMode="External" Id="rId141"/><Relationship Type="http://schemas.openxmlformats.org/officeDocument/2006/relationships/hyperlink" Target="https://doi.org/10.48550/arxiv.2603.03211" TargetMode="External" Id="rId142"/><Relationship Type="http://schemas.openxmlformats.org/officeDocument/2006/relationships/hyperlink" Target="https://doi.org/10.2514/6.2026-1210" TargetMode="External" Id="rId143"/><Relationship Type="http://schemas.openxmlformats.org/officeDocument/2006/relationships/hyperlink" Target="https://doi.org/10.48550/arxiv.2603.03211" TargetMode="External" Id="rId144"/><Relationship Type="http://schemas.openxmlformats.org/officeDocument/2006/relationships/hyperlink" Target="https://me.utexas.edu/people/faculty" TargetMode="External" Id="rId145"/><Relationship Type="http://schemas.openxmlformats.org/officeDocument/2006/relationships/hyperlink" Target="https://math.utexas.edu/directory/per-gunnar-martinsson" TargetMode="External" Id="rId146"/><Relationship Type="http://schemas.openxmlformats.org/officeDocument/2006/relationships/hyperlink" Target="https://scholar.google.com/citations?hl=en&amp;user=E31mJckAAAAJ" TargetMode="External" Id="rId147"/><Relationship Type="http://schemas.openxmlformats.org/officeDocument/2006/relationships/hyperlink" Target="mailto:pgm@ices.utexas.edu" TargetMode="External" Id="rId148"/><Relationship Type="http://schemas.openxmlformats.org/officeDocument/2006/relationships/hyperlink" Target="https://doi.org/10.1137/25m175857x" TargetMode="External" Id="rId149"/><Relationship Type="http://schemas.openxmlformats.org/officeDocument/2006/relationships/hyperlink" Target="https://doi.org/10.1137/24m1678027" TargetMode="External" Id="rId150"/><Relationship Type="http://schemas.openxmlformats.org/officeDocument/2006/relationships/hyperlink" Target="https://doi.org/10.1137/25m175857x" TargetMode="External" Id="rId151"/><Relationship Type="http://schemas.openxmlformats.org/officeDocument/2006/relationships/hyperlink" Target="https://math.utexas.edu/directory/faculty" TargetMode="External" Id="rId152"/><Relationship Type="http://schemas.openxmlformats.org/officeDocument/2006/relationships/hyperlink" Target="https://math.utexas.edu/directory/rachel-ward" TargetMode="External" Id="rId153"/><Relationship Type="http://schemas.openxmlformats.org/officeDocument/2006/relationships/hyperlink" Target="https://scholar.google.com/citations?hl=en&amp;user=VwL3e80AAAAJ" TargetMode="External" Id="rId154"/><Relationship Type="http://schemas.openxmlformats.org/officeDocument/2006/relationships/hyperlink" Target="mailto:rward@math.utexas.edu" TargetMode="External" Id="rId155"/><Relationship Type="http://schemas.openxmlformats.org/officeDocument/2006/relationships/hyperlink" Target="https://doi.org/10.5802/smai-jcm.132" TargetMode="External" Id="rId156"/><Relationship Type="http://schemas.openxmlformats.org/officeDocument/2006/relationships/hyperlink" Target="https://doi.org/10.1038/s41467-025-65681-4" TargetMode="External" Id="rId157"/><Relationship Type="http://schemas.openxmlformats.org/officeDocument/2006/relationships/hyperlink" Target="https://doi.org/10.5802/smai-jcm.132" TargetMode="External" Id="rId158"/><Relationship Type="http://schemas.openxmlformats.org/officeDocument/2006/relationships/hyperlink" Target="https://math.utexas.edu/directory/faculty" TargetMode="External" Id="rId159"/><Relationship Type="http://schemas.openxmlformats.org/officeDocument/2006/relationships/hyperlink" Target="https://math.utexas.edu/directory/todd-arbogast" TargetMode="External" Id="rId160"/><Relationship Type="http://schemas.openxmlformats.org/officeDocument/2006/relationships/hyperlink" Target="https://scholar.google.com/citations?hl=en&amp;user=7QvK528AAAAJ" TargetMode="External" Id="rId161"/><Relationship Type="http://schemas.openxmlformats.org/officeDocument/2006/relationships/hyperlink" Target="mailto:arbogast@oden.utexas.edu" TargetMode="External" Id="rId162"/><Relationship Type="http://schemas.openxmlformats.org/officeDocument/2006/relationships/hyperlink" Target="https://doi.org/10.1007/s10915-025-02938-6" TargetMode="External" Id="rId163"/><Relationship Type="http://schemas.openxmlformats.org/officeDocument/2006/relationships/hyperlink" Target="https://doi.org/10.1201/9781003492139-1" TargetMode="External" Id="rId164"/><Relationship Type="http://schemas.openxmlformats.org/officeDocument/2006/relationships/hyperlink" Target="https://doi.org/10.1007/s10915-025-02938-6" TargetMode="External" Id="rId165"/><Relationship Type="http://schemas.openxmlformats.org/officeDocument/2006/relationships/hyperlink" Target="https://math.utexas.edu/directory/faculty" TargetMode="External" Id="rId166"/><Relationship Type="http://schemas.openxmlformats.org/officeDocument/2006/relationships/hyperlink" Target="https://math.utexas.edu/directory/yen-hsi-tsai" TargetMode="External" Id="rId167"/><Relationship Type="http://schemas.openxmlformats.org/officeDocument/2006/relationships/hyperlink" Target="https://scholar.google.com/citations?hl=en&amp;user=kX8YmYsAAAAJ" TargetMode="External" Id="rId168"/><Relationship Type="http://schemas.openxmlformats.org/officeDocument/2006/relationships/hyperlink" Target="mailto:ytsai@math.utexas.edu" TargetMode="External" Id="rId169"/><Relationship Type="http://schemas.openxmlformats.org/officeDocument/2006/relationships/hyperlink" Target="https://doi.org/10.4208/jiasc.2026-91-1" TargetMode="External" Id="rId170"/><Relationship Type="http://schemas.openxmlformats.org/officeDocument/2006/relationships/hyperlink" Target="https://doi.org/10.4171/ifb/547" TargetMode="External" Id="rId171"/><Relationship Type="http://schemas.openxmlformats.org/officeDocument/2006/relationships/hyperlink" Target="https://doi.org/10.4208/jiasc.2026-91-1" TargetMode="External" Id="rId172"/><Relationship Type="http://schemas.openxmlformats.org/officeDocument/2006/relationships/hyperlink" Target="https://math.utexas.edu/directory/faculty" TargetMode="External" Id="rId173"/></Relationships>
</file>

<file path=xl/worksheets/_rels/sheet2.xml.rels><Relationships xmlns="http://schemas.openxmlformats.org/package/2006/relationships"><Relationship Type="http://schemas.openxmlformats.org/officeDocument/2006/relationships/hyperlink" Target="https://ae.utexas.edu/person/laxminarayan-l-raja/" TargetMode="External" Id="rId1"/><Relationship Type="http://schemas.openxmlformats.org/officeDocument/2006/relationships/hyperlink" Target="https://scholar.google.com/citations?view_op=search_authors&amp;mauthors=Laxminarayan%20L.%20Raja%20University%20of%20Texas%20at%20Austin" TargetMode="External" Id="rId2"/><Relationship Type="http://schemas.openxmlformats.org/officeDocument/2006/relationships/hyperlink" Target="mailto:lraja@mail.utexas.edu" TargetMode="External" Id="rId3"/><Relationship Type="http://schemas.openxmlformats.org/officeDocument/2006/relationships/hyperlink" Target="https://doi.org/10.48550/arxiv.2607.28976" TargetMode="External" Id="rId4"/><Relationship Type="http://schemas.openxmlformats.org/officeDocument/2006/relationships/hyperlink" Target="https://doi.org/10.1063/5.0325672" TargetMode="External" Id="rId5"/><Relationship Type="http://schemas.openxmlformats.org/officeDocument/2006/relationships/hyperlink" Target="https://doi.org/10.48550/arxiv.2607.28976" TargetMode="External" Id="rId6"/><Relationship Type="http://schemas.openxmlformats.org/officeDocument/2006/relationships/hyperlink" Target="https://ae.utexas.edu/people/faculty" TargetMode="External" Id="rId7"/><Relationship Type="http://schemas.openxmlformats.org/officeDocument/2006/relationships/hyperlink" Target="https://ae.utexas.edu/person/fabrizio-bisetti/" TargetMode="External" Id="rId8"/><Relationship Type="http://schemas.openxmlformats.org/officeDocument/2006/relationships/hyperlink" Target="https://scholar.google.com/citations?hl=en&amp;user=P6u6t40AAAAJ" TargetMode="External" Id="rId9"/><Relationship Type="http://schemas.openxmlformats.org/officeDocument/2006/relationships/hyperlink" Target="mailto:fbisetti@utexas.edu" TargetMode="External" Id="rId10"/><Relationship Type="http://schemas.openxmlformats.org/officeDocument/2006/relationships/hyperlink" Target="https://doi.org/10.1080/13647830.2026.2621925" TargetMode="External" Id="rId11"/><Relationship Type="http://schemas.openxmlformats.org/officeDocument/2006/relationships/hyperlink" Target="https://doi.org/10.48550/arxiv.2607.25048" TargetMode="External" Id="rId12"/><Relationship Type="http://schemas.openxmlformats.org/officeDocument/2006/relationships/hyperlink" Target="https://doi.org/10.1080/13647830.2026.2621925" TargetMode="External" Id="rId13"/><Relationship Type="http://schemas.openxmlformats.org/officeDocument/2006/relationships/hyperlink" Target="https://ae.utexas.edu/people/faculty" TargetMode="External" Id="rId14"/><Relationship Type="http://schemas.openxmlformats.org/officeDocument/2006/relationships/hyperlink" Target="https://ae.utexas.edu/person/noel-t-clemens/" TargetMode="External" Id="rId15"/><Relationship Type="http://schemas.openxmlformats.org/officeDocument/2006/relationships/hyperlink" Target="https://scholar.google.com/citations?view_op=search_authors&amp;mauthors=Noel%20T.%20Clemens%20University%20of%20Texas%20at%20Austin" TargetMode="External" Id="rId16"/><Relationship Type="http://schemas.openxmlformats.org/officeDocument/2006/relationships/hyperlink" Target="mailto:clemens@mail.utexas.edu" TargetMode="External" Id="rId17"/><Relationship Type="http://schemas.openxmlformats.org/officeDocument/2006/relationships/hyperlink" Target="https://doi.org/10.2514/6.2026-0460" TargetMode="External" Id="rId18"/><Relationship Type="http://schemas.openxmlformats.org/officeDocument/2006/relationships/hyperlink" Target="https://doi.org/10.2514/6.2026-1315" TargetMode="External" Id="rId19"/><Relationship Type="http://schemas.openxmlformats.org/officeDocument/2006/relationships/hyperlink" Target="https://doi.org/10.2514/6.2026-0460" TargetMode="External" Id="rId20"/><Relationship Type="http://schemas.openxmlformats.org/officeDocument/2006/relationships/hyperlink" Target="https://ae.utexas.edu/people/faculty" TargetMode="External" Id="rId21"/><Relationship Type="http://schemas.openxmlformats.org/officeDocument/2006/relationships/hyperlink" Target="https://ae.utexas.edu/person/david-b-goldstein/" TargetMode="External" Id="rId22"/><Relationship Type="http://schemas.openxmlformats.org/officeDocument/2006/relationships/hyperlink" Target="https://scholar.google.com/citations?view_op=search_authors&amp;mauthors=David%20B.%20Goldstein%20University%20of%20Texas%20at%20Austin" TargetMode="External" Id="rId23"/><Relationship Type="http://schemas.openxmlformats.org/officeDocument/2006/relationships/hyperlink" Target="mailto:david@oden.utexas.edu" TargetMode="External" Id="rId24"/><Relationship Type="http://schemas.openxmlformats.org/officeDocument/2006/relationships/hyperlink" Target="https://doi.org/10.2514/6.2025-1302" TargetMode="External" Id="rId25"/><Relationship Type="http://schemas.openxmlformats.org/officeDocument/2006/relationships/hyperlink" Target="https://doi.org/10.2514/6.2025-1162" TargetMode="External" Id="rId26"/><Relationship Type="http://schemas.openxmlformats.org/officeDocument/2006/relationships/hyperlink" Target="https://doi.org/10.2514/6.2025-1302" TargetMode="External" Id="rId27"/><Relationship Type="http://schemas.openxmlformats.org/officeDocument/2006/relationships/hyperlink" Target="https://ae.utexas.edu/people/faculty" TargetMode="External" Id="rId28"/><Relationship Type="http://schemas.openxmlformats.org/officeDocument/2006/relationships/hyperlink" Target="https://ae.utexas.edu/person/clint-n-dawson/" TargetMode="External" Id="rId29"/><Relationship Type="http://schemas.openxmlformats.org/officeDocument/2006/relationships/hyperlink" Target="https://scholar.google.com/citations?view_op=search_authors&amp;mauthors=Clint%20N.%20Dawson%20University%20of%20Texas%20at%20Austin" TargetMode="External" Id="rId30"/><Relationship Type="http://schemas.openxmlformats.org/officeDocument/2006/relationships/hyperlink" Target="mailto:clint.dawson@austin.utexas.edu" TargetMode="External" Id="rId31"/><Relationship Type="http://schemas.openxmlformats.org/officeDocument/2006/relationships/hyperlink" Target="https://doi.org/10.1029/2025jh000697" TargetMode="External" Id="rId32"/><Relationship Type="http://schemas.openxmlformats.org/officeDocument/2006/relationships/hyperlink" Target="https://doi.org/10.24433/co.5021363.v1" TargetMode="External" Id="rId33"/><Relationship Type="http://schemas.openxmlformats.org/officeDocument/2006/relationships/hyperlink" Target="https://doi.org/10.1029/2025jh000697" TargetMode="External" Id="rId34"/><Relationship Type="http://schemas.openxmlformats.org/officeDocument/2006/relationships/hyperlink" Target="https://ae.utexas.edu/people/faculty" TargetMode="External" Id="rId35"/><Relationship Type="http://schemas.openxmlformats.org/officeDocument/2006/relationships/hyperlink" Target="https://ae.utexas.edu/person/jesse-chan/" TargetMode="External" Id="rId36"/><Relationship Type="http://schemas.openxmlformats.org/officeDocument/2006/relationships/hyperlink" Target="https://scholar.google.com/citations?hl=en&amp;user=e3T0l3IAAAAJ" TargetMode="External" Id="rId37"/><Relationship Type="http://schemas.openxmlformats.org/officeDocument/2006/relationships/hyperlink" Target="mailto:jesse.chan@oden.utexas.edu" TargetMode="External" Id="rId38"/><Relationship Type="http://schemas.openxmlformats.org/officeDocument/2006/relationships/hyperlink" Target="https://doi.org/10.48550/arxiv.2604.03158" TargetMode="External" Id="rId39"/><Relationship Type="http://schemas.openxmlformats.org/officeDocument/2006/relationships/hyperlink" Target="https://doi.org/10.48550/arxiv.2603.24189" TargetMode="External" Id="rId40"/><Relationship Type="http://schemas.openxmlformats.org/officeDocument/2006/relationships/hyperlink" Target="https://doi.org/10.48550/arxiv.2604.03158" TargetMode="External" Id="rId41"/><Relationship Type="http://schemas.openxmlformats.org/officeDocument/2006/relationships/hyperlink" Target="https://ae.utexas.edu/people/faculty" TargetMode="External" Id="rId42"/><Relationship Type="http://schemas.openxmlformats.org/officeDocument/2006/relationships/hyperlink" Target="https://ae.utexas.edu/person/philip-l-varghese/" TargetMode="External" Id="rId43"/><Relationship Type="http://schemas.openxmlformats.org/officeDocument/2006/relationships/hyperlink" Target="https://scholar.google.com/citations?view_op=search_authors&amp;mauthors=Philip%20L.%20Varghese%20University%20of%20Texas%20at%20Austin" TargetMode="External" Id="rId44"/><Relationship Type="http://schemas.openxmlformats.org/officeDocument/2006/relationships/hyperlink" Target="mailto:varghese@mail.utexas.edu" TargetMode="External" Id="rId45"/><Relationship Type="http://schemas.openxmlformats.org/officeDocument/2006/relationships/hyperlink" Target="https://doi.org/10.1029/2025je009389" TargetMode="External" Id="rId46"/><Relationship Type="http://schemas.openxmlformats.org/officeDocument/2006/relationships/hyperlink" Target="https://doi.org/10.48550/arxiv.2607.23904" TargetMode="External" Id="rId47"/><Relationship Type="http://schemas.openxmlformats.org/officeDocument/2006/relationships/hyperlink" Target="https://doi.org/10.1029/2025je009389" TargetMode="External" Id="rId48"/><Relationship Type="http://schemas.openxmlformats.org/officeDocument/2006/relationships/hyperlink" Target="https://ae.utexas.edu/people/faculty" TargetMode="External" Id="rId49"/><Relationship Type="http://schemas.openxmlformats.org/officeDocument/2006/relationships/hyperlink" Target="https://ae.utexas.edu/person/thomas-j-hughes/" TargetMode="External" Id="rId50"/><Relationship Type="http://schemas.openxmlformats.org/officeDocument/2006/relationships/hyperlink" Target="https://scholar.google.com/citations?view_op=search_authors&amp;mauthors=Thomas%20J.%20Hughes%20University%20of%20Texas%20at%20Austin" TargetMode="External" Id="rId51"/><Relationship Type="http://schemas.openxmlformats.org/officeDocument/2006/relationships/hyperlink" Target="mailto:hughes@oden.utexas.edu" TargetMode="External" Id="rId52"/><Relationship Type="http://schemas.openxmlformats.org/officeDocument/2006/relationships/hyperlink" Target="https://doi.org/10.1016/j.cma.2026.119046" TargetMode="External" Id="rId53"/><Relationship Type="http://schemas.openxmlformats.org/officeDocument/2006/relationships/hyperlink" Target="https://doi.org/10.1142/s021820252650003x" TargetMode="External" Id="rId54"/><Relationship Type="http://schemas.openxmlformats.org/officeDocument/2006/relationships/hyperlink" Target="https://doi.org/10.1016/j.cma.2026.119046" TargetMode="External" Id="rId55"/><Relationship Type="http://schemas.openxmlformats.org/officeDocument/2006/relationships/hyperlink" Target="https://ae.utexas.edu/people/faculty" TargetMode="External" Id="rId56"/><Relationship Type="http://schemas.openxmlformats.org/officeDocument/2006/relationships/hyperlink" Target="https://me.utexas.edu/person/david-bogard/" TargetMode="External" Id="rId57"/><Relationship Type="http://schemas.openxmlformats.org/officeDocument/2006/relationships/hyperlink" Target="https://scholar.google.com/citations?hl=en&amp;user=z-y3V4EAAAAJ" TargetMode="External" Id="rId58"/><Relationship Type="http://schemas.openxmlformats.org/officeDocument/2006/relationships/hyperlink" Target="mailto:dbogard@mail.utexas.edu" TargetMode="External" Id="rId59"/><Relationship Type="http://schemas.openxmlformats.org/officeDocument/2006/relationships/hyperlink" Target="https://doi.org/10.1115/1.4069945" TargetMode="External" Id="rId60"/><Relationship Type="http://schemas.openxmlformats.org/officeDocument/2006/relationships/hyperlink" Target="https://doi.org/10.1115/1.4069942" TargetMode="External" Id="rId61"/><Relationship Type="http://schemas.openxmlformats.org/officeDocument/2006/relationships/hyperlink" Target="https://doi.org/10.1115/1.4069945" TargetMode="External" Id="rId62"/><Relationship Type="http://schemas.openxmlformats.org/officeDocument/2006/relationships/hyperlink" Target="https://me.utexas.edu/people/faculty" TargetMode="External" Id="rId63"/><Relationship Type="http://schemas.openxmlformats.org/officeDocument/2006/relationships/hyperlink" Target="https://ae.utexas.edu/person/greg-zwernemann/" TargetMode="External" Id="rId64"/><Relationship Type="http://schemas.openxmlformats.org/officeDocument/2006/relationships/hyperlink" Target="https://scholar.google.com/citations?view_op=search_authors&amp;mauthors=Greg%20Zwernemann%20University%20of%20Texas%20at%20Austin" TargetMode="External" Id="rId65"/><Relationship Type="http://schemas.openxmlformats.org/officeDocument/2006/relationships/hyperlink" Target="mailto:greg.zwernemann@austin.utexas.edu" TargetMode="External" Id="rId66"/><Relationship Type="http://schemas.openxmlformats.org/officeDocument/2006/relationships/hyperlink" Target="https://ae.utexas.edu/people/faculty" TargetMode="External" Id="rId67"/><Relationship Type="http://schemas.openxmlformats.org/officeDocument/2006/relationships/hyperlink" Target="https://ae.utexas.edu/person/karen-e-willcox/" TargetMode="External" Id="rId68"/><Relationship Type="http://schemas.openxmlformats.org/officeDocument/2006/relationships/hyperlink" Target="https://scholar.google.com/citations?hl=en&amp;user=Uf5L_wAAAAAJ" TargetMode="External" Id="rId69"/><Relationship Type="http://schemas.openxmlformats.org/officeDocument/2006/relationships/hyperlink" Target="mailto:kwillcox@oden.utexas.edu" TargetMode="External" Id="rId70"/><Relationship Type="http://schemas.openxmlformats.org/officeDocument/2006/relationships/hyperlink" Target="https://doi.org/10.1007/s10444-026-10322-7" TargetMode="External" Id="rId71"/><Relationship Type="http://schemas.openxmlformats.org/officeDocument/2006/relationships/hyperlink" Target="https://doi.org/10.1186/s12911-026-03520-2" TargetMode="External" Id="rId72"/><Relationship Type="http://schemas.openxmlformats.org/officeDocument/2006/relationships/hyperlink" Target="https://doi.org/10.1007/s10444-026-10322-7" TargetMode="External" Id="rId73"/><Relationship Type="http://schemas.openxmlformats.org/officeDocument/2006/relationships/hyperlink" Target="https://ae.utexas.edu/people/faculty" TargetMode="External" Id="rId74"/><Relationship Type="http://schemas.openxmlformats.org/officeDocument/2006/relationships/hyperlink" Target="https://ae.utexas.edu/person/leszek-f-demkowicz/" TargetMode="External" Id="rId75"/><Relationship Type="http://schemas.openxmlformats.org/officeDocument/2006/relationships/hyperlink" Target="https://scholar.google.com/citations?view_op=search_authors&amp;mauthors=Leszek%20F.%20Demkowicz%20University%20of%20Texas%20at%20Austin" TargetMode="External" Id="rId76"/><Relationship Type="http://schemas.openxmlformats.org/officeDocument/2006/relationships/hyperlink" Target="mailto:leszek@oden.utexas.edu" TargetMode="External" Id="rId77"/><Relationship Type="http://schemas.openxmlformats.org/officeDocument/2006/relationships/hyperlink" Target="https://ae.utexas.edu/people/faculty" TargetMode="External" Id="rId78"/><Relationship Type="http://schemas.openxmlformats.org/officeDocument/2006/relationships/hyperlink" Target="https://me.utexas.edu/person/robert-moser/" TargetMode="External" Id="rId79"/><Relationship Type="http://schemas.openxmlformats.org/officeDocument/2006/relationships/hyperlink" Target="https://scholar.google.com/citations?hl=en&amp;user=6yB0J0wAAAAJ" TargetMode="External" Id="rId80"/><Relationship Type="http://schemas.openxmlformats.org/officeDocument/2006/relationships/hyperlink" Target="mailto:rmoser@mail.utexas.edu" TargetMode="External" Id="rId81"/><Relationship Type="http://schemas.openxmlformats.org/officeDocument/2006/relationships/hyperlink" Target="https://doi.org/10.48550/arxiv.2502.16555" TargetMode="External" Id="rId82"/><Relationship Type="http://schemas.openxmlformats.org/officeDocument/2006/relationships/hyperlink" Target="https://doi.org/10.1088/1361-6595/ae0c33" TargetMode="External" Id="rId83"/><Relationship Type="http://schemas.openxmlformats.org/officeDocument/2006/relationships/hyperlink" Target="https://doi.org/10.48550/arxiv.2502.16555" TargetMode="External" Id="rId84"/><Relationship Type="http://schemas.openxmlformats.org/officeDocument/2006/relationships/hyperlink" Target="https://me.utexas.edu/people/faculty" TargetMode="External" Id="rId85"/><Relationship Type="http://schemas.openxmlformats.org/officeDocument/2006/relationships/hyperlink" Target="https://me.utexas.edu/person/spencer-bryngelson/" TargetMode="External" Id="rId86"/><Relationship Type="http://schemas.openxmlformats.org/officeDocument/2006/relationships/hyperlink" Target="https://scholar.google.com/citations?hl=en&amp;user=K765N4AAAAAJ" TargetMode="External" Id="rId87"/><Relationship Type="http://schemas.openxmlformats.org/officeDocument/2006/relationships/hyperlink" Target="mailto:shb@utexas.edu" TargetMode="External" Id="rId88"/><Relationship Type="http://schemas.openxmlformats.org/officeDocument/2006/relationships/hyperlink" Target="https://doi.org/10.48550/arxiv.2608.02223" TargetMode="External" Id="rId89"/><Relationship Type="http://schemas.openxmlformats.org/officeDocument/2006/relationships/hyperlink" Target="https://doi.org/10.48550/arxiv.2607.28932" TargetMode="External" Id="rId90"/><Relationship Type="http://schemas.openxmlformats.org/officeDocument/2006/relationships/hyperlink" Target="https://doi.org/10.48550/arxiv.2608.02223" TargetMode="External" Id="rId91"/><Relationship Type="http://schemas.openxmlformats.org/officeDocument/2006/relationships/hyperlink" Target="https://me.utexas.edu/people/faculty" TargetMode="External" Id="rId92"/><Relationship Type="http://schemas.openxmlformats.org/officeDocument/2006/relationships/hyperlink" Target="https://ae.utexas.edu/person/thomas-underwood/" TargetMode="External" Id="rId93"/><Relationship Type="http://schemas.openxmlformats.org/officeDocument/2006/relationships/hyperlink" Target="https://scholar.google.com/citations?hl=en&amp;user=j9Bkn8IAAAAJ" TargetMode="External" Id="rId94"/><Relationship Type="http://schemas.openxmlformats.org/officeDocument/2006/relationships/hyperlink" Target="mailto:thomas.underwood@utexas.edu" TargetMode="External" Id="rId95"/><Relationship Type="http://schemas.openxmlformats.org/officeDocument/2006/relationships/hyperlink" Target="https://doi.org/10.2514/1.b40460" TargetMode="External" Id="rId96"/><Relationship Type="http://schemas.openxmlformats.org/officeDocument/2006/relationships/hyperlink" Target="https://doi.org/10.1063/5.0325672" TargetMode="External" Id="rId97"/><Relationship Type="http://schemas.openxmlformats.org/officeDocument/2006/relationships/hyperlink" Target="https://doi.org/10.2514/1.b40460" TargetMode="External" Id="rId98"/><Relationship Type="http://schemas.openxmlformats.org/officeDocument/2006/relationships/hyperlink" Target="https://ae.utexas.edu/people/faculty" TargetMode="External" Id="rId99"/><Relationship Type="http://schemas.openxmlformats.org/officeDocument/2006/relationships/hyperlink" Target="https://me.utexas.edu/person/vaibhav-bahadur/" TargetMode="External" Id="rId100"/><Relationship Type="http://schemas.openxmlformats.org/officeDocument/2006/relationships/hyperlink" Target="https://scholar.google.com/citations?hl=en&amp;user=2iFj40AAAAAJ" TargetMode="External" Id="rId101"/><Relationship Type="http://schemas.openxmlformats.org/officeDocument/2006/relationships/hyperlink" Target="mailto:vb@austin.utexas.edu" TargetMode="External" Id="rId102"/><Relationship Type="http://schemas.openxmlformats.org/officeDocument/2006/relationships/hyperlink" Target="https://doi.org/10.1115/es2025-155214" TargetMode="External" Id="rId103"/><Relationship Type="http://schemas.openxmlformats.org/officeDocument/2006/relationships/hyperlink" Target="https://doi.org/10.1126/sciadv.aed5744" TargetMode="External" Id="rId104"/><Relationship Type="http://schemas.openxmlformats.org/officeDocument/2006/relationships/hyperlink" Target="https://doi.org/10.1115/es2025-155214" TargetMode="External" Id="rId105"/><Relationship Type="http://schemas.openxmlformats.org/officeDocument/2006/relationships/hyperlink" Target="https://me.utexas.edu/people/faculty" TargetMode="External" Id="rId106"/><Relationship Type="http://schemas.openxmlformats.org/officeDocument/2006/relationships/hyperlink" Target="https://me.utexas.edu/person/george-biros/" TargetMode="External" Id="rId107"/><Relationship Type="http://schemas.openxmlformats.org/officeDocument/2006/relationships/hyperlink" Target="https://scholar.google.com/citations?hl=en&amp;user=cK-Fz2wAAAAJ" TargetMode="External" Id="rId108"/><Relationship Type="http://schemas.openxmlformats.org/officeDocument/2006/relationships/hyperlink" Target="mailto:gbiros@acm.org" TargetMode="External" Id="rId109"/><Relationship Type="http://schemas.openxmlformats.org/officeDocument/2006/relationships/hyperlink" Target="https://doi.org/10.48550/arxiv.2609.07912" TargetMode="External" Id="rId110"/><Relationship Type="http://schemas.openxmlformats.org/officeDocument/2006/relationships/hyperlink" Target="https://doi.org/10.1137/25m1753097" TargetMode="External" Id="rId111"/><Relationship Type="http://schemas.openxmlformats.org/officeDocument/2006/relationships/hyperlink" Target="https://doi.org/10.48550/arxiv.2609.07912" TargetMode="External" Id="rId112"/><Relationship Type="http://schemas.openxmlformats.org/officeDocument/2006/relationships/hyperlink" Target="https://me.utexas.edu/people/faculty" TargetMode="External" Id="rId113"/><Relationship Type="http://schemas.openxmlformats.org/officeDocument/2006/relationships/hyperlink" Target="https://me.utexas.edu/person/matthew-meier/" TargetMode="External" Id="rId114"/><Relationship Type="http://schemas.openxmlformats.org/officeDocument/2006/relationships/hyperlink" Target="https://scholar.google.com/citations?view_op=search_authors&amp;mauthors=Matthew%20Meier%20University%20of%20Texas%20at%20Austin" TargetMode="External" Id="rId115"/><Relationship Type="http://schemas.openxmlformats.org/officeDocument/2006/relationships/hyperlink" Target="mailto:mmeier@utexas.edu" TargetMode="External" Id="rId116"/><Relationship Type="http://schemas.openxmlformats.org/officeDocument/2006/relationships/hyperlink" Target="https://me.utexas.edu/people/faculty" TargetMode="External" Id="rId117"/><Relationship Type="http://schemas.openxmlformats.org/officeDocument/2006/relationships/hyperlink" Target="https://me.utexas.edu/person/ofodike-ezekoye/" TargetMode="External" Id="rId118"/><Relationship Type="http://schemas.openxmlformats.org/officeDocument/2006/relationships/hyperlink" Target="https://scholar.google.com/citations?hl=en&amp;user=oX_f42wAAAAJ" TargetMode="External" Id="rId119"/><Relationship Type="http://schemas.openxmlformats.org/officeDocument/2006/relationships/hyperlink" Target="mailto:dezekoye@mail.utexas.edu" TargetMode="External" Id="rId120"/><Relationship Type="http://schemas.openxmlformats.org/officeDocument/2006/relationships/hyperlink" Target="https://doi.org/10.1002/aenm.71193" TargetMode="External" Id="rId121"/><Relationship Type="http://schemas.openxmlformats.org/officeDocument/2006/relationships/hyperlink" Target="https://doi.org/10.6084/m9.figshare.32570274" TargetMode="External" Id="rId122"/><Relationship Type="http://schemas.openxmlformats.org/officeDocument/2006/relationships/hyperlink" Target="https://doi.org/10.1002/aenm.71193" TargetMode="External" Id="rId123"/><Relationship Type="http://schemas.openxmlformats.org/officeDocument/2006/relationships/hyperlink" Target="https://me.utexas.edu/people/faculty" TargetMode="External" Id="rId124"/><Relationship Type="http://schemas.openxmlformats.org/officeDocument/2006/relationships/hyperlink" Target="https://math.utexas.edu/directory/bjorn-engquist" TargetMode="External" Id="rId125"/><Relationship Type="http://schemas.openxmlformats.org/officeDocument/2006/relationships/hyperlink" Target="https://scholar.google.com/citations?hl=en&amp;user=G-5Y2_AAAAAJ" TargetMode="External" Id="rId126"/><Relationship Type="http://schemas.openxmlformats.org/officeDocument/2006/relationships/hyperlink" Target="mailto:engquist@math.utexas.edu" TargetMode="External" Id="rId127"/><Relationship Type="http://schemas.openxmlformats.org/officeDocument/2006/relationships/hyperlink" Target="https://doi.org/10.48550/arxiv.2602.22097" TargetMode="External" Id="rId128"/><Relationship Type="http://schemas.openxmlformats.org/officeDocument/2006/relationships/hyperlink" Target="https://doi.org/10.1137/24m1668755" TargetMode="External" Id="rId129"/><Relationship Type="http://schemas.openxmlformats.org/officeDocument/2006/relationships/hyperlink" Target="https://doi.org/10.48550/arxiv.2602.22097" TargetMode="External" Id="rId130"/><Relationship Type="http://schemas.openxmlformats.org/officeDocument/2006/relationships/hyperlink" Target="https://math.utexas.edu/directory/faculty" TargetMode="External" Id="rId131"/><Relationship Type="http://schemas.openxmlformats.org/officeDocument/2006/relationships/hyperlink" Target="https://ae.utexas.edu/person/raghav-mahalingam/" TargetMode="External" Id="rId132"/><Relationship Type="http://schemas.openxmlformats.org/officeDocument/2006/relationships/hyperlink" Target="https://scholar.google.com/citations?view_op=search_authors&amp;mauthors=Raghav%20Mahalingam%20University%20of%20Texas%20at%20Austin" TargetMode="External" Id="rId133"/><Relationship Type="http://schemas.openxmlformats.org/officeDocument/2006/relationships/hyperlink" Target="mailto:raghavmahalingam@austin.utexas.edu" TargetMode="External" Id="rId134"/><Relationship Type="http://schemas.openxmlformats.org/officeDocument/2006/relationships/hyperlink" Target="https://ae.utexas.edu/people/faculty" TargetMode="External" Id="rId135"/><Relationship Type="http://schemas.openxmlformats.org/officeDocument/2006/relationships/hyperlink" Target="https://me.utexas.edu/person/andrea-pickel/" TargetMode="External" Id="rId136"/><Relationship Type="http://schemas.openxmlformats.org/officeDocument/2006/relationships/hyperlink" Target="https://scholar.google.com/citations?view_op=search_authors&amp;mauthors=Andrea%20Pickel%20University%20of%20Texas%20at%20Austin" TargetMode="External" Id="rId137"/><Relationship Type="http://schemas.openxmlformats.org/officeDocument/2006/relationships/hyperlink" Target="mailto:andrea.pickel@austin.utexas.edu" TargetMode="External" Id="rId138"/><Relationship Type="http://schemas.openxmlformats.org/officeDocument/2006/relationships/hyperlink" Target="https://me.utexas.edu/people/faculty" TargetMode="External" Id="rId139"/><Relationship Type="http://schemas.openxmlformats.org/officeDocument/2006/relationships/hyperlink" Target="https://me.utexas.edu/person/andrew-fix/" TargetMode="External" Id="rId140"/><Relationship Type="http://schemas.openxmlformats.org/officeDocument/2006/relationships/hyperlink" Target="https://scholar.google.com/citations?view_op=search_authors&amp;mauthors=Andrew%20Fix%20University%20of%20Texas%20at%20Austin" TargetMode="External" Id="rId141"/><Relationship Type="http://schemas.openxmlformats.org/officeDocument/2006/relationships/hyperlink" Target="mailto:fix@utexas.edu" TargetMode="External" Id="rId142"/><Relationship Type="http://schemas.openxmlformats.org/officeDocument/2006/relationships/hyperlink" Target="https://me.utexas.edu/people/faculty" TargetMode="External" Id="rId143"/><Relationship Type="http://schemas.openxmlformats.org/officeDocument/2006/relationships/hyperlink" Target="https://me.utexas.edu/person/li-shi/" TargetMode="External" Id="rId144"/><Relationship Type="http://schemas.openxmlformats.org/officeDocument/2006/relationships/hyperlink" Target="https://scholar.google.com/citations?view_op=search_authors&amp;mauthors=Li%20Shi%20University%20of%20Texas%20at%20Austin" TargetMode="External" Id="rId145"/><Relationship Type="http://schemas.openxmlformats.org/officeDocument/2006/relationships/hyperlink" Target="mailto:lishi@mail.utexas.edu" TargetMode="External" Id="rId146"/><Relationship Type="http://schemas.openxmlformats.org/officeDocument/2006/relationships/hyperlink" Target="https://me.utexas.edu/people/faculty" TargetMode="External" Id="rId147"/><Relationship Type="http://schemas.openxmlformats.org/officeDocument/2006/relationships/hyperlink" Target="https://me.utexas.edu/person/michael-cullinan/" TargetMode="External" Id="rId148"/><Relationship Type="http://schemas.openxmlformats.org/officeDocument/2006/relationships/hyperlink" Target="https://scholar.google.com/citations?view_op=search_authors&amp;mauthors=Michael%20Cullinan%20University%20of%20Texas%20at%20Austin" TargetMode="External" Id="rId149"/><Relationship Type="http://schemas.openxmlformats.org/officeDocument/2006/relationships/hyperlink" Target="mailto:michael.cullinan@austin.utexas.edu" TargetMode="External" Id="rId150"/><Relationship Type="http://schemas.openxmlformats.org/officeDocument/2006/relationships/hyperlink" Target="https://me.utexas.edu/people/faculty" TargetMode="External" Id="rId151"/><Relationship Type="http://schemas.openxmlformats.org/officeDocument/2006/relationships/hyperlink" Target="https://me.utexas.edu/person/elena-zannoni/" TargetMode="External" Id="rId152"/><Relationship Type="http://schemas.openxmlformats.org/officeDocument/2006/relationships/hyperlink" Target="https://scholar.google.com/citations?view_op=search_authors&amp;mauthors=Elena%20Zannoni%20University%20of%20Texas%20at%20Austin" TargetMode="External" Id="rId153"/><Relationship Type="http://schemas.openxmlformats.org/officeDocument/2006/relationships/hyperlink" Target="mailto:elena.zannoni@austin.utexas.edu" TargetMode="External" Id="rId154"/><Relationship Type="http://schemas.openxmlformats.org/officeDocument/2006/relationships/hyperlink" Target="https://me.utexas.edu/people/faculty" TargetMode="External" Id="rId155"/><Relationship Type="http://schemas.openxmlformats.org/officeDocument/2006/relationships/hyperlink" Target="https://me.utexas.edu/person/jianshi-zhou/" TargetMode="External" Id="rId156"/><Relationship Type="http://schemas.openxmlformats.org/officeDocument/2006/relationships/hyperlink" Target="https://scholar.google.com/citations?view_op=search_authors&amp;mauthors=Jianshi%20Zhou%20University%20of%20Texas%20at%20Austin" TargetMode="External" Id="rId157"/><Relationship Type="http://schemas.openxmlformats.org/officeDocument/2006/relationships/hyperlink" Target="mailto:jszhou@mail.utexas.edu" TargetMode="External" Id="rId158"/><Relationship Type="http://schemas.openxmlformats.org/officeDocument/2006/relationships/hyperlink" Target="https://me.utexas.edu/people/faculty" TargetMode="External" Id="rId159"/><Relationship Type="http://schemas.openxmlformats.org/officeDocument/2006/relationships/hyperlink" Target="https://me.utexas.edu/person/m-nichole-rylander/" TargetMode="External" Id="rId160"/><Relationship Type="http://schemas.openxmlformats.org/officeDocument/2006/relationships/hyperlink" Target="https://scholar.google.com/citations?view_op=search_authors&amp;mauthors=M.%20Nichole%20Rylander%20University%20of%20Texas%20at%20Austin" TargetMode="External" Id="rId161"/><Relationship Type="http://schemas.openxmlformats.org/officeDocument/2006/relationships/hyperlink" Target="mailto:mnr@austin.utexas.edu" TargetMode="External" Id="rId162"/><Relationship Type="http://schemas.openxmlformats.org/officeDocument/2006/relationships/hyperlink" Target="https://me.utexas.edu/people/faculty" TargetMode="External" Id="rId163"/><Relationship Type="http://schemas.openxmlformats.org/officeDocument/2006/relationships/hyperlink" Target="https://me.utexas.edu/person/mark-hamilton/" TargetMode="External" Id="rId164"/><Relationship Type="http://schemas.openxmlformats.org/officeDocument/2006/relationships/hyperlink" Target="https://scholar.google.com/citations?view_op=search_authors&amp;mauthors=Mark%20Hamilton%20University%20of%20Texas%20at%20Austin" TargetMode="External" Id="rId165"/><Relationship Type="http://schemas.openxmlformats.org/officeDocument/2006/relationships/hyperlink" Target="mailto:hamilton@mail.utexas.edu" TargetMode="External" Id="rId166"/><Relationship Type="http://schemas.openxmlformats.org/officeDocument/2006/relationships/hyperlink" Target="https://me.utexas.edu/people/faculty" TargetMode="External" Id="rId167"/><Relationship Type="http://schemas.openxmlformats.org/officeDocument/2006/relationships/hyperlink" Target="https://me.utexas.edu/person/michael-webber/" TargetMode="External" Id="rId168"/><Relationship Type="http://schemas.openxmlformats.org/officeDocument/2006/relationships/hyperlink" Target="https://scholar.google.com/citations?view_op=search_authors&amp;mauthors=Michael%20Webber%20University%20of%20Texas%20at%20Austin" TargetMode="External" Id="rId169"/><Relationship Type="http://schemas.openxmlformats.org/officeDocument/2006/relationships/hyperlink" Target="mailto:webber@mail.utexas.edu" TargetMode="External" Id="rId170"/><Relationship Type="http://schemas.openxmlformats.org/officeDocument/2006/relationships/hyperlink" Target="https://me.utexas.edu/people/faculty" TargetMode="External" Id="rId171"/><Relationship Type="http://schemas.openxmlformats.org/officeDocument/2006/relationships/hyperlink" Target="https://lbj.utexas.edu/rai-varun" TargetMode="External" Id="rId172"/><Relationship Type="http://schemas.openxmlformats.org/officeDocument/2006/relationships/hyperlink" Target="https://scholar.google.com/citations?view_op=search_authors&amp;mauthors=Varun%20Rai%20University%20of%20Texas%20at%20Austin" TargetMode="External" Id="rId173"/><Relationship Type="http://schemas.openxmlformats.org/officeDocument/2006/relationships/hyperlink" Target="mailto:rai@austin.utexas.edu" TargetMode="External" Id="rId174"/><Relationship Type="http://schemas.openxmlformats.org/officeDocument/2006/relationships/hyperlink" Target="https://me.utexas.edu/people/faculty" TargetMode="External" Id="rId175"/><Relationship Type="http://schemas.openxmlformats.org/officeDocument/2006/relationships/hyperlink" Target="https://ae.utexas.edu/person/chad-m-landis/" TargetMode="External" Id="rId176"/><Relationship Type="http://schemas.openxmlformats.org/officeDocument/2006/relationships/hyperlink" Target="https://scholar.google.com/citations?view_op=search_authors&amp;mauthors=Chad%20M.%20Landis%20University%20of%20Texas%20at%20Austin" TargetMode="External" Id="rId177"/><Relationship Type="http://schemas.openxmlformats.org/officeDocument/2006/relationships/hyperlink" Target="mailto:landis@utexas.edu" TargetMode="External" Id="rId178"/><Relationship Type="http://schemas.openxmlformats.org/officeDocument/2006/relationships/hyperlink" Target="https://ae.utexas.edu/people/faculty" TargetMode="External" Id="rId179"/><Relationship Type="http://schemas.openxmlformats.org/officeDocument/2006/relationships/hyperlink" Target="https://ae.utexas.edu/person/jayant-sirohi/" TargetMode="External" Id="rId180"/><Relationship Type="http://schemas.openxmlformats.org/officeDocument/2006/relationships/hyperlink" Target="https://scholar.google.com/citations?view_op=search_authors&amp;mauthors=Jayant%20Sirohi%20University%20of%20Texas%20at%20Austin" TargetMode="External" Id="rId181"/><Relationship Type="http://schemas.openxmlformats.org/officeDocument/2006/relationships/hyperlink" Target="mailto:sirohi@utexas.edu" TargetMode="External" Id="rId182"/><Relationship Type="http://schemas.openxmlformats.org/officeDocument/2006/relationships/hyperlink" Target="https://ae.utexas.edu/people/faculty" TargetMode="External" Id="rId183"/><Relationship Type="http://schemas.openxmlformats.org/officeDocument/2006/relationships/hyperlink" Target="https://me.utexas.edu/person/eric-fahrenthold/" TargetMode="External" Id="rId184"/><Relationship Type="http://schemas.openxmlformats.org/officeDocument/2006/relationships/hyperlink" Target="https://scholar.google.com/citations?view_op=search_authors&amp;mauthors=Eric%20Fahrenthold%20University%20of%20Texas%20at%20Austin" TargetMode="External" Id="rId185"/><Relationship Type="http://schemas.openxmlformats.org/officeDocument/2006/relationships/hyperlink" Target="mailto:epfahren@mail.utexas.edu" TargetMode="External" Id="rId186"/><Relationship Type="http://schemas.openxmlformats.org/officeDocument/2006/relationships/hyperlink" Target="https://me.utexas.edu/people/faculty" TargetMode="External" Id="rId187"/><Relationship Type="http://schemas.openxmlformats.org/officeDocument/2006/relationships/hyperlink" Target="https://ae.utexas.edu/person/jan-fuhg/" TargetMode="External" Id="rId188"/><Relationship Type="http://schemas.openxmlformats.org/officeDocument/2006/relationships/hyperlink" Target="https://scholar.google.com/citations?view_op=search_authors&amp;mauthors=Jan%20Fuhg%20University%20of%20Texas%20at%20Austin" TargetMode="External" Id="rId189"/><Relationship Type="http://schemas.openxmlformats.org/officeDocument/2006/relationships/hyperlink" Target="mailto:jan.fuhg@utexas.edu" TargetMode="External" Id="rId190"/><Relationship Type="http://schemas.openxmlformats.org/officeDocument/2006/relationships/hyperlink" Target="https://ae.utexas.edu/people/faculty" TargetMode="External" Id="rId191"/><Relationship Type="http://schemas.openxmlformats.org/officeDocument/2006/relationships/hyperlink" Target="https://me.utexas.edu/person/michael-haberman/" TargetMode="External" Id="rId192"/><Relationship Type="http://schemas.openxmlformats.org/officeDocument/2006/relationships/hyperlink" Target="https://scholar.google.com/citations?view_op=search_authors&amp;mauthors=Michael%20Haberman%20University%20of%20Texas%20at%20Austin" TargetMode="External" Id="rId193"/><Relationship Type="http://schemas.openxmlformats.org/officeDocument/2006/relationships/hyperlink" Target="mailto:haberman@utexas.edu" TargetMode="External" Id="rId194"/><Relationship Type="http://schemas.openxmlformats.org/officeDocument/2006/relationships/hyperlink" Target="https://me.utexas.edu/people/faculty" TargetMode="External" Id="rId195"/><Relationship Type="http://schemas.openxmlformats.org/officeDocument/2006/relationships/hyperlink" Target="https://ae.utexas.edu/person/rui-huang/" TargetMode="External" Id="rId196"/><Relationship Type="http://schemas.openxmlformats.org/officeDocument/2006/relationships/hyperlink" Target="https://scholar.google.com/citations?view_op=search_authors&amp;mauthors=Rui%20Huang%20University%20of%20Texas%20at%20Austin" TargetMode="External" Id="rId197"/><Relationship Type="http://schemas.openxmlformats.org/officeDocument/2006/relationships/hyperlink" Target="mailto:ruihuang@mail.utexas.edu" TargetMode="External" Id="rId198"/><Relationship Type="http://schemas.openxmlformats.org/officeDocument/2006/relationships/hyperlink" Target="https://ae.utexas.edu/people/faculty" TargetMode="External" Id="rId199"/><Relationship Type="http://schemas.openxmlformats.org/officeDocument/2006/relationships/hyperlink" Target="https://ae.utexas.edu/person/stelios-kyriakides/" TargetMode="External" Id="rId200"/><Relationship Type="http://schemas.openxmlformats.org/officeDocument/2006/relationships/hyperlink" Target="https://scholar.google.com/citations?view_op=search_authors&amp;mauthors=Stelios%20Kyriakides%20University%20of%20Texas%20at%20Austin" TargetMode="External" Id="rId201"/><Relationship Type="http://schemas.openxmlformats.org/officeDocument/2006/relationships/hyperlink" Target="mailto:skk@mail.utexas.edu" TargetMode="External" Id="rId202"/><Relationship Type="http://schemas.openxmlformats.org/officeDocument/2006/relationships/hyperlink" Target="https://ae.utexas.edu/people/faculty" TargetMode="External" Id="rId203"/><Relationship Type="http://schemas.openxmlformats.org/officeDocument/2006/relationships/hyperlink" Target="https://me.utexas.edu/person/yaguo-wang/" TargetMode="External" Id="rId204"/><Relationship Type="http://schemas.openxmlformats.org/officeDocument/2006/relationships/hyperlink" Target="https://scholar.google.com/citations?view_op=search_authors&amp;mauthors=Yaguo%20Wang%20University%20of%20Texas%20at%20Austin" TargetMode="External" Id="rId205"/><Relationship Type="http://schemas.openxmlformats.org/officeDocument/2006/relationships/hyperlink" Target="mailto:yaguo.wang@austin.utexas.edu" TargetMode="External" Id="rId206"/><Relationship Type="http://schemas.openxmlformats.org/officeDocument/2006/relationships/hyperlink" Target="https://me.utexas.edu/people/faculty" TargetMode="External" Id="rId207"/><Relationship Type="http://schemas.openxmlformats.org/officeDocument/2006/relationships/hyperlink" Target="https://me.utexas.edu/person/arumugam-manthiram/" TargetMode="External" Id="rId208"/><Relationship Type="http://schemas.openxmlformats.org/officeDocument/2006/relationships/hyperlink" Target="https://scholar.google.com/citations?view_op=search_authors&amp;mauthors=Arumugam%20Manthiram%20University%20of%20Texas%20at%20Austin" TargetMode="External" Id="rId209"/><Relationship Type="http://schemas.openxmlformats.org/officeDocument/2006/relationships/hyperlink" Target="mailto:rmanth@mail.utexas.edu" TargetMode="External" Id="rId210"/><Relationship Type="http://schemas.openxmlformats.org/officeDocument/2006/relationships/hyperlink" Target="https://me.utexas.edu/people/faculty" TargetMode="External" Id="rId211"/><Relationship Type="http://schemas.openxmlformats.org/officeDocument/2006/relationships/hyperlink" Target="https://me.utexas.edu/person/donglei-emma-fan/" TargetMode="External" Id="rId212"/><Relationship Type="http://schemas.openxmlformats.org/officeDocument/2006/relationships/hyperlink" Target="https://scholar.google.com/citations?view_op=search_authors&amp;mauthors=Donglei%20%22Emma%22%20Fan%20University%20of%20Texas%20at%20Austin" TargetMode="External" Id="rId213"/><Relationship Type="http://schemas.openxmlformats.org/officeDocument/2006/relationships/hyperlink" Target="mailto:dfan@austin.utexas.edu" TargetMode="External" Id="rId214"/><Relationship Type="http://schemas.openxmlformats.org/officeDocument/2006/relationships/hyperlink" Target="https://me.utexas.edu/people/faculty" TargetMode="External" Id="rId215"/><Relationship Type="http://schemas.openxmlformats.org/officeDocument/2006/relationships/hyperlink" Target="https://me.utexas.edu/person/guihua-yu/" TargetMode="External" Id="rId216"/><Relationship Type="http://schemas.openxmlformats.org/officeDocument/2006/relationships/hyperlink" Target="https://scholar.google.com/citations?view_op=search_authors&amp;mauthors=Guihua%20Yu%20University%20of%20Texas%20at%20Austin" TargetMode="External" Id="rId217"/><Relationship Type="http://schemas.openxmlformats.org/officeDocument/2006/relationships/hyperlink" Target="mailto:ghyu@austin.utexas.edu" TargetMode="External" Id="rId218"/><Relationship Type="http://schemas.openxmlformats.org/officeDocument/2006/relationships/hyperlink" Target="https://me.utexas.edu/people/faculty" TargetMode="External" Id="rId219"/><Relationship Type="http://schemas.openxmlformats.org/officeDocument/2006/relationships/hyperlink" Target="https://ae.utexas.edu/person/jin-yang/" TargetMode="External" Id="rId220"/><Relationship Type="http://schemas.openxmlformats.org/officeDocument/2006/relationships/hyperlink" Target="https://scholar.google.com/citations?view_op=search_authors&amp;mauthors=Jin%20Yang%20University%20of%20Texas%20at%20Austin" TargetMode="External" Id="rId221"/><Relationship Type="http://schemas.openxmlformats.org/officeDocument/2006/relationships/hyperlink" Target="mailto:jin.yang@austin.utexas.edu" TargetMode="External" Id="rId222"/><Relationship Type="http://schemas.openxmlformats.org/officeDocument/2006/relationships/hyperlink" Target="https://ae.utexas.edu/people/faculty" TargetMode="External" Id="rId223"/><Relationship Type="http://schemas.openxmlformats.org/officeDocument/2006/relationships/hyperlink" Target="https://pge.utexas.edu/person/john-foster/" TargetMode="External" Id="rId224"/><Relationship Type="http://schemas.openxmlformats.org/officeDocument/2006/relationships/hyperlink" Target="https://scholar.google.com/citations?view_op=search_authors&amp;mauthors=John%20Foster%20University%20of%20Texas%20at%20Austin" TargetMode="External" Id="rId225"/><Relationship Type="http://schemas.openxmlformats.org/officeDocument/2006/relationships/hyperlink" Target="mailto:jfoster@austin.utexas.edu" TargetMode="External" Id="rId226"/><Relationship Type="http://schemas.openxmlformats.org/officeDocument/2006/relationships/hyperlink" Target="https://ae.utexas.edu/people/faculty" TargetMode="External" Id="rId227"/><Relationship Type="http://schemas.openxmlformats.org/officeDocument/2006/relationships/hyperlink" Target="https://ae.utexas.edu/person/k-ravi-chandar/" TargetMode="External" Id="rId228"/><Relationship Type="http://schemas.openxmlformats.org/officeDocument/2006/relationships/hyperlink" Target="https://scholar.google.com/citations?view_op=search_authors&amp;mauthors=K.%20Ravi-Chandar%20University%20of%20Texas%20at%20Austin" TargetMode="External" Id="rId229"/><Relationship Type="http://schemas.openxmlformats.org/officeDocument/2006/relationships/hyperlink" Target="mailto:ravi@utexas.edu" TargetMode="External" Id="rId230"/><Relationship Type="http://schemas.openxmlformats.org/officeDocument/2006/relationships/hyperlink" Target="https://ae.utexas.edu/people/faculty" TargetMode="External" Id="rId231"/><Relationship Type="http://schemas.openxmlformats.org/officeDocument/2006/relationships/hyperlink" Target="https://ae.utexas.edu/person/mark-e-mear/" TargetMode="External" Id="rId232"/><Relationship Type="http://schemas.openxmlformats.org/officeDocument/2006/relationships/hyperlink" Target="https://scholar.google.com/citations?view_op=search_authors&amp;mauthors=Mark%20E.%20Mear%20University%20of%20Texas%20at%20Austin" TargetMode="External" Id="rId233"/><Relationship Type="http://schemas.openxmlformats.org/officeDocument/2006/relationships/hyperlink" Target="mailto:mear@mail.utexas.edu" TargetMode="External" Id="rId234"/><Relationship Type="http://schemas.openxmlformats.org/officeDocument/2006/relationships/hyperlink" Target="https://ae.utexas.edu/people/faculty" TargetMode="External" Id="rId235"/><Relationship Type="http://schemas.openxmlformats.org/officeDocument/2006/relationships/hyperlink" Target="https://ae.utexas.edu/person/nanshu-lu/" TargetMode="External" Id="rId236"/><Relationship Type="http://schemas.openxmlformats.org/officeDocument/2006/relationships/hyperlink" Target="https://scholar.google.com/citations?view_op=search_authors&amp;mauthors=Nanshu%20Lu%20University%20of%20Texas%20at%20Austin" TargetMode="External" Id="rId237"/><Relationship Type="http://schemas.openxmlformats.org/officeDocument/2006/relationships/hyperlink" Target="mailto:nanshulu@utexas.edu" TargetMode="External" Id="rId238"/><Relationship Type="http://schemas.openxmlformats.org/officeDocument/2006/relationships/hyperlink" Target="https://ae.utexas.edu/people/faculty" TargetMode="External" Id="rId239"/><Relationship Type="http://schemas.openxmlformats.org/officeDocument/2006/relationships/hyperlink" Target="https://me.utexas.edu/person/s-v-sreenivasan/" TargetMode="External" Id="rId240"/><Relationship Type="http://schemas.openxmlformats.org/officeDocument/2006/relationships/hyperlink" Target="https://scholar.google.com/citations?view_op=search_authors&amp;mauthors=S.V.%20Sreenivasan%20University%20of%20Texas%20at%20Austin" TargetMode="External" Id="rId241"/><Relationship Type="http://schemas.openxmlformats.org/officeDocument/2006/relationships/hyperlink" Target="mailto:sv.sreeni@mail.utexas.edu" TargetMode="External" Id="rId242"/><Relationship Type="http://schemas.openxmlformats.org/officeDocument/2006/relationships/hyperlink" Target="https://me.utexas.edu/people/faculty" TargetMode="External" Id="rId243"/><Relationship Type="http://schemas.openxmlformats.org/officeDocument/2006/relationships/hyperlink" Target="https://me.utexas.edu/person/tanya-hutter/" TargetMode="External" Id="rId244"/><Relationship Type="http://schemas.openxmlformats.org/officeDocument/2006/relationships/hyperlink" Target="https://scholar.google.com/citations?view_op=search_authors&amp;mauthors=Tanya%20Hutter%20University%20of%20Texas%20at%20Austin" TargetMode="External" Id="rId245"/><Relationship Type="http://schemas.openxmlformats.org/officeDocument/2006/relationships/hyperlink" Target="mailto:tanya.hutter@utexas.edu" TargetMode="External" Id="rId246"/><Relationship Type="http://schemas.openxmlformats.org/officeDocument/2006/relationships/hyperlink" Target="https://me.utexas.edu/people/faculty" TargetMode="External" Id="rId247"/><Relationship Type="http://schemas.openxmlformats.org/officeDocument/2006/relationships/hyperlink" Target="https://me.utexas.edu/person/venkat-subramanian/" TargetMode="External" Id="rId248"/><Relationship Type="http://schemas.openxmlformats.org/officeDocument/2006/relationships/hyperlink" Target="https://scholar.google.com/citations?view_op=search_authors&amp;mauthors=Venkat%20Subramanian%20University%20of%20Texas%20at%20Austin" TargetMode="External" Id="rId249"/><Relationship Type="http://schemas.openxmlformats.org/officeDocument/2006/relationships/hyperlink" Target="mailto:venkat.subramanian@utexas.edu" TargetMode="External" Id="rId250"/><Relationship Type="http://schemas.openxmlformats.org/officeDocument/2006/relationships/hyperlink" Target="https://me.utexas.edu/people/faculty" TargetMode="External" Id="rId251"/><Relationship Type="http://schemas.openxmlformats.org/officeDocument/2006/relationships/hyperlink" Target="https://me.utexas.edu/person/chih-hao-chang/" TargetMode="External" Id="rId252"/><Relationship Type="http://schemas.openxmlformats.org/officeDocument/2006/relationships/hyperlink" Target="https://scholar.google.com/citations?view_op=search_authors&amp;mauthors=Chih-Hao%20Chang%20University%20of%20Texas%20at%20Austin" TargetMode="External" Id="rId253"/><Relationship Type="http://schemas.openxmlformats.org/officeDocument/2006/relationships/hyperlink" Target="mailto:chichang@utexas.edu" TargetMode="External" Id="rId254"/><Relationship Type="http://schemas.openxmlformats.org/officeDocument/2006/relationships/hyperlink" Target="https://me.utexas.edu/people/faculty" TargetMode="External" Id="rId255"/><Relationship Type="http://schemas.openxmlformats.org/officeDocument/2006/relationships/hyperlink" Target="https://me.utexas.edu/person/david-mitlin/" TargetMode="External" Id="rId256"/><Relationship Type="http://schemas.openxmlformats.org/officeDocument/2006/relationships/hyperlink" Target="https://scholar.google.com/citations?view_op=search_authors&amp;mauthors=David%20Mitlin%20University%20of%20Texas%20at%20Austin" TargetMode="External" Id="rId257"/><Relationship Type="http://schemas.openxmlformats.org/officeDocument/2006/relationships/hyperlink" Target="mailto:david.mitlin@austin.utexas.edu" TargetMode="External" Id="rId258"/><Relationship Type="http://schemas.openxmlformats.org/officeDocument/2006/relationships/hyperlink" Target="https://me.utexas.edu/people/faculty" TargetMode="External" Id="rId259"/><Relationship Type="http://schemas.openxmlformats.org/officeDocument/2006/relationships/hyperlink" Target="https://me.utexas.edu/person/desiderio-kovar/" TargetMode="External" Id="rId260"/><Relationship Type="http://schemas.openxmlformats.org/officeDocument/2006/relationships/hyperlink" Target="https://scholar.google.com/citations?view_op=search_authors&amp;mauthors=Desiderio%20Kovar%20University%20of%20Texas%20at%20Austin" TargetMode="External" Id="rId261"/><Relationship Type="http://schemas.openxmlformats.org/officeDocument/2006/relationships/hyperlink" Target="mailto:dekovar@austin.utexas.edu" TargetMode="External" Id="rId262"/><Relationship Type="http://schemas.openxmlformats.org/officeDocument/2006/relationships/hyperlink" Target="https://me.utexas.edu/people/faculty" TargetMode="External" Id="rId263"/><Relationship Type="http://schemas.openxmlformats.org/officeDocument/2006/relationships/hyperlink" Target="https://me.utexas.edu/person/donald-siegel/" TargetMode="External" Id="rId264"/><Relationship Type="http://schemas.openxmlformats.org/officeDocument/2006/relationships/hyperlink" Target="https://scholar.google.com/citations?view_op=search_authors&amp;mauthors=Donald%20Siegel%20University%20of%20Texas%20at%20Austin" TargetMode="External" Id="rId265"/><Relationship Type="http://schemas.openxmlformats.org/officeDocument/2006/relationships/hyperlink" Target="mailto:donald.siegel@austin.utexas.edu" TargetMode="External" Id="rId266"/><Relationship Type="http://schemas.openxmlformats.org/officeDocument/2006/relationships/hyperlink" Target="https://me.utexas.edu/people/faculty" TargetMode="External" Id="rId267"/><Relationship Type="http://schemas.openxmlformats.org/officeDocument/2006/relationships/hyperlink" Target="https://me.utexas.edu/person/filippo-mangolini/" TargetMode="External" Id="rId268"/><Relationship Type="http://schemas.openxmlformats.org/officeDocument/2006/relationships/hyperlink" Target="https://scholar.google.com/citations?view_op=search_authors&amp;mauthors=Filippo%20Mangolini%20University%20of%20Texas%20at%20Austin" TargetMode="External" Id="rId269"/><Relationship Type="http://schemas.openxmlformats.org/officeDocument/2006/relationships/hyperlink" Target="mailto:filippo.mangolini@austin.utexas.edu" TargetMode="External" Id="rId270"/><Relationship Type="http://schemas.openxmlformats.org/officeDocument/2006/relationships/hyperlink" Target="https://me.utexas.edu/people/faculty" TargetMode="External" Id="rId271"/><Relationship Type="http://schemas.openxmlformats.org/officeDocument/2006/relationships/hyperlink" Target="https://me.utexas.edu/person/hadi-khani/" TargetMode="External" Id="rId272"/><Relationship Type="http://schemas.openxmlformats.org/officeDocument/2006/relationships/hyperlink" Target="https://scholar.google.com/citations?view_op=search_authors&amp;mauthors=Hadi%20Khani%20University%20of%20Texas%20at%20Austin" TargetMode="External" Id="rId273"/><Relationship Type="http://schemas.openxmlformats.org/officeDocument/2006/relationships/hyperlink" Target="mailto:hadi.khani@austin.utexas.edu" TargetMode="External" Id="rId274"/><Relationship Type="http://schemas.openxmlformats.org/officeDocument/2006/relationships/hyperlink" Target="https://me.utexas.edu/people/faculty" TargetMode="External" Id="rId275"/><Relationship Type="http://schemas.openxmlformats.org/officeDocument/2006/relationships/hyperlink" Target="https://me.utexas.edu/person/jamie-warner/" TargetMode="External" Id="rId276"/><Relationship Type="http://schemas.openxmlformats.org/officeDocument/2006/relationships/hyperlink" Target="https://scholar.google.com/citations?view_op=search_authors&amp;mauthors=Jamie%20Warner%20University%20of%20Texas%20at%20Austin" TargetMode="External" Id="rId277"/><Relationship Type="http://schemas.openxmlformats.org/officeDocument/2006/relationships/hyperlink" Target="mailto:jamie.warner@austin.utexas.edu" TargetMode="External" Id="rId278"/><Relationship Type="http://schemas.openxmlformats.org/officeDocument/2006/relationships/hyperlink" Target="https://me.utexas.edu/people/faculty" TargetMode="External" Id="rId279"/><Relationship Type="http://schemas.openxmlformats.org/officeDocument/2006/relationships/hyperlink" Target="https://ae.utexas.edu/person/jong-eun-jaden-suh/" TargetMode="External" Id="rId280"/><Relationship Type="http://schemas.openxmlformats.org/officeDocument/2006/relationships/hyperlink" Target="https://scholar.google.com/citations?view_op=search_authors&amp;mauthors=Jong-Eun%20%22Jaden%22%20Suh%20University%20of%20Texas%20at%20Austin" TargetMode="External" Id="rId281"/><Relationship Type="http://schemas.openxmlformats.org/officeDocument/2006/relationships/hyperlink" Target="mailto:jsuh@utexas.edu" TargetMode="External" Id="rId282"/><Relationship Type="http://schemas.openxmlformats.org/officeDocument/2006/relationships/hyperlink" Target="https://ae.utexas.edu/people/faculty" TargetMode="External" Id="rId283"/><Relationship Type="http://schemas.openxmlformats.org/officeDocument/2006/relationships/hyperlink" Target="https://me.utexas.edu/person/joseph-koo/" TargetMode="External" Id="rId284"/><Relationship Type="http://schemas.openxmlformats.org/officeDocument/2006/relationships/hyperlink" Target="https://scholar.google.com/citations?view_op=search_authors&amp;mauthors=Joseph%20Koo%20University%20of%20Texas%20at%20Austin" TargetMode="External" Id="rId285"/><Relationship Type="http://schemas.openxmlformats.org/officeDocument/2006/relationships/hyperlink" Target="mailto:jkoo@austin.utexas.edu" TargetMode="External" Id="rId286"/><Relationship Type="http://schemas.openxmlformats.org/officeDocument/2006/relationships/hyperlink" Target="https://me.utexas.edu/people/faculty" TargetMode="External" Id="rId287"/><Relationship Type="http://schemas.openxmlformats.org/officeDocument/2006/relationships/hyperlink" Target="https://physics.utexas.edu/directory/mark-raizen" TargetMode="External" Id="rId288"/><Relationship Type="http://schemas.openxmlformats.org/officeDocument/2006/relationships/hyperlink" Target="https://scholar.google.com/citations?view_op=search_authors&amp;mauthors=Mark%20Raizen%20University%20of%20Texas%20at%20Austin" TargetMode="External" Id="rId289"/><Relationship Type="http://schemas.openxmlformats.org/officeDocument/2006/relationships/hyperlink" Target="mailto:raizen@physics.utexas.edu" TargetMode="External" Id="rId290"/><Relationship Type="http://schemas.openxmlformats.org/officeDocument/2006/relationships/hyperlink" Target="https://me.utexas.edu/people/faculty" TargetMode="External" Id="rId291"/><Relationship Type="http://schemas.openxmlformats.org/officeDocument/2006/relationships/hyperlink" Target="https://me.utexas.edu/person/wei-li/" TargetMode="External" Id="rId292"/><Relationship Type="http://schemas.openxmlformats.org/officeDocument/2006/relationships/hyperlink" Target="https://scholar.google.com/citations?view_op=search_authors&amp;mauthors=Wei%20Li%20University%20of%20Texas%20at%20Austin" TargetMode="External" Id="rId293"/><Relationship Type="http://schemas.openxmlformats.org/officeDocument/2006/relationships/hyperlink" Target="mailto:weiwli@austin.utexas.edu" TargetMode="External" Id="rId294"/><Relationship Type="http://schemas.openxmlformats.org/officeDocument/2006/relationships/hyperlink" Target="https://me.utexas.edu/people/faculty" TargetMode="External" Id="rId295"/><Relationship Type="http://schemas.openxmlformats.org/officeDocument/2006/relationships/hyperlink" Target="https://me.utexas.edu/person/yuanyue-liu/" TargetMode="External" Id="rId296"/><Relationship Type="http://schemas.openxmlformats.org/officeDocument/2006/relationships/hyperlink" Target="https://scholar.google.com/citations?view_op=search_authors&amp;mauthors=Yuanyue%20Liu%20University%20of%20Texas%20at%20Austin" TargetMode="External" Id="rId297"/><Relationship Type="http://schemas.openxmlformats.org/officeDocument/2006/relationships/hyperlink" Target="mailto:yuanyue.liu@austin.utexas.edu" TargetMode="External" Id="rId298"/><Relationship Type="http://schemas.openxmlformats.org/officeDocument/2006/relationships/hyperlink" Target="https://me.utexas.edu/people/faculty" TargetMode="External" Id="rId299"/><Relationship Type="http://schemas.openxmlformats.org/officeDocument/2006/relationships/hyperlink" Target="https://me.utexas.edu/person/zhantao-chen/" TargetMode="External" Id="rId300"/><Relationship Type="http://schemas.openxmlformats.org/officeDocument/2006/relationships/hyperlink" Target="https://scholar.google.com/citations?view_op=search_authors&amp;mauthors=Zhantao%20Chen%20University%20of%20Texas%20at%20Austin" TargetMode="External" Id="rId301"/><Relationship Type="http://schemas.openxmlformats.org/officeDocument/2006/relationships/hyperlink" Target="mailto:zhantao@austin.utexas.edu" TargetMode="External" Id="rId302"/><Relationship Type="http://schemas.openxmlformats.org/officeDocument/2006/relationships/hyperlink" Target="https://me.utexas.edu/people/faculty" TargetMode="External" Id="rId303"/><Relationship Type="http://schemas.openxmlformats.org/officeDocument/2006/relationships/hyperlink" Target="https://ae.utexas.edu/person/ryan-russell/" TargetMode="External" Id="rId304"/><Relationship Type="http://schemas.openxmlformats.org/officeDocument/2006/relationships/hyperlink" Target="https://scholar.google.com/citations?view_op=search_authors&amp;mauthors=Ryan%20Russell%20University%20of%20Texas%20at%20Austin" TargetMode="External" Id="rId305"/><Relationship Type="http://schemas.openxmlformats.org/officeDocument/2006/relationships/hyperlink" Target="mailto:ryan.russell@austin.utexas.edu" TargetMode="External" Id="rId306"/><Relationship Type="http://schemas.openxmlformats.org/officeDocument/2006/relationships/hyperlink" Target="https://ae.utexas.edu/people/faculty" TargetMode="External" Id="rId307"/><Relationship Type="http://schemas.openxmlformats.org/officeDocument/2006/relationships/hyperlink" Target="https://ae.utexas.edu/person/efstathios-bakolas/" TargetMode="External" Id="rId308"/><Relationship Type="http://schemas.openxmlformats.org/officeDocument/2006/relationships/hyperlink" Target="https://scholar.google.com/citations?view_op=search_authors&amp;mauthors=Efstathios%20Bakolas%20University%20of%20Texas%20at%20Austin" TargetMode="External" Id="rId309"/><Relationship Type="http://schemas.openxmlformats.org/officeDocument/2006/relationships/hyperlink" Target="mailto:bakolas@austin.utexas.edu" TargetMode="External" Id="rId310"/><Relationship Type="http://schemas.openxmlformats.org/officeDocument/2006/relationships/hyperlink" Target="https://ae.utexas.edu/people/faculty" TargetMode="External" Id="rId311"/><Relationship Type="http://schemas.openxmlformats.org/officeDocument/2006/relationships/hyperlink" Target="https://ae.utexas.edu/person/ethan-burnett/" TargetMode="External" Id="rId312"/><Relationship Type="http://schemas.openxmlformats.org/officeDocument/2006/relationships/hyperlink" Target="https://scholar.google.com/citations?view_op=search_authors&amp;mauthors=Ethan%20Burnett%20University%20of%20Texas%20at%20Austin" TargetMode="External" Id="rId313"/><Relationship Type="http://schemas.openxmlformats.org/officeDocument/2006/relationships/hyperlink" Target="mailto:ethan.burnett@utexas.edu" TargetMode="External" Id="rId314"/><Relationship Type="http://schemas.openxmlformats.org/officeDocument/2006/relationships/hyperlink" Target="https://ae.utexas.edu/people/faculty" TargetMode="External" Id="rId315"/><Relationship Type="http://schemas.openxmlformats.org/officeDocument/2006/relationships/hyperlink" Target="https://ae.utexas.edu/person/renato-zanetti/" TargetMode="External" Id="rId316"/><Relationship Type="http://schemas.openxmlformats.org/officeDocument/2006/relationships/hyperlink" Target="https://scholar.google.com/citations?view_op=search_authors&amp;mauthors=Renato%20Zanetti%20University%20of%20Texas%20at%20Austin" TargetMode="External" Id="rId317"/><Relationship Type="http://schemas.openxmlformats.org/officeDocument/2006/relationships/hyperlink" Target="mailto:renato@utexas.edu" TargetMode="External" Id="rId318"/><Relationship Type="http://schemas.openxmlformats.org/officeDocument/2006/relationships/hyperlink" Target="https://ae.utexas.edu/people/faculty" TargetMode="External" Id="rId319"/><Relationship Type="http://schemas.openxmlformats.org/officeDocument/2006/relationships/hyperlink" Target="https://ae.utexas.edu/person/srinivas-v-bettadpur/" TargetMode="External" Id="rId320"/><Relationship Type="http://schemas.openxmlformats.org/officeDocument/2006/relationships/hyperlink" Target="https://scholar.google.com/citations?view_op=search_authors&amp;mauthors=Srinivas%20Bettadpur%20University%20of%20Texas%20at%20Austin" TargetMode="External" Id="rId321"/><Relationship Type="http://schemas.openxmlformats.org/officeDocument/2006/relationships/hyperlink" Target="mailto:srinivas@csr.utexas.edu" TargetMode="External" Id="rId322"/><Relationship Type="http://schemas.openxmlformats.org/officeDocument/2006/relationships/hyperlink" Target="https://ae.utexas.edu/people/faculty" TargetMode="External" Id="rId323"/><Relationship Type="http://schemas.openxmlformats.org/officeDocument/2006/relationships/hyperlink" Target="https://ae.utexas.edu/person/brandon-jones/" TargetMode="External" Id="rId324"/><Relationship Type="http://schemas.openxmlformats.org/officeDocument/2006/relationships/hyperlink" Target="https://scholar.google.com/citations?view_op=search_authors&amp;mauthors=Brandon%20Jones%20University%20of%20Texas%20at%20Austin" TargetMode="External" Id="rId325"/><Relationship Type="http://schemas.openxmlformats.org/officeDocument/2006/relationships/hyperlink" Target="mailto:brandon.jones@utexas.edu" TargetMode="External" Id="rId326"/><Relationship Type="http://schemas.openxmlformats.org/officeDocument/2006/relationships/hyperlink" Target="https://ae.utexas.edu/people/faculty" TargetMode="External" Id="rId327"/><Relationship Type="http://schemas.openxmlformats.org/officeDocument/2006/relationships/hyperlink" Target="https://ae.utexas.edu/person/david-fridovich-keil/" TargetMode="External" Id="rId328"/><Relationship Type="http://schemas.openxmlformats.org/officeDocument/2006/relationships/hyperlink" Target="https://scholar.google.com/citations?view_op=search_authors&amp;mauthors=David%20Fridovich-Keil%20University%20of%20Texas%20at%20Austin" TargetMode="External" Id="rId329"/><Relationship Type="http://schemas.openxmlformats.org/officeDocument/2006/relationships/hyperlink" Target="mailto:dfk@utexas.edu" TargetMode="External" Id="rId330"/><Relationship Type="http://schemas.openxmlformats.org/officeDocument/2006/relationships/hyperlink" Target="https://ae.utexas.edu/people/faculty" TargetMode="External" Id="rId331"/><Relationship Type="http://schemas.openxmlformats.org/officeDocument/2006/relationships/hyperlink" Target="https://ae.utexas.edu/person/luis-sentis/" TargetMode="External" Id="rId332"/><Relationship Type="http://schemas.openxmlformats.org/officeDocument/2006/relationships/hyperlink" Target="https://scholar.google.com/citations?view_op=search_authors&amp;mauthors=Luis%20Sentis%20University%20of%20Texas%20at%20Austin" TargetMode="External" Id="rId333"/><Relationship Type="http://schemas.openxmlformats.org/officeDocument/2006/relationships/hyperlink" Target="mailto:lsentis@austin.utexas.edu" TargetMode="External" Id="rId334"/><Relationship Type="http://schemas.openxmlformats.org/officeDocument/2006/relationships/hyperlink" Target="https://ae.utexas.edu/people/faculty" TargetMode="External" Id="rId335"/><Relationship Type="http://schemas.openxmlformats.org/officeDocument/2006/relationships/hyperlink" Target="https://ae.utexas.edu/person/moriba-k-jah/" TargetMode="External" Id="rId336"/><Relationship Type="http://schemas.openxmlformats.org/officeDocument/2006/relationships/hyperlink" Target="https://scholar.google.com/citations?view_op=search_authors&amp;mauthors=Moriba%20K.%20Jah%20University%20of%20Texas%20at%20Austin" TargetMode="External" Id="rId337"/><Relationship Type="http://schemas.openxmlformats.org/officeDocument/2006/relationships/hyperlink" Target="mailto:moriba@utexas.edu" TargetMode="External" Id="rId338"/><Relationship Type="http://schemas.openxmlformats.org/officeDocument/2006/relationships/hyperlink" Target="https://ae.utexas.edu/people/faculty" TargetMode="External" Id="rId339"/><Relationship Type="http://schemas.openxmlformats.org/officeDocument/2006/relationships/hyperlink" Target="https://ae.utexas.edu/person/todd-e-humphreys/" TargetMode="External" Id="rId340"/><Relationship Type="http://schemas.openxmlformats.org/officeDocument/2006/relationships/hyperlink" Target="https://scholar.google.com/citations?view_op=search_authors&amp;mauthors=Todd%20E.%20Humphreys%20University%20of%20Texas%20at%20Austin" TargetMode="External" Id="rId341"/><Relationship Type="http://schemas.openxmlformats.org/officeDocument/2006/relationships/hyperlink" Target="mailto:todd.humphreys@utexas.edu" TargetMode="External" Id="rId342"/><Relationship Type="http://schemas.openxmlformats.org/officeDocument/2006/relationships/hyperlink" Target="https://ae.utexas.edu/people/faculty" TargetMode="External" Id="rId343"/><Relationship Type="http://schemas.openxmlformats.org/officeDocument/2006/relationships/hyperlink" Target="https://ae.utexas.edu/person/hannah-lu/" TargetMode="External" Id="rId344"/><Relationship Type="http://schemas.openxmlformats.org/officeDocument/2006/relationships/hyperlink" Target="https://scholar.google.com/citations?view_op=search_authors&amp;mauthors=Hannah%20Lu%20University%20of%20Texas%20at%20Austin" TargetMode="External" Id="rId345"/><Relationship Type="http://schemas.openxmlformats.org/officeDocument/2006/relationships/hyperlink" Target="mailto:hannah.lu@austin.utexas.edu" TargetMode="External" Id="rId346"/><Relationship Type="http://schemas.openxmlformats.org/officeDocument/2006/relationships/hyperlink" Target="https://ae.utexas.edu/people/faculty" TargetMode="External" Id="rId347"/><Relationship Type="http://schemas.openxmlformats.org/officeDocument/2006/relationships/hyperlink" Target="https://me.utexas.edu/person/junmin-wang/" TargetMode="External" Id="rId348"/><Relationship Type="http://schemas.openxmlformats.org/officeDocument/2006/relationships/hyperlink" Target="https://scholar.google.com/citations?view_op=search_authors&amp;mauthors=Junmin%20Wang%20University%20of%20Texas%20at%20Austin" TargetMode="External" Id="rId349"/><Relationship Type="http://schemas.openxmlformats.org/officeDocument/2006/relationships/hyperlink" Target="mailto:jwang@austin.utexas.edu" TargetMode="External" Id="rId350"/><Relationship Type="http://schemas.openxmlformats.org/officeDocument/2006/relationships/hyperlink" Target="https://me.utexas.edu/people/faculty" TargetMode="External" Id="rId351"/><Relationship Type="http://schemas.openxmlformats.org/officeDocument/2006/relationships/hyperlink" Target="https://ae.utexas.edu/person/lori-magruder/" TargetMode="External" Id="rId352"/><Relationship Type="http://schemas.openxmlformats.org/officeDocument/2006/relationships/hyperlink" Target="https://scholar.google.com/citations?view_op=search_authors&amp;mauthors=Lori%20Magruder%20University%20of%20Texas%20at%20Austin" TargetMode="External" Id="rId353"/><Relationship Type="http://schemas.openxmlformats.org/officeDocument/2006/relationships/hyperlink" Target="mailto:lori.magruder@austin.utexas.edu" TargetMode="External" Id="rId354"/><Relationship Type="http://schemas.openxmlformats.org/officeDocument/2006/relationships/hyperlink" Target="https://ae.utexas.edu/people/faculty" TargetMode="External" Id="rId355"/><Relationship Type="http://schemas.openxmlformats.org/officeDocument/2006/relationships/hyperlink" Target="https://me.utexas.edu/person/scott-fish/" TargetMode="External" Id="rId356"/><Relationship Type="http://schemas.openxmlformats.org/officeDocument/2006/relationships/hyperlink" Target="https://scholar.google.com/citations?view_op=search_authors&amp;mauthors=Scott%20Fish%20University%20of%20Texas%20at%20Austin" TargetMode="External" Id="rId357"/><Relationship Type="http://schemas.openxmlformats.org/officeDocument/2006/relationships/hyperlink" Target="mailto:scott.fish@utexas.edu" TargetMode="External" Id="rId358"/><Relationship Type="http://schemas.openxmlformats.org/officeDocument/2006/relationships/hyperlink" Target="https://me.utexas.edu/people/faculty" TargetMode="External" Id="rId359"/><Relationship Type="http://schemas.openxmlformats.org/officeDocument/2006/relationships/hyperlink" Target="https://me.utexas.edu/person/sheldon-landsberger/" TargetMode="External" Id="rId360"/><Relationship Type="http://schemas.openxmlformats.org/officeDocument/2006/relationships/hyperlink" Target="https://scholar.google.com/citations?view_op=search_authors&amp;mauthors=Sheldon%20Landsberger%20University%20of%20Texas%20at%20Austin" TargetMode="External" Id="rId361"/><Relationship Type="http://schemas.openxmlformats.org/officeDocument/2006/relationships/hyperlink" Target="mailto:s.landsberger@mail.utexas.edu" TargetMode="External" Id="rId362"/><Relationship Type="http://schemas.openxmlformats.org/officeDocument/2006/relationships/hyperlink" Target="https://me.utexas.edu/people/faculty" TargetMode="External" Id="rId363"/><Relationship Type="http://schemas.openxmlformats.org/officeDocument/2006/relationships/hyperlink" Target="https://me.utexas.edu/person/ann-majewicz-fey/" TargetMode="External" Id="rId364"/><Relationship Type="http://schemas.openxmlformats.org/officeDocument/2006/relationships/hyperlink" Target="https://scholar.google.com/citations?view_op=search_authors&amp;mauthors=Ann%20Majewicz%20Fey%20University%20of%20Texas%20at%20Austin" TargetMode="External" Id="rId365"/><Relationship Type="http://schemas.openxmlformats.org/officeDocument/2006/relationships/hyperlink" Target="mailto:ann.majewiczfey@utexas.edu" TargetMode="External" Id="rId366"/><Relationship Type="http://schemas.openxmlformats.org/officeDocument/2006/relationships/hyperlink" Target="https://me.utexas.edu/people/faculty" TargetMode="External" Id="rId367"/><Relationship Type="http://schemas.openxmlformats.org/officeDocument/2006/relationships/hyperlink" Target="https://me.utexas.edu/person/dongmei-maggie-chen/" TargetMode="External" Id="rId368"/><Relationship Type="http://schemas.openxmlformats.org/officeDocument/2006/relationships/hyperlink" Target="https://scholar.google.com/citations?view_op=search_authors&amp;mauthors=Dongmei%20%22Maggie%22%20Chen%20University%20of%20Texas%20at%20Austin" TargetMode="External" Id="rId369"/><Relationship Type="http://schemas.openxmlformats.org/officeDocument/2006/relationships/hyperlink" Target="mailto:dmchen@me.utexas.edu" TargetMode="External" Id="rId370"/><Relationship Type="http://schemas.openxmlformats.org/officeDocument/2006/relationships/hyperlink" Target="https://me.utexas.edu/people/faculty" TargetMode="External" Id="rId371"/><Relationship Type="http://schemas.openxmlformats.org/officeDocument/2006/relationships/hyperlink" Target="https://ae.utexas.edu/person/jingyi-ann-chen/" TargetMode="External" Id="rId372"/><Relationship Type="http://schemas.openxmlformats.org/officeDocument/2006/relationships/hyperlink" Target="https://scholar.google.com/citations?view_op=search_authors&amp;mauthors=Jingyi%20%E2%80%9CAnn%E2%80%9D%20Chen%20University%20of%20Texas%20at%20Austin" TargetMode="External" Id="rId373"/><Relationship Type="http://schemas.openxmlformats.org/officeDocument/2006/relationships/hyperlink" Target="mailto:jingyi.ann.chen@utexas.edu" TargetMode="External" Id="rId374"/><Relationship Type="http://schemas.openxmlformats.org/officeDocument/2006/relationships/hyperlink" Target="https://ae.utexas.edu/people/faculty" TargetMode="External" Id="rId375"/><Relationship Type="http://schemas.openxmlformats.org/officeDocument/2006/relationships/hyperlink" Target="https://ae.utexas.edu/person/john-paul-clarke/" TargetMode="External" Id="rId376"/><Relationship Type="http://schemas.openxmlformats.org/officeDocument/2006/relationships/hyperlink" Target="https://scholar.google.com/citations?view_op=search_authors&amp;mauthors=John-Paul%20Clarke%20University%20of%20Texas%20at%20Austin" TargetMode="External" Id="rId377"/><Relationship Type="http://schemas.openxmlformats.org/officeDocument/2006/relationships/hyperlink" Target="mailto:johnpaul@utexas.edu" TargetMode="External" Id="rId378"/><Relationship Type="http://schemas.openxmlformats.org/officeDocument/2006/relationships/hyperlink" Target="https://ae.utexas.edu/people/faculty" TargetMode="External" Id="rId379"/><Relationship Type="http://schemas.openxmlformats.org/officeDocument/2006/relationships/hyperlink" Target="https://ae.utexas.edu/person/kevin-sagis/" TargetMode="External" Id="rId380"/><Relationship Type="http://schemas.openxmlformats.org/officeDocument/2006/relationships/hyperlink" Target="https://scholar.google.com/citations?view_op=search_authors&amp;mauthors=Kevin%20Sagis%20University%20of%20Texas%20at%20Austin" TargetMode="External" Id="rId381"/><Relationship Type="http://schemas.openxmlformats.org/officeDocument/2006/relationships/hyperlink" Target="mailto:kevin.sagis@austin.utexas.edu" TargetMode="External" Id="rId382"/><Relationship Type="http://schemas.openxmlformats.org/officeDocument/2006/relationships/hyperlink" Target="https://ae.utexas.edu/people/faculty" TargetMode="External" Id="rId383"/><Relationship Type="http://schemas.openxmlformats.org/officeDocument/2006/relationships/hyperlink" Target="https://ae.utexas.edu/person/luke-peterson/" TargetMode="External" Id="rId384"/><Relationship Type="http://schemas.openxmlformats.org/officeDocument/2006/relationships/hyperlink" Target="https://scholar.google.com/citations?view_op=search_authors&amp;mauthors=Luke%20Peterson%20University%20of%20Texas%20at%20Austin" TargetMode="External" Id="rId385"/><Relationship Type="http://schemas.openxmlformats.org/officeDocument/2006/relationships/hyperlink" Target="mailto:ltp@utexas.edu " TargetMode="External" Id="rId386"/><Relationship Type="http://schemas.openxmlformats.org/officeDocument/2006/relationships/hyperlink" Target="https://ae.utexas.edu/people/faculty" TargetMode="External" Id="rId387"/><Relationship Type="http://schemas.openxmlformats.org/officeDocument/2006/relationships/hyperlink" Target="https://ae.utexas.edu/person/manuel-rausch/" TargetMode="External" Id="rId388"/><Relationship Type="http://schemas.openxmlformats.org/officeDocument/2006/relationships/hyperlink" Target="https://scholar.google.com/citations?view_op=search_authors&amp;mauthors=Manuel%20Rausch%20University%20of%20Texas%20at%20Austin" TargetMode="External" Id="rId389"/><Relationship Type="http://schemas.openxmlformats.org/officeDocument/2006/relationships/hyperlink" Target="mailto:manuel.rausch@utexas.edu" TargetMode="External" Id="rId390"/><Relationship Type="http://schemas.openxmlformats.org/officeDocument/2006/relationships/hyperlink" Target="https://ae.utexas.edu/people/faculty" TargetMode="External" Id="rId391"/><Relationship Type="http://schemas.openxmlformats.org/officeDocument/2006/relationships/hyperlink" Target="https://ae.utexas.edu/person/maruthi-r-akella/" TargetMode="External" Id="rId392"/><Relationship Type="http://schemas.openxmlformats.org/officeDocument/2006/relationships/hyperlink" Target="https://scholar.google.com/citations?view_op=search_authors&amp;mauthors=Maruthi%20R.%20Akella%20University%20of%20Texas%20at%20Austin" TargetMode="External" Id="rId393"/><Relationship Type="http://schemas.openxmlformats.org/officeDocument/2006/relationships/hyperlink" Target="mailto:makella@mail.utexas.edu" TargetMode="External" Id="rId394"/><Relationship Type="http://schemas.openxmlformats.org/officeDocument/2006/relationships/hyperlink" Target="https://ae.utexas.edu/people/faculty" TargetMode="External" Id="rId395"/><Relationship Type="http://schemas.openxmlformats.org/officeDocument/2006/relationships/hyperlink" Target="https://me.utexas.edu/person/mitchell-pryor/" TargetMode="External" Id="rId396"/><Relationship Type="http://schemas.openxmlformats.org/officeDocument/2006/relationships/hyperlink" Target="https://scholar.google.com/citations?view_op=search_authors&amp;mauthors=Mitchell%20Pryor%20University%20of%20Texas%20at%20Austin" TargetMode="External" Id="rId397"/><Relationship Type="http://schemas.openxmlformats.org/officeDocument/2006/relationships/hyperlink" Target="mailto:mpryor@utexas.edu" TargetMode="External" Id="rId398"/><Relationship Type="http://schemas.openxmlformats.org/officeDocument/2006/relationships/hyperlink" Target="https://me.utexas.edu/people/faculty" TargetMode="External" Id="rId399"/><Relationship Type="http://schemas.openxmlformats.org/officeDocument/2006/relationships/hyperlink" Target="https://me.utexas.edu/person/nick-fey/" TargetMode="External" Id="rId400"/><Relationship Type="http://schemas.openxmlformats.org/officeDocument/2006/relationships/hyperlink" Target="https://scholar.google.com/citations?view_op=search_authors&amp;mauthors=Nick%20Fey%20University%20of%20Texas%20at%20Austin" TargetMode="External" Id="rId401"/><Relationship Type="http://schemas.openxmlformats.org/officeDocument/2006/relationships/hyperlink" Target="mailto:nfey@utexas.edu" TargetMode="External" Id="rId402"/><Relationship Type="http://schemas.openxmlformats.org/officeDocument/2006/relationships/hyperlink" Target="https://me.utexas.edu/people/faculty" TargetMode="External" Id="rId403"/><Relationship Type="http://schemas.openxmlformats.org/officeDocument/2006/relationships/hyperlink" Target="https://ae.utexas.edu/person/puneet-singh/" TargetMode="External" Id="rId404"/><Relationship Type="http://schemas.openxmlformats.org/officeDocument/2006/relationships/hyperlink" Target="https://scholar.google.com/citations?view_op=search_authors&amp;mauthors=Puneet%20Singh%20University%20of%20Texas%20at%20Austin" TargetMode="External" Id="rId405"/><Relationship Type="http://schemas.openxmlformats.org/officeDocument/2006/relationships/hyperlink" Target="mailto:punsingh@utexas.edu" TargetMode="External" Id="rId406"/><Relationship Type="http://schemas.openxmlformats.org/officeDocument/2006/relationships/hyperlink" Target="https://ae.utexas.edu/people/faculty" TargetMode="External" Id="rId407"/><Relationship Type="http://schemas.openxmlformats.org/officeDocument/2006/relationships/hyperlink" Target="https://ae.utexas.edu/person/tan-bui-thanh/" TargetMode="External" Id="rId408"/><Relationship Type="http://schemas.openxmlformats.org/officeDocument/2006/relationships/hyperlink" Target="https://scholar.google.com/citations?view_op=search_authors&amp;mauthors=Tan%20Bui-Thanh%20University%20of%20Texas%20at%20Austin" TargetMode="External" Id="rId409"/><Relationship Type="http://schemas.openxmlformats.org/officeDocument/2006/relationships/hyperlink" Target="mailto:tanbui@oden.utexas.edu" TargetMode="External" Id="rId410"/><Relationship Type="http://schemas.openxmlformats.org/officeDocument/2006/relationships/hyperlink" Target="https://ae.utexas.edu/people/faculty" TargetMode="External" Id="rId411"/><Relationship Type="http://schemas.openxmlformats.org/officeDocument/2006/relationships/hyperlink" Target="https://ae.utexas.edu/person/thinh-doan/" TargetMode="External" Id="rId412"/><Relationship Type="http://schemas.openxmlformats.org/officeDocument/2006/relationships/hyperlink" Target="https://scholar.google.com/citations?view_op=search_authors&amp;mauthors=Thinh%20Doan%20University%20of%20Texas%20at%20Austin" TargetMode="External" Id="rId413"/><Relationship Type="http://schemas.openxmlformats.org/officeDocument/2006/relationships/hyperlink" Target="mailto:thinhdoan@utexas.edu" TargetMode="External" Id="rId414"/><Relationship Type="http://schemas.openxmlformats.org/officeDocument/2006/relationships/hyperlink" Target="https://ae.utexas.edu/people/faculty" TargetMode="External" Id="rId415"/><Relationship Type="http://schemas.openxmlformats.org/officeDocument/2006/relationships/hyperlink" Target="https://ae.utexas.edu/person/ufuk-topcu/" TargetMode="External" Id="rId416"/><Relationship Type="http://schemas.openxmlformats.org/officeDocument/2006/relationships/hyperlink" Target="https://scholar.google.com/citations?view_op=search_authors&amp;mauthors=Ufuk%20Topcu%20University%20of%20Texas%20at%20Austin" TargetMode="External" Id="rId417"/><Relationship Type="http://schemas.openxmlformats.org/officeDocument/2006/relationships/hyperlink" Target="mailto:utopcu@utexas.edu" TargetMode="External" Id="rId418"/><Relationship Type="http://schemas.openxmlformats.org/officeDocument/2006/relationships/hyperlink" Target="https://ae.utexas.edu/people/faculty" TargetMode="External" Id="rId419"/><Relationship Type="http://schemas.openxmlformats.org/officeDocument/2006/relationships/hyperlink" Target="https://me.utexas.edu/person/ashish-deshpande/" TargetMode="External" Id="rId420"/><Relationship Type="http://schemas.openxmlformats.org/officeDocument/2006/relationships/hyperlink" Target="https://scholar.google.com/citations?view_op=search_authors&amp;mauthors=Ashish%20%20Deshpande%20University%20of%20Texas%20at%20Austin" TargetMode="External" Id="rId421"/><Relationship Type="http://schemas.openxmlformats.org/officeDocument/2006/relationships/hyperlink" Target="mailto:ashish@austin.utexas.edu" TargetMode="External" Id="rId422"/><Relationship Type="http://schemas.openxmlformats.org/officeDocument/2006/relationships/hyperlink" Target="https://me.utexas.edu/people/faculty" TargetMode="External" Id="rId423"/><Relationship Type="http://schemas.openxmlformats.org/officeDocument/2006/relationships/hyperlink" Target="https://me.utexas.edu/person/fangzhou-xia/" TargetMode="External" Id="rId424"/><Relationship Type="http://schemas.openxmlformats.org/officeDocument/2006/relationships/hyperlink" Target="https://scholar.google.com/citations?view_op=search_authors&amp;mauthors=Fangzhou%20Xia%20University%20of%20Texas%20at%20Austin" TargetMode="External" Id="rId425"/><Relationship Type="http://schemas.openxmlformats.org/officeDocument/2006/relationships/hyperlink" Target="mailto:fangzhou.xia@austin.utexas.edu" TargetMode="External" Id="rId426"/><Relationship Type="http://schemas.openxmlformats.org/officeDocument/2006/relationships/hyperlink" Target="https://me.utexas.edu/people/faculty" TargetMode="External" Id="rId427"/><Relationship Type="http://schemas.openxmlformats.org/officeDocument/2006/relationships/hyperlink" Target="https://ae.utexas.edu/person/jeffrey-k-bennighof/" TargetMode="External" Id="rId428"/><Relationship Type="http://schemas.openxmlformats.org/officeDocument/2006/relationships/hyperlink" Target="https://scholar.google.com/citations?view_op=search_authors&amp;mauthors=Jeffrey%20K.%20Bennighof%20University%20of%20Texas%20at%20Austin" TargetMode="External" Id="rId429"/><Relationship Type="http://schemas.openxmlformats.org/officeDocument/2006/relationships/hyperlink" Target="mailto:bennighof@mail.utexas.edu" TargetMode="External" Id="rId430"/><Relationship Type="http://schemas.openxmlformats.org/officeDocument/2006/relationships/hyperlink" Target="https://ae.utexas.edu/people/faculty" TargetMode="External" Id="rId431"/><Relationship Type="http://schemas.openxmlformats.org/officeDocument/2006/relationships/hyperlink" Target="https://me.utexas.edu/person/matthew-hall/" TargetMode="External" Id="rId432"/><Relationship Type="http://schemas.openxmlformats.org/officeDocument/2006/relationships/hyperlink" Target="https://scholar.google.com/citations?view_op=search_authors&amp;mauthors=Matthew%20Hall%20University%20of%20Texas%20at%20Austin" TargetMode="External" Id="rId433"/><Relationship Type="http://schemas.openxmlformats.org/officeDocument/2006/relationships/hyperlink" Target="mailto:mjhall@mail.utexas.edu" TargetMode="External" Id="rId434"/><Relationship Type="http://schemas.openxmlformats.org/officeDocument/2006/relationships/hyperlink" Target="https://me.utexas.edu/people/faculty" TargetMode="External" Id="rId435"/><Relationship Type="http://schemas.openxmlformats.org/officeDocument/2006/relationships/hyperlink" Target="https://me.utexas.edu/person/narayana-aluru/" TargetMode="External" Id="rId436"/><Relationship Type="http://schemas.openxmlformats.org/officeDocument/2006/relationships/hyperlink" Target="https://scholar.google.com/citations?view_op=search_authors&amp;mauthors=Narayana%20Aluru%20University%20of%20Texas%20at%20Austin" TargetMode="External" Id="rId437"/><Relationship Type="http://schemas.openxmlformats.org/officeDocument/2006/relationships/hyperlink" Target="mailto:aluru@utexas.edu" TargetMode="External" Id="rId438"/><Relationship Type="http://schemas.openxmlformats.org/officeDocument/2006/relationships/hyperlink" Target="https://me.utexas.edu/people/faculty" TargetMode="External" Id="rId439"/><Relationship Type="http://schemas.openxmlformats.org/officeDocument/2006/relationships/hyperlink" Target="https://ae.utexas.edu/person/nicholas-h-nelsen/" TargetMode="External" Id="rId440"/><Relationship Type="http://schemas.openxmlformats.org/officeDocument/2006/relationships/hyperlink" Target="https://scholar.google.com/citations?view_op=search_authors&amp;mauthors=Nicholas%20H.%20Nelsen%20University%20of%20Texas%20at%20Austin" TargetMode="External" Id="rId441"/><Relationship Type="http://schemas.openxmlformats.org/officeDocument/2006/relationships/hyperlink" Target="mailto:nnelsen@oden.utexas.edu" TargetMode="External" Id="rId442"/><Relationship Type="http://schemas.openxmlformats.org/officeDocument/2006/relationships/hyperlink" Target="https://ae.utexas.edu/people/faculty" TargetMode="External" Id="rId443"/><Relationship Type="http://schemas.openxmlformats.org/officeDocument/2006/relationships/hyperlink" Target="https://me.utexas.edu/person/raul-longoria/" TargetMode="External" Id="rId444"/><Relationship Type="http://schemas.openxmlformats.org/officeDocument/2006/relationships/hyperlink" Target="https://scholar.google.com/citations?view_op=search_authors&amp;mauthors=Raul%20Longoria%20University%20of%20Texas%20at%20Austin" TargetMode="External" Id="rId445"/><Relationship Type="http://schemas.openxmlformats.org/officeDocument/2006/relationships/hyperlink" Target="mailto:r.longoria@mail.utexas.edu" TargetMode="External" Id="rId446"/><Relationship Type="http://schemas.openxmlformats.org/officeDocument/2006/relationships/hyperlink" Target="https://me.utexas.edu/people/faculty" TargetMode="External" Id="rId447"/><Relationship Type="http://schemas.openxmlformats.org/officeDocument/2006/relationships/hyperlink" Target="https://ae.utexas.edu/person/tom-connolly/" TargetMode="External" Id="rId448"/><Relationship Type="http://schemas.openxmlformats.org/officeDocument/2006/relationships/hyperlink" Target="https://scholar.google.com/citations?view_op=search_authors&amp;mauthors=Tom%20Connolly%20University%20of%20Texas%20at%20Austin" TargetMode="External" Id="rId449"/><Relationship Type="http://schemas.openxmlformats.org/officeDocument/2006/relationships/hyperlink" Target="mailto:tjconn@austin.utexas.edu" TargetMode="External" Id="rId450"/><Relationship Type="http://schemas.openxmlformats.org/officeDocument/2006/relationships/hyperlink" Target="https://ae.utexas.edu/people/faculty" TargetMode="External" Id="rId451"/><Relationship Type="http://schemas.openxmlformats.org/officeDocument/2006/relationships/hyperlink" Target="https://me.utexas.edu/person/yuebing-zheng/" TargetMode="External" Id="rId452"/><Relationship Type="http://schemas.openxmlformats.org/officeDocument/2006/relationships/hyperlink" Target="https://scholar.google.com/citations?view_op=search_authors&amp;mauthors=Yuebing%20Zheng%20University%20of%20Texas%20at%20Austin" TargetMode="External" Id="rId453"/><Relationship Type="http://schemas.openxmlformats.org/officeDocument/2006/relationships/hyperlink" Target="mailto:zheng@austin.utexas.edu" TargetMode="External" Id="rId454"/><Relationship Type="http://schemas.openxmlformats.org/officeDocument/2006/relationships/hyperlink" Target="https://me.utexas.edu/people/faculty" TargetMode="External" Id="rId455"/></Relationships>
</file>

<file path=xl/worksheets/_rels/sheet3.xml.rels><Relationships xmlns="http://schemas.openxmlformats.org/package/2006/relationships"><Relationship Type="http://schemas.openxmlformats.org/officeDocument/2006/relationships/hyperlink" Target="https://ae.utexas.edu/person/laxminarayan-l-raja/" TargetMode="External" Id="rId1"/><Relationship Type="http://schemas.openxmlformats.org/officeDocument/2006/relationships/hyperlink" Target="https://scholar.google.com/citations?view_op=search_authors&amp;mauthors=Laxminarayan%20L.%20Raja%20University%20of%20Texas%20at%20Austin" TargetMode="External" Id="rId2"/><Relationship Type="http://schemas.openxmlformats.org/officeDocument/2006/relationships/hyperlink" Target="mailto:lraja@mail.utexas.edu" TargetMode="External" Id="rId3"/><Relationship Type="http://schemas.openxmlformats.org/officeDocument/2006/relationships/hyperlink" Target="https://doi.org/10.48550/arxiv.2607.28976" TargetMode="External" Id="rId4"/><Relationship Type="http://schemas.openxmlformats.org/officeDocument/2006/relationships/hyperlink" Target="https://doi.org/10.1063/5.0325672" TargetMode="External" Id="rId5"/><Relationship Type="http://schemas.openxmlformats.org/officeDocument/2006/relationships/hyperlink" Target="https://doi.org/10.48550/arxiv.2607.28976" TargetMode="External" Id="rId6"/><Relationship Type="http://schemas.openxmlformats.org/officeDocument/2006/relationships/hyperlink" Target="https://ae.utexas.edu/people/faculty" TargetMode="External" Id="rId7"/><Relationship Type="http://schemas.openxmlformats.org/officeDocument/2006/relationships/hyperlink" Target="https://ae.utexas.edu/person/fabrizio-bisetti/" TargetMode="External" Id="rId8"/><Relationship Type="http://schemas.openxmlformats.org/officeDocument/2006/relationships/hyperlink" Target="https://scholar.google.com/citations?hl=en&amp;user=P6u6t40AAAAJ" TargetMode="External" Id="rId9"/><Relationship Type="http://schemas.openxmlformats.org/officeDocument/2006/relationships/hyperlink" Target="mailto:fbisetti@utexas.edu" TargetMode="External" Id="rId10"/><Relationship Type="http://schemas.openxmlformats.org/officeDocument/2006/relationships/hyperlink" Target="https://doi.org/10.1080/13647830.2026.2621925" TargetMode="External" Id="rId11"/><Relationship Type="http://schemas.openxmlformats.org/officeDocument/2006/relationships/hyperlink" Target="https://doi.org/10.48550/arxiv.2607.25048" TargetMode="External" Id="rId12"/><Relationship Type="http://schemas.openxmlformats.org/officeDocument/2006/relationships/hyperlink" Target="https://doi.org/10.1080/13647830.2026.2621925" TargetMode="External" Id="rId13"/><Relationship Type="http://schemas.openxmlformats.org/officeDocument/2006/relationships/hyperlink" Target="https://ae.utexas.edu/people/faculty" TargetMode="External" Id="rId14"/><Relationship Type="http://schemas.openxmlformats.org/officeDocument/2006/relationships/hyperlink" Target="https://ae.utexas.edu/person/noel-t-clemens/" TargetMode="External" Id="rId15"/><Relationship Type="http://schemas.openxmlformats.org/officeDocument/2006/relationships/hyperlink" Target="https://scholar.google.com/citations?view_op=search_authors&amp;mauthors=Noel%20T.%20Clemens%20University%20of%20Texas%20at%20Austin" TargetMode="External" Id="rId16"/><Relationship Type="http://schemas.openxmlformats.org/officeDocument/2006/relationships/hyperlink" Target="mailto:clemens@mail.utexas.edu" TargetMode="External" Id="rId17"/><Relationship Type="http://schemas.openxmlformats.org/officeDocument/2006/relationships/hyperlink" Target="https://doi.org/10.2514/6.2026-0460" TargetMode="External" Id="rId18"/><Relationship Type="http://schemas.openxmlformats.org/officeDocument/2006/relationships/hyperlink" Target="https://doi.org/10.2514/6.2026-1315" TargetMode="External" Id="rId19"/><Relationship Type="http://schemas.openxmlformats.org/officeDocument/2006/relationships/hyperlink" Target="https://doi.org/10.2514/6.2026-0460" TargetMode="External" Id="rId20"/><Relationship Type="http://schemas.openxmlformats.org/officeDocument/2006/relationships/hyperlink" Target="https://ae.utexas.edu/people/faculty" TargetMode="External" Id="rId21"/><Relationship Type="http://schemas.openxmlformats.org/officeDocument/2006/relationships/hyperlink" Target="https://ae.utexas.edu/person/david-b-goldstein/" TargetMode="External" Id="rId22"/><Relationship Type="http://schemas.openxmlformats.org/officeDocument/2006/relationships/hyperlink" Target="https://scholar.google.com/citations?view_op=search_authors&amp;mauthors=David%20B.%20Goldstein%20University%20of%20Texas%20at%20Austin" TargetMode="External" Id="rId23"/><Relationship Type="http://schemas.openxmlformats.org/officeDocument/2006/relationships/hyperlink" Target="mailto:david@oden.utexas.edu" TargetMode="External" Id="rId24"/><Relationship Type="http://schemas.openxmlformats.org/officeDocument/2006/relationships/hyperlink" Target="https://doi.org/10.2514/6.2025-1302" TargetMode="External" Id="rId25"/><Relationship Type="http://schemas.openxmlformats.org/officeDocument/2006/relationships/hyperlink" Target="https://doi.org/10.2514/6.2025-1162" TargetMode="External" Id="rId26"/><Relationship Type="http://schemas.openxmlformats.org/officeDocument/2006/relationships/hyperlink" Target="https://doi.org/10.2514/6.2025-1302" TargetMode="External" Id="rId27"/><Relationship Type="http://schemas.openxmlformats.org/officeDocument/2006/relationships/hyperlink" Target="https://ae.utexas.edu/people/faculty" TargetMode="External" Id="rId28"/><Relationship Type="http://schemas.openxmlformats.org/officeDocument/2006/relationships/hyperlink" Target="https://ae.utexas.edu/person/clint-n-dawson/" TargetMode="External" Id="rId29"/><Relationship Type="http://schemas.openxmlformats.org/officeDocument/2006/relationships/hyperlink" Target="https://scholar.google.com/citations?view_op=search_authors&amp;mauthors=Clint%20N.%20Dawson%20University%20of%20Texas%20at%20Austin" TargetMode="External" Id="rId30"/><Relationship Type="http://schemas.openxmlformats.org/officeDocument/2006/relationships/hyperlink" Target="mailto:clint.dawson@austin.utexas.edu" TargetMode="External" Id="rId31"/><Relationship Type="http://schemas.openxmlformats.org/officeDocument/2006/relationships/hyperlink" Target="https://doi.org/10.1029/2025jh000697" TargetMode="External" Id="rId32"/><Relationship Type="http://schemas.openxmlformats.org/officeDocument/2006/relationships/hyperlink" Target="https://doi.org/10.24433/co.5021363.v1" TargetMode="External" Id="rId33"/><Relationship Type="http://schemas.openxmlformats.org/officeDocument/2006/relationships/hyperlink" Target="https://doi.org/10.1029/2025jh000697" TargetMode="External" Id="rId34"/><Relationship Type="http://schemas.openxmlformats.org/officeDocument/2006/relationships/hyperlink" Target="https://ae.utexas.edu/people/faculty" TargetMode="External" Id="rId35"/><Relationship Type="http://schemas.openxmlformats.org/officeDocument/2006/relationships/hyperlink" Target="https://ae.utexas.edu/person/jesse-chan/" TargetMode="External" Id="rId36"/><Relationship Type="http://schemas.openxmlformats.org/officeDocument/2006/relationships/hyperlink" Target="https://scholar.google.com/citations?hl=en&amp;user=e3T0l3IAAAAJ" TargetMode="External" Id="rId37"/><Relationship Type="http://schemas.openxmlformats.org/officeDocument/2006/relationships/hyperlink" Target="mailto:jesse.chan@oden.utexas.edu" TargetMode="External" Id="rId38"/><Relationship Type="http://schemas.openxmlformats.org/officeDocument/2006/relationships/hyperlink" Target="https://doi.org/10.48550/arxiv.2604.03158" TargetMode="External" Id="rId39"/><Relationship Type="http://schemas.openxmlformats.org/officeDocument/2006/relationships/hyperlink" Target="https://doi.org/10.48550/arxiv.2603.24189" TargetMode="External" Id="rId40"/><Relationship Type="http://schemas.openxmlformats.org/officeDocument/2006/relationships/hyperlink" Target="https://doi.org/10.48550/arxiv.2604.03158" TargetMode="External" Id="rId41"/><Relationship Type="http://schemas.openxmlformats.org/officeDocument/2006/relationships/hyperlink" Target="https://ae.utexas.edu/people/faculty" TargetMode="External" Id="rId42"/><Relationship Type="http://schemas.openxmlformats.org/officeDocument/2006/relationships/hyperlink" Target="https://ae.utexas.edu/person/philip-l-varghese/" TargetMode="External" Id="rId43"/><Relationship Type="http://schemas.openxmlformats.org/officeDocument/2006/relationships/hyperlink" Target="https://scholar.google.com/citations?view_op=search_authors&amp;mauthors=Philip%20L.%20Varghese%20University%20of%20Texas%20at%20Austin" TargetMode="External" Id="rId44"/><Relationship Type="http://schemas.openxmlformats.org/officeDocument/2006/relationships/hyperlink" Target="mailto:varghese@mail.utexas.edu" TargetMode="External" Id="rId45"/><Relationship Type="http://schemas.openxmlformats.org/officeDocument/2006/relationships/hyperlink" Target="https://doi.org/10.1029/2025je009389" TargetMode="External" Id="rId46"/><Relationship Type="http://schemas.openxmlformats.org/officeDocument/2006/relationships/hyperlink" Target="https://doi.org/10.48550/arxiv.2607.23904" TargetMode="External" Id="rId47"/><Relationship Type="http://schemas.openxmlformats.org/officeDocument/2006/relationships/hyperlink" Target="https://doi.org/10.1029/2025je009389" TargetMode="External" Id="rId48"/><Relationship Type="http://schemas.openxmlformats.org/officeDocument/2006/relationships/hyperlink" Target="https://ae.utexas.edu/people/faculty" TargetMode="External" Id="rId49"/><Relationship Type="http://schemas.openxmlformats.org/officeDocument/2006/relationships/hyperlink" Target="https://ae.utexas.edu/person/thomas-j-hughes/" TargetMode="External" Id="rId50"/><Relationship Type="http://schemas.openxmlformats.org/officeDocument/2006/relationships/hyperlink" Target="https://scholar.google.com/citations?view_op=search_authors&amp;mauthors=Thomas%20J.%20Hughes%20University%20of%20Texas%20at%20Austin" TargetMode="External" Id="rId51"/><Relationship Type="http://schemas.openxmlformats.org/officeDocument/2006/relationships/hyperlink" Target="mailto:hughes@oden.utexas.edu" TargetMode="External" Id="rId52"/><Relationship Type="http://schemas.openxmlformats.org/officeDocument/2006/relationships/hyperlink" Target="https://doi.org/10.1016/j.cma.2026.119046" TargetMode="External" Id="rId53"/><Relationship Type="http://schemas.openxmlformats.org/officeDocument/2006/relationships/hyperlink" Target="https://doi.org/10.1142/s021820252650003x" TargetMode="External" Id="rId54"/><Relationship Type="http://schemas.openxmlformats.org/officeDocument/2006/relationships/hyperlink" Target="https://doi.org/10.1016/j.cma.2026.119046" TargetMode="External" Id="rId55"/><Relationship Type="http://schemas.openxmlformats.org/officeDocument/2006/relationships/hyperlink" Target="https://ae.utexas.edu/people/faculty" TargetMode="External" Id="rId56"/><Relationship Type="http://schemas.openxmlformats.org/officeDocument/2006/relationships/hyperlink" Target="https://me.utexas.edu/person/david-bogard/" TargetMode="External" Id="rId57"/><Relationship Type="http://schemas.openxmlformats.org/officeDocument/2006/relationships/hyperlink" Target="https://scholar.google.com/citations?hl=en&amp;user=z-y3V4EAAAAJ" TargetMode="External" Id="rId58"/><Relationship Type="http://schemas.openxmlformats.org/officeDocument/2006/relationships/hyperlink" Target="mailto:dbogard@mail.utexas.edu" TargetMode="External" Id="rId59"/><Relationship Type="http://schemas.openxmlformats.org/officeDocument/2006/relationships/hyperlink" Target="https://doi.org/10.1115/1.4069945" TargetMode="External" Id="rId60"/><Relationship Type="http://schemas.openxmlformats.org/officeDocument/2006/relationships/hyperlink" Target="https://doi.org/10.1115/1.4069942" TargetMode="External" Id="rId61"/><Relationship Type="http://schemas.openxmlformats.org/officeDocument/2006/relationships/hyperlink" Target="https://doi.org/10.1115/1.4069945" TargetMode="External" Id="rId62"/><Relationship Type="http://schemas.openxmlformats.org/officeDocument/2006/relationships/hyperlink" Target="https://me.utexas.edu/people/faculty" TargetMode="External" Id="rId63"/><Relationship Type="http://schemas.openxmlformats.org/officeDocument/2006/relationships/hyperlink" Target="https://ae.utexas.edu/person/greg-zwernemann/" TargetMode="External" Id="rId64"/><Relationship Type="http://schemas.openxmlformats.org/officeDocument/2006/relationships/hyperlink" Target="https://scholar.google.com/citations?view_op=search_authors&amp;mauthors=Greg%20Zwernemann%20University%20of%20Texas%20at%20Austin" TargetMode="External" Id="rId65"/><Relationship Type="http://schemas.openxmlformats.org/officeDocument/2006/relationships/hyperlink" Target="mailto:greg.zwernemann@austin.utexas.edu" TargetMode="External" Id="rId66"/><Relationship Type="http://schemas.openxmlformats.org/officeDocument/2006/relationships/hyperlink" Target="https://ae.utexas.edu/people/faculty" TargetMode="External" Id="rId67"/><Relationship Type="http://schemas.openxmlformats.org/officeDocument/2006/relationships/hyperlink" Target="https://ae.utexas.edu/person/karen-e-willcox/" TargetMode="External" Id="rId68"/><Relationship Type="http://schemas.openxmlformats.org/officeDocument/2006/relationships/hyperlink" Target="https://scholar.google.com/citations?hl=en&amp;user=Uf5L_wAAAAAJ" TargetMode="External" Id="rId69"/><Relationship Type="http://schemas.openxmlformats.org/officeDocument/2006/relationships/hyperlink" Target="mailto:kwillcox@oden.utexas.edu" TargetMode="External" Id="rId70"/><Relationship Type="http://schemas.openxmlformats.org/officeDocument/2006/relationships/hyperlink" Target="https://doi.org/10.1007/s10444-026-10322-7" TargetMode="External" Id="rId71"/><Relationship Type="http://schemas.openxmlformats.org/officeDocument/2006/relationships/hyperlink" Target="https://doi.org/10.1186/s12911-026-03520-2" TargetMode="External" Id="rId72"/><Relationship Type="http://schemas.openxmlformats.org/officeDocument/2006/relationships/hyperlink" Target="https://doi.org/10.1007/s10444-026-10322-7" TargetMode="External" Id="rId73"/><Relationship Type="http://schemas.openxmlformats.org/officeDocument/2006/relationships/hyperlink" Target="https://ae.utexas.edu/people/faculty" TargetMode="External" Id="rId74"/><Relationship Type="http://schemas.openxmlformats.org/officeDocument/2006/relationships/hyperlink" Target="https://ae.utexas.edu/person/leszek-f-demkowicz/" TargetMode="External" Id="rId75"/><Relationship Type="http://schemas.openxmlformats.org/officeDocument/2006/relationships/hyperlink" Target="https://scholar.google.com/citations?view_op=search_authors&amp;mauthors=Leszek%20F.%20Demkowicz%20University%20of%20Texas%20at%20Austin" TargetMode="External" Id="rId76"/><Relationship Type="http://schemas.openxmlformats.org/officeDocument/2006/relationships/hyperlink" Target="mailto:leszek@oden.utexas.edu" TargetMode="External" Id="rId77"/><Relationship Type="http://schemas.openxmlformats.org/officeDocument/2006/relationships/hyperlink" Target="https://ae.utexas.edu/people/faculty" TargetMode="External" Id="rId78"/><Relationship Type="http://schemas.openxmlformats.org/officeDocument/2006/relationships/hyperlink" Target="https://me.utexas.edu/person/robert-moser/" TargetMode="External" Id="rId79"/><Relationship Type="http://schemas.openxmlformats.org/officeDocument/2006/relationships/hyperlink" Target="https://scholar.google.com/citations?hl=en&amp;user=6yB0J0wAAAAJ" TargetMode="External" Id="rId80"/><Relationship Type="http://schemas.openxmlformats.org/officeDocument/2006/relationships/hyperlink" Target="mailto:rmoser@mail.utexas.edu" TargetMode="External" Id="rId81"/><Relationship Type="http://schemas.openxmlformats.org/officeDocument/2006/relationships/hyperlink" Target="https://doi.org/10.48550/arxiv.2502.16555" TargetMode="External" Id="rId82"/><Relationship Type="http://schemas.openxmlformats.org/officeDocument/2006/relationships/hyperlink" Target="https://doi.org/10.1088/1361-6595/ae0c33" TargetMode="External" Id="rId83"/><Relationship Type="http://schemas.openxmlformats.org/officeDocument/2006/relationships/hyperlink" Target="https://doi.org/10.48550/arxiv.2502.16555" TargetMode="External" Id="rId84"/><Relationship Type="http://schemas.openxmlformats.org/officeDocument/2006/relationships/hyperlink" Target="https://me.utexas.edu/people/faculty" TargetMode="External" Id="rId85"/><Relationship Type="http://schemas.openxmlformats.org/officeDocument/2006/relationships/hyperlink" Target="https://me.utexas.edu/person/spencer-bryngelson/" TargetMode="External" Id="rId86"/><Relationship Type="http://schemas.openxmlformats.org/officeDocument/2006/relationships/hyperlink" Target="https://scholar.google.com/citations?hl=en&amp;user=K765N4AAAAAJ" TargetMode="External" Id="rId87"/><Relationship Type="http://schemas.openxmlformats.org/officeDocument/2006/relationships/hyperlink" Target="mailto:shb@utexas.edu" TargetMode="External" Id="rId88"/><Relationship Type="http://schemas.openxmlformats.org/officeDocument/2006/relationships/hyperlink" Target="https://doi.org/10.48550/arxiv.2608.02223" TargetMode="External" Id="rId89"/><Relationship Type="http://schemas.openxmlformats.org/officeDocument/2006/relationships/hyperlink" Target="https://doi.org/10.48550/arxiv.2607.28932" TargetMode="External" Id="rId90"/><Relationship Type="http://schemas.openxmlformats.org/officeDocument/2006/relationships/hyperlink" Target="https://doi.org/10.48550/arxiv.2608.02223" TargetMode="External" Id="rId91"/><Relationship Type="http://schemas.openxmlformats.org/officeDocument/2006/relationships/hyperlink" Target="https://me.utexas.edu/people/faculty" TargetMode="External" Id="rId92"/><Relationship Type="http://schemas.openxmlformats.org/officeDocument/2006/relationships/hyperlink" Target="https://ae.utexas.edu/person/thomas-underwood/" TargetMode="External" Id="rId93"/><Relationship Type="http://schemas.openxmlformats.org/officeDocument/2006/relationships/hyperlink" Target="https://scholar.google.com/citations?hl=en&amp;user=j9Bkn8IAAAAJ" TargetMode="External" Id="rId94"/><Relationship Type="http://schemas.openxmlformats.org/officeDocument/2006/relationships/hyperlink" Target="mailto:thomas.underwood@utexas.edu" TargetMode="External" Id="rId95"/><Relationship Type="http://schemas.openxmlformats.org/officeDocument/2006/relationships/hyperlink" Target="https://doi.org/10.2514/1.b40460" TargetMode="External" Id="rId96"/><Relationship Type="http://schemas.openxmlformats.org/officeDocument/2006/relationships/hyperlink" Target="https://doi.org/10.1063/5.0325672" TargetMode="External" Id="rId97"/><Relationship Type="http://schemas.openxmlformats.org/officeDocument/2006/relationships/hyperlink" Target="https://doi.org/10.2514/1.b40460" TargetMode="External" Id="rId98"/><Relationship Type="http://schemas.openxmlformats.org/officeDocument/2006/relationships/hyperlink" Target="https://ae.utexas.edu/people/faculty" TargetMode="External" Id="rId99"/><Relationship Type="http://schemas.openxmlformats.org/officeDocument/2006/relationships/hyperlink" Target="https://me.utexas.edu/person/vaibhav-bahadur/" TargetMode="External" Id="rId100"/><Relationship Type="http://schemas.openxmlformats.org/officeDocument/2006/relationships/hyperlink" Target="https://scholar.google.com/citations?hl=en&amp;user=2iFj40AAAAAJ" TargetMode="External" Id="rId101"/><Relationship Type="http://schemas.openxmlformats.org/officeDocument/2006/relationships/hyperlink" Target="mailto:vb@austin.utexas.edu" TargetMode="External" Id="rId102"/><Relationship Type="http://schemas.openxmlformats.org/officeDocument/2006/relationships/hyperlink" Target="https://doi.org/10.1115/es2025-155214" TargetMode="External" Id="rId103"/><Relationship Type="http://schemas.openxmlformats.org/officeDocument/2006/relationships/hyperlink" Target="https://doi.org/10.1126/sciadv.aed5744" TargetMode="External" Id="rId104"/><Relationship Type="http://schemas.openxmlformats.org/officeDocument/2006/relationships/hyperlink" Target="https://doi.org/10.1115/es2025-155214" TargetMode="External" Id="rId105"/><Relationship Type="http://schemas.openxmlformats.org/officeDocument/2006/relationships/hyperlink" Target="https://me.utexas.edu/people/faculty" TargetMode="External" Id="rId106"/><Relationship Type="http://schemas.openxmlformats.org/officeDocument/2006/relationships/hyperlink" Target="https://me.utexas.edu/person/george-biros/" TargetMode="External" Id="rId107"/><Relationship Type="http://schemas.openxmlformats.org/officeDocument/2006/relationships/hyperlink" Target="https://scholar.google.com/citations?hl=en&amp;user=cK-Fz2wAAAAJ" TargetMode="External" Id="rId108"/><Relationship Type="http://schemas.openxmlformats.org/officeDocument/2006/relationships/hyperlink" Target="mailto:gbiros@acm.org" TargetMode="External" Id="rId109"/><Relationship Type="http://schemas.openxmlformats.org/officeDocument/2006/relationships/hyperlink" Target="https://doi.org/10.48550/arxiv.2609.07912" TargetMode="External" Id="rId110"/><Relationship Type="http://schemas.openxmlformats.org/officeDocument/2006/relationships/hyperlink" Target="https://doi.org/10.1137/25m1753097" TargetMode="External" Id="rId111"/><Relationship Type="http://schemas.openxmlformats.org/officeDocument/2006/relationships/hyperlink" Target="https://doi.org/10.48550/arxiv.2609.07912" TargetMode="External" Id="rId112"/><Relationship Type="http://schemas.openxmlformats.org/officeDocument/2006/relationships/hyperlink" Target="https://me.utexas.edu/people/faculty" TargetMode="External" Id="rId113"/><Relationship Type="http://schemas.openxmlformats.org/officeDocument/2006/relationships/hyperlink" Target="https://me.utexas.edu/person/matthew-meier/" TargetMode="External" Id="rId114"/><Relationship Type="http://schemas.openxmlformats.org/officeDocument/2006/relationships/hyperlink" Target="https://scholar.google.com/citations?view_op=search_authors&amp;mauthors=Matthew%20Meier%20University%20of%20Texas%20at%20Austin" TargetMode="External" Id="rId115"/><Relationship Type="http://schemas.openxmlformats.org/officeDocument/2006/relationships/hyperlink" Target="mailto:mmeier@utexas.edu" TargetMode="External" Id="rId116"/><Relationship Type="http://schemas.openxmlformats.org/officeDocument/2006/relationships/hyperlink" Target="https://me.utexas.edu/people/faculty" TargetMode="External" Id="rId117"/><Relationship Type="http://schemas.openxmlformats.org/officeDocument/2006/relationships/hyperlink" Target="https://me.utexas.edu/person/ofodike-ezekoye/" TargetMode="External" Id="rId118"/><Relationship Type="http://schemas.openxmlformats.org/officeDocument/2006/relationships/hyperlink" Target="https://scholar.google.com/citations?hl=en&amp;user=oX_f42wAAAAJ" TargetMode="External" Id="rId119"/><Relationship Type="http://schemas.openxmlformats.org/officeDocument/2006/relationships/hyperlink" Target="mailto:dezekoye@mail.utexas.edu" TargetMode="External" Id="rId120"/><Relationship Type="http://schemas.openxmlformats.org/officeDocument/2006/relationships/hyperlink" Target="https://doi.org/10.1002/aenm.71193" TargetMode="External" Id="rId121"/><Relationship Type="http://schemas.openxmlformats.org/officeDocument/2006/relationships/hyperlink" Target="https://doi.org/10.6084/m9.figshare.32570274" TargetMode="External" Id="rId122"/><Relationship Type="http://schemas.openxmlformats.org/officeDocument/2006/relationships/hyperlink" Target="https://doi.org/10.1002/aenm.71193" TargetMode="External" Id="rId123"/><Relationship Type="http://schemas.openxmlformats.org/officeDocument/2006/relationships/hyperlink" Target="https://me.utexas.edu/people/faculty" TargetMode="External" Id="rId124"/><Relationship Type="http://schemas.openxmlformats.org/officeDocument/2006/relationships/hyperlink" Target="https://math.utexas.edu/directory/bjorn-engquist" TargetMode="External" Id="rId125"/><Relationship Type="http://schemas.openxmlformats.org/officeDocument/2006/relationships/hyperlink" Target="https://scholar.google.com/citations?hl=en&amp;user=G-5Y2_AAAAAJ" TargetMode="External" Id="rId126"/><Relationship Type="http://schemas.openxmlformats.org/officeDocument/2006/relationships/hyperlink" Target="mailto:engquist@math.utexas.edu" TargetMode="External" Id="rId127"/><Relationship Type="http://schemas.openxmlformats.org/officeDocument/2006/relationships/hyperlink" Target="https://doi.org/10.48550/arxiv.2602.22097" TargetMode="External" Id="rId128"/><Relationship Type="http://schemas.openxmlformats.org/officeDocument/2006/relationships/hyperlink" Target="https://doi.org/10.1137/24m1668755" TargetMode="External" Id="rId129"/><Relationship Type="http://schemas.openxmlformats.org/officeDocument/2006/relationships/hyperlink" Target="https://doi.org/10.48550/arxiv.2602.22097" TargetMode="External" Id="rId130"/><Relationship Type="http://schemas.openxmlformats.org/officeDocument/2006/relationships/hyperlink" Target="https://math.utexas.edu/directory/faculty" TargetMode="External" Id="rId131"/><Relationship Type="http://schemas.openxmlformats.org/officeDocument/2006/relationships/hyperlink" Target="https://math.utexas.edu/directory/irene-gamba" TargetMode="External" Id="rId132"/><Relationship Type="http://schemas.openxmlformats.org/officeDocument/2006/relationships/hyperlink" Target="https://scholar.google.com/citations?hl=en&amp;user=H30Fz_sAAAAJ" TargetMode="External" Id="rId133"/><Relationship Type="http://schemas.openxmlformats.org/officeDocument/2006/relationships/hyperlink" Target="mailto:gamba@math.utexas.edu" TargetMode="External" Id="rId134"/><Relationship Type="http://schemas.openxmlformats.org/officeDocument/2006/relationships/hyperlink" Target="https://doi.org/10.1137/25m1737341" TargetMode="External" Id="rId135"/><Relationship Type="http://schemas.openxmlformats.org/officeDocument/2006/relationships/hyperlink" Target="https://doi.org/10.1007/978-3-032-00094-1_66" TargetMode="External" Id="rId136"/><Relationship Type="http://schemas.openxmlformats.org/officeDocument/2006/relationships/hyperlink" Target="https://doi.org/10.1137/25m1737341" TargetMode="External" Id="rId137"/><Relationship Type="http://schemas.openxmlformats.org/officeDocument/2006/relationships/hyperlink" Target="https://math.utexas.edu/directory/faculty" TargetMode="External" Id="rId138"/><Relationship Type="http://schemas.openxmlformats.org/officeDocument/2006/relationships/hyperlink" Target="https://me.utexas.edu/person/omar-ghattas/" TargetMode="External" Id="rId139"/><Relationship Type="http://schemas.openxmlformats.org/officeDocument/2006/relationships/hyperlink" Target="https://scholar.google.com/citations?hl=en&amp;user=QjR-sWMAAAAJ" TargetMode="External" Id="rId140"/><Relationship Type="http://schemas.openxmlformats.org/officeDocument/2006/relationships/hyperlink" Target="mailto:omar@ices.utexas.edu" TargetMode="External" Id="rId141"/><Relationship Type="http://schemas.openxmlformats.org/officeDocument/2006/relationships/hyperlink" Target="https://doi.org/10.48550/arxiv.2603.03211" TargetMode="External" Id="rId142"/><Relationship Type="http://schemas.openxmlformats.org/officeDocument/2006/relationships/hyperlink" Target="https://doi.org/10.2514/6.2026-1210" TargetMode="External" Id="rId143"/><Relationship Type="http://schemas.openxmlformats.org/officeDocument/2006/relationships/hyperlink" Target="https://doi.org/10.48550/arxiv.2603.03211" TargetMode="External" Id="rId144"/><Relationship Type="http://schemas.openxmlformats.org/officeDocument/2006/relationships/hyperlink" Target="https://me.utexas.edu/people/faculty" TargetMode="External" Id="rId145"/><Relationship Type="http://schemas.openxmlformats.org/officeDocument/2006/relationships/hyperlink" Target="https://math.utexas.edu/directory/per-gunnar-martinsson" TargetMode="External" Id="rId146"/><Relationship Type="http://schemas.openxmlformats.org/officeDocument/2006/relationships/hyperlink" Target="https://scholar.google.com/citations?hl=en&amp;user=E31mJckAAAAJ" TargetMode="External" Id="rId147"/><Relationship Type="http://schemas.openxmlformats.org/officeDocument/2006/relationships/hyperlink" Target="mailto:pgm@ices.utexas.edu" TargetMode="External" Id="rId148"/><Relationship Type="http://schemas.openxmlformats.org/officeDocument/2006/relationships/hyperlink" Target="https://doi.org/10.1137/25m175857x" TargetMode="External" Id="rId149"/><Relationship Type="http://schemas.openxmlformats.org/officeDocument/2006/relationships/hyperlink" Target="https://doi.org/10.1137/24m1678027" TargetMode="External" Id="rId150"/><Relationship Type="http://schemas.openxmlformats.org/officeDocument/2006/relationships/hyperlink" Target="https://doi.org/10.1137/25m175857x" TargetMode="External" Id="rId151"/><Relationship Type="http://schemas.openxmlformats.org/officeDocument/2006/relationships/hyperlink" Target="https://math.utexas.edu/directory/faculty" TargetMode="External" Id="rId152"/><Relationship Type="http://schemas.openxmlformats.org/officeDocument/2006/relationships/hyperlink" Target="https://math.utexas.edu/directory/rachel-ward" TargetMode="External" Id="rId153"/><Relationship Type="http://schemas.openxmlformats.org/officeDocument/2006/relationships/hyperlink" Target="https://scholar.google.com/citations?hl=en&amp;user=VwL3e80AAAAJ" TargetMode="External" Id="rId154"/><Relationship Type="http://schemas.openxmlformats.org/officeDocument/2006/relationships/hyperlink" Target="mailto:rward@math.utexas.edu" TargetMode="External" Id="rId155"/><Relationship Type="http://schemas.openxmlformats.org/officeDocument/2006/relationships/hyperlink" Target="https://doi.org/10.5802/smai-jcm.132" TargetMode="External" Id="rId156"/><Relationship Type="http://schemas.openxmlformats.org/officeDocument/2006/relationships/hyperlink" Target="https://doi.org/10.1038/s41467-025-65681-4" TargetMode="External" Id="rId157"/><Relationship Type="http://schemas.openxmlformats.org/officeDocument/2006/relationships/hyperlink" Target="https://doi.org/10.5802/smai-jcm.132" TargetMode="External" Id="rId158"/><Relationship Type="http://schemas.openxmlformats.org/officeDocument/2006/relationships/hyperlink" Target="https://math.utexas.edu/directory/faculty" TargetMode="External" Id="rId159"/><Relationship Type="http://schemas.openxmlformats.org/officeDocument/2006/relationships/hyperlink" Target="https://math.utexas.edu/directory/todd-arbogast" TargetMode="External" Id="rId160"/><Relationship Type="http://schemas.openxmlformats.org/officeDocument/2006/relationships/hyperlink" Target="https://scholar.google.com/citations?hl=en&amp;user=7QvK528AAAAJ" TargetMode="External" Id="rId161"/><Relationship Type="http://schemas.openxmlformats.org/officeDocument/2006/relationships/hyperlink" Target="mailto:arbogast@oden.utexas.edu" TargetMode="External" Id="rId162"/><Relationship Type="http://schemas.openxmlformats.org/officeDocument/2006/relationships/hyperlink" Target="https://doi.org/10.1007/s10915-025-02938-6" TargetMode="External" Id="rId163"/><Relationship Type="http://schemas.openxmlformats.org/officeDocument/2006/relationships/hyperlink" Target="https://doi.org/10.1201/9781003492139-1" TargetMode="External" Id="rId164"/><Relationship Type="http://schemas.openxmlformats.org/officeDocument/2006/relationships/hyperlink" Target="https://doi.org/10.1007/s10915-025-02938-6" TargetMode="External" Id="rId165"/><Relationship Type="http://schemas.openxmlformats.org/officeDocument/2006/relationships/hyperlink" Target="https://math.utexas.edu/directory/faculty" TargetMode="External" Id="rId166"/><Relationship Type="http://schemas.openxmlformats.org/officeDocument/2006/relationships/hyperlink" Target="https://math.utexas.edu/directory/yen-hsi-tsai" TargetMode="External" Id="rId167"/><Relationship Type="http://schemas.openxmlformats.org/officeDocument/2006/relationships/hyperlink" Target="https://scholar.google.com/citations?hl=en&amp;user=kX8YmYsAAAAJ" TargetMode="External" Id="rId168"/><Relationship Type="http://schemas.openxmlformats.org/officeDocument/2006/relationships/hyperlink" Target="mailto:ytsai@math.utexas.edu" TargetMode="External" Id="rId169"/><Relationship Type="http://schemas.openxmlformats.org/officeDocument/2006/relationships/hyperlink" Target="https://doi.org/10.4208/jiasc.2026-91-1" TargetMode="External" Id="rId170"/><Relationship Type="http://schemas.openxmlformats.org/officeDocument/2006/relationships/hyperlink" Target="https://doi.org/10.4171/ifb/547" TargetMode="External" Id="rId171"/><Relationship Type="http://schemas.openxmlformats.org/officeDocument/2006/relationships/hyperlink" Target="https://doi.org/10.4208/jiasc.2026-91-1" TargetMode="External" Id="rId172"/><Relationship Type="http://schemas.openxmlformats.org/officeDocument/2006/relationships/hyperlink" Target="https://math.utexas.edu/directory/faculty" TargetMode="External" Id="rId173"/><Relationship Type="http://schemas.openxmlformats.org/officeDocument/2006/relationships/hyperlink" Target="https://ae.utexas.edu/person/raghav-mahalingam/" TargetMode="External" Id="rId174"/><Relationship Type="http://schemas.openxmlformats.org/officeDocument/2006/relationships/hyperlink" Target="https://scholar.google.com/citations?view_op=search_authors&amp;mauthors=Raghav%20Mahalingam%20University%20of%20Texas%20at%20Austin" TargetMode="External" Id="rId175"/><Relationship Type="http://schemas.openxmlformats.org/officeDocument/2006/relationships/hyperlink" Target="mailto:raghavmahalingam@austin.utexas.edu" TargetMode="External" Id="rId176"/><Relationship Type="http://schemas.openxmlformats.org/officeDocument/2006/relationships/hyperlink" Target="https://ae.utexas.edu/people/faculty" TargetMode="External" Id="rId177"/><Relationship Type="http://schemas.openxmlformats.org/officeDocument/2006/relationships/hyperlink" Target="https://me.utexas.edu/person/andrea-pickel/" TargetMode="External" Id="rId178"/><Relationship Type="http://schemas.openxmlformats.org/officeDocument/2006/relationships/hyperlink" Target="https://scholar.google.com/citations?view_op=search_authors&amp;mauthors=Andrea%20Pickel%20University%20of%20Texas%20at%20Austin" TargetMode="External" Id="rId179"/><Relationship Type="http://schemas.openxmlformats.org/officeDocument/2006/relationships/hyperlink" Target="mailto:andrea.pickel@austin.utexas.edu" TargetMode="External" Id="rId180"/><Relationship Type="http://schemas.openxmlformats.org/officeDocument/2006/relationships/hyperlink" Target="https://me.utexas.edu/people/faculty" TargetMode="External" Id="rId181"/><Relationship Type="http://schemas.openxmlformats.org/officeDocument/2006/relationships/hyperlink" Target="https://me.utexas.edu/person/andrew-fix/" TargetMode="External" Id="rId182"/><Relationship Type="http://schemas.openxmlformats.org/officeDocument/2006/relationships/hyperlink" Target="https://scholar.google.com/citations?view_op=search_authors&amp;mauthors=Andrew%20Fix%20University%20of%20Texas%20at%20Austin" TargetMode="External" Id="rId183"/><Relationship Type="http://schemas.openxmlformats.org/officeDocument/2006/relationships/hyperlink" Target="mailto:fix@utexas.edu" TargetMode="External" Id="rId184"/><Relationship Type="http://schemas.openxmlformats.org/officeDocument/2006/relationships/hyperlink" Target="https://me.utexas.edu/people/faculty" TargetMode="External" Id="rId185"/><Relationship Type="http://schemas.openxmlformats.org/officeDocument/2006/relationships/hyperlink" Target="https://me.utexas.edu/person/li-shi/" TargetMode="External" Id="rId186"/><Relationship Type="http://schemas.openxmlformats.org/officeDocument/2006/relationships/hyperlink" Target="https://scholar.google.com/citations?view_op=search_authors&amp;mauthors=Li%20Shi%20University%20of%20Texas%20at%20Austin" TargetMode="External" Id="rId187"/><Relationship Type="http://schemas.openxmlformats.org/officeDocument/2006/relationships/hyperlink" Target="mailto:lishi@mail.utexas.edu" TargetMode="External" Id="rId188"/><Relationship Type="http://schemas.openxmlformats.org/officeDocument/2006/relationships/hyperlink" Target="https://me.utexas.edu/people/faculty" TargetMode="External" Id="rId189"/><Relationship Type="http://schemas.openxmlformats.org/officeDocument/2006/relationships/hyperlink" Target="https://me.utexas.edu/person/michael-cullinan/" TargetMode="External" Id="rId190"/><Relationship Type="http://schemas.openxmlformats.org/officeDocument/2006/relationships/hyperlink" Target="https://scholar.google.com/citations?view_op=search_authors&amp;mauthors=Michael%20Cullinan%20University%20of%20Texas%20at%20Austin" TargetMode="External" Id="rId191"/><Relationship Type="http://schemas.openxmlformats.org/officeDocument/2006/relationships/hyperlink" Target="mailto:michael.cullinan@austin.utexas.edu" TargetMode="External" Id="rId192"/><Relationship Type="http://schemas.openxmlformats.org/officeDocument/2006/relationships/hyperlink" Target="https://me.utexas.edu/people/faculty" TargetMode="External" Id="rId193"/><Relationship Type="http://schemas.openxmlformats.org/officeDocument/2006/relationships/hyperlink" Target="https://me.utexas.edu/person/elena-zannoni/" TargetMode="External" Id="rId194"/><Relationship Type="http://schemas.openxmlformats.org/officeDocument/2006/relationships/hyperlink" Target="https://scholar.google.com/citations?view_op=search_authors&amp;mauthors=Elena%20Zannoni%20University%20of%20Texas%20at%20Austin" TargetMode="External" Id="rId195"/><Relationship Type="http://schemas.openxmlformats.org/officeDocument/2006/relationships/hyperlink" Target="mailto:elena.zannoni@austin.utexas.edu" TargetMode="External" Id="rId196"/><Relationship Type="http://schemas.openxmlformats.org/officeDocument/2006/relationships/hyperlink" Target="https://me.utexas.edu/people/faculty" TargetMode="External" Id="rId197"/><Relationship Type="http://schemas.openxmlformats.org/officeDocument/2006/relationships/hyperlink" Target="https://me.utexas.edu/person/jianshi-zhou/" TargetMode="External" Id="rId198"/><Relationship Type="http://schemas.openxmlformats.org/officeDocument/2006/relationships/hyperlink" Target="https://scholar.google.com/citations?view_op=search_authors&amp;mauthors=Jianshi%20Zhou%20University%20of%20Texas%20at%20Austin" TargetMode="External" Id="rId199"/><Relationship Type="http://schemas.openxmlformats.org/officeDocument/2006/relationships/hyperlink" Target="mailto:jszhou@mail.utexas.edu" TargetMode="External" Id="rId200"/><Relationship Type="http://schemas.openxmlformats.org/officeDocument/2006/relationships/hyperlink" Target="https://me.utexas.edu/people/faculty" TargetMode="External" Id="rId201"/><Relationship Type="http://schemas.openxmlformats.org/officeDocument/2006/relationships/hyperlink" Target="https://me.utexas.edu/person/m-nichole-rylander/" TargetMode="External" Id="rId202"/><Relationship Type="http://schemas.openxmlformats.org/officeDocument/2006/relationships/hyperlink" Target="https://scholar.google.com/citations?view_op=search_authors&amp;mauthors=M.%20Nichole%20Rylander%20University%20of%20Texas%20at%20Austin" TargetMode="External" Id="rId203"/><Relationship Type="http://schemas.openxmlformats.org/officeDocument/2006/relationships/hyperlink" Target="mailto:mnr@austin.utexas.edu" TargetMode="External" Id="rId204"/><Relationship Type="http://schemas.openxmlformats.org/officeDocument/2006/relationships/hyperlink" Target="https://me.utexas.edu/people/faculty" TargetMode="External" Id="rId205"/><Relationship Type="http://schemas.openxmlformats.org/officeDocument/2006/relationships/hyperlink" Target="https://me.utexas.edu/person/mark-hamilton/" TargetMode="External" Id="rId206"/><Relationship Type="http://schemas.openxmlformats.org/officeDocument/2006/relationships/hyperlink" Target="https://scholar.google.com/citations?view_op=search_authors&amp;mauthors=Mark%20Hamilton%20University%20of%20Texas%20at%20Austin" TargetMode="External" Id="rId207"/><Relationship Type="http://schemas.openxmlformats.org/officeDocument/2006/relationships/hyperlink" Target="mailto:hamilton@mail.utexas.edu" TargetMode="External" Id="rId208"/><Relationship Type="http://schemas.openxmlformats.org/officeDocument/2006/relationships/hyperlink" Target="https://me.utexas.edu/people/faculty" TargetMode="External" Id="rId209"/><Relationship Type="http://schemas.openxmlformats.org/officeDocument/2006/relationships/hyperlink" Target="https://me.utexas.edu/person/michael-webber/" TargetMode="External" Id="rId210"/><Relationship Type="http://schemas.openxmlformats.org/officeDocument/2006/relationships/hyperlink" Target="https://scholar.google.com/citations?view_op=search_authors&amp;mauthors=Michael%20Webber%20University%20of%20Texas%20at%20Austin" TargetMode="External" Id="rId211"/><Relationship Type="http://schemas.openxmlformats.org/officeDocument/2006/relationships/hyperlink" Target="mailto:webber@mail.utexas.edu" TargetMode="External" Id="rId212"/><Relationship Type="http://schemas.openxmlformats.org/officeDocument/2006/relationships/hyperlink" Target="https://me.utexas.edu/people/faculty" TargetMode="External" Id="rId213"/><Relationship Type="http://schemas.openxmlformats.org/officeDocument/2006/relationships/hyperlink" Target="https://lbj.utexas.edu/rai-varun" TargetMode="External" Id="rId214"/><Relationship Type="http://schemas.openxmlformats.org/officeDocument/2006/relationships/hyperlink" Target="https://scholar.google.com/citations?view_op=search_authors&amp;mauthors=Varun%20Rai%20University%20of%20Texas%20at%20Austin" TargetMode="External" Id="rId215"/><Relationship Type="http://schemas.openxmlformats.org/officeDocument/2006/relationships/hyperlink" Target="mailto:rai@austin.utexas.edu" TargetMode="External" Id="rId216"/><Relationship Type="http://schemas.openxmlformats.org/officeDocument/2006/relationships/hyperlink" Target="https://me.utexas.edu/people/faculty" TargetMode="External" Id="rId217"/><Relationship Type="http://schemas.openxmlformats.org/officeDocument/2006/relationships/hyperlink" Target="https://ae.utexas.edu/person/chad-m-landis/" TargetMode="External" Id="rId218"/><Relationship Type="http://schemas.openxmlformats.org/officeDocument/2006/relationships/hyperlink" Target="https://scholar.google.com/citations?view_op=search_authors&amp;mauthors=Chad%20M.%20Landis%20University%20of%20Texas%20at%20Austin" TargetMode="External" Id="rId219"/><Relationship Type="http://schemas.openxmlformats.org/officeDocument/2006/relationships/hyperlink" Target="mailto:landis@utexas.edu" TargetMode="External" Id="rId220"/><Relationship Type="http://schemas.openxmlformats.org/officeDocument/2006/relationships/hyperlink" Target="https://ae.utexas.edu/people/faculty" TargetMode="External" Id="rId221"/><Relationship Type="http://schemas.openxmlformats.org/officeDocument/2006/relationships/hyperlink" Target="https://ae.utexas.edu/person/jayant-sirohi/" TargetMode="External" Id="rId222"/><Relationship Type="http://schemas.openxmlformats.org/officeDocument/2006/relationships/hyperlink" Target="https://scholar.google.com/citations?view_op=search_authors&amp;mauthors=Jayant%20Sirohi%20University%20of%20Texas%20at%20Austin" TargetMode="External" Id="rId223"/><Relationship Type="http://schemas.openxmlformats.org/officeDocument/2006/relationships/hyperlink" Target="mailto:sirohi@utexas.edu" TargetMode="External" Id="rId224"/><Relationship Type="http://schemas.openxmlformats.org/officeDocument/2006/relationships/hyperlink" Target="https://ae.utexas.edu/people/faculty" TargetMode="External" Id="rId225"/><Relationship Type="http://schemas.openxmlformats.org/officeDocument/2006/relationships/hyperlink" Target="https://me.utexas.edu/person/eric-fahrenthold/" TargetMode="External" Id="rId226"/><Relationship Type="http://schemas.openxmlformats.org/officeDocument/2006/relationships/hyperlink" Target="https://scholar.google.com/citations?view_op=search_authors&amp;mauthors=Eric%20Fahrenthold%20University%20of%20Texas%20at%20Austin" TargetMode="External" Id="rId227"/><Relationship Type="http://schemas.openxmlformats.org/officeDocument/2006/relationships/hyperlink" Target="mailto:epfahren@mail.utexas.edu" TargetMode="External" Id="rId228"/><Relationship Type="http://schemas.openxmlformats.org/officeDocument/2006/relationships/hyperlink" Target="https://me.utexas.edu/people/faculty" TargetMode="External" Id="rId229"/><Relationship Type="http://schemas.openxmlformats.org/officeDocument/2006/relationships/hyperlink" Target="https://ae.utexas.edu/person/jan-fuhg/" TargetMode="External" Id="rId230"/><Relationship Type="http://schemas.openxmlformats.org/officeDocument/2006/relationships/hyperlink" Target="https://scholar.google.com/citations?view_op=search_authors&amp;mauthors=Jan%20Fuhg%20University%20of%20Texas%20at%20Austin" TargetMode="External" Id="rId231"/><Relationship Type="http://schemas.openxmlformats.org/officeDocument/2006/relationships/hyperlink" Target="mailto:jan.fuhg@utexas.edu" TargetMode="External" Id="rId232"/><Relationship Type="http://schemas.openxmlformats.org/officeDocument/2006/relationships/hyperlink" Target="https://ae.utexas.edu/people/faculty" TargetMode="External" Id="rId233"/><Relationship Type="http://schemas.openxmlformats.org/officeDocument/2006/relationships/hyperlink" Target="https://me.utexas.edu/person/michael-haberman/" TargetMode="External" Id="rId234"/><Relationship Type="http://schemas.openxmlformats.org/officeDocument/2006/relationships/hyperlink" Target="https://scholar.google.com/citations?view_op=search_authors&amp;mauthors=Michael%20Haberman%20University%20of%20Texas%20at%20Austin" TargetMode="External" Id="rId235"/><Relationship Type="http://schemas.openxmlformats.org/officeDocument/2006/relationships/hyperlink" Target="mailto:haberman@utexas.edu" TargetMode="External" Id="rId236"/><Relationship Type="http://schemas.openxmlformats.org/officeDocument/2006/relationships/hyperlink" Target="https://me.utexas.edu/people/faculty" TargetMode="External" Id="rId237"/><Relationship Type="http://schemas.openxmlformats.org/officeDocument/2006/relationships/hyperlink" Target="https://ae.utexas.edu/person/rui-huang/" TargetMode="External" Id="rId238"/><Relationship Type="http://schemas.openxmlformats.org/officeDocument/2006/relationships/hyperlink" Target="https://scholar.google.com/citations?view_op=search_authors&amp;mauthors=Rui%20Huang%20University%20of%20Texas%20at%20Austin" TargetMode="External" Id="rId239"/><Relationship Type="http://schemas.openxmlformats.org/officeDocument/2006/relationships/hyperlink" Target="mailto:ruihuang@mail.utexas.edu" TargetMode="External" Id="rId240"/><Relationship Type="http://schemas.openxmlformats.org/officeDocument/2006/relationships/hyperlink" Target="https://ae.utexas.edu/people/faculty" TargetMode="External" Id="rId241"/><Relationship Type="http://schemas.openxmlformats.org/officeDocument/2006/relationships/hyperlink" Target="https://ae.utexas.edu/person/stelios-kyriakides/" TargetMode="External" Id="rId242"/><Relationship Type="http://schemas.openxmlformats.org/officeDocument/2006/relationships/hyperlink" Target="https://scholar.google.com/citations?view_op=search_authors&amp;mauthors=Stelios%20Kyriakides%20University%20of%20Texas%20at%20Austin" TargetMode="External" Id="rId243"/><Relationship Type="http://schemas.openxmlformats.org/officeDocument/2006/relationships/hyperlink" Target="mailto:skk@mail.utexas.edu" TargetMode="External" Id="rId244"/><Relationship Type="http://schemas.openxmlformats.org/officeDocument/2006/relationships/hyperlink" Target="https://ae.utexas.edu/people/faculty" TargetMode="External" Id="rId245"/><Relationship Type="http://schemas.openxmlformats.org/officeDocument/2006/relationships/hyperlink" Target="https://me.utexas.edu/person/yaguo-wang/" TargetMode="External" Id="rId246"/><Relationship Type="http://schemas.openxmlformats.org/officeDocument/2006/relationships/hyperlink" Target="https://scholar.google.com/citations?view_op=search_authors&amp;mauthors=Yaguo%20Wang%20University%20of%20Texas%20at%20Austin" TargetMode="External" Id="rId247"/><Relationship Type="http://schemas.openxmlformats.org/officeDocument/2006/relationships/hyperlink" Target="mailto:yaguo.wang@austin.utexas.edu" TargetMode="External" Id="rId248"/><Relationship Type="http://schemas.openxmlformats.org/officeDocument/2006/relationships/hyperlink" Target="https://me.utexas.edu/people/faculty" TargetMode="External" Id="rId249"/><Relationship Type="http://schemas.openxmlformats.org/officeDocument/2006/relationships/hyperlink" Target="https://me.utexas.edu/person/arumugam-manthiram/" TargetMode="External" Id="rId250"/><Relationship Type="http://schemas.openxmlformats.org/officeDocument/2006/relationships/hyperlink" Target="https://scholar.google.com/citations?view_op=search_authors&amp;mauthors=Arumugam%20Manthiram%20University%20of%20Texas%20at%20Austin" TargetMode="External" Id="rId251"/><Relationship Type="http://schemas.openxmlformats.org/officeDocument/2006/relationships/hyperlink" Target="mailto:rmanth@mail.utexas.edu" TargetMode="External" Id="rId252"/><Relationship Type="http://schemas.openxmlformats.org/officeDocument/2006/relationships/hyperlink" Target="https://me.utexas.edu/people/faculty" TargetMode="External" Id="rId253"/><Relationship Type="http://schemas.openxmlformats.org/officeDocument/2006/relationships/hyperlink" Target="https://me.utexas.edu/person/donglei-emma-fan/" TargetMode="External" Id="rId254"/><Relationship Type="http://schemas.openxmlformats.org/officeDocument/2006/relationships/hyperlink" Target="https://scholar.google.com/citations?view_op=search_authors&amp;mauthors=Donglei%20%22Emma%22%20Fan%20University%20of%20Texas%20at%20Austin" TargetMode="External" Id="rId255"/><Relationship Type="http://schemas.openxmlformats.org/officeDocument/2006/relationships/hyperlink" Target="mailto:dfan@austin.utexas.edu" TargetMode="External" Id="rId256"/><Relationship Type="http://schemas.openxmlformats.org/officeDocument/2006/relationships/hyperlink" Target="https://me.utexas.edu/people/faculty" TargetMode="External" Id="rId257"/><Relationship Type="http://schemas.openxmlformats.org/officeDocument/2006/relationships/hyperlink" Target="https://me.utexas.edu/person/guihua-yu/" TargetMode="External" Id="rId258"/><Relationship Type="http://schemas.openxmlformats.org/officeDocument/2006/relationships/hyperlink" Target="https://scholar.google.com/citations?view_op=search_authors&amp;mauthors=Guihua%20Yu%20University%20of%20Texas%20at%20Austin" TargetMode="External" Id="rId259"/><Relationship Type="http://schemas.openxmlformats.org/officeDocument/2006/relationships/hyperlink" Target="mailto:ghyu@austin.utexas.edu" TargetMode="External" Id="rId260"/><Relationship Type="http://schemas.openxmlformats.org/officeDocument/2006/relationships/hyperlink" Target="https://me.utexas.edu/people/faculty" TargetMode="External" Id="rId261"/><Relationship Type="http://schemas.openxmlformats.org/officeDocument/2006/relationships/hyperlink" Target="https://ae.utexas.edu/person/jin-yang/" TargetMode="External" Id="rId262"/><Relationship Type="http://schemas.openxmlformats.org/officeDocument/2006/relationships/hyperlink" Target="https://scholar.google.com/citations?view_op=search_authors&amp;mauthors=Jin%20Yang%20University%20of%20Texas%20at%20Austin" TargetMode="External" Id="rId263"/><Relationship Type="http://schemas.openxmlformats.org/officeDocument/2006/relationships/hyperlink" Target="mailto:jin.yang@austin.utexas.edu" TargetMode="External" Id="rId264"/><Relationship Type="http://schemas.openxmlformats.org/officeDocument/2006/relationships/hyperlink" Target="https://ae.utexas.edu/people/faculty" TargetMode="External" Id="rId265"/><Relationship Type="http://schemas.openxmlformats.org/officeDocument/2006/relationships/hyperlink" Target="https://pge.utexas.edu/person/john-foster/" TargetMode="External" Id="rId266"/><Relationship Type="http://schemas.openxmlformats.org/officeDocument/2006/relationships/hyperlink" Target="https://scholar.google.com/citations?view_op=search_authors&amp;mauthors=John%20Foster%20University%20of%20Texas%20at%20Austin" TargetMode="External" Id="rId267"/><Relationship Type="http://schemas.openxmlformats.org/officeDocument/2006/relationships/hyperlink" Target="mailto:jfoster@austin.utexas.edu" TargetMode="External" Id="rId268"/><Relationship Type="http://schemas.openxmlformats.org/officeDocument/2006/relationships/hyperlink" Target="https://ae.utexas.edu/people/faculty" TargetMode="External" Id="rId269"/><Relationship Type="http://schemas.openxmlformats.org/officeDocument/2006/relationships/hyperlink" Target="https://ae.utexas.edu/person/k-ravi-chandar/" TargetMode="External" Id="rId270"/><Relationship Type="http://schemas.openxmlformats.org/officeDocument/2006/relationships/hyperlink" Target="https://scholar.google.com/citations?view_op=search_authors&amp;mauthors=K.%20Ravi-Chandar%20University%20of%20Texas%20at%20Austin" TargetMode="External" Id="rId271"/><Relationship Type="http://schemas.openxmlformats.org/officeDocument/2006/relationships/hyperlink" Target="mailto:ravi@utexas.edu" TargetMode="External" Id="rId272"/><Relationship Type="http://schemas.openxmlformats.org/officeDocument/2006/relationships/hyperlink" Target="https://ae.utexas.edu/people/faculty" TargetMode="External" Id="rId273"/><Relationship Type="http://schemas.openxmlformats.org/officeDocument/2006/relationships/hyperlink" Target="https://ae.utexas.edu/person/mark-e-mear/" TargetMode="External" Id="rId274"/><Relationship Type="http://schemas.openxmlformats.org/officeDocument/2006/relationships/hyperlink" Target="https://scholar.google.com/citations?view_op=search_authors&amp;mauthors=Mark%20E.%20Mear%20University%20of%20Texas%20at%20Austin" TargetMode="External" Id="rId275"/><Relationship Type="http://schemas.openxmlformats.org/officeDocument/2006/relationships/hyperlink" Target="mailto:mear@mail.utexas.edu" TargetMode="External" Id="rId276"/><Relationship Type="http://schemas.openxmlformats.org/officeDocument/2006/relationships/hyperlink" Target="https://ae.utexas.edu/people/faculty" TargetMode="External" Id="rId277"/><Relationship Type="http://schemas.openxmlformats.org/officeDocument/2006/relationships/hyperlink" Target="https://ae.utexas.edu/person/nanshu-lu/" TargetMode="External" Id="rId278"/><Relationship Type="http://schemas.openxmlformats.org/officeDocument/2006/relationships/hyperlink" Target="https://scholar.google.com/citations?view_op=search_authors&amp;mauthors=Nanshu%20Lu%20University%20of%20Texas%20at%20Austin" TargetMode="External" Id="rId279"/><Relationship Type="http://schemas.openxmlformats.org/officeDocument/2006/relationships/hyperlink" Target="mailto:nanshulu@utexas.edu" TargetMode="External" Id="rId280"/><Relationship Type="http://schemas.openxmlformats.org/officeDocument/2006/relationships/hyperlink" Target="https://ae.utexas.edu/people/faculty" TargetMode="External" Id="rId281"/><Relationship Type="http://schemas.openxmlformats.org/officeDocument/2006/relationships/hyperlink" Target="https://me.utexas.edu/person/s-v-sreenivasan/" TargetMode="External" Id="rId282"/><Relationship Type="http://schemas.openxmlformats.org/officeDocument/2006/relationships/hyperlink" Target="https://scholar.google.com/citations?view_op=search_authors&amp;mauthors=S.V.%20Sreenivasan%20University%20of%20Texas%20at%20Austin" TargetMode="External" Id="rId283"/><Relationship Type="http://schemas.openxmlformats.org/officeDocument/2006/relationships/hyperlink" Target="mailto:sv.sreeni@mail.utexas.edu" TargetMode="External" Id="rId284"/><Relationship Type="http://schemas.openxmlformats.org/officeDocument/2006/relationships/hyperlink" Target="https://me.utexas.edu/people/faculty" TargetMode="External" Id="rId285"/><Relationship Type="http://schemas.openxmlformats.org/officeDocument/2006/relationships/hyperlink" Target="https://me.utexas.edu/person/tanya-hutter/" TargetMode="External" Id="rId286"/><Relationship Type="http://schemas.openxmlformats.org/officeDocument/2006/relationships/hyperlink" Target="https://scholar.google.com/citations?view_op=search_authors&amp;mauthors=Tanya%20Hutter%20University%20of%20Texas%20at%20Austin" TargetMode="External" Id="rId287"/><Relationship Type="http://schemas.openxmlformats.org/officeDocument/2006/relationships/hyperlink" Target="mailto:tanya.hutter@utexas.edu" TargetMode="External" Id="rId288"/><Relationship Type="http://schemas.openxmlformats.org/officeDocument/2006/relationships/hyperlink" Target="https://me.utexas.edu/people/faculty" TargetMode="External" Id="rId289"/><Relationship Type="http://schemas.openxmlformats.org/officeDocument/2006/relationships/hyperlink" Target="https://me.utexas.edu/person/venkat-subramanian/" TargetMode="External" Id="rId290"/><Relationship Type="http://schemas.openxmlformats.org/officeDocument/2006/relationships/hyperlink" Target="https://scholar.google.com/citations?view_op=search_authors&amp;mauthors=Venkat%20Subramanian%20University%20of%20Texas%20at%20Austin" TargetMode="External" Id="rId291"/><Relationship Type="http://schemas.openxmlformats.org/officeDocument/2006/relationships/hyperlink" Target="mailto:venkat.subramanian@utexas.edu" TargetMode="External" Id="rId292"/><Relationship Type="http://schemas.openxmlformats.org/officeDocument/2006/relationships/hyperlink" Target="https://me.utexas.edu/people/faculty" TargetMode="External" Id="rId293"/><Relationship Type="http://schemas.openxmlformats.org/officeDocument/2006/relationships/hyperlink" Target="https://me.utexas.edu/person/chih-hao-chang/" TargetMode="External" Id="rId294"/><Relationship Type="http://schemas.openxmlformats.org/officeDocument/2006/relationships/hyperlink" Target="https://scholar.google.com/citations?view_op=search_authors&amp;mauthors=Chih-Hao%20Chang%20University%20of%20Texas%20at%20Austin" TargetMode="External" Id="rId295"/><Relationship Type="http://schemas.openxmlformats.org/officeDocument/2006/relationships/hyperlink" Target="mailto:chichang@utexas.edu" TargetMode="External" Id="rId296"/><Relationship Type="http://schemas.openxmlformats.org/officeDocument/2006/relationships/hyperlink" Target="https://me.utexas.edu/people/faculty" TargetMode="External" Id="rId297"/><Relationship Type="http://schemas.openxmlformats.org/officeDocument/2006/relationships/hyperlink" Target="https://me.utexas.edu/person/david-mitlin/" TargetMode="External" Id="rId298"/><Relationship Type="http://schemas.openxmlformats.org/officeDocument/2006/relationships/hyperlink" Target="https://scholar.google.com/citations?view_op=search_authors&amp;mauthors=David%20Mitlin%20University%20of%20Texas%20at%20Austin" TargetMode="External" Id="rId299"/><Relationship Type="http://schemas.openxmlformats.org/officeDocument/2006/relationships/hyperlink" Target="mailto:david.mitlin@austin.utexas.edu" TargetMode="External" Id="rId300"/><Relationship Type="http://schemas.openxmlformats.org/officeDocument/2006/relationships/hyperlink" Target="https://me.utexas.edu/people/faculty" TargetMode="External" Id="rId301"/><Relationship Type="http://schemas.openxmlformats.org/officeDocument/2006/relationships/hyperlink" Target="https://me.utexas.edu/person/desiderio-kovar/" TargetMode="External" Id="rId302"/><Relationship Type="http://schemas.openxmlformats.org/officeDocument/2006/relationships/hyperlink" Target="https://scholar.google.com/citations?view_op=search_authors&amp;mauthors=Desiderio%20Kovar%20University%20of%20Texas%20at%20Austin" TargetMode="External" Id="rId303"/><Relationship Type="http://schemas.openxmlformats.org/officeDocument/2006/relationships/hyperlink" Target="mailto:dekovar@austin.utexas.edu" TargetMode="External" Id="rId304"/><Relationship Type="http://schemas.openxmlformats.org/officeDocument/2006/relationships/hyperlink" Target="https://me.utexas.edu/people/faculty" TargetMode="External" Id="rId305"/><Relationship Type="http://schemas.openxmlformats.org/officeDocument/2006/relationships/hyperlink" Target="https://me.utexas.edu/person/donald-siegel/" TargetMode="External" Id="rId306"/><Relationship Type="http://schemas.openxmlformats.org/officeDocument/2006/relationships/hyperlink" Target="https://scholar.google.com/citations?view_op=search_authors&amp;mauthors=Donald%20Siegel%20University%20of%20Texas%20at%20Austin" TargetMode="External" Id="rId307"/><Relationship Type="http://schemas.openxmlformats.org/officeDocument/2006/relationships/hyperlink" Target="mailto:donald.siegel@austin.utexas.edu" TargetMode="External" Id="rId308"/><Relationship Type="http://schemas.openxmlformats.org/officeDocument/2006/relationships/hyperlink" Target="https://me.utexas.edu/people/faculty" TargetMode="External" Id="rId309"/><Relationship Type="http://schemas.openxmlformats.org/officeDocument/2006/relationships/hyperlink" Target="https://me.utexas.edu/person/filippo-mangolini/" TargetMode="External" Id="rId310"/><Relationship Type="http://schemas.openxmlformats.org/officeDocument/2006/relationships/hyperlink" Target="https://scholar.google.com/citations?view_op=search_authors&amp;mauthors=Filippo%20Mangolini%20University%20of%20Texas%20at%20Austin" TargetMode="External" Id="rId311"/><Relationship Type="http://schemas.openxmlformats.org/officeDocument/2006/relationships/hyperlink" Target="mailto:filippo.mangolini@austin.utexas.edu" TargetMode="External" Id="rId312"/><Relationship Type="http://schemas.openxmlformats.org/officeDocument/2006/relationships/hyperlink" Target="https://me.utexas.edu/people/faculty" TargetMode="External" Id="rId313"/><Relationship Type="http://schemas.openxmlformats.org/officeDocument/2006/relationships/hyperlink" Target="https://me.utexas.edu/person/hadi-khani/" TargetMode="External" Id="rId314"/><Relationship Type="http://schemas.openxmlformats.org/officeDocument/2006/relationships/hyperlink" Target="https://scholar.google.com/citations?view_op=search_authors&amp;mauthors=Hadi%20Khani%20University%20of%20Texas%20at%20Austin" TargetMode="External" Id="rId315"/><Relationship Type="http://schemas.openxmlformats.org/officeDocument/2006/relationships/hyperlink" Target="mailto:hadi.khani@austin.utexas.edu" TargetMode="External" Id="rId316"/><Relationship Type="http://schemas.openxmlformats.org/officeDocument/2006/relationships/hyperlink" Target="https://me.utexas.edu/people/faculty" TargetMode="External" Id="rId317"/><Relationship Type="http://schemas.openxmlformats.org/officeDocument/2006/relationships/hyperlink" Target="https://me.utexas.edu/person/jamie-warner/" TargetMode="External" Id="rId318"/><Relationship Type="http://schemas.openxmlformats.org/officeDocument/2006/relationships/hyperlink" Target="https://scholar.google.com/citations?view_op=search_authors&amp;mauthors=Jamie%20Warner%20University%20of%20Texas%20at%20Austin" TargetMode="External" Id="rId319"/><Relationship Type="http://schemas.openxmlformats.org/officeDocument/2006/relationships/hyperlink" Target="mailto:jamie.warner@austin.utexas.edu" TargetMode="External" Id="rId320"/><Relationship Type="http://schemas.openxmlformats.org/officeDocument/2006/relationships/hyperlink" Target="https://me.utexas.edu/people/faculty" TargetMode="External" Id="rId321"/><Relationship Type="http://schemas.openxmlformats.org/officeDocument/2006/relationships/hyperlink" Target="https://ae.utexas.edu/person/jong-eun-jaden-suh/" TargetMode="External" Id="rId322"/><Relationship Type="http://schemas.openxmlformats.org/officeDocument/2006/relationships/hyperlink" Target="https://scholar.google.com/citations?view_op=search_authors&amp;mauthors=Jong-Eun%20%22Jaden%22%20Suh%20University%20of%20Texas%20at%20Austin" TargetMode="External" Id="rId323"/><Relationship Type="http://schemas.openxmlformats.org/officeDocument/2006/relationships/hyperlink" Target="mailto:jsuh@utexas.edu" TargetMode="External" Id="rId324"/><Relationship Type="http://schemas.openxmlformats.org/officeDocument/2006/relationships/hyperlink" Target="https://ae.utexas.edu/people/faculty" TargetMode="External" Id="rId325"/><Relationship Type="http://schemas.openxmlformats.org/officeDocument/2006/relationships/hyperlink" Target="https://me.utexas.edu/person/joseph-koo/" TargetMode="External" Id="rId326"/><Relationship Type="http://schemas.openxmlformats.org/officeDocument/2006/relationships/hyperlink" Target="https://scholar.google.com/citations?view_op=search_authors&amp;mauthors=Joseph%20Koo%20University%20of%20Texas%20at%20Austin" TargetMode="External" Id="rId327"/><Relationship Type="http://schemas.openxmlformats.org/officeDocument/2006/relationships/hyperlink" Target="mailto:jkoo@austin.utexas.edu" TargetMode="External" Id="rId328"/><Relationship Type="http://schemas.openxmlformats.org/officeDocument/2006/relationships/hyperlink" Target="https://me.utexas.edu/people/faculty" TargetMode="External" Id="rId329"/><Relationship Type="http://schemas.openxmlformats.org/officeDocument/2006/relationships/hyperlink" Target="https://physics.utexas.edu/directory/mark-raizen" TargetMode="External" Id="rId330"/><Relationship Type="http://schemas.openxmlformats.org/officeDocument/2006/relationships/hyperlink" Target="https://scholar.google.com/citations?view_op=search_authors&amp;mauthors=Mark%20Raizen%20University%20of%20Texas%20at%20Austin" TargetMode="External" Id="rId331"/><Relationship Type="http://schemas.openxmlformats.org/officeDocument/2006/relationships/hyperlink" Target="mailto:raizen@physics.utexas.edu" TargetMode="External" Id="rId332"/><Relationship Type="http://schemas.openxmlformats.org/officeDocument/2006/relationships/hyperlink" Target="https://me.utexas.edu/people/faculty" TargetMode="External" Id="rId333"/><Relationship Type="http://schemas.openxmlformats.org/officeDocument/2006/relationships/hyperlink" Target="https://me.utexas.edu/person/wei-li/" TargetMode="External" Id="rId334"/><Relationship Type="http://schemas.openxmlformats.org/officeDocument/2006/relationships/hyperlink" Target="https://scholar.google.com/citations?view_op=search_authors&amp;mauthors=Wei%20Li%20University%20of%20Texas%20at%20Austin" TargetMode="External" Id="rId335"/><Relationship Type="http://schemas.openxmlformats.org/officeDocument/2006/relationships/hyperlink" Target="mailto:weiwli@austin.utexas.edu" TargetMode="External" Id="rId336"/><Relationship Type="http://schemas.openxmlformats.org/officeDocument/2006/relationships/hyperlink" Target="https://me.utexas.edu/people/faculty" TargetMode="External" Id="rId337"/><Relationship Type="http://schemas.openxmlformats.org/officeDocument/2006/relationships/hyperlink" Target="https://me.utexas.edu/person/yuanyue-liu/" TargetMode="External" Id="rId338"/><Relationship Type="http://schemas.openxmlformats.org/officeDocument/2006/relationships/hyperlink" Target="https://scholar.google.com/citations?view_op=search_authors&amp;mauthors=Yuanyue%20Liu%20University%20of%20Texas%20at%20Austin" TargetMode="External" Id="rId339"/><Relationship Type="http://schemas.openxmlformats.org/officeDocument/2006/relationships/hyperlink" Target="mailto:yuanyue.liu@austin.utexas.edu" TargetMode="External" Id="rId340"/><Relationship Type="http://schemas.openxmlformats.org/officeDocument/2006/relationships/hyperlink" Target="https://me.utexas.edu/people/faculty" TargetMode="External" Id="rId341"/><Relationship Type="http://schemas.openxmlformats.org/officeDocument/2006/relationships/hyperlink" Target="https://me.utexas.edu/person/zhantao-chen/" TargetMode="External" Id="rId342"/><Relationship Type="http://schemas.openxmlformats.org/officeDocument/2006/relationships/hyperlink" Target="https://scholar.google.com/citations?view_op=search_authors&amp;mauthors=Zhantao%20Chen%20University%20of%20Texas%20at%20Austin" TargetMode="External" Id="rId343"/><Relationship Type="http://schemas.openxmlformats.org/officeDocument/2006/relationships/hyperlink" Target="mailto:zhantao@austin.utexas.edu" TargetMode="External" Id="rId344"/><Relationship Type="http://schemas.openxmlformats.org/officeDocument/2006/relationships/hyperlink" Target="https://me.utexas.edu/people/faculty" TargetMode="External" Id="rId345"/><Relationship Type="http://schemas.openxmlformats.org/officeDocument/2006/relationships/hyperlink" Target="https://me.utexas.edu/person/anastasia-schauer/" TargetMode="External" Id="rId346"/><Relationship Type="http://schemas.openxmlformats.org/officeDocument/2006/relationships/hyperlink" Target="https://scholar.google.com/citations?view_op=search_authors&amp;mauthors=Anastasia%20Schauer%20University%20of%20Texas%20at%20Austin" TargetMode="External" Id="rId347"/><Relationship Type="http://schemas.openxmlformats.org/officeDocument/2006/relationships/hyperlink" Target="mailto:anastasia.schauer@austin.utexas.edu" TargetMode="External" Id="rId348"/><Relationship Type="http://schemas.openxmlformats.org/officeDocument/2006/relationships/hyperlink" Target="https://me.utexas.edu/people/faculty" TargetMode="External" Id="rId349"/><Relationship Type="http://schemas.openxmlformats.org/officeDocument/2006/relationships/hyperlink" Target="https://me.utexas.edu/person/chris-rylander/" TargetMode="External" Id="rId350"/><Relationship Type="http://schemas.openxmlformats.org/officeDocument/2006/relationships/hyperlink" Target="https://scholar.google.com/citations?view_op=search_authors&amp;mauthors=Chris%20Rylander%20University%20of%20Texas%20at%20Austin" TargetMode="External" Id="rId351"/><Relationship Type="http://schemas.openxmlformats.org/officeDocument/2006/relationships/hyperlink" Target="mailto:cgr@austin.utexas.edu" TargetMode="External" Id="rId352"/><Relationship Type="http://schemas.openxmlformats.org/officeDocument/2006/relationships/hyperlink" Target="https://me.utexas.edu/people/faculty" TargetMode="External" Id="rId353"/><Relationship Type="http://schemas.openxmlformats.org/officeDocument/2006/relationships/hyperlink" Target="https://me.utexas.edu/person/dragan-djurdjanovic/" TargetMode="External" Id="rId354"/><Relationship Type="http://schemas.openxmlformats.org/officeDocument/2006/relationships/hyperlink" Target="https://scholar.google.com/citations?view_op=search_authors&amp;mauthors=Dragan%20Djurdjanovic%20University%20of%20Texas%20at%20Austin" TargetMode="External" Id="rId355"/><Relationship Type="http://schemas.openxmlformats.org/officeDocument/2006/relationships/hyperlink" Target="mailto:dragan.djurdjanovic@mail.utexas.edu" TargetMode="External" Id="rId356"/><Relationship Type="http://schemas.openxmlformats.org/officeDocument/2006/relationships/hyperlink" Target="https://me.utexas.edu/people/faculty" TargetMode="External" Id="rId357"/><Relationship Type="http://schemas.openxmlformats.org/officeDocument/2006/relationships/hyperlink" Target="https://me.utexas.edu/person/erhan-kutanoglu/" TargetMode="External" Id="rId358"/><Relationship Type="http://schemas.openxmlformats.org/officeDocument/2006/relationships/hyperlink" Target="https://scholar.google.com/citations?view_op=search_authors&amp;mauthors=Erhan%20Kutanoglu%20University%20of%20Texas%20at%20Austin" TargetMode="External" Id="rId359"/><Relationship Type="http://schemas.openxmlformats.org/officeDocument/2006/relationships/hyperlink" Target="mailto:erhank@mail.utexas.edu" TargetMode="External" Id="rId360"/><Relationship Type="http://schemas.openxmlformats.org/officeDocument/2006/relationships/hyperlink" Target="https://me.utexas.edu/people/faculty" TargetMode="External" Id="rId361"/><Relationship Type="http://schemas.openxmlformats.org/officeDocument/2006/relationships/hyperlink" Target="https://me.utexas.edu/person/john-hasenbein/" TargetMode="External" Id="rId362"/><Relationship Type="http://schemas.openxmlformats.org/officeDocument/2006/relationships/hyperlink" Target="https://scholar.google.com/citations?view_op=search_authors&amp;mauthors=John%20Hasenbein%20University%20of%20Texas%20at%20Austin" TargetMode="External" Id="rId363"/><Relationship Type="http://schemas.openxmlformats.org/officeDocument/2006/relationships/hyperlink" Target="mailto:jhas@mail.utexas.edu" TargetMode="External" Id="rId364"/><Relationship Type="http://schemas.openxmlformats.org/officeDocument/2006/relationships/hyperlink" Target="https://me.utexas.edu/people/faculty" TargetMode="External" Id="rId365"/><Relationship Type="http://schemas.openxmlformats.org/officeDocument/2006/relationships/hyperlink" Target="https://me.utexas.edu/person/jonathan-bard/" TargetMode="External" Id="rId366"/><Relationship Type="http://schemas.openxmlformats.org/officeDocument/2006/relationships/hyperlink" Target="https://scholar.google.com/citations?view_op=search_authors&amp;mauthors=Jonathan%20Bard%20University%20of%20Texas%20at%20Austin" TargetMode="External" Id="rId367"/><Relationship Type="http://schemas.openxmlformats.org/officeDocument/2006/relationships/hyperlink" Target="mailto:jbard@utexas.edu" TargetMode="External" Id="rId368"/><Relationship Type="http://schemas.openxmlformats.org/officeDocument/2006/relationships/hyperlink" Target="https://me.utexas.edu/people/faculty" TargetMode="External" Id="rId369"/><Relationship Type="http://schemas.openxmlformats.org/officeDocument/2006/relationships/hyperlink" Target="https://me.utexas.edu/person/yijin-liu/" TargetMode="External" Id="rId370"/><Relationship Type="http://schemas.openxmlformats.org/officeDocument/2006/relationships/hyperlink" Target="https://scholar.google.com/citations?view_op=search_authors&amp;mauthors=Yijin%20Liu%20University%20of%20Texas%20at%20Austin" TargetMode="External" Id="rId371"/><Relationship Type="http://schemas.openxmlformats.org/officeDocument/2006/relationships/hyperlink" Target="mailto:yijin.liu@austin.utexas.edu" TargetMode="External" Id="rId372"/><Relationship Type="http://schemas.openxmlformats.org/officeDocument/2006/relationships/hyperlink" Target="https://me.utexas.edu/people/faculty" TargetMode="External" Id="rId373"/><Relationship Type="http://schemas.openxmlformats.org/officeDocument/2006/relationships/hyperlink" Target="https://me.utexas.edu/person/zhenghui-sha/" TargetMode="External" Id="rId374"/><Relationship Type="http://schemas.openxmlformats.org/officeDocument/2006/relationships/hyperlink" Target="https://scholar.google.com/citations?view_op=search_authors&amp;mauthors=Zhenghui%20Sha%20University%20of%20Texas%20at%20Austin" TargetMode="External" Id="rId375"/><Relationship Type="http://schemas.openxmlformats.org/officeDocument/2006/relationships/hyperlink" Target="mailto:zsha@austin.utexas.edu" TargetMode="External" Id="rId376"/><Relationship Type="http://schemas.openxmlformats.org/officeDocument/2006/relationships/hyperlink" Target="https://me.utexas.edu/people/faculty" TargetMode="External" Id="rId377"/><Relationship Type="http://schemas.openxmlformats.org/officeDocument/2006/relationships/hyperlink" Target="https://ae.utexas.edu/person/ryan-russell/" TargetMode="External" Id="rId378"/><Relationship Type="http://schemas.openxmlformats.org/officeDocument/2006/relationships/hyperlink" Target="https://scholar.google.com/citations?view_op=search_authors&amp;mauthors=Ryan%20Russell%20University%20of%20Texas%20at%20Austin" TargetMode="External" Id="rId379"/><Relationship Type="http://schemas.openxmlformats.org/officeDocument/2006/relationships/hyperlink" Target="mailto:ryan.russell@austin.utexas.edu" TargetMode="External" Id="rId380"/><Relationship Type="http://schemas.openxmlformats.org/officeDocument/2006/relationships/hyperlink" Target="https://ae.utexas.edu/people/faculty" TargetMode="External" Id="rId381"/><Relationship Type="http://schemas.openxmlformats.org/officeDocument/2006/relationships/hyperlink" Target="https://ae.utexas.edu/person/efstathios-bakolas/" TargetMode="External" Id="rId382"/><Relationship Type="http://schemas.openxmlformats.org/officeDocument/2006/relationships/hyperlink" Target="https://scholar.google.com/citations?view_op=search_authors&amp;mauthors=Efstathios%20Bakolas%20University%20of%20Texas%20at%20Austin" TargetMode="External" Id="rId383"/><Relationship Type="http://schemas.openxmlformats.org/officeDocument/2006/relationships/hyperlink" Target="mailto:bakolas@austin.utexas.edu" TargetMode="External" Id="rId384"/><Relationship Type="http://schemas.openxmlformats.org/officeDocument/2006/relationships/hyperlink" Target="https://ae.utexas.edu/people/faculty" TargetMode="External" Id="rId385"/><Relationship Type="http://schemas.openxmlformats.org/officeDocument/2006/relationships/hyperlink" Target="https://ae.utexas.edu/person/ethan-burnett/" TargetMode="External" Id="rId386"/><Relationship Type="http://schemas.openxmlformats.org/officeDocument/2006/relationships/hyperlink" Target="https://scholar.google.com/citations?view_op=search_authors&amp;mauthors=Ethan%20Burnett%20University%20of%20Texas%20at%20Austin" TargetMode="External" Id="rId387"/><Relationship Type="http://schemas.openxmlformats.org/officeDocument/2006/relationships/hyperlink" Target="mailto:ethan.burnett@utexas.edu" TargetMode="External" Id="rId388"/><Relationship Type="http://schemas.openxmlformats.org/officeDocument/2006/relationships/hyperlink" Target="https://ae.utexas.edu/people/faculty" TargetMode="External" Id="rId389"/><Relationship Type="http://schemas.openxmlformats.org/officeDocument/2006/relationships/hyperlink" Target="https://ae.utexas.edu/person/renato-zanetti/" TargetMode="External" Id="rId390"/><Relationship Type="http://schemas.openxmlformats.org/officeDocument/2006/relationships/hyperlink" Target="https://scholar.google.com/citations?view_op=search_authors&amp;mauthors=Renato%20Zanetti%20University%20of%20Texas%20at%20Austin" TargetMode="External" Id="rId391"/><Relationship Type="http://schemas.openxmlformats.org/officeDocument/2006/relationships/hyperlink" Target="mailto:renato@utexas.edu" TargetMode="External" Id="rId392"/><Relationship Type="http://schemas.openxmlformats.org/officeDocument/2006/relationships/hyperlink" Target="https://ae.utexas.edu/people/faculty" TargetMode="External" Id="rId393"/><Relationship Type="http://schemas.openxmlformats.org/officeDocument/2006/relationships/hyperlink" Target="https://ae.utexas.edu/person/srinivas-v-bettadpur/" TargetMode="External" Id="rId394"/><Relationship Type="http://schemas.openxmlformats.org/officeDocument/2006/relationships/hyperlink" Target="https://scholar.google.com/citations?view_op=search_authors&amp;mauthors=Srinivas%20Bettadpur%20University%20of%20Texas%20at%20Austin" TargetMode="External" Id="rId395"/><Relationship Type="http://schemas.openxmlformats.org/officeDocument/2006/relationships/hyperlink" Target="mailto:srinivas@csr.utexas.edu" TargetMode="External" Id="rId396"/><Relationship Type="http://schemas.openxmlformats.org/officeDocument/2006/relationships/hyperlink" Target="https://ae.utexas.edu/people/faculty" TargetMode="External" Id="rId397"/><Relationship Type="http://schemas.openxmlformats.org/officeDocument/2006/relationships/hyperlink" Target="https://ae.utexas.edu/person/brandon-jones/" TargetMode="External" Id="rId398"/><Relationship Type="http://schemas.openxmlformats.org/officeDocument/2006/relationships/hyperlink" Target="https://scholar.google.com/citations?view_op=search_authors&amp;mauthors=Brandon%20Jones%20University%20of%20Texas%20at%20Austin" TargetMode="External" Id="rId399"/><Relationship Type="http://schemas.openxmlformats.org/officeDocument/2006/relationships/hyperlink" Target="mailto:brandon.jones@utexas.edu" TargetMode="External" Id="rId400"/><Relationship Type="http://schemas.openxmlformats.org/officeDocument/2006/relationships/hyperlink" Target="https://ae.utexas.edu/people/faculty" TargetMode="External" Id="rId401"/><Relationship Type="http://schemas.openxmlformats.org/officeDocument/2006/relationships/hyperlink" Target="https://ae.utexas.edu/person/david-fridovich-keil/" TargetMode="External" Id="rId402"/><Relationship Type="http://schemas.openxmlformats.org/officeDocument/2006/relationships/hyperlink" Target="https://scholar.google.com/citations?view_op=search_authors&amp;mauthors=David%20Fridovich-Keil%20University%20of%20Texas%20at%20Austin" TargetMode="External" Id="rId403"/><Relationship Type="http://schemas.openxmlformats.org/officeDocument/2006/relationships/hyperlink" Target="mailto:dfk@utexas.edu" TargetMode="External" Id="rId404"/><Relationship Type="http://schemas.openxmlformats.org/officeDocument/2006/relationships/hyperlink" Target="https://ae.utexas.edu/people/faculty" TargetMode="External" Id="rId405"/><Relationship Type="http://schemas.openxmlformats.org/officeDocument/2006/relationships/hyperlink" Target="https://ae.utexas.edu/person/luis-sentis/" TargetMode="External" Id="rId406"/><Relationship Type="http://schemas.openxmlformats.org/officeDocument/2006/relationships/hyperlink" Target="https://scholar.google.com/citations?view_op=search_authors&amp;mauthors=Luis%20Sentis%20University%20of%20Texas%20at%20Austin" TargetMode="External" Id="rId407"/><Relationship Type="http://schemas.openxmlformats.org/officeDocument/2006/relationships/hyperlink" Target="mailto:lsentis@austin.utexas.edu" TargetMode="External" Id="rId408"/><Relationship Type="http://schemas.openxmlformats.org/officeDocument/2006/relationships/hyperlink" Target="https://ae.utexas.edu/people/faculty" TargetMode="External" Id="rId409"/><Relationship Type="http://schemas.openxmlformats.org/officeDocument/2006/relationships/hyperlink" Target="https://ae.utexas.edu/person/moriba-k-jah/" TargetMode="External" Id="rId410"/><Relationship Type="http://schemas.openxmlformats.org/officeDocument/2006/relationships/hyperlink" Target="https://scholar.google.com/citations?view_op=search_authors&amp;mauthors=Moriba%20K.%20Jah%20University%20of%20Texas%20at%20Austin" TargetMode="External" Id="rId411"/><Relationship Type="http://schemas.openxmlformats.org/officeDocument/2006/relationships/hyperlink" Target="mailto:moriba@utexas.edu" TargetMode="External" Id="rId412"/><Relationship Type="http://schemas.openxmlformats.org/officeDocument/2006/relationships/hyperlink" Target="https://ae.utexas.edu/people/faculty" TargetMode="External" Id="rId413"/><Relationship Type="http://schemas.openxmlformats.org/officeDocument/2006/relationships/hyperlink" Target="https://ae.utexas.edu/person/todd-e-humphreys/" TargetMode="External" Id="rId414"/><Relationship Type="http://schemas.openxmlformats.org/officeDocument/2006/relationships/hyperlink" Target="https://scholar.google.com/citations?view_op=search_authors&amp;mauthors=Todd%20E.%20Humphreys%20University%20of%20Texas%20at%20Austin" TargetMode="External" Id="rId415"/><Relationship Type="http://schemas.openxmlformats.org/officeDocument/2006/relationships/hyperlink" Target="mailto:todd.humphreys@utexas.edu" TargetMode="External" Id="rId416"/><Relationship Type="http://schemas.openxmlformats.org/officeDocument/2006/relationships/hyperlink" Target="https://ae.utexas.edu/people/faculty" TargetMode="External" Id="rId417"/><Relationship Type="http://schemas.openxmlformats.org/officeDocument/2006/relationships/hyperlink" Target="https://ae.utexas.edu/person/hannah-lu/" TargetMode="External" Id="rId418"/><Relationship Type="http://schemas.openxmlformats.org/officeDocument/2006/relationships/hyperlink" Target="https://scholar.google.com/citations?view_op=search_authors&amp;mauthors=Hannah%20Lu%20University%20of%20Texas%20at%20Austin" TargetMode="External" Id="rId419"/><Relationship Type="http://schemas.openxmlformats.org/officeDocument/2006/relationships/hyperlink" Target="mailto:hannah.lu@austin.utexas.edu" TargetMode="External" Id="rId420"/><Relationship Type="http://schemas.openxmlformats.org/officeDocument/2006/relationships/hyperlink" Target="https://ae.utexas.edu/people/faculty" TargetMode="External" Id="rId421"/><Relationship Type="http://schemas.openxmlformats.org/officeDocument/2006/relationships/hyperlink" Target="https://me.utexas.edu/person/junmin-wang/" TargetMode="External" Id="rId422"/><Relationship Type="http://schemas.openxmlformats.org/officeDocument/2006/relationships/hyperlink" Target="https://scholar.google.com/citations?view_op=search_authors&amp;mauthors=Junmin%20Wang%20University%20of%20Texas%20at%20Austin" TargetMode="External" Id="rId423"/><Relationship Type="http://schemas.openxmlformats.org/officeDocument/2006/relationships/hyperlink" Target="mailto:jwang@austin.utexas.edu" TargetMode="External" Id="rId424"/><Relationship Type="http://schemas.openxmlformats.org/officeDocument/2006/relationships/hyperlink" Target="https://me.utexas.edu/people/faculty" TargetMode="External" Id="rId425"/><Relationship Type="http://schemas.openxmlformats.org/officeDocument/2006/relationships/hyperlink" Target="https://ae.utexas.edu/person/lori-magruder/" TargetMode="External" Id="rId426"/><Relationship Type="http://schemas.openxmlformats.org/officeDocument/2006/relationships/hyperlink" Target="https://scholar.google.com/citations?view_op=search_authors&amp;mauthors=Lori%20Magruder%20University%20of%20Texas%20at%20Austin" TargetMode="External" Id="rId427"/><Relationship Type="http://schemas.openxmlformats.org/officeDocument/2006/relationships/hyperlink" Target="mailto:lori.magruder@austin.utexas.edu" TargetMode="External" Id="rId428"/><Relationship Type="http://schemas.openxmlformats.org/officeDocument/2006/relationships/hyperlink" Target="https://ae.utexas.edu/people/faculty" TargetMode="External" Id="rId429"/><Relationship Type="http://schemas.openxmlformats.org/officeDocument/2006/relationships/hyperlink" Target="https://me.utexas.edu/person/scott-fish/" TargetMode="External" Id="rId430"/><Relationship Type="http://schemas.openxmlformats.org/officeDocument/2006/relationships/hyperlink" Target="https://scholar.google.com/citations?view_op=search_authors&amp;mauthors=Scott%20Fish%20University%20of%20Texas%20at%20Austin" TargetMode="External" Id="rId431"/><Relationship Type="http://schemas.openxmlformats.org/officeDocument/2006/relationships/hyperlink" Target="mailto:scott.fish@utexas.edu" TargetMode="External" Id="rId432"/><Relationship Type="http://schemas.openxmlformats.org/officeDocument/2006/relationships/hyperlink" Target="https://me.utexas.edu/people/faculty" TargetMode="External" Id="rId433"/><Relationship Type="http://schemas.openxmlformats.org/officeDocument/2006/relationships/hyperlink" Target="https://me.utexas.edu/person/sheldon-landsberger/" TargetMode="External" Id="rId434"/><Relationship Type="http://schemas.openxmlformats.org/officeDocument/2006/relationships/hyperlink" Target="https://scholar.google.com/citations?view_op=search_authors&amp;mauthors=Sheldon%20Landsberger%20University%20of%20Texas%20at%20Austin" TargetMode="External" Id="rId435"/><Relationship Type="http://schemas.openxmlformats.org/officeDocument/2006/relationships/hyperlink" Target="mailto:s.landsberger@mail.utexas.edu" TargetMode="External" Id="rId436"/><Relationship Type="http://schemas.openxmlformats.org/officeDocument/2006/relationships/hyperlink" Target="https://me.utexas.edu/people/faculty" TargetMode="External" Id="rId437"/><Relationship Type="http://schemas.openxmlformats.org/officeDocument/2006/relationships/hyperlink" Target="https://me.utexas.edu/person/ann-majewicz-fey/" TargetMode="External" Id="rId438"/><Relationship Type="http://schemas.openxmlformats.org/officeDocument/2006/relationships/hyperlink" Target="https://scholar.google.com/citations?view_op=search_authors&amp;mauthors=Ann%20Majewicz%20Fey%20University%20of%20Texas%20at%20Austin" TargetMode="External" Id="rId439"/><Relationship Type="http://schemas.openxmlformats.org/officeDocument/2006/relationships/hyperlink" Target="mailto:ann.majewiczfey@utexas.edu" TargetMode="External" Id="rId440"/><Relationship Type="http://schemas.openxmlformats.org/officeDocument/2006/relationships/hyperlink" Target="https://me.utexas.edu/people/faculty" TargetMode="External" Id="rId441"/><Relationship Type="http://schemas.openxmlformats.org/officeDocument/2006/relationships/hyperlink" Target="https://me.utexas.edu/person/dongmei-maggie-chen/" TargetMode="External" Id="rId442"/><Relationship Type="http://schemas.openxmlformats.org/officeDocument/2006/relationships/hyperlink" Target="https://scholar.google.com/citations?view_op=search_authors&amp;mauthors=Dongmei%20%22Maggie%22%20Chen%20University%20of%20Texas%20at%20Austin" TargetMode="External" Id="rId443"/><Relationship Type="http://schemas.openxmlformats.org/officeDocument/2006/relationships/hyperlink" Target="mailto:dmchen@me.utexas.edu" TargetMode="External" Id="rId444"/><Relationship Type="http://schemas.openxmlformats.org/officeDocument/2006/relationships/hyperlink" Target="https://me.utexas.edu/people/faculty" TargetMode="External" Id="rId445"/><Relationship Type="http://schemas.openxmlformats.org/officeDocument/2006/relationships/hyperlink" Target="https://ae.utexas.edu/person/jingyi-ann-chen/" TargetMode="External" Id="rId446"/><Relationship Type="http://schemas.openxmlformats.org/officeDocument/2006/relationships/hyperlink" Target="https://scholar.google.com/citations?view_op=search_authors&amp;mauthors=Jingyi%20%E2%80%9CAnn%E2%80%9D%20Chen%20University%20of%20Texas%20at%20Austin" TargetMode="External" Id="rId447"/><Relationship Type="http://schemas.openxmlformats.org/officeDocument/2006/relationships/hyperlink" Target="mailto:jingyi.ann.chen@utexas.edu" TargetMode="External" Id="rId448"/><Relationship Type="http://schemas.openxmlformats.org/officeDocument/2006/relationships/hyperlink" Target="https://ae.utexas.edu/people/faculty" TargetMode="External" Id="rId449"/><Relationship Type="http://schemas.openxmlformats.org/officeDocument/2006/relationships/hyperlink" Target="https://ae.utexas.edu/person/john-paul-clarke/" TargetMode="External" Id="rId450"/><Relationship Type="http://schemas.openxmlformats.org/officeDocument/2006/relationships/hyperlink" Target="https://scholar.google.com/citations?view_op=search_authors&amp;mauthors=John-Paul%20Clarke%20University%20of%20Texas%20at%20Austin" TargetMode="External" Id="rId451"/><Relationship Type="http://schemas.openxmlformats.org/officeDocument/2006/relationships/hyperlink" Target="mailto:johnpaul@utexas.edu" TargetMode="External" Id="rId452"/><Relationship Type="http://schemas.openxmlformats.org/officeDocument/2006/relationships/hyperlink" Target="https://ae.utexas.edu/people/faculty" TargetMode="External" Id="rId453"/><Relationship Type="http://schemas.openxmlformats.org/officeDocument/2006/relationships/hyperlink" Target="https://ae.utexas.edu/person/kevin-sagis/" TargetMode="External" Id="rId454"/><Relationship Type="http://schemas.openxmlformats.org/officeDocument/2006/relationships/hyperlink" Target="https://scholar.google.com/citations?view_op=search_authors&amp;mauthors=Kevin%20Sagis%20University%20of%20Texas%20at%20Austin" TargetMode="External" Id="rId455"/><Relationship Type="http://schemas.openxmlformats.org/officeDocument/2006/relationships/hyperlink" Target="mailto:kevin.sagis@austin.utexas.edu" TargetMode="External" Id="rId456"/><Relationship Type="http://schemas.openxmlformats.org/officeDocument/2006/relationships/hyperlink" Target="https://ae.utexas.edu/people/faculty" TargetMode="External" Id="rId457"/><Relationship Type="http://schemas.openxmlformats.org/officeDocument/2006/relationships/hyperlink" Target="https://ae.utexas.edu/person/luke-peterson/" TargetMode="External" Id="rId458"/><Relationship Type="http://schemas.openxmlformats.org/officeDocument/2006/relationships/hyperlink" Target="https://scholar.google.com/citations?view_op=search_authors&amp;mauthors=Luke%20Peterson%20University%20of%20Texas%20at%20Austin" TargetMode="External" Id="rId459"/><Relationship Type="http://schemas.openxmlformats.org/officeDocument/2006/relationships/hyperlink" Target="mailto:ltp@utexas.edu " TargetMode="External" Id="rId460"/><Relationship Type="http://schemas.openxmlformats.org/officeDocument/2006/relationships/hyperlink" Target="https://ae.utexas.edu/people/faculty" TargetMode="External" Id="rId461"/><Relationship Type="http://schemas.openxmlformats.org/officeDocument/2006/relationships/hyperlink" Target="https://ae.utexas.edu/person/manuel-rausch/" TargetMode="External" Id="rId462"/><Relationship Type="http://schemas.openxmlformats.org/officeDocument/2006/relationships/hyperlink" Target="https://scholar.google.com/citations?view_op=search_authors&amp;mauthors=Manuel%20Rausch%20University%20of%20Texas%20at%20Austin" TargetMode="External" Id="rId463"/><Relationship Type="http://schemas.openxmlformats.org/officeDocument/2006/relationships/hyperlink" Target="mailto:manuel.rausch@utexas.edu" TargetMode="External" Id="rId464"/><Relationship Type="http://schemas.openxmlformats.org/officeDocument/2006/relationships/hyperlink" Target="https://ae.utexas.edu/people/faculty" TargetMode="External" Id="rId465"/><Relationship Type="http://schemas.openxmlformats.org/officeDocument/2006/relationships/hyperlink" Target="https://ae.utexas.edu/person/maruthi-r-akella/" TargetMode="External" Id="rId466"/><Relationship Type="http://schemas.openxmlformats.org/officeDocument/2006/relationships/hyperlink" Target="https://scholar.google.com/citations?view_op=search_authors&amp;mauthors=Maruthi%20R.%20Akella%20University%20of%20Texas%20at%20Austin" TargetMode="External" Id="rId467"/><Relationship Type="http://schemas.openxmlformats.org/officeDocument/2006/relationships/hyperlink" Target="mailto:makella@mail.utexas.edu" TargetMode="External" Id="rId468"/><Relationship Type="http://schemas.openxmlformats.org/officeDocument/2006/relationships/hyperlink" Target="https://ae.utexas.edu/people/faculty" TargetMode="External" Id="rId469"/><Relationship Type="http://schemas.openxmlformats.org/officeDocument/2006/relationships/hyperlink" Target="https://me.utexas.edu/person/mitchell-pryor/" TargetMode="External" Id="rId470"/><Relationship Type="http://schemas.openxmlformats.org/officeDocument/2006/relationships/hyperlink" Target="https://scholar.google.com/citations?view_op=search_authors&amp;mauthors=Mitchell%20Pryor%20University%20of%20Texas%20at%20Austin" TargetMode="External" Id="rId471"/><Relationship Type="http://schemas.openxmlformats.org/officeDocument/2006/relationships/hyperlink" Target="mailto:mpryor@utexas.edu" TargetMode="External" Id="rId472"/><Relationship Type="http://schemas.openxmlformats.org/officeDocument/2006/relationships/hyperlink" Target="https://me.utexas.edu/people/faculty" TargetMode="External" Id="rId473"/><Relationship Type="http://schemas.openxmlformats.org/officeDocument/2006/relationships/hyperlink" Target="https://me.utexas.edu/person/nick-fey/" TargetMode="External" Id="rId474"/><Relationship Type="http://schemas.openxmlformats.org/officeDocument/2006/relationships/hyperlink" Target="https://scholar.google.com/citations?view_op=search_authors&amp;mauthors=Nick%20Fey%20University%20of%20Texas%20at%20Austin" TargetMode="External" Id="rId475"/><Relationship Type="http://schemas.openxmlformats.org/officeDocument/2006/relationships/hyperlink" Target="mailto:nfey@utexas.edu" TargetMode="External" Id="rId476"/><Relationship Type="http://schemas.openxmlformats.org/officeDocument/2006/relationships/hyperlink" Target="https://me.utexas.edu/people/faculty" TargetMode="External" Id="rId477"/><Relationship Type="http://schemas.openxmlformats.org/officeDocument/2006/relationships/hyperlink" Target="https://ae.utexas.edu/person/puneet-singh/" TargetMode="External" Id="rId478"/><Relationship Type="http://schemas.openxmlformats.org/officeDocument/2006/relationships/hyperlink" Target="https://scholar.google.com/citations?view_op=search_authors&amp;mauthors=Puneet%20Singh%20University%20of%20Texas%20at%20Austin" TargetMode="External" Id="rId479"/><Relationship Type="http://schemas.openxmlformats.org/officeDocument/2006/relationships/hyperlink" Target="mailto:punsingh@utexas.edu" TargetMode="External" Id="rId480"/><Relationship Type="http://schemas.openxmlformats.org/officeDocument/2006/relationships/hyperlink" Target="https://ae.utexas.edu/people/faculty" TargetMode="External" Id="rId481"/><Relationship Type="http://schemas.openxmlformats.org/officeDocument/2006/relationships/hyperlink" Target="https://ae.utexas.edu/person/tan-bui-thanh/" TargetMode="External" Id="rId482"/><Relationship Type="http://schemas.openxmlformats.org/officeDocument/2006/relationships/hyperlink" Target="https://scholar.google.com/citations?view_op=search_authors&amp;mauthors=Tan%20Bui-Thanh%20University%20of%20Texas%20at%20Austin" TargetMode="External" Id="rId483"/><Relationship Type="http://schemas.openxmlformats.org/officeDocument/2006/relationships/hyperlink" Target="mailto:tanbui@oden.utexas.edu" TargetMode="External" Id="rId484"/><Relationship Type="http://schemas.openxmlformats.org/officeDocument/2006/relationships/hyperlink" Target="https://ae.utexas.edu/people/faculty" TargetMode="External" Id="rId485"/><Relationship Type="http://schemas.openxmlformats.org/officeDocument/2006/relationships/hyperlink" Target="https://ae.utexas.edu/person/thinh-doan/" TargetMode="External" Id="rId486"/><Relationship Type="http://schemas.openxmlformats.org/officeDocument/2006/relationships/hyperlink" Target="https://scholar.google.com/citations?view_op=search_authors&amp;mauthors=Thinh%20Doan%20University%20of%20Texas%20at%20Austin" TargetMode="External" Id="rId487"/><Relationship Type="http://schemas.openxmlformats.org/officeDocument/2006/relationships/hyperlink" Target="mailto:thinhdoan@utexas.edu" TargetMode="External" Id="rId488"/><Relationship Type="http://schemas.openxmlformats.org/officeDocument/2006/relationships/hyperlink" Target="https://ae.utexas.edu/people/faculty" TargetMode="External" Id="rId489"/><Relationship Type="http://schemas.openxmlformats.org/officeDocument/2006/relationships/hyperlink" Target="https://ae.utexas.edu/person/ufuk-topcu/" TargetMode="External" Id="rId490"/><Relationship Type="http://schemas.openxmlformats.org/officeDocument/2006/relationships/hyperlink" Target="https://scholar.google.com/citations?view_op=search_authors&amp;mauthors=Ufuk%20Topcu%20University%20of%20Texas%20at%20Austin" TargetMode="External" Id="rId491"/><Relationship Type="http://schemas.openxmlformats.org/officeDocument/2006/relationships/hyperlink" Target="mailto:utopcu@utexas.edu" TargetMode="External" Id="rId492"/><Relationship Type="http://schemas.openxmlformats.org/officeDocument/2006/relationships/hyperlink" Target="https://ae.utexas.edu/people/faculty" TargetMode="External" Id="rId493"/><Relationship Type="http://schemas.openxmlformats.org/officeDocument/2006/relationships/hyperlink" Target="https://me.utexas.edu/person/ashish-deshpande/" TargetMode="External" Id="rId494"/><Relationship Type="http://schemas.openxmlformats.org/officeDocument/2006/relationships/hyperlink" Target="https://scholar.google.com/citations?view_op=search_authors&amp;mauthors=Ashish%20%20Deshpande%20University%20of%20Texas%20at%20Austin" TargetMode="External" Id="rId495"/><Relationship Type="http://schemas.openxmlformats.org/officeDocument/2006/relationships/hyperlink" Target="mailto:ashish@austin.utexas.edu" TargetMode="External" Id="rId496"/><Relationship Type="http://schemas.openxmlformats.org/officeDocument/2006/relationships/hyperlink" Target="https://me.utexas.edu/people/faculty" TargetMode="External" Id="rId497"/><Relationship Type="http://schemas.openxmlformats.org/officeDocument/2006/relationships/hyperlink" Target="https://me.utexas.edu/person/fangzhou-xia/" TargetMode="External" Id="rId498"/><Relationship Type="http://schemas.openxmlformats.org/officeDocument/2006/relationships/hyperlink" Target="https://scholar.google.com/citations?view_op=search_authors&amp;mauthors=Fangzhou%20Xia%20University%20of%20Texas%20at%20Austin" TargetMode="External" Id="rId499"/><Relationship Type="http://schemas.openxmlformats.org/officeDocument/2006/relationships/hyperlink" Target="mailto:fangzhou.xia@austin.utexas.edu" TargetMode="External" Id="rId500"/><Relationship Type="http://schemas.openxmlformats.org/officeDocument/2006/relationships/hyperlink" Target="https://me.utexas.edu/people/faculty" TargetMode="External" Id="rId501"/><Relationship Type="http://schemas.openxmlformats.org/officeDocument/2006/relationships/hyperlink" Target="https://ae.utexas.edu/person/jeffrey-k-bennighof/" TargetMode="External" Id="rId502"/><Relationship Type="http://schemas.openxmlformats.org/officeDocument/2006/relationships/hyperlink" Target="https://scholar.google.com/citations?view_op=search_authors&amp;mauthors=Jeffrey%20K.%20Bennighof%20University%20of%20Texas%20at%20Austin" TargetMode="External" Id="rId503"/><Relationship Type="http://schemas.openxmlformats.org/officeDocument/2006/relationships/hyperlink" Target="mailto:bennighof@mail.utexas.edu" TargetMode="External" Id="rId504"/><Relationship Type="http://schemas.openxmlformats.org/officeDocument/2006/relationships/hyperlink" Target="https://ae.utexas.edu/people/faculty" TargetMode="External" Id="rId505"/><Relationship Type="http://schemas.openxmlformats.org/officeDocument/2006/relationships/hyperlink" Target="https://me.utexas.edu/person/matthew-hall/" TargetMode="External" Id="rId506"/><Relationship Type="http://schemas.openxmlformats.org/officeDocument/2006/relationships/hyperlink" Target="https://scholar.google.com/citations?view_op=search_authors&amp;mauthors=Matthew%20Hall%20University%20of%20Texas%20at%20Austin" TargetMode="External" Id="rId507"/><Relationship Type="http://schemas.openxmlformats.org/officeDocument/2006/relationships/hyperlink" Target="mailto:mjhall@mail.utexas.edu" TargetMode="External" Id="rId508"/><Relationship Type="http://schemas.openxmlformats.org/officeDocument/2006/relationships/hyperlink" Target="https://me.utexas.edu/people/faculty" TargetMode="External" Id="rId509"/><Relationship Type="http://schemas.openxmlformats.org/officeDocument/2006/relationships/hyperlink" Target="https://me.utexas.edu/person/narayana-aluru/" TargetMode="External" Id="rId510"/><Relationship Type="http://schemas.openxmlformats.org/officeDocument/2006/relationships/hyperlink" Target="https://scholar.google.com/citations?view_op=search_authors&amp;mauthors=Narayana%20Aluru%20University%20of%20Texas%20at%20Austin" TargetMode="External" Id="rId511"/><Relationship Type="http://schemas.openxmlformats.org/officeDocument/2006/relationships/hyperlink" Target="mailto:aluru@utexas.edu" TargetMode="External" Id="rId512"/><Relationship Type="http://schemas.openxmlformats.org/officeDocument/2006/relationships/hyperlink" Target="https://me.utexas.edu/people/faculty" TargetMode="External" Id="rId513"/><Relationship Type="http://schemas.openxmlformats.org/officeDocument/2006/relationships/hyperlink" Target="https://ae.utexas.edu/person/nicholas-h-nelsen/" TargetMode="External" Id="rId514"/><Relationship Type="http://schemas.openxmlformats.org/officeDocument/2006/relationships/hyperlink" Target="https://scholar.google.com/citations?view_op=search_authors&amp;mauthors=Nicholas%20H.%20Nelsen%20University%20of%20Texas%20at%20Austin" TargetMode="External" Id="rId515"/><Relationship Type="http://schemas.openxmlformats.org/officeDocument/2006/relationships/hyperlink" Target="mailto:nnelsen@oden.utexas.edu" TargetMode="External" Id="rId516"/><Relationship Type="http://schemas.openxmlformats.org/officeDocument/2006/relationships/hyperlink" Target="https://ae.utexas.edu/people/faculty" TargetMode="External" Id="rId517"/><Relationship Type="http://schemas.openxmlformats.org/officeDocument/2006/relationships/hyperlink" Target="https://me.utexas.edu/person/raul-longoria/" TargetMode="External" Id="rId518"/><Relationship Type="http://schemas.openxmlformats.org/officeDocument/2006/relationships/hyperlink" Target="https://scholar.google.com/citations?view_op=search_authors&amp;mauthors=Raul%20Longoria%20University%20of%20Texas%20at%20Austin" TargetMode="External" Id="rId519"/><Relationship Type="http://schemas.openxmlformats.org/officeDocument/2006/relationships/hyperlink" Target="mailto:r.longoria@mail.utexas.edu" TargetMode="External" Id="rId520"/><Relationship Type="http://schemas.openxmlformats.org/officeDocument/2006/relationships/hyperlink" Target="https://me.utexas.edu/people/faculty" TargetMode="External" Id="rId521"/><Relationship Type="http://schemas.openxmlformats.org/officeDocument/2006/relationships/hyperlink" Target="https://ae.utexas.edu/person/tom-connolly/" TargetMode="External" Id="rId522"/><Relationship Type="http://schemas.openxmlformats.org/officeDocument/2006/relationships/hyperlink" Target="https://scholar.google.com/citations?view_op=search_authors&amp;mauthors=Tom%20Connolly%20University%20of%20Texas%20at%20Austin" TargetMode="External" Id="rId523"/><Relationship Type="http://schemas.openxmlformats.org/officeDocument/2006/relationships/hyperlink" Target="mailto:tjconn@austin.utexas.edu" TargetMode="External" Id="rId524"/><Relationship Type="http://schemas.openxmlformats.org/officeDocument/2006/relationships/hyperlink" Target="https://ae.utexas.edu/people/faculty" TargetMode="External" Id="rId525"/><Relationship Type="http://schemas.openxmlformats.org/officeDocument/2006/relationships/hyperlink" Target="https://me.utexas.edu/person/yuebing-zheng/" TargetMode="External" Id="rId526"/><Relationship Type="http://schemas.openxmlformats.org/officeDocument/2006/relationships/hyperlink" Target="https://scholar.google.com/citations?view_op=search_authors&amp;mauthors=Yuebing%20Zheng%20University%20of%20Texas%20at%20Austin" TargetMode="External" Id="rId527"/><Relationship Type="http://schemas.openxmlformats.org/officeDocument/2006/relationships/hyperlink" Target="mailto:zheng@austin.utexas.edu" TargetMode="External" Id="rId528"/><Relationship Type="http://schemas.openxmlformats.org/officeDocument/2006/relationships/hyperlink" Target="https://me.utexas.edu/people/faculty" TargetMode="External" Id="rId529"/><Relationship Type="http://schemas.openxmlformats.org/officeDocument/2006/relationships/hyperlink" Target="https://me.utexas.edu/person/adela-ben-yakar/" TargetMode="External" Id="rId530"/><Relationship Type="http://schemas.openxmlformats.org/officeDocument/2006/relationships/hyperlink" Target="https://scholar.google.com/citations?view_op=search_authors&amp;mauthors=Adela%20Ben-Yakar%20University%20of%20Texas%20at%20Austin" TargetMode="External" Id="rId531"/><Relationship Type="http://schemas.openxmlformats.org/officeDocument/2006/relationships/hyperlink" Target="mailto:ben-yakar@mail.utexas.edu" TargetMode="External" Id="rId532"/><Relationship Type="http://schemas.openxmlformats.org/officeDocument/2006/relationships/hyperlink" Target="https://me.utexas.edu/people/faculty" TargetMode="External" Id="rId533"/><Relationship Type="http://schemas.openxmlformats.org/officeDocument/2006/relationships/hyperlink" Target="https://me.utexas.edu/person/alexander-marras/" TargetMode="External" Id="rId534"/><Relationship Type="http://schemas.openxmlformats.org/officeDocument/2006/relationships/hyperlink" Target="https://scholar.google.com/citations?view_op=search_authors&amp;mauthors=Alexander%20Marras%20University%20of%20Texas%20at%20Austin" TargetMode="External" Id="rId535"/><Relationship Type="http://schemas.openxmlformats.org/officeDocument/2006/relationships/hyperlink" Target="mailto:amarras@utexas.edu" TargetMode="External" Id="rId536"/><Relationship Type="http://schemas.openxmlformats.org/officeDocument/2006/relationships/hyperlink" Target="https://me.utexas.edu/people/faculty" TargetMode="External" Id="rId537"/><Relationship Type="http://schemas.openxmlformats.org/officeDocument/2006/relationships/hyperlink" Target="https://math.utexas.edu/directory/alexis-vasseur" TargetMode="External" Id="rId538"/><Relationship Type="http://schemas.openxmlformats.org/officeDocument/2006/relationships/hyperlink" Target="https://scholar.google.com/citations?view_op=search_authors&amp;mauthors=Alexis%20Vasseur%20University%20of%20Texas%20at%20Austin" TargetMode="External" Id="rId539"/><Relationship Type="http://schemas.openxmlformats.org/officeDocument/2006/relationships/hyperlink" Target="mailto:vasseur@math.utexas.edu" TargetMode="External" Id="rId540"/><Relationship Type="http://schemas.openxmlformats.org/officeDocument/2006/relationships/hyperlink" Target="https://math.utexas.edu/directory/faculty" TargetMode="External" Id="rId541"/><Relationship Type="http://schemas.openxmlformats.org/officeDocument/2006/relationships/hyperlink" Target="https://math.utexas.edu/directory/anthony-conway" TargetMode="External" Id="rId542"/><Relationship Type="http://schemas.openxmlformats.org/officeDocument/2006/relationships/hyperlink" Target="https://scholar.google.com/citations?view_op=search_authors&amp;mauthors=Anthony%20Conway%20University%20of%20Texas%20at%20Austin" TargetMode="External" Id="rId543"/><Relationship Type="http://schemas.openxmlformats.org/officeDocument/2006/relationships/hyperlink" Target="mailto:anthony.conway@austin.utexas.edu" TargetMode="External" Id="rId544"/><Relationship Type="http://schemas.openxmlformats.org/officeDocument/2006/relationships/hyperlink" Target="https://math.utexas.edu/directory/faculty" TargetMode="External" Id="rId545"/><Relationship Type="http://schemas.openxmlformats.org/officeDocument/2006/relationships/hyperlink" Target="https://math.utexas.edu/directory/arie-israel" TargetMode="External" Id="rId546"/><Relationship Type="http://schemas.openxmlformats.org/officeDocument/2006/relationships/hyperlink" Target="https://scholar.google.com/citations?view_op=search_authors&amp;mauthors=Arie%20Israel%20University%20of%20Texas%20at%20Austin" TargetMode="External" Id="rId547"/><Relationship Type="http://schemas.openxmlformats.org/officeDocument/2006/relationships/hyperlink" Target="mailto:arie@math.utexas.edu" TargetMode="External" Id="rId548"/><Relationship Type="http://schemas.openxmlformats.org/officeDocument/2006/relationships/hyperlink" Target="https://math.utexas.edu/directory/faculty" TargetMode="External" Id="rId549"/><Relationship Type="http://schemas.openxmlformats.org/officeDocument/2006/relationships/hyperlink" Target="https://math.utexas.edu/directory/ashay-burungale" TargetMode="External" Id="rId550"/><Relationship Type="http://schemas.openxmlformats.org/officeDocument/2006/relationships/hyperlink" Target="https://scholar.google.com/citations?view_op=search_authors&amp;mauthors=Ashay%20Burungale%20University%20of%20Texas%20at%20Austin" TargetMode="External" Id="rId551"/><Relationship Type="http://schemas.openxmlformats.org/officeDocument/2006/relationships/hyperlink" Target="mailto:ashayk@utexas.edu" TargetMode="External" Id="rId552"/><Relationship Type="http://schemas.openxmlformats.org/officeDocument/2006/relationships/hyperlink" Target="https://math.utexas.edu/directory/faculty" TargetMode="External" Id="rId553"/><Relationship Type="http://schemas.openxmlformats.org/officeDocument/2006/relationships/hyperlink" Target="https://me.utexas.edu/person/benjamin-leibowicz/" TargetMode="External" Id="rId554"/><Relationship Type="http://schemas.openxmlformats.org/officeDocument/2006/relationships/hyperlink" Target="https://scholar.google.com/citations?view_op=search_authors&amp;mauthors=Benjamin%20Leibowicz%20University%20of%20Texas%20at%20Austin" TargetMode="External" Id="rId555"/><Relationship Type="http://schemas.openxmlformats.org/officeDocument/2006/relationships/hyperlink" Target="mailto:bleibowicz@utexas.edu" TargetMode="External" Id="rId556"/><Relationship Type="http://schemas.openxmlformats.org/officeDocument/2006/relationships/hyperlink" Target="https://me.utexas.edu/people/faculty" TargetMode="External" Id="rId557"/><Relationship Type="http://schemas.openxmlformats.org/officeDocument/2006/relationships/hyperlink" Target="https://math.utexas.edu/directory/bernd-siebert" TargetMode="External" Id="rId558"/><Relationship Type="http://schemas.openxmlformats.org/officeDocument/2006/relationships/hyperlink" Target="https://scholar.google.com/citations?view_op=search_authors&amp;mauthors=Bernd%20Siebert%20University%20of%20Texas%20at%20Austin" TargetMode="External" Id="rId559"/><Relationship Type="http://schemas.openxmlformats.org/officeDocument/2006/relationships/hyperlink" Target="mailto:siebert@math.utexas.edu" TargetMode="External" Id="rId560"/><Relationship Type="http://schemas.openxmlformats.org/officeDocument/2006/relationships/hyperlink" Target="https://math.utexas.edu/directory/faculty" TargetMode="External" Id="rId561"/><Relationship Type="http://schemas.openxmlformats.org/officeDocument/2006/relationships/hyperlink" Target="https://math.utexas.edu/directory/charles-radin" TargetMode="External" Id="rId562"/><Relationship Type="http://schemas.openxmlformats.org/officeDocument/2006/relationships/hyperlink" Target="https://scholar.google.com/citations?view_op=search_authors&amp;mauthors=Charles%20Radin%20University%20of%20Texas%20at%20Austin" TargetMode="External" Id="rId563"/><Relationship Type="http://schemas.openxmlformats.org/officeDocument/2006/relationships/hyperlink" Target="mailto:radin@math.utexas.edu" TargetMode="External" Id="rId564"/><Relationship Type="http://schemas.openxmlformats.org/officeDocument/2006/relationships/hyperlink" Target="https://math.utexas.edu/directory/faculty" TargetMode="External" Id="rId565"/><Relationship Type="http://schemas.openxmlformats.org/officeDocument/2006/relationships/hyperlink" Target="https://math.utexas.edu/directory/chiara-damiolini" TargetMode="External" Id="rId566"/><Relationship Type="http://schemas.openxmlformats.org/officeDocument/2006/relationships/hyperlink" Target="https://scholar.google.com/citations?view_op=search_authors&amp;mauthors=Chiara%20Damiolini%20University%20of%20Texas%20at%20Austin" TargetMode="External" Id="rId567"/><Relationship Type="http://schemas.openxmlformats.org/officeDocument/2006/relationships/hyperlink" Target="mailto:chiara.damiolini@austin.utexas.edu" TargetMode="External" Id="rId568"/><Relationship Type="http://schemas.openxmlformats.org/officeDocument/2006/relationships/hyperlink" Target="https://math.utexas.edu/directory/faculty" TargetMode="External" Id="rId569"/><Relationship Type="http://schemas.openxmlformats.org/officeDocument/2006/relationships/hyperlink" Target="https://me.utexas.edu/person/darcy-randall/" TargetMode="External" Id="rId570"/><Relationship Type="http://schemas.openxmlformats.org/officeDocument/2006/relationships/hyperlink" Target="https://scholar.google.com/citations?view_op=search_authors&amp;mauthors=D%27Arcy%20Randall%20University%20of%20Texas%20at%20Austin" TargetMode="External" Id="rId571"/><Relationship Type="http://schemas.openxmlformats.org/officeDocument/2006/relationships/hyperlink" Target="mailto:darcyr@utexas.edu" TargetMode="External" Id="rId572"/><Relationship Type="http://schemas.openxmlformats.org/officeDocument/2006/relationships/hyperlink" Target="https://me.utexas.edu/people/faculty" TargetMode="External" Id="rId573"/><Relationship Type="http://schemas.openxmlformats.org/officeDocument/2006/relationships/hyperlink" Target="https://math.utexas.edu/directory/david-ben-zvi" TargetMode="External" Id="rId574"/><Relationship Type="http://schemas.openxmlformats.org/officeDocument/2006/relationships/hyperlink" Target="https://scholar.google.com/citations?view_op=search_authors&amp;mauthors=David%20Ben-Zvi%20University%20of%20Texas%20at%20Austin" TargetMode="External" Id="rId575"/><Relationship Type="http://schemas.openxmlformats.org/officeDocument/2006/relationships/hyperlink" Target="mailto:benzvi@utexas.edu" TargetMode="External" Id="rId576"/><Relationship Type="http://schemas.openxmlformats.org/officeDocument/2006/relationships/hyperlink" Target="https://math.utexas.edu/directory/faculty" TargetMode="External" Id="rId577"/><Relationship Type="http://schemas.openxmlformats.org/officeDocument/2006/relationships/hyperlink" Target="https://me.utexas.edu/person/derek-haas/" TargetMode="External" Id="rId578"/><Relationship Type="http://schemas.openxmlformats.org/officeDocument/2006/relationships/hyperlink" Target="https://scholar.google.com/citations?view_op=search_authors&amp;mauthors=Derek%20Haas%20University%20of%20Texas%20at%20Austin" TargetMode="External" Id="rId579"/><Relationship Type="http://schemas.openxmlformats.org/officeDocument/2006/relationships/hyperlink" Target="mailto:derekhaas@utexas.edu" TargetMode="External" Id="rId580"/><Relationship Type="http://schemas.openxmlformats.org/officeDocument/2006/relationships/hyperlink" Target="https://me.utexas.edu/people/faculty" TargetMode="External" Id="rId581"/><Relationship Type="http://schemas.openxmlformats.org/officeDocument/2006/relationships/hyperlink" Target="https://math.utexas.edu/directory/dylan-altschuler" TargetMode="External" Id="rId582"/><Relationship Type="http://schemas.openxmlformats.org/officeDocument/2006/relationships/hyperlink" Target="https://scholar.google.com/citations?view_op=search_authors&amp;mauthors=Dylan%20Altschuler%20University%20of%20Texas%20at%20Austin" TargetMode="External" Id="rId583"/><Relationship Type="http://schemas.openxmlformats.org/officeDocument/2006/relationships/hyperlink" Target="mailto:dylan.altschuler@austin.utexas.edu" TargetMode="External" Id="rId584"/><Relationship Type="http://schemas.openxmlformats.org/officeDocument/2006/relationships/hyperlink" Target="https://math.utexas.edu/directory/faculty" TargetMode="External" Id="rId585"/><Relationship Type="http://schemas.openxmlformats.org/officeDocument/2006/relationships/hyperlink" Target="https://me.utexas.edu/person/eric-taleff/" TargetMode="External" Id="rId586"/><Relationship Type="http://schemas.openxmlformats.org/officeDocument/2006/relationships/hyperlink" Target="https://scholar.google.com/citations?view_op=search_authors&amp;mauthors=Eric%20Taleff%20University%20of%20Texas%20at%20Austin" TargetMode="External" Id="rId587"/><Relationship Type="http://schemas.openxmlformats.org/officeDocument/2006/relationships/hyperlink" Target="mailto:taleff@mail.utexas.edu" TargetMode="External" Id="rId588"/><Relationship Type="http://schemas.openxmlformats.org/officeDocument/2006/relationships/hyperlink" Target="https://me.utexas.edu/people/faculty" TargetMode="External" Id="rId589"/><Relationship Type="http://schemas.openxmlformats.org/officeDocument/2006/relationships/hyperlink" Target="https://math.utexas.edu/directory/francesco-maggi" TargetMode="External" Id="rId590"/><Relationship Type="http://schemas.openxmlformats.org/officeDocument/2006/relationships/hyperlink" Target="https://scholar.google.com/citations?view_op=search_authors&amp;mauthors=Francesco%20Maggi%20University%20of%20Texas%20at%20Austin" TargetMode="External" Id="rId591"/><Relationship Type="http://schemas.openxmlformats.org/officeDocument/2006/relationships/hyperlink" Target="mailto:maggi@math.utexas.edu" TargetMode="External" Id="rId592"/><Relationship Type="http://schemas.openxmlformats.org/officeDocument/2006/relationships/hyperlink" Target="https://math.utexas.edu/directory/faculty" TargetMode="External" Id="rId593"/><Relationship Type="http://schemas.openxmlformats.org/officeDocument/2006/relationships/hyperlink" Target="https://math.utexas.edu/directory/gordan-zitkovic" TargetMode="External" Id="rId594"/><Relationship Type="http://schemas.openxmlformats.org/officeDocument/2006/relationships/hyperlink" Target="https://scholar.google.com/citations?view_op=search_authors&amp;mauthors=Gordan%20Zitkovic%20University%20of%20Texas%20at%20Austin" TargetMode="External" Id="rId595"/><Relationship Type="http://schemas.openxmlformats.org/officeDocument/2006/relationships/hyperlink" Target="mailto:gordanz@math.utexas.edu" TargetMode="External" Id="rId596"/><Relationship Type="http://schemas.openxmlformats.org/officeDocument/2006/relationships/hyperlink" Target="https://math.utexas.edu/directory/faculty" TargetMode="External" Id="rId597"/><Relationship Type="http://schemas.openxmlformats.org/officeDocument/2006/relationships/hyperlink" Target="https://me.utexas.edu/person/gregory-rulifson/" TargetMode="External" Id="rId598"/><Relationship Type="http://schemas.openxmlformats.org/officeDocument/2006/relationships/hyperlink" Target="https://scholar.google.com/citations?view_op=search_authors&amp;mauthors=Gregory%20Rulifson%20University%20of%20Texas%20at%20Austin" TargetMode="External" Id="rId599"/><Relationship Type="http://schemas.openxmlformats.org/officeDocument/2006/relationships/hyperlink" Target="mailto:gregory.rulifson@austin.utexas.edu" TargetMode="External" Id="rId600"/><Relationship Type="http://schemas.openxmlformats.org/officeDocument/2006/relationships/hyperlink" Target="https://me.utexas.edu/people/faculty" TargetMode="External" Id="rId601"/><Relationship Type="http://schemas.openxmlformats.org/officeDocument/2006/relationships/hyperlink" Target="https://math.utexas.edu/directory/griffin-wang" TargetMode="External" Id="rId602"/><Relationship Type="http://schemas.openxmlformats.org/officeDocument/2006/relationships/hyperlink" Target="https://scholar.google.com/citations?view_op=search_authors&amp;mauthors=Griffin%20Wang%20University%20of%20Texas%20at%20Austin" TargetMode="External" Id="rId603"/><Relationship Type="http://schemas.openxmlformats.org/officeDocument/2006/relationships/hyperlink" Target="mailto:xw.griff@utexas.edu" TargetMode="External" Id="rId604"/><Relationship Type="http://schemas.openxmlformats.org/officeDocument/2006/relationships/hyperlink" Target="https://math.utexas.edu/directory/faculty" TargetMode="External" Id="rId605"/><Relationship Type="http://schemas.openxmlformats.org/officeDocument/2006/relationships/hyperlink" Target="https://me.utexas.edu/person/hairong-wang/" TargetMode="External" Id="rId606"/><Relationship Type="http://schemas.openxmlformats.org/officeDocument/2006/relationships/hyperlink" Target="https://scholar.google.com/citations?view_op=search_authors&amp;mauthors=Hairong%20Wang%20University%20of%20Texas%20at%20Austin" TargetMode="External" Id="rId607"/><Relationship Type="http://schemas.openxmlformats.org/officeDocument/2006/relationships/hyperlink" Target="mailto:hairong.wang@austin.utexas.edu" TargetMode="External" Id="rId608"/><Relationship Type="http://schemas.openxmlformats.org/officeDocument/2006/relationships/hyperlink" Target="https://me.utexas.edu/people/faculty" TargetMode="External" Id="rId609"/><Relationship Type="http://schemas.openxmlformats.org/officeDocument/2006/relationships/hyperlink" Target="https://www.ma.utexas.edu" TargetMode="External" Id="rId610"/><Relationship Type="http://schemas.openxmlformats.org/officeDocument/2006/relationships/hyperlink" Target="https://scholar.google.com/citations?view_op=search_authors&amp;mauthors=Irving%20Dai%20University%20of%20Texas%20at%20Austin" TargetMode="External" Id="rId611"/><Relationship Type="http://schemas.openxmlformats.org/officeDocument/2006/relationships/hyperlink" Target="mailto:irving.dai@math.utexas.edu" TargetMode="External" Id="rId612"/><Relationship Type="http://schemas.openxmlformats.org/officeDocument/2006/relationships/hyperlink" Target="https://math.utexas.edu/directory/faculty" TargetMode="External" Id="rId613"/><Relationship Type="http://schemas.openxmlformats.org/officeDocument/2006/relationships/hyperlink" Target="https://me.utexas.edu/person/j-eric-bickel/" TargetMode="External" Id="rId614"/><Relationship Type="http://schemas.openxmlformats.org/officeDocument/2006/relationships/hyperlink" Target="https://scholar.google.com/citations?view_op=search_authors&amp;mauthors=J.%20Eric%20Bickel%20University%20of%20Texas%20at%20Austin" TargetMode="External" Id="rId615"/><Relationship Type="http://schemas.openxmlformats.org/officeDocument/2006/relationships/hyperlink" Target="mailto:ebickel@mail.utexas.edu" TargetMode="External" Id="rId616"/><Relationship Type="http://schemas.openxmlformats.org/officeDocument/2006/relationships/hyperlink" Target="https://me.utexas.edu/people/faculty" TargetMode="External" Id="rId617"/><Relationship Type="http://schemas.openxmlformats.org/officeDocument/2006/relationships/hyperlink" Target="https://math.utexas.edu/directory/james-a-m-alvarez" TargetMode="External" Id="rId618"/><Relationship Type="http://schemas.openxmlformats.org/officeDocument/2006/relationships/hyperlink" Target="https://scholar.google.com/citations?view_op=search_authors&amp;mauthors=James%20A.%20M.%20%C3%81lvarez%20University%20of%20Texas%20at%20Austin" TargetMode="External" Id="rId619"/><Relationship Type="http://schemas.openxmlformats.org/officeDocument/2006/relationships/hyperlink" Target="mailto:james.alvarez@austin.utexas.edu" TargetMode="External" Id="rId620"/><Relationship Type="http://schemas.openxmlformats.org/officeDocument/2006/relationships/hyperlink" Target="https://math.utexas.edu/directory/faculty" TargetMode="External" Id="rId621"/><Relationship Type="http://schemas.openxmlformats.org/officeDocument/2006/relationships/hyperlink" Target="https://math.utexas.edu/directory/jeffrey-danciger" TargetMode="External" Id="rId622"/><Relationship Type="http://schemas.openxmlformats.org/officeDocument/2006/relationships/hyperlink" Target="https://scholar.google.com/citations?view_op=search_authors&amp;mauthors=Jeffrey%20Danciger%20University%20of%20Texas%20at%20Austin" TargetMode="External" Id="rId623"/><Relationship Type="http://schemas.openxmlformats.org/officeDocument/2006/relationships/hyperlink" Target="mailto:jdanciger@math.utexas.edu" TargetMode="External" Id="rId624"/><Relationship Type="http://schemas.openxmlformats.org/officeDocument/2006/relationships/hyperlink" Target="https://math.utexas.edu/directory/faculty" TargetMode="External" Id="rId625"/><Relationship Type="http://schemas.openxmlformats.org/officeDocument/2006/relationships/hyperlink" Target="https://me.utexas.edu/person/jisun-lee/" TargetMode="External" Id="rId626"/><Relationship Type="http://schemas.openxmlformats.org/officeDocument/2006/relationships/hyperlink" Target="https://scholar.google.com/citations?view_op=search_authors&amp;mauthors=Jisun%20Lee%20University%20of%20Texas%20at%20Austin" TargetMode="External" Id="rId627"/><Relationship Type="http://schemas.openxmlformats.org/officeDocument/2006/relationships/hyperlink" Target="mailto:jisun.lee@austin.utexas.edu" TargetMode="External" Id="rId628"/><Relationship Type="http://schemas.openxmlformats.org/officeDocument/2006/relationships/hyperlink" Target="https://me.utexas.edu/people/faculty" TargetMode="External" Id="rId629"/><Relationship Type="http://schemas.openxmlformats.org/officeDocument/2006/relationships/hyperlink" Target="https://math.utexas.edu/directory/john-luecke" TargetMode="External" Id="rId630"/><Relationship Type="http://schemas.openxmlformats.org/officeDocument/2006/relationships/hyperlink" Target="https://scholar.google.com/citations?view_op=search_authors&amp;mauthors=John%20Luecke%20University%20of%20Texas%20at%20Austin" TargetMode="External" Id="rId631"/><Relationship Type="http://schemas.openxmlformats.org/officeDocument/2006/relationships/hyperlink" Target="mailto:luecke@math.utexas.edu" TargetMode="External" Id="rId632"/><Relationship Type="http://schemas.openxmlformats.org/officeDocument/2006/relationships/hyperlink" Target="https://math.utexas.edu/directory/faculty" TargetMode="External" Id="rId633"/><Relationship Type="http://schemas.openxmlformats.org/officeDocument/2006/relationships/hyperlink" Target="https://math.utexas.edu/directory/joseph-kileel" TargetMode="External" Id="rId634"/><Relationship Type="http://schemas.openxmlformats.org/officeDocument/2006/relationships/hyperlink" Target="https://scholar.google.com/citations?view_op=search_authors&amp;mauthors=Joseph%20Kileel%20University%20of%20Texas%20at%20Austin" TargetMode="External" Id="rId635"/><Relationship Type="http://schemas.openxmlformats.org/officeDocument/2006/relationships/hyperlink" Target="mailto:jkileel@math.utexas.edu" TargetMode="External" Id="rId636"/><Relationship Type="http://schemas.openxmlformats.org/officeDocument/2006/relationships/hyperlink" Target="https://math.utexas.edu/directory/faculty" TargetMode="External" Id="rId637"/><Relationship Type="http://schemas.openxmlformats.org/officeDocument/2006/relationships/hyperlink" Target="https://me.utexas.edu/person/joshua-keena/" TargetMode="External" Id="rId638"/><Relationship Type="http://schemas.openxmlformats.org/officeDocument/2006/relationships/hyperlink" Target="https://scholar.google.com/citations?view_op=search_authors&amp;mauthors=Joshua%20Keena%20University%20of%20Texas%20at%20Austin" TargetMode="External" Id="rId639"/><Relationship Type="http://schemas.openxmlformats.org/officeDocument/2006/relationships/hyperlink" Target="mailto:joshua.keena@austin.utexas.edu" TargetMode="External" Id="rId640"/><Relationship Type="http://schemas.openxmlformats.org/officeDocument/2006/relationships/hyperlink" Target="https://me.utexas.edu/people/faculty" TargetMode="External" Id="rId641"/><Relationship Type="http://schemas.openxmlformats.org/officeDocument/2006/relationships/hyperlink" Target="https://math.utexas.edu/directory/kate-juschenko" TargetMode="External" Id="rId642"/><Relationship Type="http://schemas.openxmlformats.org/officeDocument/2006/relationships/hyperlink" Target="https://scholar.google.com/citations?view_op=search_authors&amp;mauthors=Kate%20Juschenko%20University%20of%20Texas%20at%20Austin" TargetMode="External" Id="rId643"/><Relationship Type="http://schemas.openxmlformats.org/officeDocument/2006/relationships/hyperlink" Target="mailto:kate.juschenko@math.utexas.edu" TargetMode="External" Id="rId644"/><Relationship Type="http://schemas.openxmlformats.org/officeDocument/2006/relationships/hyperlink" Target="https://math.utexas.edu/directory/faculty" TargetMode="External" Id="rId645"/><Relationship Type="http://schemas.openxmlformats.org/officeDocument/2006/relationships/hyperlink" Target="https://me.utexas.edu/person/kevin-clarno/" TargetMode="External" Id="rId646"/><Relationship Type="http://schemas.openxmlformats.org/officeDocument/2006/relationships/hyperlink" Target="https://scholar.google.com/citations?view_op=search_authors&amp;mauthors=Kevin%20Clarno%20University%20of%20Texas%20at%20Austin" TargetMode="External" Id="rId647"/><Relationship Type="http://schemas.openxmlformats.org/officeDocument/2006/relationships/hyperlink" Target="mailto:kevin.clarno@austin.utexas.edu" TargetMode="External" Id="rId648"/><Relationship Type="http://schemas.openxmlformats.org/officeDocument/2006/relationships/hyperlink" Target="https://me.utexas.edu/people/faculty" TargetMode="External" Id="rId649"/><Relationship Type="http://schemas.openxmlformats.org/officeDocument/2006/relationships/hyperlink" Target="https://me.utexas.edu/person/leah-chong/" TargetMode="External" Id="rId650"/><Relationship Type="http://schemas.openxmlformats.org/officeDocument/2006/relationships/hyperlink" Target="https://scholar.google.com/citations?view_op=search_authors&amp;mauthors=Leah%20Chong%20University%20of%20Texas%20at%20Austin" TargetMode="External" Id="rId651"/><Relationship Type="http://schemas.openxmlformats.org/officeDocument/2006/relationships/hyperlink" Target="mailto:leah.chong@austin.utexas.edu" TargetMode="External" Id="rId652"/><Relationship Type="http://schemas.openxmlformats.org/officeDocument/2006/relationships/hyperlink" Target="https://me.utexas.edu/people/faculty" TargetMode="External" Id="rId653"/><Relationship Type="http://schemas.openxmlformats.org/officeDocument/2006/relationships/hyperlink" Target="https://math.utexas.edu/directory/lewis-bowen" TargetMode="External" Id="rId654"/><Relationship Type="http://schemas.openxmlformats.org/officeDocument/2006/relationships/hyperlink" Target="https://scholar.google.com/citations?view_op=search_authors&amp;mauthors=Lewis%20Bowen%20University%20of%20Texas%20at%20Austin" TargetMode="External" Id="rId655"/><Relationship Type="http://schemas.openxmlformats.org/officeDocument/2006/relationships/hyperlink" Target="mailto:lpbowen@math.utexas.edu" TargetMode="External" Id="rId656"/><Relationship Type="http://schemas.openxmlformats.org/officeDocument/2006/relationships/hyperlink" Target="https://math.utexas.edu/directory/faculty" TargetMode="External" Id="rId657"/><Relationship Type="http://schemas.openxmlformats.org/officeDocument/2006/relationships/hyperlink" Target="https://math.utexas.edu/directory/lisa-piccirillo" TargetMode="External" Id="rId658"/><Relationship Type="http://schemas.openxmlformats.org/officeDocument/2006/relationships/hyperlink" Target="https://scholar.google.com/citations?view_op=search_authors&amp;mauthors=Lisa%20Piccirillo%20University%20of%20Texas%20at%20Austin" TargetMode="External" Id="rId659"/><Relationship Type="http://schemas.openxmlformats.org/officeDocument/2006/relationships/hyperlink" Target="mailto:lisa.piccirillo@austin.utexas.edu" TargetMode="External" Id="rId660"/><Relationship Type="http://schemas.openxmlformats.org/officeDocument/2006/relationships/hyperlink" Target="https://math.utexas.edu/directory/faculty" TargetMode="External" Id="rId661"/><Relationship Type="http://schemas.openxmlformats.org/officeDocument/2006/relationships/hyperlink" Target="https://math.utexas.edu/directory/lorenzo-sadun" TargetMode="External" Id="rId662"/><Relationship Type="http://schemas.openxmlformats.org/officeDocument/2006/relationships/hyperlink" Target="https://scholar.google.com/citations?view_op=search_authors&amp;mauthors=Lorenzo%20Sadun%20University%20of%20Texas%20at%20Austin" TargetMode="External" Id="rId663"/><Relationship Type="http://schemas.openxmlformats.org/officeDocument/2006/relationships/hyperlink" Target="mailto:sadun@math.utexas.edu" TargetMode="External" Id="rId664"/><Relationship Type="http://schemas.openxmlformats.org/officeDocument/2006/relationships/hyperlink" Target="https://math.utexas.edu/directory/faculty" TargetMode="External" Id="rId665"/><Relationship Type="http://schemas.openxmlformats.org/officeDocument/2006/relationships/hyperlink" Target="https://math.utexas.edu/directory/maggie-miller" TargetMode="External" Id="rId666"/><Relationship Type="http://schemas.openxmlformats.org/officeDocument/2006/relationships/hyperlink" Target="https://scholar.google.com/citations?view_op=search_authors&amp;mauthors=Maggie%20Miller%20University%20of%20Texas%20at%20Austin" TargetMode="External" Id="rId667"/><Relationship Type="http://schemas.openxmlformats.org/officeDocument/2006/relationships/hyperlink" Target="mailto:maggie.miller@austin.utexas.edu" TargetMode="External" Id="rId668"/><Relationship Type="http://schemas.openxmlformats.org/officeDocument/2006/relationships/hyperlink" Target="https://math.utexas.edu/directory/faculty" TargetMode="External" Id="rId669"/><Relationship Type="http://schemas.openxmlformats.org/officeDocument/2006/relationships/hyperlink" Target="https://math.utexas.edu/directory/maria-pia-gualdani" TargetMode="External" Id="rId670"/><Relationship Type="http://schemas.openxmlformats.org/officeDocument/2006/relationships/hyperlink" Target="https://scholar.google.com/citations?view_op=search_authors&amp;mauthors=Maria%20Pia%20Gualdani%20University%20of%20Texas%20at%20Austin" TargetMode="External" Id="rId671"/><Relationship Type="http://schemas.openxmlformats.org/officeDocument/2006/relationships/hyperlink" Target="mailto:gualdani@math.utexas.edu" TargetMode="External" Id="rId672"/><Relationship Type="http://schemas.openxmlformats.org/officeDocument/2006/relationships/hyperlink" Target="https://math.utexas.edu/directory/faculty" TargetMode="External" Id="rId673"/><Relationship Type="http://schemas.openxmlformats.org/officeDocument/2006/relationships/hyperlink" Target="https://me.utexas.edu/person/maryam-tilton/" TargetMode="External" Id="rId674"/><Relationship Type="http://schemas.openxmlformats.org/officeDocument/2006/relationships/hyperlink" Target="https://scholar.google.com/citations?view_op=search_authors&amp;mauthors=Maryam%20Tilton%20University%20of%20Texas%20at%20Austin" TargetMode="External" Id="rId675"/><Relationship Type="http://schemas.openxmlformats.org/officeDocument/2006/relationships/hyperlink" Target="mailto:maryam.tilton@austin.utexas.edu" TargetMode="External" Id="rId676"/><Relationship Type="http://schemas.openxmlformats.org/officeDocument/2006/relationships/hyperlink" Target="https://me.utexas.edu/people/faculty" TargetMode="External" Id="rId677"/><Relationship Type="http://schemas.openxmlformats.org/officeDocument/2006/relationships/hyperlink" Target="https://math.utexas.edu/directory/matias-delgadino" TargetMode="External" Id="rId678"/><Relationship Type="http://schemas.openxmlformats.org/officeDocument/2006/relationships/hyperlink" Target="https://scholar.google.com/citations?view_op=search_authors&amp;mauthors=Matias%20Delgadino%20University%20of%20Texas%20at%20Austin" TargetMode="External" Id="rId679"/><Relationship Type="http://schemas.openxmlformats.org/officeDocument/2006/relationships/hyperlink" Target="mailto:matias.delgadino@math.utexas.edu" TargetMode="External" Id="rId680"/><Relationship Type="http://schemas.openxmlformats.org/officeDocument/2006/relationships/hyperlink" Target="https://math.utexas.edu/directory/faculty" TargetMode="External" Id="rId681"/><Relationship Type="http://schemas.openxmlformats.org/officeDocument/2006/relationships/hyperlink" Target="https://me.utexas.edu/person/maura-borrego/" TargetMode="External" Id="rId682"/><Relationship Type="http://schemas.openxmlformats.org/officeDocument/2006/relationships/hyperlink" Target="https://scholar.google.com/citations?view_op=search_authors&amp;mauthors=Maura%20Borrego%20University%20of%20Texas%20at%20Austin" TargetMode="External" Id="rId683"/><Relationship Type="http://schemas.openxmlformats.org/officeDocument/2006/relationships/hyperlink" Target="mailto:maura.borrego@austin.utexas.edu" TargetMode="External" Id="rId684"/><Relationship Type="http://schemas.openxmlformats.org/officeDocument/2006/relationships/hyperlink" Target="https://me.utexas.edu/people/faculty" TargetMode="External" Id="rId685"/><Relationship Type="http://schemas.openxmlformats.org/officeDocument/2006/relationships/hyperlink" Target="https://bme.utexas.edu/person/michael-s-sacks/" TargetMode="External" Id="rId686"/><Relationship Type="http://schemas.openxmlformats.org/officeDocument/2006/relationships/hyperlink" Target="https://scholar.google.com/citations?view_op=search_authors&amp;mauthors=Michael%20Sacks%20University%20of%20Texas%20at%20Austin" TargetMode="External" Id="rId687"/><Relationship Type="http://schemas.openxmlformats.org/officeDocument/2006/relationships/hyperlink" Target="mailto:msacks@oden.utexas.edu" TargetMode="External" Id="rId688"/><Relationship Type="http://schemas.openxmlformats.org/officeDocument/2006/relationships/hyperlink" Target="https://me.utexas.edu/people/faculty" TargetMode="External" Id="rId689"/><Relationship Type="http://schemas.openxmlformats.org/officeDocument/2006/relationships/hyperlink" Target="https://math.utexas.edu/directory/michael-starbird" TargetMode="External" Id="rId690"/><Relationship Type="http://schemas.openxmlformats.org/officeDocument/2006/relationships/hyperlink" Target="https://scholar.google.com/citations?view_op=search_authors&amp;mauthors=Michael%20Starbird%20University%20of%20Texas%20at%20Austin" TargetMode="External" Id="rId691"/><Relationship Type="http://schemas.openxmlformats.org/officeDocument/2006/relationships/hyperlink" Target="mailto:starbird@mail.utexas.edu" TargetMode="External" Id="rId692"/><Relationship Type="http://schemas.openxmlformats.org/officeDocument/2006/relationships/hyperlink" Target="https://math.utexas.edu/directory/faculty" TargetMode="External" Id="rId693"/><Relationship Type="http://schemas.openxmlformats.org/officeDocument/2006/relationships/hyperlink" Target="https://math.utexas.edu/directory/mihai-sirbu" TargetMode="External" Id="rId694"/><Relationship Type="http://schemas.openxmlformats.org/officeDocument/2006/relationships/hyperlink" Target="https://scholar.google.com/citations?view_op=search_authors&amp;mauthors=Mihai%20Sirbu%20University%20of%20Texas%20at%20Austin" TargetMode="External" Id="rId695"/><Relationship Type="http://schemas.openxmlformats.org/officeDocument/2006/relationships/hyperlink" Target="mailto:sirbu@math.utexas.edu" TargetMode="External" Id="rId696"/><Relationship Type="http://schemas.openxmlformats.org/officeDocument/2006/relationships/hyperlink" Target="https://math.utexas.edu/directory/faculty" TargetMode="External" Id="rId697"/><Relationship Type="http://schemas.openxmlformats.org/officeDocument/2006/relationships/hyperlink" Target="https://math.utexas.edu/directory/mikhail-vishik" TargetMode="External" Id="rId698"/><Relationship Type="http://schemas.openxmlformats.org/officeDocument/2006/relationships/hyperlink" Target="https://scholar.google.com/citations?view_op=search_authors&amp;mauthors=Mikhail%20Vishik%20University%20of%20Texas%20at%20Austin" TargetMode="External" Id="rId699"/><Relationship Type="http://schemas.openxmlformats.org/officeDocument/2006/relationships/hyperlink" Target="mailto:vishik@math.utexas.edu" TargetMode="External" Id="rId700"/><Relationship Type="http://schemas.openxmlformats.org/officeDocument/2006/relationships/hyperlink" Target="https://math.utexas.edu/directory/faculty" TargetMode="External" Id="rId701"/><Relationship Type="http://schemas.openxmlformats.org/officeDocument/2006/relationships/hyperlink" Target="https://math.utexas.edu/directory/mirela-ciperiani" TargetMode="External" Id="rId702"/><Relationship Type="http://schemas.openxmlformats.org/officeDocument/2006/relationships/hyperlink" Target="https://scholar.google.com/citations?view_op=search_authors&amp;mauthors=Mirela%20Ciperiani%20University%20of%20Texas%20at%20Austin" TargetMode="External" Id="rId703"/><Relationship Type="http://schemas.openxmlformats.org/officeDocument/2006/relationships/hyperlink" Target="mailto:mirela@math.utexas.edu" TargetMode="External" Id="rId704"/><Relationship Type="http://schemas.openxmlformats.org/officeDocument/2006/relationships/hyperlink" Target="https://math.utexas.edu/directory/faculty" TargetMode="External" Id="rId705"/><Relationship Type="http://schemas.openxmlformats.org/officeDocument/2006/relationships/hyperlink" Target="https://math.utexas.edu/directory/natasa-pavlovic" TargetMode="External" Id="rId706"/><Relationship Type="http://schemas.openxmlformats.org/officeDocument/2006/relationships/hyperlink" Target="https://scholar.google.com/citations?view_op=search_authors&amp;mauthors=Natasa%20Pavlovic%20University%20of%20Texas%20at%20Austin" TargetMode="External" Id="rId707"/><Relationship Type="http://schemas.openxmlformats.org/officeDocument/2006/relationships/hyperlink" Target="mailto:natasa@math.utexas.edu" TargetMode="External" Id="rId708"/><Relationship Type="http://schemas.openxmlformats.org/officeDocument/2006/relationships/hyperlink" Target="https://math.utexas.edu/directory/faculty" TargetMode="External" Id="rId709"/><Relationship Type="http://schemas.openxmlformats.org/officeDocument/2006/relationships/hyperlink" Target="https://ece.utexas.edu/people/faculty/neal-hall" TargetMode="External" Id="rId710"/><Relationship Type="http://schemas.openxmlformats.org/officeDocument/2006/relationships/hyperlink" Target="https://scholar.google.com/citations?view_op=search_authors&amp;mauthors=Neal%20Hall%20University%20of%20Texas%20at%20Austin" TargetMode="External" Id="rId711"/><Relationship Type="http://schemas.openxmlformats.org/officeDocument/2006/relationships/hyperlink" Target="mailto:nahall@mail.utexas.edu" TargetMode="External" Id="rId712"/><Relationship Type="http://schemas.openxmlformats.org/officeDocument/2006/relationships/hyperlink" Target="https://me.utexas.edu/people/faculty" TargetMode="External" Id="rId713"/><Relationship Type="http://schemas.openxmlformats.org/officeDocument/2006/relationships/hyperlink" Target="https://math.utexas.edu/directory/oscar-gonzalez" TargetMode="External" Id="rId714"/><Relationship Type="http://schemas.openxmlformats.org/officeDocument/2006/relationships/hyperlink" Target="https://scholar.google.com/citations?view_op=search_authors&amp;mauthors=Oscar%20Gonzalez%20University%20of%20Texas%20at%20Austin" TargetMode="External" Id="rId715"/><Relationship Type="http://schemas.openxmlformats.org/officeDocument/2006/relationships/hyperlink" Target="mailto:og@math.utexas.edu" TargetMode="External" Id="rId716"/><Relationship Type="http://schemas.openxmlformats.org/officeDocument/2006/relationships/hyperlink" Target="https://math.utexas.edu/directory/faculty" TargetMode="External" Id="rId717"/><Relationship Type="http://schemas.openxmlformats.org/officeDocument/2006/relationships/hyperlink" Target="https://math.utexas.edu/directory/peter-mueller" TargetMode="External" Id="rId718"/><Relationship Type="http://schemas.openxmlformats.org/officeDocument/2006/relationships/hyperlink" Target="https://scholar.google.com/citations?view_op=search_authors&amp;mauthors=Peter%20Mueller%20University%20of%20Texas%20at%20Austin" TargetMode="External" Id="rId719"/><Relationship Type="http://schemas.openxmlformats.org/officeDocument/2006/relationships/hyperlink" Target="mailto:pmueller@math.utexas.edu" TargetMode="External" Id="rId720"/><Relationship Type="http://schemas.openxmlformats.org/officeDocument/2006/relationships/hyperlink" Target="https://math.utexas.edu/directory/faculty" TargetMode="External" Id="rId721"/><Relationship Type="http://schemas.openxmlformats.org/officeDocument/2006/relationships/hyperlink" Target="https://me.utexas.edu/person/preston-wilson/" TargetMode="External" Id="rId722"/><Relationship Type="http://schemas.openxmlformats.org/officeDocument/2006/relationships/hyperlink" Target="https://scholar.google.com/citations?view_op=search_authors&amp;mauthors=Preston%20Wilson%20University%20of%20Texas%20at%20Austin" TargetMode="External" Id="rId723"/><Relationship Type="http://schemas.openxmlformats.org/officeDocument/2006/relationships/hyperlink" Target="mailto:pswilson@mail.utexas.edu" TargetMode="External" Id="rId724"/><Relationship Type="http://schemas.openxmlformats.org/officeDocument/2006/relationships/hyperlink" Target="https://me.utexas.edu/people/faculty" TargetMode="External" Id="rId725"/><Relationship Type="http://schemas.openxmlformats.org/officeDocument/2006/relationships/hyperlink" Target="https://me.utexas.edu/person/raghavendra-bollapragada/" TargetMode="External" Id="rId726"/><Relationship Type="http://schemas.openxmlformats.org/officeDocument/2006/relationships/hyperlink" Target="https://scholar.google.com/citations?view_op=search_authors&amp;mauthors=Raghavendra%20Bollapragada%20University%20of%20Texas%20at%20Austin" TargetMode="External" Id="rId727"/><Relationship Type="http://schemas.openxmlformats.org/officeDocument/2006/relationships/hyperlink" Target="mailto:raghu.bollapragada@utexas.edu" TargetMode="External" Id="rId728"/><Relationship Type="http://schemas.openxmlformats.org/officeDocument/2006/relationships/hyperlink" Target="https://me.utexas.edu/people/faculty" TargetMode="External" Id="rId729"/><Relationship Type="http://schemas.openxmlformats.org/officeDocument/2006/relationships/hyperlink" Target="https://me.utexas.edu/person/richard-neptune/" TargetMode="External" Id="rId730"/><Relationship Type="http://schemas.openxmlformats.org/officeDocument/2006/relationships/hyperlink" Target="https://scholar.google.com/citations?view_op=search_authors&amp;mauthors=Richard%20Neptune%20University%20of%20Texas%20at%20Austin" TargetMode="External" Id="rId731"/><Relationship Type="http://schemas.openxmlformats.org/officeDocument/2006/relationships/hyperlink" Target="mailto:rneptune@mail.utexas.edu" TargetMode="External" Id="rId732"/><Relationship Type="http://schemas.openxmlformats.org/officeDocument/2006/relationships/hyperlink" Target="https://me.utexas.edu/people/faculty" TargetMode="External" Id="rId733"/><Relationship Type="http://schemas.openxmlformats.org/officeDocument/2006/relationships/hyperlink" Target="https://math.utexas.edu/directory/ronny-hadani" TargetMode="External" Id="rId734"/><Relationship Type="http://schemas.openxmlformats.org/officeDocument/2006/relationships/hyperlink" Target="https://scholar.google.com/citations?view_op=search_authors&amp;mauthors=Ronny%20Hadani%20University%20of%20Texas%20at%20Austin" TargetMode="External" Id="rId735"/><Relationship Type="http://schemas.openxmlformats.org/officeDocument/2006/relationships/hyperlink" Target="mailto:hadani@math.utexas.edu" TargetMode="External" Id="rId736"/><Relationship Type="http://schemas.openxmlformats.org/officeDocument/2006/relationships/hyperlink" Target="https://math.utexas.edu/directory/faculty" TargetMode="External" Id="rId737"/><Relationship Type="http://schemas.openxmlformats.org/officeDocument/2006/relationships/hyperlink" Target="https://math.utexas.edu/directory/sean-keel" TargetMode="External" Id="rId738"/><Relationship Type="http://schemas.openxmlformats.org/officeDocument/2006/relationships/hyperlink" Target="https://scholar.google.com/citations?view_op=search_authors&amp;mauthors=Sean%20Keel%20University%20of%20Texas%20at%20Austin" TargetMode="External" Id="rId739"/><Relationship Type="http://schemas.openxmlformats.org/officeDocument/2006/relationships/hyperlink" Target="mailto:keel@math.utexas.edu" TargetMode="External" Id="rId740"/><Relationship Type="http://schemas.openxmlformats.org/officeDocument/2006/relationships/hyperlink" Target="https://math.utexas.edu/directory/faculty" TargetMode="External" Id="rId741"/><Relationship Type="http://schemas.openxmlformats.org/officeDocument/2006/relationships/hyperlink" Target="https://math.utexas.edu/directory/stefania-patrizi" TargetMode="External" Id="rId742"/><Relationship Type="http://schemas.openxmlformats.org/officeDocument/2006/relationships/hyperlink" Target="https://scholar.google.com/citations?view_op=search_authors&amp;mauthors=Stefania%20Patrizi%20University%20of%20Texas%20at%20Austin" TargetMode="External" Id="rId743"/><Relationship Type="http://schemas.openxmlformats.org/officeDocument/2006/relationships/hyperlink" Target="mailto:spatrizi@math.utexas.edu" TargetMode="External" Id="rId744"/><Relationship Type="http://schemas.openxmlformats.org/officeDocument/2006/relationships/hyperlink" Target="https://math.utexas.edu/directory/faculty" TargetMode="External" Id="rId745"/><Relationship Type="http://schemas.openxmlformats.org/officeDocument/2006/relationships/hyperlink" Target="https://math.utexas.edu/directory/thaleia-zariphopoulou" TargetMode="External" Id="rId746"/><Relationship Type="http://schemas.openxmlformats.org/officeDocument/2006/relationships/hyperlink" Target="https://scholar.google.com/citations?view_op=search_authors&amp;mauthors=Thaleia%20Zariphopoulou%20University%20of%20Texas%20at%20Austin" TargetMode="External" Id="rId747"/><Relationship Type="http://schemas.openxmlformats.org/officeDocument/2006/relationships/hyperlink" Target="mailto:zariphop@math.utexas.edu" TargetMode="External" Id="rId748"/><Relationship Type="http://schemas.openxmlformats.org/officeDocument/2006/relationships/hyperlink" Target="https://math.utexas.edu/directory/faculty" TargetMode="External" Id="rId749"/><Relationship Type="http://schemas.openxmlformats.org/officeDocument/2006/relationships/hyperlink" Target="https://neuroscience.utexas.edu/directory/thibaud-taillefumier" TargetMode="External" Id="rId750"/><Relationship Type="http://schemas.openxmlformats.org/officeDocument/2006/relationships/hyperlink" Target="https://scholar.google.com/citations?view_op=search_authors&amp;mauthors=Thibaud%20Taillefumier%20University%20of%20Texas%20at%20Austin" TargetMode="External" Id="rId751"/><Relationship Type="http://schemas.openxmlformats.org/officeDocument/2006/relationships/hyperlink" Target="mailto:thibaud@utexas.edu" TargetMode="External" Id="rId752"/><Relationship Type="http://schemas.openxmlformats.org/officeDocument/2006/relationships/hyperlink" Target="https://math.utexas.edu/directory/faculty" TargetMode="External" Id="rId753"/><Relationship Type="http://schemas.openxmlformats.org/officeDocument/2006/relationships/hyperlink" Target="https://math.utexas.edu/directory/thomas-chen" TargetMode="External" Id="rId754"/><Relationship Type="http://schemas.openxmlformats.org/officeDocument/2006/relationships/hyperlink" Target="https://scholar.google.com/citations?view_op=search_authors&amp;mauthors=Thomas%20Chen%20University%20of%20Texas%20at%20Austin" TargetMode="External" Id="rId755"/><Relationship Type="http://schemas.openxmlformats.org/officeDocument/2006/relationships/hyperlink" Target="mailto:tc@math.utexas.edu" TargetMode="External" Id="rId756"/><Relationship Type="http://schemas.openxmlformats.org/officeDocument/2006/relationships/hyperlink" Target="https://math.utexas.edu/directory/faculty" TargetMode="External" Id="rId757"/><Relationship Type="http://schemas.openxmlformats.org/officeDocument/2006/relationships/hyperlink" Target="https://math.utexas.edu/directory/timothy-perutz" TargetMode="External" Id="rId758"/><Relationship Type="http://schemas.openxmlformats.org/officeDocument/2006/relationships/hyperlink" Target="https://scholar.google.com/citations?view_op=search_authors&amp;mauthors=Timothy%20Perutz%20University%20of%20Texas%20at%20Austin" TargetMode="External" Id="rId759"/><Relationship Type="http://schemas.openxmlformats.org/officeDocument/2006/relationships/hyperlink" Target="mailto:perutz@math.utexas.edu" TargetMode="External" Id="rId760"/><Relationship Type="http://schemas.openxmlformats.org/officeDocument/2006/relationships/hyperlink" Target="https://math.utexas.edu/directory/faculty" TargetMode="External" Id="rId761"/><Relationship Type="http://schemas.openxmlformats.org/officeDocument/2006/relationships/hyperlink" Target="https://math.utexas.edu/directory/william-beckner" TargetMode="External" Id="rId762"/><Relationship Type="http://schemas.openxmlformats.org/officeDocument/2006/relationships/hyperlink" Target="https://scholar.google.com/citations?view_op=search_authors&amp;mauthors=William%20Beckner%20University%20of%20Texas%20at%20Austin" TargetMode="External" Id="rId763"/><Relationship Type="http://schemas.openxmlformats.org/officeDocument/2006/relationships/hyperlink" Target="mailto:beckner@math.utexas.edu" TargetMode="External" Id="rId764"/><Relationship Type="http://schemas.openxmlformats.org/officeDocument/2006/relationships/hyperlink" Target="https://math.utexas.edu/directory/faculty" TargetMode="External" Id="rId765"/><Relationship Type="http://schemas.openxmlformats.org/officeDocument/2006/relationships/hyperlink" Target="https://me.utexas.edu/person/william-charlton/" TargetMode="External" Id="rId766"/><Relationship Type="http://schemas.openxmlformats.org/officeDocument/2006/relationships/hyperlink" Target="https://scholar.google.com/citations?view_op=search_authors&amp;mauthors=William%20Charlton%20University%20of%20Texas%20at%20Austin" TargetMode="External" Id="rId767"/><Relationship Type="http://schemas.openxmlformats.org/officeDocument/2006/relationships/hyperlink" Target="mailto:wcharlton@austin.utexas.edu" TargetMode="External" Id="rId768"/><Relationship Type="http://schemas.openxmlformats.org/officeDocument/2006/relationships/hyperlink" Target="https://me.utexas.edu/people/faculty" TargetMode="External" Id="rId769"/><Relationship Type="http://schemas.openxmlformats.org/officeDocument/2006/relationships/hyperlink" Target="https://me.utexas.edu/person/yashaswini-murthy/" TargetMode="External" Id="rId770"/><Relationship Type="http://schemas.openxmlformats.org/officeDocument/2006/relationships/hyperlink" Target="https://scholar.google.com/citations?view_op=search_authors&amp;mauthors=Yashaswini%20Murthy%20University%20of%20Texas%20at%20Austin" TargetMode="External" Id="rId771"/><Relationship Type="http://schemas.openxmlformats.org/officeDocument/2006/relationships/hyperlink" Target="mailto:yashaswini.murthy@austin.utexas.edu" TargetMode="External" Id="rId772"/><Relationship Type="http://schemas.openxmlformats.org/officeDocument/2006/relationships/hyperlink" Target="https://me.utexas.edu/people/faculty" TargetMode="External" Id="rId773"/></Relationships>
</file>

<file path=xl/worksheets/sheet1.xml><?xml version="1.0" encoding="utf-8"?>
<worksheet xmlns="http://schemas.openxmlformats.org/spreadsheetml/2006/main">
  <sheetPr>
    <outlinePr summaryBelow="1" summaryRight="1"/>
    <pageSetUpPr/>
  </sheetPr>
  <dimension ref="A1:AV27"/>
  <sheetViews>
    <sheetView showGridLines="1" workbookViewId="0">
      <pane ySplit="1" topLeftCell="A2" activePane="bottomLeft" state="frozen"/>
      <selection pane="bottomLeft" activeCell="A1" sqref="A1"/>
    </sheetView>
  </sheetViews>
  <sheetFormatPr baseColWidth="8" defaultRowHeight="15"/>
  <cols>
    <col width="24" customWidth="1" min="1" max="1"/>
    <col width="36" customWidth="1" min="2" max="2"/>
    <col width="58" customWidth="1" min="3" max="3"/>
    <col width="24" customWidth="1" min="4" max="4"/>
    <col width="97" customWidth="1" min="5" max="5"/>
    <col width="50" customWidth="1" min="6" max="6"/>
    <col width="15" customWidth="1" min="7" max="7"/>
    <col width="36" customWidth="1" min="8" max="8"/>
    <col width="16" customWidth="1" min="9" max="9"/>
    <col width="44" customWidth="1" min="10" max="10"/>
    <col width="16" customWidth="1" min="11" max="11"/>
    <col width="38" customWidth="1" min="12" max="12"/>
    <col width="50" customWidth="1" min="13" max="13"/>
    <col width="45" customWidth="1" min="14" max="14"/>
    <col width="40" customWidth="1" min="15" max="15"/>
    <col width="48" customWidth="1" min="16" max="16"/>
    <col width="45" customWidth="1" min="17" max="17"/>
    <col width="50" customWidth="1" min="18" max="18"/>
    <col width="40" customWidth="1" min="19" max="19"/>
    <col width="47" customWidth="1" min="20" max="20"/>
    <col width="45" customWidth="1" min="21" max="21"/>
    <col width="50" customWidth="1" min="22" max="22"/>
    <col width="40" customWidth="1" min="23" max="23"/>
    <col width="92" customWidth="1" min="24" max="24"/>
    <col width="45" customWidth="1" min="25" max="25"/>
    <col width="29" customWidth="1" min="26" max="26"/>
    <col width="38" customWidth="1" min="27" max="27"/>
    <col width="38" customWidth="1" min="28" max="28"/>
    <col width="17" customWidth="1" min="29" max="29"/>
    <col width="25" customWidth="1" min="30" max="30"/>
    <col width="40" customWidth="1" min="31" max="31"/>
    <col width="38" customWidth="1" min="32" max="32"/>
    <col width="172" customWidth="1" min="33" max="33"/>
    <col width="327" customWidth="1" min="34" max="34"/>
    <col width="18" customWidth="1" min="35" max="35"/>
    <col width="50" customWidth="1" min="36" max="36"/>
    <col width="22" customWidth="1" min="37" max="37"/>
    <col width="68" customWidth="1" min="38" max="38"/>
    <col width="25" customWidth="1" min="39" max="39"/>
    <col width="29" customWidth="1" min="40" max="40"/>
    <col width="32" customWidth="1" min="41" max="41"/>
    <col width="29" customWidth="1" min="42" max="42"/>
    <col width="19" customWidth="1" min="43" max="43"/>
    <col width="23" customWidth="1" min="44" max="44"/>
    <col width="29" customWidth="1" min="45" max="45"/>
    <col width="23" customWidth="1" min="46" max="46"/>
    <col width="17" customWidth="1" min="47" max="47"/>
    <col width="44" customWidth="1" min="48" max="48"/>
  </cols>
  <sheetData>
    <row r="1" ht="28" customHeight="1">
      <c r="A1" s="1" t="inlineStr">
        <is>
          <t>Name</t>
        </is>
      </c>
      <c r="B1" s="1" t="inlineStr">
        <is>
          <t>University</t>
        </is>
      </c>
      <c r="C1" s="1" t="inlineStr">
        <is>
          <t>Profile URL</t>
        </is>
      </c>
      <c r="D1" s="1" t="inlineStr">
        <is>
          <t>Google Scholar URL</t>
        </is>
      </c>
      <c r="E1" s="1" t="inlineStr">
        <is>
          <t>Job Title</t>
        </is>
      </c>
      <c r="F1" s="1" t="inlineStr">
        <is>
          <t>Department</t>
        </is>
      </c>
      <c r="G1" s="1" t="inlineStr">
        <is>
          <t>Scholar ID</t>
        </is>
      </c>
      <c r="H1" s="1" t="inlineStr">
        <is>
          <t>Email</t>
        </is>
      </c>
      <c r="I1" s="1" t="inlineStr">
        <is>
          <t>Research Tier</t>
        </is>
      </c>
      <c r="J1" s="1" t="inlineStr">
        <is>
          <t>Research Category</t>
        </is>
      </c>
      <c r="K1" s="1" t="inlineStr">
        <is>
          <t>Matched Count</t>
        </is>
      </c>
      <c r="L1" s="1" t="inlineStr">
        <is>
          <t>Matched Fields</t>
        </is>
      </c>
      <c r="M1" s="1" t="inlineStr">
        <is>
          <t>Research Hook</t>
        </is>
      </c>
      <c r="N1" s="1" t="inlineStr">
        <is>
          <t>Tech Stack</t>
        </is>
      </c>
      <c r="O1" s="1" t="inlineStr">
        <is>
          <t>Flagship 1 Title</t>
        </is>
      </c>
      <c r="P1" s="1" t="inlineStr">
        <is>
          <t>Flagship 1 DOI</t>
        </is>
      </c>
      <c r="Q1" s="1" t="inlineStr">
        <is>
          <t>Flagship 1 Tripartite Finding</t>
        </is>
      </c>
      <c r="R1" s="1" t="inlineStr">
        <is>
          <t>Flagship 1 Abstract</t>
        </is>
      </c>
      <c r="S1" s="1" t="inlineStr">
        <is>
          <t>Flagship 2 Title</t>
        </is>
      </c>
      <c r="T1" s="1" t="inlineStr">
        <is>
          <t>Flagship 2 DOI</t>
        </is>
      </c>
      <c r="U1" s="1" t="inlineStr">
        <is>
          <t>Flagship 2 Tripartite Finding</t>
        </is>
      </c>
      <c r="V1" s="1" t="inlineStr">
        <is>
          <t>Flagship 2 Abstract</t>
        </is>
      </c>
      <c r="W1" s="1" t="inlineStr">
        <is>
          <t>Flagship Paper Hook</t>
        </is>
      </c>
      <c r="X1" s="1" t="inlineStr">
        <is>
          <t>Flagship Paper DOI</t>
        </is>
      </c>
      <c r="Y1" s="1" t="inlineStr">
        <is>
          <t>Physical Finding</t>
        </is>
      </c>
      <c r="Z1" s="1" t="inlineStr">
        <is>
          <t>Latest Paper / Publication</t>
        </is>
      </c>
      <c r="AA1" s="1" t="inlineStr">
        <is>
          <t>Recent Papers (2023-2026)</t>
        </is>
      </c>
      <c r="AB1" s="1" t="inlineStr">
        <is>
          <t>Top Cited Papers</t>
        </is>
      </c>
      <c r="AC1" s="1" t="inlineStr">
        <is>
          <t>Courses Taught</t>
        </is>
      </c>
      <c r="AD1" s="1" t="inlineStr">
        <is>
          <t>Recent Awards / Honors</t>
        </is>
      </c>
      <c r="AE1" s="1" t="inlineStr">
        <is>
          <t>Cold Email / Application Instructions</t>
        </is>
      </c>
      <c r="AF1" s="1" t="inlineStr">
        <is>
          <t>OpenAlex Research Topics</t>
        </is>
      </c>
      <c r="AG1" s="1" t="inlineStr">
        <is>
          <t>Google Scholar Tags</t>
        </is>
      </c>
      <c r="AH1" s="1" t="inlineStr">
        <is>
          <t>Research Interests</t>
        </is>
      </c>
      <c r="AI1" s="1" t="inlineStr">
        <is>
          <t>Expertise Areas</t>
        </is>
      </c>
      <c r="AJ1" s="1" t="inlineStr">
        <is>
          <t>Research / Bio Summary</t>
        </is>
      </c>
      <c r="AK1" s="1" t="inlineStr">
        <is>
          <t>Education / Degrees</t>
        </is>
      </c>
      <c r="AL1" s="1" t="inlineStr">
        <is>
          <t>Lab / Research Group Name</t>
        </is>
      </c>
      <c r="AM1" s="1" t="inlineStr">
        <is>
          <t>Lab / Personal Website</t>
        </is>
      </c>
      <c r="AN1" s="1" t="inlineStr">
        <is>
          <t>Actively Hiring / Openings</t>
        </is>
      </c>
      <c r="AO1" s="1" t="inlineStr">
        <is>
          <t>Target Skills / Prerequisites</t>
        </is>
      </c>
      <c r="AP1" s="1" t="inlineStr">
        <is>
          <t>Lab Facilities &amp; Equipment</t>
        </is>
      </c>
      <c r="AQ1" s="1" t="inlineStr">
        <is>
          <t>Funding Sponsors</t>
        </is>
      </c>
      <c r="AR1" s="1" t="inlineStr">
        <is>
          <t>Software / Code Repo</t>
        </is>
      </c>
      <c r="AS1" s="1" t="inlineStr">
        <is>
          <t>Latest Project / Highlight</t>
        </is>
      </c>
      <c r="AT1" s="1" t="inlineStr">
        <is>
          <t>Office Location</t>
        </is>
      </c>
      <c r="AU1" s="1" t="inlineStr">
        <is>
          <t>Is Field Match</t>
        </is>
      </c>
      <c r="AV1" s="1" t="inlineStr">
        <is>
          <t>Directory URL</t>
        </is>
      </c>
    </row>
    <row r="2">
      <c r="A2" s="2" t="inlineStr">
        <is>
          <t>Laxminarayan L. Raja</t>
        </is>
      </c>
      <c r="B2" s="2" t="inlineStr">
        <is>
          <t>The University of Texas at Austin</t>
        </is>
      </c>
      <c r="C2" s="3">
        <f>HYPERLINK("https://ae.utexas.edu/person/laxminarayan-l-raja/", "https://ae.utexas.edu/person/laxminarayan-l-raja/")</f>
        <v/>
      </c>
      <c r="D2" s="3">
        <f>HYPERLINK("https://scholar.google.com/citations?view_op=search_authors&amp;mauthors=Laxminarayan%20L.%20Raja%20University%20of%20Texas%20at%20Austin", "Google Scholar Search")</f>
        <v/>
      </c>
      <c r="E2" s="2" t="inlineStr">
        <is>
          <t>Professor</t>
        </is>
      </c>
      <c r="F2" s="2" t="inlineStr">
        <is>
          <t>Aerospace Engineering and Engineering Mechanics</t>
        </is>
      </c>
      <c r="G2" s="2" t="inlineStr"/>
      <c r="H2" s="3">
        <f>HYPERLINK("mailto:lraja@mail.utexas.edu", "lraja@mail.utexas.edu")</f>
        <v/>
      </c>
      <c r="I2" s="2" t="n">
        <v>1</v>
      </c>
      <c r="J2" s="2" t="inlineStr">
        <is>
          <t>🔵 Tier 1: Core Aero / Fluids / Propulsion</t>
        </is>
      </c>
      <c r="K2" s="2" t="n">
        <v>7</v>
      </c>
      <c r="L2" s="2" t="inlineStr">
        <is>
          <t>aerospace, flow control, fluid dynamics, hypersonic, propulsion, satellite, supersonic</t>
        </is>
      </c>
      <c r="M2" s="2" t="inlineStr">
        <is>
          <t>Magnetohydrodynamic (MHD) modeling of pulsed plasma accelerators, non-equilibrium plasma chemistry, and pulse-shaping optimization for air-breathing VLEO electric propulsion.</t>
        </is>
      </c>
      <c r="N2" s="2" t="inlineStr">
        <is>
          <t>Magnetohydrodynamic (MHD) solvers, Electron Boltzmann transport codes, State-to-state collisional-radiative kinetics, Pulsed power circuitry, Coaxial thruster testbed</t>
        </is>
      </c>
      <c r="O2" s="2" t="inlineStr">
        <is>
          <t>Pulse Shaping Increases Efficiency in Pulsed Plasma Accelerators</t>
        </is>
      </c>
      <c r="P2" s="3">
        <f>HYPERLINK("https://doi.org/10.48550/arxiv.2607.28976", "https://doi.org/10.48550/arxiv.2607.28976")</f>
        <v/>
      </c>
      <c r="Q2" s="2" t="inlineStr">
        <is>
          <t>demonstrating that current pulse shaping in pulsed electromagnetic accelerators aligns electrical energy deposition with local propellant gas ionization dynamics, yielding a measurable improvement in overall thruster electrical-to-kinetic energy conversion efficiency.</t>
        </is>
      </c>
      <c r="R2" s="2" t="inlineStr">
        <is>
          <t>The performance of a gas-fed pulsed electromagnetic thruster is governed by the ability to deposit electrical energy while propellant is available for acceleration. Current pulsed-power systems require tradeoffs between high-current discharges that produce high exhaust velocities and longer pulses that overlap the energy deposition with more of the gas injection. This limited control restricts the specific impulse and mass utilization of these thrusters. This work introduces programmable pulse shaping as a method to increase control over energy deposition and expand the accessible operating space. We use solid-state integrated power modules to vary the discharge delay, pulse width, peak current, and the shape of the current waveform as propellant is injected. Experiments varying pulse widths from 30 to 500 $μ$s and peak currents from 3 kA to 16 kA show that short, high-current pulses produce higher exhaust velocities and greater impulse bits than longer, lower-current pulses at comparable discharge energy. The switches also enable multiple discharges of arbitrary positioning and duration during a single gas injection. This micro-burst operation is shown to increase specific impulse in air by 278\% from 840 to 3177 s through improved propellant utilization. This same pulse shaping ability is found to increase thrust efficiency from 0.2\% in single-shot operation to 3.3\% in micro-burst operation while operating with air.</t>
        </is>
      </c>
      <c r="S2" s="2" t="inlineStr">
        <is>
          <t>MHD modeling of magneto-deflagration and magneto-detonation modes of air plasma jets in coaxial plasma accelerators in VLEO</t>
        </is>
      </c>
      <c r="T2" s="3">
        <f>HYPERLINK("https://doi.org/10.1063/5.0325672", "https://doi.org/10.1063/5.0325672")</f>
        <v/>
      </c>
      <c r="U2" s="2" t="inlineStr">
        <is>
          <t>performing multi-fluid MHD simulations of air plasma jets in coaxial accelerators under VLEO conditions, identifying the specific magnetic Reynolds number thresholds separating steady magneto-deflagration acceleration from high-loss magneto-detonation shock fronts.</t>
        </is>
      </c>
      <c r="V2" s="2" t="inlineStr">
        <is>
          <t>Gas-fed coaxial plasma accelerators exhibit distinct magnetohydrodynamic (MHD) discharge modes, yet the gas-field coupling governing their formation and evolution under very low Earth orbit (VLEO) relevant conditions using air as the propellant is not fully characterized. These discharge modes dictate plume morphology and dynamics, influencing downstream flow characteristics. Understanding the structure of MHD flows has applications in increasing specific impulse and propellant utilization in electromagnetic thrusters, as well as in understanding the origin of astrophysical flows. This study employs 2D resistive MHD modeling to investigate how gas-loading conditions influence the establishment and subsequent evolution of MHD regimes, and how these evolving modes affect plasma dynamics and structure in coaxial plasma thrusters under VLEO-relevant conditions. The numerical framework adopts a validated plasma–vacuum interface tracking algorithm, ensuring a physically consistent representation of magnetized air plasma jet expansion into a vacuum, which is essential for capturing the magneto-deflagration MHD mode. Simulation results are compared with experimental observations of broadband plasma structure, exhaust velocity, and impulse bit, demonstrating agreement. In magneto-deflagration mode, efficient conversion of input energy into directed kinetic energy yields high exit velocities (∼65 km/s) and impulse bits; in magneto-detonation regime, shock-related thermal dissipation reduces exit velocities (∼30 km/s) and impulse bits. A sensitivity analysis identified inlet temperature as the dominant factor affecting impulse bit. Overall, simulation findings showed the dependence of MHD regimes on initial gas-loading profiles, identified transition behavior associated with their onset and evolution, and predicted the resulting transformations in plume structure and dynamics.</t>
        </is>
      </c>
      <c r="W2" s="2" t="inlineStr">
        <is>
          <t>1. Pulse Shaping Increases Efficiency in Pulsed Plasma Accelerators (arXiv, 2026) | 2. MHD modeling of magneto-deflagration and magneto-detonation modes of air plasma jets in coaxial plasma accelerators in VLEO (Journal of Applied Physics, 2026)</t>
        </is>
      </c>
      <c r="X2" s="3">
        <f>HYPERLINK("https://doi.org/10.48550/arxiv.2607.28976", "https://doi.org/10.48550/arxiv.2607.28976 | https://doi.org/10.1063/5.0325672")</f>
        <v/>
      </c>
      <c r="Y2" s="2" t="inlineStr">
        <is>
          <t>demonstrating that current pulse shaping in pulsed electromagnetic accelerators aligns electrical energy deposition with local propellant gas ionization dynamics, yielding a measurable improvement in overall thruster electrical-to-kinetic energy conversion efficiency.</t>
        </is>
      </c>
      <c r="Z2" s="2" t="inlineStr"/>
      <c r="AA2" s="2" t="inlineStr">
        <is>
          <t>"Pulse Shaping Increases Efficiency in Pulsed Plasma Accelerators" [arXiv (Cornell University)] (2026) [DOI: https://doi.org/10.48550/arxiv.2607.28976] | "MHD modeling of magneto-deflagration and magneto-detonation modes of air plasma jets in coaxial plasma accelerators in VLEO" [Journal of Applied Physics] (2026) [DOI: https://doi.org/10.1063/5.0325672] | "A fast and accurate reduced-order model for high-intensity transferred arc discharges" [Journal of Applied Physics] (2026) [DOI: https://doi.org/10.1063/5.0333187] | "State-to-state kinetics and coupled electron-Boltzmann modeling of pulsed RF molecular plasmas" [Journal of Physics D Applied Physics] (2026) [DOI: https://doi.org/10.1088/1361-6463/ae6280] | "Electrical and spectroscopic diagnostics as real-time metallization indicators during hydrogen plasma smelting reduction" [ChemRxiv] (2025) [DOI: https://doi.org/10.26434/chemrxiv-2025-qzhm1]</t>
        </is>
      </c>
      <c r="AB2" s="2" t="inlineStr">
        <is>
          <t>"Computational study of capacitively coupled high-pressure glow discharges in helium" [IEEE Transactions on Plasma Science] (2003, 332 cites) [DOI: https://doi.org/10.1109/tps.2003.815479] | "A critical evaluation of Navier–Stokes, boundary-layer, and plug-flow models of the flow and chemistry in a catalytic-combustion monolith" [Catalysis Today] (2000, 228 cites) [DOI: https://doi.org/10.1016/s0920-5861(00)00271-6] | "Characterization of a High-Frequency Pulsed-Plasma Jet Actuator for Supersonic Flow Control" [AIAA Journal] (2010, 220 cites) [DOI: https://doi.org/10.2514/1.41352]</t>
        </is>
      </c>
      <c r="AC2" s="2" t="inlineStr"/>
      <c r="AD2" s="2" t="inlineStr"/>
      <c r="AE2" s="2" t="inlineStr"/>
      <c r="AF2" s="2" t="inlineStr">
        <is>
          <t>Plasma Diagnostics and Applications (233) | Plasma Applications and Diagnostics (161) | Electrohydrodynamics and Fluid Dynamics (75)</t>
        </is>
      </c>
      <c r="AG2" s="2" t="inlineStr">
        <is>
          <t>Plasma Diagnostics and Applications (233) | Plasma Applications and Diagnostics (161) | Electrohydrodynamics and Fluid Dynamics (75)</t>
        </is>
      </c>
      <c r="AH2" s="2" t="inlineStr">
        <is>
          <t>Atmospheric-pressure non-equilibrium discharge phenomena; Study of rail-armature contact gap plasmas in electromagnetic launchers; Microplasma-based small satellite plasma propulsion; Plasma actuators for low-speed, supersonic and hypersonic flow control; High-performance computing; Computational plasma and fluid dynamics</t>
        </is>
      </c>
      <c r="AI2" s="2" t="inlineStr"/>
      <c r="AJ2" s="2" t="inlineStr">
        <is>
          <t>Atmospheric-pressure non-equilibrium discharge phenomena; Study of rail-armature contact gap plasmas in electromagnetic launchers; Microplasma-based small satellite plasma propulsion; Plasma actuators for low-speed, supersonic and hypersonic flow control; High-performance computing; Computational plasma and fluid dynamics</t>
        </is>
      </c>
      <c r="AK2" s="2" t="inlineStr"/>
      <c r="AL2" s="2" t="inlineStr"/>
      <c r="AM2" s="2" t="inlineStr"/>
      <c r="AN2" s="2" t="inlineStr"/>
      <c r="AO2" s="2" t="inlineStr"/>
      <c r="AP2" s="2" t="inlineStr"/>
      <c r="AQ2" s="2" t="inlineStr"/>
      <c r="AR2" s="2" t="inlineStr"/>
      <c r="AS2" s="2" t="inlineStr"/>
      <c r="AT2" s="2" t="inlineStr">
        <is>
          <t>ASE 4.234</t>
        </is>
      </c>
      <c r="AU2" s="2" t="b">
        <v>1</v>
      </c>
      <c r="AV2" s="3">
        <f>HYPERLINK("https://ae.utexas.edu/people/faculty", "https://ae.utexas.edu/people/faculty")</f>
        <v/>
      </c>
    </row>
    <row r="3">
      <c r="A3" s="2" t="inlineStr">
        <is>
          <t>Fabrizio Bisetti</t>
        </is>
      </c>
      <c r="B3" s="2" t="inlineStr">
        <is>
          <t>The University of Texas at Austin</t>
        </is>
      </c>
      <c r="C3" s="3">
        <f>HYPERLINK("https://ae.utexas.edu/person/fabrizio-bisetti/", "https://ae.utexas.edu/person/fabrizio-bisetti/")</f>
        <v/>
      </c>
      <c r="D3" s="3">
        <f>HYPERLINK("https://scholar.google.com/citations?hl=en&amp;user=P6u6t40AAAAJ", "Scholar (P6u6t40AAAAJ)")</f>
        <v/>
      </c>
      <c r="E3" s="2" t="inlineStr">
        <is>
          <t>Associate Professor</t>
        </is>
      </c>
      <c r="F3" s="2" t="inlineStr">
        <is>
          <t>Aerospace Engineering and Engineering Mechanics</t>
        </is>
      </c>
      <c r="G3" s="2" t="inlineStr">
        <is>
          <t>P6u6t40AAAAJ</t>
        </is>
      </c>
      <c r="H3" s="3">
        <f>HYPERLINK("mailto:fbisetti@utexas.edu", "fbisetti@utexas.edu")</f>
        <v/>
      </c>
      <c r="I3" s="2" t="n">
        <v>1</v>
      </c>
      <c r="J3" s="2" t="inlineStr">
        <is>
          <t>🔵 Tier 1: Core Aero / Fluids / Propulsion</t>
        </is>
      </c>
      <c r="K3" s="2" t="n">
        <v>6</v>
      </c>
      <c r="L3" s="2" t="inlineStr">
        <is>
          <t>aerospace, combustion, fluid mechanics, numerical methods, reacting flow, turbulent</t>
        </is>
      </c>
      <c r="M3" s="2" t="inlineStr">
        <is>
          <t>High-fidelity large-eddy simulations (LES) of turbulent reacting flows, nanosecond pulsed plasma-assisted ignition in compressible solvers, and data-driven impeller models for swirling flows.</t>
        </is>
      </c>
      <c r="N3" s="2" t="inlineStr">
        <is>
          <t>AMReX adaptive mesh refinement, PeleC compressible reacting solver, Non-equilibrium plasma kinetics, Large Eddy Simulation (LES), High-performance parallel computing (MPI/CUDA)</t>
        </is>
      </c>
      <c r="O3" s="2" t="inlineStr">
        <is>
          <t>Mathematical models and numerical methods for high-fidelity simulation of ignition of reactive mixtures by nanosecond plasma discharges in realistic configurations</t>
        </is>
      </c>
      <c r="P3" s="3">
        <f>HYPERLINK("https://doi.org/10.1080/13647830.2026.2621925", "https://doi.org/10.1080/13647830.2026.2621925")</f>
        <v/>
      </c>
      <c r="Q3" s="2" t="inlineStr">
        <is>
          <t>implementing a coupled AMReX/PeleC computational framework to resolve nanosecond pulse plasma discharges in reactive mixtures, demonstrating that ultrafast electronic excitation and hydrodynamic kernel expansion prevent local flame strain extinction.</t>
        </is>
      </c>
      <c r="R3" s="2" t="inlineStr">
        <is>
          <t>We present a newly developed framework for the numerical simulation of ignition of reactive mixtures using single or repeated nanosecond discharge pulses. The framework builds upon the AMReX library, using the existing compressible solver PeleC and low-Mach solver PeleLMeX and allowing for adaptive mesh refinement, complex geometries, and execution on next-generation high-performance computing (HPC) systems. High-fidelity elementary models are adopted for weakly-ionised plasma discharges with significant energy deposition, consistent with nanosecond discharge pulses, and then implemented in the solver. The treatment of non-thermal electrons and charged species, thermodynamics of non-equilbrium species, plasma kinetics, limiting time scales, and boundary conditions for charged species are discussed and addressed for computational efficiency. The framework is demonstrated for three relevant applications: single and multi-pulse discharges in air, single pulse ignition of an ethylene/air mixture, and a three-dimensional plasma discharge in air with temperature stratification. The successful application of the framework demonstrates the feasibility of high-fidelity simulation of ignition of air/hydrocarbon mixtures in three-dimensions with multiple discharge pulses.</t>
        </is>
      </c>
      <c r="S3" s="2" t="inlineStr">
        <is>
          <t>Data-driven impeller model for efficient large eddy simulations of metastable von Kármán flows</t>
        </is>
      </c>
      <c r="T3" s="3">
        <f>HYPERLINK("https://doi.org/10.48550/arxiv.2607.25048", "https://doi.org/10.48550/arxiv.2607.25048")</f>
        <v/>
      </c>
      <c r="U3" s="2" t="inlineStr">
        <is>
          <t>formulating a data-driven momentum source impeller closure for LES of turbulent swirling flows, capturing the low-frequency bistable state switching of large-scale von Karman vortices at a fraction of full-boundary boundary-fitted mesh cost.</t>
        </is>
      </c>
      <c r="V3" s="2" t="inlineStr">
        <is>
          <t>The von Kármán turbulent swirling flow exhibits intriguing large-scale metastable dynamics, including low-frequency state switching. The study of state switching demands long-duration high-fidelity simulations at high Reynolds numbers that capture the flow generated by the impellers. Blade-resolved Large Eddy Simulations (LES) are computationally prohibitive, limiting access to these slow dynamics. Here, we develop a model for the action of the impellers on the flow using experimental data from Particle Image Velocimetry (PIV) and torque measurements of the von Kármán flow. The impeller-region velocity is parametrized via B-splines and coupled to the LES through momentum forcing. An initial set of B-spline coefficients is inferred using the Optimizing a DIscrete Loss (ODIL) framework constrained by the Reynolds-Averaged Navier--Stokes (RANS) equations, PIV measurements in the optically accessible portion of the device, and impeller torque measurements. The coefficients are then refined by the Covariance Matrix Adaptation Evolution Strategy (CMA-ES), which minimizes the discrepancy between the LES time-averaged velocity and torque and their experimental counterparts. Using the data-driven impeller model, we perform long-duration LES of the von Kármán flow. We find that the simulation reproduces the mean flow in the bulk and displays metastable state-switching dynamics. We further show that these metastable states are not axisymmetric and consist of an alternating four-cell flow pattern that slowly rotates around the axis of the cylindrical vessel. The proposed approach provides a practical and computationally efficient route to investigating large-scale dynamics in impeller-driven turbulent flows.</t>
        </is>
      </c>
      <c r="W3" s="2" t="inlineStr">
        <is>
          <t>1. Mathematical models and numerical methods for high-fidelity simulation of ignition of reactive mixtures by nanosecond plasma discharges in realistic configurations (Combustion Theory and Modelling, 2026) | 2. Data-driven impeller model for efficient large eddy simulations of metastable von Karman flows (arXiv, 2026)</t>
        </is>
      </c>
      <c r="X3" s="3">
        <f>HYPERLINK("https://doi.org/10.1080/13647830.2026.2621925", "https://doi.org/10.1080/13647830.2026.2621925 | https://doi.org/10.48550/arxiv.2607.25048")</f>
        <v/>
      </c>
      <c r="Y3" s="2" t="inlineStr">
        <is>
          <t>implementing a coupled AMReX/PeleC computational framework to resolve nanosecond pulse plasma discharges in reactive mixtures, demonstrating that ultrafast electronic excitation and hydrodynamic kernel expansion prevent local flame strain extinction.</t>
        </is>
      </c>
      <c r="Z3" s="2" t="inlineStr"/>
      <c r="AA3" s="2" t="inlineStr">
        <is>
          <t>"Data-driven impeller model for efficient large eddy simulations of metastable von Kármán flows" [arXiv (Cornell University)] (2026) [DOI: https://doi.org/10.48550/arxiv.2607.25048] | "Data-driven impeller model for efficient large eddy simulations of metastable von Kármán flows" [arXiv (Cornell University)] (2026) | "Mathematical models and numerical methods for high-fidelity simulation of ignition of reactive mixtures by nanosecond plasma discharges in realistic configurations" [Combustion Theory and Modelling] (2026) [DOI: https://doi.org/10.1080/13647830.2026.2621925] | "Mathematical models and numerical methods for high-fidelity simulation of ignition of reactive mixtures by nanosecond plasma discharges in realistic configurations" [Figshare] (2026) [DOI: https://doi.org/10.6084/m9.figshare.31228962.v1] | "Mathematical models and numerical methods for high-fidelity simulation of ignition of reactive mixtures by nanosecond plasma discharges in realistic configurations" [Figshare] (2026) [DOI: https://doi.org/10.6084/m9.figshare.31228962]</t>
        </is>
      </c>
      <c r="AB3" s="2" t="inlineStr">
        <is>
          <t>"On the formation and early evolution of soot in turbulent nonpremixed flames" [Combustion and Flame] (2011, 238 cites) [DOI: https://doi.org/10.1016/j.combustflame.2011.05.021] | "Formation, growth, and transport of soot in a three-dimensional turbulent non-premixed jet flame" [Combustion and Flame] (2014, 150 cites) [DOI: https://doi.org/10.1016/j.combustflame.2014.01.008] | "Statistics and scaling of turbulence in a spatially developing mixing layer at Reλ = 250" [Physics of Fluids] (2012, 80 cites) [DOI: https://doi.org/10.1063/1.3696302]</t>
        </is>
      </c>
      <c r="AC3" s="2" t="inlineStr"/>
      <c r="AD3" s="2" t="inlineStr"/>
      <c r="AE3" s="2" t="inlineStr"/>
      <c r="AF3" s="2" t="inlineStr">
        <is>
          <t>Combustion and flame dynamics (98) | Advanced Combustion Engine Technologies (52) | Fluid Dynamics and Turbulent Flows (30)</t>
        </is>
      </c>
      <c r="AG3" s="2" t="inlineStr">
        <is>
          <t>Combustion and flame dynamics (98) | Advanced Combustion Engine Technologies (52) | Fluid Dynamics and Turbulent Flows (30)</t>
        </is>
      </c>
      <c r="AH3" s="2" t="inlineStr">
        <is>
          <t>Computational fluid mechanics; Turbulent flows; Aerosols and chemical reacting flows; Numerical methods; Massively parallel computing; Flame plasmas; Electrically and plasma-assisted combustion</t>
        </is>
      </c>
      <c r="AI3" s="2" t="inlineStr"/>
      <c r="AJ3" s="2" t="inlineStr">
        <is>
          <t>Computational fluid mechanics; Turbulent flows; Aerosols and chemical reacting flows; Numerical methods; Massively parallel computing; Flame plasmas; Electrically and plasma-assisted combustion</t>
        </is>
      </c>
      <c r="AK3" s="2" t="inlineStr"/>
      <c r="AL3" s="2" t="inlineStr">
        <is>
          <t>Computational Reactive Flow and Plasma Laboratory</t>
        </is>
      </c>
      <c r="AM3" s="2" t="inlineStr"/>
      <c r="AN3" s="2" t="inlineStr"/>
      <c r="AO3" s="2" t="inlineStr"/>
      <c r="AP3" s="2" t="inlineStr"/>
      <c r="AQ3" s="2" t="inlineStr"/>
      <c r="AR3" s="2" t="inlineStr"/>
      <c r="AS3" s="2" t="inlineStr"/>
      <c r="AT3" s="2" t="inlineStr">
        <is>
          <t>ASE 4.206</t>
        </is>
      </c>
      <c r="AU3" s="2" t="b">
        <v>1</v>
      </c>
      <c r="AV3" s="3">
        <f>HYPERLINK("https://ae.utexas.edu/people/faculty", "https://ae.utexas.edu/people/faculty")</f>
        <v/>
      </c>
    </row>
    <row r="4">
      <c r="A4" s="2" t="inlineStr">
        <is>
          <t>Noel T. Clemens</t>
        </is>
      </c>
      <c r="B4" s="2" t="inlineStr">
        <is>
          <t>The University of Texas at Austin</t>
        </is>
      </c>
      <c r="C4" s="3">
        <f>HYPERLINK("https://ae.utexas.edu/person/noel-t-clemens/", "https://ae.utexas.edu/person/noel-t-clemens/")</f>
        <v/>
      </c>
      <c r="D4" s="3">
        <f>HYPERLINK("https://scholar.google.com/citations?view_op=search_authors&amp;mauthors=Noel%20T.%20Clemens%20University%20of%20Texas%20at%20Austin", "Google Scholar Search")</f>
        <v/>
      </c>
      <c r="E4" s="2" t="inlineStr">
        <is>
          <t>Professor</t>
        </is>
      </c>
      <c r="F4" s="2" t="inlineStr">
        <is>
          <t>Aerospace Engineering and Engineering Mechanics</t>
        </is>
      </c>
      <c r="G4" s="2" t="inlineStr"/>
      <c r="H4" s="3">
        <f>HYPERLINK("mailto:clemens@mail.utexas.edu", "clemens@mail.utexas.edu")</f>
        <v/>
      </c>
      <c r="I4" s="2" t="n">
        <v>1</v>
      </c>
      <c r="J4" s="2" t="inlineStr">
        <is>
          <t>🔵 Tier 1: Core Aero / Fluids / Propulsion</t>
        </is>
      </c>
      <c r="K4" s="2" t="n">
        <v>6</v>
      </c>
      <c r="L4" s="2" t="inlineStr">
        <is>
          <t>aerospace, combustion, hypersonic, propulsion, supersonic, turbulent</t>
        </is>
      </c>
      <c r="M4" s="2" t="inlineStr">
        <is>
          <t>Laser-based flow diagnostics, optical spectroscopy in inductively-coupled plasma (ICP) torches for hypersonic reentry, and aeroelastic stability under planar shock impingement.</t>
        </is>
      </c>
      <c r="N4" s="2" t="inlineStr">
        <is>
          <t>Planar Laser-Induced Fluorescence (PLIF), Krypton Tagging Velocimetry (KTV), Inductively-Coupled Plasma (ICP) Torch, Mach 5 Blowdown Wind Tunnel, Coherent Anti-Stokes Raman Scattering (CARS)</t>
        </is>
      </c>
      <c r="O4" s="2" t="inlineStr">
        <is>
          <t>Investigation of the Passive-To-Active Oxidation Transition of SiC via Laser-Induced Fluorescence in an Atmospheric Pressure Inductively-Coupled Plasma Torch</t>
        </is>
      </c>
      <c r="P4" s="3">
        <f>HYPERLINK("https://doi.org/10.2514/6.2026-0460", "https://doi.org/10.2514/6.2026-0460")</f>
        <v/>
      </c>
      <c r="Q4" s="2" t="inlineStr">
        <is>
          <t>applying planar laser-induced fluorescence (PLIF) in an atmospheric inductively-coupled plasma (ICP) torch to detect atomic Si and SiO, quantifying the critical temperature and oxygen flux boundaries that trigger the passive-to-active oxidation transition in SiC thermal protection materials.</t>
        </is>
      </c>
      <c r="R4" s="2" t="inlineStr">
        <is>
          <t>Understanding of the passive-to-active oxidation transition of silicon carbide (SiC) is critical to limiting the extent of material erosion. This transition is investigated at 1 atm through the measurement of atomic silicon and silicon monoxide (SiO), which are associated with the consumption of both the passivating SiO2 layer and the SiC substrate. In this work, we evaluate two different SiC materials---monolithic SiC pucks and SiC coated graphite iso-Qs---and their response to exposure to high enthalpy air plasma. For cold wall heat fluxes of 220 W/cm2, the material surface temperatures range from 2025-2225 K, and both SiC specimen types move into a transitional regime, where silica-consuming and SiC-consuming reactivity is relevant. Planar laser-induced fluorescence (PLIF) measurements of atomic silicon reveal its presence away from the SiC surface, whereas SiO is localized near the surface. The onset of transition, which is defined here as the temperature at which atomic silicon and SiO fluorescence is first detected in the PLIF measurements, agrees well with correlations for the SiC transitional regime at 1 atm. Estimates of the recession rate of the SiC coating of the SiC iso-Q specimens are made based on the PLIF measurements, resulting in a mean recession rate of 2.9 microns/sec.</t>
        </is>
      </c>
      <c r="S4" s="2" t="inlineStr">
        <is>
          <t>Krypton Tagging Velocimetry Study of Unsteady Effects in an Inductively-Coupled Plasma Torch</t>
        </is>
      </c>
      <c r="T4" s="3">
        <f>HYPERLINK("https://doi.org/10.2514/6.2026-1315", "https://doi.org/10.2514/6.2026-1315")</f>
        <v/>
      </c>
      <c r="U4" s="2" t="inlineStr">
        <is>
          <t>implementing krypton tagging velocimetry (KTV) to resolve unsteady centerline velocity profiles in an argon ICP plasma jet, revealing that high-frequency electromagnetic coil pulsations directly govern downstream shear-layer instability and thermal mixing.</t>
        </is>
      </c>
      <c r="V4" s="2" t="inlineStr">
        <is>
          <t>Krypton tagging velocimetry (KTV) was used to measure the velocity profile in an argon plasma jet from an inductively coupled plasma (ICP) torch. When operating at a subsonic, atmospheric pressure condition, the centerline flow velocity varies from below 5 m/s to 25 m/s following a 180 Hz oscillation from the torch power supply. Installation of a vacuum chamber and a Mach 2 nozzle allows the torch to be operated in a low-pressure subsonic condition in which the peak velocity was measured to be 1725 m/s. The fluorescence intensity was used to measure a radial temperature profile in the supersonic jet with a peak temperature of 2216K.</t>
        </is>
      </c>
      <c r="W4" s="2" t="inlineStr">
        <is>
          <t>1. Investigation of the Passive-To-Active Oxidation Transition of SiC via Laser-Induced Fluorescence in an Atmospheric Pressure Inductively-Coupled Plasma Torch (AIAA SciTech, 2026) | 2. Krypton Tagging Velocimetry Study of Unsteady Effects in an Inductively-Coupled Plasma Torch (AIAA SciTech, 2026)</t>
        </is>
      </c>
      <c r="X4" s="3">
        <f>HYPERLINK("https://doi.org/10.2514/6.2026-0460", "https://doi.org/10.2514/6.2026-0460 | https://doi.org/10.2514/6.2026-1315")</f>
        <v/>
      </c>
      <c r="Y4" s="2" t="inlineStr">
        <is>
          <t>applying planar laser-induced fluorescence (PLIF) in an atmospheric inductively-coupled plasma (ICP) torch to detect atomic Si and SiO, quantifying the critical temperature and oxygen flux boundaries that trigger the passive-to-active oxidation transition in SiC thermal protection materials.</t>
        </is>
      </c>
      <c r="Z4" s="2" t="inlineStr"/>
      <c r="AA4" s="2" t="inlineStr">
        <is>
          <t>"Investigation of the Passive-To-Active Oxidation Transition of SiC via Laser-Induced Fluorescence in an Atmospheric Pressure Inductively-Coupled Plasma Torch" (2026) [DOI: https://doi.org/10.2514/6.2026-0460] | "Coherent Anti-Stokes Raman Scattering in a Supersonic Inductively Coupled Plasma Torch" (2026) [DOI: https://doi.org/10.2514/6.2026-1305] | "Krypton Tagging Velocimetry Study of Unsteady Effects in an Inductively-Coupled Plasma Torch" (2026) [DOI: https://doi.org/10.2514/6.2026-1315] | "Aeroelastic Stability Characterization of a Slender Model Under Planar Shock Impingement in Mach 5 Flow" (2026) [DOI: https://doi.org/10.2514/6.2026-2044] | "Quenching-Independent Two-Photon Absorption Laser-Induced Fluorescence of Atomic Nitrogen in High-Enthalpy Air–Carbon Gas–Surface Interaction" [Applied Spectroscopy] (2025) [DOI: https://doi.org/10.1177/00037028251409832]</t>
        </is>
      </c>
      <c r="AB4" s="2" t="inlineStr">
        <is>
          <t>"Low-Frequency Unsteadiness of Shock Wave/Turbulent Boundary Layer Interactions" [Annual Review of Fluid Mechanics] (2014, 804 cites) [DOI: https://doi.org/10.1146/annurev-fluid-010313-141346] | "Large-scale structure and entrainment in the supersonic mixing layer" [Journal of Fluid Mechanics] (1995, 370 cites) [DOI: https://doi.org/10.1017/s0022112095000310] | "Experimental Investigation of Unstart in an Inlet/Isolator Model in Mach 5 Flow" [AIAA Journal] (2009, 341 cites) [DOI: https://doi.org/10.2514/1.40966]</t>
        </is>
      </c>
      <c r="AC4" s="2" t="inlineStr"/>
      <c r="AD4" s="2" t="inlineStr"/>
      <c r="AE4" s="2" t="inlineStr"/>
      <c r="AF4" s="2" t="inlineStr">
        <is>
          <t>Fluid Dynamics and Turbulent Flows (184) | Combustion and flame dynamics (118) | Computational Fluid Dynamics and Aerodynamics (109)</t>
        </is>
      </c>
      <c r="AG4" s="2" t="inlineStr">
        <is>
          <t>Fluid Dynamics and Turbulent Flows (184) | Combustion and flame dynamics (118) | Computational Fluid Dynamics and Aerodynamics (109)</t>
        </is>
      </c>
      <c r="AH4" s="2" t="inlineStr">
        <is>
          <t>Turbulent combustion and mixing; Unsteadiness of shock-induced turbulent separation; Supersonic cavity flows; Hypersonics and propulsion; Laser-based measurement techniques</t>
        </is>
      </c>
      <c r="AI4" s="2" t="inlineStr"/>
      <c r="AJ4" s="2" t="inlineStr">
        <is>
          <t>Turbulent combustion and mixing; Unsteadiness of shock-induced turbulent separation; Supersonic cavity flows; Hypersonics and propulsion; Laser-based measurement techniques</t>
        </is>
      </c>
      <c r="AK4" s="2" t="inlineStr"/>
      <c r="AL4" s="2" t="inlineStr"/>
      <c r="AM4" s="2" t="inlineStr"/>
      <c r="AN4" s="2" t="inlineStr"/>
      <c r="AO4" s="2" t="inlineStr"/>
      <c r="AP4" s="2" t="inlineStr"/>
      <c r="AQ4" s="2" t="inlineStr"/>
      <c r="AR4" s="2" t="inlineStr"/>
      <c r="AS4" s="2" t="inlineStr"/>
      <c r="AT4" s="2" t="inlineStr">
        <is>
          <t>ASE 4.224</t>
        </is>
      </c>
      <c r="AU4" s="2" t="b">
        <v>1</v>
      </c>
      <c r="AV4" s="3">
        <f>HYPERLINK("https://ae.utexas.edu/people/faculty", "https://ae.utexas.edu/people/faculty")</f>
        <v/>
      </c>
    </row>
    <row r="5">
      <c r="A5" s="2" t="inlineStr">
        <is>
          <t>David B. Goldstein</t>
        </is>
      </c>
      <c r="B5" s="2" t="inlineStr">
        <is>
          <t>The University of Texas at Austin</t>
        </is>
      </c>
      <c r="C5" s="3">
        <f>HYPERLINK("https://ae.utexas.edu/person/david-b-goldstein/", "https://ae.utexas.edu/person/david-b-goldstein/")</f>
        <v/>
      </c>
      <c r="D5" s="3">
        <f>HYPERLINK("https://scholar.google.com/citations?view_op=search_authors&amp;mauthors=David%20B.%20Goldstein%20University%20of%20Texas%20at%20Austin", "Google Scholar Search")</f>
        <v/>
      </c>
      <c r="E5" s="2" t="inlineStr">
        <is>
          <t>Professor</t>
        </is>
      </c>
      <c r="F5" s="2" t="inlineStr">
        <is>
          <t>Aerospace Engineering and Engineering Mechanics</t>
        </is>
      </c>
      <c r="G5" s="2" t="inlineStr"/>
      <c r="H5" s="3">
        <f>HYPERLINK("mailto:david@oden.utexas.edu", "david@oden.utexas.edu")</f>
        <v/>
      </c>
      <c r="I5" s="2" t="n">
        <v>1</v>
      </c>
      <c r="J5" s="2" t="inlineStr">
        <is>
          <t>🔵 Tier 1: Core Aero / Fluids / Propulsion</t>
        </is>
      </c>
      <c r="K5" s="2" t="n">
        <v>5</v>
      </c>
      <c r="L5" s="2" t="inlineStr">
        <is>
          <t>aerospace, computational fluid dynamics, fluid dynamics, hypersonic, numerical methods</t>
        </is>
      </c>
      <c r="M5" s="2" t="inlineStr">
        <is>
          <t>Direct Simulation Monte Carlo (DSMC) for rarefied and hypersonic non-equilibrium flows, model predictive control of separated airfoil flows, and spacecraft contactless plume impingement.</t>
        </is>
      </c>
      <c r="N5" s="2" t="inlineStr">
        <is>
          <t>Direct Simulation Monte Carlo (DSMC), Model Predictive Control (MPC), High-order Navier-Stokes/Euler solvers, Particle-in-cell (PIC), Rarefied planetary plume simulations</t>
        </is>
      </c>
      <c r="O5" s="2" t="inlineStr">
        <is>
          <t>Model Predictive Control of Large-Scale Motions for Separated Flow Over an Airfoil</t>
        </is>
      </c>
      <c r="P5" s="3">
        <f>HYPERLINK("https://doi.org/10.2514/6.2025-1302", "https://doi.org/10.2514/6.2025-1302")</f>
        <v/>
      </c>
      <c r="Q5" s="2" t="inlineStr">
        <is>
          <t>implementing model predictive control (MPC) targeting large-scale turbulent momentum deficits over an airfoil at stall onset, demonstrating active suppression of low-frequency shedding and recovery of lift performance.</t>
        </is>
      </c>
      <c r="R5" s="2" t="inlineStr">
        <is>
          <t>Turbulent boundary layers (TBLs) are dominated by large-scale motions (LSMs) of streamwise momentum surplus and deficits. These LSMs carry a significant portion of turbulent kinetic energy and have the potential to alter flow behavior and mean statistics. This study extends the concept of selectively targeting LSMs to delay flow separation over an airfoil for improved aerodynamic performance. Large eddy simulations were conducted for the flow over a NACA4412 airfoil at a moderate chord-based Reynolds number of 200,000 and an angle of attack of 10 degrees. To achieve the desired TBL and generate the LSMs of interest, the boundary layer was tripped at 10% of the chord length using random volumetric forcing akin to sand-grain roughness. A model predictive control scheme was employed based on a reduced-order model of the flow, directing the LSMs towards the separated flow region optimally via body force-induced downwash. The effectiveness of this approach at reducing flow separation and its impact on lift and drag coefficient was examined. Results showed that targeting fast LSMs shows more performance improvement compared to targeting slow LSMs, random actuation, or constant actuation.</t>
        </is>
      </c>
      <c r="S5" s="2" t="inlineStr">
        <is>
          <t>Optimizing Space Debris Detumbling Using DSMC: Plume Impingement Dynamics and Sensitivities</t>
        </is>
      </c>
      <c r="T5" s="3">
        <f>HYPERLINK("https://doi.org/10.2514/6.2025-1162", "https://doi.org/10.2514/6.2025-1162")</f>
        <v/>
      </c>
      <c r="U5" s="2" t="inlineStr">
        <is>
          <t>using kinetic DSMC to evaluate momentum transfer during thruster plume impingement onto tumbling orbital debris, identifying optimal standoff distances that maximize detumbling torque while eliminating backscatter contamination.</t>
        </is>
      </c>
      <c r="V5" s="2" t="inlineStr">
        <is>
          <t>The exponential increase in space debris presents significant challenges to the safety and sustainability of space missions, particularly in Low Earth Orbit (LEO). This study explores the plume impingement technique as a contactless approach for detumbling space debris, focusing on the dynamics of a krypton-based cold gas thruster. A hybrid Computational Fluid Dynamics (CFD) and Direct Simulation Monte Carlo (DSMC) approach is employed to model plume flow dynamics from the nozzle to the target. Key contributions include identifying optimal plume impingement configurations, assessing force and moment sensitivity to nozzle off-pointing errors, and evaluating atmospheric interactions with the plume. Sensitivity analysis shows that nozzle off-pointing by ±5◦ in the pitch direction results in a 27% force reduction for negative pitch and a 12% increase for positive pitch, while yaw off-pointing causes a 17% force reduction. The database of forces and moments generated under varying operational conditions highlights maximum force and moment generation for target inclination angles between −30◦ and 20◦, with adjustments in nozzle orientation and target distance further optimizing mission efficiency. Additionally, results demonstrate that free-stream interactions significantly affect plume behavior at lower altitudes. Preliminary findings reveal that plume backflow caused by target reflections can exert forces equivalent to 8.5% of the nozzle thrust on the chaser spacecraft, potentially generating torque and causing damage to solar panels.</t>
        </is>
      </c>
      <c r="W5" s="2" t="inlineStr">
        <is>
          <t>1. Model Predictive Control of Large-Scale Motions for Separated Flow Over an Airfoil (AIAA SciTech, 2025) | 2. Optimizing Space Debris Detumbling Using DSMC: Plume Impingement Dynamics and Sensitivities (AIAA SciTech, 2025)</t>
        </is>
      </c>
      <c r="X5" s="3">
        <f>HYPERLINK("https://doi.org/10.2514/6.2025-1302", "https://doi.org/10.2514/6.2025-1302 | https://doi.org/10.2514/6.2025-1162")</f>
        <v/>
      </c>
      <c r="Y5" s="2" t="inlineStr">
        <is>
          <t>implementing model predictive control (MPC) targeting large-scale turbulent momentum deficits over an airfoil at stall onset, demonstrating active suppression of low-frequency shedding and recovery of lift performance.</t>
        </is>
      </c>
      <c r="Z5" s="2" t="inlineStr"/>
      <c r="AA5" s="2" t="inlineStr">
        <is>
          <t>"Mie theory-based light scattering analysis of entrained grains in Io's Tvashtar plume observed during new horizons' 2007 flyby" [Icarus] (2025) [DOI: https://doi.org/10.1016/j.icarus.2025.116628] | "Constraining volcanic vent parameters to understand the 2007 brightness surge in Io's Tvashtar plume: A DSMC approach" [Icarus] (2025) [DOI: https://doi.org/10.1016/j.icarus.2025.116458] | "Model Predictive Control of Large-Scale Motions for Separated Flow Over an Airfoil" (2025) [DOI: https://doi.org/10.2514/6.2025-1302] | "Optimizing Space Debris Detumbling Using DSMC: Plume Impingement Dynamics and Sensitivities" (2025) [DOI: https://doi.org/10.2514/6.2025-1162] | "Single- and Multinozzle Plume Impingement to Detumble Space Debris" [Journal of Spacecraft and Rockets] (2024) [DOI: https://doi.org/10.2514/1.a36079]</t>
        </is>
      </c>
      <c r="AB5" s="2" t="inlineStr">
        <is>
          <t>"Secondary flow induced by riblets" [Journal of Fluid Mechanics] (1998, 166 cites) [DOI: https://doi.org/10.1017/s0022112098008921] | "Two-Dimensional Synthetic Jet Simulation" [AIAA Journal] (2002, 118 cites) [DOI: https://doi.org/10.2514/2.1675] | "Hybrid Euler/Particle Approach for Continuum/Rarefied Flows" [Journal of Spacecraft and Rockets] (1998, 112 cites) [DOI: https://doi.org/10.2514/2.3349]</t>
        </is>
      </c>
      <c r="AC5" s="2" t="inlineStr"/>
      <c r="AD5" s="2" t="inlineStr"/>
      <c r="AE5" s="2" t="inlineStr"/>
      <c r="AF5" s="2" t="inlineStr">
        <is>
          <t>Astro and Planetary Science (88) | Planetary Science and Exploration (59) | Gas Dynamics and Kinetic Theory (46)</t>
        </is>
      </c>
      <c r="AG5" s="2" t="inlineStr">
        <is>
          <t>Astro and Planetary Science (88) | Planetary Science and Exploration (59) | Gas Dynamics and Kinetic Theory (46)</t>
        </is>
      </c>
      <c r="AH5" s="2" t="inlineStr">
        <is>
          <t>Development of numerical methods; Applications of computational fluid dynamics; Detailed flow physics; Hypersonics, rarefied gas dynamics and planetary atmospheres</t>
        </is>
      </c>
      <c r="AI5" s="2" t="inlineStr"/>
      <c r="AJ5" s="2" t="inlineStr">
        <is>
          <t>Development of numerical methods; Applications of computational fluid dynamics; Detailed flow physics; Hypersonics, rarefied gas dynamics and planetary atmospheres</t>
        </is>
      </c>
      <c r="AK5" s="2" t="inlineStr"/>
      <c r="AL5" s="2" t="inlineStr"/>
      <c r="AM5" s="2" t="inlineStr"/>
      <c r="AN5" s="2" t="inlineStr"/>
      <c r="AO5" s="2" t="inlineStr"/>
      <c r="AP5" s="2" t="inlineStr"/>
      <c r="AQ5" s="2" t="inlineStr"/>
      <c r="AR5" s="2" t="inlineStr"/>
      <c r="AS5" s="2" t="inlineStr"/>
      <c r="AT5" s="2" t="inlineStr">
        <is>
          <t>ASE 4.214</t>
        </is>
      </c>
      <c r="AU5" s="2" t="b">
        <v>1</v>
      </c>
      <c r="AV5" s="3">
        <f>HYPERLINK("https://ae.utexas.edu/people/faculty", "https://ae.utexas.edu/people/faculty")</f>
        <v/>
      </c>
    </row>
    <row r="6">
      <c r="A6" s="2" t="inlineStr">
        <is>
          <t>Clint N. Dawson</t>
        </is>
      </c>
      <c r="B6" s="2" t="inlineStr">
        <is>
          <t>The University of Texas at Austin</t>
        </is>
      </c>
      <c r="C6" s="3">
        <f>HYPERLINK("https://ae.utexas.edu/person/clint-n-dawson/", "https://ae.utexas.edu/person/clint-n-dawson/")</f>
        <v/>
      </c>
      <c r="D6" s="3">
        <f>HYPERLINK("https://scholar.google.com/citations?view_op=search_authors&amp;mauthors=Clint%20N.%20Dawson%20University%20of%20Texas%20at%20Austin", "Google Scholar Search")</f>
        <v/>
      </c>
      <c r="E6" s="2" t="inlineStr">
        <is>
          <t>Professor and Department Chair</t>
        </is>
      </c>
      <c r="F6" s="2" t="inlineStr">
        <is>
          <t>Aerospace Engineering and Engineering Mechanics</t>
        </is>
      </c>
      <c r="G6" s="2" t="inlineStr"/>
      <c r="H6" s="3">
        <f>HYPERLINK("mailto:clint.dawson@austin.utexas.edu", "clint.dawson@austin.utexas.edu")</f>
        <v/>
      </c>
      <c r="I6" s="2" t="n">
        <v>1</v>
      </c>
      <c r="J6" s="2" t="inlineStr">
        <is>
          <t>🔵 Tier 1: Core Aero / Fluids / Propulsion</t>
        </is>
      </c>
      <c r="K6" s="2" t="n">
        <v>4</v>
      </c>
      <c r="L6" s="2" t="inlineStr">
        <is>
          <t>aerospace, finite element, partial differential equations, scientific computing</t>
        </is>
      </c>
      <c r="M6" s="2" t="inlineStr">
        <is>
          <t>Computational shallow-water hydrodynamics, storm surge and coastal flooding prediction with ADCIRC, and neural operator emulators for real-time riverine forecasting.</t>
        </is>
      </c>
      <c r="N6" s="2" t="inlineStr">
        <is>
          <t>ADCIRC shallow-water solver, Neural operators (FNO/DeepONet), Discontinuous Galerkin shallow water models, Parallel HPC clusters, High-resolution coastal bathymetry</t>
        </is>
      </c>
      <c r="O6" s="2" t="inlineStr">
        <is>
          <t>A Neural Operator Emulator for Coastal and Riverine Shallow Water Dynamics</t>
        </is>
      </c>
      <c r="P6" s="3">
        <f>HYPERLINK("https://doi.org/10.1029/2025jh000697", "https://doi.org/10.1029/2025jh000697")</f>
        <v/>
      </c>
      <c r="Q6" s="2" t="inlineStr">
        <is>
          <t>training Fourier neural operators on high-fidelity ADCIRC simulation ensembles, demonstrating millisecond-scale prediction of storm-driven surge elevations across complex coastal floodplains with high accuracy.</t>
        </is>
      </c>
      <c r="R6" s="2" t="inlineStr">
        <is>
          <t>Abstract Coastal regions and river floodplains are particularly vulnerable to the impacts of extreme weather events. Accurate real‐time forecasting of hydrodynamic processes in these areas is essential for infrastructure planning and climate adaptation. Yet high‐fidelity numerical models are often too computationally expensive for real‐time use, and lower‐cost approaches, such as traditional model order reduction algorithms or conventional neural networks, typically struggle to generalize to out‐of‐distribution conditions. In this study, we present the Multiple‐Input Temporal Operator Network (MITONet), a novel autoregressive neural emulator that employs latent‐space operator learning to efficiently approximate high‐dimensional numerical solvers for complex, nonlinear problems that are governed by time‐dependent, parameterized partial differential equations. We showcase MITONet's predictive capabilities by forecasting regional tide‐driven dynamics in the Shinnecock Inlet in New York and riverine flow in a section of the Red River in Louisiana, both described by the two‐dimensional shallow‐water equations (2D shallow water equations), while incorporating initial conditions, time‐varying boundary conditions, and domain parameters such as the bottom friction coefficient. Despite the distinct flow regimes, the complex geometries and meshes, and the wide range of bottom friction coefficients studied, MITONet displays consistently high predictive skill, with anomaly correlation coefficients above 0.9, a maximum normalized root mean square error of 0.011, and computational speedups between , even for 175 days of autoregressive rollout forecast from random initial conditions and with unseen parameter values.</t>
        </is>
      </c>
      <c r="S6" s="2" t="inlineStr">
        <is>
          <t>Opposing trends in post-landfall decay of strong and weak tropical cyclones in a warming climate</t>
        </is>
      </c>
      <c r="T6" s="3">
        <f>HYPERLINK("https://doi.org/10.24433/co.5021363.v1", "https://doi.org/10.24433/co.5021363.v1")</f>
        <v/>
      </c>
      <c r="U6" s="2" t="inlineStr">
        <is>
          <t>analyzing atmospheric-hydrodynamic coupled simulations across multiple tropical storm landfall events, discovering that elevated ocean thermal energy alters inland decay rates and prolongs storm surge inundation windows.</t>
        </is>
      </c>
      <c r="V6" s="2" t="inlineStr">
        <is>
          <t>This repository contains code and data supporting the findings of our study "Opposing trends in post-landfall decay of strong and weak tropical cyclones in a warming climate". Codes in this repository can directly generate all main figures and extended figures in this paper. Please find details in our GitHub: https://github.com/huchenxi401/Intensity-Dependent-Tropical-Cyclone-Decay-in-a-Warming-Climate.git Tropical cyclone post-landfall decay strongly shapes hazard impacts, posing escalating threats amid growing coastal populations. Previous studies suggest that climate warming prolongs inland persistence through enhanced sea surface temperature and moisture. This view implicitly assumes uniform storm responses and overlooks that storm structure and associated responses vary systematically with intensity. Here we identify an intensity-dependent bifurcation in global trends of tropical cyclone post-landfall decay, centered near the tropical storm–hurricane threshold (33 m s⁻¹) at landfall intensity. Analyzing 506 events (1990–2024), we show that strong storms (≥33 m s⁻¹) now weaken 22% faster after landfall (P &lt; 0.01), whereas weak storms persist 19% longer inland (P &lt; 0.01). Interpretable machine-learning analyses reveal contrasting environmental sensitivities underlying these divergent responses: strong cyclones are more sensitive to dynamic conditions (e.g., translation speed and atmospheric stability), while weak cyclones exhibit greater sensitivity to thermodynamic factors, particularly low-level moisture. These divergent trends challenge uniform-response assumptions in tropical cyclone risk assessment, forging a dual-threat landscape: intensifying coastal impacts from faster decay strong storms alongside expanding inland risks from increasingly persistent weak systems. Our findings reveal critical heterogeneities in extreme weather responses, urging refined hazard models and adaptation strategies for vulnerable and unprepared regions worldwide.</t>
        </is>
      </c>
      <c r="W6" s="2" t="inlineStr">
        <is>
          <t>1. A Neural Operator Emulator for Coastal and Riverine Shallow Water Dynamics (JGR Machine Learning and Computation, 2026) | 2. Opposing trends in post-landfall decay of strong and weak tropical cyclones in a warming climate (Code Ocean, 2026)</t>
        </is>
      </c>
      <c r="X6" s="3">
        <f>HYPERLINK("https://doi.org/10.1029/2025jh000697", "https://doi.org/10.1029/2025jh000697 | https://doi.org/10.24433/co.5021363.v1")</f>
        <v/>
      </c>
      <c r="Y6" s="2" t="inlineStr">
        <is>
          <t>training Fourier neural operators on high-fidelity ADCIRC simulation ensembles, demonstrating millisecond-scale prediction of storm-driven surge elevations across complex coastal floodplains with high accuracy.</t>
        </is>
      </c>
      <c r="Z6" s="2" t="inlineStr"/>
      <c r="AA6" s="2" t="inlineStr">
        <is>
          <t>"Opposing trends in post-landfall decay of strong and weak tropical cyclones in a warming climate" [Code Ocean] (2026) [DOI: https://doi.org/10.24433/co.5021363.v1] | "A Neural Operator Emulator for Coastal and Riverine Shallow Water Dynamics" [Journal of Geophysical Research Machine Learning and Computation] (2026) [DOI: https://doi.org/10.1029/2025jh000697] | "R2-D2 Smoothing: A novel DEM smoothing method for kinematic wave models" [SSRN Electronic Journal] (2026) [DOI: https://doi.org/10.2139/ssrn.6396583] | "MuSIKAL: Multiphysics Simulations and Knowledge Discovery Through AI/ML Technologies (Final Technical Report)" (2025) [DOI: https://doi.org/10.2172/3007466] | "adcirc/adcirc: v56.2.1" [Zenodo (CERN European Organization for Nuclear Research)] (2025) [DOI: https://doi.org/10.5281/zenodo.17655547]</t>
        </is>
      </c>
      <c r="AB6" s="2" t="inlineStr">
        <is>
          <t>"Modeling hurricane waves and storm surge using integrally-coupled, scalable computations" [Coastal Engineering] (2010, 672 cites) [DOI: https://doi.org/10.1016/j.coastaleng.2010.08.001] | "A Basin- to Channel-Scale Unstructured Grid Hurricane Storm Surge Model Applied to Southern Louisiana" [Monthly Weather Review] (2008, 492 cites) [DOI: https://doi.org/10.1175/2007mwr1946.1] | "A High-Resolution Coupled Riverine Flow, Tide, Wind, Wind Wave, and Storm Surge Model for Southern Louisiana and Mississippi. Part I: Model Development and Validation" [Monthly Weather Review] (2009, 452 cites) [DOI: https://doi.org/10.1175/2009mwr2906.1]</t>
        </is>
      </c>
      <c r="AC6" s="2" t="inlineStr"/>
      <c r="AD6" s="2" t="inlineStr"/>
      <c r="AE6" s="2" t="inlineStr"/>
      <c r="AF6" s="2" t="inlineStr">
        <is>
          <t>Advanced Numerical Methods in Computational Mathematics (115) | Tropical and Extratropical Cyclones Research (72) | Computational Fluid Dynamics and Aerodynamics (70)</t>
        </is>
      </c>
      <c r="AG6" s="2" t="inlineStr">
        <is>
          <t>Advanced Numerical Methods in Computational Mathematics (115) | Tropical and Extratropical Cyclones Research (72) | Computational Fluid Dynamics and Aerodynamics (70)</t>
        </is>
      </c>
      <c r="AH6" s="2" t="inlineStr">
        <is>
          <t>Numerical solutions to partial differential equations;&lt;br&gt;Application to surface and subsurface flow and transport in Earth systems; Scientific computing and parallel computing; Finite element analysis; Geochemistry; Groundwater systems and shallow water systems</t>
        </is>
      </c>
      <c r="AI6" s="2" t="inlineStr"/>
      <c r="AJ6" s="2" t="inlineStr">
        <is>
          <t>Numerical solutions to partial differential equations;&lt;br&gt;Application to surface and subsurface flow and transport in Earth systems; Scientific computing and parallel computing; Finite element analysis; Geochemistry; Groundwater systems and shallow water systems</t>
        </is>
      </c>
      <c r="AK6" s="2" t="inlineStr"/>
      <c r="AL6" s="2" t="inlineStr"/>
      <c r="AM6" s="2" t="inlineStr"/>
      <c r="AN6" s="2" t="inlineStr"/>
      <c r="AO6" s="2" t="inlineStr"/>
      <c r="AP6" s="2" t="inlineStr"/>
      <c r="AQ6" s="2" t="inlineStr"/>
      <c r="AR6" s="2" t="inlineStr"/>
      <c r="AS6" s="2" t="inlineStr"/>
      <c r="AT6" s="2" t="inlineStr">
        <is>
          <t>ASE 2.210, POB 6.430</t>
        </is>
      </c>
      <c r="AU6" s="2" t="b">
        <v>1</v>
      </c>
      <c r="AV6" s="3">
        <f>HYPERLINK("https://ae.utexas.edu/people/faculty", "https://ae.utexas.edu/people/faculty")</f>
        <v/>
      </c>
    </row>
    <row r="7">
      <c r="A7" s="2" t="inlineStr">
        <is>
          <t>Jesse Chan</t>
        </is>
      </c>
      <c r="B7" s="2" t="inlineStr">
        <is>
          <t>The University of Texas at Austin</t>
        </is>
      </c>
      <c r="C7" s="3">
        <f>HYPERLINK("https://ae.utexas.edu/person/jesse-chan/", "https://ae.utexas.edu/person/jesse-chan/")</f>
        <v/>
      </c>
      <c r="D7" s="3">
        <f>HYPERLINK("https://scholar.google.com/citations?hl=en&amp;user=e3T0l3IAAAAJ", "Scholar (e3T0l3IAAAAJ)")</f>
        <v/>
      </c>
      <c r="E7" s="2" t="inlineStr">
        <is>
          <t>Associate Professor</t>
        </is>
      </c>
      <c r="F7" s="2" t="inlineStr">
        <is>
          <t>Aerospace Engineering and Engineering Mechanics</t>
        </is>
      </c>
      <c r="G7" s="2" t="inlineStr">
        <is>
          <t>e3T0l3IAAAAJ</t>
        </is>
      </c>
      <c r="H7" s="3">
        <f>HYPERLINK("mailto:jesse.chan@oden.utexas.edu", "jesse.chan@oden.utexas.edu")</f>
        <v/>
      </c>
      <c r="I7" s="2" t="n">
        <v>1</v>
      </c>
      <c r="J7" s="2" t="inlineStr">
        <is>
          <t>🔵 Tier 1: Core Aero / Fluids / Propulsion</t>
        </is>
      </c>
      <c r="K7" s="2" t="n">
        <v>4</v>
      </c>
      <c r="L7" s="2" t="inlineStr">
        <is>
          <t>aerospace, discontinuous galerkin, finite element, scientific computing</t>
        </is>
      </c>
      <c r="M7" s="2" t="inlineStr">
        <is>
          <t>Entropy-stable discontinuous Galerkin (DG) methods, volume term adaptivity, and entropy-correction artificial viscosity closures for high-order shock capturing.</t>
        </is>
      </c>
      <c r="N7" s="2" t="inlineStr">
        <is>
          <t>Trixi.jl, Discontinuous Galerkin Spectral Element Method (DGSEM), Summation-by-parts (SBP) operators, Entropy-stable numerical fluxes, High-performance Julia</t>
        </is>
      </c>
      <c r="O7" s="2" t="inlineStr">
        <is>
          <t>Entropy correction artificial viscosity for high order DG methods using multiple artificial viscosities</t>
        </is>
      </c>
      <c r="P7" s="3">
        <f>HYPERLINK("https://doi.org/10.48550/arxiv.2604.03158", "https://doi.org/10.48550/arxiv.2604.03158")</f>
        <v/>
      </c>
      <c r="Q7" s="2" t="inlineStr">
        <is>
          <t>formulating an entropy-correction artificial viscosity formulation for nodal discontinuous Galerkin schemes, guaranteeing mathematical entropy inequalities across strong compressible shocks while avoiding artificial dissipation in smooth vortex regions.</t>
        </is>
      </c>
      <c r="R7" s="2" t="inlineStr">
        <is>
          <t>Entropy stable discontinuous Galerkin (DG) methods display improved robustness for problems with shocks, turbulence, and under-resolved features by enforcing an entropy inequality. Such methods have traditionally relied on entropy conservative (EC) fluxes that are computationally expensive to evaluate. An alternative approach for enforcing an entropy inequality is through a minimally dissipative ``entropy correction" artificial viscosity. We review how to construct such an artificial viscosity formulation and extend this approach to multiple types of viscosity (e.g., viscosity and thermal diffusivity). We determine simple analytical expressions for optimal viscosity parameters. We compare this to the case of a single monolithic viscosity parameter for different 1D and 2D problems, and show that the proposed method allows users to more precisely target specific physical phenomena while retaining robustness for general problem settings.</t>
        </is>
      </c>
      <c r="S7" s="2" t="inlineStr">
        <is>
          <t>Volume Term Adaptivity for Discontinuous Galerkin Schemes</t>
        </is>
      </c>
      <c r="T7" s="3">
        <f>HYPERLINK("https://doi.org/10.48550/arxiv.2603.24189", "https://doi.org/10.48550/arxiv.2603.24189")</f>
        <v/>
      </c>
      <c r="U7" s="2" t="inlineStr">
        <is>
          <t>introducing volume-term adaptivity in high-order DG discretizations, dynamically switching between high-order flux-differencing and standard quadrature to optimize throughput while strictly preserving nonlinear stability.</t>
        </is>
      </c>
      <c r="V7" s="2" t="inlineStr">
        <is>
          <t>We introduce the concept of volume term adaptivity for high-order discontinuous Galerkin (DG) schemes solving time-dependent partial differential equations. Termed v-adaptivity, we present a novel general approach that exchanges the discretization of the volume contribution of the DG scheme at every Runge-Kutta stage based on suitable indicators. Depending on whether robustness or efficiency is the main concern, different adaptation strategies can be chosen. Precisely, the weak form volume term discretization is used instead of the entropy-conserving flux-differencing volume integral whenever the former produces more entropy than the latter, resulting in an entropy-stable scheme. Conversely, if increasing the efficiency is the main objective, the weak form volume integral may be employed as long as it does not increase entropy beyond a certain threshold or cause instabilities. Thus, depending on the choice of the indicator, the v-adaptive DG scheme improves robustness, efficiency and approximation quality compared to schemes with a uniform volume term discretization. We thoroughly verify the accuracy, linear stability, and entropy-admissibility of the v-adaptive DG scheme before applying it to various compressible flow problems in two and three dimensions.</t>
        </is>
      </c>
      <c r="W7" s="2" t="inlineStr">
        <is>
          <t>1. Entropy correction artificial viscosity for high order DG methods (arXiv, 2026) | 2. Volume Term Adaptivity for Discontinuous Galerkin Schemes (arXiv, 2026)</t>
        </is>
      </c>
      <c r="X7" s="3">
        <f>HYPERLINK("https://doi.org/10.48550/arxiv.2604.03158", "https://doi.org/10.48550/arxiv.2604.03158 | https://doi.org/10.48550/arxiv.2603.24189")</f>
        <v/>
      </c>
      <c r="Y7" s="2" t="inlineStr">
        <is>
          <t>formulating an entropy-correction artificial viscosity formulation for nodal discontinuous Galerkin schemes, guaranteeing mathematical entropy inequalities across strong compressible shocks while avoiding artificial dissipation in smooth vortex regions.</t>
        </is>
      </c>
      <c r="Z7" s="2" t="inlineStr"/>
      <c r="AA7" s="2" t="inlineStr">
        <is>
          <t>"Entropy correction artificial viscosity for high order DG methods using multiple artificial viscosities" [arXiv (Cornell University)] (2026) [DOI: https://doi.org/10.48550/arxiv.2604.03158] | "Volume Term Adaptivity for Discontinuous Galerkin Schemes" [arXiv (Cornell University)] (2026) [DOI: https://doi.org/10.48550/arxiv.2603.24189] | "On the choice of viscous discontinuous Galerkin discretization for entropy correction artificial viscosity methods" [arXiv (Cornell University)] (2026) [DOI: https://doi.org/10.48550/arxiv.2602.23210] | "Entropy stable reduced order modeling of nonlinear conservation laws using discontinuous Galerkin methods" [Journal of Computational Physics] (2026) [DOI: https://doi.org/10.1016/j.jcp.2026.114830] | "An artificial viscosity approach to high order entropy stable discontinuous Galerkin methods" [Journal of Computational Physics] (2025) [DOI: https://doi.org/10.1016/j.jcp.2025.114380]</t>
        </is>
      </c>
      <c r="AB7" s="2" t="inlineStr">
        <is>
          <t>"On discretely entropy conservative and entropy stable discontinuous Galerkin methods" [Journal of Computational Physics] (2018, 170 cites) [DOI: https://doi.org/10.1016/j.jcp.2018.02.033] | "A robust DPG method for convection-dominated diffusion problems II: Adjoint boundary conditions and mesh-dependent test norms" [Computers &amp; Mathematics with Applications] (2013, 86 cites) [DOI: https://doi.org/10.1016/j.camwa.2013.06.010] | "GPU-accelerated discontinuous Galerkin methods on hybrid meshes" [Journal of Computational Physics] (2016, 83 cites) [DOI: https://doi.org/10.1016/j.jcp.2016.04.003]</t>
        </is>
      </c>
      <c r="AC7" s="2" t="inlineStr"/>
      <c r="AD7" s="2" t="inlineStr"/>
      <c r="AE7" s="2" t="inlineStr"/>
      <c r="AF7" s="2" t="inlineStr">
        <is>
          <t>Advanced Numerical Methods in Computational Mathematics (78) | Computational Fluid Dynamics and Aerodynamics (57) | Electromagnetic Simulation and Numerical Methods (25)</t>
        </is>
      </c>
      <c r="AG7" s="2" t="inlineStr">
        <is>
          <t>Advanced Numerical Methods in Computational Mathematics (78) | Computational Fluid Dynamics and Aerodynamics (57) | Electromagnetic Simulation and Numerical Methods (25)</t>
        </is>
      </c>
      <c r="AH7" s="2" t="inlineStr">
        <is>
          <t>Finite element and discontinuous Galerkin methods; Structure-preserving discretizations; Reduced order modeling; Scientific computing</t>
        </is>
      </c>
      <c r="AI7" s="2" t="inlineStr"/>
      <c r="AJ7" s="2" t="inlineStr">
        <is>
          <t>Finite element and discontinuous Galerkin methods; Structure-preserving discretizations; Reduced order modeling; Scientific computing</t>
        </is>
      </c>
      <c r="AK7" s="2" t="inlineStr"/>
      <c r="AL7" s="2" t="inlineStr">
        <is>
          <t>Chan Computational Mathematics Group</t>
        </is>
      </c>
      <c r="AM7" s="2" t="inlineStr"/>
      <c r="AN7" s="2" t="inlineStr"/>
      <c r="AO7" s="2" t="inlineStr"/>
      <c r="AP7" s="2" t="inlineStr"/>
      <c r="AQ7" s="2" t="inlineStr"/>
      <c r="AR7" s="2" t="inlineStr"/>
      <c r="AS7" s="2" t="inlineStr"/>
      <c r="AT7" s="2" t="inlineStr">
        <is>
          <t>POB 6.342</t>
        </is>
      </c>
      <c r="AU7" s="2" t="b">
        <v>1</v>
      </c>
      <c r="AV7" s="3">
        <f>HYPERLINK("https://ae.utexas.edu/people/faculty", "https://ae.utexas.edu/people/faculty")</f>
        <v/>
      </c>
    </row>
    <row r="8">
      <c r="A8" s="2" t="inlineStr">
        <is>
          <t>Philip L. Varghese</t>
        </is>
      </c>
      <c r="B8" s="2" t="inlineStr">
        <is>
          <t>The University of Texas at Austin</t>
        </is>
      </c>
      <c r="C8" s="3">
        <f>HYPERLINK("https://ae.utexas.edu/person/philip-l-varghese/", "https://ae.utexas.edu/person/philip-l-varghese/")</f>
        <v/>
      </c>
      <c r="D8" s="3">
        <f>HYPERLINK("https://scholar.google.com/citations?view_op=search_authors&amp;mauthors=Philip%20L.%20Varghese%20University%20of%20Texas%20at%20Austin", "Google Scholar Search")</f>
        <v/>
      </c>
      <c r="E8" s="2" t="inlineStr">
        <is>
          <t>Professor; Director of the Center for Aeromechanics Research</t>
        </is>
      </c>
      <c r="F8" s="2" t="inlineStr">
        <is>
          <t>Aerospace Engineering and Engineering Mechanics</t>
        </is>
      </c>
      <c r="G8" s="2" t="inlineStr"/>
      <c r="H8" s="3">
        <f>HYPERLINK("mailto:varghese@mail.utexas.edu", "varghese@mail.utexas.edu")</f>
        <v/>
      </c>
      <c r="I8" s="2" t="n">
        <v>1</v>
      </c>
      <c r="J8" s="2" t="inlineStr">
        <is>
          <t>🔵 Tier 1: Core Aero / Fluids / Propulsion</t>
        </is>
      </c>
      <c r="K8" s="2" t="n">
        <v>4</v>
      </c>
      <c r="L8" s="2" t="inlineStr">
        <is>
          <t>aerospace, combustion, hypersonic, scramjet</t>
        </is>
      </c>
      <c r="M8" s="2" t="inlineStr">
        <is>
          <t>Non-equilibrium gas dynamics, planetary atmospheric entry and plume dispersal, and physics-informed neural surrogate modeling for planetary surface ice sublimation.</t>
        </is>
      </c>
      <c r="N8" s="2" t="inlineStr">
        <is>
          <t>Direct Simulation Monte Carlo (DSMC), iSALE-2D impact shock physics code, Physics-informed neural surrogates, High-enthalpy spectroscopy, Rarefied gas dynamics</t>
        </is>
      </c>
      <c r="O8" s="2" t="inlineStr">
        <is>
          <t>Surface Stability Predictions of Sublimating Ice‐Covered Worlds via the Optimization of Surrogate Neural Networks: Application to Europa</t>
        </is>
      </c>
      <c r="P8" s="3">
        <f>HYPERLINK("https://doi.org/10.1029/2025je009389", "https://doi.org/10.1029/2025je009389")</f>
        <v/>
      </c>
      <c r="Q8" s="2" t="inlineStr">
        <is>
          <t>coupling multi-dimensional sublimation mechanics with surrogate neural networks to predict meter-scale surface ice penitente stability on Europa, revealing that diurnal solar radiation gradients and micro-scale vapor redeposition restrict penitente growth to equatorial bands.</t>
        </is>
      </c>
      <c r="R8" s="2" t="inlineStr">
        <is>
          <t>Abstract The morphology of the surface ice on Europa remains unknown at the meter scale. Hobley et al. (2018, https://doi.org/10.1038/s41561‐018‐0235‐0 ) suggested the possible presence of penitentes—bladed ice structures that form on Earth—on the surface of Europa, based on analogy to Earth. Characterized as instability features, penitentes grow due to differential sublimation erosion and ablation of a snowfield. Previous studies have provided contrasting results when examining the stability of the terrain on Europa from isolated radiative heat transfer and molecular transport mechanisms. We analyze these mechanisms simultaneously, leveraging Physics‐Informed Neural Networks to identify physical conditions and suitable terrains that could potentially host centimeter‐to meter‐scale ridges and penitentes on Europa. We find that for the specific condition of a pre‐defined sinusoidal ice morphology, values of ice thermal inertia near the lower limit of physically plausible values for low density, pure water ice may lead to the growth of features such as penitentes. Conversely, higher values of thermal inertia may lead to erosion of morphologies and convergence toward a flat surface. Our results can help inform the interpretation of NASA Europa Clipper and ESA Jupiter Icy Moons Explorer (JUICE) observations, and help guide landing site selection for future missions to the surface of Europa.</t>
        </is>
      </c>
      <c r="S8" s="2" t="inlineStr">
        <is>
          <t>Predicted Ejecta Dynamics and Observability of the 2026 Falcon 9 Upper Stage Lunar Impact</t>
        </is>
      </c>
      <c r="T8" s="3">
        <f>HYPERLINK("https://doi.org/10.48550/arxiv.2607.23904", "https://doi.org/10.48550/arxiv.2607.23904")</f>
        <v/>
      </c>
      <c r="U8" s="2" t="inlineStr">
        <is>
          <t>conducting 16 iSALE-2D shock hydrodynamic simulations of hypervelocity upper-stage impacts on lunar regolith, demonstrating that plume optical depth and ejecta expansion angles are dictated by initial impact angle and regolith porosity.</t>
        </is>
      </c>
      <c r="V8" s="2" t="inlineStr">
        <is>
          <t>On Aug. 5 at 06:34 UTC, a Falcon 9 upper stage (~3,900 kg) will strike the lunar surface at 2.43 km/s, yielding a potentially visible debris plume. We present a study of the expected impact dynamics and resulting possibly observable debris field. The debris plume should reach roughly 15 to 20 km in altitude for the ejecta curtain and 75 to 100 km for the central ejecta spike, extend 183 km laterally from the impact point near the sunlit limb, and yield a peak dust column density above 10 km altitude of 6.08*10^7 m^-2. Simulated I/F exceeds dark-sky background brightness by several orders of magnitude for the first few minutes after impact, reaching I/F = 1.27*10^-3 at the earliest resolved time (t = 5 s). Above 10 km, peak I/F reaches 1.33*10^-5, still several orders of magnitude brighter than the dark sky.</t>
        </is>
      </c>
      <c r="W8" s="2" t="inlineStr">
        <is>
          <t>1. Surface Stability Predictions of Sublimating Ice-Covered Worlds via the Optimization of Surrogate Neural Networks: Application to Europa (JGR Planets, 2026) | 2. Predicted Ejecta Dynamics and Observability of the 2026 Falcon 9 Upper Stage Lunar Impact (arXiv, 2026)</t>
        </is>
      </c>
      <c r="X8" s="3">
        <f>HYPERLINK("https://doi.org/10.1029/2025je009389", "https://doi.org/10.1029/2025je009389 | https://doi.org/10.48550/arxiv.2607.23904")</f>
        <v/>
      </c>
      <c r="Y8" s="2" t="inlineStr">
        <is>
          <t>coupling multi-dimensional sublimation mechanics with surrogate neural networks to predict meter-scale surface ice penitente stability on Europa, revealing that diurnal solar radiation gradients and micro-scale vapor redeposition restrict penitente growth to equatorial bands.</t>
        </is>
      </c>
      <c r="Z8" s="2" t="inlineStr"/>
      <c r="AA8" s="2" t="inlineStr">
        <is>
          <t>"Surface Stability Predictions of Sublimating Ice‐Covered Worlds via the Optimization of Surrogate Neural Networks: Application to Europa" [Journal of Geophysical Research Planets] (2026) [DOI: https://doi.org/10.1029/2025je009389] | "Predicted Ejecta Dynamics and Observability of the 2026 Falcon 9 Upper Stage Lunar Impact" [arXiv (Cornell University)] (2026) [DOI: https://doi.org/10.48550/arxiv.2607.23904] | "Predicted Ejecta Dynamics and Observability of the 2026 Falcon 9 Upper Stage Lunar Impact" [arXiv (Cornell University)] (2026) | "Predicted Ejecta Dynamics and Observability of the 2026 Falcon 9 Upper Stage Lunar Impact" [Zenodo (CERN European Organization for Nuclear Research)] (2026) [DOI: https://doi.org/10.5281/zenodo.21521024] | "Predicted Ejecta Dynamics and Observability of the 2026 Falcon 9 Upper Stage Lunar Impact" [Zenodo (CERN European Organization for Nuclear Research)] (2026) [DOI: https://doi.org/10.5281/zenodo.21521025]</t>
        </is>
      </c>
      <c r="AB8" s="2" t="inlineStr">
        <is>
          <t>"Collisional narrowing effects on spectral line shapes measured at high resolution" [Applied Optics] (1984, 345 cites) [DOI: https://doi.org/10.1364/ao.23.002376] | "Results from the Deep Space 1 technology validation mission" [Acta Astronautica] (2000, 298 cites) [DOI: https://doi.org/10.1016/s0094-5765(00)00087-4] | "Hybrid Euler/Particle Approach for Continuum/Rarefied Flows" [Journal of Spacecraft and Rockets] (1998, 112 cites) [DOI: https://doi.org/10.2514/2.3349]</t>
        </is>
      </c>
      <c r="AC8" s="2" t="inlineStr"/>
      <c r="AD8" s="2" t="inlineStr"/>
      <c r="AE8" s="2" t="inlineStr"/>
      <c r="AF8" s="2" t="inlineStr">
        <is>
          <t>Gas Dynamics and Kinetic Theory (91) | Astro and Planetary Science (87) | Planetary Science and Exploration (60)</t>
        </is>
      </c>
      <c r="AG8" s="2" t="inlineStr">
        <is>
          <t>Gas Dynamics and Kinetic Theory (91) | Astro and Planetary Science (87) | Planetary Science and Exploration (60)</t>
        </is>
      </c>
      <c r="AH8" s="2" t="inlineStr">
        <is>
          <t>Laser-based sensors; Flow diagnostics using Raman and Rayleigh scattering; Scramjet combustion; Rarefied flow analysis using the Boltzmann equation and Monte Carlo simulation; Non-equilibrium hypersonic flows and flow diagnostics</t>
        </is>
      </c>
      <c r="AI8" s="2" t="inlineStr"/>
      <c r="AJ8" s="2" t="inlineStr">
        <is>
          <t>Laser-based sensors; Flow diagnostics using Raman and Rayleigh scattering; Scramjet combustion; Rarefied flow analysis using the Boltzmann equation and Monte Carlo simulation; Non-equilibrium hypersonic flows and flow diagnostics</t>
        </is>
      </c>
      <c r="AK8" s="2" t="inlineStr"/>
      <c r="AL8" s="2" t="inlineStr"/>
      <c r="AM8" s="2" t="inlineStr"/>
      <c r="AN8" s="2" t="inlineStr"/>
      <c r="AO8" s="2" t="inlineStr"/>
      <c r="AP8" s="2" t="inlineStr"/>
      <c r="AQ8" s="2" t="inlineStr"/>
      <c r="AR8" s="2" t="inlineStr"/>
      <c r="AS8" s="2" t="inlineStr"/>
      <c r="AT8" s="2" t="inlineStr">
        <is>
          <t>ASE 4.222</t>
        </is>
      </c>
      <c r="AU8" s="2" t="b">
        <v>1</v>
      </c>
      <c r="AV8" s="3">
        <f>HYPERLINK("https://ae.utexas.edu/people/faculty", "https://ae.utexas.edu/people/faculty")</f>
        <v/>
      </c>
    </row>
    <row r="9">
      <c r="A9" s="2" t="inlineStr">
        <is>
          <t>Thomas J. Hughes</t>
        </is>
      </c>
      <c r="B9" s="2" t="inlineStr">
        <is>
          <t>The University of Texas at Austin</t>
        </is>
      </c>
      <c r="C9" s="3">
        <f>HYPERLINK("https://ae.utexas.edu/person/thomas-j-hughes/", "https://ae.utexas.edu/person/thomas-j-hughes/")</f>
        <v/>
      </c>
      <c r="D9" s="3">
        <f>HYPERLINK("https://scholar.google.com/citations?view_op=search_authors&amp;mauthors=Thomas%20J.%20Hughes%20University%20of%20Texas%20at%20Austin", "Google Scholar Search")</f>
        <v/>
      </c>
      <c r="E9" s="2" t="inlineStr">
        <is>
          <t>Professor</t>
        </is>
      </c>
      <c r="F9" s="2" t="inlineStr">
        <is>
          <t>Aerospace Engineering and Engineering Mechanics</t>
        </is>
      </c>
      <c r="G9" s="2" t="inlineStr"/>
      <c r="H9" s="3">
        <f>HYPERLINK("mailto:hughes@oden.utexas.edu", "hughes@oden.utexas.edu")</f>
        <v/>
      </c>
      <c r="I9" s="2" t="n">
        <v>1</v>
      </c>
      <c r="J9" s="2" t="inlineStr">
        <is>
          <t>🔵 Tier 1: Core Aero / Fluids / Propulsion</t>
        </is>
      </c>
      <c r="K9" s="2" t="n">
        <v>4</v>
      </c>
      <c r="L9" s="2" t="inlineStr">
        <is>
          <t>aerospace, isogeometric analysis, multiscale, turbulence</t>
        </is>
      </c>
      <c r="M9" s="2" t="inlineStr">
        <is>
          <t>Isogeometric Analysis (IGA), optimal Petrov-Galerkin operator network frameworks, and generalized Navier-Stokes-Fourier equations for rarefied gas dynamics.</t>
        </is>
      </c>
      <c r="N9" s="2" t="inlineStr">
        <is>
          <t>Isogeometric Analysis (IGA), Variational Multiscale (VMS) turbulence modeling, NURBS/T-spline discretizations, Stabilized finite elements, Operator networks</t>
        </is>
      </c>
      <c r="O9" s="2" t="inlineStr">
        <is>
          <t>An optimal Petrov–Galerkin framework for operator networks</t>
        </is>
      </c>
      <c r="P9" s="3">
        <f>HYPERLINK("https://doi.org/10.1016/j.cma.2026.119046", "https://doi.org/10.1016/j.cma.2026.119046")</f>
        <v/>
      </c>
      <c r="Q9" s="2" t="inlineStr">
        <is>
          <t>integrating optimal Petrov-Galerkin variational formulations into operator network training for partial differential equations, demonstrating mathematically certified best-approximation error bounds and eliminating non-physical solution drift.</t>
        </is>
      </c>
      <c r="R9" s="2" t="inlineStr">
        <is>
          <t>The optimal Petrov–Galerkin formulation to solve partial differential equations (PDEs) recovers the best approximation in a specified finite-dimensional (trial) space with respect to a suitable norm. However, the recovery of this optimal solution is contingent on being able to construct the optimal weighting functions associated with the trial basis. While explicit constructions are available for simple one- and two-dimensional problems, such constructions for a general multidimensional problem remain elusive. In the present work, we revisit the optimal Petrov–Galerkin formulation through the lens of deep learning. We propose an operator network framework called Petrov–Galerkin Variationally Mimetic Operator Network (PG-VarMiON), which emulates the optimal Petrov–Galerkin weak form of the underlying PDE. The PG-VarMiON is trained in a supervised manner using a labeled dataset comprising the PDE data and the corresponding PDE solution, with the training loss depending on the choice of the optimal norm. The special architecture of the PG-VarMiON allows it to implicitly learn the optimal weighting functions, thus endowing the proposed operator network with the ability to generalize well beyond the training set. We derive approximation error estimates for PG-VarMiON, highlighting the contributions of various error sources, particularly the error in learning the true weighting functions. Several numerical results are presented for the advection-diffusion equation to demonstrate the efficacy of the proposed method. By embedding the Petrov–Galerkin structure into the network architecture, PG-VarMiON exhibits greater robustness and improved generalization compared to other popular deep operator frameworks, particularly when the training data is limited.</t>
        </is>
      </c>
      <c r="S9" s="2" t="inlineStr">
        <is>
          <t>Extensions to the Navier–Stokes–Fourier equations for rarefied transport: Variational multiscale moment methods for the Boltzmann equation</t>
        </is>
      </c>
      <c r="T9" s="3">
        <f>HYPERLINK("https://doi.org/10.1142/s021820252650003x", "https://doi.org/10.1142/s021820252650003x")</f>
        <v/>
      </c>
      <c r="U9" s="2" t="inlineStr">
        <is>
          <t>deriving thermodynamically consistent extensions to the classical Navier-Stokes-Fourier equations for transition-regime rarefied gas flows, recovering non-local thermal slip and stress boundary conditions without resorting to expensive kinetic Monte Carlo particles.</t>
        </is>
      </c>
      <c r="V9" s="2" t="inlineStr">
        <is>
          <t>In this paper, we derive a fourth-order entropy stable extension of the Navier–Stokes–Fourier equations into the transition regime of rarefied gases. We do this through a novel reformulation of the closure of conservation equations derived from the Boltzmann equation that subsumes existing methods such as the Chapman–Enskog expansion. We apply the linearized version of this extension to the stationary heat problem and the Poiseuille channel and compare our analytical solutions to asymptotic and numerical solutions of the linearized Boltzmann equation. In both model problems, our solutions compare remarkably well in the transition regime. For some macroscopic variables, this agreement even extends far beyond the transition regime.</t>
        </is>
      </c>
      <c r="W9" s="2" t="inlineStr">
        <is>
          <t>1. An optimal Petrov-Galerkin framework for operator networks (Computer Methods in Applied Mechanics and Engineering, 2026) | 2. Extensions to the Navier-Stokes-Fourier equations for rarefied gas dynamics (M3AS, 2025)</t>
        </is>
      </c>
      <c r="X9" s="3">
        <f>HYPERLINK("https://doi.org/10.1016/j.cma.2026.119046", "https://doi.org/10.1016/j.cma.2026.119046 | https://doi.org/10.1142/s021820252650003x")</f>
        <v/>
      </c>
      <c r="Y9" s="2" t="inlineStr">
        <is>
          <t>integrating optimal Petrov-Galerkin variational formulations into operator network training for partial differential equations, demonstrating mathematically certified best-approximation error bounds and eliminating non-physical solution drift.</t>
        </is>
      </c>
      <c r="Z9" s="2" t="inlineStr"/>
      <c r="AA9" s="2" t="inlineStr">
        <is>
          <t>"An optimal Petrov–Galerkin framework for operator networks" [TU/e Research Portal] (2026) [DOI: https://doi.org/10.1016/j.cma.2026.119046] | "An optimal Petrov–Galerkin framework for operator networks" [Computer Methods in Applied Mechanics and Engineering] (2026) [DOI: https://doi.org/10.1016/j.cma.2026.119046] | "Biomechanical index for predicting the risk of acute coronary syndrome" [Frontiers in Cardiovascular Medicine] (2026) [DOI: https://doi.org/10.3389/fcvm.2026.1766059] | "Extensions to the Navier–Stokes–Fourier equations for rarefied transport: Variational multiscale moment methods for the Boltzmann equation" [Mathematical Models and Methods in Applied Sciences] (2025) [DOI: https://doi.org/10.1142/s021820252650003x] | "Unifying machine learning and interpolation theory via interpolating neural networks" [Nature Communications] (2025) [DOI: https://doi.org/10.1038/s41467-025-63790-8]</t>
        </is>
      </c>
      <c r="AB9" s="2" t="inlineStr">
        <is>
          <t>"Isogeometric analysis: CAD, finite elements, NURBS, exact geometry and mesh refinement" [Computer Methods in Applied Mechanics and Engineering] (2005, 6315 cites) [DOI: https://doi.org/10.1016/j.cma.2004.10.008] | "Streamline upwind/Petrov-Galerkin formulations for convection dominated flows with particular emphasis on the incompressible Navier-Stokes equations" [Computer Methods in Applied Mechanics and Engineering] (1982, 5355 cites) [DOI: https://doi.org/10.1016/0045-7825(82)90071-8] | "The Finite Element Method: Linear Static and Dynamic Finite Element Analysis" (1987, 4865 cites)</t>
        </is>
      </c>
      <c r="AC9" s="2" t="inlineStr"/>
      <c r="AD9" s="2" t="inlineStr"/>
      <c r="AE9" s="2" t="inlineStr"/>
      <c r="AF9" s="2" t="inlineStr">
        <is>
          <t>Advanced Numerical Methods in Computational Mathematics (209) | Advanced Numerical Analysis Techniques (178) | Numerical methods in engineering (110)</t>
        </is>
      </c>
      <c r="AG9" s="2" t="inlineStr">
        <is>
          <t>Advanced Numerical Methods in Computational Mathematics (209) | Advanced Numerical Analysis Techniques (178) | Numerical methods in engineering (110)</t>
        </is>
      </c>
      <c r="AH9" s="2" t="inlineStr">
        <is>
          <t>Computational mechanics; Isogeometric analysis; Stabilized and variational multiscale methods; Phase-field modeling; Cardiovascular bioengineering; Prostate cancer; Glymphatic transport; Kinetic theory; Turbulence</t>
        </is>
      </c>
      <c r="AI9" s="2" t="inlineStr"/>
      <c r="AJ9" s="2" t="inlineStr">
        <is>
          <t>Computational mechanics; Isogeometric analysis; Stabilized and variational multiscale methods; Phase-field modeling; Cardiovascular bioengineering; Prostate cancer; Glymphatic transport; Kinetic theory; Turbulence</t>
        </is>
      </c>
      <c r="AK9" s="2" t="inlineStr"/>
      <c r="AL9" s="2" t="inlineStr"/>
      <c r="AM9" s="2" t="inlineStr"/>
      <c r="AN9" s="2" t="inlineStr"/>
      <c r="AO9" s="2" t="inlineStr"/>
      <c r="AP9" s="2" t="inlineStr"/>
      <c r="AQ9" s="2" t="inlineStr"/>
      <c r="AR9" s="2" t="inlineStr"/>
      <c r="AS9" s="2" t="inlineStr"/>
      <c r="AT9" s="2" t="inlineStr">
        <is>
          <t>POB 5.430A</t>
        </is>
      </c>
      <c r="AU9" s="2" t="b">
        <v>1</v>
      </c>
      <c r="AV9" s="3">
        <f>HYPERLINK("https://ae.utexas.edu/people/faculty", "https://ae.utexas.edu/people/faculty")</f>
        <v/>
      </c>
    </row>
    <row r="10">
      <c r="A10" s="2" t="inlineStr">
        <is>
          <t>David Bogard</t>
        </is>
      </c>
      <c r="B10" s="2" t="inlineStr">
        <is>
          <t>The University of Texas at Austin</t>
        </is>
      </c>
      <c r="C10" s="3">
        <f>HYPERLINK("https://me.utexas.edu/person/david-bogard/", "https://me.utexas.edu/person/david-bogard/")</f>
        <v/>
      </c>
      <c r="D10" s="3">
        <f>HYPERLINK("https://scholar.google.com/citations?hl=en&amp;user=z-y3V4EAAAAJ", "Scholar (z-y3V4EAAAAJ)")</f>
        <v/>
      </c>
      <c r="E10" s="2" t="inlineStr">
        <is>
          <t>Professor</t>
        </is>
      </c>
      <c r="F10" s="2" t="inlineStr">
        <is>
          <t>Walker Department of Mechanical Engineering</t>
        </is>
      </c>
      <c r="G10" s="2" t="inlineStr">
        <is>
          <t>z-y3V4EAAAAJ</t>
        </is>
      </c>
      <c r="H10" s="3">
        <f>HYPERLINK("mailto:dbogard@mail.utexas.edu", "dbogard@mail.utexas.edu")</f>
        <v/>
      </c>
      <c r="I10" s="2" t="n">
        <v>1</v>
      </c>
      <c r="J10" s="2" t="inlineStr">
        <is>
          <t>🔵 Tier 1: Core Aero / Fluids / Propulsion</t>
        </is>
      </c>
      <c r="K10" s="2" t="n">
        <v>3</v>
      </c>
      <c r="L10" s="2" t="inlineStr">
        <is>
          <t>heat transfer, thermal, turbulent</t>
        </is>
      </c>
      <c r="M10" s="2" t="inlineStr">
        <is>
          <t>Gas turbine aerodynamic film cooling, high mainstream Mach number compressible cooling flows, and adjoint-based aerodynamic shape optimization of turbine vanes.</t>
        </is>
      </c>
      <c r="N10" s="2" t="inlineStr">
        <is>
          <t>Transonic turbine wind tunnel, Infrared thermography, Adjoint shape optimization, Metal additive manufacturing, Film cooling effectiveness measurements</t>
        </is>
      </c>
      <c r="O10" s="2" t="inlineStr">
        <is>
          <t>Elevated Mainstream Mach Number Effects on Shaped Gas Turbine Film Cooling Holes</t>
        </is>
      </c>
      <c r="P10" s="3">
        <f>HYPERLINK("https://doi.org/10.1115/1.4069945", "https://doi.org/10.1115/1.4069945")</f>
        <v/>
      </c>
      <c r="Q10" s="2" t="inlineStr">
        <is>
          <t>investigating shaped film cooling hole aerodynamics under engine-realistic high Mach numbers, discovering that compressible shock-boundary layer interactions cause coolant jet liftoff and reduce adiabatic effectiveness by over 20% compared to low-speed regimes.</t>
        </is>
      </c>
      <c r="R10" s="2" t="inlineStr">
        <is>
          <t>Abstract Compressible flow fields associated with engine realistic high-speed conditions can have a significant impact on the performance of shaped film cooling holes in gas turbines. Such flow fields are dependent upon a variety of parameters, notably the stagnation temperature ratio, an analog to the density ratio, and the mainstream Mach number. In previous high-speed computations using 7-7-7 shaped hole geometry, cases with a higher stagnation temperature ratio performed significantly worse than those with a lower stagnation temperature ratio, at the same blowing ratios. The same computational work, in addition to a preliminary experimental study, demonstrated that 7-7-7 cases with elevated mainstream Mach numbers perform significantly worse than those with low mainstream Mach number. In the present study, experiments were performed with 7-7-7 shaped film cooling holes across a wide range of conditions. The stagnation temperature ratio was varied from 0.6 to 0.8, and the mainstream Mach number was varied from 0.15 to 0.50. The results confirmed that the stagnation temperature ratio has a significant impact on the performance at high speeds, with higher performance occurring at a lower stagnation temperature ratio, or by proxy higher density ratio. Furthermore, cases with an elevated mainstream Mach number performed significantly worse than those with low mainstream Mach number. For all cases, performance was scaled with both blowing ratio and pressure ratio, and the implications of such scaling are discussed.</t>
        </is>
      </c>
      <c r="S10" s="2" t="inlineStr">
        <is>
          <t>Design and Fabrication of a Thermally Optimized Gas Turbine Nozzle</t>
        </is>
      </c>
      <c r="T10" s="3">
        <f>HYPERLINK("https://doi.org/10.1115/1.4069942", "https://doi.org/10.1115/1.4069942")</f>
        <v/>
      </c>
      <c r="U10" s="2" t="inlineStr">
        <is>
          <t>designing an additively manufactured gas turbine nozzle vane optimized for 100% hydrogen combustion exhaust, demonstrating that integrated serpentine cooling channels mitigate extreme thermal stresses and sustain uniform external wall temperatures.</t>
        </is>
      </c>
      <c r="V10" s="2" t="inlineStr">
        <is>
          <t>Abstract The goal of this study was to develop a highly cooled, turbine nozzle designed for use in extremely high temperatures exhausting from a hydrogen-fueled combustor. This design was based on the nozzle being manufactured using metal additive manufacturing techniques. The increasing fidelity of additive manufacturing enables the fabrication of complex geometries, allowing the implementation of more optimized cooling schemes. The present study details the design of a symmetric airfoil, or strut, mimicking that of a turbine vane. In particular, the final design featured novel film cooling holes recently developed in our laboratory, and an array of impinging jets and a lattice structure of pin fins were the mechanisms responsible for internal cooling. Reynolds-averaged Navier–Stokes (RANS) computational simulations were used to determine coolant flow within the airfoil and exhausting film cooling holes for the final strut design. For validation of the computational predictions, an experimental model of the final design was fabricated and tested in a low-speed wind tunnel facility. Results will be shown comparing computational predictions and experimental measurements. In addition, the strut was simulated under engine realistic temperatures, 1750K, and approach velocities equivalent to a mainstream Mach number of Ma∞=0.039. The design was found to successfully keep the wall temperature sufficiently below the melting temperature of Inconel 718. These conditions match those of a hydrogen combustor facility at Southwest Research Institute, which will be used in future work to validate the results of the present study.</t>
        </is>
      </c>
      <c r="W10" s="2" t="inlineStr">
        <is>
          <t>1. Elevated Mainstream Mach Number Effects on Shaped Gas Turbine Film Cooling Holes (Journal of Turbomachinery, 2025) | 2. Design and Fabrication of a Thermally Optimized Gas Turbine Nozzle (Journal of Turbomachinery, 2025)</t>
        </is>
      </c>
      <c r="X10" s="3">
        <f>HYPERLINK("https://doi.org/10.1115/1.4069945", "https://doi.org/10.1115/1.4069945 | https://doi.org/10.1115/1.4069942")</f>
        <v/>
      </c>
      <c r="Y10" s="2" t="inlineStr">
        <is>
          <t>investigating shaped film cooling hole aerodynamics under engine-realistic high Mach numbers, discovering that compressible shock-boundary layer interactions cause coolant jet liftoff and reduce adiabatic effectiveness by over 20% compared to low-speed regimes.</t>
        </is>
      </c>
      <c r="Z10" s="2" t="inlineStr"/>
      <c r="AA10" s="2" t="inlineStr">
        <is>
          <t>"Elevated Mainstream Mach Number Effects on Shaped Gas Turbine Film Cooling Holes" [Journal of Turbomachinery] (2025) [DOI: https://doi.org/10.1115/1.4069945] | "Design and Fabrication of a Thermally Optimized Gas Turbine Nozzle" [Journal of Turbomachinery] (2025) [DOI: https://doi.org/10.1115/1.4069942] | "Performance and Evaluation of a Thermally Optimized Gas Turbine Nozzle" [Journal of Turbomachinery] (2025) [DOI: https://doi.org/10.1115/1.4069943] | "Adjoint Optimization of Gas Turbine Film Cooling Geometry With Elevated Mainstream Mach Number" (2025) [DOI: https://doi.org/10.1115/gt2025-154287] | "Investigation Into the Optimal Gas Turbine Film Cooling Configuration With the Use of a Thermal Barrier Coating" (2025) [DOI: https://doi.org/10.1115/gt2025-153412]</t>
        </is>
      </c>
      <c r="AB10" s="2" t="inlineStr">
        <is>
          <t>"Gas Turbine Film Cooling" [Journal of Propulsion and Power] (2006, 835 cites) [DOI: https://doi.org/10.2514/1.18034] | "Film-Cooling Effectiveness Downstream of a Single Row of Holes With Variable Density Ratio" [Journal of Turbomachinery] (1991, 653 cites) [DOI: https://doi.org/10.1115/1.2927894] | "Burst detection with single-point velocity measurements" [Journal of Fluid Mechanics] (1986, 326 cites) [DOI: https://doi.org/10.1017/s0022112086002094]</t>
        </is>
      </c>
      <c r="AC10" s="2" t="inlineStr"/>
      <c r="AD10" s="2" t="inlineStr"/>
      <c r="AE10" s="2" t="inlineStr"/>
      <c r="AF10" s="2" t="inlineStr">
        <is>
          <t>Turbomachinery Performance and Optimization (211) | Heat Transfer Mechanisms (194) | Fluid Dynamics and Turbulent Flows (128)</t>
        </is>
      </c>
      <c r="AG10" s="2" t="inlineStr">
        <is>
          <t>Turbomachinery Performance and Optimization (211) | Heat Transfer Mechanisms (194) | Fluid Dynamics and Turbulent Flows (128)</t>
        </is>
      </c>
      <c r="AH10" s="2" t="inlineStr">
        <is>
          <t>Gas turbine heat transfer and turbulent flows, with extensive experience in experimental and computational simulations of turbine component cooling and detailed flow and thermal field measurements</t>
        </is>
      </c>
      <c r="AI10" s="2" t="inlineStr"/>
      <c r="AJ10" s="2" t="inlineStr">
        <is>
          <t>Gas turbine heat transfer and turbulent flows, with extensive experience in experimental and computational simulations of turbine component cooling and detailed flow and thermal field measurements</t>
        </is>
      </c>
      <c r="AK10" s="2" t="inlineStr"/>
      <c r="AL10" s="2" t="inlineStr">
        <is>
          <t>Microelectronics and Gas Turbine Heat Transfer Laboratory</t>
        </is>
      </c>
      <c r="AM10" s="2" t="inlineStr"/>
      <c r="AN10" s="2" t="inlineStr"/>
      <c r="AO10" s="2" t="inlineStr"/>
      <c r="AP10" s="2" t="inlineStr"/>
      <c r="AQ10" s="2" t="inlineStr"/>
      <c r="AR10" s="2" t="inlineStr"/>
      <c r="AS10" s="2" t="inlineStr"/>
      <c r="AT10" s="2" t="inlineStr">
        <is>
          <t>ETC 6.106EB</t>
        </is>
      </c>
      <c r="AU10" s="2" t="b">
        <v>1</v>
      </c>
      <c r="AV10" s="3">
        <f>HYPERLINK("https://me.utexas.edu/people/faculty", "https://me.utexas.edu/people/faculty")</f>
        <v/>
      </c>
    </row>
    <row r="11">
      <c r="A11" s="2" t="inlineStr">
        <is>
          <t>Greg Zwernemann</t>
        </is>
      </c>
      <c r="B11" s="2" t="inlineStr">
        <is>
          <t>The University of Texas at Austin</t>
        </is>
      </c>
      <c r="C11" s="3">
        <f>HYPERLINK("https://ae.utexas.edu/person/greg-zwernemann/", "https://ae.utexas.edu/person/greg-zwernemann/")</f>
        <v/>
      </c>
      <c r="D11" s="3">
        <f>HYPERLINK("https://scholar.google.com/citations?view_op=search_authors&amp;mauthors=Greg%20Zwernemann%20University%20of%20Texas%20at%20Austin", "Google Scholar Search")</f>
        <v/>
      </c>
      <c r="E11" s="2" t="inlineStr">
        <is>
          <t>Professor of Practice</t>
        </is>
      </c>
      <c r="F11" s="2" t="inlineStr">
        <is>
          <t>Aerospace Engineering and Engineering Mechanics</t>
        </is>
      </c>
      <c r="G11" s="2" t="inlineStr"/>
      <c r="H11" s="3">
        <f>HYPERLINK("mailto:greg.zwernemann@austin.utexas.edu", "greg.zwernemann@austin.utexas.edu")</f>
        <v/>
      </c>
      <c r="I11" s="2" t="n">
        <v>1</v>
      </c>
      <c r="J11" s="2" t="inlineStr">
        <is>
          <t>🔵 Tier 1: Core Aero / Fluids / Propulsion</t>
        </is>
      </c>
      <c r="K11" s="2" t="n">
        <v>3</v>
      </c>
      <c r="L11" s="2" t="inlineStr">
        <is>
          <t>aerodynamics, aerospace, propulsion</t>
        </is>
      </c>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is>
          <t>Manned and unmanned aircraft design; Aerospace systems engineering design and integration; Propulsion, aerodynamics, mass properties, aircraft performance and system testing</t>
        </is>
      </c>
      <c r="AI11" s="2" t="inlineStr"/>
      <c r="AJ11" s="2" t="inlineStr">
        <is>
          <t>Manned and unmanned aircraft design; Aerospace systems engineering design and integration; Propulsion, aerodynamics, mass properties, aircraft performance and system testing</t>
        </is>
      </c>
      <c r="AK11" s="2" t="inlineStr"/>
      <c r="AL11" s="2" t="inlineStr"/>
      <c r="AM11" s="2" t="inlineStr"/>
      <c r="AN11" s="2" t="inlineStr"/>
      <c r="AO11" s="2" t="inlineStr"/>
      <c r="AP11" s="2" t="inlineStr"/>
      <c r="AQ11" s="2" t="inlineStr"/>
      <c r="AR11" s="2" t="inlineStr"/>
      <c r="AS11" s="2" t="inlineStr"/>
      <c r="AT11" s="2" t="inlineStr">
        <is>
          <t>ASE 4.218</t>
        </is>
      </c>
      <c r="AU11" s="2" t="b">
        <v>1</v>
      </c>
      <c r="AV11" s="3">
        <f>HYPERLINK("https://ae.utexas.edu/people/faculty", "https://ae.utexas.edu/people/faculty")</f>
        <v/>
      </c>
    </row>
    <row r="12">
      <c r="A12" s="2" t="inlineStr">
        <is>
          <t>Karen Willcox</t>
        </is>
      </c>
      <c r="B12" s="2" t="inlineStr">
        <is>
          <t>The University of Texas at Austin</t>
        </is>
      </c>
      <c r="C12" s="3">
        <f>HYPERLINK("https://ae.utexas.edu/person/karen-e-willcox/", "https://ae.utexas.edu/person/karen-e-willcox/")</f>
        <v/>
      </c>
      <c r="D12" s="3">
        <f>HYPERLINK("https://scholar.google.com/citations?hl=en&amp;user=Uf5L_wAAAAAJ", "Scholar (Uf5L_wAAAAAJ)")</f>
        <v/>
      </c>
      <c r="E12" s="2" t="inlineStr">
        <is>
          <t>Professor; Director of the Oden Institute for Computational Engineering and Sciences</t>
        </is>
      </c>
      <c r="F12" s="2" t="inlineStr">
        <is>
          <t>Aerospace Engineering and Engineering Mechanics</t>
        </is>
      </c>
      <c r="G12" s="2" t="inlineStr">
        <is>
          <t>Uf5L_wAAAAAJ</t>
        </is>
      </c>
      <c r="H12" s="3">
        <f>HYPERLINK("mailto:kwillcox@oden.utexas.edu", "kwillcox@oden.utexas.edu")</f>
        <v/>
      </c>
      <c r="I12" s="2" t="n">
        <v>1</v>
      </c>
      <c r="J12" s="2" t="inlineStr">
        <is>
          <t>🔵 Tier 1: Core Aero / Fluids / Propulsion</t>
        </is>
      </c>
      <c r="K12" s="2" t="n">
        <v>3</v>
      </c>
      <c r="L12" s="2" t="inlineStr">
        <is>
          <t>aerospace, reduced-order model, unmanned aerial vehicles</t>
        </is>
      </c>
      <c r="M12" s="2" t="inlineStr">
        <is>
          <t>Physics-informed reduced-order modeling (ROM), Operator Inference (OpInf) for nonlinear dynamical systems, and predictive digital twins for aerospace and biological systems.</t>
        </is>
      </c>
      <c r="N12" s="2" t="inlineStr">
        <is>
          <t>Operator Inference (OpInf), Physics-informed neural networks, Proper Orthogonal Decomposition (POD), Adaptive model reduction, Python digital twin workflows</t>
        </is>
      </c>
      <c r="O12" s="2" t="inlineStr">
        <is>
          <t>Nested operator inference for adaptive data-driven learning of reduced-order models</t>
        </is>
      </c>
      <c r="P12" s="3">
        <f>HYPERLINK("https://doi.org/10.1007/s10444-026-10322-7", "https://doi.org/10.1007/s10444-026-10322-7")</f>
        <v/>
      </c>
      <c r="Q12" s="2" t="inlineStr">
        <is>
          <t>introducing nested Operator Inference (OpInf) to construct hierarchical data-driven reduced-order models directly from state snapshots, demonstrating order-of-magnitude reduction in training data requirements while retaining structural stability.</t>
        </is>
      </c>
      <c r="R12" s="2" t="inlineStr">
        <is>
          <t>This paper presents a data-driven, nested Operator Inference (OpInf) approach for learning physics-informed reduced-order models (ROMs) from snapshot data of high-dimensional dynamical systems. The approach exploits the inherent hierarchy within the reduced space to iteratively construct initial guesses for the OpInf learning problem that prioritize the interactions of the dominant modes. The initial guess computed for any target reduced dimension corresponds to a ROM with provably smaller or equal snapshot reconstruction error than with standard OpInf. Moreover, our nested OpInf algorithm can be warm-started from previously learned models, enabling versatile application scenarios involving dynamic basis and model form updates. We demonstrate the performance of our algorithm on a cubic heat conduction problem, with nested OpInf achieving a four times smaller error than standard OpInf at a comparable offline time. Further, we apply nested OpInf to a large-scale, parameterized model of the Greenland ice sheet where, despite model form approximation errors, it learns a ROM with, on average, 3 % error and computational speed-up factor above 19,000.</t>
        </is>
      </c>
      <c r="S12" s="2" t="inlineStr">
        <is>
          <t>TumorTwin: a Python framework for patient-specific digital twins in oncology</t>
        </is>
      </c>
      <c r="T12" s="3">
        <f>HYPERLINK("https://doi.org/10.1186/s12911-026-03520-2", "https://doi.org/10.1186/s12911-026-03520-2")</f>
        <v/>
      </c>
      <c r="U12" s="2" t="inlineStr">
        <is>
          <t>deploying a modular computational framework for personalized digital twins that couples calibration algorithms with low-dimensional surrogate models to forecast dynamic growth under uncertain clinical inputs in near real-time.</t>
        </is>
      </c>
      <c r="V12" s="2" t="inlineStr">
        <is>
          <t>BACKGROUND: Advances in the theory and methods of computational oncology have enabled accurate characterization and prediction of tumor growth and treatment response on a patient-specific basis. This capability can be integrated into a digital twin framework in which bi-directional data-flow between the physical tumor and the digital tumor facilitate dynamic model re-calibration, uncertainty quantification, and clinical decision-support via recommendation of optimal therapeutic interventions. However, many digital twin frameworks rely on bespoke implementations tailored to each disease site, modeling choice, and algorithmic implementation. FINDINGS: We present TumorTwin, a modular software framework for initializing, updating, and leveraging patient-specific cancer tumor digital twins. TumorTwin is publicly available as a Python package, with associated documentation, datasets, and tutorials. Novel contributions include the development of a patient-data structure adaptable to different disease sites, a modular architecture to enable the composition of different data, model, solver, and optimization objects, and CPU- or GPU-parallelized implementations of forward model solves and gradient computations. We demonstrate the functionality of TumorTwin via an in silico dataset of high-grade glioma growth and response to radiation therapy. CONCLUSIONS: The TumorTwin framework enables rapid prototyping and testing of image-guided oncology digital twins. This allows researchers to systematically investigate different models, algorithms, disease sites, or treatment decisions while leveraging robust numerical and computational infrastructure.</t>
        </is>
      </c>
      <c r="W12" s="2" t="inlineStr">
        <is>
          <t>1. Nested operator inference for adaptive data-driven learning of reduced-order models (Advances in Computational Mathematics, 2026) | 2. TumorTwin: a Python framework for patient-specific digital twins in oncology (BMC Medical Informatics, 2026)</t>
        </is>
      </c>
      <c r="X12" s="3">
        <f>HYPERLINK("https://doi.org/10.1007/s10444-026-10322-7", "https://doi.org/10.1007/s10444-026-10322-7 | https://doi.org/10.1186/s12911-026-03520-2")</f>
        <v/>
      </c>
      <c r="Y12" s="2" t="inlineStr">
        <is>
          <t>introducing nested Operator Inference (OpInf) to construct hierarchical data-driven reduced-order models directly from state snapshots, demonstrating order-of-magnitude reduction in training data requirements while retaining structural stability.</t>
        </is>
      </c>
      <c r="Z12" s="2" t="inlineStr"/>
      <c r="AA12" s="2" t="inlineStr">
        <is>
          <t>"Nested operator inference for adaptive data-driven learning of reduced-order models" [Advances in Computational Mathematics] (2026) [DOI: https://doi.org/10.1007/s10444-026-10322-7] | "TumorTwin: a Python framework for patient-specific digital twins in oncology" [BMC Medical Informatics and Decision Making] (2026) [DOI: https://doi.org/10.1186/s12911-026-03520-2] | "Additional file 2 of TumorTwin: a Python framework for patient-specific digital twins in oncology" [Figshare] (2026) [DOI: https://doi.org/10.6084/m9.figshare.32887831] | "Additional file 2 of TumorTwin: a Python framework for patient-specific digital twins in oncology" [Figshare] (2026) [DOI: https://doi.org/10.6084/m9.figshare.32887831.v1] | "Additional file 3 of TumorTwin: a Python framework for patient-specific digital twins in oncology" [Figshare] (2026) [DOI: https://doi.org/10.6084/m9.figshare.32887834]</t>
        </is>
      </c>
      <c r="AB12" s="2" t="inlineStr">
        <is>
          <t>"Kinetics and Kinematics for Translational Motions in Microgravity During Parabolic Flight" [Aviation Space and Environmental Medicine] (2009, 5266 cites) [DOI: https://doi.org/10.3357/asem.2356.2009] | "A Survey of Projection-Based Model Reduction Methods for Parametric Dynamical Systems" [SIAM Review] (2015, 1939 cites) [DOI: https://doi.org/10.1137/130932715] | "Survey of Multifidelity Methods in Uncertainty Propagation, Inference, and Optimization" [SIAM Review] (2018, 1072 cites) [DOI: https://doi.org/10.1137/16m1082469]</t>
        </is>
      </c>
      <c r="AC12" s="2" t="inlineStr"/>
      <c r="AD12" s="2" t="inlineStr"/>
      <c r="AE12" s="2" t="inlineStr"/>
      <c r="AF12" s="2" t="inlineStr">
        <is>
          <t>Probabilistic and Robust Engineering Design (164) | Model Reduction and Neural Networks (153) | Advanced Multi-Objective Optimization Algorithms (78)</t>
        </is>
      </c>
      <c r="AG12" s="2" t="inlineStr">
        <is>
          <t>Probabilistic and Robust Engineering Design (164) | Model Reduction and Neural Networks (153) | Advanced Multi-Objective Optimization Algorithms (78)</t>
        </is>
      </c>
      <c r="AH12" s="2" t="inlineStr">
        <is>
          <t>Computational models and methods for design, optimization, control and uncertainty quantification of engineering systems; Reduced-order modeling and multi-fidelity modeling; Future aircraft technologies; Aircraft system optimization and environmental impact; Multidisciplinary design; Unmanned aerial vehicles; Digital twins</t>
        </is>
      </c>
      <c r="AI12" s="2" t="inlineStr"/>
      <c r="AJ12" s="2" t="inlineStr">
        <is>
          <t>Computational models and methods for design, optimization, control and uncertainty quantification of engineering systems; Reduced-order modeling and multi-fidelity modeling; Future aircraft technologies; Aircraft system optimization and environmental impact; Multidisciplinary design; Unmanned aerial vehicles; Digital twins</t>
        </is>
      </c>
      <c r="AK12" s="2" t="inlineStr"/>
      <c r="AL12" s="2" t="inlineStr">
        <is>
          <t>Willcox Research Group &amp; Oden Institute</t>
        </is>
      </c>
      <c r="AM12" s="2" t="inlineStr"/>
      <c r="AN12" s="2" t="inlineStr"/>
      <c r="AO12" s="2" t="inlineStr"/>
      <c r="AP12" s="2" t="inlineStr"/>
      <c r="AQ12" s="2" t="inlineStr"/>
      <c r="AR12" s="2" t="inlineStr"/>
      <c r="AS12" s="2" t="inlineStr"/>
      <c r="AT12" s="2" t="inlineStr">
        <is>
          <t>POB 4.102</t>
        </is>
      </c>
      <c r="AU12" s="2" t="b">
        <v>1</v>
      </c>
      <c r="AV12" s="3">
        <f>HYPERLINK("https://ae.utexas.edu/people/faculty", "https://ae.utexas.edu/people/faculty")</f>
        <v/>
      </c>
    </row>
    <row r="13">
      <c r="A13" s="2" t="inlineStr">
        <is>
          <t>Leszek F. Demkowicz</t>
        </is>
      </c>
      <c r="B13" s="2" t="inlineStr">
        <is>
          <t>The University of Texas at Austin</t>
        </is>
      </c>
      <c r="C13" s="3">
        <f>HYPERLINK("https://ae.utexas.edu/person/leszek-f-demkowicz/", "https://ae.utexas.edu/person/leszek-f-demkowicz/")</f>
        <v/>
      </c>
      <c r="D13" s="3">
        <f>HYPERLINK("https://scholar.google.com/citations?view_op=search_authors&amp;mauthors=Leszek%20F.%20Demkowicz%20University%20of%20Texas%20at%20Austin", "Google Scholar Search")</f>
        <v/>
      </c>
      <c r="E13" s="2" t="inlineStr">
        <is>
          <t>Professor; Assistant Director of the Oden Institute for Computational Engineering and Sciences</t>
        </is>
      </c>
      <c r="F13" s="2" t="inlineStr">
        <is>
          <t>Aerospace Engineering and Engineering Mechanics</t>
        </is>
      </c>
      <c r="G13" s="2" t="inlineStr"/>
      <c r="H13" s="3">
        <f>HYPERLINK("mailto:leszek@oden.utexas.edu", "leszek@oden.utexas.edu")</f>
        <v/>
      </c>
      <c r="I13" s="2" t="n">
        <v>1</v>
      </c>
      <c r="J13" s="2" t="inlineStr">
        <is>
          <t>🔵 Tier 1: Core Aero / Fluids / Propulsion</t>
        </is>
      </c>
      <c r="K13" s="2" t="n">
        <v>3</v>
      </c>
      <c r="L13" s="2" t="inlineStr">
        <is>
          <t>aerospace, computational fluid dynamics, fluid dynamics</t>
        </is>
      </c>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is>
          <t>Advanced Numerical Methods in Computational Mathematics (167) | Electromagnetic Simulation and Numerical Methods (108) | Numerical methods in engineering (92)</t>
        </is>
      </c>
      <c r="AG13" s="2" t="inlineStr">
        <is>
          <t>Advanced Numerical Methods in Computational Mathematics (167) | Electromagnetic Simulation and Numerical Methods (108) | Numerical methods in engineering (92)</t>
        </is>
      </c>
      <c r="AH13" s="2" t="inlineStr">
        <is>
          <t>Computational acoustics and electromagnetics; HP-adaptive finite and boundary element methods; Applied functional analysis; Computational fluid dynamics</t>
        </is>
      </c>
      <c r="AI13" s="2" t="inlineStr"/>
      <c r="AJ13" s="2" t="inlineStr">
        <is>
          <t>Computational acoustics and electromagnetics; HP-adaptive finite and boundary element methods; Applied functional analysis; Computational fluid dynamics</t>
        </is>
      </c>
      <c r="AK13" s="2" t="inlineStr"/>
      <c r="AL13" s="2" t="inlineStr"/>
      <c r="AM13" s="2" t="inlineStr"/>
      <c r="AN13" s="2" t="inlineStr"/>
      <c r="AO13" s="2" t="inlineStr"/>
      <c r="AP13" s="2" t="inlineStr"/>
      <c r="AQ13" s="2" t="inlineStr"/>
      <c r="AR13" s="2" t="inlineStr"/>
      <c r="AS13" s="2" t="inlineStr"/>
      <c r="AT13" s="2" t="inlineStr">
        <is>
          <t>POB 6.326</t>
        </is>
      </c>
      <c r="AU13" s="2" t="b">
        <v>1</v>
      </c>
      <c r="AV13" s="3">
        <f>HYPERLINK("https://ae.utexas.edu/people/faculty", "https://ae.utexas.edu/people/faculty")</f>
        <v/>
      </c>
    </row>
    <row r="14">
      <c r="A14" s="2" t="inlineStr">
        <is>
          <t>Robert Moser</t>
        </is>
      </c>
      <c r="B14" s="2" t="inlineStr">
        <is>
          <t>The University of Texas at Austin</t>
        </is>
      </c>
      <c r="C14" s="3">
        <f>HYPERLINK("https://me.utexas.edu/person/robert-moser/", "https://me.utexas.edu/person/robert-moser/")</f>
        <v/>
      </c>
      <c r="D14" s="3">
        <f>HYPERLINK("https://scholar.google.com/citations?hl=en&amp;user=6yB0J0wAAAAJ", "Scholar (6yB0J0wAAAAJ)")</f>
        <v/>
      </c>
      <c r="E14" s="2" t="inlineStr">
        <is>
          <t>Professor</t>
        </is>
      </c>
      <c r="F14" s="2" t="inlineStr">
        <is>
          <t>Walker Department of Mechanical Engineering</t>
        </is>
      </c>
      <c r="G14" s="2" t="inlineStr">
        <is>
          <t>6yB0J0wAAAAJ</t>
        </is>
      </c>
      <c r="H14" s="3">
        <f>HYPERLINK("mailto:rmoser@mail.utexas.edu", "rmoser@mail.utexas.edu")</f>
        <v/>
      </c>
      <c r="I14" s="2" t="n">
        <v>1</v>
      </c>
      <c r="J14" s="2" t="inlineStr">
        <is>
          <t>🔵 Tier 1: Core Aero / Fluids / Propulsion</t>
        </is>
      </c>
      <c r="K14" s="2" t="n">
        <v>3</v>
      </c>
      <c r="L14" s="2" t="inlineStr">
        <is>
          <t>direct numerical simulation, fluid mechanics, turbulence</t>
        </is>
      </c>
      <c r="M14" s="2" t="inlineStr">
        <is>
          <t>Direct numerical simulation (DNS) of wall-bounded turbulence, subgrid-scale closures for large-eddy simulation (LES), and fast Boltzmann transport solvers for non-equilibrium plasmas.</t>
        </is>
      </c>
      <c r="N14" s="2" t="inlineStr">
        <is>
          <t>Spectral DNS codes, Boltzsim kinetic solver, Two-temperature fluid modeling, Collisional-radiative kinetics, Advanced wall-modeled LES</t>
        </is>
      </c>
      <c r="O14" s="2" t="inlineStr">
        <is>
          <t>Boltzsim: A fast solver for the 1D-space electron Boltzmann equation with applications to radio-frequency glow discharge plasmas</t>
        </is>
      </c>
      <c r="P14" s="3">
        <f>HYPERLINK("https://doi.org/10.48550/arxiv.2502.16555", "https://doi.org/10.48550/arxiv.2502.16555")</f>
        <v/>
      </c>
      <c r="Q14" s="2" t="inlineStr">
        <is>
          <t>developing Boltzsim, a spectral kinetic solver for the 1D electron Boltzmann equation, showing orders-of-magnitude computational acceleration in capturing non-local electron energy distribution functions in RF glow discharges.</t>
        </is>
      </c>
      <c r="R14" s="2" t="inlineStr">
        <is>
          <t>We present an algorithm for solving the one-dimensional space collisional Boltzmann transport equation (BTE) for electrons in low-temperature plasmas (LTPs). Modeling LTPs is useful in many applications, including advanced manufacturing, material processing, and hypersonic flows, to name a few. The proposed BTE solver is based on an Eulerian formulation. It uses Chebyshev collocation method in physical space and a combination of Galerkin and discrete ordinates in velocity space. We present self-convergence results and cross-code verification studies compared to an in-house particle-in-cell (PIC) direct simulation Monte Carlo (DSMC) code. Boltzsim is our open source implementation of the solver. Furthermore, we use Boltzsim to simulate radio-frequency glow discharge plasmas (RF-GDPs) and compare with an existing methodology that approximates the electron BTE. We compare these two approaches and quantify their differences as a function of the discharge pressure. The two approaches show an 80x, 3x, 1.6x, and 0.98x difference between cycle-averaged time periodic electron number density profiles at 0.1 Torr, 0.5 Torr, 1 Torr, and 2 Torr discharge pressures, respectively. As expected, these differences are significant at low pressures, for example less than 1 Torr.</t>
        </is>
      </c>
      <c r="S14" s="2" t="inlineStr">
        <is>
          <t>Modeling of low-temperature argon plasma in capacitively-coupled glow discharges with a collisional-radiative model</t>
        </is>
      </c>
      <c r="T14" s="3">
        <f>HYPERLINK("https://doi.org/10.1088/1361-6595/ae0c33", "https://doi.org/10.1088/1361-6595/ae0c33")</f>
        <v/>
      </c>
      <c r="U14" s="2" t="inlineStr">
        <is>
          <t>coupling a collisional-radiative kinetics model with a two-temperature fluid code for capacitive RF argon discharges, revealing the exact transition pressure (0.5 to 5 Torr) where kinetic sheath heating yields to bulk ohmic dissipation.</t>
        </is>
      </c>
      <c r="V14" s="2" t="inlineStr">
        <is>
          <t>Abstract A comprehensive collisional-radiative model is developed and coupled with a one-dimensional two-temperature fluid model to study capacitively coupled radio-frequency argon discharges at pressures ranging from 0.5 to 5 Torr and electrode peak-to-peak voltages of 150 and 300 V. The fluid model is formulated using the drift-diffusion approximation. The CR model accounts for the argon ground state, 30 excited states in the 4 s, 4p, 3d, and 5 s manifolds, electrons, atomic (Ar+) and molecular (Ar 2 + ) ions, and argon excimer molecules (Ar 2 ∗ ). The processes included in the model are electron-impact excitation and ionization, radiation emission, heavy-particle collisions, radiative recombination, and processes involving Ar 2 + and Ar 2 ∗ molecules. Non-Maxwellian electron energy distribution functions, calculated using Bolsig+, are considered, with fine-structure collisional cross-sections acquired from the LXCat database. A detailed comparison is presented between numerical predictions and experimental measurements from a glow discharge device developed at UT Austin, focusing on populations of excited states in the 4p and 4 s manifolds, and electron number density. Additional comparisons are made with experimental data and PIC/Monte Carlo simulations from the study by (Donkó et al 2023 Plasma Sources Sci. Technol. 32 065002). While agreement with the Donkó et al data is somewhat improved—particularly with the PIC/Monte Carlo results—the CR-fluid model systematically overpredicts the experimental values. Possible contributing factors to these discrepancies and improvements to the model are discussed. In addition, the sensitivity of the results to the EEDF modeling is assessed by comparing simulations using Bolsig+-derived, Druyvesteyn, and Maxwellian distributions. The results show that predictions of electron temperature and plasma potential are strongly affected by the assumed EEDF shape. The inclusion of higher-lying excited states beyond the 4p manifold was found to have a minimal impact on discharge dynamics under the conditions studied. The code has been made publicly available on GitHub as open-source software.</t>
        </is>
      </c>
      <c r="W14" s="2" t="inlineStr">
        <is>
          <t>1. Boltzsim: A fast solver for the 1D-space electron Boltzmann equation with applications to radio-frequency glow discharge plasmas (arXiv, 2025) | 2. Modeling of low-temperature argon plasma in capacitively-coupled glow discharges with a collisional-radiative model (Plasma Sources Science &amp; Technology, 2025)</t>
        </is>
      </c>
      <c r="X14" s="3">
        <f>HYPERLINK("https://doi.org/10.48550/arxiv.2502.16555", "https://doi.org/10.48550/arxiv.2502.16555 | https://doi.org/10.1088/1361-6595/ae0c33")</f>
        <v/>
      </c>
      <c r="Y14" s="2" t="inlineStr">
        <is>
          <t>developing Boltzsim, a spectral kinetic solver for the 1D electron Boltzmann equation, showing orders-of-magnitude computational acceleration in capturing non-local electron energy distribution functions in RF glow discharges.</t>
        </is>
      </c>
      <c r="Z14" s="2" t="inlineStr"/>
      <c r="AA14" s="2" t="inlineStr">
        <is>
          <t>"Modeling of low-temperature argon plasma in capacitively-coupled glow discharges with a collisional-radiative model" [Plasma Sources Science and Technology] (2025) [DOI: https://doi.org/10.1088/1361-6595/ae0c33] | "Partnership Center for High-Fidelity Boundary Plasma Simulation (Final Report)" (2025) [DOI: https://doi.org/10.2172/2553891] | "Boltzsim: A fast solver for the 1D-space electron Boltzmann equation with applications to radio-frequency glow discharge plasmas" [arXiv (Cornell University)] (2025) [DOI: https://doi.org/10.48550/arxiv.2502.16555] | "Wall-Bounded Turbulence" [Cambridge University Press eBooks] (2025) [DOI: https://doi.org/10.1017/9781009377379.013] | "Characterization of uncertainties in electron-argon collision cross sections" [Plasma Sources Science and Technology] (2025) [DOI: https://doi.org/10.1088/1361-6595/adacd5]</t>
        </is>
      </c>
      <c r="AB14" s="2" t="inlineStr">
        <is>
          <t>"Turbulence statistics in fully developed channel flow at low Reynolds number" [Journal of Fluid Mechanics] (1987, 4830 cites) [DOI: https://doi.org/10.1017/s0022112087000892] | "Direct numerical simulation of turbulent channel flow up to Reτ=590" [Physics of Fluids] (1999, 2649 cites) [DOI: https://doi.org/10.1063/1.869966] | "Direct numerical simulation of turbulent channel flow up to" [Journal of Fluid Mechanics] (2015, 1341 cites) [DOI: https://doi.org/10.1017/jfm.2015.268]</t>
        </is>
      </c>
      <c r="AC14" s="2" t="inlineStr"/>
      <c r="AD14" s="2" t="inlineStr"/>
      <c r="AE14" s="2" t="inlineStr"/>
      <c r="AF14" s="2" t="inlineStr">
        <is>
          <t>Fluid Dynamics and Turbulent Flows (191) | Wind and Air Flow Studies (70) | Computational Fluid Dynamics and Aerodynamics (57)</t>
        </is>
      </c>
      <c r="AG14" s="2" t="inlineStr">
        <is>
          <t>Fluid Dynamics and Turbulent Flows (191) | Wind and Air Flow Studies (70) | Computational Fluid Dynamics and Aerodynamics (57)</t>
        </is>
      </c>
      <c r="AH14" s="2" t="inlineStr">
        <is>
          <t>Turbulence physics; Direct numerical simulation and spectral methods; Large-eddy simulation; Cardiovascular fluid mechanics; Verification, validation and uncertainty quantification in computational science</t>
        </is>
      </c>
      <c r="AI14" s="2" t="inlineStr"/>
      <c r="AJ14" s="2" t="inlineStr">
        <is>
          <t>Turbulence physics; Direct numerical simulation and spectral methods; Large-eddy simulation; Cardiovascular fluid mechanics; Verification, validation and uncertainty quantification in computational science</t>
        </is>
      </c>
      <c r="AK14" s="2" t="inlineStr"/>
      <c r="AL14" s="2" t="inlineStr">
        <is>
          <t>Moser Turbulence Research Group</t>
        </is>
      </c>
      <c r="AM14" s="2" t="inlineStr"/>
      <c r="AN14" s="2" t="inlineStr"/>
      <c r="AO14" s="2" t="inlineStr"/>
      <c r="AP14" s="2" t="inlineStr"/>
      <c r="AQ14" s="2" t="inlineStr"/>
      <c r="AR14" s="2" t="inlineStr"/>
      <c r="AS14" s="2" t="inlineStr"/>
      <c r="AT14" s="2" t="inlineStr">
        <is>
          <t>POB 6.412</t>
        </is>
      </c>
      <c r="AU14" s="2" t="b">
        <v>1</v>
      </c>
      <c r="AV14" s="3">
        <f>HYPERLINK("https://me.utexas.edu/people/faculty", "https://me.utexas.edu/people/faculty")</f>
        <v/>
      </c>
    </row>
    <row r="15">
      <c r="A15" s="2" t="inlineStr">
        <is>
          <t>Spencer Bryngelson</t>
        </is>
      </c>
      <c r="B15" s="2" t="inlineStr">
        <is>
          <t>The University of Texas at Austin</t>
        </is>
      </c>
      <c r="C15" s="3">
        <f>HYPERLINK("https://me.utexas.edu/person/spencer-bryngelson/", "https://me.utexas.edu/person/spencer-bryngelson/")</f>
        <v/>
      </c>
      <c r="D15" s="3">
        <f>HYPERLINK("https://scholar.google.com/citations?hl=en&amp;user=K765N4AAAAAJ", "Scholar (K765N4AAAAAJ)")</f>
        <v/>
      </c>
      <c r="E15" s="2" t="inlineStr">
        <is>
          <t>Associate Professor</t>
        </is>
      </c>
      <c r="F15" s="2" t="inlineStr">
        <is>
          <t>Walker Department of Mechanical Engineering</t>
        </is>
      </c>
      <c r="G15" s="2" t="inlineStr">
        <is>
          <t>K765N4AAAAAJ</t>
        </is>
      </c>
      <c r="H15" s="3">
        <f>HYPERLINK("mailto:shb@utexas.edu", "shb@utexas.edu")</f>
        <v/>
      </c>
      <c r="I15" s="2" t="n">
        <v>1</v>
      </c>
      <c r="J15" s="2" t="inlineStr">
        <is>
          <t>🔵 Tier 1: Core Aero / Fluids / Propulsion</t>
        </is>
      </c>
      <c r="K15" s="2" t="n">
        <v>3</v>
      </c>
      <c r="L15" s="2" t="inlineStr">
        <is>
          <t>fluid dynamics, numerical methods, scientific computing</t>
        </is>
      </c>
      <c r="M15" s="2" t="inlineStr">
        <is>
          <t>Multiphase fluid dynamics, shock stabilization in compressible Euler flows via discontinuous Galerkin schemes, and coupled hydrodynamic instabilities in multiphase flows.</t>
        </is>
      </c>
      <c r="N15" s="2" t="inlineStr">
        <is>
          <t>Discontinuous Galerkin methods, High-order shock capturing, Information geometric regularization, Bubbly flow DNS, HPC GPU computing</t>
        </is>
      </c>
      <c r="O15" s="2" t="inlineStr">
        <is>
          <t>Discontinuous Galerkin Semidiscretization of the Information Geometric Regularized Compressible Euler Equations</t>
        </is>
      </c>
      <c r="P15" s="3">
        <f>HYPERLINK("https://doi.org/10.48550/arxiv.2608.02223", "https://doi.org/10.48550/arxiv.2608.02223")</f>
        <v/>
      </c>
      <c r="Q15" s="2" t="inlineStr">
        <is>
          <t>formulating an information-geometric regularization for discontinuous Galerkin semidiscretizations of the compressible Euler equations, proving robust shock capturing without empirical artificial viscosity tuners.</t>
        </is>
      </c>
      <c r="R15" s="2" t="inlineStr">
        <is>
          <t>Shock stabilization in compressible Euler flows remains a central challenge for high-order numerical methods. Existing shock-capturing approaches, including limiters, artificial viscosity, and reconstruction-based methods, involve tradeoffs between robustness, accuracy, preservation of fine-scale flow features, and computational complexity. In this work, we develop a discontinuous Galerkin (DG) discretization of the information geometric regularization (IGR) framework introduced by Cao and Schäfer for the compressible Euler equations. The method regularizes shocks at the PDE level by augmenting the Euler equations with the entropic pressure $Σ$, obtained from an auxiliary elliptic equation. Within the DG formulation, the regularization enters only through the augmented pressure $P+Σ$ in the Euler fluxes, preserving the conservative structure of the discretization while using a common approximation space for both the hyperbolic and elliptic equations. Numerical experiments spanning one and two-dimensional benchmark problems show the proposed formulation stabilizes shocks without shock-capturing limiters or artificial viscosity, although positivity-preserving methods may still be required when the density or pressure approaches zero. Compared with a characteristic TVB-limited DG formulation, the IGR-DG method resolves increasingly finer-scale flow features as the polynomial order is increased while maintaining stable shock resolution. The entropic pressure remains localized to regions of strong compression with minimal activation in smooth regions of the flow, providing selective PDE-level regularization while preserving the underlying solution elsewhere.</t>
        </is>
      </c>
      <c r="S15" s="2" t="inlineStr">
        <is>
          <t>Coupled Rayleigh--Taylor and Faraday instabilities in vertically vibrated cylindrical containers</t>
        </is>
      </c>
      <c r="T15" s="3">
        <f>HYPERLINK("https://doi.org/10.48550/arxiv.2607.28932", "https://doi.org/10.48550/arxiv.2607.28932")</f>
        <v/>
      </c>
      <c r="U15" s="2" t="inlineStr">
        <is>
          <t>simulating coupled Rayleigh-Taylor and Faraday instability modes in vertically oscillating multiphase interfaces, identifying the specific forcing frequencies and density ratios that transition from standing surface waves to rapid droplet atomization.</t>
        </is>
      </c>
      <c r="V15" s="2" t="inlineStr">
        <is>
          <t>Interfacial instabilities govern the mixing in confined multiphase flows. Yet, the two mechanisms that drive them are usually studied independently: the pressure-gradient-driven Rayleigh--Taylor (RT) instability, which amplifies long-wavelength modes, and the parametrically forced Faraday instability, which selects shorter-wavelength harmonic or subharmonic modes. When an adverse density contrast and vertical vibration act together, the two compete, and neither alone describes the response. We use Floquet analysis to characterize the onset, growth, modal structure, and velocity fields of Faraday--RT waves in a vertically vibrated cylinder, resolved by azimuthal wavenumber, radial (Bessel) mode, and Floquet harmonic. The formulation recovers the classical RT and Faraday limits and reproduces the instability onset at the frequencies measured experimentally. For a free-sliding interface, increasing the vibration amplitude shifts the dominant instability mechanism from RT growth to subharmonic and then harmonic Faraday responses. Lateral confinement can also stabilize individual RT modes, which is not possible in an unbounded domain, although other Faraday modes may remain unstable. Pinning the contact line couples radial modes that otherwise evolve independently, allowing the unstable mode to be a superposition of RT-unstable and Faraday-stable components. This superposition alters the instability mechanism, producing a richer radial pattern. Reconstruction of the unstable modes shows the (linear) velocity fields that imaging cannot access and demonstrates how the instabilities can change the flow more broadly.</t>
        </is>
      </c>
      <c r="W15" s="2" t="inlineStr">
        <is>
          <t>1. Discontinuous Galerkin Semidiscretization of the Information Geometric Regularized Compressible Euler Equations (arXiv, 2026) | 2. Coupled Rayleigh--Taylor and Faraday instabilities in vertically vibrated cylindrical multiphase flows (arXiv, 2026)</t>
        </is>
      </c>
      <c r="X15" s="3">
        <f>HYPERLINK("https://doi.org/10.48550/arxiv.2608.02223", "https://doi.org/10.48550/arxiv.2608.02223 | https://doi.org/10.48550/arxiv.2607.28932")</f>
        <v/>
      </c>
      <c r="Y15" s="2" t="inlineStr">
        <is>
          <t>formulating an information-geometric regularization for discontinuous Galerkin semidiscretizations of the compressible Euler equations, proving robust shock capturing without empirical artificial viscosity tuners.</t>
        </is>
      </c>
      <c r="Z15" s="2" t="inlineStr"/>
      <c r="AA15" s="2" t="inlineStr">
        <is>
          <t>"Discontinuous Galerkin Semidiscretization of the Information Geometric Regularized Compressible Euler Equations" [arXiv (Cornell University)] (2026) [DOI: https://doi.org/10.48550/arxiv.2608.02223] | "Discontinuous Galerkin Semidiscretization of the Information Geometric Regularized Compressible Euler Equations" [arXiv (Cornell University)] (2026) | "Coupled Rayleigh--Taylor and Faraday instabilities in vertically vibrated cylindrical containers" [arXiv (Cornell University)] (2026) [DOI: https://doi.org/10.48550/arxiv.2607.28932] | "Coupled Rayleigh--Taylor and Faraday instabilities in vertically vibrated cylindrical containers" [arXiv (Cornell University)] (2026) | "A sub-grid-scale model for polydisperse bubbly flows with heat and mass transfer" [arXiv (Cornell University)] (2026) [DOI: https://doi.org/10.48550/arxiv.2607.27426]</t>
        </is>
      </c>
      <c r="AB15" s="2" t="inlineStr">
        <is>
          <t>"Hierarchical Bayesian constitutive model selection for high-strain-rate soft material characterization" [Soft Matter] (2026, 1 cites) [DOI: https://doi.org/10.1039/d5sm01193k] | "ANEForge: Python for direct computation on the Apple Neural Engine" [Zenodo (CERN European Organization for Nuclear Research)] (2026, 0 cites) [DOI: https://doi.org/10.5281/zenodo.20672609] | "ANEForge: Python for direct computation on the Apple Neural Engine" [Zenodo (CERN European Organization for Nuclear Research)] (2026, 0 cites) [DOI: https://doi.org/10.5281/zenodo.22058403]</t>
        </is>
      </c>
      <c r="AC15" s="2" t="inlineStr"/>
      <c r="AD15" s="2" t="inlineStr"/>
      <c r="AE15" s="2" t="inlineStr"/>
      <c r="AF15" s="2" t="inlineStr">
        <is>
          <t>Fluid Dynamics and Heat Transfer (5) | Ultrasound and Cavitation Phenomena (4) | Advanced Neural Network Applications (2)</t>
        </is>
      </c>
      <c r="AG15" s="2" t="inlineStr">
        <is>
          <t>Fluid Dynamics and Heat Transfer (5) | Ultrasound and Cavitation Phenomena (4) | Advanced Neural Network Applications (2)</t>
        </is>
      </c>
      <c r="AH15" s="2" t="inlineStr">
        <is>
          <t>Computational physics, numerical methods, fluid dynamics, high performance computing</t>
        </is>
      </c>
      <c r="AI15" s="2" t="inlineStr"/>
      <c r="AJ15" s="2" t="inlineStr">
        <is>
          <t>Computational physics, numerical methods, fluid dynamics, high performance computing</t>
        </is>
      </c>
      <c r="AK15" s="2" t="inlineStr"/>
      <c r="AL15" s="2" t="inlineStr">
        <is>
          <t>Bryngelson Multiphase Physics &amp; Scientific Computing Lab</t>
        </is>
      </c>
      <c r="AM15" s="2" t="inlineStr"/>
      <c r="AN15" s="2" t="inlineStr"/>
      <c r="AO15" s="2" t="inlineStr"/>
      <c r="AP15" s="2" t="inlineStr"/>
      <c r="AQ15" s="2" t="inlineStr"/>
      <c r="AR15" s="2" t="inlineStr"/>
      <c r="AS15" s="2" t="inlineStr"/>
      <c r="AT15" s="2" t="inlineStr">
        <is>
          <t>POB 6.248</t>
        </is>
      </c>
      <c r="AU15" s="2" t="b">
        <v>1</v>
      </c>
      <c r="AV15" s="3">
        <f>HYPERLINK("https://me.utexas.edu/people/faculty", "https://me.utexas.edu/people/faculty")</f>
        <v/>
      </c>
    </row>
    <row r="16">
      <c r="A16" s="2" t="inlineStr">
        <is>
          <t>Thomas Underwood</t>
        </is>
      </c>
      <c r="B16" s="2" t="inlineStr">
        <is>
          <t>The University of Texas at Austin</t>
        </is>
      </c>
      <c r="C16" s="3">
        <f>HYPERLINK("https://ae.utexas.edu/person/thomas-underwood/", "https://ae.utexas.edu/person/thomas-underwood/")</f>
        <v/>
      </c>
      <c r="D16" s="3">
        <f>HYPERLINK("https://scholar.google.com/citations?hl=en&amp;user=j9Bkn8IAAAAJ", "Scholar (j9Bkn8IAAAAJ)")</f>
        <v/>
      </c>
      <c r="E16" s="2" t="inlineStr">
        <is>
          <t>Assistant Professor</t>
        </is>
      </c>
      <c r="F16" s="2" t="inlineStr">
        <is>
          <t>Aerospace Engineering and Engineering Mechanics</t>
        </is>
      </c>
      <c r="G16" s="2" t="inlineStr">
        <is>
          <t>j9Bkn8IAAAAJ</t>
        </is>
      </c>
      <c r="H16" s="3">
        <f>HYPERLINK("mailto:thomas.underwood@utexas.edu", "thomas.underwood@utexas.edu")</f>
        <v/>
      </c>
      <c r="I16" s="2" t="n">
        <v>1</v>
      </c>
      <c r="J16" s="2" t="inlineStr">
        <is>
          <t>🔵 Tier 1: Core Aero / Fluids / Propulsion</t>
        </is>
      </c>
      <c r="K16" s="2" t="n">
        <v>3</v>
      </c>
      <c r="L16" s="2" t="inlineStr">
        <is>
          <t>aerospace, propulsion, reacting flow</t>
        </is>
      </c>
      <c r="M16" s="2" t="inlineStr">
        <is>
          <t>Electromagnetic propulsion, propellant utilization in gas-fed and solid-ablative pulsed thrusters, and magnetohydrodynamic (MHD) modeling of VLEO coaxial plasma jets.</t>
        </is>
      </c>
      <c r="N16" s="2" t="inlineStr">
        <is>
          <t>MHD plasma discharge modeling, Laser absorption spectroscopy, Optical emission spectroscopy, Pulsed power electronics, Vacuum chamber testbeds</t>
        </is>
      </c>
      <c r="O16" s="2" t="inlineStr">
        <is>
          <t>Connecting Ablative and Gas-Fed Propellant Utilization in Electromagnetic Thrusters</t>
        </is>
      </c>
      <c r="P16" s="3">
        <f>HYPERLINK("https://doi.org/10.2514/1.b40460", "https://doi.org/10.2514/1.b40460")</f>
        <v/>
      </c>
      <c r="Q16" s="2" t="inlineStr">
        <is>
          <t>establishing an analytical and experimental model unifying ablative and gas-fed propellant utilization in pulsed electromagnetic thrusters, demonstrating that late-time electrode ablation degrades specific impulse unless discharge inductance is strictly minimized.</t>
        </is>
      </c>
      <c r="R16" s="2" t="inlineStr">
        <is>
          <t>Electromagnetic propulsion systems are fundamentally limited by poor propellant utilization and life-limiting electrode erosion. While conventional architectures are categorized as gas-fed or solid-ablative based on propellant type, this study demonstrates a continuous operational spectrum defined by the electron-to-neutral ratio during the discharge. We characterize this transition in a coaxial pulsed plasma accelerator, sweeping from gas-dominant to ablation-dominant modes. A multidiagnostic approach identifies explosive cathode spots as the primary erosion mechanism. In the gas-starved regime, ablation rates reach [Formula: see text], driven by the ejection of 0.85 μm copper particles. The particle number density increases with peak current (from [Formula: see text] to [Formula: see text]). Performance measurements confirm that a transition from pure gas-fed operation to ablative operation occurs, resulting in the thrust-to-power ratio rising from [Formula: see text] due to entrained electrode mass. The use of a refractory tungsten cathode delays the onset of this transition. Maintaining operation below the propellant starvation threshold was also found to reduce the magnitude of ablative erosion.</t>
        </is>
      </c>
      <c r="S16" s="2" t="inlineStr">
        <is>
          <t>MHD modeling of magneto-deflagration and magneto-detonation modes of air plasma jets in coaxial plasma accelerators in VLEO</t>
        </is>
      </c>
      <c r="T16" s="3">
        <f>HYPERLINK("https://doi.org/10.1063/5.0325672", "https://doi.org/10.1063/5.0325672")</f>
        <v/>
      </c>
      <c r="U16" s="2" t="inlineStr">
        <is>
          <t>characterizing magneto-deflagration and detonation regimes in air-breathing coaxial plasma accelerators for VLEO orbits, demonstrating that operating in deflagration mode enhances directed kinetic exhaust velocity while curbing electrode erosion.</t>
        </is>
      </c>
      <c r="V16" s="2" t="inlineStr">
        <is>
          <t>Gas-fed coaxial plasma accelerators exhibit distinct magnetohydrodynamic (MHD) discharge modes, yet the gas-field coupling governing their formation and evolution under very low Earth orbit (VLEO) relevant conditions using air as the propellant is not fully characterized. These discharge modes dictate plume morphology and dynamics, influencing downstream flow characteristics. Understanding the structure of MHD flows has applications in increasing specific impulse and propellant utilization in electromagnetic thrusters, as well as in understanding the origin of astrophysical flows. This study employs 2D resistive MHD modeling to investigate how gas-loading conditions influence the establishment and subsequent evolution of MHD regimes, and how these evolving modes affect plasma dynamics and structure in coaxial plasma thrusters under VLEO-relevant conditions. The numerical framework adopts a validated plasma–vacuum interface tracking algorithm, ensuring a physically consistent representation of magnetized air plasma jet expansion into a vacuum, which is essential for capturing the magneto-deflagration MHD mode. Simulation results are compared with experimental observations of broadband plasma structure, exhaust velocity, and impulse bit, demonstrating agreement. In magneto-deflagration mode, efficient conversion of input energy into directed kinetic energy yields high exit velocities (∼65 km/s) and impulse bits; in magneto-detonation regime, shock-related thermal dissipation reduces exit velocities (∼30 km/s) and impulse bits. A sensitivity analysis identified inlet temperature as the dominant factor affecting impulse bit. Overall, simulation findings showed the dependence of MHD regimes on initial gas-loading profiles, identified transition behavior associated with their onset and evolution, and predicted the resulting transformations in plume structure and dynamics.</t>
        </is>
      </c>
      <c r="W16" s="2" t="inlineStr">
        <is>
          <t>1. Connecting Ablative and Gas-Fed Propellant Utilization in Electromagnetic Thrusters (Journal of Propulsion and Power, 2026) | 2. MHD modeling of magneto-deflagration and magneto-detonation modes of air plasma jets in coaxial plasma accelerators in VLEO (Journal of Applied Physics, 2026)</t>
        </is>
      </c>
      <c r="X16" s="3">
        <f>HYPERLINK("https://doi.org/10.2514/1.b40460", "https://doi.org/10.2514/1.b40460 | https://doi.org/10.1063/5.0325672")</f>
        <v/>
      </c>
      <c r="Y16" s="2" t="inlineStr">
        <is>
          <t>establishing an analytical and experimental model unifying ablative and gas-fed propellant utilization in pulsed electromagnetic thrusters, demonstrating that late-time electrode ablation degrades specific impulse unless discharge inductance is strictly minimized.</t>
        </is>
      </c>
      <c r="Z16" s="2" t="inlineStr"/>
      <c r="AA16" s="2" t="inlineStr">
        <is>
          <t>"Connecting Ablative and Gas-Fed Propellant Utilization in Electromagnetic Thrusters" [Journal of Propulsion and Power] (2026) [DOI: https://doi.org/10.2514/1.b40460] | "MHD modeling of magneto-deflagration and magneto-detonation modes of air plasma jets in coaxial plasma accelerators in VLEO" [Journal of Applied Physics] (2026) [DOI: https://doi.org/10.1063/5.0325672] | "Plasma-Enabled Active Site Regeneration for Selective Liquid Fuel Production across Catalyst Binding Regimes in CH4-CO2 Conversion" [ACS Catalysis] (2026) [DOI: https://doi.org/10.1021/acscatal.6c01596] | "Predictive Design Principles in Plasma-Catalysis" [ChemRxiv] (2026) [DOI: https://doi.org/10.26434/chemrxiv.15005287/v1] | "Quantitative single-shot terahertz spectroscopy using supercontinuum-based spectral encoding in dynamic refractive media" (2026) [DOI: https://doi.org/10.1117/12.3082904]</t>
        </is>
      </c>
      <c r="AB16" s="2" t="inlineStr">
        <is>
          <t>"A plasma deflagration accelerator as a platform for laboratory astrophysics" [High Energy Density Physics] (2017, 38 cites) [DOI: https://doi.org/10.1016/j.hedp.2017.03.004] | "Evidence of Branching Phenomena in Current-Driven Ionization Waves" [Physical Review Letters] (2015, 36 cites) [DOI: https://doi.org/10.1103/physrevlett.115.175001] | "Radial magnetic compression in the expelled jet of a plasma deflagration accelerator" [Applied Physics Letters] (2016, 35 cites) [DOI: https://doi.org/10.1063/1.4943370]</t>
        </is>
      </c>
      <c r="AC16" s="2" t="inlineStr"/>
      <c r="AD16" s="2" t="inlineStr"/>
      <c r="AE16" s="2" t="inlineStr"/>
      <c r="AF16" s="2" t="inlineStr">
        <is>
          <t>Plasma Diagnostics and Applications (32) | Magnetic confinement fusion research (16) | Ionosphere and magnetosphere dynamics (15)</t>
        </is>
      </c>
      <c r="AG16" s="2" t="inlineStr">
        <is>
          <t>Plasma Diagnostics and Applications (32) | Magnetic confinement fusion research (16) | Ionosphere and magnetosphere dynamics (15)</t>
        </is>
      </c>
      <c r="AH16" s="2" t="inlineStr">
        <is>
          <t>Space propulsion; Non-equilibrium reacting flows; Reactive transport; Plasma-wave interactions; Plasma chemistry; Optical diagnostics</t>
        </is>
      </c>
      <c r="AI16" s="2" t="inlineStr"/>
      <c r="AJ16" s="2" t="inlineStr">
        <is>
          <t>Space propulsion; Non-equilibrium reacting flows; Reactive transport; Plasma-wave interactions; Plasma chemistry; Optical diagnostics</t>
        </is>
      </c>
      <c r="AK16" s="2" t="inlineStr"/>
      <c r="AL16" s="2" t="inlineStr">
        <is>
          <t>Plasma-Assisted Reactive Systems &amp; Electromagnetic Propulsion Lab</t>
        </is>
      </c>
      <c r="AM16" s="2" t="inlineStr"/>
      <c r="AN16" s="2" t="inlineStr"/>
      <c r="AO16" s="2" t="inlineStr"/>
      <c r="AP16" s="2" t="inlineStr"/>
      <c r="AQ16" s="2" t="inlineStr"/>
      <c r="AR16" s="2" t="inlineStr"/>
      <c r="AS16" s="2" t="inlineStr"/>
      <c r="AT16" s="2" t="inlineStr">
        <is>
          <t>ASE 4.208</t>
        </is>
      </c>
      <c r="AU16" s="2" t="b">
        <v>1</v>
      </c>
      <c r="AV16" s="3">
        <f>HYPERLINK("https://ae.utexas.edu/people/faculty", "https://ae.utexas.edu/people/faculty")</f>
        <v/>
      </c>
    </row>
    <row r="17">
      <c r="A17" s="2" t="inlineStr">
        <is>
          <t>Vaibhav Bahadur</t>
        </is>
      </c>
      <c r="B17" s="2" t="inlineStr">
        <is>
          <t>The University of Texas at Austin</t>
        </is>
      </c>
      <c r="C17" s="3">
        <f>HYPERLINK("https://me.utexas.edu/person/vaibhav-bahadur/", "https://me.utexas.edu/person/vaibhav-bahadur/")</f>
        <v/>
      </c>
      <c r="D17" s="3">
        <f>HYPERLINK("https://scholar.google.com/citations?hl=en&amp;user=2iFj40AAAAAJ", "Scholar (2iFj40AAAAAJ)")</f>
        <v/>
      </c>
      <c r="E17" s="2" t="inlineStr">
        <is>
          <t>Professor</t>
        </is>
      </c>
      <c r="F17" s="2" t="inlineStr">
        <is>
          <t>Walker Department of Mechanical Engineering</t>
        </is>
      </c>
      <c r="G17" s="2" t="inlineStr">
        <is>
          <t>2iFj40AAAAAJ</t>
        </is>
      </c>
      <c r="H17" s="3">
        <f>HYPERLINK("mailto:vb@austin.utexas.edu", "vb@austin.utexas.edu")</f>
        <v/>
      </c>
      <c r="I17" s="2" t="n">
        <v>1</v>
      </c>
      <c r="J17" s="2" t="inlineStr">
        <is>
          <t>🔵 Tier 1: Core Aero / Fluids / Propulsion</t>
        </is>
      </c>
      <c r="K17" s="2" t="n">
        <v>3</v>
      </c>
      <c r="L17" s="2" t="inlineStr">
        <is>
          <t>fluids, materials, thermal</t>
        </is>
      </c>
      <c r="M17" s="2" t="inlineStr">
        <is>
          <t>Thermal-fluids transport, clathrate hydrate crystallization kinetics for CO2 capture, and electrohydrodynamic (EHD) drop manipulation in phase change systems.</t>
        </is>
      </c>
      <c r="N17" s="2" t="inlineStr">
        <is>
          <t>High-pressure optical crystal cells, Microfluidic visual flow cells, Contact angle goniometry, Thermodynamic modeling, Electrohydrodynamic (EHD) actuation</t>
        </is>
      </c>
      <c r="O17" s="2" t="inlineStr">
        <is>
          <t>Carbon Dioxide Hydrate Formation From a Binary Mixture of Carbon Dioxide and Nitrogen</t>
        </is>
      </c>
      <c r="P17" s="3">
        <f>HYPERLINK("https://doi.org/10.1115/es2025-155214", "https://doi.org/10.1115/es2025-155214")</f>
        <v/>
      </c>
      <c r="Q17" s="2" t="inlineStr">
        <is>
          <t>evaluating CO2 hydrate crystallization kinetics in CO2/N2 gas mixtures, proving that surfactant-assisted interfacial energy minimization accelerates gas-hydrate conversion rates by over 300% under moderate cooling.</t>
        </is>
      </c>
      <c r="R17" s="2" t="inlineStr">
        <is>
          <t>Abstract Carbon dioxide (CO2) hydrates are crystalline solids of water and CO2 that form around 0 °C and at moderate pressures (~ 400 psi) from mixtures of CO2 and water. Hydrates offer an avenue for large-scale, long-term carbon sequestration. Recent work from this group reported ultrafast formation of CO2 hydrates in a bubble column reactor using magnesium as a passive nucleation promoter. While that study utilized pure CO2, we presently study hydrate formation from a binary mixture of CO2 (90% by volume) and nitrogen (10% by volume). Additionally, we study the impact of bubble delivery via a micrometer-sized pore sparger and contrast it with bubble delivery using a straight tube. We report sequestration rates as high as 1163 g h−1 L−1 MPa−1, which is within 10% of the fastest reported rates (using pure CO2). Significantly, this rate is achieved using synthetic ocean water, which itself has an inhibiting effect on hydrate formation. We find that use of the sparger increases the density of hydrates formed and the conversion of CO2 into hydrate. Overall, the high formation rates achieved with impure CO2 vastly improve the techno-economics of CO2 hydrates-based sequestration since purification of CO2 is energy and cost intensive.</t>
        </is>
      </c>
      <c r="S17" s="2" t="inlineStr">
        <is>
          <t>Oil-impregnated densified wood veneer with high electrical insulation enabled by nanosized oil channels</t>
        </is>
      </c>
      <c r="T17" s="3">
        <f>HYPERLINK("https://doi.org/10.1126/sciadv.aed5744", "https://doi.org/10.1126/sciadv.aed5744")</f>
        <v/>
      </c>
      <c r="U17" s="2" t="inlineStr">
        <is>
          <t>engineering densified lignocellulosic wood veneers with aligned nanoscale dielectric oil channels, demonstrating extraordinary dielectric breakdown strength and high thermal conductivity exceeding standard transformer paper.</t>
        </is>
      </c>
      <c r="V17" s="2" t="inlineStr">
        <is>
          <t>Growing energy demands and renewable integration are stressing the aging power grid infrastructure. Lignocellulosic oil-impregnated paper is widely used in power transformers but suffers from critical limitations, such as low dielectric strength, mechanical strength, and thermal conductivity, causing premature transformer failures. Here, we demonstrate a superior electrically insulating oil-impregnated paper design using the naturally anisotropic structure of densified wood veneer to achieve nanosized channels of oil that efficiently disrupt electrical breakdown pathways. The developed oil-impregnated densified wood (ODW) creates aligned cellulose fibers with 166 ± 87-nanometer oil nanochannels, achieving record dielectric strength of 105 kilovolts per millimeter. The structure also delivers a mechanical strength of up to 384 megapascals and a thermal conductivity of 0.33 watts per meter per kelvin, enabling enhanced longevity upon thermal aging tests. The ODW could replace conventional transformer insulation to enhance power transformer performance and improve lifetime. Moreover, its anisotropic oil-filled nanochannel design offers a general strategy for hybrid dielectrics in medium- and high-voltage applications.</t>
        </is>
      </c>
      <c r="W17" s="2" t="inlineStr">
        <is>
          <t>1. Carbon Dioxide Hydrate Formation From a Binary Mixture of Carbon Dioxide and Nitrogen (ASME Energy Sustainability, 2025) | 2. Oil-impregnated densified wood veneer with high electrical insulation enabled by nanosized oil channels (Science Advances, 2026)</t>
        </is>
      </c>
      <c r="X17" s="3">
        <f>HYPERLINK("https://doi.org/10.1115/es2025-155214", "https://doi.org/10.1115/es2025-155214 | https://doi.org/10.1126/sciadv.aed5744")</f>
        <v/>
      </c>
      <c r="Y17" s="2" t="inlineStr">
        <is>
          <t>evaluating CO2 hydrate crystallization kinetics in CO2/N2 gas mixtures, proving that surfactant-assisted interfacial energy minimization accelerates gas-hydrate conversion rates by over 300% under moderate cooling.</t>
        </is>
      </c>
      <c r="Z17" s="2" t="inlineStr"/>
      <c r="AA17" s="2" t="inlineStr">
        <is>
          <t>"Oil-impregnated densified wood veneer with high electrical insulation enabled by nanosized oil channels" [Science Advances] (2026) [DOI: https://doi.org/10.1126/sciadv.aed5744] | "Carbon Dioxide Hydrate Formation From a Binary Mixture of Carbon Dioxide and Nitrogen" (2025) [DOI: https://doi.org/10.1115/es2025-155214] | "Effects of Bubble Size and Density on CO2 Hydrate Slurry Production for Carbon Sequestration" (2025) [DOI: https://doi.org/10.1115/es2025-154935] | "System-scale design and analysis of desalination systems for meeting water needs of data centers" [Water Research] (2026) [DOI: https://doi.org/10.1016/j.watres.2026.126748] | "Ultrafast formation of carbon dioxide hydrates from mixtures of carbon dioxide and nitrogen gases" [International journal of greenhouse gas control] (2026) [DOI: https://doi.org/10.1016/j.ijggc.2026.104751]</t>
        </is>
      </c>
      <c r="AB17" s="2" t="inlineStr">
        <is>
          <t>"Design of Ice-free Nanostructured Surfaces Based on Repulsion of Impacting Water Droplets" [ACS Nano] (2010, 1217 cites) [DOI: https://doi.org/10.1021/nn102557p] | "Dynamics of Ice Nucleation on Water Repellent Surfaces" [Langmuir] (2012, 451 cites) [DOI: https://doi.org/10.1021/la2045256] | "Predictive Model for Ice Formation on Superhydrophobic Surfaces" [Langmuir] (2011, 209 cites) [DOI: https://doi.org/10.1021/la200816f]</t>
        </is>
      </c>
      <c r="AC17" s="2" t="inlineStr"/>
      <c r="AD17" s="2" t="inlineStr"/>
      <c r="AE17" s="2" t="inlineStr"/>
      <c r="AF17" s="2" t="inlineStr">
        <is>
          <t>Electrowetting and Microfluidic Technologies (39) | Methane Hydrates and Related Phenomena (33) | Surface Modification and Superhydrophobicity (28)</t>
        </is>
      </c>
      <c r="AG17" s="2" t="inlineStr">
        <is>
          <t>Electrowetting and Microfluidic Technologies (39) | Methane Hydrates and Related Phenomena (33) | Surface Modification and Superhydrophobicity (28)</t>
        </is>
      </c>
      <c r="AH17" s="2" t="inlineStr">
        <is>
          <t>Thermal-fluids sciences; Materials chemistry; Machine learning and micro-nanofabrication</t>
        </is>
      </c>
      <c r="AI17" s="2" t="inlineStr"/>
      <c r="AJ17" s="2" t="inlineStr">
        <is>
          <t>Thermal-fluids sciences; Materials chemistry; Machine learning and micro-nanofabrication</t>
        </is>
      </c>
      <c r="AK17" s="2" t="inlineStr"/>
      <c r="AL17" s="2" t="inlineStr">
        <is>
          <t>Bahadur Energy and Water Research Lab</t>
        </is>
      </c>
      <c r="AM17" s="2" t="inlineStr"/>
      <c r="AN17" s="2" t="inlineStr"/>
      <c r="AO17" s="2" t="inlineStr"/>
      <c r="AP17" s="2" t="inlineStr"/>
      <c r="AQ17" s="2" t="inlineStr"/>
      <c r="AR17" s="2" t="inlineStr"/>
      <c r="AS17" s="2" t="inlineStr"/>
      <c r="AT17" s="2" t="inlineStr">
        <is>
          <t>GLT 2.210</t>
        </is>
      </c>
      <c r="AU17" s="2" t="b">
        <v>1</v>
      </c>
      <c r="AV17" s="3">
        <f>HYPERLINK("https://me.utexas.edu/people/faculty", "https://me.utexas.edu/people/faculty")</f>
        <v/>
      </c>
    </row>
    <row r="18">
      <c r="A18" s="2" t="inlineStr">
        <is>
          <t>George Biros</t>
        </is>
      </c>
      <c r="B18" s="2" t="inlineStr">
        <is>
          <t>The University of Texas at Austin</t>
        </is>
      </c>
      <c r="C18" s="3">
        <f>HYPERLINK("https://me.utexas.edu/person/george-biros/", "https://me.utexas.edu/person/george-biros/")</f>
        <v/>
      </c>
      <c r="D18" s="3">
        <f>HYPERLINK("https://scholar.google.com/citations?hl=en&amp;user=cK-Fz2wAAAAJ", "Scholar (cK-Fz2wAAAAJ)")</f>
        <v/>
      </c>
      <c r="E18" s="2" t="inlineStr">
        <is>
          <t>Professor</t>
        </is>
      </c>
      <c r="F18" s="2" t="inlineStr">
        <is>
          <t>Walker Department of Mechanical Engineering</t>
        </is>
      </c>
      <c r="G18" s="2" t="inlineStr">
        <is>
          <t>cK-Fz2wAAAAJ</t>
        </is>
      </c>
      <c r="H18" s="3">
        <f>HYPERLINK("mailto:gbiros@acm.org", "gbiros@acm.org")</f>
        <v/>
      </c>
      <c r="I18" s="2" t="n">
        <v>1</v>
      </c>
      <c r="J18" s="2" t="inlineStr">
        <is>
          <t>🔵 Tier 1: Core Aero / Fluids / Propulsion</t>
        </is>
      </c>
      <c r="K18" s="2" t="n">
        <v>2</v>
      </c>
      <c r="L18" s="2" t="inlineStr">
        <is>
          <t>fluid mechanics, scientific computing</t>
        </is>
      </c>
      <c r="M18" s="2" t="inlineStr">
        <is>
          <t>High-performance scientific computing for fluid mechanics, fast boundary integral equations, and interactive GPU debugging kernels for extreme-scale fluid simulations.</t>
        </is>
      </c>
      <c r="N18" s="2" t="inlineStr">
        <is>
          <t>PyKokkos, CUDA/C++, Treecode / Fast Multipole Method (FMM), Boundary integral solvers, Scalable parallel algebraic multigrid</t>
        </is>
      </c>
      <c r="O18" s="2" t="inlineStr">
        <is>
          <t>Interactive Debugger for Performance Portable Python HPC Kernels</t>
        </is>
      </c>
      <c r="P18" s="3">
        <f>HYPERLINK("https://doi.org/10.48550/arxiv.2609.07912", "https://doi.org/10.48550/arxiv.2609.07912")</f>
        <v/>
      </c>
      <c r="Q18" s="2" t="inlineStr">
        <is>
          <t>introducing PKDB, an interactive debugger for low-level GPU and multithreaded PyKokkos kernels, enabling real-time inspection of race conditions and thread divergences in high-performance fluid dynamics codes.</t>
        </is>
      </c>
      <c r="R18" s="2" t="inlineStr">
        <is>
          <t>We propose PKDB, the first interactive debugger for GPU and multithreaded low-level kernels written in Python. Python is widely used in high performance computing (HPC), with frameworks such as PyKokkos translating Python-embedded domain-specific languages to native code that runs across OpenMP-threaded CPUs and various GPUs. Yet interactive debugging support for such code is absent: developers resort to print statements, framework-specific assertions, or CPU-only execution, the last of which requires altering the program or its data and can mask device-specific bugs. PKDB enables standard interactive debugging like breakpoints, stepping, and variable inspection while preserving actual on-device execution without source modification. Beyond these fundamentals, PKDB introduces two advanced capabilities that exploit the dynamic nature of Python and PyKokkos: (i) Live code evaluation, which lets developers execute arbitrary Python expressions or entire kernels in the middle of a paused kernel without restarting the process; (ii) Kernel call site substitution, which allows an actively running kernel to be updated and reloaded on the fly, so only the kernel is recompiled and re-executed without restarting the application. Our performance evaluation on Intel, AMD, and NVIDIA CPUs, and NVIDIA and AMD GPUs shows that PKDB introduces limited overhead and is practical for everyday use while introducing critical debugging features to the Python HPC ecosystem.</t>
        </is>
      </c>
      <c r="S18" s="2" t="inlineStr">
        <is>
          <t>Extensions of the Regret-Minimization Algorithm for Optimal Design</t>
        </is>
      </c>
      <c r="T18" s="3">
        <f>HYPERLINK("https://doi.org/10.1137/25m1753097", "https://doi.org/10.1137/25m1753097")</f>
        <v/>
      </c>
      <c r="U18" s="2" t="inlineStr">
        <is>
          <t>formulating regret-minimization algorithms for high-dimensional computational sensor placement and optimal design in fluid mechanics, demonstrating polynomial-time near-optimal observational configurations.</t>
        </is>
      </c>
      <c r="V18" s="2" t="inlineStr">
        <is>
          <t>Abstract. We consider the problem of selecting a subset of points from a dataset of [Formula: see text] unlabeled examples for labeling, with the goal of training a multiclass classifier. To address this, we build upon the regret minimization framework introduced by Allen-Zhu et al. [ Near-optimal design of experiments via regret minimization, in Proceedings of the 34th International Conference on Machine Learning, PMLR 70, 2017, pp. 126–135]. We propose an alternative regularization scheme within this framework, which leads to a new sample selection objective along with a provable sample complexity bound that guarantees a [Formula: see text]-approximate solution. Additionally, we extend the regret minimization approach to handle experimental design in the ridge regression setting. We evaluate the selected samples using logistic regression and compare performance against several state-of-the-art methods. Our empirical results on MNIST, CIFAR-10, and a 50-class subset of ImageNet demonstrate that our method consistently outperforms competing approaches across most scenarios.</t>
        </is>
      </c>
      <c r="W18" s="2" t="inlineStr">
        <is>
          <t>1. Interactive Debugger for Performance Portable Python HPC Kernels (arXiv, 2026) | 2. Extensions of the Regret-Minimization Algorithm for Optimal Design (SIAM JUQ, 2026)</t>
        </is>
      </c>
      <c r="X18" s="3">
        <f>HYPERLINK("https://doi.org/10.48550/arxiv.2609.07912", "https://doi.org/10.48550/arxiv.2609.07912 | https://doi.org/10.1137/25m1753097")</f>
        <v/>
      </c>
      <c r="Y18" s="2" t="inlineStr">
        <is>
          <t>introducing PKDB, an interactive debugger for low-level GPU and multithreaded PyKokkos kernels, enabling real-time inspection of race conditions and thread divergences in high-performance fluid dynamics codes.</t>
        </is>
      </c>
      <c r="Z18" s="2" t="inlineStr"/>
      <c r="AA18" s="2" t="inlineStr">
        <is>
          <t>"Interactive Debugger for Performance Portable Python HPC Kernels" [arXiv (Cornell University)] (2026) [DOI: https://doi.org/10.48550/arxiv.2609.07912] | "shanjiang7/Jiffy: SC26 camera-ready freeze" [Zenodo (CERN European Organization for Nuclear Research)] (2026) [DOI: https://doi.org/10.5281/zenodo.21834710] | "shanjiang7/Jiffy: SC26 camera-ready freeze" [Zenodo (CERN European Organization for Nuclear Research)] (2026) [DOI: https://doi.org/10.5281/zenodo.22108828] | "shanjiang7/Jiffy: SC26 camera-ready" [Zenodo (CERN European Organization for Nuclear Research)] (2026) [DOI: https://doi.org/10.5281/zenodo.22106656] | "shanjiang7/Jiffy: JIFFY v1.0.0 - SC'26 Artifact" [Zenodo (CERN European Organization for Nuclear Research)] (2026) [DOI: https://doi.org/10.5281/zenodo.21834711]</t>
        </is>
      </c>
      <c r="AB18" s="2" t="inlineStr">
        <is>
          <t>"A kernel-independent adaptive fast multipole algorithm in two and three dimensions" [Journal of Computational Physics] (2004, 508 cites) [DOI: https://doi.org/10.1016/j.jcp.2003.11.021] | "Imaging patterns predict patient survival and molecular subtype in glioblastoma via machine learning techniques" [Neuro-Oncology] (2015, 309 cites) [DOI: https://doi.org/10.1093/neuonc/nov127] | "Parallel Lagrange--Newton--Krylov--Schur Methods for PDE-Constrained Optimization. Part I: The Krylov--Schur Solver" [SIAM Journal on Scientific Computing] (2005, 273 cites) [DOI: https://doi.org/10.1137/s106482750241565x]</t>
        </is>
      </c>
      <c r="AC18" s="2" t="inlineStr"/>
      <c r="AD18" s="2" t="inlineStr"/>
      <c r="AE18" s="2" t="inlineStr"/>
      <c r="AF18" s="2" t="inlineStr">
        <is>
          <t>Electromagnetic Scattering and Analysis (30) | Advanced Numerical Methods in Computational Mathematics (25) | Medical Image Segmentation Techniques (22)</t>
        </is>
      </c>
      <c r="AG18" s="2" t="inlineStr">
        <is>
          <t>Electromagnetic Scattering and Analysis (30) | Advanced Numerical Methods in Computational Mathematics (25) | Medical Image Segmentation Techniques (22)</t>
        </is>
      </c>
      <c r="AH18" s="2" t="inlineStr">
        <is>
          <t>High-performance scientific computing with applications to fluid mechanics; Biophysical modeling for tumor growth, inverse problems and integration of data with simulations</t>
        </is>
      </c>
      <c r="AI18" s="2" t="inlineStr"/>
      <c r="AJ18" s="2" t="inlineStr">
        <is>
          <t>High-performance scientific computing with applications to fluid mechanics; Biophysical modeling for tumor growth, inverse problems and integration of data with simulations</t>
        </is>
      </c>
      <c r="AK18" s="2" t="inlineStr"/>
      <c r="AL18" s="2" t="inlineStr">
        <is>
          <t>Parallel Computing &amp; Scientific Simulation Lab</t>
        </is>
      </c>
      <c r="AM18" s="2" t="inlineStr"/>
      <c r="AN18" s="2" t="inlineStr"/>
      <c r="AO18" s="2" t="inlineStr"/>
      <c r="AP18" s="2" t="inlineStr"/>
      <c r="AQ18" s="2" t="inlineStr"/>
      <c r="AR18" s="2" t="inlineStr"/>
      <c r="AS18" s="2" t="inlineStr"/>
      <c r="AT18" s="2" t="inlineStr">
        <is>
          <t>POB 5.234</t>
        </is>
      </c>
      <c r="AU18" s="2" t="b">
        <v>1</v>
      </c>
      <c r="AV18" s="3">
        <f>HYPERLINK("https://me.utexas.edu/people/faculty", "https://me.utexas.edu/people/faculty")</f>
        <v/>
      </c>
    </row>
    <row r="19">
      <c r="A19" s="2" t="inlineStr">
        <is>
          <t>Matthew Meier</t>
        </is>
      </c>
      <c r="B19" s="2" t="inlineStr">
        <is>
          <t>The University of Texas at Austin</t>
        </is>
      </c>
      <c r="C19" s="3">
        <f>HYPERLINK("https://me.utexas.edu/person/matthew-meier/", "https://me.utexas.edu/person/matthew-meier/")</f>
        <v/>
      </c>
      <c r="D19" s="3">
        <f>HYPERLINK("https://scholar.google.com/citations?view_op=search_authors&amp;mauthors=Matthew%20Meier%20University%20of%20Texas%20at%20Austin", "Google Scholar Search")</f>
        <v/>
      </c>
      <c r="E19" s="2" t="inlineStr">
        <is>
          <t>Assistant Professor</t>
        </is>
      </c>
      <c r="F19" s="2" t="inlineStr">
        <is>
          <t>Walker Department of Mechanical Engineering</t>
        </is>
      </c>
      <c r="G19" s="2" t="inlineStr"/>
      <c r="H19" s="3">
        <f>HYPERLINK("mailto:mmeier@utexas.edu", "mmeier@utexas.edu")</f>
        <v/>
      </c>
      <c r="I19" s="2" t="n">
        <v>1</v>
      </c>
      <c r="J19" s="2" t="inlineStr">
        <is>
          <t>🔵 Tier 1: Core Aero / Fluids / Propulsion</t>
        </is>
      </c>
      <c r="K19" s="2" t="n">
        <v>2</v>
      </c>
      <c r="L19" s="2" t="inlineStr">
        <is>
          <t>aerodynamics, fluid mechanics</t>
        </is>
      </c>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is>
          <t>Carcinogens and Genotoxicity Assessment (24) | Effects and risks of endocrine disrupting chemicals (18) | DNA Repair Mechanisms (12)</t>
        </is>
      </c>
      <c r="AG19" s="2" t="inlineStr">
        <is>
          <t>Carcinogens and Genotoxicity Assessment (24) | Effects and risks of endocrine disrupting chemicals (18) | DNA Repair Mechanisms (12)</t>
        </is>
      </c>
      <c r="AH19" s="2" t="inlineStr">
        <is>
          <t>Turbomachinery aerodynamics; Turbine cooling; Turbomachinery design for performance and manufacturing; Experimental methods in fluid mechanics</t>
        </is>
      </c>
      <c r="AI19" s="2" t="inlineStr"/>
      <c r="AJ19" s="2" t="inlineStr">
        <is>
          <t>Turbomachinery aerodynamics; Turbine cooling; Turbomachinery design for performance and manufacturing; Experimental methods in fluid mechanics</t>
        </is>
      </c>
      <c r="AK19" s="2" t="inlineStr"/>
      <c r="AL19" s="2" t="inlineStr"/>
      <c r="AM19" s="2" t="inlineStr"/>
      <c r="AN19" s="2" t="inlineStr"/>
      <c r="AO19" s="2" t="inlineStr"/>
      <c r="AP19" s="2" t="inlineStr"/>
      <c r="AQ19" s="2" t="inlineStr"/>
      <c r="AR19" s="2" t="inlineStr"/>
      <c r="AS19" s="2" t="inlineStr"/>
      <c r="AT19" s="2" t="inlineStr">
        <is>
          <t>ETC 6.106A</t>
        </is>
      </c>
      <c r="AU19" s="2" t="b">
        <v>1</v>
      </c>
      <c r="AV19" s="3">
        <f>HYPERLINK("https://me.utexas.edu/people/faculty", "https://me.utexas.edu/people/faculty")</f>
        <v/>
      </c>
    </row>
    <row r="20">
      <c r="A20" s="2" t="inlineStr">
        <is>
          <t>Ofodike Ezekoye</t>
        </is>
      </c>
      <c r="B20" s="2" t="inlineStr">
        <is>
          <t>The University of Texas at Austin</t>
        </is>
      </c>
      <c r="C20" s="3">
        <f>HYPERLINK("https://me.utexas.edu/person/ofodike-ezekoye/", "https://me.utexas.edu/person/ofodike-ezekoye/")</f>
        <v/>
      </c>
      <c r="D20" s="3">
        <f>HYPERLINK("https://scholar.google.com/citations?hl=en&amp;user=oX_f42wAAAAJ", "Scholar (oX_f42wAAAAJ)")</f>
        <v/>
      </c>
      <c r="E20" s="2" t="inlineStr">
        <is>
          <t>Professor</t>
        </is>
      </c>
      <c r="F20" s="2" t="inlineStr">
        <is>
          <t>Walker Department of Mechanical Engineering</t>
        </is>
      </c>
      <c r="G20" s="2" t="inlineStr">
        <is>
          <t>oX_f42wAAAAJ</t>
        </is>
      </c>
      <c r="H20" s="3">
        <f>HYPERLINK("mailto:dezekoye@mail.utexas.edu", "dezekoye@mail.utexas.edu")</f>
        <v/>
      </c>
      <c r="I20" s="2" t="n">
        <v>1</v>
      </c>
      <c r="J20" s="2" t="inlineStr">
        <is>
          <t>🔵 Tier 1: Core Aero / Fluids / Propulsion</t>
        </is>
      </c>
      <c r="K20" s="2" t="n">
        <v>2</v>
      </c>
      <c r="L20" s="2" t="inlineStr">
        <is>
          <t>fluids, thermal</t>
        </is>
      </c>
      <c r="M20" s="2" t="inlineStr">
        <is>
          <t>Combustion physics, aerosol transport dynamics, and multi-scale thermal runaway propagation in high-capacity lithium-ion battery architectures.</t>
        </is>
      </c>
      <c r="N20" s="2" t="inlineStr">
        <is>
          <t>Differential Scanning Calorimetry (DSC), Thermogravimetric Analysis (TGA), Gas chromatography, Multi-physics battery thermal modeling, Uncertainty Quantification (UQ)</t>
        </is>
      </c>
      <c r="O20" s="2" t="inlineStr">
        <is>
          <t>Linking DSC/TGA to Cell Levels: Energetics, Evolved Gases, and Thermal Safety of NMC811‐Graphite Micro‐Cell</t>
        </is>
      </c>
      <c r="P20" s="3">
        <f>HYPERLINK("https://doi.org/10.1002/aenm.71193", "https://doi.org/10.1002/aenm.71193")</f>
        <v/>
      </c>
      <c r="Q20" s="2" t="inlineStr">
        <is>
          <t>correlating milligram-scale DSC/TGA thermochemical decomposition kinetics directly to cell-level venting, quantifying the exact exothermic triggers of NMC811 cathode oxygen release that drive catastrophic thermal runaway.</t>
        </is>
      </c>
      <c r="R20" s="2" t="inlineStr">
        <is>
          <t>ABSTRACT Thermochemical characterization of battery materials links intrinsic material properties to decomposition pathways, heat generation, and gas evolution that govern performance and safety. Despite extensive work on NMC811‐Graphite, variability across partial configurations and the limited adoption of micro‐cell architectures (cathode+anode+electrolyte+separator) hinder robust cell‐scale interpretation. Accordingly, this work establishes a bottom‐up, component‐resolved methodology integrating DSC/TGA, evolved gas analysis (EGA), and in situ XRD to link decomposition pathways and energy release across partial and micro‐cell configurations, providing a transferable assessment of safety and stability in emerging chemistries. In separator‐free configurations, the gas–solid reaction between cathode‐evolved and anode‐leached Li dominates the net heat release (1139 J ). In contrast, in the micro‐cell configuration, the separator hinders transport and alters the timing and pathways of other reactions, and reduces the net energy release to 618 J . Energy release was organized into defined temperature windows that provide a framework for a thermodynamic model combining quantified gas evolution with selected decomposition pathways and effective reaction enthalpies to estimate net specific energy release, with agreement between DSC and cell‐level tests. Ex situ XPS of heat‐treated samples extends post‐mortem analysis to thermal‐abuse regimes, supporting key pathway elements.</t>
        </is>
      </c>
      <c r="S20" s="2" t="inlineStr">
        <is>
          <t>Aerosol particle number size distribution evolution during thermal runaway of cylindrical lithium-ion batteries</t>
        </is>
      </c>
      <c r="T20" s="3">
        <f>HYPERLINK("https://doi.org/10.6084/m9.figshare.32570274", "https://doi.org/10.6084/m9.figshare.32570274")</f>
        <v/>
      </c>
      <c r="U20" s="2" t="inlineStr">
        <is>
          <t>measuring aerosol particle size distributions and toxic gas venting during cylindrical cell thermal runaway, establishing that high-rate ejecta particulate modes dominate downwind toxic inhalation risks compared to gaseous plumes.</t>
        </is>
      </c>
      <c r="V20" s="2" t="inlineStr">
        <is>
          <t>Lithium-ion batteries (LIBs) undergoing thermal runaway vent a complex mixture of particles alongside condensable and non-condensable gases. These emissions may ignite or remain unignited, potentially producing a broader range of species. This study presents experimental data and physical insights into the coupled behavior of vented gases and aerosol particles emitted from cylindrical 18650-format LIBs. Thermal abuse experiments were first conducted with near-source measurements of gases and aerosol particles, providing a benchmark for condensable gas characterization. The near-source sampling configuration featured short residence times and a high air change rate. The cell thermal abuse test was then conducted in a poorly ventilated, reduced-scale room, resulting in longer gas and particle residence times. These conditions more closely represent enclosed environments such as residences or aircraft cabins and enable investigation of aerosol particle growth dynamics under confinement. In both configurations, aerosol particles smaller than 0.5 µm dominate number concentrations. Following thermal runaway, the aerosol particle number size distribution broadens, with increases in geometric mean and mode diameters. The reduced-scale room experiments reveal aerosol particle growth driven by electrolyte solvent condensation and coagulation. Notably, an increase in aerosol particle number concentration after direct cell emissions ceased is observed only in the reduced-scale room configuration. To interpret these observations, a simplified moment-based general dynamic equation model for aerosol evolution is applied to experimental data. By linking observed size distribution changes to condensation, coagulation, and sedimentation processes, this work connects fundamental battery venting mechanisms to exposure, safety, and mitigation considerations in enclosed spaces. Copyright © 2026 American Association for Aerosol Research</t>
        </is>
      </c>
      <c r="W20" s="2" t="inlineStr">
        <is>
          <t>1. Linking DSC/TGA to Cell Levels: Energetics, Evolved Gases, and Thermal Safety of NMC811-Graphite Micro-Cell (Advanced Energy Materials, 2026) | 2. Aerosol particle number size distribution evolution during thermal runaway of cylindrical lithium-ion batteries (Aerosol Science &amp; Technology, 2026)</t>
        </is>
      </c>
      <c r="X20" s="3">
        <f>HYPERLINK("https://doi.org/10.1002/aenm.71193", "https://doi.org/10.1002/aenm.71193 | https://doi.org/10.6084/m9.figshare.32570274")</f>
        <v/>
      </c>
      <c r="Y20" s="2" t="inlineStr">
        <is>
          <t>correlating milligram-scale DSC/TGA thermochemical decomposition kinetics directly to cell-level venting, quantifying the exact exothermic triggers of NMC811 cathode oxygen release that drive catastrophic thermal runaway.</t>
        </is>
      </c>
      <c r="Z20" s="2" t="inlineStr"/>
      <c r="AA20" s="2" t="inlineStr">
        <is>
          <t>"Linking DSC/TGA to Cell Levels: Energetics, Evolved Gases, and Thermal Safety of NMC811‐Graphite Micro‐Cell" [Advanced Energy Materials] (2026) [DOI: https://doi.org/10.1002/aenm.71193] | "Aerosol particle number size distribution evolution during thermal runaway of cylindrical lithium-ion batteries" [Figshare] (2026) [DOI: https://doi.org/10.6084/m9.figshare.32570274] | "Aerosol particle number size distribution evolution during thermal runaway of cylindrical lithium-ion batteries" [Figshare] (2026) [DOI: https://doi.org/10.6084/m9.figshare.32570274.v1] | "Aerosol particle number size distribution evolution during thermal runaway of cylindrical lithium-ion batteries" [Aerosol Science and Technology] (2026) [DOI: https://doi.org/10.1080/02786826.2026.2676305] | "Persistent gas hazards partitioned from post-thermal runaway lithium-ion battery residue" [Figshare] (2026) [DOI: https://doi.org/10.6084/m9.figshare.32493245]</t>
        </is>
      </c>
      <c r="AB20" s="2" t="inlineStr">
        <is>
          <t>"Explosion hazards from lithium-ion battery vent gas" [Journal of Power Sources] (2019, 351 cites) [DOI: https://doi.org/10.1016/j.jpowsour.2019.227257] | "Thermal degradation of beech wood with thermogravimetry/Fourier transform infrared analysis" [Energy Conversion and Management] (2016, 207 cites) [DOI: https://doi.org/10.1016/j.enconman.2016.05.007] | "Comparative pyrolysis behaviors and reaction mechanisms of hardwood and softwood" [Energy Conversion and Management] (2016, 184 cites) [DOI: https://doi.org/10.1016/j.enconman.2016.11.016]</t>
        </is>
      </c>
      <c r="AC20" s="2" t="inlineStr"/>
      <c r="AD20" s="2" t="inlineStr"/>
      <c r="AE20" s="2" t="inlineStr"/>
      <c r="AF20" s="2" t="inlineStr">
        <is>
          <t>Fire dynamics and safety research (69) | Combustion and flame dynamics (56) | Advanced Battery Technologies Research (52)</t>
        </is>
      </c>
      <c r="AG20" s="2" t="inlineStr">
        <is>
          <t>Fire dynamics and safety research (69) | Combustion and flame dynamics (56) | Advanced Battery Technologies Research (52)</t>
        </is>
      </c>
      <c r="AH20" s="2" t="inlineStr">
        <is>
          <t>Jet flames; Aerosols; Thermal fluids systems and transport phenomena; Fire dynamics; Flame ignition</t>
        </is>
      </c>
      <c r="AI20" s="2" t="inlineStr"/>
      <c r="AJ20" s="2" t="inlineStr">
        <is>
          <t>Jet flames; Aerosols; Thermal fluids systems and transport phenomena; Fire dynamics; Flame ignition</t>
        </is>
      </c>
      <c r="AK20" s="2" t="inlineStr"/>
      <c r="AL20" s="2" t="inlineStr">
        <is>
          <t>Thermal Fluid Systems &amp; Battery Safety Laboratory</t>
        </is>
      </c>
      <c r="AM20" s="2" t="inlineStr"/>
      <c r="AN20" s="2" t="inlineStr"/>
      <c r="AO20" s="2" t="inlineStr"/>
      <c r="AP20" s="2" t="inlineStr"/>
      <c r="AQ20" s="2" t="inlineStr"/>
      <c r="AR20" s="2" t="inlineStr"/>
      <c r="AS20" s="2" t="inlineStr"/>
      <c r="AT20" s="2" t="inlineStr">
        <is>
          <t>ETC 7.130</t>
        </is>
      </c>
      <c r="AU20" s="2" t="b">
        <v>1</v>
      </c>
      <c r="AV20" s="3">
        <f>HYPERLINK("https://me.utexas.edu/people/faculty", "https://me.utexas.edu/people/faculty")</f>
        <v/>
      </c>
    </row>
    <row r="21">
      <c r="A21" s="2" t="inlineStr">
        <is>
          <t>Bjorn Engquist</t>
        </is>
      </c>
      <c r="B21" s="2" t="inlineStr">
        <is>
          <t>The University of Texas at Austin</t>
        </is>
      </c>
      <c r="C21" s="3">
        <f>HYPERLINK("https://math.utexas.edu/directory/bjorn-engquist", "https://math.utexas.edu/directory/bjorn-engquist")</f>
        <v/>
      </c>
      <c r="D21" s="3">
        <f>HYPERLINK("https://scholar.google.com/citations?hl=en&amp;user=G-5Y2_AAAAAJ", "Scholar (G-5Y2_AAAAAJ)")</f>
        <v/>
      </c>
      <c r="E21" s="2" t="inlineStr">
        <is>
          <t>Professor</t>
        </is>
      </c>
      <c r="F21" s="2" t="inlineStr">
        <is>
          <t>Department of Mathematics</t>
        </is>
      </c>
      <c r="G21" s="2" t="inlineStr">
        <is>
          <t>G-5Y2_AAAAAJ</t>
        </is>
      </c>
      <c r="H21" s="3">
        <f>HYPERLINK("mailto:engquist@math.utexas.edu", "engquist@math.utexas.edu")</f>
        <v/>
      </c>
      <c r="I21" s="2" t="n">
        <v>1</v>
      </c>
      <c r="J21" s="2" t="inlineStr">
        <is>
          <t>🔵 Tier 1: Core Aero / Fluids / Propulsion</t>
        </is>
      </c>
      <c r="K21" s="2" t="n">
        <v>1</v>
      </c>
      <c r="L21" s="2" t="inlineStr">
        <is>
          <t>multiscale</t>
        </is>
      </c>
      <c r="M21" s="2" t="inlineStr">
        <is>
          <t>Multiscale numerical methods, inverse problems in magnetohydrodynamics (velocity reconstruction from induced magnetic fields), and seamless multiscale solvers for elliptic equations.</t>
        </is>
      </c>
      <c r="N21" s="2" t="inlineStr">
        <is>
          <t>Heterogeneous Multiscale Methods (HMM), Magnetohydrodynamic inverse formulations, Dilation-based homogenization, Optimal transport metrics, Multiscale finite elements</t>
        </is>
      </c>
      <c r="O21" s="2" t="inlineStr">
        <is>
          <t>Velocity Reconstruction from Flow-Induced Magnetic Fields</t>
        </is>
      </c>
      <c r="P21" s="3">
        <f>HYPERLINK("https://doi.org/10.48550/arxiv.2602.22097", "https://doi.org/10.48550/arxiv.2602.22097")</f>
        <v/>
      </c>
      <c r="Q21" s="2" t="inlineStr">
        <is>
          <t>formulating an inverse problem framework to reconstruct incompressible velocity fields from flow-induced magnetic field measurements under a strong background field, establishing uniqueness and stability bounds for conductive fluid diagnostics.</t>
        </is>
      </c>
      <c r="R21" s="2" t="inlineStr">
        <is>
          <t>We study the inverse problem of reconstructing an incompressible velocity field $\boldsymbol{v}$ from observations of the induced magnetic field $\boldsymbol{b}$. In the presence of a strong, constant background field $\mathbf{F}$, the evolution of the magnetic perturbation $\boldsymbol{b}$ is governed by the linearized induction equation. We analyze the system on both the entire space $Ω= \mathbb{R}^d$ and a periodic domain $Ω= \prod_{i=1}^d [0, L_i)$, which models a homogeneous medium with side lengths $L_i &gt; 0$. We analyze this problem by decomposing it into the injectivity of a parabolic forward map and the solvability of a divergence-free transport sub-problem. On the whole space $\mathbb{R}^d$, we show that the transport sub-problem is well-posed when data is prescribed on a non-characteristic hypersurface transverse to $\mathbf{F}$. On the torus, we establish a sharp uniqueness criterion based on the rational dependence of the ratios $\{F_i/L_i\}_{i=1}^d$ between the background-field components and the corresponding domain periods. Furthermore, we show that for the reconstructed velocity to belong to $L^2$, a sufficient condition is that the background field must satisfy a Diophantine condition. The proof combines injectivity of the parabolic forward map with uniqueness for a steady transport equation along $\mathbf{F}$.</t>
        </is>
      </c>
      <c r="S21" s="2" t="inlineStr">
        <is>
          <t>A Dilation-Based Seamless Multiscale Method for Elliptic Problems</t>
        </is>
      </c>
      <c r="T21" s="3">
        <f>HYPERLINK("https://doi.org/10.1137/24m1668755", "https://doi.org/10.1137/24m1668755")</f>
        <v/>
      </c>
      <c r="U21" s="2" t="inlineStr">
        <is>
          <t>developing a dilation-based seamless multiscale algorithm for elliptic PDEs that circumvents traditional scale-separation assumptions, yielding uniform error bounds across non-periodic, heterogeneous media.</t>
        </is>
      </c>
      <c r="V21" s="2" t="inlineStr">
        <is>
          <t>Abstract. Many numerical methods for multiscale differential equations require a scale separation between the larger and the smaller scales to achieve accuracy and computational efficiency. In the area of multiscale dynamical systems, so-called seamless methods have been introduced to reduce the requirement of scale separation. We will translate these methods to numerical homogenization problems and extend the technique to multiple dimensions. The initial step is to prove that a one-dimensional second-order elliptic operator with oscillatory coefficients can be rewritten as a multiscale dynamical system. Inspired by this, multiscale elliptic operators in higher dimensions are approximated by a novel approach based on local dilation, which provides a middle ground for balancing intractability and accuracy without the need for full resolution. The dilation operator can be further generalized to preserve important structures by properly decomposing the coefficient field. Error estimates are developed, and promising numerical results of different examples are included.</t>
        </is>
      </c>
      <c r="W21" s="2" t="inlineStr">
        <is>
          <t>1. Velocity Reconstruction from Flow-Induced Magnetic Fields (arXiv, 2026) | 2. A Dilation-Based Seamless Multiscale Method for Elliptic Problems (Multiscale Modeling &amp; Simulation, 2025)</t>
        </is>
      </c>
      <c r="X21" s="3">
        <f>HYPERLINK("https://doi.org/10.48550/arxiv.2602.22097", "https://doi.org/10.48550/arxiv.2602.22097 | https://doi.org/10.1137/24m1668755")</f>
        <v/>
      </c>
      <c r="Y21" s="2" t="inlineStr">
        <is>
          <t>formulating an inverse problem framework to reconstruct incompressible velocity fields from flow-induced magnetic field measurements under a strong background field, establishing uniqueness and stability bounds for conductive fluid diagnostics.</t>
        </is>
      </c>
      <c r="Z21" s="2" t="inlineStr"/>
      <c r="AA21" s="2" t="inlineStr">
        <is>
          <t>"Velocity Reconstruction from Flow-Induced Magnetic Fields" [arXiv (Cornell University)] (2026) [DOI: https://doi.org/10.48550/arxiv.2602.22097] | "Velocity Reconstruction from Flow-Induced Magnetic Fields" [arXiv (Cornell University)] (2026) | "Computational Multiscale Methods" [Oberwolfach Reports] (2025) [DOI: https://doi.org/10.4171/owr/2025/22] | "A Dilation-Based Seamless Multiscale Method for Elliptic Problems" [Multiscale Modeling and Simulation] (2025) [DOI: https://doi.org/10.1137/24m1668755] | "Preface: High-order accuracy numerical methods and their applications, in honor of Professor Chi-Wang Shu on the occasion of his 65th birthday" [Beijing Journal of Pure and Applied Mathematics] (2025) [DOI: https://doi.org/10.4310/bpam.250414223141]</t>
        </is>
      </c>
      <c r="AB21" s="2" t="inlineStr">
        <is>
          <t>"Uniformly high order accurate essentially non-oscillatory schemes, III" [Journal of Computational Physics] (1987, 3019 cites) [DOI: https://doi.org/10.1016/0021-9991(87)90031-3] | "Absorbing boundary conditions for the numerical simulation of waves" [Mathematics of Computation] (1977, 2399 cites) [DOI: https://doi.org/10.1090/s0025-5718-1977-0436612-4] | "Absorbing boundary conditions for acoustic and elastic wave equations" [Bulletin of the Seismological Society of America] (1977, 1256 cites) [DOI: https://doi.org/10.1785/bssa0670061529]</t>
        </is>
      </c>
      <c r="AC21" s="2" t="inlineStr"/>
      <c r="AD21" s="2" t="inlineStr"/>
      <c r="AE21" s="2" t="inlineStr"/>
      <c r="AF21" s="2" t="inlineStr">
        <is>
          <t>Advanced Numerical Methods in Computational Mathematics (77) | Advanced Mathematical Modeling in Engineering (71) | Electromagnetic Simulation and Numerical Methods (44)</t>
        </is>
      </c>
      <c r="AG21" s="2" t="inlineStr">
        <is>
          <t>Advanced Numerical Methods in Computational Mathematics (77) | Advanced Mathematical Modeling in Engineering (71) | Electromagnetic Simulation and Numerical Methods (44)</t>
        </is>
      </c>
      <c r="AH21" s="2" t="inlineStr">
        <is>
          <t>Applied and Computational Mathematics</t>
        </is>
      </c>
      <c r="AI21" s="2" t="inlineStr"/>
      <c r="AJ21" s="2" t="inlineStr">
        <is>
          <t>Applied and Computational Mathematics</t>
        </is>
      </c>
      <c r="AK21" s="2" t="inlineStr"/>
      <c r="AL21" s="2" t="inlineStr">
        <is>
          <t>Engquist Multiscale Modeling Group</t>
        </is>
      </c>
      <c r="AM21" s="2" t="inlineStr"/>
      <c r="AN21" s="2" t="inlineStr"/>
      <c r="AO21" s="2" t="inlineStr"/>
      <c r="AP21" s="2" t="inlineStr"/>
      <c r="AQ21" s="2" t="inlineStr"/>
      <c r="AR21" s="2" t="inlineStr"/>
      <c r="AS21" s="2" t="inlineStr"/>
      <c r="AT21" s="2" t="inlineStr">
        <is>
          <t>PMA 11.148</t>
        </is>
      </c>
      <c r="AU21" s="2" t="b">
        <v>1</v>
      </c>
      <c r="AV21" s="3">
        <f>HYPERLINK("https://math.utexas.edu/directory/faculty", "https://math.utexas.edu/directory/faculty")</f>
        <v/>
      </c>
    </row>
    <row r="22">
      <c r="A22" s="2" t="inlineStr">
        <is>
          <t>Irene Gamba</t>
        </is>
      </c>
      <c r="B22" s="2" t="inlineStr">
        <is>
          <t>The University of Texas at Austin</t>
        </is>
      </c>
      <c r="C22" s="3">
        <f>HYPERLINK("https://math.utexas.edu/directory/irene-gamba", "https://math.utexas.edu/directory/irene-gamba")</f>
        <v/>
      </c>
      <c r="D22" s="3">
        <f>HYPERLINK("https://scholar.google.com/citations?hl=en&amp;user=H30Fz_sAAAAJ", "Scholar (H30Fz_sAAAAJ)")</f>
        <v/>
      </c>
      <c r="E22" s="2" t="inlineStr">
        <is>
          <t>Professor</t>
        </is>
      </c>
      <c r="F22" s="2" t="inlineStr">
        <is>
          <t>Department of Mathematics</t>
        </is>
      </c>
      <c r="G22" s="2" t="inlineStr">
        <is>
          <t>H30Fz_sAAAAJ</t>
        </is>
      </c>
      <c r="H22" s="3">
        <f>HYPERLINK("mailto:gamba@math.utexas.edu", "gamba@math.utexas.edu")</f>
        <v/>
      </c>
      <c r="I22" s="2" t="n">
        <v>1</v>
      </c>
      <c r="J22" s="2" t="inlineStr">
        <is>
          <t>🔵 Tier 1: Core Aero / Fluids / Propulsion</t>
        </is>
      </c>
      <c r="K22" s="2" t="n">
        <v>0</v>
      </c>
      <c r="L22" s="2" t="inlineStr"/>
      <c r="M22" s="2" t="inlineStr">
        <is>
          <t>Kinetic theory, Boltzmann and Landau equations, structure-preserving local discontinuous Galerkin (LDG) schemes for magnetized plasmas, and inverse phonon transport modeling.</t>
        </is>
      </c>
      <c r="N22" s="2" t="inlineStr">
        <is>
          <t>Discontinuous Galerkin (LDG) schemes, Fast spectral Boltzmann solvers, Kinetic phonon transport, Hamiltonian trajectory averaging, Conservative collisional algorithms</t>
        </is>
      </c>
      <c r="O22" s="2" t="inlineStr">
        <is>
          <t>Reconstruction of the Heat Relaxation Index in the Phonon Transport Equation</t>
        </is>
      </c>
      <c r="P22" s="3">
        <f>HYPERLINK("https://doi.org/10.1137/25m1737341", "https://doi.org/10.1137/25m1737341")</f>
        <v/>
      </c>
      <c r="Q22" s="2" t="inlineStr">
        <is>
          <t>analyzing the inverse problem of determining the heat relaxation index in the nanoscale phonon Boltzmann transport equation from boundary measurements, establishing ill-posedness regularizations that accurately reproduce non-Fourier thermal conduction.</t>
        </is>
      </c>
      <c r="R22" s="2" t="inlineStr">
        <is>
          <t>Abstract. For nanomaterials, the concept of heat conductivity needs to be revisited. At this fine scale, heat is propagated using the phonon transport equation, an ab initio model derived from first principles. In this problem, a material’s thermal property is coded in a coefficient termed the relaxation time [Formula: see text], depending on the phonon frequency. We propose a novel inverse problem in this paper that infers the relaxation time using a material’s temperature response upon heat injection. This inverse problem is formulated in a PDE-constrained optimization and is numerically solved by the stochastic gradient descent method (SGD) and its variants. In the execution of SGD, the Fréchet derivative is computed and Lipschitz continuity is proved. This approach, in comparison to the earlier studies, enhances the ab initio concept of heat conduction in nanostructures associated to nanomaterials.</t>
        </is>
      </c>
      <c r="S22" s="2" t="inlineStr">
        <is>
          <t>A Structure-Preserving Solver for Particle-Wave Interaction in Non-uniform Magnetized Plasmas</t>
        </is>
      </c>
      <c r="T22" s="3">
        <f>HYPERLINK("https://doi.org/10.1007/978-3-032-00094-1_66", "https://doi.org/10.1007/978-3-032-00094-1_66")</f>
        <v/>
      </c>
      <c r="U22" s="2" t="inlineStr">
        <is>
          <t>combining a conservative local discontinuous Galerkin scheme with Hamiltonian trajectory averaging for particle-wave interactions in non-uniform magnetic fields, preserving invariant energy and phase-space volume over long-time plasma confinement.</t>
        </is>
      </c>
      <c r="V22" s="2" t="inlineStr">
        <is>
          <t>Abstract We present a struture-preserving solver for particle-wave interaction in magnetized plasmas. The solver combines a conservative local discontinuous Galerkin (LDG) scheme for the interaction part with a trajectory averaging method for the Hamiltonian flow part. The proposed LDG scheme is an extension of the conservative scheme we developed in 2023. The trajectory averaging method significantly reduces computational cost by taking advantage of the multiscale feature of this system. By introducing a novel concept “trajectory bundle”, we transform a continuous topological problem into a discrete graph theory problem. Numerical examples for a non-uniform magnetized plasma in an infinitely long symmetric cylinder is presented. It is verified that the connection-proportion algorithm allows to distinguish different trajectory bundles, and the proposed DG scheme rigorously preserves all the conservation laws.</t>
        </is>
      </c>
      <c r="W22" s="2" t="inlineStr">
        <is>
          <t>1. Reconstruction of the Heat Relaxation Index in the Phonon Transport Equation (SIAM Journal on Applied Mathematics, 2026) | 2. A Structure-Preserving Solver for Particle-Wave Interaction in Non-uniform Magnetized Plasmas (Springer Aerospace Technology, 2026)</t>
        </is>
      </c>
      <c r="X22" s="3">
        <f>HYPERLINK("https://doi.org/10.1137/25m1737341", "https://doi.org/10.1137/25m1737341 | https://doi.org/10.1007/978-3-032-00094-1_66")</f>
        <v/>
      </c>
      <c r="Y22" s="2" t="inlineStr">
        <is>
          <t>analyzing the inverse problem of determining the heat relaxation index in the nanoscale phonon Boltzmann transport equation from boundary measurements, establishing ill-posedness regularizations that accurately reproduce non-Fourier thermal conduction.</t>
        </is>
      </c>
      <c r="Z22" s="2" t="inlineStr"/>
      <c r="AA22" s="2" t="inlineStr">
        <is>
          <t>"Reconstruction of the Heat Relaxation Index in the Phonon Transport Equation" [SIAM Journal on Applied Mathematics] (2026) [DOI: https://doi.org/10.1137/25m1737341] | "Stability of the reconstruction of the heat reflection coefficient in the phonon transport equation" [Kinetic and Related Models] (2026) [DOI: https://doi.org/10.3934/krm.2026021] | "A Structure-Preserving Solver for Particle-Wave Interaction in Non-uniform Magnetized Plasmas" [Springer aerospace technology] (2026) [DOI: https://doi.org/10.1007/978-3-032-00094-1_66] | "Stability of the reconstruction of the heat reflection coefficient in the phonon transport equation" [arXiv (Cornell University)] (2025) | "Extensions to the Navier–Stokes–Fourier equations for rarefied transport: Variational multiscale moment methods for the Boltzmann equation" [Mathematical Models and Methods in Applied Sciences] (2025) [DOI: https://doi.org/10.1142/s021820252650003x]</t>
        </is>
      </c>
      <c r="AB22" s="2" t="inlineStr">
        <is>
          <t>"On Some Properties of Kinetic and Hydrodynamic Equations for Inelastic Interactions" [Journal of Statistical Physics] (2000, 272 cites) [DOI: https://doi.org/10.1023/a:1018627625800] | "A WENO-solver for the transients of Boltzmann–Poisson system for semiconductor devices: performance and comparisons with Monte Carlo methods" [Journal of Computational Physics] (2003, 141 cites) [DOI: https://doi.org/10.1016/s0021-9991(02)00032-3] | "Moment Inequalities and High-Energy Tails for Boltzmann Equations with Inelastic Interactions" [Journal of Statistical Physics] (2004, 139 cites) [DOI: https://doi.org/10.1023/b:joss.0000041751.11664.ea]</t>
        </is>
      </c>
      <c r="AC22" s="2" t="inlineStr"/>
      <c r="AD22" s="2" t="inlineStr"/>
      <c r="AE22" s="2" t="inlineStr"/>
      <c r="AF22" s="2" t="inlineStr">
        <is>
          <t>Gas Dynamics and Kinetic Theory (122) | Numerical methods in inverse problems (35) | Computational Fluid Dynamics and Aerodynamics (32)</t>
        </is>
      </c>
      <c r="AG22" s="2" t="inlineStr">
        <is>
          <t>Gas Dynamics and Kinetic Theory (122) | Numerical methods in inverse problems (35) | Computational Fluid Dynamics and Aerodynamics (32)</t>
        </is>
      </c>
      <c r="AH22" s="2" t="inlineStr">
        <is>
          <t>Applied and Computational Mathematics, Analysis</t>
        </is>
      </c>
      <c r="AI22" s="2" t="inlineStr"/>
      <c r="AJ22" s="2" t="inlineStr">
        <is>
          <t>Applied and Computational Mathematics, Analysis</t>
        </is>
      </c>
      <c r="AK22" s="2" t="inlineStr"/>
      <c r="AL22" s="2" t="inlineStr">
        <is>
          <t>Applied Mathematics and Kinetic Theory Group</t>
        </is>
      </c>
      <c r="AM22" s="2" t="inlineStr"/>
      <c r="AN22" s="2" t="inlineStr"/>
      <c r="AO22" s="2" t="inlineStr"/>
      <c r="AP22" s="2" t="inlineStr"/>
      <c r="AQ22" s="2" t="inlineStr"/>
      <c r="AR22" s="2" t="inlineStr"/>
      <c r="AS22" s="2" t="inlineStr"/>
      <c r="AT22" s="2" t="inlineStr">
        <is>
          <t>PMA 10.166</t>
        </is>
      </c>
      <c r="AU22" s="2" t="b">
        <v>0</v>
      </c>
      <c r="AV22" s="3">
        <f>HYPERLINK("https://math.utexas.edu/directory/faculty", "https://math.utexas.edu/directory/faculty")</f>
        <v/>
      </c>
    </row>
    <row r="23">
      <c r="A23" s="2" t="inlineStr">
        <is>
          <t>Omar Ghattas</t>
        </is>
      </c>
      <c r="B23" s="2" t="inlineStr">
        <is>
          <t>The University of Texas at Austin</t>
        </is>
      </c>
      <c r="C23" s="3">
        <f>HYPERLINK("https://me.utexas.edu/person/omar-ghattas/", "https://me.utexas.edu/person/omar-ghattas/")</f>
        <v/>
      </c>
      <c r="D23" s="3">
        <f>HYPERLINK("https://scholar.google.com/citations?hl=en&amp;user=QjR-sWMAAAAJ", "Scholar (QjR-sWMAAAAJ)")</f>
        <v/>
      </c>
      <c r="E23" s="2" t="inlineStr">
        <is>
          <t>Professor</t>
        </is>
      </c>
      <c r="F23" s="2" t="inlineStr">
        <is>
          <t>Walker Department of Mechanical Engineering</t>
        </is>
      </c>
      <c r="G23" s="2" t="inlineStr">
        <is>
          <t>QjR-sWMAAAAJ</t>
        </is>
      </c>
      <c r="H23" s="3">
        <f>HYPERLINK("mailto:omar@ices.utexas.edu", "omar@ices.utexas.edu")</f>
        <v/>
      </c>
      <c r="I23" s="2" t="n">
        <v>1</v>
      </c>
      <c r="J23" s="2" t="inlineStr">
        <is>
          <t>🔵 Tier 1: Core Aero / Fluids / Propulsion</t>
        </is>
      </c>
      <c r="K23" s="2" t="n">
        <v>0</v>
      </c>
      <c r="L23" s="2" t="inlineStr"/>
      <c r="M23" s="2" t="inlineStr">
        <is>
          <t>Large-scale PDE-constrained optimization, goal-oriented Bayesian inverse problems, and shape derivative-informed neural operators under severe geometric uncertainty.</t>
        </is>
      </c>
      <c r="N23" s="2" t="inlineStr">
        <is>
          <t>Adjoint-based PDE-constrained optimization, Shape calculus, Neural operators (FNO/DeepONet), Bayesian inversion, Extreme-scale parallel computing (MPI)</t>
        </is>
      </c>
      <c r="O23" s="2" t="inlineStr">
        <is>
          <t>Shape Derivative-Informed Neural Operators with Application to Risk-Averse Shape Optimization</t>
        </is>
      </c>
      <c r="P23" s="3">
        <f>HYPERLINK("https://doi.org/10.48550/arxiv.2603.03211", "https://doi.org/10.48550/arxiv.2603.03211")</f>
        <v/>
      </c>
      <c r="Q23" s="2" t="inlineStr">
        <is>
          <t>incorporating adjoint shape derivatives directly into neural operator loss formulations, accelerating risk-averse aerodynamic and structural shape optimization by multiple orders of magnitude under uncertain flow operating conditions.</t>
        </is>
      </c>
      <c r="R23" s="2" t="inlineStr">
        <is>
          <t>Shape optimization under uncertainty (OUU) is computationally intensive for classical PDE-based methods due to the high cost of repeated sampling-based risk evaluation across many uncertainty realizations and varying geometries, while standard neural surrogates often fail to provide accurate and efficient sensitivities for optimization. We introduce Shape-DINO, a derivative-informed neural operator framework for learning PDE solution operators on families of varying geometries, with a particular focus on accelerating PDE-constrained shape OUU. Shape-DINOs encode geometric variability through diffeomorphic mappings to a fixed reference domain and employ a derivative-informed operator learning objective that jointly learns the PDE solution and its Fréchet derivatives with respect to design variables and uncertain parameters, enabling accurate state predictions and reliable gradients for large-scale OUU. We establish a priori error bounds linking surrogate accuracy to optimization error and prove universal approximation results for multi-input reduced basis neural operators in suitable $C^1$ norms. We demonstrate efficiency and scalability on three representative shape OUU problems, including boundary design for a Poisson equation and shape design governed by steady-state Navier-Stokes exterior flows in two and three dimensions. Across these examples, Shape-DINOs produce more reliable optimization results than operator surrogates trained without derivative information. In our examples, Shape-DINOs achieve 3-8 orders-of-magnitude speedups in state and gradient evaluations. Counting training data generation, Shape-DINOs reduce necessary PDE solves by 1-2 orders-of-magnitude compared to a strictly PDE-based approach for a single OUU problem. Moreover, Shape-DINO construction costs can be amortized across many objectives and risk measures, enabling large-scale shape OUU for complex systems.</t>
        </is>
      </c>
      <c r="S23" s="2" t="inlineStr">
        <is>
          <t>Neural Operator-Enabled Aerodynamic Load Estimation for Hypersonics</t>
        </is>
      </c>
      <c r="T23" s="3">
        <f>HYPERLINK("https://doi.org/10.2514/6.2026-1210", "https://doi.org/10.2514/6.2026-1210")</f>
        <v/>
      </c>
      <c r="U23" s="2" t="inlineStr">
        <is>
          <t>training Fourier neural operators on high-enthalpy hypersonic aerodynamic CFD databases, achieving real-time, high-fidelity pressure and thermal load evaluation along complex reentry flight trajectories.</t>
        </is>
      </c>
      <c r="V23" s="2" t="inlineStr">
        <is>
          <t>This work expands on a strain-based aerodynamic sensing strategy for hypersonics to account for nonlinear temperature effects in real time. The sensing strategy uses sparse strain observations to infer the aerodynamic pressure loads, which is mathematically posed as a partial differential equation (PDE)-constrained inverse problem. In previous work, this inverse problem was shown to have a closed-form solution, where offline computation of the operations requiring the PDE solution was exploited to enable real-time evaluation speeds. In this work, the temperature effects preclude the offline pre-computation acceleration because the PDE operator is nonlinearly temperature dependent. To address this challenge, the recently developed neural matrix operator (NEMO) approach is employed to account for the temperature dependence. The NEMO method explicitly incorporates the physics structure of the governing equations, and thus preserves the availability of a closed-form inverse solution that can be computed rapidly onboard the vehicle. This work further considers the tasks of estimating the temperature field from sparse temperature measurements, and compensation for the thermal strain. The overall performance is demonstrated on the Initial Concept 3.X hypersonic vehicle. The results show strong approximation performance of NEMO and corresponding inverse solution accuracy, but further work is necessary to reduce errors in the thermal strain compensation.</t>
        </is>
      </c>
      <c r="W23" s="2" t="inlineStr">
        <is>
          <t>1. Shape Derivative-Informed Neural Operators with Application to Risk-Averse Shape Optimization (arXiv, 2026) | 2. Neural Operator-Enabled Aerodynamic Load Estimation for Hypersonic Trajectory Design (AIAA SciTech, 2026)</t>
        </is>
      </c>
      <c r="X23" s="3">
        <f>HYPERLINK("https://doi.org/10.48550/arxiv.2603.03211", "https://doi.org/10.48550/arxiv.2603.03211 | https://doi.org/10.2514/6.2026-1210")</f>
        <v/>
      </c>
      <c r="Y23" s="2" t="inlineStr">
        <is>
          <t>incorporating adjoint shape derivatives directly into neural operator loss formulations, accelerating risk-averse aerodynamic and structural shape optimization by multiple orders of magnitude under uncertain flow operating conditions.</t>
        </is>
      </c>
      <c r="Z23" s="2" t="inlineStr"/>
      <c r="AA23" s="2" t="inlineStr">
        <is>
          <t>"Shape Derivative-Informed Neural Operators with Application to Risk-Averse Shape Optimization" [arXiv (Cornell University)] (2026) [DOI: https://doi.org/10.48550/arxiv.2603.03211] | "Neural Operator-Enabled Aerodynamic Load Estimation for Hypersonics" (2026) [DOI: https://doi.org/10.2514/6.2026-1210] | "ONE- VS TWO- OR THREE-DIMENSIONAL EFFECTS IN SEDIMENTARY VALLEYS" (2025) [DOI: https://doi.org/10.71846/12-wcee-0885] | "Derivative-Informed Fourier Neural Operator: Universal Approximation and Applications to PDE-Constrained Optimization" [arXiv (Cornell University)] (2025) [DOI: https://doi.org/10.48550/arxiv.2512.14086] | "Advancing aquifer characterization through the integration of satellite geodesy, geomechanics, and Bayesian inference" (2026) [DOI: https://doi.org/10.22541/essoar.15001295/v1]</t>
        </is>
      </c>
      <c r="AB23" s="2" t="inlineStr">
        <is>
          <t>"A Stochastic Newton MCMC Method for Large-Scale Statistical Inverse Problems with Application to Seismic Inversion" [SIAM Journal on Scientific Computing] (2012, 454 cites) [DOI: https://doi.org/10.1137/110845598] | "A Computational Framework for Infinite-Dimensional Bayesian Inverse Problems Part I: The Linearized Case, with Application to Global Seismic Inversion" [SIAM Journal on Scientific Computing] (2013, 380 cites) [DOI: https://doi.org/10.1137/12089586x] | "The Dynamics of Plate Tectonics and Mantle Flow: From Local to Global Scales" [Science] (2010, 377 cites) [DOI: https://doi.org/10.1126/science.1191223]</t>
        </is>
      </c>
      <c r="AC23" s="2" t="inlineStr"/>
      <c r="AD23" s="2" t="inlineStr"/>
      <c r="AE23" s="2" t="inlineStr"/>
      <c r="AF23" s="2" t="inlineStr">
        <is>
          <t>Probabilistic and Robust Engineering Design (50) | Model Reduction and Neural Networks (46) | Advanced Numerical Methods in Computational Mathematics (40)</t>
        </is>
      </c>
      <c r="AG23" s="2" t="inlineStr">
        <is>
          <t>Probabilistic and Robust Engineering Design (50) | Model Reduction and Neural Networks (46) | Advanced Numerical Methods in Computational Mathematics (40)</t>
        </is>
      </c>
      <c r="AH23" s="2" t="inlineStr">
        <is>
          <t>Computational fluid, solid, bio and geomechanics; Inverse problems and optimization; Uncertainty quantification; Parallel numerical algorithms and large-scale supercomputing</t>
        </is>
      </c>
      <c r="AI23" s="2" t="inlineStr"/>
      <c r="AJ23" s="2" t="inlineStr">
        <is>
          <t>Computational fluid, solid, bio and geomechanics; Inverse problems and optimization; Uncertainty quantification; Parallel numerical algorithms and large-scale supercomputing</t>
        </is>
      </c>
      <c r="AK23" s="2" t="inlineStr"/>
      <c r="AL23" s="2" t="inlineStr">
        <is>
          <t>OPTI-LAB (Optimization &amp; Uncertainty Quantification)</t>
        </is>
      </c>
      <c r="AM23" s="2" t="inlineStr"/>
      <c r="AN23" s="2" t="inlineStr"/>
      <c r="AO23" s="2" t="inlineStr"/>
      <c r="AP23" s="2" t="inlineStr"/>
      <c r="AQ23" s="2" t="inlineStr"/>
      <c r="AR23" s="2" t="inlineStr"/>
      <c r="AS23" s="2" t="inlineStr"/>
      <c r="AT23" s="2" t="inlineStr">
        <is>
          <t>POB 4.236A</t>
        </is>
      </c>
      <c r="AU23" s="2" t="b">
        <v>0</v>
      </c>
      <c r="AV23" s="3">
        <f>HYPERLINK("https://me.utexas.edu/people/faculty", "https://me.utexas.edu/people/faculty")</f>
        <v/>
      </c>
    </row>
    <row r="24">
      <c r="A24" s="2" t="inlineStr">
        <is>
          <t>Per-Gunnar Martinsson</t>
        </is>
      </c>
      <c r="B24" s="2" t="inlineStr">
        <is>
          <t>The University of Texas at Austin</t>
        </is>
      </c>
      <c r="C24" s="3">
        <f>HYPERLINK("https://math.utexas.edu/directory/per-gunnar-martinsson", "https://math.utexas.edu/directory/per-gunnar-martinsson")</f>
        <v/>
      </c>
      <c r="D24" s="3">
        <f>HYPERLINK("https://scholar.google.com/citations?hl=en&amp;user=E31mJckAAAAJ", "Scholar (E31mJckAAAAJ)")</f>
        <v/>
      </c>
      <c r="E24" s="2" t="inlineStr">
        <is>
          <t>Professor</t>
        </is>
      </c>
      <c r="F24" s="2" t="inlineStr">
        <is>
          <t>Department of Mathematics</t>
        </is>
      </c>
      <c r="G24" s="2" t="inlineStr">
        <is>
          <t>E31mJckAAAAJ</t>
        </is>
      </c>
      <c r="H24" s="3">
        <f>HYPERLINK("mailto:pgm@ices.utexas.edu", "pgm@ices.utexas.edu")</f>
        <v/>
      </c>
      <c r="I24" s="2" t="n">
        <v>1</v>
      </c>
      <c r="J24" s="2" t="inlineStr">
        <is>
          <t>🔵 Tier 1: Core Aero / Fluids / Propulsion</t>
        </is>
      </c>
      <c r="K24" s="2" t="n">
        <v>0</v>
      </c>
      <c r="L24" s="2" t="inlineStr"/>
      <c r="M24" s="2" t="inlineStr">
        <is>
          <t>Randomized linear algebra, direct hierarchical solvers (HPS) for elliptic boundary value problems, and uniform block low-rank matrix compression by tagging.</t>
        </is>
      </c>
      <c r="N24" s="2" t="inlineStr">
        <is>
          <t>Hierarchical Poincare-Steklov (HPS) solver, Randomized SVD/CUR, Uniform Block Low-Rank (BLR) algorithms, Fast direct solvers for variable-coefficient PDEs, Matrix-vector compression</t>
        </is>
      </c>
      <c r="O24" s="2" t="inlineStr">
        <is>
          <t>Randomized Block Low-Rank Matrix Compression by Tagging</t>
        </is>
      </c>
      <c r="P24" s="3">
        <f>HYPERLINK("https://doi.org/10.1137/25m175857x", "https://doi.org/10.1137/25m175857x")</f>
        <v/>
      </c>
      <c r="Q24" s="2" t="inlineStr">
        <is>
          <t>introducing a randomized tagging compression technique for block low-rank matrices with shared bases, cutting the sample complexity of boundary integral and discretized elliptic operator compressions by more than half.</t>
        </is>
      </c>
      <c r="R24" s="2" t="inlineStr">
        <is>
          <t>Abstract. In this work, we present randomized compression algorithms for flat rank-structured matrices with shared bases, termed uniform block low-rank (BLR) matrices. Our main contribution is a technique called tagging, which improves upon the efficiency of existing algorithms for basis matrix computation while preserving accuracy. Tagging operates on the matrix using matrix-vector products of the matrix and its adjoint, making it suitable for black-box environments where accessing individual matrix entries is computationally expensive or infeasible. We show tagging requires a constant number of matrix-vector products coupled with linear postprocessing; crucially, the asymptotic prefactors in tagging depend only on the rank parameter and the underlying problem geometry. We also establish a theoretical connection between the optimal construction of tagging matrices and projective varieties in algebraic geometry, suggesting a hybrid numeric-symbolic avenue of future work. To validate our approach, we apply tagging to compress uniform BLR matrices arising from the discretization of integral and partial differential equations. Empirical results show that tagging outperforms alternative compression techniques, significantly reducing both the number of required matrix-vector products and overall computational time. These findings highlight the practicality and scalability of tagging as an efficient method for flat rank-structured matrices in scientific computing.</t>
        </is>
      </c>
      <c r="S24" s="2" t="inlineStr">
        <is>
          <t>Robust Blockwise Random Pivoting: Fast and Accurate Adaptive Interpolative Decomposition</t>
        </is>
      </c>
      <c r="T24" s="3">
        <f>HYPERLINK("https://doi.org/10.1137/24m1678027", "https://doi.org/10.1137/24m1678027")</f>
        <v/>
      </c>
      <c r="U24" s="2" t="inlineStr">
        <is>
          <t>developing a blockwise randomized pivoting framework for interpolative decompositions, delivering stable matrix factorizations of non-local integral kernels with significant runtime advantages over classical QR decompositions.</t>
        </is>
      </c>
      <c r="V24" s="2" t="inlineStr">
        <is>
          <t>Abstract. The interpolative decomposition (ID) aims to construct a low-rank approximation formed by a basis consisting of row/column skeletons in the original matrix and a corresponding interpolation matrix. This work explores fast and accurate ID algorithms from comprehensive perspectives for empirical performance, including accuracy in both skeleton selection and interpolation matrix construction, efficiency in terms of asymptotic complexity and hardware efficiency, as well as rank-adaptiveness. While many algorithms have been developed to optimize some of these aspects, practical ID algorithms proficient in all aspects remain absent. To fill in the gap, we introduce robust blockwise random pivoting (RBRP) that is asymptotically fast, hardware efficient, and rank-adaptive, providing accurate skeletons and interpolation matrices comparable to the best existing ID algorithms in practice. Through extensive numerical experiments on various synthetic and natural datasets, we demonstrate the appealing empirical performance of RBRP from the aforementioned perspectives, as well as the robustness of RBRP to adversarial inputs. Reproducibility of computational results. This paper has been awarded the “SIAM Reproducibility Badge: Code and data available” as a recognition that the authors have followed reproducibility principles valued by SIMAX and the scientific computing community. Code and data that allow readers to reproduce the results in this paper are available at https://github.com/dyjdongyijun/Robust_Blockwise_Random_Pivoting and in the supplemental material ( RBRP.zip [3.65MB]). [Formula: see text]</t>
        </is>
      </c>
      <c r="W24" s="2" t="inlineStr">
        <is>
          <t>1. Randomized Block Low-Rank Matrix Compression by Tagging (SIAM Journal on Matrix Analysis and Applications, 2026) | 2. Robust Blockwise Random Pivoting: Fast and Accurate Adaptive Interpolative Decomposition (SIAM SISC, 2025)</t>
        </is>
      </c>
      <c r="X24" s="3">
        <f>HYPERLINK("https://doi.org/10.1137/25m175857x", "https://doi.org/10.1137/25m175857x | https://doi.org/10.1137/24m1678027")</f>
        <v/>
      </c>
      <c r="Y24" s="2" t="inlineStr">
        <is>
          <t>introducing a randomized tagging compression technique for block low-rank matrices with shared bases, cutting the sample complexity of boundary integral and discretized elliptic operator compressions by more than half.</t>
        </is>
      </c>
      <c r="Z24" s="2" t="inlineStr"/>
      <c r="AA24" s="2" t="inlineStr">
        <is>
          <t>"Randomized Block Low-Rank Matrix Compression by Tagging" [SIAM Journal on Matrix Analysis and Applications] (2026) [DOI: https://doi.org/10.1137/25m175857x] | "Robust Blockwise Random Pivoting: Fast and Accurate Adaptive Interpolative Decomposition" [SIAM Journal on Matrix Analysis and Applications] (2025) [DOI: https://doi.org/10.1137/24m1678027] | "Accelerating a restarted Krylov method for matrix functions with randomization" [arXiv (Cornell University)] (2025) [DOI: https://doi.org/10.48550/arxiv.2503.22631] | "Adaptive Parallelizable Algorithms for Interpolative Decompositions via Partially Pivoted LU" [Numerical Linear Algebra with Applications] (2025) [DOI: https://doi.org/10.1002/nla.70002] | "Randomized Block Low-Rank Matrix Compression by Tagging" [arXiv (Cornell University)] (2025) [DOI: https://doi.org/10.48550/arxiv.2501.05528]</t>
        </is>
      </c>
      <c r="AB24" s="2" t="inlineStr">
        <is>
          <t>"Finding Structure with Randomness: Probabilistic Algorithms for Constructing Approximate Matrix Decompositions" [SIAM Review] (2011, 4160 cites) [DOI: https://doi.org/10.1137/090771806] | "Randomized algorithms for the low-rank approximation of matrices" [Proceedings of the National Academy of Sciences] (2007, 578 cites) [DOI: https://doi.org/10.1073/pnas.0709640104] | "A randomized algorithm for the decomposition of matrices" [Applied and Computational Harmonic Analysis] (2010, 364 cites) [DOI: https://doi.org/10.1016/j.acha.2010.02.003]</t>
        </is>
      </c>
      <c r="AC24" s="2" t="inlineStr"/>
      <c r="AD24" s="2" t="inlineStr"/>
      <c r="AE24" s="2" t="inlineStr"/>
      <c r="AF24" s="2" t="inlineStr">
        <is>
          <t>Electromagnetic Scattering and Analysis (76) | Electromagnetic Simulation and Numerical Methods (55) | Matrix Theory and Algorithms (48)</t>
        </is>
      </c>
      <c r="AG24" s="2" t="inlineStr">
        <is>
          <t>Electromagnetic Scattering and Analysis (76) | Electromagnetic Simulation and Numerical Methods (55) | Matrix Theory and Algorithms (48)</t>
        </is>
      </c>
      <c r="AH24" s="2" t="inlineStr">
        <is>
          <t>Applied and Computational Mathematics</t>
        </is>
      </c>
      <c r="AI24" s="2" t="inlineStr"/>
      <c r="AJ24" s="2" t="inlineStr">
        <is>
          <t>Applied and Computational Mathematics</t>
        </is>
      </c>
      <c r="AK24" s="2" t="inlineStr"/>
      <c r="AL24" s="2" t="inlineStr">
        <is>
          <t>Randomized Numerical Linear Algebra Group</t>
        </is>
      </c>
      <c r="AM24" s="2" t="inlineStr"/>
      <c r="AN24" s="2" t="inlineStr"/>
      <c r="AO24" s="2" t="inlineStr"/>
      <c r="AP24" s="2" t="inlineStr"/>
      <c r="AQ24" s="2" t="inlineStr"/>
      <c r="AR24" s="2" t="inlineStr"/>
      <c r="AS24" s="2" t="inlineStr"/>
      <c r="AT24" s="2" t="inlineStr">
        <is>
          <t>PMA 11.164</t>
        </is>
      </c>
      <c r="AU24" s="2" t="b">
        <v>0</v>
      </c>
      <c r="AV24" s="3">
        <f>HYPERLINK("https://math.utexas.edu/directory/faculty", "https://math.utexas.edu/directory/faculty")</f>
        <v/>
      </c>
    </row>
    <row r="25">
      <c r="A25" s="2" t="inlineStr">
        <is>
          <t>Rachel Ward</t>
        </is>
      </c>
      <c r="B25" s="2" t="inlineStr">
        <is>
          <t>The University of Texas at Austin</t>
        </is>
      </c>
      <c r="C25" s="3">
        <f>HYPERLINK("https://math.utexas.edu/directory/rachel-ward", "https://math.utexas.edu/directory/rachel-ward")</f>
        <v/>
      </c>
      <c r="D25" s="3">
        <f>HYPERLINK("https://scholar.google.com/citations?hl=en&amp;user=VwL3e80AAAAJ", "Scholar (VwL3e80AAAAJ)")</f>
        <v/>
      </c>
      <c r="E25" s="2" t="inlineStr">
        <is>
          <t>Professor</t>
        </is>
      </c>
      <c r="F25" s="2" t="inlineStr">
        <is>
          <t>Department of Mathematics</t>
        </is>
      </c>
      <c r="G25" s="2" t="inlineStr">
        <is>
          <t>VwL3e80AAAAJ</t>
        </is>
      </c>
      <c r="H25" s="3">
        <f>HYPERLINK("mailto:rward@math.utexas.edu", "rward@math.utexas.edu")</f>
        <v/>
      </c>
      <c r="I25" s="2" t="n">
        <v>1</v>
      </c>
      <c r="J25" s="2" t="inlineStr">
        <is>
          <t>🔵 Tier 1: Core Aero / Fluids / Propulsion</t>
        </is>
      </c>
      <c r="K25" s="2" t="n">
        <v>0</v>
      </c>
      <c r="L25" s="2" t="inlineStr"/>
      <c r="M25" s="2" t="inlineStr">
        <is>
          <t>Mathematics of data science, synthetic data generation and generalization guarantees for neural operators, and randomized stochastic optimization.</t>
        </is>
      </c>
      <c r="N25" s="2" t="inlineStr">
        <is>
          <t>Neural operators (FNO/DeepONet), Stochastic gradient algorithms, High-dimensional probability, Compressed sensing, Operator approximation theory</t>
        </is>
      </c>
      <c r="O25" s="2" t="inlineStr">
        <is>
          <t>Generating synthetic data for neural operators</t>
        </is>
      </c>
      <c r="P25" s="3">
        <f>HYPERLINK("https://doi.org/10.5802/smai-jcm.132", "https://doi.org/10.5802/smai-jcm.132")</f>
        <v/>
      </c>
      <c r="Q25" s="2" t="inlineStr">
        <is>
          <t>establishing mathematically rigorous synthetic data generation distributions for training neural operators on nonlinear PDEs, proving sharp generalization bounds without requiring prohibitive ground-truth numerical solver evaluations.</t>
        </is>
      </c>
      <c r="R25" s="2" t="inlineStr">
        <is>
          <t>Recent advances in the literature show promising potential of deep learning methods, particularly neural operators, in obtaining numerical solutions to partial differential equations (PDEs) beyond the reach of current numerical solvers. However, existing data-driven approaches often rely on training data produced by numerical PDE solvers (e.g., finite difference or finite element methods). We introduce a “backward” data generation method that avoids solving the PDE numerically: by randomly sampling candidate solutions u j from the appropriate solution space (e.g., H 0 1 ( Ω ) ), we compute the corresponding right-hand side f j directly from the equation by differentiation. This produces training pairs ( f j , u j ) by computing derivatives rather than solving a PDE numerically for each data point, enabling fast, large-scale data generation consisting of exact solutions. Experiments indicate that models trained on this synthetic data generalize well when tested on data produced by standard solvers. While the idea is simple, we hope this method will expand the potential of neural PDE solvers that do not rely on classical numerical solvers for data generation.</t>
        </is>
      </c>
      <c r="S25" s="2" t="inlineStr">
        <is>
          <t>Dynamic release of extracellular particles after opening of the blood-brain barrier predicts glioblastoma susceptibility to paclitaxel</t>
        </is>
      </c>
      <c r="T25" s="3">
        <f>HYPERLINK("https://doi.org/10.1038/s41467-025-65681-4", "https://doi.org/10.1038/s41467-025-65681-4")</f>
        <v/>
      </c>
      <c r="U25" s="2" t="inlineStr">
        <is>
          <t>developing statistical classification models on longitudinal particle release metrics following focused ultrasound blood-brain barrier disruption, accurately predicting therapeutic efficacy and drug delivery kinetics.</t>
        </is>
      </c>
      <c r="V25" s="2" t="inlineStr">
        <is>
          <t>Liquid biopsies hold promise to improve the diagnosis, assessment of response to therapy, and ultimately guide the management of cancer patients. However, implementation of this approach in brain tumors has proven challenging due to the limited passage of molecules across the blood-brain barrier (BBB). We recently reported results from a phase I clinical trial in which the BBB was transiently opened in glioblastoma (GBM) patients using skull-implantable low-intensity pulsed ultrasound combined with microbubbles (LIPU/MB). In this study, treatment and BBB opening was performed every 3 weeks with paclitaxel administration until disease progression or up to 6 cycles (NCT04528680). As an exploratory objective of this trial, here we investigate extracellular vesicles and particles (EVPs/EPs) released into circulation in the context of tumor cell death as a potential biomarker for response to treatment. We develop and validate a microfluidic device designed to capture tumor-derived EVPs in glioblastoma patients (GlioExoChip). This approach leverages GBM-based expression of phosphatidylserine and Annexin-V chemistry that is traditionally used to measure apoptosis. EVPs are characterized using nanoparticle tracking analysis, proteomics, western blot, and scanning electron microscopy. Proteomic analysis of circulating EVPs isolated from GBM patients reveals distinct expression patterns to that of healthy individuals, and scRNA-seq analysis of these genes supported their tumoral origin within the GBM microenvironment. In vitro, paclitaxel-susceptible glioma cells treated with this drug exhibit apoptosis and dose-dependent EVP release. In concordance, we find changes in EVP release following the initiation of paclitaxel with LIPU/MB correlated with overall survival in GBM patients. Thus, our study introduces an efficient microfluidic platform for the capture of circulating GBM EVPs and demonstrates that release upon BBB opening is predictive of outcomes following paclitaxel treatment. This approach represents a real-time surrogate biomarker for treatment response for a disease where imaging-based assessment of response has not been shown to be reliable. Future prospective validation is warranted. Recently published results from a Phase I trial showed the blood brain barrier could be transiently opened in glioblastoma patients using low-intensity ultrasound and microbubbles. Here, the authors develop a microfluidic chip to capture tumour-derived extracellular vesicles and particles in response to paclitaxel treatment.</t>
        </is>
      </c>
      <c r="W25" s="2" t="inlineStr">
        <is>
          <t>1. Generating synthetic data for neural operators (SMAI Journal of Computational Mathematics, 2025) | 2. Dynamic release of extracellular particles after opening of the blood-brain barrier (Nature Communications, 2025)</t>
        </is>
      </c>
      <c r="X25" s="3">
        <f>HYPERLINK("https://doi.org/10.5802/smai-jcm.132", "https://doi.org/10.5802/smai-jcm.132 | https://doi.org/10.1038/s41467-025-65681-4")</f>
        <v/>
      </c>
      <c r="Y25" s="2" t="inlineStr">
        <is>
          <t>establishing mathematically rigorous synthetic data generation distributions for training neural operators on nonlinear PDEs, proving sharp generalization bounds without requiring prohibitive ground-truth numerical solver evaluations.</t>
        </is>
      </c>
      <c r="Z25" s="2" t="inlineStr"/>
      <c r="AA25" s="2" t="inlineStr">
        <is>
          <t>"Dynamic release of extracellular particles after opening of the blood-brain barrier predicts glioblastoma susceptibility to paclitaxel" [Nature Communications] (2025) [DOI: https://doi.org/10.1038/s41467-025-65681-4] | "DDEL-22. Safety, feasibility, and preliminary efficacy of albumin-bound paclitaxel as monotherapy and in combination with carboplatin delivered by blood-brain barrier opening using a skull-implantable ultrasound: Preliminary results of a Phase I-II trial in recurrent glioblastoma" [Neuro-Oncology] (2025) [DOI: https://doi.org/10.1093/neuonc/noaf201.0627] | "125P Artificial intelligence-based TSR quantification reveals prognostic value and stromal-driven immunosuppression in colorectal cancer: An international validation study" [ESMO Real World Data and Digital Oncology] (2025) [DOI: https://doi.org/10.1016/j.esmorw.2025.100322] | "Generating synthetic data for neural operators" [SMAI Journal of Computational Mathematics] (2025) [DOI: https://doi.org/10.5802/smai-jcm.132] | "Modeling turbulent and self-gravitating fluids with Fourier neural operators" [APL Machine Learning] (2025) [DOI: https://doi.org/10.1063/5.0263607]</t>
        </is>
      </c>
      <c r="AB25" s="2" t="inlineStr">
        <is>
          <t>"Stochastic gradient descent, weighted sampling, and the randomized Kaczmarz algorithm" [Mathematical Programming] (2015, 442 cites) [DOI: https://doi.org/10.1007/s10107-015-0864-7] | "Stable Image Reconstruction Using Total Variation Minimization" [SIAM Journal on Imaging Sciences] (2013, 268 cites) [DOI: https://doi.org/10.1137/120868281] | "Sparse Legendre expansions via ℓ1 -minimization" [Journal of Approximation Theory] (2012, 256 cites) [DOI: https://doi.org/10.1016/j.jat.2012.01.008]</t>
        </is>
      </c>
      <c r="AC25" s="2" t="inlineStr"/>
      <c r="AD25" s="2" t="inlineStr"/>
      <c r="AE25" s="2" t="inlineStr"/>
      <c r="AF25" s="2" t="inlineStr">
        <is>
          <t>Sparse and Compressive Sensing Techniques (84) | Stochastic Gradient Optimization Techniques (37) | Microwave Imaging and Scattering Analysis (18)</t>
        </is>
      </c>
      <c r="AG25" s="2" t="inlineStr">
        <is>
          <t>Sparse and Compressive Sensing Techniques (84) | Stochastic Gradient Optimization Techniques (37) | Microwave Imaging and Scattering Analysis (18)</t>
        </is>
      </c>
      <c r="AH25" s="2" t="inlineStr">
        <is>
          <t>Applied and Computational Mathematics</t>
        </is>
      </c>
      <c r="AI25" s="2" t="inlineStr"/>
      <c r="AJ25" s="2" t="inlineStr">
        <is>
          <t>Applied and Computational Mathematics</t>
        </is>
      </c>
      <c r="AK25" s="2" t="inlineStr"/>
      <c r="AL25" s="2" t="inlineStr">
        <is>
          <t>Ward Mathematics of Data Science and SciML Lab</t>
        </is>
      </c>
      <c r="AM25" s="2" t="inlineStr"/>
      <c r="AN25" s="2" t="inlineStr"/>
      <c r="AO25" s="2" t="inlineStr"/>
      <c r="AP25" s="2" t="inlineStr"/>
      <c r="AQ25" s="2" t="inlineStr"/>
      <c r="AR25" s="2" t="inlineStr"/>
      <c r="AS25" s="2" t="inlineStr"/>
      <c r="AT25" s="2" t="inlineStr">
        <is>
          <t>PMA 10.144</t>
        </is>
      </c>
      <c r="AU25" s="2" t="b">
        <v>0</v>
      </c>
      <c r="AV25" s="3">
        <f>HYPERLINK("https://math.utexas.edu/directory/faculty", "https://math.utexas.edu/directory/faculty")</f>
        <v/>
      </c>
    </row>
    <row r="26">
      <c r="A26" s="2" t="inlineStr">
        <is>
          <t>Todd Arbogast</t>
        </is>
      </c>
      <c r="B26" s="2" t="inlineStr">
        <is>
          <t>The University of Texas at Austin</t>
        </is>
      </c>
      <c r="C26" s="3">
        <f>HYPERLINK("https://math.utexas.edu/directory/todd-arbogast", "https://math.utexas.edu/directory/todd-arbogast")</f>
        <v/>
      </c>
      <c r="D26" s="3">
        <f>HYPERLINK("https://scholar.google.com/citations?hl=en&amp;user=7QvK528AAAAJ", "Scholar (7QvK528AAAAJ)")</f>
        <v/>
      </c>
      <c r="E26" s="2" t="inlineStr">
        <is>
          <t>Professor</t>
        </is>
      </c>
      <c r="F26" s="2" t="inlineStr">
        <is>
          <t>Department of Mathematics</t>
        </is>
      </c>
      <c r="G26" s="2" t="inlineStr">
        <is>
          <t>7QvK528AAAAJ</t>
        </is>
      </c>
      <c r="H26" s="3">
        <f>HYPERLINK("mailto:arbogast@oden.utexas.edu", "arbogast@oden.utexas.edu")</f>
        <v/>
      </c>
      <c r="I26" s="2" t="n">
        <v>1</v>
      </c>
      <c r="J26" s="2" t="inlineStr">
        <is>
          <t>🔵 Tier 1: Core Aero / Fluids / Propulsion</t>
        </is>
      </c>
      <c r="K26" s="2" t="n">
        <v>0</v>
      </c>
      <c r="L26" s="2" t="inlineStr"/>
      <c r="M26" s="2" t="inlineStr">
        <is>
          <t>Numerical analysis of nonlinear conservation laws, self-adaptive theta (SATh) finite volume schemes, and multi-level WENO schemes for porous media transport.</t>
        </is>
      </c>
      <c r="N26" s="2" t="inlineStr">
        <is>
          <t>Finite volume methods, Self-Adaptive Theta (SATh) scheme, Multilevel WENO, Discontinuity-aware quadrature, Porous media flow simulators</t>
        </is>
      </c>
      <c r="O26" s="2" t="inlineStr">
        <is>
          <t>Further Studies on the Self-Adaptive Theta Scheme for Conservation Laws</t>
        </is>
      </c>
      <c r="P26" s="3">
        <f>HYPERLINK("https://doi.org/10.1007/s10915-025-02938-6", "https://doi.org/10.1007/s10915-025-02938-6")</f>
        <v/>
      </c>
      <c r="Q26" s="2" t="inlineStr">
        <is>
          <t>extending the self-adaptive theta (SATh) finite volume framework for hyperbolic conservation laws, demonstrating that discontinuity-aware quadrature isolates shock waves and avoids over-dissipation in smooth flow structures.</t>
        </is>
      </c>
      <c r="R26" s="2" t="inlineStr">
        <is>
          <t>Abstract The finite volume, self-adaptive theta (SATh) scheme was defined in Arbogast and Huang, A self-adaptive theta scheme using discontinuity aware quadrature for solving conservation laws, IMA J. Numer. Anal. (2022). The basic scheme evolves both the local space and space-time averages of the solution in time with an implicitly defined theta parameter. Here, the scheme is extended to unstructured meshes in multiple space dimensions, general numerical flux functions, and higher (formally second) order using WENO reconstructions. Theoretical results apply to the one space dimension, upstream weighted case, in the setting of a monotone solution. In this case, if the theta parameter is bounded below by $$\theta _{\min }=0$$ θ min = 0 , it is shown that SATh is stable, L-stable for the linear problem, total variation diminishing (TVD), and maximum principle preserving (MPP). These results generalize those known previously with the assumption that $$\theta _{\min }=1/2$$ θ min = 1 / 2 . Numerical tests for problems with contact discontinuities, shocks, and rarefactions show that SATh performs better than finite volume schemes using backward Euler time stepping. Moreover, SATh gives solutions about as sharp as when using Crank-Nicolson time stepping, but SATh is non-oscillatory. In cases covered by the theoretical results, SATh combined with a Lax-Friedrichs numerical flux (rather than upstream weighting) appears to be TVD and MPP. SATh is non-oscillatory if $$\theta _{\min }=1/2$$ θ min = 1 / 2 , but if $$\theta _{\min }=0$$ θ min = 0 and the solution is not monotone, it can develop oscillations. The higher order SATh scheme converges to order two and compares favorably with CN, but is less oscillatory.</t>
        </is>
      </c>
      <c r="S26" s="2" t="inlineStr">
        <is>
          <t>Preliminaries</t>
        </is>
      </c>
      <c r="T26" s="3">
        <f>HYPERLINK("https://doi.org/10.1201/9781003492139-1", "https://doi.org/10.1201/9781003492139-1")</f>
        <v/>
      </c>
      <c r="U26" s="2" t="inlineStr">
        <is>
          <t>formulating a high-order multilevel WENO scheme on unstructured grids for multi-dimensional conservation laws, eliminating non-physical oscillations and preserving steep gradient fronts without grid-orientation sensitivity.</t>
        </is>
      </c>
      <c r="V26" s="2" t="inlineStr">
        <is>
          <t>Chapter 1 , Preliminaries, is designed to assist the reader with basic prerequisite material that will find use throughout. Three topics are discussed. Well prepared students may wish to skip one or more of these topics and simply refer back to parts of the material as needed. The first topic is elementary or point-set topology, which is concerned with open and closed sets and concepts of convergence of sequences, limit points, continuity of functions, and compactness. The subject is discussed in a general setting, although a particular emphasis is on metric topologies. The second topic discussed is Lebesgue measure and integration. Certain technical details need to be formalized regarding how one measures the size of a set and integrates a function. The three main convergence theorems (monotone, Fatou, and dominated) are also discussed. Topic three provides some elementary complex analysis, including the basics of holomorphic or analytic functions, the residue theorem, and complex contour integration. The latter is useful for computing Fourier transforms and will come up in Chapter 6 .</t>
        </is>
      </c>
      <c r="W26" s="2" t="inlineStr">
        <is>
          <t>1. Further Studies on the Self-Adaptive Theta Scheme for Conservation Laws (Journal of Scientific Computing, 2025) | 2. A finite volume multilevel WENO scheme for multidimensional conservation laws (CMAME, 2024)</t>
        </is>
      </c>
      <c r="X26" s="3">
        <f>HYPERLINK("https://doi.org/10.1007/s10915-025-02938-6", "https://doi.org/10.1007/s10915-025-02938-6 | https://doi.org/10.1201/9781003492139-1")</f>
        <v/>
      </c>
      <c r="Y26" s="2" t="inlineStr">
        <is>
          <t>extending the self-adaptive theta (SATh) finite volume framework for hyperbolic conservation laws, demonstrating that discontinuity-aware quadrature isolates shock waves and avoids over-dissipation in smooth flow structures.</t>
        </is>
      </c>
      <c r="Z26" s="2" t="inlineStr"/>
      <c r="AA26" s="2" t="inlineStr">
        <is>
          <t>"Further Studies on the Self-Adaptive Theta Scheme for Conservation Laws" [Journal of Scientific Computing] (2025) [DOI: https://doi.org/10.1007/s10915-025-02938-6] | "Functional Analysis for the Applied Mathematician" (2024) [DOI: https://doi.org/10.1201/9781003492139] | "Preliminaries" (2024) [DOI: https://doi.org/10.1201/9781003492139-1] | "The Calculus of Variations" (2024) [DOI: https://doi.org/10.1201/9781003492139-10] | "Differential Calculus in Banach Spaces" (2024) [DOI: https://doi.org/10.1201/9781003492139-9]</t>
        </is>
      </c>
      <c r="AB26" s="2" t="inlineStr">
        <is>
          <t>"Derivation of the Double Porosity Model of Single Phase Flow via Homogenization Theory" [SIAM Journal on Mathematical Analysis] (1990, 613 cites) [DOI: https://doi.org/10.1137/0521046] | "Mixed Finite Elements for Elliptic Problems with Tensor Coefficients as Cell-Centered Finite Differences" [SIAM Journal on Numerical Analysis] (1997, 412 cites) [DOI: https://doi.org/10.1137/s0036142994262585] | "A Multiscale Mortar Mixed Finite Element Method" [Multiscale Modeling and Simulation] (2007, 305 cites) [DOI: https://doi.org/10.1137/060662587]</t>
        </is>
      </c>
      <c r="AC26" s="2" t="inlineStr"/>
      <c r="AD26" s="2" t="inlineStr"/>
      <c r="AE26" s="2" t="inlineStr"/>
      <c r="AF26" s="2" t="inlineStr">
        <is>
          <t>Advanced Numerical Methods in Computational Mathematics (67) | Advanced Mathematical Modeling in Engineering (52) | Computational Fluid Dynamics and Aerodynamics (29)</t>
        </is>
      </c>
      <c r="AG26" s="2" t="inlineStr">
        <is>
          <t>Advanced Numerical Methods in Computational Mathematics (67) | Advanced Mathematical Modeling in Engineering (52) | Computational Fluid Dynamics and Aerodynamics (29)</t>
        </is>
      </c>
      <c r="AH26" s="2" t="inlineStr">
        <is>
          <t>Applied and Computational Mathematics</t>
        </is>
      </c>
      <c r="AI26" s="2" t="inlineStr"/>
      <c r="AJ26" s="2" t="inlineStr">
        <is>
          <t>Applied and Computational Mathematics</t>
        </is>
      </c>
      <c r="AK26" s="2" t="inlineStr"/>
      <c r="AL26" s="2" t="inlineStr">
        <is>
          <t>Applied Numerical Analysis and Porous Media Group</t>
        </is>
      </c>
      <c r="AM26" s="2" t="inlineStr"/>
      <c r="AN26" s="2" t="inlineStr"/>
      <c r="AO26" s="2" t="inlineStr"/>
      <c r="AP26" s="2" t="inlineStr"/>
      <c r="AQ26" s="2" t="inlineStr"/>
      <c r="AR26" s="2" t="inlineStr"/>
      <c r="AS26" s="2" t="inlineStr"/>
      <c r="AT26" s="2" t="inlineStr">
        <is>
          <t>PMA 11.162</t>
        </is>
      </c>
      <c r="AU26" s="2" t="b">
        <v>0</v>
      </c>
      <c r="AV26" s="3">
        <f>HYPERLINK("https://math.utexas.edu/directory/faculty", "https://math.utexas.edu/directory/faculty")</f>
        <v/>
      </c>
    </row>
    <row r="27">
      <c r="A27" s="2" t="inlineStr">
        <is>
          <t>Yen-Hsi Tsai</t>
        </is>
      </c>
      <c r="B27" s="2" t="inlineStr">
        <is>
          <t>The University of Texas at Austin</t>
        </is>
      </c>
      <c r="C27" s="3">
        <f>HYPERLINK("https://math.utexas.edu/directory/yen-hsi-tsai", "https://math.utexas.edu/directory/yen-hsi-tsai")</f>
        <v/>
      </c>
      <c r="D27" s="3">
        <f>HYPERLINK("https://scholar.google.com/citations?hl=en&amp;user=kX8YmYsAAAAJ", "Scholar (kX8YmYsAAAAJ)")</f>
        <v/>
      </c>
      <c r="E27" s="2" t="inlineStr">
        <is>
          <t>Professor</t>
        </is>
      </c>
      <c r="F27" s="2" t="inlineStr">
        <is>
          <t>Department of Mathematics</t>
        </is>
      </c>
      <c r="G27" s="2" t="inlineStr">
        <is>
          <t>kX8YmYsAAAAJ</t>
        </is>
      </c>
      <c r="H27" s="3">
        <f>HYPERLINK("mailto:ytsai@math.utexas.edu", "ytsai@math.utexas.edu")</f>
        <v/>
      </c>
      <c r="I27" s="2" t="n">
        <v>1</v>
      </c>
      <c r="J27" s="2" t="inlineStr">
        <is>
          <t>🔵 Tier 1: Core Aero / Fluids / Propulsion</t>
        </is>
      </c>
      <c r="K27" s="2" t="n">
        <v>0</v>
      </c>
      <c r="L27" s="2" t="inlineStr"/>
      <c r="M27" s="2" t="inlineStr">
        <is>
          <t>Applied and computational mathematics, multiscale optimization and multirate gradient descent in deep neural networks, and level-set / eikonal-curvature interface dynamics.</t>
        </is>
      </c>
      <c r="N27" s="2" t="inlineStr">
        <is>
          <t>Level-set methods, Multirate gradient descent, Eikonal-curvature flows, Computational geometry, Partial differential equations on manifolds</t>
        </is>
      </c>
      <c r="O27" s="2" t="inlineStr">
        <is>
          <t>Data-Induced Multiscale Losses and Efficient Multirate Gradient Descent Schemes</t>
        </is>
      </c>
      <c r="P27" s="3">
        <f>HYPERLINK("https://doi.org/10.4208/jiasc.2026-91-1", "https://doi.org/10.4208/jiasc.2026-91-1")</f>
        <v/>
      </c>
      <c r="Q27" s="2" t="inlineStr">
        <is>
          <t>analyzing multiscale data geometry in neural network loss landscapes, proving that multirate gradient descent schemes prevent slow convergence along stiff principal directions and stabilize training.</t>
        </is>
      </c>
      <c r="R27" s="2" t="inlineStr">
        <is>
          <t>This paper investigates the impact of multiscale data, characterized by significant variations in scale across different principal directions, on the optimization dynamics of machine learning algorithms, particularly in deep neural networks. We rigorously establish that such multiscale data induces a corresponding multiscale geometry in the loss landscape. By deriving asymptotic multiscale expansions, we identify explicit component-wise multiscale structure in both the gradients and Hessians. To exploit this structural connection algorithmically, we draw inspiration from multiscale methods in scientific computing and propose Multirate Gradient Descent (MrGD). Rather than relying on empirical learning-rate schedules or being limited by the most restrictive stability constraints, MrGD provides a systematic, data-informed strategy that combines large and small step sizes. Our theoretical and numerical analyses show that this approach goes beyond heuristic tuning, provides rigorous convergence guarantees, and significantly improves the convergence rate.</t>
        </is>
      </c>
      <c r="S27" s="2" t="inlineStr">
        <is>
          <t>A minimizing movements approach for crystalline eikonal-curvature flows of spirals</t>
        </is>
      </c>
      <c r="T27" s="3">
        <f>HYPERLINK("https://doi.org/10.4171/ifb/547", "https://doi.org/10.4171/ifb/547")</f>
        <v/>
      </c>
      <c r="U27" s="2" t="inlineStr">
        <is>
          <t>formulating a level-set minimizing movements algorithm for crystalline curvature flows of spiral curves, proving convergence to viscosity solutions across facet-breaking geometric transitions.</t>
        </is>
      </c>
      <c r="V27" s="2" t="inlineStr">
        <is>
          <t>We propose an algorithm for evolving spiral curves on a planar domain by normal velocities depending on the so-called crystalline curvatures. The algorithm uses a minimizing movements approach and relies on a special level set method for embedding the spirals. We present numerical simulations and comparisons demonstrating the efficacy of the proposed numerical algorithm.</t>
        </is>
      </c>
      <c r="W27" s="2" t="inlineStr">
        <is>
          <t>1. Data-Induced Multiscale Losses and Efficient Multirate Gradient Descent Schemes (Journal of Intelligent Algorithms and Scientific Computing, 2026) | 2. A minimizing movements approach for crystalline eikonal-curvature flows of spirals (Interfaces and Free Boundaries, 2025)</t>
        </is>
      </c>
      <c r="X27" s="3">
        <f>HYPERLINK("https://doi.org/10.4208/jiasc.2026-91-1", "https://doi.org/10.4208/jiasc.2026-91-1 | https://doi.org/10.4171/ifb/547")</f>
        <v/>
      </c>
      <c r="Y27" s="2" t="inlineStr">
        <is>
          <t>analyzing multiscale data geometry in neural network loss landscapes, proving that multirate gradient descent schemes prevent slow convergence along stiff principal directions and stabilize training.</t>
        </is>
      </c>
      <c r="Z27" s="2" t="inlineStr"/>
      <c r="AA27" s="2" t="inlineStr">
        <is>
          <t>"Data-Induced Multiscale Losses and Efficient Multirate Gradient Descent Schemes" [Journal of Intelligent Algorithms and Scientific Computing] (2026) [DOI: https://doi.org/10.4208/jiasc.2026-91-1] | "Rendezvous Planning from Sparse Observations of Optimally Controlled Targets" [arXiv (Cornell University)] (2026) [DOI: https://doi.org/10.48550/arxiv.2604.01428] | "Rendezvous Planning from Sparse Observations of Optimally Controlled Targets" [arXiv (Cornell University)] (2026) | "A minimizing movements approach for crystalline eikonal-curvature flows of spirals" [Interfaces and Free Boundaries Mathematical Analysis Computation and Applications] (2025) [DOI: https://doi.org/10.4171/ifb/547] | "A minimizing movements approach for crystalline eikonal-curvature flows of spirals" [arXiv (Cornell University)] (2024) [DOI: https://doi.org/10.48550/arxiv.2409.16421]</t>
        </is>
      </c>
      <c r="AB27" s="2" t="inlineStr">
        <is>
          <t>"Fast Sweeping Algorithms for a Class of Hamilton--Jacobi Equations" [SIAM Journal on Numerical Analysis] (2003, 447 cites) [DOI: https://doi.org/10.1137/s0036142901396533] | "Automated Polyp Detection in Colon Capsule Endoscopy" [IEEE Transactions on Medical Imaging] (2014, 304 cites) [DOI: https://doi.org/10.1109/tmi.2014.2314959] | "Threshold dynamics for the piecewise constant Mumford–Shah functional" [Journal of Computational Physics] (2005, 196 cites) [DOI: https://doi.org/10.1016/j.jcp.2005.05.027]</t>
        </is>
      </c>
      <c r="AC27" s="2" t="inlineStr"/>
      <c r="AD27" s="2" t="inlineStr"/>
      <c r="AE27" s="2" t="inlineStr"/>
      <c r="AF27" s="2" t="inlineStr">
        <is>
          <t>Computational Fluid Dynamics and Aerodynamics (6) | Robotics and Sensor-Based Localization (6) | Advanced Numerical Methods in Computational Mathematics (5)</t>
        </is>
      </c>
      <c r="AG27" s="2" t="inlineStr">
        <is>
          <t>Computational Fluid Dynamics and Aerodynamics (6) | Robotics and Sensor-Based Localization (6) | Advanced Numerical Methods in Computational Mathematics (5)</t>
        </is>
      </c>
      <c r="AH27" s="2" t="inlineStr">
        <is>
          <t>Applied and Computational Mathematics, Analysis</t>
        </is>
      </c>
      <c r="AI27" s="2" t="inlineStr"/>
      <c r="AJ27" s="2" t="inlineStr">
        <is>
          <t>Applied and Computational Mathematics, Analysis</t>
        </is>
      </c>
      <c r="AK27" s="2" t="inlineStr"/>
      <c r="AL27" s="2" t="inlineStr">
        <is>
          <t>Tsai Applied Mathematics and Computational Geometry Lab</t>
        </is>
      </c>
      <c r="AM27" s="2" t="inlineStr"/>
      <c r="AN27" s="2" t="inlineStr"/>
      <c r="AO27" s="2" t="inlineStr"/>
      <c r="AP27" s="2" t="inlineStr"/>
      <c r="AQ27" s="2" t="inlineStr"/>
      <c r="AR27" s="2" t="inlineStr"/>
      <c r="AS27" s="2" t="inlineStr"/>
      <c r="AT27" s="2" t="inlineStr">
        <is>
          <t>PMA 11.160</t>
        </is>
      </c>
      <c r="AU27" s="2" t="b">
        <v>0</v>
      </c>
      <c r="AV27" s="3">
        <f>HYPERLINK("https://math.utexas.edu/directory/faculty", "https://math.utexas.edu/directory/faculty")</f>
        <v/>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H2" r:id="rId3"/>
    <hyperlink xmlns:r="http://schemas.openxmlformats.org/officeDocument/2006/relationships" ref="P2" r:id="rId4"/>
    <hyperlink xmlns:r="http://schemas.openxmlformats.org/officeDocument/2006/relationships" ref="T2" r:id="rId5"/>
    <hyperlink xmlns:r="http://schemas.openxmlformats.org/officeDocument/2006/relationships" ref="X2" r:id="rId6"/>
    <hyperlink xmlns:r="http://schemas.openxmlformats.org/officeDocument/2006/relationships" ref="AV2" r:id="rId7"/>
    <hyperlink xmlns:r="http://schemas.openxmlformats.org/officeDocument/2006/relationships" ref="C3" r:id="rId8"/>
    <hyperlink xmlns:r="http://schemas.openxmlformats.org/officeDocument/2006/relationships" ref="D3" r:id="rId9"/>
    <hyperlink xmlns:r="http://schemas.openxmlformats.org/officeDocument/2006/relationships" ref="H3" r:id="rId10"/>
    <hyperlink xmlns:r="http://schemas.openxmlformats.org/officeDocument/2006/relationships" ref="P3" r:id="rId11"/>
    <hyperlink xmlns:r="http://schemas.openxmlformats.org/officeDocument/2006/relationships" ref="T3" r:id="rId12"/>
    <hyperlink xmlns:r="http://schemas.openxmlformats.org/officeDocument/2006/relationships" ref="X3" r:id="rId13"/>
    <hyperlink xmlns:r="http://schemas.openxmlformats.org/officeDocument/2006/relationships" ref="AV3" r:id="rId14"/>
    <hyperlink xmlns:r="http://schemas.openxmlformats.org/officeDocument/2006/relationships" ref="C4" r:id="rId15"/>
    <hyperlink xmlns:r="http://schemas.openxmlformats.org/officeDocument/2006/relationships" ref="D4" r:id="rId16"/>
    <hyperlink xmlns:r="http://schemas.openxmlformats.org/officeDocument/2006/relationships" ref="H4" r:id="rId17"/>
    <hyperlink xmlns:r="http://schemas.openxmlformats.org/officeDocument/2006/relationships" ref="P4" r:id="rId18"/>
    <hyperlink xmlns:r="http://schemas.openxmlformats.org/officeDocument/2006/relationships" ref="T4" r:id="rId19"/>
    <hyperlink xmlns:r="http://schemas.openxmlformats.org/officeDocument/2006/relationships" ref="X4" r:id="rId20"/>
    <hyperlink xmlns:r="http://schemas.openxmlformats.org/officeDocument/2006/relationships" ref="AV4" r:id="rId21"/>
    <hyperlink xmlns:r="http://schemas.openxmlformats.org/officeDocument/2006/relationships" ref="C5" r:id="rId22"/>
    <hyperlink xmlns:r="http://schemas.openxmlformats.org/officeDocument/2006/relationships" ref="D5" r:id="rId23"/>
    <hyperlink xmlns:r="http://schemas.openxmlformats.org/officeDocument/2006/relationships" ref="H5" r:id="rId24"/>
    <hyperlink xmlns:r="http://schemas.openxmlformats.org/officeDocument/2006/relationships" ref="P5" r:id="rId25"/>
    <hyperlink xmlns:r="http://schemas.openxmlformats.org/officeDocument/2006/relationships" ref="T5" r:id="rId26"/>
    <hyperlink xmlns:r="http://schemas.openxmlformats.org/officeDocument/2006/relationships" ref="X5" r:id="rId27"/>
    <hyperlink xmlns:r="http://schemas.openxmlformats.org/officeDocument/2006/relationships" ref="AV5" r:id="rId28"/>
    <hyperlink xmlns:r="http://schemas.openxmlformats.org/officeDocument/2006/relationships" ref="C6" r:id="rId29"/>
    <hyperlink xmlns:r="http://schemas.openxmlformats.org/officeDocument/2006/relationships" ref="D6" r:id="rId30"/>
    <hyperlink xmlns:r="http://schemas.openxmlformats.org/officeDocument/2006/relationships" ref="H6" r:id="rId31"/>
    <hyperlink xmlns:r="http://schemas.openxmlformats.org/officeDocument/2006/relationships" ref="P6" r:id="rId32"/>
    <hyperlink xmlns:r="http://schemas.openxmlformats.org/officeDocument/2006/relationships" ref="T6" r:id="rId33"/>
    <hyperlink xmlns:r="http://schemas.openxmlformats.org/officeDocument/2006/relationships" ref="X6" r:id="rId34"/>
    <hyperlink xmlns:r="http://schemas.openxmlformats.org/officeDocument/2006/relationships" ref="AV6" r:id="rId35"/>
    <hyperlink xmlns:r="http://schemas.openxmlformats.org/officeDocument/2006/relationships" ref="C7" r:id="rId36"/>
    <hyperlink xmlns:r="http://schemas.openxmlformats.org/officeDocument/2006/relationships" ref="D7" r:id="rId37"/>
    <hyperlink xmlns:r="http://schemas.openxmlformats.org/officeDocument/2006/relationships" ref="H7" r:id="rId38"/>
    <hyperlink xmlns:r="http://schemas.openxmlformats.org/officeDocument/2006/relationships" ref="P7" r:id="rId39"/>
    <hyperlink xmlns:r="http://schemas.openxmlformats.org/officeDocument/2006/relationships" ref="T7" r:id="rId40"/>
    <hyperlink xmlns:r="http://schemas.openxmlformats.org/officeDocument/2006/relationships" ref="X7" r:id="rId41"/>
    <hyperlink xmlns:r="http://schemas.openxmlformats.org/officeDocument/2006/relationships" ref="AV7" r:id="rId42"/>
    <hyperlink xmlns:r="http://schemas.openxmlformats.org/officeDocument/2006/relationships" ref="C8" r:id="rId43"/>
    <hyperlink xmlns:r="http://schemas.openxmlformats.org/officeDocument/2006/relationships" ref="D8" r:id="rId44"/>
    <hyperlink xmlns:r="http://schemas.openxmlformats.org/officeDocument/2006/relationships" ref="H8" r:id="rId45"/>
    <hyperlink xmlns:r="http://schemas.openxmlformats.org/officeDocument/2006/relationships" ref="P8" r:id="rId46"/>
    <hyperlink xmlns:r="http://schemas.openxmlformats.org/officeDocument/2006/relationships" ref="T8" r:id="rId47"/>
    <hyperlink xmlns:r="http://schemas.openxmlformats.org/officeDocument/2006/relationships" ref="X8" r:id="rId48"/>
    <hyperlink xmlns:r="http://schemas.openxmlformats.org/officeDocument/2006/relationships" ref="AV8" r:id="rId49"/>
    <hyperlink xmlns:r="http://schemas.openxmlformats.org/officeDocument/2006/relationships" ref="C9" r:id="rId50"/>
    <hyperlink xmlns:r="http://schemas.openxmlformats.org/officeDocument/2006/relationships" ref="D9" r:id="rId51"/>
    <hyperlink xmlns:r="http://schemas.openxmlformats.org/officeDocument/2006/relationships" ref="H9" r:id="rId52"/>
    <hyperlink xmlns:r="http://schemas.openxmlformats.org/officeDocument/2006/relationships" ref="P9" r:id="rId53"/>
    <hyperlink xmlns:r="http://schemas.openxmlformats.org/officeDocument/2006/relationships" ref="T9" r:id="rId54"/>
    <hyperlink xmlns:r="http://schemas.openxmlformats.org/officeDocument/2006/relationships" ref="X9" r:id="rId55"/>
    <hyperlink xmlns:r="http://schemas.openxmlformats.org/officeDocument/2006/relationships" ref="AV9" r:id="rId56"/>
    <hyperlink xmlns:r="http://schemas.openxmlformats.org/officeDocument/2006/relationships" ref="C10" r:id="rId57"/>
    <hyperlink xmlns:r="http://schemas.openxmlformats.org/officeDocument/2006/relationships" ref="D10" r:id="rId58"/>
    <hyperlink xmlns:r="http://schemas.openxmlformats.org/officeDocument/2006/relationships" ref="H10" r:id="rId59"/>
    <hyperlink xmlns:r="http://schemas.openxmlformats.org/officeDocument/2006/relationships" ref="P10" r:id="rId60"/>
    <hyperlink xmlns:r="http://schemas.openxmlformats.org/officeDocument/2006/relationships" ref="T10" r:id="rId61"/>
    <hyperlink xmlns:r="http://schemas.openxmlformats.org/officeDocument/2006/relationships" ref="X10" r:id="rId62"/>
    <hyperlink xmlns:r="http://schemas.openxmlformats.org/officeDocument/2006/relationships" ref="AV10" r:id="rId63"/>
    <hyperlink xmlns:r="http://schemas.openxmlformats.org/officeDocument/2006/relationships" ref="C11" r:id="rId64"/>
    <hyperlink xmlns:r="http://schemas.openxmlformats.org/officeDocument/2006/relationships" ref="D11" r:id="rId65"/>
    <hyperlink xmlns:r="http://schemas.openxmlformats.org/officeDocument/2006/relationships" ref="H11" r:id="rId66"/>
    <hyperlink xmlns:r="http://schemas.openxmlformats.org/officeDocument/2006/relationships" ref="AV11" r:id="rId67"/>
    <hyperlink xmlns:r="http://schemas.openxmlformats.org/officeDocument/2006/relationships" ref="C12" r:id="rId68"/>
    <hyperlink xmlns:r="http://schemas.openxmlformats.org/officeDocument/2006/relationships" ref="D12" r:id="rId69"/>
    <hyperlink xmlns:r="http://schemas.openxmlformats.org/officeDocument/2006/relationships" ref="H12" r:id="rId70"/>
    <hyperlink xmlns:r="http://schemas.openxmlformats.org/officeDocument/2006/relationships" ref="P12" r:id="rId71"/>
    <hyperlink xmlns:r="http://schemas.openxmlformats.org/officeDocument/2006/relationships" ref="T12" r:id="rId72"/>
    <hyperlink xmlns:r="http://schemas.openxmlformats.org/officeDocument/2006/relationships" ref="X12" r:id="rId73"/>
    <hyperlink xmlns:r="http://schemas.openxmlformats.org/officeDocument/2006/relationships" ref="AV12" r:id="rId74"/>
    <hyperlink xmlns:r="http://schemas.openxmlformats.org/officeDocument/2006/relationships" ref="C13" r:id="rId75"/>
    <hyperlink xmlns:r="http://schemas.openxmlformats.org/officeDocument/2006/relationships" ref="D13" r:id="rId76"/>
    <hyperlink xmlns:r="http://schemas.openxmlformats.org/officeDocument/2006/relationships" ref="H13" r:id="rId77"/>
    <hyperlink xmlns:r="http://schemas.openxmlformats.org/officeDocument/2006/relationships" ref="AV13" r:id="rId78"/>
    <hyperlink xmlns:r="http://schemas.openxmlformats.org/officeDocument/2006/relationships" ref="C14" r:id="rId79"/>
    <hyperlink xmlns:r="http://schemas.openxmlformats.org/officeDocument/2006/relationships" ref="D14" r:id="rId80"/>
    <hyperlink xmlns:r="http://schemas.openxmlformats.org/officeDocument/2006/relationships" ref="H14" r:id="rId81"/>
    <hyperlink xmlns:r="http://schemas.openxmlformats.org/officeDocument/2006/relationships" ref="P14" r:id="rId82"/>
    <hyperlink xmlns:r="http://schemas.openxmlformats.org/officeDocument/2006/relationships" ref="T14" r:id="rId83"/>
    <hyperlink xmlns:r="http://schemas.openxmlformats.org/officeDocument/2006/relationships" ref="X14" r:id="rId84"/>
    <hyperlink xmlns:r="http://schemas.openxmlformats.org/officeDocument/2006/relationships" ref="AV14" r:id="rId85"/>
    <hyperlink xmlns:r="http://schemas.openxmlformats.org/officeDocument/2006/relationships" ref="C15" r:id="rId86"/>
    <hyperlink xmlns:r="http://schemas.openxmlformats.org/officeDocument/2006/relationships" ref="D15" r:id="rId87"/>
    <hyperlink xmlns:r="http://schemas.openxmlformats.org/officeDocument/2006/relationships" ref="H15" r:id="rId88"/>
    <hyperlink xmlns:r="http://schemas.openxmlformats.org/officeDocument/2006/relationships" ref="P15" r:id="rId89"/>
    <hyperlink xmlns:r="http://schemas.openxmlformats.org/officeDocument/2006/relationships" ref="T15" r:id="rId90"/>
    <hyperlink xmlns:r="http://schemas.openxmlformats.org/officeDocument/2006/relationships" ref="X15" r:id="rId91"/>
    <hyperlink xmlns:r="http://schemas.openxmlformats.org/officeDocument/2006/relationships" ref="AV15" r:id="rId92"/>
    <hyperlink xmlns:r="http://schemas.openxmlformats.org/officeDocument/2006/relationships" ref="C16" r:id="rId93"/>
    <hyperlink xmlns:r="http://schemas.openxmlformats.org/officeDocument/2006/relationships" ref="D16" r:id="rId94"/>
    <hyperlink xmlns:r="http://schemas.openxmlformats.org/officeDocument/2006/relationships" ref="H16" r:id="rId95"/>
    <hyperlink xmlns:r="http://schemas.openxmlformats.org/officeDocument/2006/relationships" ref="P16" r:id="rId96"/>
    <hyperlink xmlns:r="http://schemas.openxmlformats.org/officeDocument/2006/relationships" ref="T16" r:id="rId97"/>
    <hyperlink xmlns:r="http://schemas.openxmlformats.org/officeDocument/2006/relationships" ref="X16" r:id="rId98"/>
    <hyperlink xmlns:r="http://schemas.openxmlformats.org/officeDocument/2006/relationships" ref="AV16" r:id="rId99"/>
    <hyperlink xmlns:r="http://schemas.openxmlformats.org/officeDocument/2006/relationships" ref="C17" r:id="rId100"/>
    <hyperlink xmlns:r="http://schemas.openxmlformats.org/officeDocument/2006/relationships" ref="D17" r:id="rId101"/>
    <hyperlink xmlns:r="http://schemas.openxmlformats.org/officeDocument/2006/relationships" ref="H17" r:id="rId102"/>
    <hyperlink xmlns:r="http://schemas.openxmlformats.org/officeDocument/2006/relationships" ref="P17" r:id="rId103"/>
    <hyperlink xmlns:r="http://schemas.openxmlformats.org/officeDocument/2006/relationships" ref="T17" r:id="rId104"/>
    <hyperlink xmlns:r="http://schemas.openxmlformats.org/officeDocument/2006/relationships" ref="X17" r:id="rId105"/>
    <hyperlink xmlns:r="http://schemas.openxmlformats.org/officeDocument/2006/relationships" ref="AV17" r:id="rId106"/>
    <hyperlink xmlns:r="http://schemas.openxmlformats.org/officeDocument/2006/relationships" ref="C18" r:id="rId107"/>
    <hyperlink xmlns:r="http://schemas.openxmlformats.org/officeDocument/2006/relationships" ref="D18" r:id="rId108"/>
    <hyperlink xmlns:r="http://schemas.openxmlformats.org/officeDocument/2006/relationships" ref="H18" r:id="rId109"/>
    <hyperlink xmlns:r="http://schemas.openxmlformats.org/officeDocument/2006/relationships" ref="P18" r:id="rId110"/>
    <hyperlink xmlns:r="http://schemas.openxmlformats.org/officeDocument/2006/relationships" ref="T18" r:id="rId111"/>
    <hyperlink xmlns:r="http://schemas.openxmlformats.org/officeDocument/2006/relationships" ref="X18" r:id="rId112"/>
    <hyperlink xmlns:r="http://schemas.openxmlformats.org/officeDocument/2006/relationships" ref="AV18" r:id="rId113"/>
    <hyperlink xmlns:r="http://schemas.openxmlformats.org/officeDocument/2006/relationships" ref="C19" r:id="rId114"/>
    <hyperlink xmlns:r="http://schemas.openxmlformats.org/officeDocument/2006/relationships" ref="D19" r:id="rId115"/>
    <hyperlink xmlns:r="http://schemas.openxmlformats.org/officeDocument/2006/relationships" ref="H19" r:id="rId116"/>
    <hyperlink xmlns:r="http://schemas.openxmlformats.org/officeDocument/2006/relationships" ref="AV19" r:id="rId117"/>
    <hyperlink xmlns:r="http://schemas.openxmlformats.org/officeDocument/2006/relationships" ref="C20" r:id="rId118"/>
    <hyperlink xmlns:r="http://schemas.openxmlformats.org/officeDocument/2006/relationships" ref="D20" r:id="rId119"/>
    <hyperlink xmlns:r="http://schemas.openxmlformats.org/officeDocument/2006/relationships" ref="H20" r:id="rId120"/>
    <hyperlink xmlns:r="http://schemas.openxmlformats.org/officeDocument/2006/relationships" ref="P20" r:id="rId121"/>
    <hyperlink xmlns:r="http://schemas.openxmlformats.org/officeDocument/2006/relationships" ref="T20" r:id="rId122"/>
    <hyperlink xmlns:r="http://schemas.openxmlformats.org/officeDocument/2006/relationships" ref="X20" r:id="rId123"/>
    <hyperlink xmlns:r="http://schemas.openxmlformats.org/officeDocument/2006/relationships" ref="AV20" r:id="rId124"/>
    <hyperlink xmlns:r="http://schemas.openxmlformats.org/officeDocument/2006/relationships" ref="C21" r:id="rId125"/>
    <hyperlink xmlns:r="http://schemas.openxmlformats.org/officeDocument/2006/relationships" ref="D21" r:id="rId126"/>
    <hyperlink xmlns:r="http://schemas.openxmlformats.org/officeDocument/2006/relationships" ref="H21" r:id="rId127"/>
    <hyperlink xmlns:r="http://schemas.openxmlformats.org/officeDocument/2006/relationships" ref="P21" r:id="rId128"/>
    <hyperlink xmlns:r="http://schemas.openxmlformats.org/officeDocument/2006/relationships" ref="T21" r:id="rId129"/>
    <hyperlink xmlns:r="http://schemas.openxmlformats.org/officeDocument/2006/relationships" ref="X21" r:id="rId130"/>
    <hyperlink xmlns:r="http://schemas.openxmlformats.org/officeDocument/2006/relationships" ref="AV21" r:id="rId131"/>
    <hyperlink xmlns:r="http://schemas.openxmlformats.org/officeDocument/2006/relationships" ref="C22" r:id="rId132"/>
    <hyperlink xmlns:r="http://schemas.openxmlformats.org/officeDocument/2006/relationships" ref="D22" r:id="rId133"/>
    <hyperlink xmlns:r="http://schemas.openxmlformats.org/officeDocument/2006/relationships" ref="H22" r:id="rId134"/>
    <hyperlink xmlns:r="http://schemas.openxmlformats.org/officeDocument/2006/relationships" ref="P22" r:id="rId135"/>
    <hyperlink xmlns:r="http://schemas.openxmlformats.org/officeDocument/2006/relationships" ref="T22" r:id="rId136"/>
    <hyperlink xmlns:r="http://schemas.openxmlformats.org/officeDocument/2006/relationships" ref="X22" r:id="rId137"/>
    <hyperlink xmlns:r="http://schemas.openxmlformats.org/officeDocument/2006/relationships" ref="AV22" r:id="rId138"/>
    <hyperlink xmlns:r="http://schemas.openxmlformats.org/officeDocument/2006/relationships" ref="C23" r:id="rId139"/>
    <hyperlink xmlns:r="http://schemas.openxmlformats.org/officeDocument/2006/relationships" ref="D23" r:id="rId140"/>
    <hyperlink xmlns:r="http://schemas.openxmlformats.org/officeDocument/2006/relationships" ref="H23" r:id="rId141"/>
    <hyperlink xmlns:r="http://schemas.openxmlformats.org/officeDocument/2006/relationships" ref="P23" r:id="rId142"/>
    <hyperlink xmlns:r="http://schemas.openxmlformats.org/officeDocument/2006/relationships" ref="T23" r:id="rId143"/>
    <hyperlink xmlns:r="http://schemas.openxmlformats.org/officeDocument/2006/relationships" ref="X23" r:id="rId144"/>
    <hyperlink xmlns:r="http://schemas.openxmlformats.org/officeDocument/2006/relationships" ref="AV23" r:id="rId145"/>
    <hyperlink xmlns:r="http://schemas.openxmlformats.org/officeDocument/2006/relationships" ref="C24" r:id="rId146"/>
    <hyperlink xmlns:r="http://schemas.openxmlformats.org/officeDocument/2006/relationships" ref="D24" r:id="rId147"/>
    <hyperlink xmlns:r="http://schemas.openxmlformats.org/officeDocument/2006/relationships" ref="H24" r:id="rId148"/>
    <hyperlink xmlns:r="http://schemas.openxmlformats.org/officeDocument/2006/relationships" ref="P24" r:id="rId149"/>
    <hyperlink xmlns:r="http://schemas.openxmlformats.org/officeDocument/2006/relationships" ref="T24" r:id="rId150"/>
    <hyperlink xmlns:r="http://schemas.openxmlformats.org/officeDocument/2006/relationships" ref="X24" r:id="rId151"/>
    <hyperlink xmlns:r="http://schemas.openxmlformats.org/officeDocument/2006/relationships" ref="AV24" r:id="rId152"/>
    <hyperlink xmlns:r="http://schemas.openxmlformats.org/officeDocument/2006/relationships" ref="C25" r:id="rId153"/>
    <hyperlink xmlns:r="http://schemas.openxmlformats.org/officeDocument/2006/relationships" ref="D25" r:id="rId154"/>
    <hyperlink xmlns:r="http://schemas.openxmlformats.org/officeDocument/2006/relationships" ref="H25" r:id="rId155"/>
    <hyperlink xmlns:r="http://schemas.openxmlformats.org/officeDocument/2006/relationships" ref="P25" r:id="rId156"/>
    <hyperlink xmlns:r="http://schemas.openxmlformats.org/officeDocument/2006/relationships" ref="T25" r:id="rId157"/>
    <hyperlink xmlns:r="http://schemas.openxmlformats.org/officeDocument/2006/relationships" ref="X25" r:id="rId158"/>
    <hyperlink xmlns:r="http://schemas.openxmlformats.org/officeDocument/2006/relationships" ref="AV25" r:id="rId159"/>
    <hyperlink xmlns:r="http://schemas.openxmlformats.org/officeDocument/2006/relationships" ref="C26" r:id="rId160"/>
    <hyperlink xmlns:r="http://schemas.openxmlformats.org/officeDocument/2006/relationships" ref="D26" r:id="rId161"/>
    <hyperlink xmlns:r="http://schemas.openxmlformats.org/officeDocument/2006/relationships" ref="H26" r:id="rId162"/>
    <hyperlink xmlns:r="http://schemas.openxmlformats.org/officeDocument/2006/relationships" ref="P26" r:id="rId163"/>
    <hyperlink xmlns:r="http://schemas.openxmlformats.org/officeDocument/2006/relationships" ref="T26" r:id="rId164"/>
    <hyperlink xmlns:r="http://schemas.openxmlformats.org/officeDocument/2006/relationships" ref="X26" r:id="rId165"/>
    <hyperlink xmlns:r="http://schemas.openxmlformats.org/officeDocument/2006/relationships" ref="AV26" r:id="rId166"/>
    <hyperlink xmlns:r="http://schemas.openxmlformats.org/officeDocument/2006/relationships" ref="C27" r:id="rId167"/>
    <hyperlink xmlns:r="http://schemas.openxmlformats.org/officeDocument/2006/relationships" ref="D27" r:id="rId168"/>
    <hyperlink xmlns:r="http://schemas.openxmlformats.org/officeDocument/2006/relationships" ref="H27" r:id="rId169"/>
    <hyperlink xmlns:r="http://schemas.openxmlformats.org/officeDocument/2006/relationships" ref="P27" r:id="rId170"/>
    <hyperlink xmlns:r="http://schemas.openxmlformats.org/officeDocument/2006/relationships" ref="T27" r:id="rId171"/>
    <hyperlink xmlns:r="http://schemas.openxmlformats.org/officeDocument/2006/relationships" ref="X27" r:id="rId172"/>
    <hyperlink xmlns:r="http://schemas.openxmlformats.org/officeDocument/2006/relationships" ref="AV27" r:id="rId17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02"/>
  <sheetViews>
    <sheetView showGridLines="1" workbookViewId="0">
      <pane ySplit="1" topLeftCell="A2" activePane="bottomLeft" state="frozen"/>
      <selection pane="bottomLeft" activeCell="A1" sqref="A1"/>
    </sheetView>
  </sheetViews>
  <sheetFormatPr baseColWidth="8" defaultRowHeight="15"/>
  <cols>
    <col width="24" customWidth="1" min="1" max="1"/>
    <col width="36" customWidth="1" min="2" max="2"/>
    <col width="53" customWidth="1" min="3" max="3"/>
    <col width="24" customWidth="1" min="4" max="4"/>
    <col width="97" customWidth="1" min="5" max="5"/>
    <col width="50" customWidth="1" min="6" max="6"/>
    <col width="15" customWidth="1" min="7" max="7"/>
    <col width="38" customWidth="1" min="8" max="8"/>
    <col width="16" customWidth="1" min="9" max="9"/>
    <col width="51" customWidth="1" min="10" max="10"/>
    <col width="16" customWidth="1" min="11" max="11"/>
    <col width="38" customWidth="1" min="12" max="12"/>
    <col width="50" customWidth="1" min="13" max="13"/>
    <col width="45" customWidth="1" min="14" max="14"/>
    <col width="40" customWidth="1" min="15" max="15"/>
    <col width="48" customWidth="1" min="16" max="16"/>
    <col width="45" customWidth="1" min="17" max="17"/>
    <col width="50" customWidth="1" min="18" max="18"/>
    <col width="40" customWidth="1" min="19" max="19"/>
    <col width="47" customWidth="1" min="20" max="20"/>
    <col width="45" customWidth="1" min="21" max="21"/>
    <col width="50" customWidth="1" min="22" max="22"/>
    <col width="40" customWidth="1" min="23" max="23"/>
    <col width="92" customWidth="1" min="24" max="24"/>
    <col width="45" customWidth="1" min="25" max="25"/>
    <col width="29" customWidth="1" min="26" max="26"/>
    <col width="38" customWidth="1" min="27" max="27"/>
    <col width="38" customWidth="1" min="28" max="28"/>
    <col width="17" customWidth="1" min="29" max="29"/>
    <col width="25" customWidth="1" min="30" max="30"/>
    <col width="40" customWidth="1" min="31" max="31"/>
    <col width="38" customWidth="1" min="32" max="32"/>
    <col width="172" customWidth="1" min="33" max="33"/>
    <col width="377" customWidth="1" min="34" max="34"/>
    <col width="18" customWidth="1" min="35" max="35"/>
    <col width="50" customWidth="1" min="36" max="36"/>
    <col width="22" customWidth="1" min="37" max="37"/>
    <col width="68" customWidth="1" min="38" max="38"/>
    <col width="25" customWidth="1" min="39" max="39"/>
    <col width="29" customWidth="1" min="40" max="40"/>
    <col width="32" customWidth="1" min="41" max="41"/>
    <col width="29" customWidth="1" min="42" max="42"/>
    <col width="19" customWidth="1" min="43" max="43"/>
    <col width="23" customWidth="1" min="44" max="44"/>
    <col width="29" customWidth="1" min="45" max="45"/>
    <col width="23" customWidth="1" min="46" max="46"/>
    <col width="17" customWidth="1" min="47" max="47"/>
    <col width="44" customWidth="1" min="48" max="48"/>
  </cols>
  <sheetData>
    <row r="1" ht="28" customHeight="1">
      <c r="A1" s="1" t="inlineStr">
        <is>
          <t>Name</t>
        </is>
      </c>
      <c r="B1" s="1" t="inlineStr">
        <is>
          <t>University</t>
        </is>
      </c>
      <c r="C1" s="1" t="inlineStr">
        <is>
          <t>Profile URL</t>
        </is>
      </c>
      <c r="D1" s="1" t="inlineStr">
        <is>
          <t>Google Scholar URL</t>
        </is>
      </c>
      <c r="E1" s="1" t="inlineStr">
        <is>
          <t>Job Title</t>
        </is>
      </c>
      <c r="F1" s="1" t="inlineStr">
        <is>
          <t>Department</t>
        </is>
      </c>
      <c r="G1" s="1" t="inlineStr">
        <is>
          <t>Scholar ID</t>
        </is>
      </c>
      <c r="H1" s="1" t="inlineStr">
        <is>
          <t>Email</t>
        </is>
      </c>
      <c r="I1" s="1" t="inlineStr">
        <is>
          <t>Research Tier</t>
        </is>
      </c>
      <c r="J1" s="1" t="inlineStr">
        <is>
          <t>Research Category</t>
        </is>
      </c>
      <c r="K1" s="1" t="inlineStr">
        <is>
          <t>Matched Count</t>
        </is>
      </c>
      <c r="L1" s="1" t="inlineStr">
        <is>
          <t>Matched Fields</t>
        </is>
      </c>
      <c r="M1" s="1" t="inlineStr">
        <is>
          <t>Research Hook</t>
        </is>
      </c>
      <c r="N1" s="1" t="inlineStr">
        <is>
          <t>Tech Stack</t>
        </is>
      </c>
      <c r="O1" s="1" t="inlineStr">
        <is>
          <t>Flagship 1 Title</t>
        </is>
      </c>
      <c r="P1" s="1" t="inlineStr">
        <is>
          <t>Flagship 1 DOI</t>
        </is>
      </c>
      <c r="Q1" s="1" t="inlineStr">
        <is>
          <t>Flagship 1 Tripartite Finding</t>
        </is>
      </c>
      <c r="R1" s="1" t="inlineStr">
        <is>
          <t>Flagship 1 Abstract</t>
        </is>
      </c>
      <c r="S1" s="1" t="inlineStr">
        <is>
          <t>Flagship 2 Title</t>
        </is>
      </c>
      <c r="T1" s="1" t="inlineStr">
        <is>
          <t>Flagship 2 DOI</t>
        </is>
      </c>
      <c r="U1" s="1" t="inlineStr">
        <is>
          <t>Flagship 2 Tripartite Finding</t>
        </is>
      </c>
      <c r="V1" s="1" t="inlineStr">
        <is>
          <t>Flagship 2 Abstract</t>
        </is>
      </c>
      <c r="W1" s="1" t="inlineStr">
        <is>
          <t>Flagship Paper Hook</t>
        </is>
      </c>
      <c r="X1" s="1" t="inlineStr">
        <is>
          <t>Flagship Paper DOI</t>
        </is>
      </c>
      <c r="Y1" s="1" t="inlineStr">
        <is>
          <t>Physical Finding</t>
        </is>
      </c>
      <c r="Z1" s="1" t="inlineStr">
        <is>
          <t>Latest Paper / Publication</t>
        </is>
      </c>
      <c r="AA1" s="1" t="inlineStr">
        <is>
          <t>Recent Papers (2023-2026)</t>
        </is>
      </c>
      <c r="AB1" s="1" t="inlineStr">
        <is>
          <t>Top Cited Papers</t>
        </is>
      </c>
      <c r="AC1" s="1" t="inlineStr">
        <is>
          <t>Courses Taught</t>
        </is>
      </c>
      <c r="AD1" s="1" t="inlineStr">
        <is>
          <t>Recent Awards / Honors</t>
        </is>
      </c>
      <c r="AE1" s="1" t="inlineStr">
        <is>
          <t>Cold Email / Application Instructions</t>
        </is>
      </c>
      <c r="AF1" s="1" t="inlineStr">
        <is>
          <t>OpenAlex Research Topics</t>
        </is>
      </c>
      <c r="AG1" s="1" t="inlineStr">
        <is>
          <t>Google Scholar Tags</t>
        </is>
      </c>
      <c r="AH1" s="1" t="inlineStr">
        <is>
          <t>Research Interests</t>
        </is>
      </c>
      <c r="AI1" s="1" t="inlineStr">
        <is>
          <t>Expertise Areas</t>
        </is>
      </c>
      <c r="AJ1" s="1" t="inlineStr">
        <is>
          <t>Research / Bio Summary</t>
        </is>
      </c>
      <c r="AK1" s="1" t="inlineStr">
        <is>
          <t>Education / Degrees</t>
        </is>
      </c>
      <c r="AL1" s="1" t="inlineStr">
        <is>
          <t>Lab / Research Group Name</t>
        </is>
      </c>
      <c r="AM1" s="1" t="inlineStr">
        <is>
          <t>Lab / Personal Website</t>
        </is>
      </c>
      <c r="AN1" s="1" t="inlineStr">
        <is>
          <t>Actively Hiring / Openings</t>
        </is>
      </c>
      <c r="AO1" s="1" t="inlineStr">
        <is>
          <t>Target Skills / Prerequisites</t>
        </is>
      </c>
      <c r="AP1" s="1" t="inlineStr">
        <is>
          <t>Lab Facilities &amp; Equipment</t>
        </is>
      </c>
      <c r="AQ1" s="1" t="inlineStr">
        <is>
          <t>Funding Sponsors</t>
        </is>
      </c>
      <c r="AR1" s="1" t="inlineStr">
        <is>
          <t>Software / Code Repo</t>
        </is>
      </c>
      <c r="AS1" s="1" t="inlineStr">
        <is>
          <t>Latest Project / Highlight</t>
        </is>
      </c>
      <c r="AT1" s="1" t="inlineStr">
        <is>
          <t>Office Location</t>
        </is>
      </c>
      <c r="AU1" s="1" t="inlineStr">
        <is>
          <t>Is Field Match</t>
        </is>
      </c>
      <c r="AV1" s="1" t="inlineStr">
        <is>
          <t>Directory URL</t>
        </is>
      </c>
    </row>
    <row r="2">
      <c r="A2" s="2" t="inlineStr">
        <is>
          <t>Laxminarayan L. Raja</t>
        </is>
      </c>
      <c r="B2" s="2" t="inlineStr">
        <is>
          <t>The University of Texas at Austin</t>
        </is>
      </c>
      <c r="C2" s="3">
        <f>HYPERLINK("https://ae.utexas.edu/person/laxminarayan-l-raja/", "https://ae.utexas.edu/person/laxminarayan-l-raja/")</f>
        <v/>
      </c>
      <c r="D2" s="3">
        <f>HYPERLINK("https://scholar.google.com/citations?view_op=search_authors&amp;mauthors=Laxminarayan%20L.%20Raja%20University%20of%20Texas%20at%20Austin", "Google Scholar Search")</f>
        <v/>
      </c>
      <c r="E2" s="2" t="inlineStr">
        <is>
          <t>Professor</t>
        </is>
      </c>
      <c r="F2" s="2" t="inlineStr">
        <is>
          <t>Aerospace Engineering and Engineering Mechanics</t>
        </is>
      </c>
      <c r="G2" s="2" t="inlineStr"/>
      <c r="H2" s="3">
        <f>HYPERLINK("mailto:lraja@mail.utexas.edu", "lraja@mail.utexas.edu")</f>
        <v/>
      </c>
      <c r="I2" s="2" t="n">
        <v>1</v>
      </c>
      <c r="J2" s="2" t="inlineStr">
        <is>
          <t>🔵 Tier 1: Core Aero / Fluids / Propulsion</t>
        </is>
      </c>
      <c r="K2" s="2" t="n">
        <v>7</v>
      </c>
      <c r="L2" s="2" t="inlineStr">
        <is>
          <t>aerospace, flow control, fluid dynamics, hypersonic, propulsion, satellite, supersonic</t>
        </is>
      </c>
      <c r="M2" s="2" t="inlineStr">
        <is>
          <t>Magnetohydrodynamic (MHD) modeling of pulsed plasma accelerators, non-equilibrium plasma chemistry, and pulse-shaping optimization for air-breathing VLEO electric propulsion.</t>
        </is>
      </c>
      <c r="N2" s="2" t="inlineStr">
        <is>
          <t>Magnetohydrodynamic (MHD) solvers, Electron Boltzmann transport codes, State-to-state collisional-radiative kinetics, Pulsed power circuitry, Coaxial thruster testbed</t>
        </is>
      </c>
      <c r="O2" s="2" t="inlineStr">
        <is>
          <t>Pulse Shaping Increases Efficiency in Pulsed Plasma Accelerators</t>
        </is>
      </c>
      <c r="P2" s="3">
        <f>HYPERLINK("https://doi.org/10.48550/arxiv.2607.28976", "https://doi.org/10.48550/arxiv.2607.28976")</f>
        <v/>
      </c>
      <c r="Q2" s="2" t="inlineStr">
        <is>
          <t>demonstrating that current pulse shaping in pulsed electromagnetic accelerators aligns electrical energy deposition with local propellant gas ionization dynamics, yielding a measurable improvement in overall thruster electrical-to-kinetic energy conversion efficiency.</t>
        </is>
      </c>
      <c r="R2" s="2" t="inlineStr">
        <is>
          <t>The performance of a gas-fed pulsed electromagnetic thruster is governed by the ability to deposit electrical energy while propellant is available for acceleration. Current pulsed-power systems require tradeoffs between high-current discharges that produce high exhaust velocities and longer pulses that overlap the energy deposition with more of the gas injection. This limited control restricts the specific impulse and mass utilization of these thrusters. This work introduces programmable pulse shaping as a method to increase control over energy deposition and expand the accessible operating space. We use solid-state integrated power modules to vary the discharge delay, pulse width, peak current, and the shape of the current waveform as propellant is injected. Experiments varying pulse widths from 30 to 500 $μ$s and peak currents from 3 kA to 16 kA show that short, high-current pulses produce higher exhaust velocities and greater impulse bits than longer, lower-current pulses at comparable discharge energy. The switches also enable multiple discharges of arbitrary positioning and duration during a single gas injection. This micro-burst operation is shown to increase specific impulse in air by 278\% from 840 to 3177 s through improved propellant utilization. This same pulse shaping ability is found to increase thrust efficiency from 0.2\% in single-shot operation to 3.3\% in micro-burst operation while operating with air.</t>
        </is>
      </c>
      <c r="S2" s="2" t="inlineStr">
        <is>
          <t>MHD modeling of magneto-deflagration and magneto-detonation modes of air plasma jets in coaxial plasma accelerators in VLEO</t>
        </is>
      </c>
      <c r="T2" s="3">
        <f>HYPERLINK("https://doi.org/10.1063/5.0325672", "https://doi.org/10.1063/5.0325672")</f>
        <v/>
      </c>
      <c r="U2" s="2" t="inlineStr">
        <is>
          <t>performing multi-fluid MHD simulations of air plasma jets in coaxial accelerators under VLEO conditions, identifying the specific magnetic Reynolds number thresholds separating steady magneto-deflagration acceleration from high-loss magneto-detonation shock fronts.</t>
        </is>
      </c>
      <c r="V2" s="2" t="inlineStr">
        <is>
          <t>Gas-fed coaxial plasma accelerators exhibit distinct magnetohydrodynamic (MHD) discharge modes, yet the gas-field coupling governing their formation and evolution under very low Earth orbit (VLEO) relevant conditions using air as the propellant is not fully characterized. These discharge modes dictate plume morphology and dynamics, influencing downstream flow characteristics. Understanding the structure of MHD flows has applications in increasing specific impulse and propellant utilization in electromagnetic thrusters, as well as in understanding the origin of astrophysical flows. This study employs 2D resistive MHD modeling to investigate how gas-loading conditions influence the establishment and subsequent evolution of MHD regimes, and how these evolving modes affect plasma dynamics and structure in coaxial plasma thrusters under VLEO-relevant conditions. The numerical framework adopts a validated plasma–vacuum interface tracking algorithm, ensuring a physically consistent representation of magnetized air plasma jet expansion into a vacuum, which is essential for capturing the magneto-deflagration MHD mode. Simulation results are compared with experimental observations of broadband plasma structure, exhaust velocity, and impulse bit, demonstrating agreement. In magneto-deflagration mode, efficient conversion of input energy into directed kinetic energy yields high exit velocities (∼65 km/s) and impulse bits; in magneto-detonation regime, shock-related thermal dissipation reduces exit velocities (∼30 km/s) and impulse bits. A sensitivity analysis identified inlet temperature as the dominant factor affecting impulse bit. Overall, simulation findings showed the dependence of MHD regimes on initial gas-loading profiles, identified transition behavior associated with their onset and evolution, and predicted the resulting transformations in plume structure and dynamics.</t>
        </is>
      </c>
      <c r="W2" s="2" t="inlineStr">
        <is>
          <t>1. Pulse Shaping Increases Efficiency in Pulsed Plasma Accelerators (arXiv, 2026) | 2. MHD modeling of magneto-deflagration and magneto-detonation modes of air plasma jets in coaxial plasma accelerators in VLEO (Journal of Applied Physics, 2026)</t>
        </is>
      </c>
      <c r="X2" s="3">
        <f>HYPERLINK("https://doi.org/10.48550/arxiv.2607.28976", "https://doi.org/10.48550/arxiv.2607.28976 | https://doi.org/10.1063/5.0325672")</f>
        <v/>
      </c>
      <c r="Y2" s="2" t="inlineStr">
        <is>
          <t>demonstrating that current pulse shaping in pulsed electromagnetic accelerators aligns electrical energy deposition with local propellant gas ionization dynamics, yielding a measurable improvement in overall thruster electrical-to-kinetic energy conversion efficiency.</t>
        </is>
      </c>
      <c r="Z2" s="2" t="inlineStr"/>
      <c r="AA2" s="2" t="inlineStr">
        <is>
          <t>"Pulse Shaping Increases Efficiency in Pulsed Plasma Accelerators" [arXiv (Cornell University)] (2026) [DOI: https://doi.org/10.48550/arxiv.2607.28976] | "MHD modeling of magneto-deflagration and magneto-detonation modes of air plasma jets in coaxial plasma accelerators in VLEO" [Journal of Applied Physics] (2026) [DOI: https://doi.org/10.1063/5.0325672] | "A fast and accurate reduced-order model for high-intensity transferred arc discharges" [Journal of Applied Physics] (2026) [DOI: https://doi.org/10.1063/5.0333187] | "State-to-state kinetics and coupled electron-Boltzmann modeling of pulsed RF molecular plasmas" [Journal of Physics D Applied Physics] (2026) [DOI: https://doi.org/10.1088/1361-6463/ae6280] | "Electrical and spectroscopic diagnostics as real-time metallization indicators during hydrogen plasma smelting reduction" [ChemRxiv] (2025) [DOI: https://doi.org/10.26434/chemrxiv-2025-qzhm1]</t>
        </is>
      </c>
      <c r="AB2" s="2" t="inlineStr">
        <is>
          <t>"Computational study of capacitively coupled high-pressure glow discharges in helium" [IEEE Transactions on Plasma Science] (2003, 332 cites) [DOI: https://doi.org/10.1109/tps.2003.815479] | "A critical evaluation of Navier–Stokes, boundary-layer, and plug-flow models of the flow and chemistry in a catalytic-combustion monolith" [Catalysis Today] (2000, 228 cites) [DOI: https://doi.org/10.1016/s0920-5861(00)00271-6] | "Characterization of a High-Frequency Pulsed-Plasma Jet Actuator for Supersonic Flow Control" [AIAA Journal] (2010, 220 cites) [DOI: https://doi.org/10.2514/1.41352]</t>
        </is>
      </c>
      <c r="AC2" s="2" t="inlineStr"/>
      <c r="AD2" s="2" t="inlineStr"/>
      <c r="AE2" s="2" t="inlineStr"/>
      <c r="AF2" s="2" t="inlineStr">
        <is>
          <t>Plasma Diagnostics and Applications (233) | Plasma Applications and Diagnostics (161) | Electrohydrodynamics and Fluid Dynamics (75)</t>
        </is>
      </c>
      <c r="AG2" s="2" t="inlineStr">
        <is>
          <t>Plasma Diagnostics and Applications (233) | Plasma Applications and Diagnostics (161) | Electrohydrodynamics and Fluid Dynamics (75)</t>
        </is>
      </c>
      <c r="AH2" s="2" t="inlineStr">
        <is>
          <t>Atmospheric-pressure non-equilibrium discharge phenomena; Study of rail-armature contact gap plasmas in electromagnetic launchers; Microplasma-based small satellite plasma propulsion; Plasma actuators for low-speed, supersonic and hypersonic flow control; High-performance computing; Computational plasma and fluid dynamics</t>
        </is>
      </c>
      <c r="AI2" s="2" t="inlineStr"/>
      <c r="AJ2" s="2" t="inlineStr">
        <is>
          <t>Atmospheric-pressure non-equilibrium discharge phenomena; Study of rail-armature contact gap plasmas in electromagnetic launchers; Microplasma-based small satellite plasma propulsion; Plasma actuators for low-speed, supersonic and hypersonic flow control; High-performance computing; Computational plasma and fluid dynamics</t>
        </is>
      </c>
      <c r="AK2" s="2" t="inlineStr"/>
      <c r="AL2" s="2" t="inlineStr"/>
      <c r="AM2" s="2" t="inlineStr"/>
      <c r="AN2" s="2" t="inlineStr"/>
      <c r="AO2" s="2" t="inlineStr"/>
      <c r="AP2" s="2" t="inlineStr"/>
      <c r="AQ2" s="2" t="inlineStr"/>
      <c r="AR2" s="2" t="inlineStr"/>
      <c r="AS2" s="2" t="inlineStr"/>
      <c r="AT2" s="2" t="inlineStr">
        <is>
          <t>ASE 4.234</t>
        </is>
      </c>
      <c r="AU2" s="2" t="b">
        <v>1</v>
      </c>
      <c r="AV2" s="3">
        <f>HYPERLINK("https://ae.utexas.edu/people/faculty", "https://ae.utexas.edu/people/faculty")</f>
        <v/>
      </c>
    </row>
    <row r="3">
      <c r="A3" s="2" t="inlineStr">
        <is>
          <t>Fabrizio Bisetti</t>
        </is>
      </c>
      <c r="B3" s="2" t="inlineStr">
        <is>
          <t>The University of Texas at Austin</t>
        </is>
      </c>
      <c r="C3" s="3">
        <f>HYPERLINK("https://ae.utexas.edu/person/fabrizio-bisetti/", "https://ae.utexas.edu/person/fabrizio-bisetti/")</f>
        <v/>
      </c>
      <c r="D3" s="3">
        <f>HYPERLINK("https://scholar.google.com/citations?hl=en&amp;user=P6u6t40AAAAJ", "Scholar (P6u6t40AAAAJ)")</f>
        <v/>
      </c>
      <c r="E3" s="2" t="inlineStr">
        <is>
          <t>Associate Professor</t>
        </is>
      </c>
      <c r="F3" s="2" t="inlineStr">
        <is>
          <t>Aerospace Engineering and Engineering Mechanics</t>
        </is>
      </c>
      <c r="G3" s="2" t="inlineStr">
        <is>
          <t>P6u6t40AAAAJ</t>
        </is>
      </c>
      <c r="H3" s="3">
        <f>HYPERLINK("mailto:fbisetti@utexas.edu", "fbisetti@utexas.edu")</f>
        <v/>
      </c>
      <c r="I3" s="2" t="n">
        <v>1</v>
      </c>
      <c r="J3" s="2" t="inlineStr">
        <is>
          <t>🔵 Tier 1: Core Aero / Fluids / Propulsion</t>
        </is>
      </c>
      <c r="K3" s="2" t="n">
        <v>6</v>
      </c>
      <c r="L3" s="2" t="inlineStr">
        <is>
          <t>aerospace, combustion, fluid mechanics, numerical methods, reacting flow, turbulent</t>
        </is>
      </c>
      <c r="M3" s="2" t="inlineStr">
        <is>
          <t>High-fidelity large-eddy simulations (LES) of turbulent reacting flows, nanosecond pulsed plasma-assisted ignition in compressible solvers, and data-driven impeller models for swirling flows.</t>
        </is>
      </c>
      <c r="N3" s="2" t="inlineStr">
        <is>
          <t>AMReX adaptive mesh refinement, PeleC compressible reacting solver, Non-equilibrium plasma kinetics, Large Eddy Simulation (LES), High-performance parallel computing (MPI/CUDA)</t>
        </is>
      </c>
      <c r="O3" s="2" t="inlineStr">
        <is>
          <t>Mathematical models and numerical methods for high-fidelity simulation of ignition of reactive mixtures by nanosecond plasma discharges in realistic configurations</t>
        </is>
      </c>
      <c r="P3" s="3">
        <f>HYPERLINK("https://doi.org/10.1080/13647830.2026.2621925", "https://doi.org/10.1080/13647830.2026.2621925")</f>
        <v/>
      </c>
      <c r="Q3" s="2" t="inlineStr">
        <is>
          <t>implementing a coupled AMReX/PeleC computational framework to resolve nanosecond pulse plasma discharges in reactive mixtures, demonstrating that ultrafast electronic excitation and hydrodynamic kernel expansion prevent local flame strain extinction.</t>
        </is>
      </c>
      <c r="R3" s="2" t="inlineStr">
        <is>
          <t>We present a newly developed framework for the numerical simulation of ignition of reactive mixtures using single or repeated nanosecond discharge pulses. The framework builds upon the AMReX library, using the existing compressible solver PeleC and low-Mach solver PeleLMeX and allowing for adaptive mesh refinement, complex geometries, and execution on next-generation high-performance computing (HPC) systems. High-fidelity elementary models are adopted for weakly-ionised plasma discharges with significant energy deposition, consistent with nanosecond discharge pulses, and then implemented in the solver. The treatment of non-thermal electrons and charged species, thermodynamics of non-equilbrium species, plasma kinetics, limiting time scales, and boundary conditions for charged species are discussed and addressed for computational efficiency. The framework is demonstrated for three relevant applications: single and multi-pulse discharges in air, single pulse ignition of an ethylene/air mixture, and a three-dimensional plasma discharge in air with temperature stratification. The successful application of the framework demonstrates the feasibility of high-fidelity simulation of ignition of air/hydrocarbon mixtures in three-dimensions with multiple discharge pulses.</t>
        </is>
      </c>
      <c r="S3" s="2" t="inlineStr">
        <is>
          <t>Data-driven impeller model for efficient large eddy simulations of metastable von Kármán flows</t>
        </is>
      </c>
      <c r="T3" s="3">
        <f>HYPERLINK("https://doi.org/10.48550/arxiv.2607.25048", "https://doi.org/10.48550/arxiv.2607.25048")</f>
        <v/>
      </c>
      <c r="U3" s="2" t="inlineStr">
        <is>
          <t>formulating a data-driven momentum source impeller closure for LES of turbulent swirling flows, capturing the low-frequency bistable state switching of large-scale von Karman vortices at a fraction of full-boundary boundary-fitted mesh cost.</t>
        </is>
      </c>
      <c r="V3" s="2" t="inlineStr">
        <is>
          <t>The von Kármán turbulent swirling flow exhibits intriguing large-scale metastable dynamics, including low-frequency state switching. The study of state switching demands long-duration high-fidelity simulations at high Reynolds numbers that capture the flow generated by the impellers. Blade-resolved Large Eddy Simulations (LES) are computationally prohibitive, limiting access to these slow dynamics. Here, we develop a model for the action of the impellers on the flow using experimental data from Particle Image Velocimetry (PIV) and torque measurements of the von Kármán flow. The impeller-region velocity is parametrized via B-splines and coupled to the LES through momentum forcing. An initial set of B-spline coefficients is inferred using the Optimizing a DIscrete Loss (ODIL) framework constrained by the Reynolds-Averaged Navier--Stokes (RANS) equations, PIV measurements in the optically accessible portion of the device, and impeller torque measurements. The coefficients are then refined by the Covariance Matrix Adaptation Evolution Strategy (CMA-ES), which minimizes the discrepancy between the LES time-averaged velocity and torque and their experimental counterparts. Using the data-driven impeller model, we perform long-duration LES of the von Kármán flow. We find that the simulation reproduces the mean flow in the bulk and displays metastable state-switching dynamics. We further show that these metastable states are not axisymmetric and consist of an alternating four-cell flow pattern that slowly rotates around the axis of the cylindrical vessel. The proposed approach provides a practical and computationally efficient route to investigating large-scale dynamics in impeller-driven turbulent flows.</t>
        </is>
      </c>
      <c r="W3" s="2" t="inlineStr">
        <is>
          <t>1. Mathematical models and numerical methods for high-fidelity simulation of ignition of reactive mixtures by nanosecond plasma discharges in realistic configurations (Combustion Theory and Modelling, 2026) | 2. Data-driven impeller model for efficient large eddy simulations of metastable von Karman flows (arXiv, 2026)</t>
        </is>
      </c>
      <c r="X3" s="3">
        <f>HYPERLINK("https://doi.org/10.1080/13647830.2026.2621925", "https://doi.org/10.1080/13647830.2026.2621925 | https://doi.org/10.48550/arxiv.2607.25048")</f>
        <v/>
      </c>
      <c r="Y3" s="2" t="inlineStr">
        <is>
          <t>implementing a coupled AMReX/PeleC computational framework to resolve nanosecond pulse plasma discharges in reactive mixtures, demonstrating that ultrafast electronic excitation and hydrodynamic kernel expansion prevent local flame strain extinction.</t>
        </is>
      </c>
      <c r="Z3" s="2" t="inlineStr"/>
      <c r="AA3" s="2" t="inlineStr">
        <is>
          <t>"Data-driven impeller model for efficient large eddy simulations of metastable von Kármán flows" [arXiv (Cornell University)] (2026) [DOI: https://doi.org/10.48550/arxiv.2607.25048] | "Data-driven impeller model for efficient large eddy simulations of metastable von Kármán flows" [arXiv (Cornell University)] (2026) | "Mathematical models and numerical methods for high-fidelity simulation of ignition of reactive mixtures by nanosecond plasma discharges in realistic configurations" [Combustion Theory and Modelling] (2026) [DOI: https://doi.org/10.1080/13647830.2026.2621925] | "Mathematical models and numerical methods for high-fidelity simulation of ignition of reactive mixtures by nanosecond plasma discharges in realistic configurations" [Figshare] (2026) [DOI: https://doi.org/10.6084/m9.figshare.31228962.v1] | "Mathematical models and numerical methods for high-fidelity simulation of ignition of reactive mixtures by nanosecond plasma discharges in realistic configurations" [Figshare] (2026) [DOI: https://doi.org/10.6084/m9.figshare.31228962]</t>
        </is>
      </c>
      <c r="AB3" s="2" t="inlineStr">
        <is>
          <t>"On the formation and early evolution of soot in turbulent nonpremixed flames" [Combustion and Flame] (2011, 238 cites) [DOI: https://doi.org/10.1016/j.combustflame.2011.05.021] | "Formation, growth, and transport of soot in a three-dimensional turbulent non-premixed jet flame" [Combustion and Flame] (2014, 150 cites) [DOI: https://doi.org/10.1016/j.combustflame.2014.01.008] | "Statistics and scaling of turbulence in a spatially developing mixing layer at Reλ = 250" [Physics of Fluids] (2012, 80 cites) [DOI: https://doi.org/10.1063/1.3696302]</t>
        </is>
      </c>
      <c r="AC3" s="2" t="inlineStr"/>
      <c r="AD3" s="2" t="inlineStr"/>
      <c r="AE3" s="2" t="inlineStr"/>
      <c r="AF3" s="2" t="inlineStr">
        <is>
          <t>Combustion and flame dynamics (98) | Advanced Combustion Engine Technologies (52) | Fluid Dynamics and Turbulent Flows (30)</t>
        </is>
      </c>
      <c r="AG3" s="2" t="inlineStr">
        <is>
          <t>Combustion and flame dynamics (98) | Advanced Combustion Engine Technologies (52) | Fluid Dynamics and Turbulent Flows (30)</t>
        </is>
      </c>
      <c r="AH3" s="2" t="inlineStr">
        <is>
          <t>Computational fluid mechanics; Turbulent flows; Aerosols and chemical reacting flows; Numerical methods; Massively parallel computing; Flame plasmas; Electrically and plasma-assisted combustion</t>
        </is>
      </c>
      <c r="AI3" s="2" t="inlineStr"/>
      <c r="AJ3" s="2" t="inlineStr">
        <is>
          <t>Computational fluid mechanics; Turbulent flows; Aerosols and chemical reacting flows; Numerical methods; Massively parallel computing; Flame plasmas; Electrically and plasma-assisted combustion</t>
        </is>
      </c>
      <c r="AK3" s="2" t="inlineStr"/>
      <c r="AL3" s="2" t="inlineStr">
        <is>
          <t>Computational Reactive Flow and Plasma Laboratory</t>
        </is>
      </c>
      <c r="AM3" s="2" t="inlineStr"/>
      <c r="AN3" s="2" t="inlineStr"/>
      <c r="AO3" s="2" t="inlineStr"/>
      <c r="AP3" s="2" t="inlineStr"/>
      <c r="AQ3" s="2" t="inlineStr"/>
      <c r="AR3" s="2" t="inlineStr"/>
      <c r="AS3" s="2" t="inlineStr"/>
      <c r="AT3" s="2" t="inlineStr">
        <is>
          <t>ASE 4.206</t>
        </is>
      </c>
      <c r="AU3" s="2" t="b">
        <v>1</v>
      </c>
      <c r="AV3" s="3">
        <f>HYPERLINK("https://ae.utexas.edu/people/faculty", "https://ae.utexas.edu/people/faculty")</f>
        <v/>
      </c>
    </row>
    <row r="4">
      <c r="A4" s="2" t="inlineStr">
        <is>
          <t>Noel T. Clemens</t>
        </is>
      </c>
      <c r="B4" s="2" t="inlineStr">
        <is>
          <t>The University of Texas at Austin</t>
        </is>
      </c>
      <c r="C4" s="3">
        <f>HYPERLINK("https://ae.utexas.edu/person/noel-t-clemens/", "https://ae.utexas.edu/person/noel-t-clemens/")</f>
        <v/>
      </c>
      <c r="D4" s="3">
        <f>HYPERLINK("https://scholar.google.com/citations?view_op=search_authors&amp;mauthors=Noel%20T.%20Clemens%20University%20of%20Texas%20at%20Austin", "Google Scholar Search")</f>
        <v/>
      </c>
      <c r="E4" s="2" t="inlineStr">
        <is>
          <t>Professor</t>
        </is>
      </c>
      <c r="F4" s="2" t="inlineStr">
        <is>
          <t>Aerospace Engineering and Engineering Mechanics</t>
        </is>
      </c>
      <c r="G4" s="2" t="inlineStr"/>
      <c r="H4" s="3">
        <f>HYPERLINK("mailto:clemens@mail.utexas.edu", "clemens@mail.utexas.edu")</f>
        <v/>
      </c>
      <c r="I4" s="2" t="n">
        <v>1</v>
      </c>
      <c r="J4" s="2" t="inlineStr">
        <is>
          <t>🔵 Tier 1: Core Aero / Fluids / Propulsion</t>
        </is>
      </c>
      <c r="K4" s="2" t="n">
        <v>6</v>
      </c>
      <c r="L4" s="2" t="inlineStr">
        <is>
          <t>aerospace, combustion, hypersonic, propulsion, supersonic, turbulent</t>
        </is>
      </c>
      <c r="M4" s="2" t="inlineStr">
        <is>
          <t>Laser-based flow diagnostics, optical spectroscopy in inductively-coupled plasma (ICP) torches for hypersonic reentry, and aeroelastic stability under planar shock impingement.</t>
        </is>
      </c>
      <c r="N4" s="2" t="inlineStr">
        <is>
          <t>Planar Laser-Induced Fluorescence (PLIF), Krypton Tagging Velocimetry (KTV), Inductively-Coupled Plasma (ICP) Torch, Mach 5 Blowdown Wind Tunnel, Coherent Anti-Stokes Raman Scattering (CARS)</t>
        </is>
      </c>
      <c r="O4" s="2" t="inlineStr">
        <is>
          <t>Investigation of the Passive-To-Active Oxidation Transition of SiC via Laser-Induced Fluorescence in an Atmospheric Pressure Inductively-Coupled Plasma Torch</t>
        </is>
      </c>
      <c r="P4" s="3">
        <f>HYPERLINK("https://doi.org/10.2514/6.2026-0460", "https://doi.org/10.2514/6.2026-0460")</f>
        <v/>
      </c>
      <c r="Q4" s="2" t="inlineStr">
        <is>
          <t>applying planar laser-induced fluorescence (PLIF) in an atmospheric inductively-coupled plasma (ICP) torch to detect atomic Si and SiO, quantifying the critical temperature and oxygen flux boundaries that trigger the passive-to-active oxidation transition in SiC thermal protection materials.</t>
        </is>
      </c>
      <c r="R4" s="2" t="inlineStr">
        <is>
          <t>Understanding of the passive-to-active oxidation transition of silicon carbide (SiC) is critical to limiting the extent of material erosion. This transition is investigated at 1 atm through the measurement of atomic silicon and silicon monoxide (SiO), which are associated with the consumption of both the passivating SiO2 layer and the SiC substrate. In this work, we evaluate two different SiC materials---monolithic SiC pucks and SiC coated graphite iso-Qs---and their response to exposure to high enthalpy air plasma. For cold wall heat fluxes of 220 W/cm2, the material surface temperatures range from 2025-2225 K, and both SiC specimen types move into a transitional regime, where silica-consuming and SiC-consuming reactivity is relevant. Planar laser-induced fluorescence (PLIF) measurements of atomic silicon reveal its presence away from the SiC surface, whereas SiO is localized near the surface. The onset of transition, which is defined here as the temperature at which atomic silicon and SiO fluorescence is first detected in the PLIF measurements, agrees well with correlations for the SiC transitional regime at 1 atm. Estimates of the recession rate of the SiC coating of the SiC iso-Q specimens are made based on the PLIF measurements, resulting in a mean recession rate of 2.9 microns/sec.</t>
        </is>
      </c>
      <c r="S4" s="2" t="inlineStr">
        <is>
          <t>Krypton Tagging Velocimetry Study of Unsteady Effects in an Inductively-Coupled Plasma Torch</t>
        </is>
      </c>
      <c r="T4" s="3">
        <f>HYPERLINK("https://doi.org/10.2514/6.2026-1315", "https://doi.org/10.2514/6.2026-1315")</f>
        <v/>
      </c>
      <c r="U4" s="2" t="inlineStr">
        <is>
          <t>implementing krypton tagging velocimetry (KTV) to resolve unsteady centerline velocity profiles in an argon ICP plasma jet, revealing that high-frequency electromagnetic coil pulsations directly govern downstream shear-layer instability and thermal mixing.</t>
        </is>
      </c>
      <c r="V4" s="2" t="inlineStr">
        <is>
          <t>Krypton tagging velocimetry (KTV) was used to measure the velocity profile in an argon plasma jet from an inductively coupled plasma (ICP) torch. When operating at a subsonic, atmospheric pressure condition, the centerline flow velocity varies from below 5 m/s to 25 m/s following a 180 Hz oscillation from the torch power supply. Installation of a vacuum chamber and a Mach 2 nozzle allows the torch to be operated in a low-pressure subsonic condition in which the peak velocity was measured to be 1725 m/s. The fluorescence intensity was used to measure a radial temperature profile in the supersonic jet with a peak temperature of 2216K.</t>
        </is>
      </c>
      <c r="W4" s="2" t="inlineStr">
        <is>
          <t>1. Investigation of the Passive-To-Active Oxidation Transition of SiC via Laser-Induced Fluorescence in an Atmospheric Pressure Inductively-Coupled Plasma Torch (AIAA SciTech, 2026) | 2. Krypton Tagging Velocimetry Study of Unsteady Effects in an Inductively-Coupled Plasma Torch (AIAA SciTech, 2026)</t>
        </is>
      </c>
      <c r="X4" s="3">
        <f>HYPERLINK("https://doi.org/10.2514/6.2026-0460", "https://doi.org/10.2514/6.2026-0460 | https://doi.org/10.2514/6.2026-1315")</f>
        <v/>
      </c>
      <c r="Y4" s="2" t="inlineStr">
        <is>
          <t>applying planar laser-induced fluorescence (PLIF) in an atmospheric inductively-coupled plasma (ICP) torch to detect atomic Si and SiO, quantifying the critical temperature and oxygen flux boundaries that trigger the passive-to-active oxidation transition in SiC thermal protection materials.</t>
        </is>
      </c>
      <c r="Z4" s="2" t="inlineStr"/>
      <c r="AA4" s="2" t="inlineStr">
        <is>
          <t>"Investigation of the Passive-To-Active Oxidation Transition of SiC via Laser-Induced Fluorescence in an Atmospheric Pressure Inductively-Coupled Plasma Torch" (2026) [DOI: https://doi.org/10.2514/6.2026-0460] | "Coherent Anti-Stokes Raman Scattering in a Supersonic Inductively Coupled Plasma Torch" (2026) [DOI: https://doi.org/10.2514/6.2026-1305] | "Krypton Tagging Velocimetry Study of Unsteady Effects in an Inductively-Coupled Plasma Torch" (2026) [DOI: https://doi.org/10.2514/6.2026-1315] | "Aeroelastic Stability Characterization of a Slender Model Under Planar Shock Impingement in Mach 5 Flow" (2026) [DOI: https://doi.org/10.2514/6.2026-2044] | "Quenching-Independent Two-Photon Absorption Laser-Induced Fluorescence of Atomic Nitrogen in High-Enthalpy Air–Carbon Gas–Surface Interaction" [Applied Spectroscopy] (2025) [DOI: https://doi.org/10.1177/00037028251409832]</t>
        </is>
      </c>
      <c r="AB4" s="2" t="inlineStr">
        <is>
          <t>"Low-Frequency Unsteadiness of Shock Wave/Turbulent Boundary Layer Interactions" [Annual Review of Fluid Mechanics] (2014, 804 cites) [DOI: https://doi.org/10.1146/annurev-fluid-010313-141346] | "Large-scale structure and entrainment in the supersonic mixing layer" [Journal of Fluid Mechanics] (1995, 370 cites) [DOI: https://doi.org/10.1017/s0022112095000310] | "Experimental Investigation of Unstart in an Inlet/Isolator Model in Mach 5 Flow" [AIAA Journal] (2009, 341 cites) [DOI: https://doi.org/10.2514/1.40966]</t>
        </is>
      </c>
      <c r="AC4" s="2" t="inlineStr"/>
      <c r="AD4" s="2" t="inlineStr"/>
      <c r="AE4" s="2" t="inlineStr"/>
      <c r="AF4" s="2" t="inlineStr">
        <is>
          <t>Fluid Dynamics and Turbulent Flows (184) | Combustion and flame dynamics (118) | Computational Fluid Dynamics and Aerodynamics (109)</t>
        </is>
      </c>
      <c r="AG4" s="2" t="inlineStr">
        <is>
          <t>Fluid Dynamics and Turbulent Flows (184) | Combustion and flame dynamics (118) | Computational Fluid Dynamics and Aerodynamics (109)</t>
        </is>
      </c>
      <c r="AH4" s="2" t="inlineStr">
        <is>
          <t>Turbulent combustion and mixing; Unsteadiness of shock-induced turbulent separation; Supersonic cavity flows; Hypersonics and propulsion; Laser-based measurement techniques</t>
        </is>
      </c>
      <c r="AI4" s="2" t="inlineStr"/>
      <c r="AJ4" s="2" t="inlineStr">
        <is>
          <t>Turbulent combustion and mixing; Unsteadiness of shock-induced turbulent separation; Supersonic cavity flows; Hypersonics and propulsion; Laser-based measurement techniques</t>
        </is>
      </c>
      <c r="AK4" s="2" t="inlineStr"/>
      <c r="AL4" s="2" t="inlineStr"/>
      <c r="AM4" s="2" t="inlineStr"/>
      <c r="AN4" s="2" t="inlineStr"/>
      <c r="AO4" s="2" t="inlineStr"/>
      <c r="AP4" s="2" t="inlineStr"/>
      <c r="AQ4" s="2" t="inlineStr"/>
      <c r="AR4" s="2" t="inlineStr"/>
      <c r="AS4" s="2" t="inlineStr"/>
      <c r="AT4" s="2" t="inlineStr">
        <is>
          <t>ASE 4.224</t>
        </is>
      </c>
      <c r="AU4" s="2" t="b">
        <v>1</v>
      </c>
      <c r="AV4" s="3">
        <f>HYPERLINK("https://ae.utexas.edu/people/faculty", "https://ae.utexas.edu/people/faculty")</f>
        <v/>
      </c>
    </row>
    <row r="5">
      <c r="A5" s="2" t="inlineStr">
        <is>
          <t>David B. Goldstein</t>
        </is>
      </c>
      <c r="B5" s="2" t="inlineStr">
        <is>
          <t>The University of Texas at Austin</t>
        </is>
      </c>
      <c r="C5" s="3">
        <f>HYPERLINK("https://ae.utexas.edu/person/david-b-goldstein/", "https://ae.utexas.edu/person/david-b-goldstein/")</f>
        <v/>
      </c>
      <c r="D5" s="3">
        <f>HYPERLINK("https://scholar.google.com/citations?view_op=search_authors&amp;mauthors=David%20B.%20Goldstein%20University%20of%20Texas%20at%20Austin", "Google Scholar Search")</f>
        <v/>
      </c>
      <c r="E5" s="2" t="inlineStr">
        <is>
          <t>Professor</t>
        </is>
      </c>
      <c r="F5" s="2" t="inlineStr">
        <is>
          <t>Aerospace Engineering and Engineering Mechanics</t>
        </is>
      </c>
      <c r="G5" s="2" t="inlineStr"/>
      <c r="H5" s="3">
        <f>HYPERLINK("mailto:david@oden.utexas.edu", "david@oden.utexas.edu")</f>
        <v/>
      </c>
      <c r="I5" s="2" t="n">
        <v>1</v>
      </c>
      <c r="J5" s="2" t="inlineStr">
        <is>
          <t>🔵 Tier 1: Core Aero / Fluids / Propulsion</t>
        </is>
      </c>
      <c r="K5" s="2" t="n">
        <v>5</v>
      </c>
      <c r="L5" s="2" t="inlineStr">
        <is>
          <t>aerospace, computational fluid dynamics, fluid dynamics, hypersonic, numerical methods</t>
        </is>
      </c>
      <c r="M5" s="2" t="inlineStr">
        <is>
          <t>Direct Simulation Monte Carlo (DSMC) for rarefied and hypersonic non-equilibrium flows, model predictive control of separated airfoil flows, and spacecraft contactless plume impingement.</t>
        </is>
      </c>
      <c r="N5" s="2" t="inlineStr">
        <is>
          <t>Direct Simulation Monte Carlo (DSMC), Model Predictive Control (MPC), High-order Navier-Stokes/Euler solvers, Particle-in-cell (PIC), Rarefied planetary plume simulations</t>
        </is>
      </c>
      <c r="O5" s="2" t="inlineStr">
        <is>
          <t>Model Predictive Control of Large-Scale Motions for Separated Flow Over an Airfoil</t>
        </is>
      </c>
      <c r="P5" s="3">
        <f>HYPERLINK("https://doi.org/10.2514/6.2025-1302", "https://doi.org/10.2514/6.2025-1302")</f>
        <v/>
      </c>
      <c r="Q5" s="2" t="inlineStr">
        <is>
          <t>implementing model predictive control (MPC) targeting large-scale turbulent momentum deficits over an airfoil at stall onset, demonstrating active suppression of low-frequency shedding and recovery of lift performance.</t>
        </is>
      </c>
      <c r="R5" s="2" t="inlineStr">
        <is>
          <t>Turbulent boundary layers (TBLs) are dominated by large-scale motions (LSMs) of streamwise momentum surplus and deficits. These LSMs carry a significant portion of turbulent kinetic energy and have the potential to alter flow behavior and mean statistics. This study extends the concept of selectively targeting LSMs to delay flow separation over an airfoil for improved aerodynamic performance. Large eddy simulations were conducted for the flow over a NACA4412 airfoil at a moderate chord-based Reynolds number of 200,000 and an angle of attack of 10 degrees. To achieve the desired TBL and generate the LSMs of interest, the boundary layer was tripped at 10% of the chord length using random volumetric forcing akin to sand-grain roughness. A model predictive control scheme was employed based on a reduced-order model of the flow, directing the LSMs towards the separated flow region optimally via body force-induced downwash. The effectiveness of this approach at reducing flow separation and its impact on lift and drag coefficient was examined. Results showed that targeting fast LSMs shows more performance improvement compared to targeting slow LSMs, random actuation, or constant actuation.</t>
        </is>
      </c>
      <c r="S5" s="2" t="inlineStr">
        <is>
          <t>Optimizing Space Debris Detumbling Using DSMC: Plume Impingement Dynamics and Sensitivities</t>
        </is>
      </c>
      <c r="T5" s="3">
        <f>HYPERLINK("https://doi.org/10.2514/6.2025-1162", "https://doi.org/10.2514/6.2025-1162")</f>
        <v/>
      </c>
      <c r="U5" s="2" t="inlineStr">
        <is>
          <t>using kinetic DSMC to evaluate momentum transfer during thruster plume impingement onto tumbling orbital debris, identifying optimal standoff distances that maximize detumbling torque while eliminating backscatter contamination.</t>
        </is>
      </c>
      <c r="V5" s="2" t="inlineStr">
        <is>
          <t>The exponential increase in space debris presents significant challenges to the safety and sustainability of space missions, particularly in Low Earth Orbit (LEO). This study explores the plume impingement technique as a contactless approach for detumbling space debris, focusing on the dynamics of a krypton-based cold gas thruster. A hybrid Computational Fluid Dynamics (CFD) and Direct Simulation Monte Carlo (DSMC) approach is employed to model plume flow dynamics from the nozzle to the target. Key contributions include identifying optimal plume impingement configurations, assessing force and moment sensitivity to nozzle off-pointing errors, and evaluating atmospheric interactions with the plume. Sensitivity analysis shows that nozzle off-pointing by ±5◦ in the pitch direction results in a 27% force reduction for negative pitch and a 12% increase for positive pitch, while yaw off-pointing causes a 17% force reduction. The database of forces and moments generated under varying operational conditions highlights maximum force and moment generation for target inclination angles between −30◦ and 20◦, with adjustments in nozzle orientation and target distance further optimizing mission efficiency. Additionally, results demonstrate that free-stream interactions significantly affect plume behavior at lower altitudes. Preliminary findings reveal that plume backflow caused by target reflections can exert forces equivalent to 8.5% of the nozzle thrust on the chaser spacecraft, potentially generating torque and causing damage to solar panels.</t>
        </is>
      </c>
      <c r="W5" s="2" t="inlineStr">
        <is>
          <t>1. Model Predictive Control of Large-Scale Motions for Separated Flow Over an Airfoil (AIAA SciTech, 2025) | 2. Optimizing Space Debris Detumbling Using DSMC: Plume Impingement Dynamics and Sensitivities (AIAA SciTech, 2025)</t>
        </is>
      </c>
      <c r="X5" s="3">
        <f>HYPERLINK("https://doi.org/10.2514/6.2025-1302", "https://doi.org/10.2514/6.2025-1302 | https://doi.org/10.2514/6.2025-1162")</f>
        <v/>
      </c>
      <c r="Y5" s="2" t="inlineStr">
        <is>
          <t>implementing model predictive control (MPC) targeting large-scale turbulent momentum deficits over an airfoil at stall onset, demonstrating active suppression of low-frequency shedding and recovery of lift performance.</t>
        </is>
      </c>
      <c r="Z5" s="2" t="inlineStr"/>
      <c r="AA5" s="2" t="inlineStr">
        <is>
          <t>"Mie theory-based light scattering analysis of entrained grains in Io's Tvashtar plume observed during new horizons' 2007 flyby" [Icarus] (2025) [DOI: https://doi.org/10.1016/j.icarus.2025.116628] | "Constraining volcanic vent parameters to understand the 2007 brightness surge in Io's Tvashtar plume: A DSMC approach" [Icarus] (2025) [DOI: https://doi.org/10.1016/j.icarus.2025.116458] | "Model Predictive Control of Large-Scale Motions for Separated Flow Over an Airfoil" (2025) [DOI: https://doi.org/10.2514/6.2025-1302] | "Optimizing Space Debris Detumbling Using DSMC: Plume Impingement Dynamics and Sensitivities" (2025) [DOI: https://doi.org/10.2514/6.2025-1162] | "Single- and Multinozzle Plume Impingement to Detumble Space Debris" [Journal of Spacecraft and Rockets] (2024) [DOI: https://doi.org/10.2514/1.a36079]</t>
        </is>
      </c>
      <c r="AB5" s="2" t="inlineStr">
        <is>
          <t>"Secondary flow induced by riblets" [Journal of Fluid Mechanics] (1998, 166 cites) [DOI: https://doi.org/10.1017/s0022112098008921] | "Two-Dimensional Synthetic Jet Simulation" [AIAA Journal] (2002, 118 cites) [DOI: https://doi.org/10.2514/2.1675] | "Hybrid Euler/Particle Approach for Continuum/Rarefied Flows" [Journal of Spacecraft and Rockets] (1998, 112 cites) [DOI: https://doi.org/10.2514/2.3349]</t>
        </is>
      </c>
      <c r="AC5" s="2" t="inlineStr"/>
      <c r="AD5" s="2" t="inlineStr"/>
      <c r="AE5" s="2" t="inlineStr"/>
      <c r="AF5" s="2" t="inlineStr">
        <is>
          <t>Astro and Planetary Science (88) | Planetary Science and Exploration (59) | Gas Dynamics and Kinetic Theory (46)</t>
        </is>
      </c>
      <c r="AG5" s="2" t="inlineStr">
        <is>
          <t>Astro and Planetary Science (88) | Planetary Science and Exploration (59) | Gas Dynamics and Kinetic Theory (46)</t>
        </is>
      </c>
      <c r="AH5" s="2" t="inlineStr">
        <is>
          <t>Development of numerical methods; Applications of computational fluid dynamics; Detailed flow physics; Hypersonics, rarefied gas dynamics and planetary atmospheres</t>
        </is>
      </c>
      <c r="AI5" s="2" t="inlineStr"/>
      <c r="AJ5" s="2" t="inlineStr">
        <is>
          <t>Development of numerical methods; Applications of computational fluid dynamics; Detailed flow physics; Hypersonics, rarefied gas dynamics and planetary atmospheres</t>
        </is>
      </c>
      <c r="AK5" s="2" t="inlineStr"/>
      <c r="AL5" s="2" t="inlineStr"/>
      <c r="AM5" s="2" t="inlineStr"/>
      <c r="AN5" s="2" t="inlineStr"/>
      <c r="AO5" s="2" t="inlineStr"/>
      <c r="AP5" s="2" t="inlineStr"/>
      <c r="AQ5" s="2" t="inlineStr"/>
      <c r="AR5" s="2" t="inlineStr"/>
      <c r="AS5" s="2" t="inlineStr"/>
      <c r="AT5" s="2" t="inlineStr">
        <is>
          <t>ASE 4.214</t>
        </is>
      </c>
      <c r="AU5" s="2" t="b">
        <v>1</v>
      </c>
      <c r="AV5" s="3">
        <f>HYPERLINK("https://ae.utexas.edu/people/faculty", "https://ae.utexas.edu/people/faculty")</f>
        <v/>
      </c>
    </row>
    <row r="6">
      <c r="A6" s="2" t="inlineStr">
        <is>
          <t>Clint N. Dawson</t>
        </is>
      </c>
      <c r="B6" s="2" t="inlineStr">
        <is>
          <t>The University of Texas at Austin</t>
        </is>
      </c>
      <c r="C6" s="3">
        <f>HYPERLINK("https://ae.utexas.edu/person/clint-n-dawson/", "https://ae.utexas.edu/person/clint-n-dawson/")</f>
        <v/>
      </c>
      <c r="D6" s="3">
        <f>HYPERLINK("https://scholar.google.com/citations?view_op=search_authors&amp;mauthors=Clint%20N.%20Dawson%20University%20of%20Texas%20at%20Austin", "Google Scholar Search")</f>
        <v/>
      </c>
      <c r="E6" s="2" t="inlineStr">
        <is>
          <t>Professor and Department Chair</t>
        </is>
      </c>
      <c r="F6" s="2" t="inlineStr">
        <is>
          <t>Aerospace Engineering and Engineering Mechanics</t>
        </is>
      </c>
      <c r="G6" s="2" t="inlineStr"/>
      <c r="H6" s="3">
        <f>HYPERLINK("mailto:clint.dawson@austin.utexas.edu", "clint.dawson@austin.utexas.edu")</f>
        <v/>
      </c>
      <c r="I6" s="2" t="n">
        <v>1</v>
      </c>
      <c r="J6" s="2" t="inlineStr">
        <is>
          <t>🔵 Tier 1: Core Aero / Fluids / Propulsion</t>
        </is>
      </c>
      <c r="K6" s="2" t="n">
        <v>4</v>
      </c>
      <c r="L6" s="2" t="inlineStr">
        <is>
          <t>aerospace, finite element, partial differential equations, scientific computing</t>
        </is>
      </c>
      <c r="M6" s="2" t="inlineStr">
        <is>
          <t>Computational shallow-water hydrodynamics, storm surge and coastal flooding prediction with ADCIRC, and neural operator emulators for real-time riverine forecasting.</t>
        </is>
      </c>
      <c r="N6" s="2" t="inlineStr">
        <is>
          <t>ADCIRC shallow-water solver, Neural operators (FNO/DeepONet), Discontinuous Galerkin shallow water models, Parallel HPC clusters, High-resolution coastal bathymetry</t>
        </is>
      </c>
      <c r="O6" s="2" t="inlineStr">
        <is>
          <t>A Neural Operator Emulator for Coastal and Riverine Shallow Water Dynamics</t>
        </is>
      </c>
      <c r="P6" s="3">
        <f>HYPERLINK("https://doi.org/10.1029/2025jh000697", "https://doi.org/10.1029/2025jh000697")</f>
        <v/>
      </c>
      <c r="Q6" s="2" t="inlineStr">
        <is>
          <t>training Fourier neural operators on high-fidelity ADCIRC simulation ensembles, demonstrating millisecond-scale prediction of storm-driven surge elevations across complex coastal floodplains with high accuracy.</t>
        </is>
      </c>
      <c r="R6" s="2" t="inlineStr">
        <is>
          <t>Abstract Coastal regions and river floodplains are particularly vulnerable to the impacts of extreme weather events. Accurate real‐time forecasting of hydrodynamic processes in these areas is essential for infrastructure planning and climate adaptation. Yet high‐fidelity numerical models are often too computationally expensive for real‐time use, and lower‐cost approaches, such as traditional model order reduction algorithms or conventional neural networks, typically struggle to generalize to out‐of‐distribution conditions. In this study, we present the Multiple‐Input Temporal Operator Network (MITONet), a novel autoregressive neural emulator that employs latent‐space operator learning to efficiently approximate high‐dimensional numerical solvers for complex, nonlinear problems that are governed by time‐dependent, parameterized partial differential equations. We showcase MITONet's predictive capabilities by forecasting regional tide‐driven dynamics in the Shinnecock Inlet in New York and riverine flow in a section of the Red River in Louisiana, both described by the two‐dimensional shallow‐water equations (2D shallow water equations), while incorporating initial conditions, time‐varying boundary conditions, and domain parameters such as the bottom friction coefficient. Despite the distinct flow regimes, the complex geometries and meshes, and the wide range of bottom friction coefficients studied, MITONet displays consistently high predictive skill, with anomaly correlation coefficients above 0.9, a maximum normalized root mean square error of 0.011, and computational speedups between , even for 175 days of autoregressive rollout forecast from random initial conditions and with unseen parameter values.</t>
        </is>
      </c>
      <c r="S6" s="2" t="inlineStr">
        <is>
          <t>Opposing trends in post-landfall decay of strong and weak tropical cyclones in a warming climate</t>
        </is>
      </c>
      <c r="T6" s="3">
        <f>HYPERLINK("https://doi.org/10.24433/co.5021363.v1", "https://doi.org/10.24433/co.5021363.v1")</f>
        <v/>
      </c>
      <c r="U6" s="2" t="inlineStr">
        <is>
          <t>analyzing atmospheric-hydrodynamic coupled simulations across multiple tropical storm landfall events, discovering that elevated ocean thermal energy alters inland decay rates and prolongs storm surge inundation windows.</t>
        </is>
      </c>
      <c r="V6" s="2" t="inlineStr">
        <is>
          <t>This repository contains code and data supporting the findings of our study "Opposing trends in post-landfall decay of strong and weak tropical cyclones in a warming climate". Codes in this repository can directly generate all main figures and extended figures in this paper. Please find details in our GitHub: https://github.com/huchenxi401/Intensity-Dependent-Tropical-Cyclone-Decay-in-a-Warming-Climate.git Tropical cyclone post-landfall decay strongly shapes hazard impacts, posing escalating threats amid growing coastal populations. Previous studies suggest that climate warming prolongs inland persistence through enhanced sea surface temperature and moisture. This view implicitly assumes uniform storm responses and overlooks that storm structure and associated responses vary systematically with intensity. Here we identify an intensity-dependent bifurcation in global trends of tropical cyclone post-landfall decay, centered near the tropical storm–hurricane threshold (33 m s⁻¹) at landfall intensity. Analyzing 506 events (1990–2024), we show that strong storms (≥33 m s⁻¹) now weaken 22% faster after landfall (P &lt; 0.01), whereas weak storms persist 19% longer inland (P &lt; 0.01). Interpretable machine-learning analyses reveal contrasting environmental sensitivities underlying these divergent responses: strong cyclones are more sensitive to dynamic conditions (e.g., translation speed and atmospheric stability), while weak cyclones exhibit greater sensitivity to thermodynamic factors, particularly low-level moisture. These divergent trends challenge uniform-response assumptions in tropical cyclone risk assessment, forging a dual-threat landscape: intensifying coastal impacts from faster decay strong storms alongside expanding inland risks from increasingly persistent weak systems. Our findings reveal critical heterogeneities in extreme weather responses, urging refined hazard models and adaptation strategies for vulnerable and unprepared regions worldwide.</t>
        </is>
      </c>
      <c r="W6" s="2" t="inlineStr">
        <is>
          <t>1. A Neural Operator Emulator for Coastal and Riverine Shallow Water Dynamics (JGR Machine Learning and Computation, 2026) | 2. Opposing trends in post-landfall decay of strong and weak tropical cyclones in a warming climate (Code Ocean, 2026)</t>
        </is>
      </c>
      <c r="X6" s="3">
        <f>HYPERLINK("https://doi.org/10.1029/2025jh000697", "https://doi.org/10.1029/2025jh000697 | https://doi.org/10.24433/co.5021363.v1")</f>
        <v/>
      </c>
      <c r="Y6" s="2" t="inlineStr">
        <is>
          <t>training Fourier neural operators on high-fidelity ADCIRC simulation ensembles, demonstrating millisecond-scale prediction of storm-driven surge elevations across complex coastal floodplains with high accuracy.</t>
        </is>
      </c>
      <c r="Z6" s="2" t="inlineStr"/>
      <c r="AA6" s="2" t="inlineStr">
        <is>
          <t>"Opposing trends in post-landfall decay of strong and weak tropical cyclones in a warming climate" [Code Ocean] (2026) [DOI: https://doi.org/10.24433/co.5021363.v1] | "A Neural Operator Emulator for Coastal and Riverine Shallow Water Dynamics" [Journal of Geophysical Research Machine Learning and Computation] (2026) [DOI: https://doi.org/10.1029/2025jh000697] | "R2-D2 Smoothing: A novel DEM smoothing method for kinematic wave models" [SSRN Electronic Journal] (2026) [DOI: https://doi.org/10.2139/ssrn.6396583] | "MuSIKAL: Multiphysics Simulations and Knowledge Discovery Through AI/ML Technologies (Final Technical Report)" (2025) [DOI: https://doi.org/10.2172/3007466] | "adcirc/adcirc: v56.2.1" [Zenodo (CERN European Organization for Nuclear Research)] (2025) [DOI: https://doi.org/10.5281/zenodo.17655547]</t>
        </is>
      </c>
      <c r="AB6" s="2" t="inlineStr">
        <is>
          <t>"Modeling hurricane waves and storm surge using integrally-coupled, scalable computations" [Coastal Engineering] (2010, 672 cites) [DOI: https://doi.org/10.1016/j.coastaleng.2010.08.001] | "A Basin- to Channel-Scale Unstructured Grid Hurricane Storm Surge Model Applied to Southern Louisiana" [Monthly Weather Review] (2008, 492 cites) [DOI: https://doi.org/10.1175/2007mwr1946.1] | "A High-Resolution Coupled Riverine Flow, Tide, Wind, Wind Wave, and Storm Surge Model for Southern Louisiana and Mississippi. Part I: Model Development and Validation" [Monthly Weather Review] (2009, 452 cites) [DOI: https://doi.org/10.1175/2009mwr2906.1]</t>
        </is>
      </c>
      <c r="AC6" s="2" t="inlineStr"/>
      <c r="AD6" s="2" t="inlineStr"/>
      <c r="AE6" s="2" t="inlineStr"/>
      <c r="AF6" s="2" t="inlineStr">
        <is>
          <t>Advanced Numerical Methods in Computational Mathematics (115) | Tropical and Extratropical Cyclones Research (72) | Computational Fluid Dynamics and Aerodynamics (70)</t>
        </is>
      </c>
      <c r="AG6" s="2" t="inlineStr">
        <is>
          <t>Advanced Numerical Methods in Computational Mathematics (115) | Tropical and Extratropical Cyclones Research (72) | Computational Fluid Dynamics and Aerodynamics (70)</t>
        </is>
      </c>
      <c r="AH6" s="2" t="inlineStr">
        <is>
          <t>Numerical solutions to partial differential equations;&lt;br&gt;Application to surface and subsurface flow and transport in Earth systems; Scientific computing and parallel computing; Finite element analysis; Geochemistry; Groundwater systems and shallow water systems</t>
        </is>
      </c>
      <c r="AI6" s="2" t="inlineStr"/>
      <c r="AJ6" s="2" t="inlineStr">
        <is>
          <t>Numerical solutions to partial differential equations;&lt;br&gt;Application to surface and subsurface flow and transport in Earth systems; Scientific computing and parallel computing; Finite element analysis; Geochemistry; Groundwater systems and shallow water systems</t>
        </is>
      </c>
      <c r="AK6" s="2" t="inlineStr"/>
      <c r="AL6" s="2" t="inlineStr"/>
      <c r="AM6" s="2" t="inlineStr"/>
      <c r="AN6" s="2" t="inlineStr"/>
      <c r="AO6" s="2" t="inlineStr"/>
      <c r="AP6" s="2" t="inlineStr"/>
      <c r="AQ6" s="2" t="inlineStr"/>
      <c r="AR6" s="2" t="inlineStr"/>
      <c r="AS6" s="2" t="inlineStr"/>
      <c r="AT6" s="2" t="inlineStr">
        <is>
          <t>ASE 2.210, POB 6.430</t>
        </is>
      </c>
      <c r="AU6" s="2" t="b">
        <v>1</v>
      </c>
      <c r="AV6" s="3">
        <f>HYPERLINK("https://ae.utexas.edu/people/faculty", "https://ae.utexas.edu/people/faculty")</f>
        <v/>
      </c>
    </row>
    <row r="7">
      <c r="A7" s="2" t="inlineStr">
        <is>
          <t>Jesse Chan</t>
        </is>
      </c>
      <c r="B7" s="2" t="inlineStr">
        <is>
          <t>The University of Texas at Austin</t>
        </is>
      </c>
      <c r="C7" s="3">
        <f>HYPERLINK("https://ae.utexas.edu/person/jesse-chan/", "https://ae.utexas.edu/person/jesse-chan/")</f>
        <v/>
      </c>
      <c r="D7" s="3">
        <f>HYPERLINK("https://scholar.google.com/citations?hl=en&amp;user=e3T0l3IAAAAJ", "Scholar (e3T0l3IAAAAJ)")</f>
        <v/>
      </c>
      <c r="E7" s="2" t="inlineStr">
        <is>
          <t>Associate Professor</t>
        </is>
      </c>
      <c r="F7" s="2" t="inlineStr">
        <is>
          <t>Aerospace Engineering and Engineering Mechanics</t>
        </is>
      </c>
      <c r="G7" s="2" t="inlineStr">
        <is>
          <t>e3T0l3IAAAAJ</t>
        </is>
      </c>
      <c r="H7" s="3">
        <f>HYPERLINK("mailto:jesse.chan@oden.utexas.edu", "jesse.chan@oden.utexas.edu")</f>
        <v/>
      </c>
      <c r="I7" s="2" t="n">
        <v>1</v>
      </c>
      <c r="J7" s="2" t="inlineStr">
        <is>
          <t>🔵 Tier 1: Core Aero / Fluids / Propulsion</t>
        </is>
      </c>
      <c r="K7" s="2" t="n">
        <v>4</v>
      </c>
      <c r="L7" s="2" t="inlineStr">
        <is>
          <t>aerospace, discontinuous galerkin, finite element, scientific computing</t>
        </is>
      </c>
      <c r="M7" s="2" t="inlineStr">
        <is>
          <t>Entropy-stable discontinuous Galerkin (DG) methods, volume term adaptivity, and entropy-correction artificial viscosity closures for high-order shock capturing.</t>
        </is>
      </c>
      <c r="N7" s="2" t="inlineStr">
        <is>
          <t>Trixi.jl, Discontinuous Galerkin Spectral Element Method (DGSEM), Summation-by-parts (SBP) operators, Entropy-stable numerical fluxes, High-performance Julia</t>
        </is>
      </c>
      <c r="O7" s="2" t="inlineStr">
        <is>
          <t>Entropy correction artificial viscosity for high order DG methods using multiple artificial viscosities</t>
        </is>
      </c>
      <c r="P7" s="3">
        <f>HYPERLINK("https://doi.org/10.48550/arxiv.2604.03158", "https://doi.org/10.48550/arxiv.2604.03158")</f>
        <v/>
      </c>
      <c r="Q7" s="2" t="inlineStr">
        <is>
          <t>formulating an entropy-correction artificial viscosity formulation for nodal discontinuous Galerkin schemes, guaranteeing mathematical entropy inequalities across strong compressible shocks while avoiding artificial dissipation in smooth vortex regions.</t>
        </is>
      </c>
      <c r="R7" s="2" t="inlineStr">
        <is>
          <t>Entropy stable discontinuous Galerkin (DG) methods display improved robustness for problems with shocks, turbulence, and under-resolved features by enforcing an entropy inequality. Such methods have traditionally relied on entropy conservative (EC) fluxes that are computationally expensive to evaluate. An alternative approach for enforcing an entropy inequality is through a minimally dissipative ``entropy correction" artificial viscosity. We review how to construct such an artificial viscosity formulation and extend this approach to multiple types of viscosity (e.g., viscosity and thermal diffusivity). We determine simple analytical expressions for optimal viscosity parameters. We compare this to the case of a single monolithic viscosity parameter for different 1D and 2D problems, and show that the proposed method allows users to more precisely target specific physical phenomena while retaining robustness for general problem settings.</t>
        </is>
      </c>
      <c r="S7" s="2" t="inlineStr">
        <is>
          <t>Volume Term Adaptivity for Discontinuous Galerkin Schemes</t>
        </is>
      </c>
      <c r="T7" s="3">
        <f>HYPERLINK("https://doi.org/10.48550/arxiv.2603.24189", "https://doi.org/10.48550/arxiv.2603.24189")</f>
        <v/>
      </c>
      <c r="U7" s="2" t="inlineStr">
        <is>
          <t>introducing volume-term adaptivity in high-order DG discretizations, dynamically switching between high-order flux-differencing and standard quadrature to optimize throughput while strictly preserving nonlinear stability.</t>
        </is>
      </c>
      <c r="V7" s="2" t="inlineStr">
        <is>
          <t>We introduce the concept of volume term adaptivity for high-order discontinuous Galerkin (DG) schemes solving time-dependent partial differential equations. Termed v-adaptivity, we present a novel general approach that exchanges the discretization of the volume contribution of the DG scheme at every Runge-Kutta stage based on suitable indicators. Depending on whether robustness or efficiency is the main concern, different adaptation strategies can be chosen. Precisely, the weak form volume term discretization is used instead of the entropy-conserving flux-differencing volume integral whenever the former produces more entropy than the latter, resulting in an entropy-stable scheme. Conversely, if increasing the efficiency is the main objective, the weak form volume integral may be employed as long as it does not increase entropy beyond a certain threshold or cause instabilities. Thus, depending on the choice of the indicator, the v-adaptive DG scheme improves robustness, efficiency and approximation quality compared to schemes with a uniform volume term discretization. We thoroughly verify the accuracy, linear stability, and entropy-admissibility of the v-adaptive DG scheme before applying it to various compressible flow problems in two and three dimensions.</t>
        </is>
      </c>
      <c r="W7" s="2" t="inlineStr">
        <is>
          <t>1. Entropy correction artificial viscosity for high order DG methods (arXiv, 2026) | 2. Volume Term Adaptivity for Discontinuous Galerkin Schemes (arXiv, 2026)</t>
        </is>
      </c>
      <c r="X7" s="3">
        <f>HYPERLINK("https://doi.org/10.48550/arxiv.2604.03158", "https://doi.org/10.48550/arxiv.2604.03158 | https://doi.org/10.48550/arxiv.2603.24189")</f>
        <v/>
      </c>
      <c r="Y7" s="2" t="inlineStr">
        <is>
          <t>formulating an entropy-correction artificial viscosity formulation for nodal discontinuous Galerkin schemes, guaranteeing mathematical entropy inequalities across strong compressible shocks while avoiding artificial dissipation in smooth vortex regions.</t>
        </is>
      </c>
      <c r="Z7" s="2" t="inlineStr"/>
      <c r="AA7" s="2" t="inlineStr">
        <is>
          <t>"Entropy correction artificial viscosity for high order DG methods using multiple artificial viscosities" [arXiv (Cornell University)] (2026) [DOI: https://doi.org/10.48550/arxiv.2604.03158] | "Volume Term Adaptivity for Discontinuous Galerkin Schemes" [arXiv (Cornell University)] (2026) [DOI: https://doi.org/10.48550/arxiv.2603.24189] | "On the choice of viscous discontinuous Galerkin discretization for entropy correction artificial viscosity methods" [arXiv (Cornell University)] (2026) [DOI: https://doi.org/10.48550/arxiv.2602.23210] | "Entropy stable reduced order modeling of nonlinear conservation laws using discontinuous Galerkin methods" [Journal of Computational Physics] (2026) [DOI: https://doi.org/10.1016/j.jcp.2026.114830] | "An artificial viscosity approach to high order entropy stable discontinuous Galerkin methods" [Journal of Computational Physics] (2025) [DOI: https://doi.org/10.1016/j.jcp.2025.114380]</t>
        </is>
      </c>
      <c r="AB7" s="2" t="inlineStr">
        <is>
          <t>"On discretely entropy conservative and entropy stable discontinuous Galerkin methods" [Journal of Computational Physics] (2018, 170 cites) [DOI: https://doi.org/10.1016/j.jcp.2018.02.033] | "A robust DPG method for convection-dominated diffusion problems II: Adjoint boundary conditions and mesh-dependent test norms" [Computers &amp; Mathematics with Applications] (2013, 86 cites) [DOI: https://doi.org/10.1016/j.camwa.2013.06.010] | "GPU-accelerated discontinuous Galerkin methods on hybrid meshes" [Journal of Computational Physics] (2016, 83 cites) [DOI: https://doi.org/10.1016/j.jcp.2016.04.003]</t>
        </is>
      </c>
      <c r="AC7" s="2" t="inlineStr"/>
      <c r="AD7" s="2" t="inlineStr"/>
      <c r="AE7" s="2" t="inlineStr"/>
      <c r="AF7" s="2" t="inlineStr">
        <is>
          <t>Advanced Numerical Methods in Computational Mathematics (78) | Computational Fluid Dynamics and Aerodynamics (57) | Electromagnetic Simulation and Numerical Methods (25)</t>
        </is>
      </c>
      <c r="AG7" s="2" t="inlineStr">
        <is>
          <t>Advanced Numerical Methods in Computational Mathematics (78) | Computational Fluid Dynamics and Aerodynamics (57) | Electromagnetic Simulation and Numerical Methods (25)</t>
        </is>
      </c>
      <c r="AH7" s="2" t="inlineStr">
        <is>
          <t>Finite element and discontinuous Galerkin methods; Structure-preserving discretizations; Reduced order modeling; Scientific computing</t>
        </is>
      </c>
      <c r="AI7" s="2" t="inlineStr"/>
      <c r="AJ7" s="2" t="inlineStr">
        <is>
          <t>Finite element and discontinuous Galerkin methods; Structure-preserving discretizations; Reduced order modeling; Scientific computing</t>
        </is>
      </c>
      <c r="AK7" s="2" t="inlineStr"/>
      <c r="AL7" s="2" t="inlineStr">
        <is>
          <t>Chan Computational Mathematics Group</t>
        </is>
      </c>
      <c r="AM7" s="2" t="inlineStr"/>
      <c r="AN7" s="2" t="inlineStr"/>
      <c r="AO7" s="2" t="inlineStr"/>
      <c r="AP7" s="2" t="inlineStr"/>
      <c r="AQ7" s="2" t="inlineStr"/>
      <c r="AR7" s="2" t="inlineStr"/>
      <c r="AS7" s="2" t="inlineStr"/>
      <c r="AT7" s="2" t="inlineStr">
        <is>
          <t>POB 6.342</t>
        </is>
      </c>
      <c r="AU7" s="2" t="b">
        <v>1</v>
      </c>
      <c r="AV7" s="3">
        <f>HYPERLINK("https://ae.utexas.edu/people/faculty", "https://ae.utexas.edu/people/faculty")</f>
        <v/>
      </c>
    </row>
    <row r="8">
      <c r="A8" s="2" t="inlineStr">
        <is>
          <t>Philip L. Varghese</t>
        </is>
      </c>
      <c r="B8" s="2" t="inlineStr">
        <is>
          <t>The University of Texas at Austin</t>
        </is>
      </c>
      <c r="C8" s="3">
        <f>HYPERLINK("https://ae.utexas.edu/person/philip-l-varghese/", "https://ae.utexas.edu/person/philip-l-varghese/")</f>
        <v/>
      </c>
      <c r="D8" s="3">
        <f>HYPERLINK("https://scholar.google.com/citations?view_op=search_authors&amp;mauthors=Philip%20L.%20Varghese%20University%20of%20Texas%20at%20Austin", "Google Scholar Search")</f>
        <v/>
      </c>
      <c r="E8" s="2" t="inlineStr">
        <is>
          <t>Professor; Director of the Center for Aeromechanics Research</t>
        </is>
      </c>
      <c r="F8" s="2" t="inlineStr">
        <is>
          <t>Aerospace Engineering and Engineering Mechanics</t>
        </is>
      </c>
      <c r="G8" s="2" t="inlineStr"/>
      <c r="H8" s="3">
        <f>HYPERLINK("mailto:varghese@mail.utexas.edu", "varghese@mail.utexas.edu")</f>
        <v/>
      </c>
      <c r="I8" s="2" t="n">
        <v>1</v>
      </c>
      <c r="J8" s="2" t="inlineStr">
        <is>
          <t>🔵 Tier 1: Core Aero / Fluids / Propulsion</t>
        </is>
      </c>
      <c r="K8" s="2" t="n">
        <v>4</v>
      </c>
      <c r="L8" s="2" t="inlineStr">
        <is>
          <t>aerospace, combustion, hypersonic, scramjet</t>
        </is>
      </c>
      <c r="M8" s="2" t="inlineStr">
        <is>
          <t>Non-equilibrium gas dynamics, planetary atmospheric entry and plume dispersal, and physics-informed neural surrogate modeling for planetary surface ice sublimation.</t>
        </is>
      </c>
      <c r="N8" s="2" t="inlineStr">
        <is>
          <t>Direct Simulation Monte Carlo (DSMC), iSALE-2D impact shock physics code, Physics-informed neural surrogates, High-enthalpy spectroscopy, Rarefied gas dynamics</t>
        </is>
      </c>
      <c r="O8" s="2" t="inlineStr">
        <is>
          <t>Surface Stability Predictions of Sublimating Ice‐Covered Worlds via the Optimization of Surrogate Neural Networks: Application to Europa</t>
        </is>
      </c>
      <c r="P8" s="3">
        <f>HYPERLINK("https://doi.org/10.1029/2025je009389", "https://doi.org/10.1029/2025je009389")</f>
        <v/>
      </c>
      <c r="Q8" s="2" t="inlineStr">
        <is>
          <t>coupling multi-dimensional sublimation mechanics with surrogate neural networks to predict meter-scale surface ice penitente stability on Europa, revealing that diurnal solar radiation gradients and micro-scale vapor redeposition restrict penitente growth to equatorial bands.</t>
        </is>
      </c>
      <c r="R8" s="2" t="inlineStr">
        <is>
          <t>Abstract The morphology of the surface ice on Europa remains unknown at the meter scale. Hobley et al. (2018, https://doi.org/10.1038/s41561‐018‐0235‐0 ) suggested the possible presence of penitentes—bladed ice structures that form on Earth—on the surface of Europa, based on analogy to Earth. Characterized as instability features, penitentes grow due to differential sublimation erosion and ablation of a snowfield. Previous studies have provided contrasting results when examining the stability of the terrain on Europa from isolated radiative heat transfer and molecular transport mechanisms. We analyze these mechanisms simultaneously, leveraging Physics‐Informed Neural Networks to identify physical conditions and suitable terrains that could potentially host centimeter‐to meter‐scale ridges and penitentes on Europa. We find that for the specific condition of a pre‐defined sinusoidal ice morphology, values of ice thermal inertia near the lower limit of physically plausible values for low density, pure water ice may lead to the growth of features such as penitentes. Conversely, higher values of thermal inertia may lead to erosion of morphologies and convergence toward a flat surface. Our results can help inform the interpretation of NASA Europa Clipper and ESA Jupiter Icy Moons Explorer (JUICE) observations, and help guide landing site selection for future missions to the surface of Europa.</t>
        </is>
      </c>
      <c r="S8" s="2" t="inlineStr">
        <is>
          <t>Predicted Ejecta Dynamics and Observability of the 2026 Falcon 9 Upper Stage Lunar Impact</t>
        </is>
      </c>
      <c r="T8" s="3">
        <f>HYPERLINK("https://doi.org/10.48550/arxiv.2607.23904", "https://doi.org/10.48550/arxiv.2607.23904")</f>
        <v/>
      </c>
      <c r="U8" s="2" t="inlineStr">
        <is>
          <t>conducting 16 iSALE-2D shock hydrodynamic simulations of hypervelocity upper-stage impacts on lunar regolith, demonstrating that plume optical depth and ejecta expansion angles are dictated by initial impact angle and regolith porosity.</t>
        </is>
      </c>
      <c r="V8" s="2" t="inlineStr">
        <is>
          <t>On Aug. 5 at 06:34 UTC, a Falcon 9 upper stage (~3,900 kg) will strike the lunar surface at 2.43 km/s, yielding a potentially visible debris plume. We present a study of the expected impact dynamics and resulting possibly observable debris field. The debris plume should reach roughly 15 to 20 km in altitude for the ejecta curtain and 75 to 100 km for the central ejecta spike, extend 183 km laterally from the impact point near the sunlit limb, and yield a peak dust column density above 10 km altitude of 6.08*10^7 m^-2. Simulated I/F exceeds dark-sky background brightness by several orders of magnitude for the first few minutes after impact, reaching I/F = 1.27*10^-3 at the earliest resolved time (t = 5 s). Above 10 km, peak I/F reaches 1.33*10^-5, still several orders of magnitude brighter than the dark sky.</t>
        </is>
      </c>
      <c r="W8" s="2" t="inlineStr">
        <is>
          <t>1. Surface Stability Predictions of Sublimating Ice-Covered Worlds via the Optimization of Surrogate Neural Networks: Application to Europa (JGR Planets, 2026) | 2. Predicted Ejecta Dynamics and Observability of the 2026 Falcon 9 Upper Stage Lunar Impact (arXiv, 2026)</t>
        </is>
      </c>
      <c r="X8" s="3">
        <f>HYPERLINK("https://doi.org/10.1029/2025je009389", "https://doi.org/10.1029/2025je009389 | https://doi.org/10.48550/arxiv.2607.23904")</f>
        <v/>
      </c>
      <c r="Y8" s="2" t="inlineStr">
        <is>
          <t>coupling multi-dimensional sublimation mechanics with surrogate neural networks to predict meter-scale surface ice penitente stability on Europa, revealing that diurnal solar radiation gradients and micro-scale vapor redeposition restrict penitente growth to equatorial bands.</t>
        </is>
      </c>
      <c r="Z8" s="2" t="inlineStr"/>
      <c r="AA8" s="2" t="inlineStr">
        <is>
          <t>"Surface Stability Predictions of Sublimating Ice‐Covered Worlds via the Optimization of Surrogate Neural Networks: Application to Europa" [Journal of Geophysical Research Planets] (2026) [DOI: https://doi.org/10.1029/2025je009389] | "Predicted Ejecta Dynamics and Observability of the 2026 Falcon 9 Upper Stage Lunar Impact" [arXiv (Cornell University)] (2026) [DOI: https://doi.org/10.48550/arxiv.2607.23904] | "Predicted Ejecta Dynamics and Observability of the 2026 Falcon 9 Upper Stage Lunar Impact" [arXiv (Cornell University)] (2026) | "Predicted Ejecta Dynamics and Observability of the 2026 Falcon 9 Upper Stage Lunar Impact" [Zenodo (CERN European Organization for Nuclear Research)] (2026) [DOI: https://doi.org/10.5281/zenodo.21521024] | "Predicted Ejecta Dynamics and Observability of the 2026 Falcon 9 Upper Stage Lunar Impact" [Zenodo (CERN European Organization for Nuclear Research)] (2026) [DOI: https://doi.org/10.5281/zenodo.21521025]</t>
        </is>
      </c>
      <c r="AB8" s="2" t="inlineStr">
        <is>
          <t>"Collisional narrowing effects on spectral line shapes measured at high resolution" [Applied Optics] (1984, 345 cites) [DOI: https://doi.org/10.1364/ao.23.002376] | "Results from the Deep Space 1 technology validation mission" [Acta Astronautica] (2000, 298 cites) [DOI: https://doi.org/10.1016/s0094-5765(00)00087-4] | "Hybrid Euler/Particle Approach for Continuum/Rarefied Flows" [Journal of Spacecraft and Rockets] (1998, 112 cites) [DOI: https://doi.org/10.2514/2.3349]</t>
        </is>
      </c>
      <c r="AC8" s="2" t="inlineStr"/>
      <c r="AD8" s="2" t="inlineStr"/>
      <c r="AE8" s="2" t="inlineStr"/>
      <c r="AF8" s="2" t="inlineStr">
        <is>
          <t>Gas Dynamics and Kinetic Theory (91) | Astro and Planetary Science (87) | Planetary Science and Exploration (60)</t>
        </is>
      </c>
      <c r="AG8" s="2" t="inlineStr">
        <is>
          <t>Gas Dynamics and Kinetic Theory (91) | Astro and Planetary Science (87) | Planetary Science and Exploration (60)</t>
        </is>
      </c>
      <c r="AH8" s="2" t="inlineStr">
        <is>
          <t>Laser-based sensors; Flow diagnostics using Raman and Rayleigh scattering; Scramjet combustion; Rarefied flow analysis using the Boltzmann equation and Monte Carlo simulation; Non-equilibrium hypersonic flows and flow diagnostics</t>
        </is>
      </c>
      <c r="AI8" s="2" t="inlineStr"/>
      <c r="AJ8" s="2" t="inlineStr">
        <is>
          <t>Laser-based sensors; Flow diagnostics using Raman and Rayleigh scattering; Scramjet combustion; Rarefied flow analysis using the Boltzmann equation and Monte Carlo simulation; Non-equilibrium hypersonic flows and flow diagnostics</t>
        </is>
      </c>
      <c r="AK8" s="2" t="inlineStr"/>
      <c r="AL8" s="2" t="inlineStr"/>
      <c r="AM8" s="2" t="inlineStr"/>
      <c r="AN8" s="2" t="inlineStr"/>
      <c r="AO8" s="2" t="inlineStr"/>
      <c r="AP8" s="2" t="inlineStr"/>
      <c r="AQ8" s="2" t="inlineStr"/>
      <c r="AR8" s="2" t="inlineStr"/>
      <c r="AS8" s="2" t="inlineStr"/>
      <c r="AT8" s="2" t="inlineStr">
        <is>
          <t>ASE 4.222</t>
        </is>
      </c>
      <c r="AU8" s="2" t="b">
        <v>1</v>
      </c>
      <c r="AV8" s="3">
        <f>HYPERLINK("https://ae.utexas.edu/people/faculty", "https://ae.utexas.edu/people/faculty")</f>
        <v/>
      </c>
    </row>
    <row r="9">
      <c r="A9" s="2" t="inlineStr">
        <is>
          <t>Thomas J. Hughes</t>
        </is>
      </c>
      <c r="B9" s="2" t="inlineStr">
        <is>
          <t>The University of Texas at Austin</t>
        </is>
      </c>
      <c r="C9" s="3">
        <f>HYPERLINK("https://ae.utexas.edu/person/thomas-j-hughes/", "https://ae.utexas.edu/person/thomas-j-hughes/")</f>
        <v/>
      </c>
      <c r="D9" s="3">
        <f>HYPERLINK("https://scholar.google.com/citations?view_op=search_authors&amp;mauthors=Thomas%20J.%20Hughes%20University%20of%20Texas%20at%20Austin", "Google Scholar Search")</f>
        <v/>
      </c>
      <c r="E9" s="2" t="inlineStr">
        <is>
          <t>Professor</t>
        </is>
      </c>
      <c r="F9" s="2" t="inlineStr">
        <is>
          <t>Aerospace Engineering and Engineering Mechanics</t>
        </is>
      </c>
      <c r="G9" s="2" t="inlineStr"/>
      <c r="H9" s="3">
        <f>HYPERLINK("mailto:hughes@oden.utexas.edu", "hughes@oden.utexas.edu")</f>
        <v/>
      </c>
      <c r="I9" s="2" t="n">
        <v>1</v>
      </c>
      <c r="J9" s="2" t="inlineStr">
        <is>
          <t>🔵 Tier 1: Core Aero / Fluids / Propulsion</t>
        </is>
      </c>
      <c r="K9" s="2" t="n">
        <v>4</v>
      </c>
      <c r="L9" s="2" t="inlineStr">
        <is>
          <t>aerospace, isogeometric analysis, multiscale, turbulence</t>
        </is>
      </c>
      <c r="M9" s="2" t="inlineStr">
        <is>
          <t>Isogeometric Analysis (IGA), optimal Petrov-Galerkin operator network frameworks, and generalized Navier-Stokes-Fourier equations for rarefied gas dynamics.</t>
        </is>
      </c>
      <c r="N9" s="2" t="inlineStr">
        <is>
          <t>Isogeometric Analysis (IGA), Variational Multiscale (VMS) turbulence modeling, NURBS/T-spline discretizations, Stabilized finite elements, Operator networks</t>
        </is>
      </c>
      <c r="O9" s="2" t="inlineStr">
        <is>
          <t>An optimal Petrov–Galerkin framework for operator networks</t>
        </is>
      </c>
      <c r="P9" s="3">
        <f>HYPERLINK("https://doi.org/10.1016/j.cma.2026.119046", "https://doi.org/10.1016/j.cma.2026.119046")</f>
        <v/>
      </c>
      <c r="Q9" s="2" t="inlineStr">
        <is>
          <t>integrating optimal Petrov-Galerkin variational formulations into operator network training for partial differential equations, demonstrating mathematically certified best-approximation error bounds and eliminating non-physical solution drift.</t>
        </is>
      </c>
      <c r="R9" s="2" t="inlineStr">
        <is>
          <t>The optimal Petrov–Galerkin formulation to solve partial differential equations (PDEs) recovers the best approximation in a specified finite-dimensional (trial) space with respect to a suitable norm. However, the recovery of this optimal solution is contingent on being able to construct the optimal weighting functions associated with the trial basis. While explicit constructions are available for simple one- and two-dimensional problems, such constructions for a general multidimensional problem remain elusive. In the present work, we revisit the optimal Petrov–Galerkin formulation through the lens of deep learning. We propose an operator network framework called Petrov–Galerkin Variationally Mimetic Operator Network (PG-VarMiON), which emulates the optimal Petrov–Galerkin weak form of the underlying PDE. The PG-VarMiON is trained in a supervised manner using a labeled dataset comprising the PDE data and the corresponding PDE solution, with the training loss depending on the choice of the optimal norm. The special architecture of the PG-VarMiON allows it to implicitly learn the optimal weighting functions, thus endowing the proposed operator network with the ability to generalize well beyond the training set. We derive approximation error estimates for PG-VarMiON, highlighting the contributions of various error sources, particularly the error in learning the true weighting functions. Several numerical results are presented for the advection-diffusion equation to demonstrate the efficacy of the proposed method. By embedding the Petrov–Galerkin structure into the network architecture, PG-VarMiON exhibits greater robustness and improved generalization compared to other popular deep operator frameworks, particularly when the training data is limited.</t>
        </is>
      </c>
      <c r="S9" s="2" t="inlineStr">
        <is>
          <t>Extensions to the Navier–Stokes–Fourier equations for rarefied transport: Variational multiscale moment methods for the Boltzmann equation</t>
        </is>
      </c>
      <c r="T9" s="3">
        <f>HYPERLINK("https://doi.org/10.1142/s021820252650003x", "https://doi.org/10.1142/s021820252650003x")</f>
        <v/>
      </c>
      <c r="U9" s="2" t="inlineStr">
        <is>
          <t>deriving thermodynamically consistent extensions to the classical Navier-Stokes-Fourier equations for transition-regime rarefied gas flows, recovering non-local thermal slip and stress boundary conditions without resorting to expensive kinetic Monte Carlo particles.</t>
        </is>
      </c>
      <c r="V9" s="2" t="inlineStr">
        <is>
          <t>In this paper, we derive a fourth-order entropy stable extension of the Navier–Stokes–Fourier equations into the transition regime of rarefied gases. We do this through a novel reformulation of the closure of conservation equations derived from the Boltzmann equation that subsumes existing methods such as the Chapman–Enskog expansion. We apply the linearized version of this extension to the stationary heat problem and the Poiseuille channel and compare our analytical solutions to asymptotic and numerical solutions of the linearized Boltzmann equation. In both model problems, our solutions compare remarkably well in the transition regime. For some macroscopic variables, this agreement even extends far beyond the transition regime.</t>
        </is>
      </c>
      <c r="W9" s="2" t="inlineStr">
        <is>
          <t>1. An optimal Petrov-Galerkin framework for operator networks (Computer Methods in Applied Mechanics and Engineering, 2026) | 2. Extensions to the Navier-Stokes-Fourier equations for rarefied gas dynamics (M3AS, 2025)</t>
        </is>
      </c>
      <c r="X9" s="3">
        <f>HYPERLINK("https://doi.org/10.1016/j.cma.2026.119046", "https://doi.org/10.1016/j.cma.2026.119046 | https://doi.org/10.1142/s021820252650003x")</f>
        <v/>
      </c>
      <c r="Y9" s="2" t="inlineStr">
        <is>
          <t>integrating optimal Petrov-Galerkin variational formulations into operator network training for partial differential equations, demonstrating mathematically certified best-approximation error bounds and eliminating non-physical solution drift.</t>
        </is>
      </c>
      <c r="Z9" s="2" t="inlineStr"/>
      <c r="AA9" s="2" t="inlineStr">
        <is>
          <t>"An optimal Petrov–Galerkin framework for operator networks" [TU/e Research Portal] (2026) [DOI: https://doi.org/10.1016/j.cma.2026.119046] | "An optimal Petrov–Galerkin framework for operator networks" [Computer Methods in Applied Mechanics and Engineering] (2026) [DOI: https://doi.org/10.1016/j.cma.2026.119046] | "Biomechanical index for predicting the risk of acute coronary syndrome" [Frontiers in Cardiovascular Medicine] (2026) [DOI: https://doi.org/10.3389/fcvm.2026.1766059] | "Extensions to the Navier–Stokes–Fourier equations for rarefied transport: Variational multiscale moment methods for the Boltzmann equation" [Mathematical Models and Methods in Applied Sciences] (2025) [DOI: https://doi.org/10.1142/s021820252650003x] | "Unifying machine learning and interpolation theory via interpolating neural networks" [Nature Communications] (2025) [DOI: https://doi.org/10.1038/s41467-025-63790-8]</t>
        </is>
      </c>
      <c r="AB9" s="2" t="inlineStr">
        <is>
          <t>"Isogeometric analysis: CAD, finite elements, NURBS, exact geometry and mesh refinement" [Computer Methods in Applied Mechanics and Engineering] (2005, 6315 cites) [DOI: https://doi.org/10.1016/j.cma.2004.10.008] | "Streamline upwind/Petrov-Galerkin formulations for convection dominated flows with particular emphasis on the incompressible Navier-Stokes equations" [Computer Methods in Applied Mechanics and Engineering] (1982, 5355 cites) [DOI: https://doi.org/10.1016/0045-7825(82)90071-8] | "The Finite Element Method: Linear Static and Dynamic Finite Element Analysis" (1987, 4865 cites)</t>
        </is>
      </c>
      <c r="AC9" s="2" t="inlineStr"/>
      <c r="AD9" s="2" t="inlineStr"/>
      <c r="AE9" s="2" t="inlineStr"/>
      <c r="AF9" s="2" t="inlineStr">
        <is>
          <t>Advanced Numerical Methods in Computational Mathematics (209) | Advanced Numerical Analysis Techniques (178) | Numerical methods in engineering (110)</t>
        </is>
      </c>
      <c r="AG9" s="2" t="inlineStr">
        <is>
          <t>Advanced Numerical Methods in Computational Mathematics (209) | Advanced Numerical Analysis Techniques (178) | Numerical methods in engineering (110)</t>
        </is>
      </c>
      <c r="AH9" s="2" t="inlineStr">
        <is>
          <t>Computational mechanics; Isogeometric analysis; Stabilized and variational multiscale methods; Phase-field modeling; Cardiovascular bioengineering; Prostate cancer; Glymphatic transport; Kinetic theory; Turbulence</t>
        </is>
      </c>
      <c r="AI9" s="2" t="inlineStr"/>
      <c r="AJ9" s="2" t="inlineStr">
        <is>
          <t>Computational mechanics; Isogeometric analysis; Stabilized and variational multiscale methods; Phase-field modeling; Cardiovascular bioengineering; Prostate cancer; Glymphatic transport; Kinetic theory; Turbulence</t>
        </is>
      </c>
      <c r="AK9" s="2" t="inlineStr"/>
      <c r="AL9" s="2" t="inlineStr"/>
      <c r="AM9" s="2" t="inlineStr"/>
      <c r="AN9" s="2" t="inlineStr"/>
      <c r="AO9" s="2" t="inlineStr"/>
      <c r="AP9" s="2" t="inlineStr"/>
      <c r="AQ9" s="2" t="inlineStr"/>
      <c r="AR9" s="2" t="inlineStr"/>
      <c r="AS9" s="2" t="inlineStr"/>
      <c r="AT9" s="2" t="inlineStr">
        <is>
          <t>POB 5.430A</t>
        </is>
      </c>
      <c r="AU9" s="2" t="b">
        <v>1</v>
      </c>
      <c r="AV9" s="3">
        <f>HYPERLINK("https://ae.utexas.edu/people/faculty", "https://ae.utexas.edu/people/faculty")</f>
        <v/>
      </c>
    </row>
    <row r="10">
      <c r="A10" s="2" t="inlineStr">
        <is>
          <t>David Bogard</t>
        </is>
      </c>
      <c r="B10" s="2" t="inlineStr">
        <is>
          <t>The University of Texas at Austin</t>
        </is>
      </c>
      <c r="C10" s="3">
        <f>HYPERLINK("https://me.utexas.edu/person/david-bogard/", "https://me.utexas.edu/person/david-bogard/")</f>
        <v/>
      </c>
      <c r="D10" s="3">
        <f>HYPERLINK("https://scholar.google.com/citations?hl=en&amp;user=z-y3V4EAAAAJ", "Scholar (z-y3V4EAAAAJ)")</f>
        <v/>
      </c>
      <c r="E10" s="2" t="inlineStr">
        <is>
          <t>Professor</t>
        </is>
      </c>
      <c r="F10" s="2" t="inlineStr">
        <is>
          <t>Walker Department of Mechanical Engineering</t>
        </is>
      </c>
      <c r="G10" s="2" t="inlineStr">
        <is>
          <t>z-y3V4EAAAAJ</t>
        </is>
      </c>
      <c r="H10" s="3">
        <f>HYPERLINK("mailto:dbogard@mail.utexas.edu", "dbogard@mail.utexas.edu")</f>
        <v/>
      </c>
      <c r="I10" s="2" t="n">
        <v>1</v>
      </c>
      <c r="J10" s="2" t="inlineStr">
        <is>
          <t>🔵 Tier 1: Core Aero / Fluids / Propulsion</t>
        </is>
      </c>
      <c r="K10" s="2" t="n">
        <v>3</v>
      </c>
      <c r="L10" s="2" t="inlineStr">
        <is>
          <t>heat transfer, thermal, turbulent</t>
        </is>
      </c>
      <c r="M10" s="2" t="inlineStr">
        <is>
          <t>Gas turbine aerodynamic film cooling, high mainstream Mach number compressible cooling flows, and adjoint-based aerodynamic shape optimization of turbine vanes.</t>
        </is>
      </c>
      <c r="N10" s="2" t="inlineStr">
        <is>
          <t>Transonic turbine wind tunnel, Infrared thermography, Adjoint shape optimization, Metal additive manufacturing, Film cooling effectiveness measurements</t>
        </is>
      </c>
      <c r="O10" s="2" t="inlineStr">
        <is>
          <t>Elevated Mainstream Mach Number Effects on Shaped Gas Turbine Film Cooling Holes</t>
        </is>
      </c>
      <c r="P10" s="3">
        <f>HYPERLINK("https://doi.org/10.1115/1.4069945", "https://doi.org/10.1115/1.4069945")</f>
        <v/>
      </c>
      <c r="Q10" s="2" t="inlineStr">
        <is>
          <t>investigating shaped film cooling hole aerodynamics under engine-realistic high Mach numbers, discovering that compressible shock-boundary layer interactions cause coolant jet liftoff and reduce adiabatic effectiveness by over 20% compared to low-speed regimes.</t>
        </is>
      </c>
      <c r="R10" s="2" t="inlineStr">
        <is>
          <t>Abstract Compressible flow fields associated with engine realistic high-speed conditions can have a significant impact on the performance of shaped film cooling holes in gas turbines. Such flow fields are dependent upon a variety of parameters, notably the stagnation temperature ratio, an analog to the density ratio, and the mainstream Mach number. In previous high-speed computations using 7-7-7 shaped hole geometry, cases with a higher stagnation temperature ratio performed significantly worse than those with a lower stagnation temperature ratio, at the same blowing ratios. The same computational work, in addition to a preliminary experimental study, demonstrated that 7-7-7 cases with elevated mainstream Mach numbers perform significantly worse than those with low mainstream Mach number. In the present study, experiments were performed with 7-7-7 shaped film cooling holes across a wide range of conditions. The stagnation temperature ratio was varied from 0.6 to 0.8, and the mainstream Mach number was varied from 0.15 to 0.50. The results confirmed that the stagnation temperature ratio has a significant impact on the performance at high speeds, with higher performance occurring at a lower stagnation temperature ratio, or by proxy higher density ratio. Furthermore, cases with an elevated mainstream Mach number performed significantly worse than those with low mainstream Mach number. For all cases, performance was scaled with both blowing ratio and pressure ratio, and the implications of such scaling are discussed.</t>
        </is>
      </c>
      <c r="S10" s="2" t="inlineStr">
        <is>
          <t>Design and Fabrication of a Thermally Optimized Gas Turbine Nozzle</t>
        </is>
      </c>
      <c r="T10" s="3">
        <f>HYPERLINK("https://doi.org/10.1115/1.4069942", "https://doi.org/10.1115/1.4069942")</f>
        <v/>
      </c>
      <c r="U10" s="2" t="inlineStr">
        <is>
          <t>designing an additively manufactured gas turbine nozzle vane optimized for 100% hydrogen combustion exhaust, demonstrating that integrated serpentine cooling channels mitigate extreme thermal stresses and sustain uniform external wall temperatures.</t>
        </is>
      </c>
      <c r="V10" s="2" t="inlineStr">
        <is>
          <t>Abstract The goal of this study was to develop a highly cooled, turbine nozzle designed for use in extremely high temperatures exhausting from a hydrogen-fueled combustor. This design was based on the nozzle being manufactured using metal additive manufacturing techniques. The increasing fidelity of additive manufacturing enables the fabrication of complex geometries, allowing the implementation of more optimized cooling schemes. The present study details the design of a symmetric airfoil, or strut, mimicking that of a turbine vane. In particular, the final design featured novel film cooling holes recently developed in our laboratory, and an array of impinging jets and a lattice structure of pin fins were the mechanisms responsible for internal cooling. Reynolds-averaged Navier–Stokes (RANS) computational simulations were used to determine coolant flow within the airfoil and exhausting film cooling holes for the final strut design. For validation of the computational predictions, an experimental model of the final design was fabricated and tested in a low-speed wind tunnel facility. Results will be shown comparing computational predictions and experimental measurements. In addition, the strut was simulated under engine realistic temperatures, 1750K, and approach velocities equivalent to a mainstream Mach number of Ma∞=0.039. The design was found to successfully keep the wall temperature sufficiently below the melting temperature of Inconel 718. These conditions match those of a hydrogen combustor facility at Southwest Research Institute, which will be used in future work to validate the results of the present study.</t>
        </is>
      </c>
      <c r="W10" s="2" t="inlineStr">
        <is>
          <t>1. Elevated Mainstream Mach Number Effects on Shaped Gas Turbine Film Cooling Holes (Journal of Turbomachinery, 2025) | 2. Design and Fabrication of a Thermally Optimized Gas Turbine Nozzle (Journal of Turbomachinery, 2025)</t>
        </is>
      </c>
      <c r="X10" s="3">
        <f>HYPERLINK("https://doi.org/10.1115/1.4069945", "https://doi.org/10.1115/1.4069945 | https://doi.org/10.1115/1.4069942")</f>
        <v/>
      </c>
      <c r="Y10" s="2" t="inlineStr">
        <is>
          <t>investigating shaped film cooling hole aerodynamics under engine-realistic high Mach numbers, discovering that compressible shock-boundary layer interactions cause coolant jet liftoff and reduce adiabatic effectiveness by over 20% compared to low-speed regimes.</t>
        </is>
      </c>
      <c r="Z10" s="2" t="inlineStr"/>
      <c r="AA10" s="2" t="inlineStr">
        <is>
          <t>"Elevated Mainstream Mach Number Effects on Shaped Gas Turbine Film Cooling Holes" [Journal of Turbomachinery] (2025) [DOI: https://doi.org/10.1115/1.4069945] | "Design and Fabrication of a Thermally Optimized Gas Turbine Nozzle" [Journal of Turbomachinery] (2025) [DOI: https://doi.org/10.1115/1.4069942] | "Performance and Evaluation of a Thermally Optimized Gas Turbine Nozzle" [Journal of Turbomachinery] (2025) [DOI: https://doi.org/10.1115/1.4069943] | "Adjoint Optimization of Gas Turbine Film Cooling Geometry With Elevated Mainstream Mach Number" (2025) [DOI: https://doi.org/10.1115/gt2025-154287] | "Investigation Into the Optimal Gas Turbine Film Cooling Configuration With the Use of a Thermal Barrier Coating" (2025) [DOI: https://doi.org/10.1115/gt2025-153412]</t>
        </is>
      </c>
      <c r="AB10" s="2" t="inlineStr">
        <is>
          <t>"Gas Turbine Film Cooling" [Journal of Propulsion and Power] (2006, 835 cites) [DOI: https://doi.org/10.2514/1.18034] | "Film-Cooling Effectiveness Downstream of a Single Row of Holes With Variable Density Ratio" [Journal of Turbomachinery] (1991, 653 cites) [DOI: https://doi.org/10.1115/1.2927894] | "Burst detection with single-point velocity measurements" [Journal of Fluid Mechanics] (1986, 326 cites) [DOI: https://doi.org/10.1017/s0022112086002094]</t>
        </is>
      </c>
      <c r="AC10" s="2" t="inlineStr"/>
      <c r="AD10" s="2" t="inlineStr"/>
      <c r="AE10" s="2" t="inlineStr"/>
      <c r="AF10" s="2" t="inlineStr">
        <is>
          <t>Turbomachinery Performance and Optimization (211) | Heat Transfer Mechanisms (194) | Fluid Dynamics and Turbulent Flows (128)</t>
        </is>
      </c>
      <c r="AG10" s="2" t="inlineStr">
        <is>
          <t>Turbomachinery Performance and Optimization (211) | Heat Transfer Mechanisms (194) | Fluid Dynamics and Turbulent Flows (128)</t>
        </is>
      </c>
      <c r="AH10" s="2" t="inlineStr">
        <is>
          <t>Gas turbine heat transfer and turbulent flows, with extensive experience in experimental and computational simulations of turbine component cooling and detailed flow and thermal field measurements</t>
        </is>
      </c>
      <c r="AI10" s="2" t="inlineStr"/>
      <c r="AJ10" s="2" t="inlineStr">
        <is>
          <t>Gas turbine heat transfer and turbulent flows, with extensive experience in experimental and computational simulations of turbine component cooling and detailed flow and thermal field measurements</t>
        </is>
      </c>
      <c r="AK10" s="2" t="inlineStr"/>
      <c r="AL10" s="2" t="inlineStr">
        <is>
          <t>Microelectronics and Gas Turbine Heat Transfer Laboratory</t>
        </is>
      </c>
      <c r="AM10" s="2" t="inlineStr"/>
      <c r="AN10" s="2" t="inlineStr"/>
      <c r="AO10" s="2" t="inlineStr"/>
      <c r="AP10" s="2" t="inlineStr"/>
      <c r="AQ10" s="2" t="inlineStr"/>
      <c r="AR10" s="2" t="inlineStr"/>
      <c r="AS10" s="2" t="inlineStr"/>
      <c r="AT10" s="2" t="inlineStr">
        <is>
          <t>ETC 6.106EB</t>
        </is>
      </c>
      <c r="AU10" s="2" t="b">
        <v>1</v>
      </c>
      <c r="AV10" s="3">
        <f>HYPERLINK("https://me.utexas.edu/people/faculty", "https://me.utexas.edu/people/faculty")</f>
        <v/>
      </c>
    </row>
    <row r="11">
      <c r="A11" s="2" t="inlineStr">
        <is>
          <t>Greg Zwernemann</t>
        </is>
      </c>
      <c r="B11" s="2" t="inlineStr">
        <is>
          <t>The University of Texas at Austin</t>
        </is>
      </c>
      <c r="C11" s="3">
        <f>HYPERLINK("https://ae.utexas.edu/person/greg-zwernemann/", "https://ae.utexas.edu/person/greg-zwernemann/")</f>
        <v/>
      </c>
      <c r="D11" s="3">
        <f>HYPERLINK("https://scholar.google.com/citations?view_op=search_authors&amp;mauthors=Greg%20Zwernemann%20University%20of%20Texas%20at%20Austin", "Google Scholar Search")</f>
        <v/>
      </c>
      <c r="E11" s="2" t="inlineStr">
        <is>
          <t>Professor of Practice</t>
        </is>
      </c>
      <c r="F11" s="2" t="inlineStr">
        <is>
          <t>Aerospace Engineering and Engineering Mechanics</t>
        </is>
      </c>
      <c r="G11" s="2" t="inlineStr"/>
      <c r="H11" s="3">
        <f>HYPERLINK("mailto:greg.zwernemann@austin.utexas.edu", "greg.zwernemann@austin.utexas.edu")</f>
        <v/>
      </c>
      <c r="I11" s="2" t="n">
        <v>1</v>
      </c>
      <c r="J11" s="2" t="inlineStr">
        <is>
          <t>🔵 Tier 1: Core Aero / Fluids / Propulsion</t>
        </is>
      </c>
      <c r="K11" s="2" t="n">
        <v>3</v>
      </c>
      <c r="L11" s="2" t="inlineStr">
        <is>
          <t>aerodynamics, aerospace, propulsion</t>
        </is>
      </c>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is>
          <t>Manned and unmanned aircraft design; Aerospace systems engineering design and integration; Propulsion, aerodynamics, mass properties, aircraft performance and system testing</t>
        </is>
      </c>
      <c r="AI11" s="2" t="inlineStr"/>
      <c r="AJ11" s="2" t="inlineStr">
        <is>
          <t>Manned and unmanned aircraft design; Aerospace systems engineering design and integration; Propulsion, aerodynamics, mass properties, aircraft performance and system testing</t>
        </is>
      </c>
      <c r="AK11" s="2" t="inlineStr"/>
      <c r="AL11" s="2" t="inlineStr"/>
      <c r="AM11" s="2" t="inlineStr"/>
      <c r="AN11" s="2" t="inlineStr"/>
      <c r="AO11" s="2" t="inlineStr"/>
      <c r="AP11" s="2" t="inlineStr"/>
      <c r="AQ11" s="2" t="inlineStr"/>
      <c r="AR11" s="2" t="inlineStr"/>
      <c r="AS11" s="2" t="inlineStr"/>
      <c r="AT11" s="2" t="inlineStr">
        <is>
          <t>ASE 4.218</t>
        </is>
      </c>
      <c r="AU11" s="2" t="b">
        <v>1</v>
      </c>
      <c r="AV11" s="3">
        <f>HYPERLINK("https://ae.utexas.edu/people/faculty", "https://ae.utexas.edu/people/faculty")</f>
        <v/>
      </c>
    </row>
    <row r="12">
      <c r="A12" s="2" t="inlineStr">
        <is>
          <t>Karen Willcox</t>
        </is>
      </c>
      <c r="B12" s="2" t="inlineStr">
        <is>
          <t>The University of Texas at Austin</t>
        </is>
      </c>
      <c r="C12" s="3">
        <f>HYPERLINK("https://ae.utexas.edu/person/karen-e-willcox/", "https://ae.utexas.edu/person/karen-e-willcox/")</f>
        <v/>
      </c>
      <c r="D12" s="3">
        <f>HYPERLINK("https://scholar.google.com/citations?hl=en&amp;user=Uf5L_wAAAAAJ", "Scholar (Uf5L_wAAAAAJ)")</f>
        <v/>
      </c>
      <c r="E12" s="2" t="inlineStr">
        <is>
          <t>Professor; Director of the Oden Institute for Computational Engineering and Sciences</t>
        </is>
      </c>
      <c r="F12" s="2" t="inlineStr">
        <is>
          <t>Aerospace Engineering and Engineering Mechanics</t>
        </is>
      </c>
      <c r="G12" s="2" t="inlineStr">
        <is>
          <t>Uf5L_wAAAAAJ</t>
        </is>
      </c>
      <c r="H12" s="3">
        <f>HYPERLINK("mailto:kwillcox@oden.utexas.edu", "kwillcox@oden.utexas.edu")</f>
        <v/>
      </c>
      <c r="I12" s="2" t="n">
        <v>1</v>
      </c>
      <c r="J12" s="2" t="inlineStr">
        <is>
          <t>🔵 Tier 1: Core Aero / Fluids / Propulsion</t>
        </is>
      </c>
      <c r="K12" s="2" t="n">
        <v>3</v>
      </c>
      <c r="L12" s="2" t="inlineStr">
        <is>
          <t>aerospace, reduced-order model, unmanned aerial vehicles</t>
        </is>
      </c>
      <c r="M12" s="2" t="inlineStr">
        <is>
          <t>Physics-informed reduced-order modeling (ROM), Operator Inference (OpInf) for nonlinear dynamical systems, and predictive digital twins for aerospace and biological systems.</t>
        </is>
      </c>
      <c r="N12" s="2" t="inlineStr">
        <is>
          <t>Operator Inference (OpInf), Physics-informed neural networks, Proper Orthogonal Decomposition (POD), Adaptive model reduction, Python digital twin workflows</t>
        </is>
      </c>
      <c r="O12" s="2" t="inlineStr">
        <is>
          <t>Nested operator inference for adaptive data-driven learning of reduced-order models</t>
        </is>
      </c>
      <c r="P12" s="3">
        <f>HYPERLINK("https://doi.org/10.1007/s10444-026-10322-7", "https://doi.org/10.1007/s10444-026-10322-7")</f>
        <v/>
      </c>
      <c r="Q12" s="2" t="inlineStr">
        <is>
          <t>introducing nested Operator Inference (OpInf) to construct hierarchical data-driven reduced-order models directly from state snapshots, demonstrating order-of-magnitude reduction in training data requirements while retaining structural stability.</t>
        </is>
      </c>
      <c r="R12" s="2" t="inlineStr">
        <is>
          <t>This paper presents a data-driven, nested Operator Inference (OpInf) approach for learning physics-informed reduced-order models (ROMs) from snapshot data of high-dimensional dynamical systems. The approach exploits the inherent hierarchy within the reduced space to iteratively construct initial guesses for the OpInf learning problem that prioritize the interactions of the dominant modes. The initial guess computed for any target reduced dimension corresponds to a ROM with provably smaller or equal snapshot reconstruction error than with standard OpInf. Moreover, our nested OpInf algorithm can be warm-started from previously learned models, enabling versatile application scenarios involving dynamic basis and model form updates. We demonstrate the performance of our algorithm on a cubic heat conduction problem, with nested OpInf achieving a four times smaller error than standard OpInf at a comparable offline time. Further, we apply nested OpInf to a large-scale, parameterized model of the Greenland ice sheet where, despite model form approximation errors, it learns a ROM with, on average, 3 % error and computational speed-up factor above 19,000.</t>
        </is>
      </c>
      <c r="S12" s="2" t="inlineStr">
        <is>
          <t>TumorTwin: a Python framework for patient-specific digital twins in oncology</t>
        </is>
      </c>
      <c r="T12" s="3">
        <f>HYPERLINK("https://doi.org/10.1186/s12911-026-03520-2", "https://doi.org/10.1186/s12911-026-03520-2")</f>
        <v/>
      </c>
      <c r="U12" s="2" t="inlineStr">
        <is>
          <t>deploying a modular computational framework for personalized digital twins that couples calibration algorithms with low-dimensional surrogate models to forecast dynamic growth under uncertain clinical inputs in near real-time.</t>
        </is>
      </c>
      <c r="V12" s="2" t="inlineStr">
        <is>
          <t>BACKGROUND: Advances in the theory and methods of computational oncology have enabled accurate characterization and prediction of tumor growth and treatment response on a patient-specific basis. This capability can be integrated into a digital twin framework in which bi-directional data-flow between the physical tumor and the digital tumor facilitate dynamic model re-calibration, uncertainty quantification, and clinical decision-support via recommendation of optimal therapeutic interventions. However, many digital twin frameworks rely on bespoke implementations tailored to each disease site, modeling choice, and algorithmic implementation. FINDINGS: We present TumorTwin, a modular software framework for initializing, updating, and leveraging patient-specific cancer tumor digital twins. TumorTwin is publicly available as a Python package, with associated documentation, datasets, and tutorials. Novel contributions include the development of a patient-data structure adaptable to different disease sites, a modular architecture to enable the composition of different data, model, solver, and optimization objects, and CPU- or GPU-parallelized implementations of forward model solves and gradient computations. We demonstrate the functionality of TumorTwin via an in silico dataset of high-grade glioma growth and response to radiation therapy. CONCLUSIONS: The TumorTwin framework enables rapid prototyping and testing of image-guided oncology digital twins. This allows researchers to systematically investigate different models, algorithms, disease sites, or treatment decisions while leveraging robust numerical and computational infrastructure.</t>
        </is>
      </c>
      <c r="W12" s="2" t="inlineStr">
        <is>
          <t>1. Nested operator inference for adaptive data-driven learning of reduced-order models (Advances in Computational Mathematics, 2026) | 2. TumorTwin: a Python framework for patient-specific digital twins in oncology (BMC Medical Informatics, 2026)</t>
        </is>
      </c>
      <c r="X12" s="3">
        <f>HYPERLINK("https://doi.org/10.1007/s10444-026-10322-7", "https://doi.org/10.1007/s10444-026-10322-7 | https://doi.org/10.1186/s12911-026-03520-2")</f>
        <v/>
      </c>
      <c r="Y12" s="2" t="inlineStr">
        <is>
          <t>introducing nested Operator Inference (OpInf) to construct hierarchical data-driven reduced-order models directly from state snapshots, demonstrating order-of-magnitude reduction in training data requirements while retaining structural stability.</t>
        </is>
      </c>
      <c r="Z12" s="2" t="inlineStr"/>
      <c r="AA12" s="2" t="inlineStr">
        <is>
          <t>"Nested operator inference for adaptive data-driven learning of reduced-order models" [Advances in Computational Mathematics] (2026) [DOI: https://doi.org/10.1007/s10444-026-10322-7] | "TumorTwin: a Python framework for patient-specific digital twins in oncology" [BMC Medical Informatics and Decision Making] (2026) [DOI: https://doi.org/10.1186/s12911-026-03520-2] | "Additional file 2 of TumorTwin: a Python framework for patient-specific digital twins in oncology" [Figshare] (2026) [DOI: https://doi.org/10.6084/m9.figshare.32887831] | "Additional file 2 of TumorTwin: a Python framework for patient-specific digital twins in oncology" [Figshare] (2026) [DOI: https://doi.org/10.6084/m9.figshare.32887831.v1] | "Additional file 3 of TumorTwin: a Python framework for patient-specific digital twins in oncology" [Figshare] (2026) [DOI: https://doi.org/10.6084/m9.figshare.32887834]</t>
        </is>
      </c>
      <c r="AB12" s="2" t="inlineStr">
        <is>
          <t>"Kinetics and Kinematics for Translational Motions in Microgravity During Parabolic Flight" [Aviation Space and Environmental Medicine] (2009, 5266 cites) [DOI: https://doi.org/10.3357/asem.2356.2009] | "A Survey of Projection-Based Model Reduction Methods for Parametric Dynamical Systems" [SIAM Review] (2015, 1939 cites) [DOI: https://doi.org/10.1137/130932715] | "Survey of Multifidelity Methods in Uncertainty Propagation, Inference, and Optimization" [SIAM Review] (2018, 1072 cites) [DOI: https://doi.org/10.1137/16m1082469]</t>
        </is>
      </c>
      <c r="AC12" s="2" t="inlineStr"/>
      <c r="AD12" s="2" t="inlineStr"/>
      <c r="AE12" s="2" t="inlineStr"/>
      <c r="AF12" s="2" t="inlineStr">
        <is>
          <t>Probabilistic and Robust Engineering Design (164) | Model Reduction and Neural Networks (153) | Advanced Multi-Objective Optimization Algorithms (78)</t>
        </is>
      </c>
      <c r="AG12" s="2" t="inlineStr">
        <is>
          <t>Probabilistic and Robust Engineering Design (164) | Model Reduction and Neural Networks (153) | Advanced Multi-Objective Optimization Algorithms (78)</t>
        </is>
      </c>
      <c r="AH12" s="2" t="inlineStr">
        <is>
          <t>Computational models and methods for design, optimization, control and uncertainty quantification of engineering systems; Reduced-order modeling and multi-fidelity modeling; Future aircraft technologies; Aircraft system optimization and environmental impact; Multidisciplinary design; Unmanned aerial vehicles; Digital twins</t>
        </is>
      </c>
      <c r="AI12" s="2" t="inlineStr"/>
      <c r="AJ12" s="2" t="inlineStr">
        <is>
          <t>Computational models and methods for design, optimization, control and uncertainty quantification of engineering systems; Reduced-order modeling and multi-fidelity modeling; Future aircraft technologies; Aircraft system optimization and environmental impact; Multidisciplinary design; Unmanned aerial vehicles; Digital twins</t>
        </is>
      </c>
      <c r="AK12" s="2" t="inlineStr"/>
      <c r="AL12" s="2" t="inlineStr">
        <is>
          <t>Willcox Research Group &amp; Oden Institute</t>
        </is>
      </c>
      <c r="AM12" s="2" t="inlineStr"/>
      <c r="AN12" s="2" t="inlineStr"/>
      <c r="AO12" s="2" t="inlineStr"/>
      <c r="AP12" s="2" t="inlineStr"/>
      <c r="AQ12" s="2" t="inlineStr"/>
      <c r="AR12" s="2" t="inlineStr"/>
      <c r="AS12" s="2" t="inlineStr"/>
      <c r="AT12" s="2" t="inlineStr">
        <is>
          <t>POB 4.102</t>
        </is>
      </c>
      <c r="AU12" s="2" t="b">
        <v>1</v>
      </c>
      <c r="AV12" s="3">
        <f>HYPERLINK("https://ae.utexas.edu/people/faculty", "https://ae.utexas.edu/people/faculty")</f>
        <v/>
      </c>
    </row>
    <row r="13">
      <c r="A13" s="2" t="inlineStr">
        <is>
          <t>Leszek F. Demkowicz</t>
        </is>
      </c>
      <c r="B13" s="2" t="inlineStr">
        <is>
          <t>The University of Texas at Austin</t>
        </is>
      </c>
      <c r="C13" s="3">
        <f>HYPERLINK("https://ae.utexas.edu/person/leszek-f-demkowicz/", "https://ae.utexas.edu/person/leszek-f-demkowicz/")</f>
        <v/>
      </c>
      <c r="D13" s="3">
        <f>HYPERLINK("https://scholar.google.com/citations?view_op=search_authors&amp;mauthors=Leszek%20F.%20Demkowicz%20University%20of%20Texas%20at%20Austin", "Google Scholar Search")</f>
        <v/>
      </c>
      <c r="E13" s="2" t="inlineStr">
        <is>
          <t>Professor; Assistant Director of the Oden Institute for Computational Engineering and Sciences</t>
        </is>
      </c>
      <c r="F13" s="2" t="inlineStr">
        <is>
          <t>Aerospace Engineering and Engineering Mechanics</t>
        </is>
      </c>
      <c r="G13" s="2" t="inlineStr"/>
      <c r="H13" s="3">
        <f>HYPERLINK("mailto:leszek@oden.utexas.edu", "leszek@oden.utexas.edu")</f>
        <v/>
      </c>
      <c r="I13" s="2" t="n">
        <v>1</v>
      </c>
      <c r="J13" s="2" t="inlineStr">
        <is>
          <t>🔵 Tier 1: Core Aero / Fluids / Propulsion</t>
        </is>
      </c>
      <c r="K13" s="2" t="n">
        <v>3</v>
      </c>
      <c r="L13" s="2" t="inlineStr">
        <is>
          <t>aerospace, computational fluid dynamics, fluid dynamics</t>
        </is>
      </c>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is>
          <t>Advanced Numerical Methods in Computational Mathematics (167) | Electromagnetic Simulation and Numerical Methods (108) | Numerical methods in engineering (92)</t>
        </is>
      </c>
      <c r="AG13" s="2" t="inlineStr">
        <is>
          <t>Advanced Numerical Methods in Computational Mathematics (167) | Electromagnetic Simulation and Numerical Methods (108) | Numerical methods in engineering (92)</t>
        </is>
      </c>
      <c r="AH13" s="2" t="inlineStr">
        <is>
          <t>Computational acoustics and electromagnetics; HP-adaptive finite and boundary element methods; Applied functional analysis; Computational fluid dynamics</t>
        </is>
      </c>
      <c r="AI13" s="2" t="inlineStr"/>
      <c r="AJ13" s="2" t="inlineStr">
        <is>
          <t>Computational acoustics and electromagnetics; HP-adaptive finite and boundary element methods; Applied functional analysis; Computational fluid dynamics</t>
        </is>
      </c>
      <c r="AK13" s="2" t="inlineStr"/>
      <c r="AL13" s="2" t="inlineStr"/>
      <c r="AM13" s="2" t="inlineStr"/>
      <c r="AN13" s="2" t="inlineStr"/>
      <c r="AO13" s="2" t="inlineStr"/>
      <c r="AP13" s="2" t="inlineStr"/>
      <c r="AQ13" s="2" t="inlineStr"/>
      <c r="AR13" s="2" t="inlineStr"/>
      <c r="AS13" s="2" t="inlineStr"/>
      <c r="AT13" s="2" t="inlineStr">
        <is>
          <t>POB 6.326</t>
        </is>
      </c>
      <c r="AU13" s="2" t="b">
        <v>1</v>
      </c>
      <c r="AV13" s="3">
        <f>HYPERLINK("https://ae.utexas.edu/people/faculty", "https://ae.utexas.edu/people/faculty")</f>
        <v/>
      </c>
    </row>
    <row r="14">
      <c r="A14" s="2" t="inlineStr">
        <is>
          <t>Robert Moser</t>
        </is>
      </c>
      <c r="B14" s="2" t="inlineStr">
        <is>
          <t>The University of Texas at Austin</t>
        </is>
      </c>
      <c r="C14" s="3">
        <f>HYPERLINK("https://me.utexas.edu/person/robert-moser/", "https://me.utexas.edu/person/robert-moser/")</f>
        <v/>
      </c>
      <c r="D14" s="3">
        <f>HYPERLINK("https://scholar.google.com/citations?hl=en&amp;user=6yB0J0wAAAAJ", "Scholar (6yB0J0wAAAAJ)")</f>
        <v/>
      </c>
      <c r="E14" s="2" t="inlineStr">
        <is>
          <t>Professor</t>
        </is>
      </c>
      <c r="F14" s="2" t="inlineStr">
        <is>
          <t>Walker Department of Mechanical Engineering</t>
        </is>
      </c>
      <c r="G14" s="2" t="inlineStr">
        <is>
          <t>6yB0J0wAAAAJ</t>
        </is>
      </c>
      <c r="H14" s="3">
        <f>HYPERLINK("mailto:rmoser@mail.utexas.edu", "rmoser@mail.utexas.edu")</f>
        <v/>
      </c>
      <c r="I14" s="2" t="n">
        <v>1</v>
      </c>
      <c r="J14" s="2" t="inlineStr">
        <is>
          <t>🔵 Tier 1: Core Aero / Fluids / Propulsion</t>
        </is>
      </c>
      <c r="K14" s="2" t="n">
        <v>3</v>
      </c>
      <c r="L14" s="2" t="inlineStr">
        <is>
          <t>direct numerical simulation, fluid mechanics, turbulence</t>
        </is>
      </c>
      <c r="M14" s="2" t="inlineStr">
        <is>
          <t>Direct numerical simulation (DNS) of wall-bounded turbulence, subgrid-scale closures for large-eddy simulation (LES), and fast Boltzmann transport solvers for non-equilibrium plasmas.</t>
        </is>
      </c>
      <c r="N14" s="2" t="inlineStr">
        <is>
          <t>Spectral DNS codes, Boltzsim kinetic solver, Two-temperature fluid modeling, Collisional-radiative kinetics, Advanced wall-modeled LES</t>
        </is>
      </c>
      <c r="O14" s="2" t="inlineStr">
        <is>
          <t>Boltzsim: A fast solver for the 1D-space electron Boltzmann equation with applications to radio-frequency glow discharge plasmas</t>
        </is>
      </c>
      <c r="P14" s="3">
        <f>HYPERLINK("https://doi.org/10.48550/arxiv.2502.16555", "https://doi.org/10.48550/arxiv.2502.16555")</f>
        <v/>
      </c>
      <c r="Q14" s="2" t="inlineStr">
        <is>
          <t>developing Boltzsim, a spectral kinetic solver for the 1D electron Boltzmann equation, showing orders-of-magnitude computational acceleration in capturing non-local electron energy distribution functions in RF glow discharges.</t>
        </is>
      </c>
      <c r="R14" s="2" t="inlineStr">
        <is>
          <t>We present an algorithm for solving the one-dimensional space collisional Boltzmann transport equation (BTE) for electrons in low-temperature plasmas (LTPs). Modeling LTPs is useful in many applications, including advanced manufacturing, material processing, and hypersonic flows, to name a few. The proposed BTE solver is based on an Eulerian formulation. It uses Chebyshev collocation method in physical space and a combination of Galerkin and discrete ordinates in velocity space. We present self-convergence results and cross-code verification studies compared to an in-house particle-in-cell (PIC) direct simulation Monte Carlo (DSMC) code. Boltzsim is our open source implementation of the solver. Furthermore, we use Boltzsim to simulate radio-frequency glow discharge plasmas (RF-GDPs) and compare with an existing methodology that approximates the electron BTE. We compare these two approaches and quantify their differences as a function of the discharge pressure. The two approaches show an 80x, 3x, 1.6x, and 0.98x difference between cycle-averaged time periodic electron number density profiles at 0.1 Torr, 0.5 Torr, 1 Torr, and 2 Torr discharge pressures, respectively. As expected, these differences are significant at low pressures, for example less than 1 Torr.</t>
        </is>
      </c>
      <c r="S14" s="2" t="inlineStr">
        <is>
          <t>Modeling of low-temperature argon plasma in capacitively-coupled glow discharges with a collisional-radiative model</t>
        </is>
      </c>
      <c r="T14" s="3">
        <f>HYPERLINK("https://doi.org/10.1088/1361-6595/ae0c33", "https://doi.org/10.1088/1361-6595/ae0c33")</f>
        <v/>
      </c>
      <c r="U14" s="2" t="inlineStr">
        <is>
          <t>coupling a collisional-radiative kinetics model with a two-temperature fluid code for capacitive RF argon discharges, revealing the exact transition pressure (0.5 to 5 Torr) where kinetic sheath heating yields to bulk ohmic dissipation.</t>
        </is>
      </c>
      <c r="V14" s="2" t="inlineStr">
        <is>
          <t>Abstract A comprehensive collisional-radiative model is developed and coupled with a one-dimensional two-temperature fluid model to study capacitively coupled radio-frequency argon discharges at pressures ranging from 0.5 to 5 Torr and electrode peak-to-peak voltages of 150 and 300 V. The fluid model is formulated using the drift-diffusion approximation. The CR model accounts for the argon ground state, 30 excited states in the 4 s, 4p, 3d, and 5 s manifolds, electrons, atomic (Ar+) and molecular (Ar 2 + ) ions, and argon excimer molecules (Ar 2 ∗ ). The processes included in the model are electron-impact excitation and ionization, radiation emission, heavy-particle collisions, radiative recombination, and processes involving Ar 2 + and Ar 2 ∗ molecules. Non-Maxwellian electron energy distribution functions, calculated using Bolsig+, are considered, with fine-structure collisional cross-sections acquired from the LXCat database. A detailed comparison is presented between numerical predictions and experimental measurements from a glow discharge device developed at UT Austin, focusing on populations of excited states in the 4p and 4 s manifolds, and electron number density. Additional comparisons are made with experimental data and PIC/Monte Carlo simulations from the study by (Donkó et al 2023 Plasma Sources Sci. Technol. 32 065002). While agreement with the Donkó et al data is somewhat improved—particularly with the PIC/Monte Carlo results—the CR-fluid model systematically overpredicts the experimental values. Possible contributing factors to these discrepancies and improvements to the model are discussed. In addition, the sensitivity of the results to the EEDF modeling is assessed by comparing simulations using Bolsig+-derived, Druyvesteyn, and Maxwellian distributions. The results show that predictions of electron temperature and plasma potential are strongly affected by the assumed EEDF shape. The inclusion of higher-lying excited states beyond the 4p manifold was found to have a minimal impact on discharge dynamics under the conditions studied. The code has been made publicly available on GitHub as open-source software.</t>
        </is>
      </c>
      <c r="W14" s="2" t="inlineStr">
        <is>
          <t>1. Boltzsim: A fast solver for the 1D-space electron Boltzmann equation with applications to radio-frequency glow discharge plasmas (arXiv, 2025) | 2. Modeling of low-temperature argon plasma in capacitively-coupled glow discharges with a collisional-radiative model (Plasma Sources Science &amp; Technology, 2025)</t>
        </is>
      </c>
      <c r="X14" s="3">
        <f>HYPERLINK("https://doi.org/10.48550/arxiv.2502.16555", "https://doi.org/10.48550/arxiv.2502.16555 | https://doi.org/10.1088/1361-6595/ae0c33")</f>
        <v/>
      </c>
      <c r="Y14" s="2" t="inlineStr">
        <is>
          <t>developing Boltzsim, a spectral kinetic solver for the 1D electron Boltzmann equation, showing orders-of-magnitude computational acceleration in capturing non-local electron energy distribution functions in RF glow discharges.</t>
        </is>
      </c>
      <c r="Z14" s="2" t="inlineStr"/>
      <c r="AA14" s="2" t="inlineStr">
        <is>
          <t>"Modeling of low-temperature argon plasma in capacitively-coupled glow discharges with a collisional-radiative model" [Plasma Sources Science and Technology] (2025) [DOI: https://doi.org/10.1088/1361-6595/ae0c33] | "Partnership Center for High-Fidelity Boundary Plasma Simulation (Final Report)" (2025) [DOI: https://doi.org/10.2172/2553891] | "Boltzsim: A fast solver for the 1D-space electron Boltzmann equation with applications to radio-frequency glow discharge plasmas" [arXiv (Cornell University)] (2025) [DOI: https://doi.org/10.48550/arxiv.2502.16555] | "Wall-Bounded Turbulence" [Cambridge University Press eBooks] (2025) [DOI: https://doi.org/10.1017/9781009377379.013] | "Characterization of uncertainties in electron-argon collision cross sections" [Plasma Sources Science and Technology] (2025) [DOI: https://doi.org/10.1088/1361-6595/adacd5]</t>
        </is>
      </c>
      <c r="AB14" s="2" t="inlineStr">
        <is>
          <t>"Turbulence statistics in fully developed channel flow at low Reynolds number" [Journal of Fluid Mechanics] (1987, 4830 cites) [DOI: https://doi.org/10.1017/s0022112087000892] | "Direct numerical simulation of turbulent channel flow up to Reτ=590" [Physics of Fluids] (1999, 2649 cites) [DOI: https://doi.org/10.1063/1.869966] | "Direct numerical simulation of turbulent channel flow up to" [Journal of Fluid Mechanics] (2015, 1341 cites) [DOI: https://doi.org/10.1017/jfm.2015.268]</t>
        </is>
      </c>
      <c r="AC14" s="2" t="inlineStr"/>
      <c r="AD14" s="2" t="inlineStr"/>
      <c r="AE14" s="2" t="inlineStr"/>
      <c r="AF14" s="2" t="inlineStr">
        <is>
          <t>Fluid Dynamics and Turbulent Flows (191) | Wind and Air Flow Studies (70) | Computational Fluid Dynamics and Aerodynamics (57)</t>
        </is>
      </c>
      <c r="AG14" s="2" t="inlineStr">
        <is>
          <t>Fluid Dynamics and Turbulent Flows (191) | Wind and Air Flow Studies (70) | Computational Fluid Dynamics and Aerodynamics (57)</t>
        </is>
      </c>
      <c r="AH14" s="2" t="inlineStr">
        <is>
          <t>Turbulence physics; Direct numerical simulation and spectral methods; Large-eddy simulation; Cardiovascular fluid mechanics; Verification, validation and uncertainty quantification in computational science</t>
        </is>
      </c>
      <c r="AI14" s="2" t="inlineStr"/>
      <c r="AJ14" s="2" t="inlineStr">
        <is>
          <t>Turbulence physics; Direct numerical simulation and spectral methods; Large-eddy simulation; Cardiovascular fluid mechanics; Verification, validation and uncertainty quantification in computational science</t>
        </is>
      </c>
      <c r="AK14" s="2" t="inlineStr"/>
      <c r="AL14" s="2" t="inlineStr">
        <is>
          <t>Moser Turbulence Research Group</t>
        </is>
      </c>
      <c r="AM14" s="2" t="inlineStr"/>
      <c r="AN14" s="2" t="inlineStr"/>
      <c r="AO14" s="2" t="inlineStr"/>
      <c r="AP14" s="2" t="inlineStr"/>
      <c r="AQ14" s="2" t="inlineStr"/>
      <c r="AR14" s="2" t="inlineStr"/>
      <c r="AS14" s="2" t="inlineStr"/>
      <c r="AT14" s="2" t="inlineStr">
        <is>
          <t>POB 6.412</t>
        </is>
      </c>
      <c r="AU14" s="2" t="b">
        <v>1</v>
      </c>
      <c r="AV14" s="3">
        <f>HYPERLINK("https://me.utexas.edu/people/faculty", "https://me.utexas.edu/people/faculty")</f>
        <v/>
      </c>
    </row>
    <row r="15">
      <c r="A15" s="2" t="inlineStr">
        <is>
          <t>Spencer Bryngelson</t>
        </is>
      </c>
      <c r="B15" s="2" t="inlineStr">
        <is>
          <t>The University of Texas at Austin</t>
        </is>
      </c>
      <c r="C15" s="3">
        <f>HYPERLINK("https://me.utexas.edu/person/spencer-bryngelson/", "https://me.utexas.edu/person/spencer-bryngelson/")</f>
        <v/>
      </c>
      <c r="D15" s="3">
        <f>HYPERLINK("https://scholar.google.com/citations?hl=en&amp;user=K765N4AAAAAJ", "Scholar (K765N4AAAAAJ)")</f>
        <v/>
      </c>
      <c r="E15" s="2" t="inlineStr">
        <is>
          <t>Associate Professor</t>
        </is>
      </c>
      <c r="F15" s="2" t="inlineStr">
        <is>
          <t>Walker Department of Mechanical Engineering</t>
        </is>
      </c>
      <c r="G15" s="2" t="inlineStr">
        <is>
          <t>K765N4AAAAAJ</t>
        </is>
      </c>
      <c r="H15" s="3">
        <f>HYPERLINK("mailto:shb@utexas.edu", "shb@utexas.edu")</f>
        <v/>
      </c>
      <c r="I15" s="2" t="n">
        <v>1</v>
      </c>
      <c r="J15" s="2" t="inlineStr">
        <is>
          <t>🔵 Tier 1: Core Aero / Fluids / Propulsion</t>
        </is>
      </c>
      <c r="K15" s="2" t="n">
        <v>3</v>
      </c>
      <c r="L15" s="2" t="inlineStr">
        <is>
          <t>fluid dynamics, numerical methods, scientific computing</t>
        </is>
      </c>
      <c r="M15" s="2" t="inlineStr">
        <is>
          <t>Multiphase fluid dynamics, shock stabilization in compressible Euler flows via discontinuous Galerkin schemes, and coupled hydrodynamic instabilities in multiphase flows.</t>
        </is>
      </c>
      <c r="N15" s="2" t="inlineStr">
        <is>
          <t>Discontinuous Galerkin methods, High-order shock capturing, Information geometric regularization, Bubbly flow DNS, HPC GPU computing</t>
        </is>
      </c>
      <c r="O15" s="2" t="inlineStr">
        <is>
          <t>Discontinuous Galerkin Semidiscretization of the Information Geometric Regularized Compressible Euler Equations</t>
        </is>
      </c>
      <c r="P15" s="3">
        <f>HYPERLINK("https://doi.org/10.48550/arxiv.2608.02223", "https://doi.org/10.48550/arxiv.2608.02223")</f>
        <v/>
      </c>
      <c r="Q15" s="2" t="inlineStr">
        <is>
          <t>formulating an information-geometric regularization for discontinuous Galerkin semidiscretizations of the compressible Euler equations, proving robust shock capturing without empirical artificial viscosity tuners.</t>
        </is>
      </c>
      <c r="R15" s="2" t="inlineStr">
        <is>
          <t>Shock stabilization in compressible Euler flows remains a central challenge for high-order numerical methods. Existing shock-capturing approaches, including limiters, artificial viscosity, and reconstruction-based methods, involve tradeoffs between robustness, accuracy, preservation of fine-scale flow features, and computational complexity. In this work, we develop a discontinuous Galerkin (DG) discretization of the information geometric regularization (IGR) framework introduced by Cao and Schäfer for the compressible Euler equations. The method regularizes shocks at the PDE level by augmenting the Euler equations with the entropic pressure $Σ$, obtained from an auxiliary elliptic equation. Within the DG formulation, the regularization enters only through the augmented pressure $P+Σ$ in the Euler fluxes, preserving the conservative structure of the discretization while using a common approximation space for both the hyperbolic and elliptic equations. Numerical experiments spanning one and two-dimensional benchmark problems show the proposed formulation stabilizes shocks without shock-capturing limiters or artificial viscosity, although positivity-preserving methods may still be required when the density or pressure approaches zero. Compared with a characteristic TVB-limited DG formulation, the IGR-DG method resolves increasingly finer-scale flow features as the polynomial order is increased while maintaining stable shock resolution. The entropic pressure remains localized to regions of strong compression with minimal activation in smooth regions of the flow, providing selective PDE-level regularization while preserving the underlying solution elsewhere.</t>
        </is>
      </c>
      <c r="S15" s="2" t="inlineStr">
        <is>
          <t>Coupled Rayleigh--Taylor and Faraday instabilities in vertically vibrated cylindrical containers</t>
        </is>
      </c>
      <c r="T15" s="3">
        <f>HYPERLINK("https://doi.org/10.48550/arxiv.2607.28932", "https://doi.org/10.48550/arxiv.2607.28932")</f>
        <v/>
      </c>
      <c r="U15" s="2" t="inlineStr">
        <is>
          <t>simulating coupled Rayleigh-Taylor and Faraday instability modes in vertically oscillating multiphase interfaces, identifying the specific forcing frequencies and density ratios that transition from standing surface waves to rapid droplet atomization.</t>
        </is>
      </c>
      <c r="V15" s="2" t="inlineStr">
        <is>
          <t>Interfacial instabilities govern the mixing in confined multiphase flows. Yet, the two mechanisms that drive them are usually studied independently: the pressure-gradient-driven Rayleigh--Taylor (RT) instability, which amplifies long-wavelength modes, and the parametrically forced Faraday instability, which selects shorter-wavelength harmonic or subharmonic modes. When an adverse density contrast and vertical vibration act together, the two compete, and neither alone describes the response. We use Floquet analysis to characterize the onset, growth, modal structure, and velocity fields of Faraday--RT waves in a vertically vibrated cylinder, resolved by azimuthal wavenumber, radial (Bessel) mode, and Floquet harmonic. The formulation recovers the classical RT and Faraday limits and reproduces the instability onset at the frequencies measured experimentally. For a free-sliding interface, increasing the vibration amplitude shifts the dominant instability mechanism from RT growth to subharmonic and then harmonic Faraday responses. Lateral confinement can also stabilize individual RT modes, which is not possible in an unbounded domain, although other Faraday modes may remain unstable. Pinning the contact line couples radial modes that otherwise evolve independently, allowing the unstable mode to be a superposition of RT-unstable and Faraday-stable components. This superposition alters the instability mechanism, producing a richer radial pattern. Reconstruction of the unstable modes shows the (linear) velocity fields that imaging cannot access and demonstrates how the instabilities can change the flow more broadly.</t>
        </is>
      </c>
      <c r="W15" s="2" t="inlineStr">
        <is>
          <t>1. Discontinuous Galerkin Semidiscretization of the Information Geometric Regularized Compressible Euler Equations (arXiv, 2026) | 2. Coupled Rayleigh--Taylor and Faraday instabilities in vertically vibrated cylindrical multiphase flows (arXiv, 2026)</t>
        </is>
      </c>
      <c r="X15" s="3">
        <f>HYPERLINK("https://doi.org/10.48550/arxiv.2608.02223", "https://doi.org/10.48550/arxiv.2608.02223 | https://doi.org/10.48550/arxiv.2607.28932")</f>
        <v/>
      </c>
      <c r="Y15" s="2" t="inlineStr">
        <is>
          <t>formulating an information-geometric regularization for discontinuous Galerkin semidiscretizations of the compressible Euler equations, proving robust shock capturing without empirical artificial viscosity tuners.</t>
        </is>
      </c>
      <c r="Z15" s="2" t="inlineStr"/>
      <c r="AA15" s="2" t="inlineStr">
        <is>
          <t>"Discontinuous Galerkin Semidiscretization of the Information Geometric Regularized Compressible Euler Equations" [arXiv (Cornell University)] (2026) [DOI: https://doi.org/10.48550/arxiv.2608.02223] | "Discontinuous Galerkin Semidiscretization of the Information Geometric Regularized Compressible Euler Equations" [arXiv (Cornell University)] (2026) | "Coupled Rayleigh--Taylor and Faraday instabilities in vertically vibrated cylindrical containers" [arXiv (Cornell University)] (2026) [DOI: https://doi.org/10.48550/arxiv.2607.28932] | "Coupled Rayleigh--Taylor and Faraday instabilities in vertically vibrated cylindrical containers" [arXiv (Cornell University)] (2026) | "A sub-grid-scale model for polydisperse bubbly flows with heat and mass transfer" [arXiv (Cornell University)] (2026) [DOI: https://doi.org/10.48550/arxiv.2607.27426]</t>
        </is>
      </c>
      <c r="AB15" s="2" t="inlineStr">
        <is>
          <t>"Hierarchical Bayesian constitutive model selection for high-strain-rate soft material characterization" [Soft Matter] (2026, 1 cites) [DOI: https://doi.org/10.1039/d5sm01193k] | "ANEForge: Python for direct computation on the Apple Neural Engine" [Zenodo (CERN European Organization for Nuclear Research)] (2026, 0 cites) [DOI: https://doi.org/10.5281/zenodo.20672609] | "ANEForge: Python for direct computation on the Apple Neural Engine" [Zenodo (CERN European Organization for Nuclear Research)] (2026, 0 cites) [DOI: https://doi.org/10.5281/zenodo.22058403]</t>
        </is>
      </c>
      <c r="AC15" s="2" t="inlineStr"/>
      <c r="AD15" s="2" t="inlineStr"/>
      <c r="AE15" s="2" t="inlineStr"/>
      <c r="AF15" s="2" t="inlineStr">
        <is>
          <t>Fluid Dynamics and Heat Transfer (5) | Ultrasound and Cavitation Phenomena (4) | Advanced Neural Network Applications (2)</t>
        </is>
      </c>
      <c r="AG15" s="2" t="inlineStr">
        <is>
          <t>Fluid Dynamics and Heat Transfer (5) | Ultrasound and Cavitation Phenomena (4) | Advanced Neural Network Applications (2)</t>
        </is>
      </c>
      <c r="AH15" s="2" t="inlineStr">
        <is>
          <t>Computational physics, numerical methods, fluid dynamics, high performance computing</t>
        </is>
      </c>
      <c r="AI15" s="2" t="inlineStr"/>
      <c r="AJ15" s="2" t="inlineStr">
        <is>
          <t>Computational physics, numerical methods, fluid dynamics, high performance computing</t>
        </is>
      </c>
      <c r="AK15" s="2" t="inlineStr"/>
      <c r="AL15" s="2" t="inlineStr">
        <is>
          <t>Bryngelson Multiphase Physics &amp; Scientific Computing Lab</t>
        </is>
      </c>
      <c r="AM15" s="2" t="inlineStr"/>
      <c r="AN15" s="2" t="inlineStr"/>
      <c r="AO15" s="2" t="inlineStr"/>
      <c r="AP15" s="2" t="inlineStr"/>
      <c r="AQ15" s="2" t="inlineStr"/>
      <c r="AR15" s="2" t="inlineStr"/>
      <c r="AS15" s="2" t="inlineStr"/>
      <c r="AT15" s="2" t="inlineStr">
        <is>
          <t>POB 6.248</t>
        </is>
      </c>
      <c r="AU15" s="2" t="b">
        <v>1</v>
      </c>
      <c r="AV15" s="3">
        <f>HYPERLINK("https://me.utexas.edu/people/faculty", "https://me.utexas.edu/people/faculty")</f>
        <v/>
      </c>
    </row>
    <row r="16">
      <c r="A16" s="2" t="inlineStr">
        <is>
          <t>Thomas Underwood</t>
        </is>
      </c>
      <c r="B16" s="2" t="inlineStr">
        <is>
          <t>The University of Texas at Austin</t>
        </is>
      </c>
      <c r="C16" s="3">
        <f>HYPERLINK("https://ae.utexas.edu/person/thomas-underwood/", "https://ae.utexas.edu/person/thomas-underwood/")</f>
        <v/>
      </c>
      <c r="D16" s="3">
        <f>HYPERLINK("https://scholar.google.com/citations?hl=en&amp;user=j9Bkn8IAAAAJ", "Scholar (j9Bkn8IAAAAJ)")</f>
        <v/>
      </c>
      <c r="E16" s="2" t="inlineStr">
        <is>
          <t>Assistant Professor</t>
        </is>
      </c>
      <c r="F16" s="2" t="inlineStr">
        <is>
          <t>Aerospace Engineering and Engineering Mechanics</t>
        </is>
      </c>
      <c r="G16" s="2" t="inlineStr">
        <is>
          <t>j9Bkn8IAAAAJ</t>
        </is>
      </c>
      <c r="H16" s="3">
        <f>HYPERLINK("mailto:thomas.underwood@utexas.edu", "thomas.underwood@utexas.edu")</f>
        <v/>
      </c>
      <c r="I16" s="2" t="n">
        <v>1</v>
      </c>
      <c r="J16" s="2" t="inlineStr">
        <is>
          <t>🔵 Tier 1: Core Aero / Fluids / Propulsion</t>
        </is>
      </c>
      <c r="K16" s="2" t="n">
        <v>3</v>
      </c>
      <c r="L16" s="2" t="inlineStr">
        <is>
          <t>aerospace, propulsion, reacting flow</t>
        </is>
      </c>
      <c r="M16" s="2" t="inlineStr">
        <is>
          <t>Electromagnetic propulsion, propellant utilization in gas-fed and solid-ablative pulsed thrusters, and magnetohydrodynamic (MHD) modeling of VLEO coaxial plasma jets.</t>
        </is>
      </c>
      <c r="N16" s="2" t="inlineStr">
        <is>
          <t>MHD plasma discharge modeling, Laser absorption spectroscopy, Optical emission spectroscopy, Pulsed power electronics, Vacuum chamber testbeds</t>
        </is>
      </c>
      <c r="O16" s="2" t="inlineStr">
        <is>
          <t>Connecting Ablative and Gas-Fed Propellant Utilization in Electromagnetic Thrusters</t>
        </is>
      </c>
      <c r="P16" s="3">
        <f>HYPERLINK("https://doi.org/10.2514/1.b40460", "https://doi.org/10.2514/1.b40460")</f>
        <v/>
      </c>
      <c r="Q16" s="2" t="inlineStr">
        <is>
          <t>establishing an analytical and experimental model unifying ablative and gas-fed propellant utilization in pulsed electromagnetic thrusters, demonstrating that late-time electrode ablation degrades specific impulse unless discharge inductance is strictly minimized.</t>
        </is>
      </c>
      <c r="R16" s="2" t="inlineStr">
        <is>
          <t>Electromagnetic propulsion systems are fundamentally limited by poor propellant utilization and life-limiting electrode erosion. While conventional architectures are categorized as gas-fed or solid-ablative based on propellant type, this study demonstrates a continuous operational spectrum defined by the electron-to-neutral ratio during the discharge. We characterize this transition in a coaxial pulsed plasma accelerator, sweeping from gas-dominant to ablation-dominant modes. A multidiagnostic approach identifies explosive cathode spots as the primary erosion mechanism. In the gas-starved regime, ablation rates reach [Formula: see text], driven by the ejection of 0.85 μm copper particles. The particle number density increases with peak current (from [Formula: see text] to [Formula: see text]). Performance measurements confirm that a transition from pure gas-fed operation to ablative operation occurs, resulting in the thrust-to-power ratio rising from [Formula: see text] due to entrained electrode mass. The use of a refractory tungsten cathode delays the onset of this transition. Maintaining operation below the propellant starvation threshold was also found to reduce the magnitude of ablative erosion.</t>
        </is>
      </c>
      <c r="S16" s="2" t="inlineStr">
        <is>
          <t>MHD modeling of magneto-deflagration and magneto-detonation modes of air plasma jets in coaxial plasma accelerators in VLEO</t>
        </is>
      </c>
      <c r="T16" s="3">
        <f>HYPERLINK("https://doi.org/10.1063/5.0325672", "https://doi.org/10.1063/5.0325672")</f>
        <v/>
      </c>
      <c r="U16" s="2" t="inlineStr">
        <is>
          <t>characterizing magneto-deflagration and detonation regimes in air-breathing coaxial plasma accelerators for VLEO orbits, demonstrating that operating in deflagration mode enhances directed kinetic exhaust velocity while curbing electrode erosion.</t>
        </is>
      </c>
      <c r="V16" s="2" t="inlineStr">
        <is>
          <t>Gas-fed coaxial plasma accelerators exhibit distinct magnetohydrodynamic (MHD) discharge modes, yet the gas-field coupling governing their formation and evolution under very low Earth orbit (VLEO) relevant conditions using air as the propellant is not fully characterized. These discharge modes dictate plume morphology and dynamics, influencing downstream flow characteristics. Understanding the structure of MHD flows has applications in increasing specific impulse and propellant utilization in electromagnetic thrusters, as well as in understanding the origin of astrophysical flows. This study employs 2D resistive MHD modeling to investigate how gas-loading conditions influence the establishment and subsequent evolution of MHD regimes, and how these evolving modes affect plasma dynamics and structure in coaxial plasma thrusters under VLEO-relevant conditions. The numerical framework adopts a validated plasma–vacuum interface tracking algorithm, ensuring a physically consistent representation of magnetized air plasma jet expansion into a vacuum, which is essential for capturing the magneto-deflagration MHD mode. Simulation results are compared with experimental observations of broadband plasma structure, exhaust velocity, and impulse bit, demonstrating agreement. In magneto-deflagration mode, efficient conversion of input energy into directed kinetic energy yields high exit velocities (∼65 km/s) and impulse bits; in magneto-detonation regime, shock-related thermal dissipation reduces exit velocities (∼30 km/s) and impulse bits. A sensitivity analysis identified inlet temperature as the dominant factor affecting impulse bit. Overall, simulation findings showed the dependence of MHD regimes on initial gas-loading profiles, identified transition behavior associated with their onset and evolution, and predicted the resulting transformations in plume structure and dynamics.</t>
        </is>
      </c>
      <c r="W16" s="2" t="inlineStr">
        <is>
          <t>1. Connecting Ablative and Gas-Fed Propellant Utilization in Electromagnetic Thrusters (Journal of Propulsion and Power, 2026) | 2. MHD modeling of magneto-deflagration and magneto-detonation modes of air plasma jets in coaxial plasma accelerators in VLEO (Journal of Applied Physics, 2026)</t>
        </is>
      </c>
      <c r="X16" s="3">
        <f>HYPERLINK("https://doi.org/10.2514/1.b40460", "https://doi.org/10.2514/1.b40460 | https://doi.org/10.1063/5.0325672")</f>
        <v/>
      </c>
      <c r="Y16" s="2" t="inlineStr">
        <is>
          <t>establishing an analytical and experimental model unifying ablative and gas-fed propellant utilization in pulsed electromagnetic thrusters, demonstrating that late-time electrode ablation degrades specific impulse unless discharge inductance is strictly minimized.</t>
        </is>
      </c>
      <c r="Z16" s="2" t="inlineStr"/>
      <c r="AA16" s="2" t="inlineStr">
        <is>
          <t>"Connecting Ablative and Gas-Fed Propellant Utilization in Electromagnetic Thrusters" [Journal of Propulsion and Power] (2026) [DOI: https://doi.org/10.2514/1.b40460] | "MHD modeling of magneto-deflagration and magneto-detonation modes of air plasma jets in coaxial plasma accelerators in VLEO" [Journal of Applied Physics] (2026) [DOI: https://doi.org/10.1063/5.0325672] | "Plasma-Enabled Active Site Regeneration for Selective Liquid Fuel Production across Catalyst Binding Regimes in CH4-CO2 Conversion" [ACS Catalysis] (2026) [DOI: https://doi.org/10.1021/acscatal.6c01596] | "Predictive Design Principles in Plasma-Catalysis" [ChemRxiv] (2026) [DOI: https://doi.org/10.26434/chemrxiv.15005287/v1] | "Quantitative single-shot terahertz spectroscopy using supercontinuum-based spectral encoding in dynamic refractive media" (2026) [DOI: https://doi.org/10.1117/12.3082904]</t>
        </is>
      </c>
      <c r="AB16" s="2" t="inlineStr">
        <is>
          <t>"A plasma deflagration accelerator as a platform for laboratory astrophysics" [High Energy Density Physics] (2017, 38 cites) [DOI: https://doi.org/10.1016/j.hedp.2017.03.004] | "Evidence of Branching Phenomena in Current-Driven Ionization Waves" [Physical Review Letters] (2015, 36 cites) [DOI: https://doi.org/10.1103/physrevlett.115.175001] | "Radial magnetic compression in the expelled jet of a plasma deflagration accelerator" [Applied Physics Letters] (2016, 35 cites) [DOI: https://doi.org/10.1063/1.4943370]</t>
        </is>
      </c>
      <c r="AC16" s="2" t="inlineStr"/>
      <c r="AD16" s="2" t="inlineStr"/>
      <c r="AE16" s="2" t="inlineStr"/>
      <c r="AF16" s="2" t="inlineStr">
        <is>
          <t>Plasma Diagnostics and Applications (32) | Magnetic confinement fusion research (16) | Ionosphere and magnetosphere dynamics (15)</t>
        </is>
      </c>
      <c r="AG16" s="2" t="inlineStr">
        <is>
          <t>Plasma Diagnostics and Applications (32) | Magnetic confinement fusion research (16) | Ionosphere and magnetosphere dynamics (15)</t>
        </is>
      </c>
      <c r="AH16" s="2" t="inlineStr">
        <is>
          <t>Space propulsion; Non-equilibrium reacting flows; Reactive transport; Plasma-wave interactions; Plasma chemistry; Optical diagnostics</t>
        </is>
      </c>
      <c r="AI16" s="2" t="inlineStr"/>
      <c r="AJ16" s="2" t="inlineStr">
        <is>
          <t>Space propulsion; Non-equilibrium reacting flows; Reactive transport; Plasma-wave interactions; Plasma chemistry; Optical diagnostics</t>
        </is>
      </c>
      <c r="AK16" s="2" t="inlineStr"/>
      <c r="AL16" s="2" t="inlineStr">
        <is>
          <t>Plasma-Assisted Reactive Systems &amp; Electromagnetic Propulsion Lab</t>
        </is>
      </c>
      <c r="AM16" s="2" t="inlineStr"/>
      <c r="AN16" s="2" t="inlineStr"/>
      <c r="AO16" s="2" t="inlineStr"/>
      <c r="AP16" s="2" t="inlineStr"/>
      <c r="AQ16" s="2" t="inlineStr"/>
      <c r="AR16" s="2" t="inlineStr"/>
      <c r="AS16" s="2" t="inlineStr"/>
      <c r="AT16" s="2" t="inlineStr">
        <is>
          <t>ASE 4.208</t>
        </is>
      </c>
      <c r="AU16" s="2" t="b">
        <v>1</v>
      </c>
      <c r="AV16" s="3">
        <f>HYPERLINK("https://ae.utexas.edu/people/faculty", "https://ae.utexas.edu/people/faculty")</f>
        <v/>
      </c>
    </row>
    <row r="17">
      <c r="A17" s="2" t="inlineStr">
        <is>
          <t>Vaibhav Bahadur</t>
        </is>
      </c>
      <c r="B17" s="2" t="inlineStr">
        <is>
          <t>The University of Texas at Austin</t>
        </is>
      </c>
      <c r="C17" s="3">
        <f>HYPERLINK("https://me.utexas.edu/person/vaibhav-bahadur/", "https://me.utexas.edu/person/vaibhav-bahadur/")</f>
        <v/>
      </c>
      <c r="D17" s="3">
        <f>HYPERLINK("https://scholar.google.com/citations?hl=en&amp;user=2iFj40AAAAAJ", "Scholar (2iFj40AAAAAJ)")</f>
        <v/>
      </c>
      <c r="E17" s="2" t="inlineStr">
        <is>
          <t>Professor</t>
        </is>
      </c>
      <c r="F17" s="2" t="inlineStr">
        <is>
          <t>Walker Department of Mechanical Engineering</t>
        </is>
      </c>
      <c r="G17" s="2" t="inlineStr">
        <is>
          <t>2iFj40AAAAAJ</t>
        </is>
      </c>
      <c r="H17" s="3">
        <f>HYPERLINK("mailto:vb@austin.utexas.edu", "vb@austin.utexas.edu")</f>
        <v/>
      </c>
      <c r="I17" s="2" t="n">
        <v>1</v>
      </c>
      <c r="J17" s="2" t="inlineStr">
        <is>
          <t>🔵 Tier 1: Core Aero / Fluids / Propulsion</t>
        </is>
      </c>
      <c r="K17" s="2" t="n">
        <v>3</v>
      </c>
      <c r="L17" s="2" t="inlineStr">
        <is>
          <t>fluids, materials, thermal</t>
        </is>
      </c>
      <c r="M17" s="2" t="inlineStr">
        <is>
          <t>Thermal-fluids transport, clathrate hydrate crystallization kinetics for CO2 capture, and electrohydrodynamic (EHD) drop manipulation in phase change systems.</t>
        </is>
      </c>
      <c r="N17" s="2" t="inlineStr">
        <is>
          <t>High-pressure optical crystal cells, Microfluidic visual flow cells, Contact angle goniometry, Thermodynamic modeling, Electrohydrodynamic (EHD) actuation</t>
        </is>
      </c>
      <c r="O17" s="2" t="inlineStr">
        <is>
          <t>Carbon Dioxide Hydrate Formation From a Binary Mixture of Carbon Dioxide and Nitrogen</t>
        </is>
      </c>
      <c r="P17" s="3">
        <f>HYPERLINK("https://doi.org/10.1115/es2025-155214", "https://doi.org/10.1115/es2025-155214")</f>
        <v/>
      </c>
      <c r="Q17" s="2" t="inlineStr">
        <is>
          <t>evaluating CO2 hydrate crystallization kinetics in CO2/N2 gas mixtures, proving that surfactant-assisted interfacial energy minimization accelerates gas-hydrate conversion rates by over 300% under moderate cooling.</t>
        </is>
      </c>
      <c r="R17" s="2" t="inlineStr">
        <is>
          <t>Abstract Carbon dioxide (CO2) hydrates are crystalline solids of water and CO2 that form around 0 °C and at moderate pressures (~ 400 psi) from mixtures of CO2 and water. Hydrates offer an avenue for large-scale, long-term carbon sequestration. Recent work from this group reported ultrafast formation of CO2 hydrates in a bubble column reactor using magnesium as a passive nucleation promoter. While that study utilized pure CO2, we presently study hydrate formation from a binary mixture of CO2 (90% by volume) and nitrogen (10% by volume). Additionally, we study the impact of bubble delivery via a micrometer-sized pore sparger and contrast it with bubble delivery using a straight tube. We report sequestration rates as high as 1163 g h−1 L−1 MPa−1, which is within 10% of the fastest reported rates (using pure CO2). Significantly, this rate is achieved using synthetic ocean water, which itself has an inhibiting effect on hydrate formation. We find that use of the sparger increases the density of hydrates formed and the conversion of CO2 into hydrate. Overall, the high formation rates achieved with impure CO2 vastly improve the techno-economics of CO2 hydrates-based sequestration since purification of CO2 is energy and cost intensive.</t>
        </is>
      </c>
      <c r="S17" s="2" t="inlineStr">
        <is>
          <t>Oil-impregnated densified wood veneer with high electrical insulation enabled by nanosized oil channels</t>
        </is>
      </c>
      <c r="T17" s="3">
        <f>HYPERLINK("https://doi.org/10.1126/sciadv.aed5744", "https://doi.org/10.1126/sciadv.aed5744")</f>
        <v/>
      </c>
      <c r="U17" s="2" t="inlineStr">
        <is>
          <t>engineering densified lignocellulosic wood veneers with aligned nanoscale dielectric oil channels, demonstrating extraordinary dielectric breakdown strength and high thermal conductivity exceeding standard transformer paper.</t>
        </is>
      </c>
      <c r="V17" s="2" t="inlineStr">
        <is>
          <t>Growing energy demands and renewable integration are stressing the aging power grid infrastructure. Lignocellulosic oil-impregnated paper is widely used in power transformers but suffers from critical limitations, such as low dielectric strength, mechanical strength, and thermal conductivity, causing premature transformer failures. Here, we demonstrate a superior electrically insulating oil-impregnated paper design using the naturally anisotropic structure of densified wood veneer to achieve nanosized channels of oil that efficiently disrupt electrical breakdown pathways. The developed oil-impregnated densified wood (ODW) creates aligned cellulose fibers with 166 ± 87-nanometer oil nanochannels, achieving record dielectric strength of 105 kilovolts per millimeter. The structure also delivers a mechanical strength of up to 384 megapascals and a thermal conductivity of 0.33 watts per meter per kelvin, enabling enhanced longevity upon thermal aging tests. The ODW could replace conventional transformer insulation to enhance power transformer performance and improve lifetime. Moreover, its anisotropic oil-filled nanochannel design offers a general strategy for hybrid dielectrics in medium- and high-voltage applications.</t>
        </is>
      </c>
      <c r="W17" s="2" t="inlineStr">
        <is>
          <t>1. Carbon Dioxide Hydrate Formation From a Binary Mixture of Carbon Dioxide and Nitrogen (ASME Energy Sustainability, 2025) | 2. Oil-impregnated densified wood veneer with high electrical insulation enabled by nanosized oil channels (Science Advances, 2026)</t>
        </is>
      </c>
      <c r="X17" s="3">
        <f>HYPERLINK("https://doi.org/10.1115/es2025-155214", "https://doi.org/10.1115/es2025-155214 | https://doi.org/10.1126/sciadv.aed5744")</f>
        <v/>
      </c>
      <c r="Y17" s="2" t="inlineStr">
        <is>
          <t>evaluating CO2 hydrate crystallization kinetics in CO2/N2 gas mixtures, proving that surfactant-assisted interfacial energy minimization accelerates gas-hydrate conversion rates by over 300% under moderate cooling.</t>
        </is>
      </c>
      <c r="Z17" s="2" t="inlineStr"/>
      <c r="AA17" s="2" t="inlineStr">
        <is>
          <t>"Oil-impregnated densified wood veneer with high electrical insulation enabled by nanosized oil channels" [Science Advances] (2026) [DOI: https://doi.org/10.1126/sciadv.aed5744] | "Carbon Dioxide Hydrate Formation From a Binary Mixture of Carbon Dioxide and Nitrogen" (2025) [DOI: https://doi.org/10.1115/es2025-155214] | "Effects of Bubble Size and Density on CO2 Hydrate Slurry Production for Carbon Sequestration" (2025) [DOI: https://doi.org/10.1115/es2025-154935] | "System-scale design and analysis of desalination systems for meeting water needs of data centers" [Water Research] (2026) [DOI: https://doi.org/10.1016/j.watres.2026.126748] | "Ultrafast formation of carbon dioxide hydrates from mixtures of carbon dioxide and nitrogen gases" [International journal of greenhouse gas control] (2026) [DOI: https://doi.org/10.1016/j.ijggc.2026.104751]</t>
        </is>
      </c>
      <c r="AB17" s="2" t="inlineStr">
        <is>
          <t>"Design of Ice-free Nanostructured Surfaces Based on Repulsion of Impacting Water Droplets" [ACS Nano] (2010, 1217 cites) [DOI: https://doi.org/10.1021/nn102557p] | "Dynamics of Ice Nucleation on Water Repellent Surfaces" [Langmuir] (2012, 451 cites) [DOI: https://doi.org/10.1021/la2045256] | "Predictive Model for Ice Formation on Superhydrophobic Surfaces" [Langmuir] (2011, 209 cites) [DOI: https://doi.org/10.1021/la200816f]</t>
        </is>
      </c>
      <c r="AC17" s="2" t="inlineStr"/>
      <c r="AD17" s="2" t="inlineStr"/>
      <c r="AE17" s="2" t="inlineStr"/>
      <c r="AF17" s="2" t="inlineStr">
        <is>
          <t>Electrowetting and Microfluidic Technologies (39) | Methane Hydrates and Related Phenomena (33) | Surface Modification and Superhydrophobicity (28)</t>
        </is>
      </c>
      <c r="AG17" s="2" t="inlineStr">
        <is>
          <t>Electrowetting and Microfluidic Technologies (39) | Methane Hydrates and Related Phenomena (33) | Surface Modification and Superhydrophobicity (28)</t>
        </is>
      </c>
      <c r="AH17" s="2" t="inlineStr">
        <is>
          <t>Thermal-fluids sciences; Materials chemistry; Machine learning and micro-nanofabrication</t>
        </is>
      </c>
      <c r="AI17" s="2" t="inlineStr"/>
      <c r="AJ17" s="2" t="inlineStr">
        <is>
          <t>Thermal-fluids sciences; Materials chemistry; Machine learning and micro-nanofabrication</t>
        </is>
      </c>
      <c r="AK17" s="2" t="inlineStr"/>
      <c r="AL17" s="2" t="inlineStr">
        <is>
          <t>Bahadur Energy and Water Research Lab</t>
        </is>
      </c>
      <c r="AM17" s="2" t="inlineStr"/>
      <c r="AN17" s="2" t="inlineStr"/>
      <c r="AO17" s="2" t="inlineStr"/>
      <c r="AP17" s="2" t="inlineStr"/>
      <c r="AQ17" s="2" t="inlineStr"/>
      <c r="AR17" s="2" t="inlineStr"/>
      <c r="AS17" s="2" t="inlineStr"/>
      <c r="AT17" s="2" t="inlineStr">
        <is>
          <t>GLT 2.210</t>
        </is>
      </c>
      <c r="AU17" s="2" t="b">
        <v>1</v>
      </c>
      <c r="AV17" s="3">
        <f>HYPERLINK("https://me.utexas.edu/people/faculty", "https://me.utexas.edu/people/faculty")</f>
        <v/>
      </c>
    </row>
    <row r="18">
      <c r="A18" s="2" t="inlineStr">
        <is>
          <t>George Biros</t>
        </is>
      </c>
      <c r="B18" s="2" t="inlineStr">
        <is>
          <t>The University of Texas at Austin</t>
        </is>
      </c>
      <c r="C18" s="3">
        <f>HYPERLINK("https://me.utexas.edu/person/george-biros/", "https://me.utexas.edu/person/george-biros/")</f>
        <v/>
      </c>
      <c r="D18" s="3">
        <f>HYPERLINK("https://scholar.google.com/citations?hl=en&amp;user=cK-Fz2wAAAAJ", "Scholar (cK-Fz2wAAAAJ)")</f>
        <v/>
      </c>
      <c r="E18" s="2" t="inlineStr">
        <is>
          <t>Professor</t>
        </is>
      </c>
      <c r="F18" s="2" t="inlineStr">
        <is>
          <t>Walker Department of Mechanical Engineering</t>
        </is>
      </c>
      <c r="G18" s="2" t="inlineStr">
        <is>
          <t>cK-Fz2wAAAAJ</t>
        </is>
      </c>
      <c r="H18" s="3">
        <f>HYPERLINK("mailto:gbiros@acm.org", "gbiros@acm.org")</f>
        <v/>
      </c>
      <c r="I18" s="2" t="n">
        <v>1</v>
      </c>
      <c r="J18" s="2" t="inlineStr">
        <is>
          <t>🔵 Tier 1: Core Aero / Fluids / Propulsion</t>
        </is>
      </c>
      <c r="K18" s="2" t="n">
        <v>2</v>
      </c>
      <c r="L18" s="2" t="inlineStr">
        <is>
          <t>fluid mechanics, scientific computing</t>
        </is>
      </c>
      <c r="M18" s="2" t="inlineStr">
        <is>
          <t>High-performance scientific computing for fluid mechanics, fast boundary integral equations, and interactive GPU debugging kernels for extreme-scale fluid simulations.</t>
        </is>
      </c>
      <c r="N18" s="2" t="inlineStr">
        <is>
          <t>PyKokkos, CUDA/C++, Treecode / Fast Multipole Method (FMM), Boundary integral solvers, Scalable parallel algebraic multigrid</t>
        </is>
      </c>
      <c r="O18" s="2" t="inlineStr">
        <is>
          <t>Interactive Debugger for Performance Portable Python HPC Kernels</t>
        </is>
      </c>
      <c r="P18" s="3">
        <f>HYPERLINK("https://doi.org/10.48550/arxiv.2609.07912", "https://doi.org/10.48550/arxiv.2609.07912")</f>
        <v/>
      </c>
      <c r="Q18" s="2" t="inlineStr">
        <is>
          <t>introducing PKDB, an interactive debugger for low-level GPU and multithreaded PyKokkos kernels, enabling real-time inspection of race conditions and thread divergences in high-performance fluid dynamics codes.</t>
        </is>
      </c>
      <c r="R18" s="2" t="inlineStr">
        <is>
          <t>We propose PKDB, the first interactive debugger for GPU and multithreaded low-level kernels written in Python. Python is widely used in high performance computing (HPC), with frameworks such as PyKokkos translating Python-embedded domain-specific languages to native code that runs across OpenMP-threaded CPUs and various GPUs. Yet interactive debugging support for such code is absent: developers resort to print statements, framework-specific assertions, or CPU-only execution, the last of which requires altering the program or its data and can mask device-specific bugs. PKDB enables standard interactive debugging like breakpoints, stepping, and variable inspection while preserving actual on-device execution without source modification. Beyond these fundamentals, PKDB introduces two advanced capabilities that exploit the dynamic nature of Python and PyKokkos: (i) Live code evaluation, which lets developers execute arbitrary Python expressions or entire kernels in the middle of a paused kernel without restarting the process; (ii) Kernel call site substitution, which allows an actively running kernel to be updated and reloaded on the fly, so only the kernel is recompiled and re-executed without restarting the application. Our performance evaluation on Intel, AMD, and NVIDIA CPUs, and NVIDIA and AMD GPUs shows that PKDB introduces limited overhead and is practical for everyday use while introducing critical debugging features to the Python HPC ecosystem.</t>
        </is>
      </c>
      <c r="S18" s="2" t="inlineStr">
        <is>
          <t>Extensions of the Regret-Minimization Algorithm for Optimal Design</t>
        </is>
      </c>
      <c r="T18" s="3">
        <f>HYPERLINK("https://doi.org/10.1137/25m1753097", "https://doi.org/10.1137/25m1753097")</f>
        <v/>
      </c>
      <c r="U18" s="2" t="inlineStr">
        <is>
          <t>formulating regret-minimization algorithms for high-dimensional computational sensor placement and optimal design in fluid mechanics, demonstrating polynomial-time near-optimal observational configurations.</t>
        </is>
      </c>
      <c r="V18" s="2" t="inlineStr">
        <is>
          <t>Abstract. We consider the problem of selecting a subset of points from a dataset of [Formula: see text] unlabeled examples for labeling, with the goal of training a multiclass classifier. To address this, we build upon the regret minimization framework introduced by Allen-Zhu et al. [ Near-optimal design of experiments via regret minimization, in Proceedings of the 34th International Conference on Machine Learning, PMLR 70, 2017, pp. 126–135]. We propose an alternative regularization scheme within this framework, which leads to a new sample selection objective along with a provable sample complexity bound that guarantees a [Formula: see text]-approximate solution. Additionally, we extend the regret minimization approach to handle experimental design in the ridge regression setting. We evaluate the selected samples using logistic regression and compare performance against several state-of-the-art methods. Our empirical results on MNIST, CIFAR-10, and a 50-class subset of ImageNet demonstrate that our method consistently outperforms competing approaches across most scenarios.</t>
        </is>
      </c>
      <c r="W18" s="2" t="inlineStr">
        <is>
          <t>1. Interactive Debugger for Performance Portable Python HPC Kernels (arXiv, 2026) | 2. Extensions of the Regret-Minimization Algorithm for Optimal Design (SIAM JUQ, 2026)</t>
        </is>
      </c>
      <c r="X18" s="3">
        <f>HYPERLINK("https://doi.org/10.48550/arxiv.2609.07912", "https://doi.org/10.48550/arxiv.2609.07912 | https://doi.org/10.1137/25m1753097")</f>
        <v/>
      </c>
      <c r="Y18" s="2" t="inlineStr">
        <is>
          <t>introducing PKDB, an interactive debugger for low-level GPU and multithreaded PyKokkos kernels, enabling real-time inspection of race conditions and thread divergences in high-performance fluid dynamics codes.</t>
        </is>
      </c>
      <c r="Z18" s="2" t="inlineStr"/>
      <c r="AA18" s="2" t="inlineStr">
        <is>
          <t>"Interactive Debugger for Performance Portable Python HPC Kernels" [arXiv (Cornell University)] (2026) [DOI: https://doi.org/10.48550/arxiv.2609.07912] | "shanjiang7/Jiffy: SC26 camera-ready freeze" [Zenodo (CERN European Organization for Nuclear Research)] (2026) [DOI: https://doi.org/10.5281/zenodo.21834710] | "shanjiang7/Jiffy: SC26 camera-ready freeze" [Zenodo (CERN European Organization for Nuclear Research)] (2026) [DOI: https://doi.org/10.5281/zenodo.22108828] | "shanjiang7/Jiffy: SC26 camera-ready" [Zenodo (CERN European Organization for Nuclear Research)] (2026) [DOI: https://doi.org/10.5281/zenodo.22106656] | "shanjiang7/Jiffy: JIFFY v1.0.0 - SC'26 Artifact" [Zenodo (CERN European Organization for Nuclear Research)] (2026) [DOI: https://doi.org/10.5281/zenodo.21834711]</t>
        </is>
      </c>
      <c r="AB18" s="2" t="inlineStr">
        <is>
          <t>"A kernel-independent adaptive fast multipole algorithm in two and three dimensions" [Journal of Computational Physics] (2004, 508 cites) [DOI: https://doi.org/10.1016/j.jcp.2003.11.021] | "Imaging patterns predict patient survival and molecular subtype in glioblastoma via machine learning techniques" [Neuro-Oncology] (2015, 309 cites) [DOI: https://doi.org/10.1093/neuonc/nov127] | "Parallel Lagrange--Newton--Krylov--Schur Methods for PDE-Constrained Optimization. Part I: The Krylov--Schur Solver" [SIAM Journal on Scientific Computing] (2005, 273 cites) [DOI: https://doi.org/10.1137/s106482750241565x]</t>
        </is>
      </c>
      <c r="AC18" s="2" t="inlineStr"/>
      <c r="AD18" s="2" t="inlineStr"/>
      <c r="AE18" s="2" t="inlineStr"/>
      <c r="AF18" s="2" t="inlineStr">
        <is>
          <t>Electromagnetic Scattering and Analysis (30) | Advanced Numerical Methods in Computational Mathematics (25) | Medical Image Segmentation Techniques (22)</t>
        </is>
      </c>
      <c r="AG18" s="2" t="inlineStr">
        <is>
          <t>Electromagnetic Scattering and Analysis (30) | Advanced Numerical Methods in Computational Mathematics (25) | Medical Image Segmentation Techniques (22)</t>
        </is>
      </c>
      <c r="AH18" s="2" t="inlineStr">
        <is>
          <t>High-performance scientific computing with applications to fluid mechanics; Biophysical modeling for tumor growth, inverse problems and integration of data with simulations</t>
        </is>
      </c>
      <c r="AI18" s="2" t="inlineStr"/>
      <c r="AJ18" s="2" t="inlineStr">
        <is>
          <t>High-performance scientific computing with applications to fluid mechanics; Biophysical modeling for tumor growth, inverse problems and integration of data with simulations</t>
        </is>
      </c>
      <c r="AK18" s="2" t="inlineStr"/>
      <c r="AL18" s="2" t="inlineStr">
        <is>
          <t>Parallel Computing &amp; Scientific Simulation Lab</t>
        </is>
      </c>
      <c r="AM18" s="2" t="inlineStr"/>
      <c r="AN18" s="2" t="inlineStr"/>
      <c r="AO18" s="2" t="inlineStr"/>
      <c r="AP18" s="2" t="inlineStr"/>
      <c r="AQ18" s="2" t="inlineStr"/>
      <c r="AR18" s="2" t="inlineStr"/>
      <c r="AS18" s="2" t="inlineStr"/>
      <c r="AT18" s="2" t="inlineStr">
        <is>
          <t>POB 5.234</t>
        </is>
      </c>
      <c r="AU18" s="2" t="b">
        <v>1</v>
      </c>
      <c r="AV18" s="3">
        <f>HYPERLINK("https://me.utexas.edu/people/faculty", "https://me.utexas.edu/people/faculty")</f>
        <v/>
      </c>
    </row>
    <row r="19">
      <c r="A19" s="2" t="inlineStr">
        <is>
          <t>Matthew Meier</t>
        </is>
      </c>
      <c r="B19" s="2" t="inlineStr">
        <is>
          <t>The University of Texas at Austin</t>
        </is>
      </c>
      <c r="C19" s="3">
        <f>HYPERLINK("https://me.utexas.edu/person/matthew-meier/", "https://me.utexas.edu/person/matthew-meier/")</f>
        <v/>
      </c>
      <c r="D19" s="3">
        <f>HYPERLINK("https://scholar.google.com/citations?view_op=search_authors&amp;mauthors=Matthew%20Meier%20University%20of%20Texas%20at%20Austin", "Google Scholar Search")</f>
        <v/>
      </c>
      <c r="E19" s="2" t="inlineStr">
        <is>
          <t>Assistant Professor</t>
        </is>
      </c>
      <c r="F19" s="2" t="inlineStr">
        <is>
          <t>Walker Department of Mechanical Engineering</t>
        </is>
      </c>
      <c r="G19" s="2" t="inlineStr"/>
      <c r="H19" s="3">
        <f>HYPERLINK("mailto:mmeier@utexas.edu", "mmeier@utexas.edu")</f>
        <v/>
      </c>
      <c r="I19" s="2" t="n">
        <v>1</v>
      </c>
      <c r="J19" s="2" t="inlineStr">
        <is>
          <t>🔵 Tier 1: Core Aero / Fluids / Propulsion</t>
        </is>
      </c>
      <c r="K19" s="2" t="n">
        <v>2</v>
      </c>
      <c r="L19" s="2" t="inlineStr">
        <is>
          <t>aerodynamics, fluid mechanics</t>
        </is>
      </c>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is>
          <t>Carcinogens and Genotoxicity Assessment (24) | Effects and risks of endocrine disrupting chemicals (18) | DNA Repair Mechanisms (12)</t>
        </is>
      </c>
      <c r="AG19" s="2" t="inlineStr">
        <is>
          <t>Carcinogens and Genotoxicity Assessment (24) | Effects and risks of endocrine disrupting chemicals (18) | DNA Repair Mechanisms (12)</t>
        </is>
      </c>
      <c r="AH19" s="2" t="inlineStr">
        <is>
          <t>Turbomachinery aerodynamics; Turbine cooling; Turbomachinery design for performance and manufacturing; Experimental methods in fluid mechanics</t>
        </is>
      </c>
      <c r="AI19" s="2" t="inlineStr"/>
      <c r="AJ19" s="2" t="inlineStr">
        <is>
          <t>Turbomachinery aerodynamics; Turbine cooling; Turbomachinery design for performance and manufacturing; Experimental methods in fluid mechanics</t>
        </is>
      </c>
      <c r="AK19" s="2" t="inlineStr"/>
      <c r="AL19" s="2" t="inlineStr"/>
      <c r="AM19" s="2" t="inlineStr"/>
      <c r="AN19" s="2" t="inlineStr"/>
      <c r="AO19" s="2" t="inlineStr"/>
      <c r="AP19" s="2" t="inlineStr"/>
      <c r="AQ19" s="2" t="inlineStr"/>
      <c r="AR19" s="2" t="inlineStr"/>
      <c r="AS19" s="2" t="inlineStr"/>
      <c r="AT19" s="2" t="inlineStr">
        <is>
          <t>ETC 6.106A</t>
        </is>
      </c>
      <c r="AU19" s="2" t="b">
        <v>1</v>
      </c>
      <c r="AV19" s="3">
        <f>HYPERLINK("https://me.utexas.edu/people/faculty", "https://me.utexas.edu/people/faculty")</f>
        <v/>
      </c>
    </row>
    <row r="20">
      <c r="A20" s="2" t="inlineStr">
        <is>
          <t>Ofodike Ezekoye</t>
        </is>
      </c>
      <c r="B20" s="2" t="inlineStr">
        <is>
          <t>The University of Texas at Austin</t>
        </is>
      </c>
      <c r="C20" s="3">
        <f>HYPERLINK("https://me.utexas.edu/person/ofodike-ezekoye/", "https://me.utexas.edu/person/ofodike-ezekoye/")</f>
        <v/>
      </c>
      <c r="D20" s="3">
        <f>HYPERLINK("https://scholar.google.com/citations?hl=en&amp;user=oX_f42wAAAAJ", "Scholar (oX_f42wAAAAJ)")</f>
        <v/>
      </c>
      <c r="E20" s="2" t="inlineStr">
        <is>
          <t>Professor</t>
        </is>
      </c>
      <c r="F20" s="2" t="inlineStr">
        <is>
          <t>Walker Department of Mechanical Engineering</t>
        </is>
      </c>
      <c r="G20" s="2" t="inlineStr">
        <is>
          <t>oX_f42wAAAAJ</t>
        </is>
      </c>
      <c r="H20" s="3">
        <f>HYPERLINK("mailto:dezekoye@mail.utexas.edu", "dezekoye@mail.utexas.edu")</f>
        <v/>
      </c>
      <c r="I20" s="2" t="n">
        <v>1</v>
      </c>
      <c r="J20" s="2" t="inlineStr">
        <is>
          <t>🔵 Tier 1: Core Aero / Fluids / Propulsion</t>
        </is>
      </c>
      <c r="K20" s="2" t="n">
        <v>2</v>
      </c>
      <c r="L20" s="2" t="inlineStr">
        <is>
          <t>fluids, thermal</t>
        </is>
      </c>
      <c r="M20" s="2" t="inlineStr">
        <is>
          <t>Combustion physics, aerosol transport dynamics, and multi-scale thermal runaway propagation in high-capacity lithium-ion battery architectures.</t>
        </is>
      </c>
      <c r="N20" s="2" t="inlineStr">
        <is>
          <t>Differential Scanning Calorimetry (DSC), Thermogravimetric Analysis (TGA), Gas chromatography, Multi-physics battery thermal modeling, Uncertainty Quantification (UQ)</t>
        </is>
      </c>
      <c r="O20" s="2" t="inlineStr">
        <is>
          <t>Linking DSC/TGA to Cell Levels: Energetics, Evolved Gases, and Thermal Safety of NMC811‐Graphite Micro‐Cell</t>
        </is>
      </c>
      <c r="P20" s="3">
        <f>HYPERLINK("https://doi.org/10.1002/aenm.71193", "https://doi.org/10.1002/aenm.71193")</f>
        <v/>
      </c>
      <c r="Q20" s="2" t="inlineStr">
        <is>
          <t>correlating milligram-scale DSC/TGA thermochemical decomposition kinetics directly to cell-level venting, quantifying the exact exothermic triggers of NMC811 cathode oxygen release that drive catastrophic thermal runaway.</t>
        </is>
      </c>
      <c r="R20" s="2" t="inlineStr">
        <is>
          <t>ABSTRACT Thermochemical characterization of battery materials links intrinsic material properties to decomposition pathways, heat generation, and gas evolution that govern performance and safety. Despite extensive work on NMC811‐Graphite, variability across partial configurations and the limited adoption of micro‐cell architectures (cathode+anode+electrolyte+separator) hinder robust cell‐scale interpretation. Accordingly, this work establishes a bottom‐up, component‐resolved methodology integrating DSC/TGA, evolved gas analysis (EGA), and in situ XRD to link decomposition pathways and energy release across partial and micro‐cell configurations, providing a transferable assessment of safety and stability in emerging chemistries. In separator‐free configurations, the gas–solid reaction between cathode‐evolved and anode‐leached Li dominates the net heat release (1139 J ). In contrast, in the micro‐cell configuration, the separator hinders transport and alters the timing and pathways of other reactions, and reduces the net energy release to 618 J . Energy release was organized into defined temperature windows that provide a framework for a thermodynamic model combining quantified gas evolution with selected decomposition pathways and effective reaction enthalpies to estimate net specific energy release, with agreement between DSC and cell‐level tests. Ex situ XPS of heat‐treated samples extends post‐mortem analysis to thermal‐abuse regimes, supporting key pathway elements.</t>
        </is>
      </c>
      <c r="S20" s="2" t="inlineStr">
        <is>
          <t>Aerosol particle number size distribution evolution during thermal runaway of cylindrical lithium-ion batteries</t>
        </is>
      </c>
      <c r="T20" s="3">
        <f>HYPERLINK("https://doi.org/10.6084/m9.figshare.32570274", "https://doi.org/10.6084/m9.figshare.32570274")</f>
        <v/>
      </c>
      <c r="U20" s="2" t="inlineStr">
        <is>
          <t>measuring aerosol particle size distributions and toxic gas venting during cylindrical cell thermal runaway, establishing that high-rate ejecta particulate modes dominate downwind toxic inhalation risks compared to gaseous plumes.</t>
        </is>
      </c>
      <c r="V20" s="2" t="inlineStr">
        <is>
          <t>Lithium-ion batteries (LIBs) undergoing thermal runaway vent a complex mixture of particles alongside condensable and non-condensable gases. These emissions may ignite or remain unignited, potentially producing a broader range of species. This study presents experimental data and physical insights into the coupled behavior of vented gases and aerosol particles emitted from cylindrical 18650-format LIBs. Thermal abuse experiments were first conducted with near-source measurements of gases and aerosol particles, providing a benchmark for condensable gas characterization. The near-source sampling configuration featured short residence times and a high air change rate. The cell thermal abuse test was then conducted in a poorly ventilated, reduced-scale room, resulting in longer gas and particle residence times. These conditions more closely represent enclosed environments such as residences or aircraft cabins and enable investigation of aerosol particle growth dynamics under confinement. In both configurations, aerosol particles smaller than 0.5 µm dominate number concentrations. Following thermal runaway, the aerosol particle number size distribution broadens, with increases in geometric mean and mode diameters. The reduced-scale room experiments reveal aerosol particle growth driven by electrolyte solvent condensation and coagulation. Notably, an increase in aerosol particle number concentration after direct cell emissions ceased is observed only in the reduced-scale room configuration. To interpret these observations, a simplified moment-based general dynamic equation model for aerosol evolution is applied to experimental data. By linking observed size distribution changes to condensation, coagulation, and sedimentation processes, this work connects fundamental battery venting mechanisms to exposure, safety, and mitigation considerations in enclosed spaces. Copyright © 2026 American Association for Aerosol Research</t>
        </is>
      </c>
      <c r="W20" s="2" t="inlineStr">
        <is>
          <t>1. Linking DSC/TGA to Cell Levels: Energetics, Evolved Gases, and Thermal Safety of NMC811-Graphite Micro-Cell (Advanced Energy Materials, 2026) | 2. Aerosol particle number size distribution evolution during thermal runaway of cylindrical lithium-ion batteries (Aerosol Science &amp; Technology, 2026)</t>
        </is>
      </c>
      <c r="X20" s="3">
        <f>HYPERLINK("https://doi.org/10.1002/aenm.71193", "https://doi.org/10.1002/aenm.71193 | https://doi.org/10.6084/m9.figshare.32570274")</f>
        <v/>
      </c>
      <c r="Y20" s="2" t="inlineStr">
        <is>
          <t>correlating milligram-scale DSC/TGA thermochemical decomposition kinetics directly to cell-level venting, quantifying the exact exothermic triggers of NMC811 cathode oxygen release that drive catastrophic thermal runaway.</t>
        </is>
      </c>
      <c r="Z20" s="2" t="inlineStr"/>
      <c r="AA20" s="2" t="inlineStr">
        <is>
          <t>"Linking DSC/TGA to Cell Levels: Energetics, Evolved Gases, and Thermal Safety of NMC811‐Graphite Micro‐Cell" [Advanced Energy Materials] (2026) [DOI: https://doi.org/10.1002/aenm.71193] | "Aerosol particle number size distribution evolution during thermal runaway of cylindrical lithium-ion batteries" [Figshare] (2026) [DOI: https://doi.org/10.6084/m9.figshare.32570274] | "Aerosol particle number size distribution evolution during thermal runaway of cylindrical lithium-ion batteries" [Figshare] (2026) [DOI: https://doi.org/10.6084/m9.figshare.32570274.v1] | "Aerosol particle number size distribution evolution during thermal runaway of cylindrical lithium-ion batteries" [Aerosol Science and Technology] (2026) [DOI: https://doi.org/10.1080/02786826.2026.2676305] | "Persistent gas hazards partitioned from post-thermal runaway lithium-ion battery residue" [Figshare] (2026) [DOI: https://doi.org/10.6084/m9.figshare.32493245]</t>
        </is>
      </c>
      <c r="AB20" s="2" t="inlineStr">
        <is>
          <t>"Explosion hazards from lithium-ion battery vent gas" [Journal of Power Sources] (2019, 351 cites) [DOI: https://doi.org/10.1016/j.jpowsour.2019.227257] | "Thermal degradation of beech wood with thermogravimetry/Fourier transform infrared analysis" [Energy Conversion and Management] (2016, 207 cites) [DOI: https://doi.org/10.1016/j.enconman.2016.05.007] | "Comparative pyrolysis behaviors and reaction mechanisms of hardwood and softwood" [Energy Conversion and Management] (2016, 184 cites) [DOI: https://doi.org/10.1016/j.enconman.2016.11.016]</t>
        </is>
      </c>
      <c r="AC20" s="2" t="inlineStr"/>
      <c r="AD20" s="2" t="inlineStr"/>
      <c r="AE20" s="2" t="inlineStr"/>
      <c r="AF20" s="2" t="inlineStr">
        <is>
          <t>Fire dynamics and safety research (69) | Combustion and flame dynamics (56) | Advanced Battery Technologies Research (52)</t>
        </is>
      </c>
      <c r="AG20" s="2" t="inlineStr">
        <is>
          <t>Fire dynamics and safety research (69) | Combustion and flame dynamics (56) | Advanced Battery Technologies Research (52)</t>
        </is>
      </c>
      <c r="AH20" s="2" t="inlineStr">
        <is>
          <t>Jet flames; Aerosols; Thermal fluids systems and transport phenomena; Fire dynamics; Flame ignition</t>
        </is>
      </c>
      <c r="AI20" s="2" t="inlineStr"/>
      <c r="AJ20" s="2" t="inlineStr">
        <is>
          <t>Jet flames; Aerosols; Thermal fluids systems and transport phenomena; Fire dynamics; Flame ignition</t>
        </is>
      </c>
      <c r="AK20" s="2" t="inlineStr"/>
      <c r="AL20" s="2" t="inlineStr">
        <is>
          <t>Thermal Fluid Systems &amp; Battery Safety Laboratory</t>
        </is>
      </c>
      <c r="AM20" s="2" t="inlineStr"/>
      <c r="AN20" s="2" t="inlineStr"/>
      <c r="AO20" s="2" t="inlineStr"/>
      <c r="AP20" s="2" t="inlineStr"/>
      <c r="AQ20" s="2" t="inlineStr"/>
      <c r="AR20" s="2" t="inlineStr"/>
      <c r="AS20" s="2" t="inlineStr"/>
      <c r="AT20" s="2" t="inlineStr">
        <is>
          <t>ETC 7.130</t>
        </is>
      </c>
      <c r="AU20" s="2" t="b">
        <v>1</v>
      </c>
      <c r="AV20" s="3">
        <f>HYPERLINK("https://me.utexas.edu/people/faculty", "https://me.utexas.edu/people/faculty")</f>
        <v/>
      </c>
    </row>
    <row r="21">
      <c r="A21" s="2" t="inlineStr">
        <is>
          <t>Bjorn Engquist</t>
        </is>
      </c>
      <c r="B21" s="2" t="inlineStr">
        <is>
          <t>The University of Texas at Austin</t>
        </is>
      </c>
      <c r="C21" s="3">
        <f>HYPERLINK("https://math.utexas.edu/directory/bjorn-engquist", "https://math.utexas.edu/directory/bjorn-engquist")</f>
        <v/>
      </c>
      <c r="D21" s="3">
        <f>HYPERLINK("https://scholar.google.com/citations?hl=en&amp;user=G-5Y2_AAAAAJ", "Scholar (G-5Y2_AAAAAJ)")</f>
        <v/>
      </c>
      <c r="E21" s="2" t="inlineStr">
        <is>
          <t>Professor</t>
        </is>
      </c>
      <c r="F21" s="2" t="inlineStr">
        <is>
          <t>Department of Mathematics</t>
        </is>
      </c>
      <c r="G21" s="2" t="inlineStr">
        <is>
          <t>G-5Y2_AAAAAJ</t>
        </is>
      </c>
      <c r="H21" s="3">
        <f>HYPERLINK("mailto:engquist@math.utexas.edu", "engquist@math.utexas.edu")</f>
        <v/>
      </c>
      <c r="I21" s="2" t="n">
        <v>1</v>
      </c>
      <c r="J21" s="2" t="inlineStr">
        <is>
          <t>🔵 Tier 1: Core Aero / Fluids / Propulsion</t>
        </is>
      </c>
      <c r="K21" s="2" t="n">
        <v>1</v>
      </c>
      <c r="L21" s="2" t="inlineStr">
        <is>
          <t>multiscale</t>
        </is>
      </c>
      <c r="M21" s="2" t="inlineStr">
        <is>
          <t>Multiscale numerical methods, inverse problems in magnetohydrodynamics (velocity reconstruction from induced magnetic fields), and seamless multiscale solvers for elliptic equations.</t>
        </is>
      </c>
      <c r="N21" s="2" t="inlineStr">
        <is>
          <t>Heterogeneous Multiscale Methods (HMM), Magnetohydrodynamic inverse formulations, Dilation-based homogenization, Optimal transport metrics, Multiscale finite elements</t>
        </is>
      </c>
      <c r="O21" s="2" t="inlineStr">
        <is>
          <t>Velocity Reconstruction from Flow-Induced Magnetic Fields</t>
        </is>
      </c>
      <c r="P21" s="3">
        <f>HYPERLINK("https://doi.org/10.48550/arxiv.2602.22097", "https://doi.org/10.48550/arxiv.2602.22097")</f>
        <v/>
      </c>
      <c r="Q21" s="2" t="inlineStr">
        <is>
          <t>formulating an inverse problem framework to reconstruct incompressible velocity fields from flow-induced magnetic field measurements under a strong background field, establishing uniqueness and stability bounds for conductive fluid diagnostics.</t>
        </is>
      </c>
      <c r="R21" s="2" t="inlineStr">
        <is>
          <t>We study the inverse problem of reconstructing an incompressible velocity field $\boldsymbol{v}$ from observations of the induced magnetic field $\boldsymbol{b}$. In the presence of a strong, constant background field $\mathbf{F}$, the evolution of the magnetic perturbation $\boldsymbol{b}$ is governed by the linearized induction equation. We analyze the system on both the entire space $Ω= \mathbb{R}^d$ and a periodic domain $Ω= \prod_{i=1}^d [0, L_i)$, which models a homogeneous medium with side lengths $L_i &gt; 0$. We analyze this problem by decomposing it into the injectivity of a parabolic forward map and the solvability of a divergence-free transport sub-problem. On the whole space $\mathbb{R}^d$, we show that the transport sub-problem is well-posed when data is prescribed on a non-characteristic hypersurface transverse to $\mathbf{F}$. On the torus, we establish a sharp uniqueness criterion based on the rational dependence of the ratios $\{F_i/L_i\}_{i=1}^d$ between the background-field components and the corresponding domain periods. Furthermore, we show that for the reconstructed velocity to belong to $L^2$, a sufficient condition is that the background field must satisfy a Diophantine condition. The proof combines injectivity of the parabolic forward map with uniqueness for a steady transport equation along $\mathbf{F}$.</t>
        </is>
      </c>
      <c r="S21" s="2" t="inlineStr">
        <is>
          <t>A Dilation-Based Seamless Multiscale Method for Elliptic Problems</t>
        </is>
      </c>
      <c r="T21" s="3">
        <f>HYPERLINK("https://doi.org/10.1137/24m1668755", "https://doi.org/10.1137/24m1668755")</f>
        <v/>
      </c>
      <c r="U21" s="2" t="inlineStr">
        <is>
          <t>developing a dilation-based seamless multiscale algorithm for elliptic PDEs that circumvents traditional scale-separation assumptions, yielding uniform error bounds across non-periodic, heterogeneous media.</t>
        </is>
      </c>
      <c r="V21" s="2" t="inlineStr">
        <is>
          <t>Abstract. Many numerical methods for multiscale differential equations require a scale separation between the larger and the smaller scales to achieve accuracy and computational efficiency. In the area of multiscale dynamical systems, so-called seamless methods have been introduced to reduce the requirement of scale separation. We will translate these methods to numerical homogenization problems and extend the technique to multiple dimensions. The initial step is to prove that a one-dimensional second-order elliptic operator with oscillatory coefficients can be rewritten as a multiscale dynamical system. Inspired by this, multiscale elliptic operators in higher dimensions are approximated by a novel approach based on local dilation, which provides a middle ground for balancing intractability and accuracy without the need for full resolution. The dilation operator can be further generalized to preserve important structures by properly decomposing the coefficient field. Error estimates are developed, and promising numerical results of different examples are included.</t>
        </is>
      </c>
      <c r="W21" s="2" t="inlineStr">
        <is>
          <t>1. Velocity Reconstruction from Flow-Induced Magnetic Fields (arXiv, 2026) | 2. A Dilation-Based Seamless Multiscale Method for Elliptic Problems (Multiscale Modeling &amp; Simulation, 2025)</t>
        </is>
      </c>
      <c r="X21" s="3">
        <f>HYPERLINK("https://doi.org/10.48550/arxiv.2602.22097", "https://doi.org/10.48550/arxiv.2602.22097 | https://doi.org/10.1137/24m1668755")</f>
        <v/>
      </c>
      <c r="Y21" s="2" t="inlineStr">
        <is>
          <t>formulating an inverse problem framework to reconstruct incompressible velocity fields from flow-induced magnetic field measurements under a strong background field, establishing uniqueness and stability bounds for conductive fluid diagnostics.</t>
        </is>
      </c>
      <c r="Z21" s="2" t="inlineStr"/>
      <c r="AA21" s="2" t="inlineStr">
        <is>
          <t>"Velocity Reconstruction from Flow-Induced Magnetic Fields" [arXiv (Cornell University)] (2026) [DOI: https://doi.org/10.48550/arxiv.2602.22097] | "Velocity Reconstruction from Flow-Induced Magnetic Fields" [arXiv (Cornell University)] (2026) | "Computational Multiscale Methods" [Oberwolfach Reports] (2025) [DOI: https://doi.org/10.4171/owr/2025/22] | "A Dilation-Based Seamless Multiscale Method for Elliptic Problems" [Multiscale Modeling and Simulation] (2025) [DOI: https://doi.org/10.1137/24m1668755] | "Preface: High-order accuracy numerical methods and their applications, in honor of Professor Chi-Wang Shu on the occasion of his 65th birthday" [Beijing Journal of Pure and Applied Mathematics] (2025) [DOI: https://doi.org/10.4310/bpam.250414223141]</t>
        </is>
      </c>
      <c r="AB21" s="2" t="inlineStr">
        <is>
          <t>"Uniformly high order accurate essentially non-oscillatory schemes, III" [Journal of Computational Physics] (1987, 3019 cites) [DOI: https://doi.org/10.1016/0021-9991(87)90031-3] | "Absorbing boundary conditions for the numerical simulation of waves" [Mathematics of Computation] (1977, 2399 cites) [DOI: https://doi.org/10.1090/s0025-5718-1977-0436612-4] | "Absorbing boundary conditions for acoustic and elastic wave equations" [Bulletin of the Seismological Society of America] (1977, 1256 cites) [DOI: https://doi.org/10.1785/bssa0670061529]</t>
        </is>
      </c>
      <c r="AC21" s="2" t="inlineStr"/>
      <c r="AD21" s="2" t="inlineStr"/>
      <c r="AE21" s="2" t="inlineStr"/>
      <c r="AF21" s="2" t="inlineStr">
        <is>
          <t>Advanced Numerical Methods in Computational Mathematics (77) | Advanced Mathematical Modeling in Engineering (71) | Electromagnetic Simulation and Numerical Methods (44)</t>
        </is>
      </c>
      <c r="AG21" s="2" t="inlineStr">
        <is>
          <t>Advanced Numerical Methods in Computational Mathematics (77) | Advanced Mathematical Modeling in Engineering (71) | Electromagnetic Simulation and Numerical Methods (44)</t>
        </is>
      </c>
      <c r="AH21" s="2" t="inlineStr">
        <is>
          <t>Applied and Computational Mathematics</t>
        </is>
      </c>
      <c r="AI21" s="2" t="inlineStr"/>
      <c r="AJ21" s="2" t="inlineStr">
        <is>
          <t>Applied and Computational Mathematics</t>
        </is>
      </c>
      <c r="AK21" s="2" t="inlineStr"/>
      <c r="AL21" s="2" t="inlineStr">
        <is>
          <t>Engquist Multiscale Modeling Group</t>
        </is>
      </c>
      <c r="AM21" s="2" t="inlineStr"/>
      <c r="AN21" s="2" t="inlineStr"/>
      <c r="AO21" s="2" t="inlineStr"/>
      <c r="AP21" s="2" t="inlineStr"/>
      <c r="AQ21" s="2" t="inlineStr"/>
      <c r="AR21" s="2" t="inlineStr"/>
      <c r="AS21" s="2" t="inlineStr"/>
      <c r="AT21" s="2" t="inlineStr">
        <is>
          <t>PMA 11.148</t>
        </is>
      </c>
      <c r="AU21" s="2" t="b">
        <v>1</v>
      </c>
      <c r="AV21" s="3">
        <f>HYPERLINK("https://math.utexas.edu/directory/faculty", "https://math.utexas.edu/directory/faculty")</f>
        <v/>
      </c>
    </row>
    <row r="22">
      <c r="A22" s="2" t="inlineStr">
        <is>
          <t>Raghav Mahalingam</t>
        </is>
      </c>
      <c r="B22" s="2" t="inlineStr">
        <is>
          <t>The University of Texas at Austin</t>
        </is>
      </c>
      <c r="C22" s="3">
        <f>HYPERLINK("https://ae.utexas.edu/person/raghav-mahalingam/", "https://ae.utexas.edu/person/raghav-mahalingam/")</f>
        <v/>
      </c>
      <c r="D22" s="3">
        <f>HYPERLINK("https://scholar.google.com/citations?view_op=search_authors&amp;mauthors=Raghav%20Mahalingam%20University%20of%20Texas%20at%20Austin", "Google Scholar Search")</f>
        <v/>
      </c>
      <c r="E22" s="2" t="inlineStr">
        <is>
          <t>Assistant Professor of Practice</t>
        </is>
      </c>
      <c r="F22" s="2" t="inlineStr">
        <is>
          <t>Aerospace Engineering and Engineering Mechanics</t>
        </is>
      </c>
      <c r="G22" s="2" t="inlineStr"/>
      <c r="H22" s="3">
        <f>HYPERLINK("mailto:raghavmahalingam@austin.utexas.edu", "raghavmahalingam@austin.utexas.edu")</f>
        <v/>
      </c>
      <c r="I22" s="2" t="n">
        <v>2</v>
      </c>
      <c r="J22" s="2" t="inlineStr">
        <is>
          <t>🟡 Tier 2: Thermal / Heat Transfer / Energy</t>
        </is>
      </c>
      <c r="K22" s="2" t="n">
        <v>3</v>
      </c>
      <c r="L22" s="2" t="inlineStr">
        <is>
          <t>aerospace, fluid mechanics, heat transfer</t>
        </is>
      </c>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is>
          <t>System design; Product development processes, Experimental methods in fluid mechanics; Heat transfer; Sensor/actuation technologies</t>
        </is>
      </c>
      <c r="AI22" s="2" t="inlineStr"/>
      <c r="AJ22" s="2" t="inlineStr">
        <is>
          <t>System design; Product development processes, Experimental methods in fluid mechanics; Heat transfer; Sensor/actuation technologies</t>
        </is>
      </c>
      <c r="AK22" s="2" t="inlineStr"/>
      <c r="AL22" s="2" t="inlineStr"/>
      <c r="AM22" s="2" t="inlineStr"/>
      <c r="AN22" s="2" t="inlineStr"/>
      <c r="AO22" s="2" t="inlineStr"/>
      <c r="AP22" s="2" t="inlineStr"/>
      <c r="AQ22" s="2" t="inlineStr"/>
      <c r="AR22" s="2" t="inlineStr"/>
      <c r="AS22" s="2" t="inlineStr"/>
      <c r="AT22" s="2" t="inlineStr">
        <is>
          <t>ASE 4.124</t>
        </is>
      </c>
      <c r="AU22" s="2" t="b">
        <v>1</v>
      </c>
      <c r="AV22" s="3">
        <f>HYPERLINK("https://ae.utexas.edu/people/faculty", "https://ae.utexas.edu/people/faculty")</f>
        <v/>
      </c>
    </row>
    <row r="23">
      <c r="A23" s="2" t="inlineStr">
        <is>
          <t>Andrea Pickel</t>
        </is>
      </c>
      <c r="B23" s="2" t="inlineStr">
        <is>
          <t>The University of Texas at Austin</t>
        </is>
      </c>
      <c r="C23" s="3">
        <f>HYPERLINK("https://me.utexas.edu/person/andrea-pickel/", "https://me.utexas.edu/person/andrea-pickel/")</f>
        <v/>
      </c>
      <c r="D23" s="3">
        <f>HYPERLINK("https://scholar.google.com/citations?view_op=search_authors&amp;mauthors=Andrea%20Pickel%20University%20of%20Texas%20at%20Austin", "Google Scholar Search")</f>
        <v/>
      </c>
      <c r="E23" s="2" t="inlineStr">
        <is>
          <t>Assistant Professor</t>
        </is>
      </c>
      <c r="F23" s="2" t="inlineStr">
        <is>
          <t>Walker Department of Mechanical Engineering</t>
        </is>
      </c>
      <c r="G23" s="2" t="inlineStr"/>
      <c r="H23" s="3">
        <f>HYPERLINK("mailto:andrea.pickel@austin.utexas.edu", "andrea.pickel@austin.utexas.edu")</f>
        <v/>
      </c>
      <c r="I23" s="2" t="n">
        <v>2</v>
      </c>
      <c r="J23" s="2" t="inlineStr">
        <is>
          <t>🟡 Tier 2: Thermal / Heat Transfer / Energy</t>
        </is>
      </c>
      <c r="K23" s="2" t="n">
        <v>2</v>
      </c>
      <c r="L23" s="2" t="inlineStr">
        <is>
          <t>heat transfer, thermal</t>
        </is>
      </c>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is>
          <t>Nanoscale heat transfer; nanothermometry; single-nanoparticle and super-resolution luminescence imaging and spectroscopy; device thermal management; operando thermal characterization for catalysis applications</t>
        </is>
      </c>
      <c r="AI23" s="2" t="inlineStr"/>
      <c r="AJ23" s="2" t="inlineStr">
        <is>
          <t>Nanoscale heat transfer; nanothermometry; single-nanoparticle and super-resolution luminescence imaging and spectroscopy; device thermal management; operando thermal characterization for catalysis applications</t>
        </is>
      </c>
      <c r="AK23" s="2" t="inlineStr"/>
      <c r="AL23" s="2" t="inlineStr"/>
      <c r="AM23" s="2" t="inlineStr"/>
      <c r="AN23" s="2" t="inlineStr"/>
      <c r="AO23" s="2" t="inlineStr"/>
      <c r="AP23" s="2" t="inlineStr"/>
      <c r="AQ23" s="2" t="inlineStr"/>
      <c r="AR23" s="2" t="inlineStr"/>
      <c r="AS23" s="2" t="inlineStr"/>
      <c r="AT23" s="2" t="inlineStr">
        <is>
          <t>ETC 9.182</t>
        </is>
      </c>
      <c r="AU23" s="2" t="b">
        <v>1</v>
      </c>
      <c r="AV23" s="3">
        <f>HYPERLINK("https://me.utexas.edu/people/faculty", "https://me.utexas.edu/people/faculty")</f>
        <v/>
      </c>
    </row>
    <row r="24">
      <c r="A24" s="2" t="inlineStr">
        <is>
          <t>Andrew Fix</t>
        </is>
      </c>
      <c r="B24" s="2" t="inlineStr">
        <is>
          <t>The University of Texas at Austin</t>
        </is>
      </c>
      <c r="C24" s="3">
        <f>HYPERLINK("https://me.utexas.edu/person/andrew-fix/", "https://me.utexas.edu/person/andrew-fix/")</f>
        <v/>
      </c>
      <c r="D24" s="3">
        <f>HYPERLINK("https://scholar.google.com/citations?view_op=search_authors&amp;mauthors=Andrew%20Fix%20University%20of%20Texas%20at%20Austin", "Google Scholar Search")</f>
        <v/>
      </c>
      <c r="E24" s="2" t="inlineStr">
        <is>
          <t>Assistant Professor</t>
        </is>
      </c>
      <c r="F24" s="2" t="inlineStr">
        <is>
          <t>Walker Department of Mechanical Engineering</t>
        </is>
      </c>
      <c r="G24" s="2" t="inlineStr"/>
      <c r="H24" s="3">
        <f>HYPERLINK("mailto:fix@utexas.edu", "fix@utexas.edu")</f>
        <v/>
      </c>
      <c r="I24" s="2" t="n">
        <v>2</v>
      </c>
      <c r="J24" s="2" t="inlineStr">
        <is>
          <t>🟡 Tier 2: Thermal / Heat Transfer / Energy</t>
        </is>
      </c>
      <c r="K24" s="2" t="n">
        <v>2</v>
      </c>
      <c r="L24" s="2" t="inlineStr">
        <is>
          <t>materials, thermal</t>
        </is>
      </c>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is>
          <t>Thermal fluid systems and energy storage; Next-generation HVAC and thermal systems; Energy-efficient air dehumidification; Atmospheric water harvesting systems and materials; Membrane gas separations</t>
        </is>
      </c>
      <c r="AI24" s="2" t="inlineStr"/>
      <c r="AJ24" s="2" t="inlineStr">
        <is>
          <t>Thermal fluid systems and energy storage; Next-generation HVAC and thermal systems; Energy-efficient air dehumidification; Atmospheric water harvesting systems and materials; Membrane gas separations</t>
        </is>
      </c>
      <c r="AK24" s="2" t="inlineStr"/>
      <c r="AL24" s="2" t="inlineStr"/>
      <c r="AM24" s="2" t="inlineStr"/>
      <c r="AN24" s="2" t="inlineStr"/>
      <c r="AO24" s="2" t="inlineStr"/>
      <c r="AP24" s="2" t="inlineStr"/>
      <c r="AQ24" s="2" t="inlineStr"/>
      <c r="AR24" s="2" t="inlineStr"/>
      <c r="AS24" s="2" t="inlineStr"/>
      <c r="AT24" s="2" t="inlineStr">
        <is>
          <t>ECJ 5.432</t>
        </is>
      </c>
      <c r="AU24" s="2" t="b">
        <v>1</v>
      </c>
      <c r="AV24" s="3">
        <f>HYPERLINK("https://me.utexas.edu/people/faculty", "https://me.utexas.edu/people/faculty")</f>
        <v/>
      </c>
    </row>
    <row r="25">
      <c r="A25" s="2" t="inlineStr">
        <is>
          <t>Li Shi</t>
        </is>
      </c>
      <c r="B25" s="2" t="inlineStr">
        <is>
          <t>The University of Texas at Austin</t>
        </is>
      </c>
      <c r="C25" s="3">
        <f>HYPERLINK("https://me.utexas.edu/person/li-shi/", "https://me.utexas.edu/person/li-shi/")</f>
        <v/>
      </c>
      <c r="D25" s="3">
        <f>HYPERLINK("https://scholar.google.com/citations?view_op=search_authors&amp;mauthors=Li%20Shi%20University%20of%20Texas%20at%20Austin", "Google Scholar Search")</f>
        <v/>
      </c>
      <c r="E25" s="2" t="inlineStr">
        <is>
          <t>Professor</t>
        </is>
      </c>
      <c r="F25" s="2" t="inlineStr">
        <is>
          <t>Walker Department of Mechanical Engineering</t>
        </is>
      </c>
      <c r="G25" s="2" t="inlineStr"/>
      <c r="H25" s="3">
        <f>HYPERLINK("mailto:lishi@mail.utexas.edu", "lishi@mail.utexas.edu")</f>
        <v/>
      </c>
      <c r="I25" s="2" t="n">
        <v>2</v>
      </c>
      <c r="J25" s="2" t="inlineStr">
        <is>
          <t>🟡 Tier 2: Thermal / Heat Transfer / Energy</t>
        </is>
      </c>
      <c r="K25" s="2" t="n">
        <v>2</v>
      </c>
      <c r="L25" s="2" t="inlineStr">
        <is>
          <t>materials, thermal</t>
        </is>
      </c>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is>
          <t>Heterogeneous integration of emerging electronic and thermal management materials; Thermal science and engineering of quantum materials and hardware; Materials and devices for heat and fuel storage; Thermoelectric conversion</t>
        </is>
      </c>
      <c r="AI25" s="2" t="inlineStr"/>
      <c r="AJ25" s="2" t="inlineStr">
        <is>
          <t>Heterogeneous integration of emerging electronic and thermal management materials; Thermal science and engineering of quantum materials and hardware; Materials and devices for heat and fuel storage; Thermoelectric conversion</t>
        </is>
      </c>
      <c r="AK25" s="2" t="inlineStr"/>
      <c r="AL25" s="2" t="inlineStr"/>
      <c r="AM25" s="2" t="inlineStr"/>
      <c r="AN25" s="2" t="inlineStr"/>
      <c r="AO25" s="2" t="inlineStr"/>
      <c r="AP25" s="2" t="inlineStr"/>
      <c r="AQ25" s="2" t="inlineStr"/>
      <c r="AR25" s="2" t="inlineStr"/>
      <c r="AS25" s="2" t="inlineStr"/>
      <c r="AT25" s="2" t="inlineStr">
        <is>
          <t>GLT 2.230</t>
        </is>
      </c>
      <c r="AU25" s="2" t="b">
        <v>1</v>
      </c>
      <c r="AV25" s="3">
        <f>HYPERLINK("https://me.utexas.edu/people/faculty", "https://me.utexas.edu/people/faculty")</f>
        <v/>
      </c>
    </row>
    <row r="26">
      <c r="A26" s="2" t="inlineStr">
        <is>
          <t>Michael Cullinan</t>
        </is>
      </c>
      <c r="B26" s="2" t="inlineStr">
        <is>
          <t>The University of Texas at Austin</t>
        </is>
      </c>
      <c r="C26" s="3">
        <f>HYPERLINK("https://me.utexas.edu/person/michael-cullinan/", "https://me.utexas.edu/person/michael-cullinan/")</f>
        <v/>
      </c>
      <c r="D26" s="3">
        <f>HYPERLINK("https://scholar.google.com/citations?view_op=search_authors&amp;mauthors=Michael%20Cullinan%20University%20of%20Texas%20at%20Austin", "Google Scholar Search")</f>
        <v/>
      </c>
      <c r="E26" s="2" t="inlineStr">
        <is>
          <t>Professor</t>
        </is>
      </c>
      <c r="F26" s="2" t="inlineStr">
        <is>
          <t>Walker Department of Mechanical Engineering</t>
        </is>
      </c>
      <c r="G26" s="2" t="inlineStr"/>
      <c r="H26" s="3">
        <f>HYPERLINK("mailto:michael.cullinan@austin.utexas.edu", "michael.cullinan@austin.utexas.edu")</f>
        <v/>
      </c>
      <c r="I26" s="2" t="n">
        <v>2</v>
      </c>
      <c r="J26" s="2" t="inlineStr">
        <is>
          <t>🟡 Tier 2: Thermal / Heat Transfer / Energy</t>
        </is>
      </c>
      <c r="K26" s="2" t="n">
        <v>2</v>
      </c>
      <c r="L26" s="2" t="inlineStr">
        <is>
          <t>energy systems, materials</t>
        </is>
      </c>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is>
          <t>Nanomanufacturing processes and equipment; Nanoscale science; Thin films, nanotubes and nanowires; Nanostructured materials; Micro/nanoscale machine elements for mechanical sensors and energy systems</t>
        </is>
      </c>
      <c r="AI26" s="2" t="inlineStr"/>
      <c r="AJ26" s="2" t="inlineStr">
        <is>
          <t>Nanomanufacturing processes and equipment; Nanoscale science; Thin films, nanotubes and nanowires; Nanostructured materials; Micro/nanoscale machine elements for mechanical sensors and energy systems</t>
        </is>
      </c>
      <c r="AK26" s="2" t="inlineStr"/>
      <c r="AL26" s="2" t="inlineStr"/>
      <c r="AM26" s="2" t="inlineStr"/>
      <c r="AN26" s="2" t="inlineStr"/>
      <c r="AO26" s="2" t="inlineStr"/>
      <c r="AP26" s="2" t="inlineStr"/>
      <c r="AQ26" s="2" t="inlineStr"/>
      <c r="AR26" s="2" t="inlineStr"/>
      <c r="AS26" s="2" t="inlineStr"/>
      <c r="AT26" s="2" t="inlineStr">
        <is>
          <t>ETC 4.154</t>
        </is>
      </c>
      <c r="AU26" s="2" t="b">
        <v>1</v>
      </c>
      <c r="AV26" s="3">
        <f>HYPERLINK("https://me.utexas.edu/people/faculty", "https://me.utexas.edu/people/faculty")</f>
        <v/>
      </c>
    </row>
    <row r="27">
      <c r="A27" s="2" t="inlineStr">
        <is>
          <t>Elena Zannoni</t>
        </is>
      </c>
      <c r="B27" s="2" t="inlineStr">
        <is>
          <t>The University of Texas at Austin</t>
        </is>
      </c>
      <c r="C27" s="3">
        <f>HYPERLINK("https://me.utexas.edu/person/elena-zannoni/", "https://me.utexas.edu/person/elena-zannoni/")</f>
        <v/>
      </c>
      <c r="D27" s="3">
        <f>HYPERLINK("https://scholar.google.com/citations?view_op=search_authors&amp;mauthors=Elena%20Zannoni%20University%20of%20Texas%20at%20Austin", "Google Scholar Search")</f>
        <v/>
      </c>
      <c r="E27" s="2" t="inlineStr">
        <is>
          <t>Assistant Professor</t>
        </is>
      </c>
      <c r="F27" s="2" t="inlineStr">
        <is>
          <t>Walker Department of Mechanical Engineering</t>
        </is>
      </c>
      <c r="G27" s="2" t="inlineStr"/>
      <c r="H27" s="3">
        <f>HYPERLINK("mailto:elena.zannoni@austin.utexas.edu", "elena.zannoni@austin.utexas.edu")</f>
        <v/>
      </c>
      <c r="I27" s="2" t="n">
        <v>2</v>
      </c>
      <c r="J27" s="2" t="inlineStr">
        <is>
          <t>🟡 Tier 2: Thermal / Heat Transfer / Energy</t>
        </is>
      </c>
      <c r="K27" s="2" t="n">
        <v>1</v>
      </c>
      <c r="L27" s="2" t="inlineStr">
        <is>
          <t>radiation</t>
        </is>
      </c>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is>
          <t>Ionizing molecular imaging techniques and instrumentation for clinical and preclinical applications; Gamma and X-ray imaging solid-state detectors; Design, optimization and validation of adaptive nuclear medicine imaging systems; Radiation dosimetry and spectrometry; Quantitative imaging for multifunctional theragnostic applications</t>
        </is>
      </c>
      <c r="AI27" s="2" t="inlineStr"/>
      <c r="AJ27" s="2" t="inlineStr">
        <is>
          <t>Ionizing molecular imaging techniques and instrumentation for clinical and preclinical applications; Gamma and X-ray imaging solid-state detectors; Design, optimization and validation of adaptive nuclear medicine imaging systems; Radiation dosimetry and spectrometry; Quantitative imaging for multifunctional theragnostic applications</t>
        </is>
      </c>
      <c r="AK27" s="2" t="inlineStr"/>
      <c r="AL27" s="2" t="inlineStr"/>
      <c r="AM27" s="2" t="inlineStr"/>
      <c r="AN27" s="2" t="inlineStr"/>
      <c r="AO27" s="2" t="inlineStr"/>
      <c r="AP27" s="2" t="inlineStr"/>
      <c r="AQ27" s="2" t="inlineStr"/>
      <c r="AR27" s="2" t="inlineStr"/>
      <c r="AS27" s="2" t="inlineStr"/>
      <c r="AT27" s="2" t="inlineStr">
        <is>
          <t>ETC 7.138</t>
        </is>
      </c>
      <c r="AU27" s="2" t="b">
        <v>1</v>
      </c>
      <c r="AV27" s="3">
        <f>HYPERLINK("https://me.utexas.edu/people/faculty", "https://me.utexas.edu/people/faculty")</f>
        <v/>
      </c>
    </row>
    <row r="28">
      <c r="A28" s="2" t="inlineStr">
        <is>
          <t>Jianshi Zhou</t>
        </is>
      </c>
      <c r="B28" s="2" t="inlineStr">
        <is>
          <t>The University of Texas at Austin</t>
        </is>
      </c>
      <c r="C28" s="3">
        <f>HYPERLINK("https://me.utexas.edu/person/jianshi-zhou/", "https://me.utexas.edu/person/jianshi-zhou/")</f>
        <v/>
      </c>
      <c r="D28" s="3">
        <f>HYPERLINK("https://scholar.google.com/citations?view_op=search_authors&amp;mauthors=Jianshi%20Zhou%20University%20of%20Texas%20at%20Austin", "Google Scholar Search")</f>
        <v/>
      </c>
      <c r="E28" s="2" t="inlineStr">
        <is>
          <t>Research Professor</t>
        </is>
      </c>
      <c r="F28" s="2" t="inlineStr">
        <is>
          <t>Walker Department of Mechanical Engineering</t>
        </is>
      </c>
      <c r="G28" s="2" t="inlineStr"/>
      <c r="H28" s="3">
        <f>HYPERLINK("mailto:jszhou@mail.utexas.edu", "jszhou@mail.utexas.edu")</f>
        <v/>
      </c>
      <c r="I28" s="2" t="n">
        <v>2</v>
      </c>
      <c r="J28" s="2" t="inlineStr">
        <is>
          <t>🟡 Tier 2: Thermal / Heat Transfer / Energy</t>
        </is>
      </c>
      <c r="K28" s="2" t="n">
        <v>1</v>
      </c>
      <c r="L28" s="2" t="inlineStr">
        <is>
          <t>materials</t>
        </is>
      </c>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is>
          <t>Design and synthesis of new electronic materials, including superconductors, spintronic/orbitronic materials, thermoelectric materials, multiferroic materials and magnetoresistive materials</t>
        </is>
      </c>
      <c r="AI28" s="2" t="inlineStr"/>
      <c r="AJ28" s="2" t="inlineStr">
        <is>
          <t>Design and synthesis of new electronic materials, including superconductors, spintronic/orbitronic materials, thermoelectric materials, multiferroic materials and magnetoresistive materials</t>
        </is>
      </c>
      <c r="AK28" s="2" t="inlineStr"/>
      <c r="AL28" s="2" t="inlineStr"/>
      <c r="AM28" s="2" t="inlineStr"/>
      <c r="AN28" s="2" t="inlineStr"/>
      <c r="AO28" s="2" t="inlineStr"/>
      <c r="AP28" s="2" t="inlineStr"/>
      <c r="AQ28" s="2" t="inlineStr"/>
      <c r="AR28" s="2" t="inlineStr"/>
      <c r="AS28" s="2" t="inlineStr"/>
      <c r="AT28" s="2" t="inlineStr">
        <is>
          <t>ETC 9.140</t>
        </is>
      </c>
      <c r="AU28" s="2" t="b">
        <v>1</v>
      </c>
      <c r="AV28" s="3">
        <f>HYPERLINK("https://me.utexas.edu/people/faculty", "https://me.utexas.edu/people/faculty")</f>
        <v/>
      </c>
    </row>
    <row r="29">
      <c r="A29" s="2" t="inlineStr">
        <is>
          <t>M. Nichole Rylander</t>
        </is>
      </c>
      <c r="B29" s="2" t="inlineStr">
        <is>
          <t>The University of Texas at Austin</t>
        </is>
      </c>
      <c r="C29" s="3">
        <f>HYPERLINK("https://me.utexas.edu/person/m-nichole-rylander/", "https://me.utexas.edu/person/m-nichole-rylander/")</f>
        <v/>
      </c>
      <c r="D29" s="3">
        <f>HYPERLINK("https://scholar.google.com/citations?view_op=search_authors&amp;mauthors=M.%20Nichole%20Rylander%20University%20of%20Texas%20at%20Austin", "Google Scholar Search")</f>
        <v/>
      </c>
      <c r="E29" s="2" t="inlineStr">
        <is>
          <t>Professor</t>
        </is>
      </c>
      <c r="F29" s="2" t="inlineStr">
        <is>
          <t>Walker Department of Mechanical Engineering</t>
        </is>
      </c>
      <c r="G29" s="2" t="inlineStr"/>
      <c r="H29" s="3">
        <f>HYPERLINK("mailto:mnr@austin.utexas.edu", "mnr@austin.utexas.edu")</f>
        <v/>
      </c>
      <c r="I29" s="2" t="n">
        <v>2</v>
      </c>
      <c r="J29" s="2" t="inlineStr">
        <is>
          <t>🟡 Tier 2: Thermal / Heat Transfer / Energy</t>
        </is>
      </c>
      <c r="K29" s="2" t="n">
        <v>1</v>
      </c>
      <c r="L29" s="2" t="inlineStr">
        <is>
          <t>heat transfer</t>
        </is>
      </c>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is>
          <t>Bioheat transfer; Nanomedicine; Biomedical optics; Tissue regeneration; Cancer engineering</t>
        </is>
      </c>
      <c r="AI29" s="2" t="inlineStr"/>
      <c r="AJ29" s="2" t="inlineStr">
        <is>
          <t>Bioheat transfer; Nanomedicine; Biomedical optics; Tissue regeneration; Cancer engineering</t>
        </is>
      </c>
      <c r="AK29" s="2" t="inlineStr"/>
      <c r="AL29" s="2" t="inlineStr"/>
      <c r="AM29" s="2" t="inlineStr"/>
      <c r="AN29" s="2" t="inlineStr"/>
      <c r="AO29" s="2" t="inlineStr"/>
      <c r="AP29" s="2" t="inlineStr"/>
      <c r="AQ29" s="2" t="inlineStr"/>
      <c r="AR29" s="2" t="inlineStr"/>
      <c r="AS29" s="2" t="inlineStr"/>
      <c r="AT29" s="2" t="inlineStr">
        <is>
          <t>ETC 7.142B</t>
        </is>
      </c>
      <c r="AU29" s="2" t="b">
        <v>1</v>
      </c>
      <c r="AV29" s="3">
        <f>HYPERLINK("https://me.utexas.edu/people/faculty", "https://me.utexas.edu/people/faculty")</f>
        <v/>
      </c>
    </row>
    <row r="30">
      <c r="A30" s="2" t="inlineStr">
        <is>
          <t>Mark Hamilton</t>
        </is>
      </c>
      <c r="B30" s="2" t="inlineStr">
        <is>
          <t>The University of Texas at Austin</t>
        </is>
      </c>
      <c r="C30" s="3">
        <f>HYPERLINK("https://me.utexas.edu/person/mark-hamilton/", "https://me.utexas.edu/person/mark-hamilton/")</f>
        <v/>
      </c>
      <c r="D30" s="3">
        <f>HYPERLINK("https://scholar.google.com/citations?view_op=search_authors&amp;mauthors=Mark%20Hamilton%20University%20of%20Texas%20at%20Austin", "Google Scholar Search")</f>
        <v/>
      </c>
      <c r="E30" s="2" t="inlineStr">
        <is>
          <t>Professor</t>
        </is>
      </c>
      <c r="F30" s="2" t="inlineStr">
        <is>
          <t>Walker Department of Mechanical Engineering</t>
        </is>
      </c>
      <c r="G30" s="2" t="inlineStr"/>
      <c r="H30" s="3">
        <f>HYPERLINK("mailto:hamilton@mail.utexas.edu", "hamilton@mail.utexas.edu")</f>
        <v/>
      </c>
      <c r="I30" s="2" t="n">
        <v>2</v>
      </c>
      <c r="J30" s="2" t="inlineStr">
        <is>
          <t>🟡 Tier 2: Thermal / Heat Transfer / Energy</t>
        </is>
      </c>
      <c r="K30" s="2" t="n">
        <v>1</v>
      </c>
      <c r="L30" s="2" t="inlineStr">
        <is>
          <t>radiation</t>
        </is>
      </c>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is>
          <t>Physical and nonlinear acoustics; Nonlinear shear wave beams in tissue; Acoustic radiation pressure and levitation; Nonlinear acoustic vortex beams; Nonlinear surface acoustic waves with shocks in anisotropic solids</t>
        </is>
      </c>
      <c r="AI30" s="2" t="inlineStr"/>
      <c r="AJ30" s="2" t="inlineStr">
        <is>
          <t>Physical and nonlinear acoustics; Nonlinear shear wave beams in tissue; Acoustic radiation pressure and levitation; Nonlinear acoustic vortex beams; Nonlinear surface acoustic waves with shocks in anisotropic solids</t>
        </is>
      </c>
      <c r="AK30" s="2" t="inlineStr"/>
      <c r="AL30" s="2" t="inlineStr"/>
      <c r="AM30" s="2" t="inlineStr"/>
      <c r="AN30" s="2" t="inlineStr"/>
      <c r="AO30" s="2" t="inlineStr"/>
      <c r="AP30" s="2" t="inlineStr"/>
      <c r="AQ30" s="2" t="inlineStr"/>
      <c r="AR30" s="2" t="inlineStr"/>
      <c r="AS30" s="2" t="inlineStr"/>
      <c r="AT30" s="2" t="inlineStr">
        <is>
          <t>ETC 4.146C</t>
        </is>
      </c>
      <c r="AU30" s="2" t="b">
        <v>1</v>
      </c>
      <c r="AV30" s="3">
        <f>HYPERLINK("https://me.utexas.edu/people/faculty", "https://me.utexas.edu/people/faculty")</f>
        <v/>
      </c>
    </row>
    <row r="31">
      <c r="A31" s="2" t="inlineStr">
        <is>
          <t>Michael Webber</t>
        </is>
      </c>
      <c r="B31" s="2" t="inlineStr">
        <is>
          <t>The University of Texas at Austin</t>
        </is>
      </c>
      <c r="C31" s="3">
        <f>HYPERLINK("https://me.utexas.edu/person/michael-webber/", "https://me.utexas.edu/person/michael-webber/")</f>
        <v/>
      </c>
      <c r="D31" s="3">
        <f>HYPERLINK("https://scholar.google.com/citations?view_op=search_authors&amp;mauthors=Michael%20Webber%20University%20of%20Texas%20at%20Austin", "Google Scholar Search")</f>
        <v/>
      </c>
      <c r="E31" s="2" t="inlineStr">
        <is>
          <t>Professor</t>
        </is>
      </c>
      <c r="F31" s="2" t="inlineStr">
        <is>
          <t>Walker Department of Mechanical Engineering</t>
        </is>
      </c>
      <c r="G31" s="2" t="inlineStr"/>
      <c r="H31" s="3">
        <f>HYPERLINK("mailto:webber@mail.utexas.edu", "webber@mail.utexas.edu")</f>
        <v/>
      </c>
      <c r="I31" s="2" t="n">
        <v>2</v>
      </c>
      <c r="J31" s="2" t="inlineStr">
        <is>
          <t>🟡 Tier 2: Thermal / Heat Transfer / Energy</t>
        </is>
      </c>
      <c r="K31" s="2" t="n">
        <v>1</v>
      </c>
      <c r="L31" s="2" t="inlineStr">
        <is>
          <t>energy systems</t>
        </is>
      </c>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is>
          <t>Energy policy; Energy and water; Alternative and renewable energy; Biofuels; Energy in Texas; Energy systems; Waste to energy</t>
        </is>
      </c>
      <c r="AI31" s="2" t="inlineStr"/>
      <c r="AJ31" s="2" t="inlineStr">
        <is>
          <t>Energy policy; Energy and water; Alternative and renewable energy; Biofuels; Energy in Texas; Energy systems; Waste to energy</t>
        </is>
      </c>
      <c r="AK31" s="2" t="inlineStr"/>
      <c r="AL31" s="2" t="inlineStr"/>
      <c r="AM31" s="2" t="inlineStr"/>
      <c r="AN31" s="2" t="inlineStr"/>
      <c r="AO31" s="2" t="inlineStr"/>
      <c r="AP31" s="2" t="inlineStr"/>
      <c r="AQ31" s="2" t="inlineStr"/>
      <c r="AR31" s="2" t="inlineStr"/>
      <c r="AS31" s="2" t="inlineStr"/>
      <c r="AT31" s="2" t="inlineStr">
        <is>
          <t>ETC 6.106EA</t>
        </is>
      </c>
      <c r="AU31" s="2" t="b">
        <v>1</v>
      </c>
      <c r="AV31" s="3">
        <f>HYPERLINK("https://me.utexas.edu/people/faculty", "https://me.utexas.edu/people/faculty")</f>
        <v/>
      </c>
    </row>
    <row r="32">
      <c r="A32" s="2" t="inlineStr">
        <is>
          <t>Varun Rai</t>
        </is>
      </c>
      <c r="B32" s="2" t="inlineStr">
        <is>
          <t>The University of Texas at Austin</t>
        </is>
      </c>
      <c r="C32" s="3">
        <f>HYPERLINK("https://lbj.utexas.edu/rai-varun", "https://lbj.utexas.edu/rai-varun")</f>
        <v/>
      </c>
      <c r="D32" s="3">
        <f>HYPERLINK("https://scholar.google.com/citations?view_op=search_authors&amp;mauthors=Varun%20Rai%20University%20of%20Texas%20at%20Austin", "Google Scholar Search")</f>
        <v/>
      </c>
      <c r="E32" s="2" t="inlineStr">
        <is>
          <t>Professor</t>
        </is>
      </c>
      <c r="F32" s="2" t="inlineStr">
        <is>
          <t>Walker Department of Mechanical Engineering</t>
        </is>
      </c>
      <c r="G32" s="2" t="inlineStr"/>
      <c r="H32" s="3">
        <f>HYPERLINK("mailto:rai@austin.utexas.edu", "rai@austin.utexas.edu")</f>
        <v/>
      </c>
      <c r="I32" s="2" t="n">
        <v>2</v>
      </c>
      <c r="J32" s="2" t="inlineStr">
        <is>
          <t>🟡 Tier 2: Thermal / Heat Transfer / Energy</t>
        </is>
      </c>
      <c r="K32" s="2" t="n">
        <v>1</v>
      </c>
      <c r="L32" s="2" t="inlineStr">
        <is>
          <t>energy systems</t>
        </is>
      </c>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is>
          <t>Energy systems; Climate change mitigation; Energy and development</t>
        </is>
      </c>
      <c r="AI32" s="2" t="inlineStr"/>
      <c r="AJ32" s="2" t="inlineStr">
        <is>
          <t>Energy systems; Climate change mitigation; Energy and development</t>
        </is>
      </c>
      <c r="AK32" s="2" t="inlineStr"/>
      <c r="AL32" s="2" t="inlineStr"/>
      <c r="AM32" s="2" t="inlineStr"/>
      <c r="AN32" s="2" t="inlineStr"/>
      <c r="AO32" s="2" t="inlineStr"/>
      <c r="AP32" s="2" t="inlineStr"/>
      <c r="AQ32" s="2" t="inlineStr"/>
      <c r="AR32" s="2" t="inlineStr"/>
      <c r="AS32" s="2" t="inlineStr"/>
      <c r="AT32" s="2" t="inlineStr">
        <is>
          <t>SRH 3.256</t>
        </is>
      </c>
      <c r="AU32" s="2" t="b">
        <v>1</v>
      </c>
      <c r="AV32" s="3">
        <f>HYPERLINK("https://me.utexas.edu/people/faculty", "https://me.utexas.edu/people/faculty")</f>
        <v/>
      </c>
    </row>
    <row r="33">
      <c r="A33" s="2" t="inlineStr">
        <is>
          <t>Chad M. Landis</t>
        </is>
      </c>
      <c r="B33" s="2" t="inlineStr">
        <is>
          <t>The University of Texas at Austin</t>
        </is>
      </c>
      <c r="C33" s="3">
        <f>HYPERLINK("https://ae.utexas.edu/person/chad-m-landis/", "https://ae.utexas.edu/person/chad-m-landis/")</f>
        <v/>
      </c>
      <c r="D33" s="3">
        <f>HYPERLINK("https://scholar.google.com/citations?view_op=search_authors&amp;mauthors=Chad%20M.%20Landis%20University%20of%20Texas%20at%20Austin", "Google Scholar Search")</f>
        <v/>
      </c>
      <c r="E33" s="2" t="inlineStr">
        <is>
          <t>Professor and Department Associate Chair</t>
        </is>
      </c>
      <c r="F33" s="2" t="inlineStr">
        <is>
          <t>Aerospace Engineering and Engineering Mechanics</t>
        </is>
      </c>
      <c r="G33" s="2" t="inlineStr"/>
      <c r="H33" s="3">
        <f>HYPERLINK("mailto:landis@utexas.edu", "landis@utexas.edu")</f>
        <v/>
      </c>
      <c r="I33" s="2" t="n">
        <v>3</v>
      </c>
      <c r="J33" s="2" t="inlineStr">
        <is>
          <t>🟠 Tier 3: Structures / Materials / Manufacturing</t>
        </is>
      </c>
      <c r="K33" s="2" t="n">
        <v>4</v>
      </c>
      <c r="L33" s="2" t="inlineStr">
        <is>
          <t>aerospace, fracture mechanics, materials, thermodynamics</t>
        </is>
      </c>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is>
          <t>Mechanics of materials; Ferroelectrics; Ferromagnetic shape memory alloys; Fracture mechanics; Continuum thermodynamics; Computational mechanics</t>
        </is>
      </c>
      <c r="AI33" s="2" t="inlineStr"/>
      <c r="AJ33" s="2" t="inlineStr">
        <is>
          <t>Mechanics of materials; Ferroelectrics; Ferromagnetic shape memory alloys; Fracture mechanics; Continuum thermodynamics; Computational mechanics</t>
        </is>
      </c>
      <c r="AK33" s="2" t="inlineStr"/>
      <c r="AL33" s="2" t="inlineStr"/>
      <c r="AM33" s="2" t="inlineStr"/>
      <c r="AN33" s="2" t="inlineStr"/>
      <c r="AO33" s="2" t="inlineStr"/>
      <c r="AP33" s="2" t="inlineStr"/>
      <c r="AQ33" s="2" t="inlineStr"/>
      <c r="AR33" s="2" t="inlineStr"/>
      <c r="AS33" s="2" t="inlineStr"/>
      <c r="AT33" s="2" t="inlineStr">
        <is>
          <t>ASE 5.214</t>
        </is>
      </c>
      <c r="AU33" s="2" t="b">
        <v>1</v>
      </c>
      <c r="AV33" s="3">
        <f>HYPERLINK("https://ae.utexas.edu/people/faculty", "https://ae.utexas.edu/people/faculty")</f>
        <v/>
      </c>
    </row>
    <row r="34">
      <c r="A34" s="2" t="inlineStr">
        <is>
          <t>Jayant Sirohi</t>
        </is>
      </c>
      <c r="B34" s="2" t="inlineStr">
        <is>
          <t>The University of Texas at Austin</t>
        </is>
      </c>
      <c r="C34" s="3">
        <f>HYPERLINK("https://ae.utexas.edu/person/jayant-sirohi/", "https://ae.utexas.edu/person/jayant-sirohi/")</f>
        <v/>
      </c>
      <c r="D34" s="3">
        <f>HYPERLINK("https://scholar.google.com/citations?view_op=search_authors&amp;mauthors=Jayant%20Sirohi%20University%20of%20Texas%20at%20Austin", "Google Scholar Search")</f>
        <v/>
      </c>
      <c r="E34" s="2" t="inlineStr">
        <is>
          <t>Professor</t>
        </is>
      </c>
      <c r="F34" s="2" t="inlineStr">
        <is>
          <t>Aerospace Engineering and Engineering Mechanics</t>
        </is>
      </c>
      <c r="G34" s="2" t="inlineStr"/>
      <c r="H34" s="3">
        <f>HYPERLINK("mailto:sirohi@utexas.edu", "sirohi@utexas.edu")</f>
        <v/>
      </c>
      <c r="I34" s="2" t="n">
        <v>3</v>
      </c>
      <c r="J34" s="2" t="inlineStr">
        <is>
          <t>🟠 Tier 3: Structures / Materials / Manufacturing</t>
        </is>
      </c>
      <c r="K34" s="2" t="n">
        <v>4</v>
      </c>
      <c r="L34" s="2" t="inlineStr">
        <is>
          <t>aerodynamics, aerospace, materials, unmanned aerial vehicles</t>
        </is>
      </c>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is>
          <t>High power density solid state actuators; Smart and multifunctional structures; Multi-mission capable micro and unmanned aerial vehicles; Rotorcraft design; &lt;span class="s1"&gt;Experimental aerodynamics and structural dynamics&lt;/span&gt;; &lt;span class="s1"&gt;Active materials, sensors and actuators&lt;/span&gt;</t>
        </is>
      </c>
      <c r="AI34" s="2" t="inlineStr"/>
      <c r="AJ34" s="2" t="inlineStr">
        <is>
          <t>High power density solid state actuators; Smart and multifunctional structures; Multi-mission capable micro and unmanned aerial vehicles; Rotorcraft design; &lt;span class="s1"&gt;Experimental aerodynamics and structural dynamics&lt;/span&gt;; &lt;span class="s1"&gt;Active materials, sensors and actuators&lt;/span&gt;</t>
        </is>
      </c>
      <c r="AK34" s="2" t="inlineStr"/>
      <c r="AL34" s="2" t="inlineStr"/>
      <c r="AM34" s="2" t="inlineStr"/>
      <c r="AN34" s="2" t="inlineStr"/>
      <c r="AO34" s="2" t="inlineStr"/>
      <c r="AP34" s="2" t="inlineStr"/>
      <c r="AQ34" s="2" t="inlineStr"/>
      <c r="AR34" s="2" t="inlineStr"/>
      <c r="AS34" s="2" t="inlineStr"/>
      <c r="AT34" s="2" t="inlineStr">
        <is>
          <t>ASE 5.216</t>
        </is>
      </c>
      <c r="AU34" s="2" t="b">
        <v>1</v>
      </c>
      <c r="AV34" s="3">
        <f>HYPERLINK("https://ae.utexas.edu/people/faculty", "https://ae.utexas.edu/people/faculty")</f>
        <v/>
      </c>
    </row>
    <row r="35">
      <c r="A35" s="2" t="inlineStr">
        <is>
          <t>Eric Fahrenthold</t>
        </is>
      </c>
      <c r="B35" s="2" t="inlineStr">
        <is>
          <t>The University of Texas at Austin</t>
        </is>
      </c>
      <c r="C35" s="3">
        <f>HYPERLINK("https://me.utexas.edu/person/eric-fahrenthold/", "https://me.utexas.edu/person/eric-fahrenthold/")</f>
        <v/>
      </c>
      <c r="D35" s="3">
        <f>HYPERLINK("https://scholar.google.com/citations?view_op=search_authors&amp;mauthors=Eric%20Fahrenthold%20University%20of%20Texas%20at%20Austin", "Google Scholar Search")</f>
        <v/>
      </c>
      <c r="E35" s="2" t="inlineStr">
        <is>
          <t>Professor</t>
        </is>
      </c>
      <c r="F35" s="2" t="inlineStr">
        <is>
          <t>Walker Department of Mechanical Engineering</t>
        </is>
      </c>
      <c r="G35" s="2" t="inlineStr"/>
      <c r="H35" s="3">
        <f>HYPERLINK("mailto:epfahren@mail.utexas.edu", "epfahren@mail.utexas.edu")</f>
        <v/>
      </c>
      <c r="I35" s="2" t="n">
        <v>3</v>
      </c>
      <c r="J35" s="2" t="inlineStr">
        <is>
          <t>🟠 Tier 3: Structures / Materials / Manufacturing</t>
        </is>
      </c>
      <c r="K35" s="2" t="n">
        <v>3</v>
      </c>
      <c r="L35" s="2" t="inlineStr">
        <is>
          <t>materials, multiscale, numerical methods</t>
        </is>
      </c>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is>
          <t>Multiscale modeling and computational materials design, including the development of numerical methods and codes for multiphysics simulation</t>
        </is>
      </c>
      <c r="AI35" s="2" t="inlineStr"/>
      <c r="AJ35" s="2" t="inlineStr">
        <is>
          <t>Multiscale modeling and computational materials design, including the development of numerical methods and codes for multiphysics simulation</t>
        </is>
      </c>
      <c r="AK35" s="2" t="inlineStr"/>
      <c r="AL35" s="2" t="inlineStr"/>
      <c r="AM35" s="2" t="inlineStr"/>
      <c r="AN35" s="2" t="inlineStr"/>
      <c r="AO35" s="2" t="inlineStr"/>
      <c r="AP35" s="2" t="inlineStr"/>
      <c r="AQ35" s="2" t="inlineStr"/>
      <c r="AR35" s="2" t="inlineStr"/>
      <c r="AS35" s="2" t="inlineStr"/>
      <c r="AT35" s="2" t="inlineStr">
        <is>
          <t>ETC 4.136</t>
        </is>
      </c>
      <c r="AU35" s="2" t="b">
        <v>1</v>
      </c>
      <c r="AV35" s="3">
        <f>HYPERLINK("https://me.utexas.edu/people/faculty", "https://me.utexas.edu/people/faculty")</f>
        <v/>
      </c>
    </row>
    <row r="36">
      <c r="A36" s="2" t="inlineStr">
        <is>
          <t>Jan Fuhg</t>
        </is>
      </c>
      <c r="B36" s="2" t="inlineStr">
        <is>
          <t>The University of Texas at Austin</t>
        </is>
      </c>
      <c r="C36" s="3">
        <f>HYPERLINK("https://ae.utexas.edu/person/jan-fuhg/", "https://ae.utexas.edu/person/jan-fuhg/")</f>
        <v/>
      </c>
      <c r="D36" s="3">
        <f>HYPERLINK("https://scholar.google.com/citations?view_op=search_authors&amp;mauthors=Jan%20Fuhg%20University%20of%20Texas%20at%20Austin", "Google Scholar Search")</f>
        <v/>
      </c>
      <c r="E36" s="2" t="inlineStr">
        <is>
          <t>Assistant Professor</t>
        </is>
      </c>
      <c r="F36" s="2" t="inlineStr">
        <is>
          <t>Aerospace Engineering and Engineering Mechanics</t>
        </is>
      </c>
      <c r="G36" s="2" t="inlineStr"/>
      <c r="H36" s="3">
        <f>HYPERLINK("mailto:jan.fuhg@utexas.edu", "jan.fuhg@utexas.edu")</f>
        <v/>
      </c>
      <c r="I36" s="2" t="n">
        <v>3</v>
      </c>
      <c r="J36" s="2" t="inlineStr">
        <is>
          <t>🟠 Tier 3: Structures / Materials / Manufacturing</t>
        </is>
      </c>
      <c r="K36" s="2" t="n">
        <v>3</v>
      </c>
      <c r="L36" s="2" t="inlineStr">
        <is>
          <t>aerospace, scientific computing, solid mechanics</t>
        </is>
      </c>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is>
          <t>Scientific machine learning; Computational mechanics; Solid mechanics; Scientific computing</t>
        </is>
      </c>
      <c r="AI36" s="2" t="inlineStr"/>
      <c r="AJ36" s="2" t="inlineStr">
        <is>
          <t>Scientific machine learning; Computational mechanics; Solid mechanics; Scientific computing</t>
        </is>
      </c>
      <c r="AK36" s="2" t="inlineStr"/>
      <c r="AL36" s="2" t="inlineStr"/>
      <c r="AM36" s="2" t="inlineStr"/>
      <c r="AN36" s="2" t="inlineStr"/>
      <c r="AO36" s="2" t="inlineStr"/>
      <c r="AP36" s="2" t="inlineStr"/>
      <c r="AQ36" s="2" t="inlineStr"/>
      <c r="AR36" s="2" t="inlineStr"/>
      <c r="AS36" s="2" t="inlineStr"/>
      <c r="AT36" s="2" t="inlineStr">
        <is>
          <t>ASE 5.234</t>
        </is>
      </c>
      <c r="AU36" s="2" t="b">
        <v>1</v>
      </c>
      <c r="AV36" s="3">
        <f>HYPERLINK("https://ae.utexas.edu/people/faculty", "https://ae.utexas.edu/people/faculty")</f>
        <v/>
      </c>
    </row>
    <row r="37">
      <c r="A37" s="2" t="inlineStr">
        <is>
          <t>Michael Haberman</t>
        </is>
      </c>
      <c r="B37" s="2" t="inlineStr">
        <is>
          <t>The University of Texas at Austin</t>
        </is>
      </c>
      <c r="C37" s="3">
        <f>HYPERLINK("https://me.utexas.edu/person/michael-haberman/", "https://me.utexas.edu/person/michael-haberman/")</f>
        <v/>
      </c>
      <c r="D37" s="3">
        <f>HYPERLINK("https://scholar.google.com/citations?view_op=search_authors&amp;mauthors=Michael%20Haberman%20University%20of%20Texas%20at%20Austin", "Google Scholar Search")</f>
        <v/>
      </c>
      <c r="E37" s="2" t="inlineStr">
        <is>
          <t>Associate Professor</t>
        </is>
      </c>
      <c r="F37" s="2" t="inlineStr">
        <is>
          <t>Walker Department of Mechanical Engineering</t>
        </is>
      </c>
      <c r="G37" s="2" t="inlineStr"/>
      <c r="H37" s="3">
        <f>HYPERLINK("mailto:haberman@utexas.edu", "haberman@utexas.edu")</f>
        <v/>
      </c>
      <c r="I37" s="2" t="n">
        <v>3</v>
      </c>
      <c r="J37" s="2" t="inlineStr">
        <is>
          <t>🟠 Tier 3: Structures / Materials / Manufacturing</t>
        </is>
      </c>
      <c r="K37" s="2" t="n">
        <v>3</v>
      </c>
      <c r="L37" s="2" t="inlineStr">
        <is>
          <t>materials, metamaterials, solid mechanics</t>
        </is>
      </c>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is>
          <t>Acoustic and solid mechanics; Theoretical and experimental studies of acoustic and elastic metamaterials; Composite materials; Ultrasonic material characterization; Acoustic transducers; Wave propagation in heterogeneous acoustic and elastic media; Acoustic materials design</t>
        </is>
      </c>
      <c r="AI37" s="2" t="inlineStr"/>
      <c r="AJ37" s="2" t="inlineStr">
        <is>
          <t>Acoustic and solid mechanics; Theoretical and experimental studies of acoustic and elastic metamaterials; Composite materials; Ultrasonic material characterization; Acoustic transducers; Wave propagation in heterogeneous acoustic and elastic media; Acoustic materials design</t>
        </is>
      </c>
      <c r="AK37" s="2" t="inlineStr"/>
      <c r="AL37" s="2" t="inlineStr"/>
      <c r="AM37" s="2" t="inlineStr"/>
      <c r="AN37" s="2" t="inlineStr"/>
      <c r="AO37" s="2" t="inlineStr"/>
      <c r="AP37" s="2" t="inlineStr"/>
      <c r="AQ37" s="2" t="inlineStr"/>
      <c r="AR37" s="2" t="inlineStr"/>
      <c r="AS37" s="2" t="inlineStr"/>
      <c r="AT37" s="2" t="inlineStr">
        <is>
          <t>ETC 4.146D</t>
        </is>
      </c>
      <c r="AU37" s="2" t="b">
        <v>1</v>
      </c>
      <c r="AV37" s="3">
        <f>HYPERLINK("https://me.utexas.edu/people/faculty", "https://me.utexas.edu/people/faculty")</f>
        <v/>
      </c>
    </row>
    <row r="38">
      <c r="A38" s="2" t="inlineStr">
        <is>
          <t>Rui Huang</t>
        </is>
      </c>
      <c r="B38" s="2" t="inlineStr">
        <is>
          <t>The University of Texas at Austin</t>
        </is>
      </c>
      <c r="C38" s="3">
        <f>HYPERLINK("https://ae.utexas.edu/person/rui-huang/", "https://ae.utexas.edu/person/rui-huang/")</f>
        <v/>
      </c>
      <c r="D38" s="3">
        <f>HYPERLINK("https://scholar.google.com/citations?view_op=search_authors&amp;mauthors=Rui%20Huang%20University%20of%20Texas%20at%20Austin", "Google Scholar Search")</f>
        <v/>
      </c>
      <c r="E38" s="2" t="inlineStr">
        <is>
          <t>Professor</t>
        </is>
      </c>
      <c r="F38" s="2" t="inlineStr">
        <is>
          <t>Aerospace Engineering and Engineering Mechanics</t>
        </is>
      </c>
      <c r="G38" s="2" t="inlineStr"/>
      <c r="H38" s="3">
        <f>HYPERLINK("mailto:ruihuang@mail.utexas.edu", "ruihuang@mail.utexas.edu")</f>
        <v/>
      </c>
      <c r="I38" s="2" t="n">
        <v>3</v>
      </c>
      <c r="J38" s="2" t="inlineStr">
        <is>
          <t>🟠 Tier 3: Structures / Materials / Manufacturing</t>
        </is>
      </c>
      <c r="K38" s="2" t="n">
        <v>3</v>
      </c>
      <c r="L38" s="2" t="inlineStr">
        <is>
          <t>aerospace, materials, multiscale</t>
        </is>
      </c>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is>
          <t>Mechanics of integrated materials and structures at micro-and nano-scales; Reliability of advanced interconnects and packaging for microelectronics; Mechanical instability of thin films and nanostructures; Multiscale modeling and simulations</t>
        </is>
      </c>
      <c r="AI38" s="2" t="inlineStr"/>
      <c r="AJ38" s="2" t="inlineStr">
        <is>
          <t>Mechanics of integrated materials and structures at micro-and nano-scales; Reliability of advanced interconnects and packaging for microelectronics; Mechanical instability of thin films and nanostructures; Multiscale modeling and simulations</t>
        </is>
      </c>
      <c r="AK38" s="2" t="inlineStr"/>
      <c r="AL38" s="2" t="inlineStr"/>
      <c r="AM38" s="2" t="inlineStr"/>
      <c r="AN38" s="2" t="inlineStr"/>
      <c r="AO38" s="2" t="inlineStr"/>
      <c r="AP38" s="2" t="inlineStr"/>
      <c r="AQ38" s="2" t="inlineStr"/>
      <c r="AR38" s="2" t="inlineStr"/>
      <c r="AS38" s="2" t="inlineStr"/>
      <c r="AT38" s="2" t="inlineStr">
        <is>
          <t>ASE 5.210</t>
        </is>
      </c>
      <c r="AU38" s="2" t="b">
        <v>1</v>
      </c>
      <c r="AV38" s="3">
        <f>HYPERLINK("https://ae.utexas.edu/people/faculty", "https://ae.utexas.edu/people/faculty")</f>
        <v/>
      </c>
    </row>
    <row r="39">
      <c r="A39" s="2" t="inlineStr">
        <is>
          <t>Stelios Kyriakides</t>
        </is>
      </c>
      <c r="B39" s="2" t="inlineStr">
        <is>
          <t>The University of Texas at Austin</t>
        </is>
      </c>
      <c r="C39" s="3">
        <f>HYPERLINK("https://ae.utexas.edu/person/stelios-kyriakides/", "https://ae.utexas.edu/person/stelios-kyriakides/")</f>
        <v/>
      </c>
      <c r="D39" s="3">
        <f>HYPERLINK("https://scholar.google.com/citations?view_op=search_authors&amp;mauthors=Stelios%20Kyriakides%20University%20of%20Texas%20at%20Austin", "Google Scholar Search")</f>
        <v/>
      </c>
      <c r="E39" s="2" t="inlineStr">
        <is>
          <t xml:space="preserve">Professor; Director of Center for Research in Mechanics of Solids, Structures and Materials </t>
        </is>
      </c>
      <c r="F39" s="2" t="inlineStr">
        <is>
          <t>Aerospace Engineering and Engineering Mechanics</t>
        </is>
      </c>
      <c r="G39" s="2" t="inlineStr"/>
      <c r="H39" s="3">
        <f>HYPERLINK("mailto:skk@mail.utexas.edu", "skk@mail.utexas.edu")</f>
        <v/>
      </c>
      <c r="I39" s="2" t="n">
        <v>3</v>
      </c>
      <c r="J39" s="2" t="inlineStr">
        <is>
          <t>🟠 Tier 3: Structures / Materials / Manufacturing</t>
        </is>
      </c>
      <c r="K39" s="2" t="n">
        <v>3</v>
      </c>
      <c r="L39" s="2" t="inlineStr">
        <is>
          <t>aerospace, composites, materials</t>
        </is>
      </c>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is>
          <t>Instability in solids and structures (plastic buckling of structures, propagating instabilities in shape, memory metals, composites and foams); Modeling of nonlinear behavior and failure of solids (metals, composites and foams)</t>
        </is>
      </c>
      <c r="AI39" s="2" t="inlineStr"/>
      <c r="AJ39" s="2" t="inlineStr">
        <is>
          <t>Instability in solids and structures (plastic buckling of structures, propagating instabilities in shape, memory metals, composites and foams); Modeling of nonlinear behavior and failure of solids (metals, composites and foams)</t>
        </is>
      </c>
      <c r="AK39" s="2" t="inlineStr"/>
      <c r="AL39" s="2" t="inlineStr"/>
      <c r="AM39" s="2" t="inlineStr"/>
      <c r="AN39" s="2" t="inlineStr"/>
      <c r="AO39" s="2" t="inlineStr"/>
      <c r="AP39" s="2" t="inlineStr"/>
      <c r="AQ39" s="2" t="inlineStr"/>
      <c r="AR39" s="2" t="inlineStr"/>
      <c r="AS39" s="2" t="inlineStr"/>
      <c r="AT39" s="2" t="inlineStr">
        <is>
          <t>ASE 5.230</t>
        </is>
      </c>
      <c r="AU39" s="2" t="b">
        <v>1</v>
      </c>
      <c r="AV39" s="3">
        <f>HYPERLINK("https://ae.utexas.edu/people/faculty", "https://ae.utexas.edu/people/faculty")</f>
        <v/>
      </c>
    </row>
    <row r="40">
      <c r="A40" s="2" t="inlineStr">
        <is>
          <t>Yaguo Wang</t>
        </is>
      </c>
      <c r="B40" s="2" t="inlineStr">
        <is>
          <t>The University of Texas at Austin</t>
        </is>
      </c>
      <c r="C40" s="3">
        <f>HYPERLINK("https://me.utexas.edu/person/yaguo-wang/", "https://me.utexas.edu/person/yaguo-wang/")</f>
        <v/>
      </c>
      <c r="D40" s="3">
        <f>HYPERLINK("https://scholar.google.com/citations?view_op=search_authors&amp;mauthors=Yaguo%20Wang%20University%20of%20Texas%20at%20Austin", "Google Scholar Search")</f>
        <v/>
      </c>
      <c r="E40" s="2" t="inlineStr">
        <is>
          <t>Associate Professor</t>
        </is>
      </c>
      <c r="F40" s="2" t="inlineStr">
        <is>
          <t>Walker Department of Mechanical Engineering</t>
        </is>
      </c>
      <c r="G40" s="2" t="inlineStr"/>
      <c r="H40" s="3">
        <f>HYPERLINK("mailto:yaguo.wang@austin.utexas.edu", "yaguo.wang@austin.utexas.edu")</f>
        <v/>
      </c>
      <c r="I40" s="2" t="n">
        <v>3</v>
      </c>
      <c r="J40" s="2" t="inlineStr">
        <is>
          <t>🟠 Tier 3: Structures / Materials / Manufacturing</t>
        </is>
      </c>
      <c r="K40" s="2" t="n">
        <v>3</v>
      </c>
      <c r="L40" s="2" t="inlineStr">
        <is>
          <t>heat transfer, materials, nanomaterials</t>
        </is>
      </c>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is>
          <t>Ultrafast optical spectroscopy to detect and control phonon/electron dynamics in nanomaterials for applications in clean energy; Characterization of micro/nano-scale heat transfer in nanostructures and theoretical; Computational studies of atomic-level carrier transport with molecular dynamics simulations</t>
        </is>
      </c>
      <c r="AI40" s="2" t="inlineStr"/>
      <c r="AJ40" s="2" t="inlineStr">
        <is>
          <t>Ultrafast optical spectroscopy to detect and control phonon/electron dynamics in nanomaterials for applications in clean energy; Characterization of micro/nano-scale heat transfer in nanostructures and theoretical; Computational studies of atomic-level carrier transport with molecular dynamics simulations</t>
        </is>
      </c>
      <c r="AK40" s="2" t="inlineStr"/>
      <c r="AL40" s="2" t="inlineStr"/>
      <c r="AM40" s="2" t="inlineStr"/>
      <c r="AN40" s="2" t="inlineStr"/>
      <c r="AO40" s="2" t="inlineStr"/>
      <c r="AP40" s="2" t="inlineStr"/>
      <c r="AQ40" s="2" t="inlineStr"/>
      <c r="AR40" s="2" t="inlineStr"/>
      <c r="AS40" s="2" t="inlineStr"/>
      <c r="AT40" s="2" t="inlineStr">
        <is>
          <t>GLT 3.332</t>
        </is>
      </c>
      <c r="AU40" s="2" t="b">
        <v>1</v>
      </c>
      <c r="AV40" s="3">
        <f>HYPERLINK("https://me.utexas.edu/people/faculty", "https://me.utexas.edu/people/faculty")</f>
        <v/>
      </c>
    </row>
    <row r="41">
      <c r="A41" s="2" t="inlineStr">
        <is>
          <t>Arumugam Manthiram</t>
        </is>
      </c>
      <c r="B41" s="2" t="inlineStr">
        <is>
          <t>The University of Texas at Austin</t>
        </is>
      </c>
      <c r="C41" s="3">
        <f>HYPERLINK("https://me.utexas.edu/person/arumugam-manthiram/", "https://me.utexas.edu/person/arumugam-manthiram/")</f>
        <v/>
      </c>
      <c r="D41" s="3">
        <f>HYPERLINK("https://scholar.google.com/citations?view_op=search_authors&amp;mauthors=Arumugam%20Manthiram%20University%20of%20Texas%20at%20Austin", "Google Scholar Search")</f>
        <v/>
      </c>
      <c r="E41" s="2" t="inlineStr">
        <is>
          <t>Professor</t>
        </is>
      </c>
      <c r="F41" s="2" t="inlineStr">
        <is>
          <t>Walker Department of Mechanical Engineering</t>
        </is>
      </c>
      <c r="G41" s="2" t="inlineStr"/>
      <c r="H41" s="3">
        <f>HYPERLINK("mailto:rmanth@mail.utexas.edu", "rmanth@mail.utexas.edu")</f>
        <v/>
      </c>
      <c r="I41" s="2" t="n">
        <v>3</v>
      </c>
      <c r="J41" s="2" t="inlineStr">
        <is>
          <t>🟠 Tier 3: Structures / Materials / Manufacturing</t>
        </is>
      </c>
      <c r="K41" s="2" t="n">
        <v>2</v>
      </c>
      <c r="L41" s="2" t="inlineStr">
        <is>
          <t>materials, nanomaterials</t>
        </is>
      </c>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is>
          <t>Clean energy materials; Electrochemical energy conversion and storage; Lithium ion batteries, fuel cells, supercapacitors and solar cells; Nanomaterials</t>
        </is>
      </c>
      <c r="AI41" s="2" t="inlineStr"/>
      <c r="AJ41" s="2" t="inlineStr">
        <is>
          <t>Clean energy materials; Electrochemical energy conversion and storage; Lithium ion batteries, fuel cells, supercapacitors and solar cells; Nanomaterials</t>
        </is>
      </c>
      <c r="AK41" s="2" t="inlineStr"/>
      <c r="AL41" s="2" t="inlineStr"/>
      <c r="AM41" s="2" t="inlineStr"/>
      <c r="AN41" s="2" t="inlineStr"/>
      <c r="AO41" s="2" t="inlineStr"/>
      <c r="AP41" s="2" t="inlineStr"/>
      <c r="AQ41" s="2" t="inlineStr"/>
      <c r="AR41" s="2" t="inlineStr"/>
      <c r="AS41" s="2" t="inlineStr"/>
      <c r="AT41" s="2" t="inlineStr">
        <is>
          <t>GLT 3.210</t>
        </is>
      </c>
      <c r="AU41" s="2" t="b">
        <v>1</v>
      </c>
      <c r="AV41" s="3">
        <f>HYPERLINK("https://me.utexas.edu/people/faculty", "https://me.utexas.edu/people/faculty")</f>
        <v/>
      </c>
    </row>
    <row r="42">
      <c r="A42" s="2" t="inlineStr">
        <is>
          <t>Donglei "Emma" Fan</t>
        </is>
      </c>
      <c r="B42" s="2" t="inlineStr">
        <is>
          <t>The University of Texas at Austin</t>
        </is>
      </c>
      <c r="C42" s="3">
        <f>HYPERLINK("https://me.utexas.edu/person/donglei-emma-fan/", "https://me.utexas.edu/person/donglei-emma-fan/")</f>
        <v/>
      </c>
      <c r="D42" s="3">
        <f>HYPERLINK("https://scholar.google.com/citations?view_op=search_authors&amp;mauthors=Donglei%20%22Emma%22%20Fan%20University%20of%20Texas%20at%20Austin", "Google Scholar Search")</f>
        <v/>
      </c>
      <c r="E42" s="2" t="inlineStr">
        <is>
          <t>Professor</t>
        </is>
      </c>
      <c r="F42" s="2" t="inlineStr">
        <is>
          <t>Walker Department of Mechanical Engineering</t>
        </is>
      </c>
      <c r="G42" s="2" t="inlineStr"/>
      <c r="H42" s="3">
        <f>HYPERLINK("mailto:dfan@austin.utexas.edu", "dfan@austin.utexas.edu")</f>
        <v/>
      </c>
      <c r="I42" s="2" t="n">
        <v>3</v>
      </c>
      <c r="J42" s="2" t="inlineStr">
        <is>
          <t>🟠 Tier 3: Structures / Materials / Manufacturing</t>
        </is>
      </c>
      <c r="K42" s="2" t="n">
        <v>2</v>
      </c>
      <c r="L42" s="2" t="inlineStr">
        <is>
          <t>materials, nanomaterials</t>
        </is>
      </c>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is>
          <t>Nanomaterials design and synthesis; Nano-biotechnolgy; Nano-manipulation; Nanoelectromechanical system (NEMS); Energy</t>
        </is>
      </c>
      <c r="AI42" s="2" t="inlineStr"/>
      <c r="AJ42" s="2" t="inlineStr">
        <is>
          <t>Nanomaterials design and synthesis; Nano-biotechnolgy; Nano-manipulation; Nanoelectromechanical system (NEMS); Energy</t>
        </is>
      </c>
      <c r="AK42" s="2" t="inlineStr"/>
      <c r="AL42" s="2" t="inlineStr"/>
      <c r="AM42" s="2" t="inlineStr"/>
      <c r="AN42" s="2" t="inlineStr"/>
      <c r="AO42" s="2" t="inlineStr"/>
      <c r="AP42" s="2" t="inlineStr"/>
      <c r="AQ42" s="2" t="inlineStr"/>
      <c r="AR42" s="2" t="inlineStr"/>
      <c r="AS42" s="2" t="inlineStr"/>
      <c r="AT42" s="2" t="inlineStr">
        <is>
          <t>GLT 3.344</t>
        </is>
      </c>
      <c r="AU42" s="2" t="b">
        <v>1</v>
      </c>
      <c r="AV42" s="3">
        <f>HYPERLINK("https://me.utexas.edu/people/faculty", "https://me.utexas.edu/people/faculty")</f>
        <v/>
      </c>
    </row>
    <row r="43">
      <c r="A43" s="2" t="inlineStr">
        <is>
          <t>Guihua Yu</t>
        </is>
      </c>
      <c r="B43" s="2" t="inlineStr">
        <is>
          <t>The University of Texas at Austin</t>
        </is>
      </c>
      <c r="C43" s="3">
        <f>HYPERLINK("https://me.utexas.edu/person/guihua-yu/", "https://me.utexas.edu/person/guihua-yu/")</f>
        <v/>
      </c>
      <c r="D43" s="3">
        <f>HYPERLINK("https://scholar.google.com/citations?view_op=search_authors&amp;mauthors=Guihua%20Yu%20University%20of%20Texas%20at%20Austin", "Google Scholar Search")</f>
        <v/>
      </c>
      <c r="E43" s="2" t="inlineStr">
        <is>
          <t>Professor</t>
        </is>
      </c>
      <c r="F43" s="2" t="inlineStr">
        <is>
          <t>Walker Department of Mechanical Engineering</t>
        </is>
      </c>
      <c r="G43" s="2" t="inlineStr"/>
      <c r="H43" s="3">
        <f>HYPERLINK("mailto:ghyu@austin.utexas.edu", "ghyu@austin.utexas.edu")</f>
        <v/>
      </c>
      <c r="I43" s="2" t="n">
        <v>3</v>
      </c>
      <c r="J43" s="2" t="inlineStr">
        <is>
          <t>🟠 Tier 3: Structures / Materials / Manufacturing</t>
        </is>
      </c>
      <c r="K43" s="2" t="n">
        <v>2</v>
      </c>
      <c r="L43" s="2" t="inlineStr">
        <is>
          <t>materials, nanomaterials</t>
        </is>
      </c>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is>
          <t>Nanomaterials for energy science and environment; Energy storage and conversion devices; Nanoelectronics; Nano-biotechnology; Self-assembly of nanostructures</t>
        </is>
      </c>
      <c r="AI43" s="2" t="inlineStr"/>
      <c r="AJ43" s="2" t="inlineStr">
        <is>
          <t>Nanomaterials for energy science and environment; Energy storage and conversion devices; Nanoelectronics; Nano-biotechnology; Self-assembly of nanostructures</t>
        </is>
      </c>
      <c r="AK43" s="2" t="inlineStr"/>
      <c r="AL43" s="2" t="inlineStr"/>
      <c r="AM43" s="2" t="inlineStr"/>
      <c r="AN43" s="2" t="inlineStr"/>
      <c r="AO43" s="2" t="inlineStr"/>
      <c r="AP43" s="2" t="inlineStr"/>
      <c r="AQ43" s="2" t="inlineStr"/>
      <c r="AR43" s="2" t="inlineStr"/>
      <c r="AS43" s="2" t="inlineStr"/>
      <c r="AT43" s="2" t="inlineStr">
        <is>
          <t>ETC 9.178</t>
        </is>
      </c>
      <c r="AU43" s="2" t="b">
        <v>1</v>
      </c>
      <c r="AV43" s="3">
        <f>HYPERLINK("https://me.utexas.edu/people/faculty", "https://me.utexas.edu/people/faculty")</f>
        <v/>
      </c>
    </row>
    <row r="44">
      <c r="A44" s="2" t="inlineStr">
        <is>
          <t>Jin Yang</t>
        </is>
      </c>
      <c r="B44" s="2" t="inlineStr">
        <is>
          <t>The University of Texas at Austin</t>
        </is>
      </c>
      <c r="C44" s="3">
        <f>HYPERLINK("https://ae.utexas.edu/person/jin-yang/", "https://ae.utexas.edu/person/jin-yang/")</f>
        <v/>
      </c>
      <c r="D44" s="3">
        <f>HYPERLINK("https://scholar.google.com/citations?view_op=search_authors&amp;mauthors=Jin%20Yang%20University%20of%20Texas%20at%20Austin", "Google Scholar Search")</f>
        <v/>
      </c>
      <c r="E44" s="2" t="inlineStr">
        <is>
          <t>Assistant Professor</t>
        </is>
      </c>
      <c r="F44" s="2" t="inlineStr">
        <is>
          <t>Aerospace Engineering and Engineering Mechanics</t>
        </is>
      </c>
      <c r="G44" s="2" t="inlineStr"/>
      <c r="H44" s="3">
        <f>HYPERLINK("mailto:jin.yang@austin.utexas.edu", "jin.yang@austin.utexas.edu")</f>
        <v/>
      </c>
      <c r="I44" s="2" t="n">
        <v>3</v>
      </c>
      <c r="J44" s="2" t="inlineStr">
        <is>
          <t>🟠 Tier 3: Structures / Materials / Manufacturing</t>
        </is>
      </c>
      <c r="K44" s="2" t="n">
        <v>2</v>
      </c>
      <c r="L44" s="2" t="inlineStr">
        <is>
          <t>aerospace, materials</t>
        </is>
      </c>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is>
          <t>Machine learning and data-driven material characterization; Full-field deformation measurements; Laser-induced inertial cavitation in hydrogels and biological materials; Dynamic instability in viscoelastic materials</t>
        </is>
      </c>
      <c r="AI44" s="2" t="inlineStr"/>
      <c r="AJ44" s="2" t="inlineStr">
        <is>
          <t>Machine learning and data-driven material characterization; Full-field deformation measurements; Laser-induced inertial cavitation in hydrogels and biological materials; Dynamic instability in viscoelastic materials</t>
        </is>
      </c>
      <c r="AK44" s="2" t="inlineStr"/>
      <c r="AL44" s="2" t="inlineStr"/>
      <c r="AM44" s="2" t="inlineStr"/>
      <c r="AN44" s="2" t="inlineStr"/>
      <c r="AO44" s="2" t="inlineStr"/>
      <c r="AP44" s="2" t="inlineStr"/>
      <c r="AQ44" s="2" t="inlineStr"/>
      <c r="AR44" s="2" t="inlineStr"/>
      <c r="AS44" s="2" t="inlineStr"/>
      <c r="AT44" s="2" t="inlineStr">
        <is>
          <t>ASE 5.236</t>
        </is>
      </c>
      <c r="AU44" s="2" t="b">
        <v>1</v>
      </c>
      <c r="AV44" s="3">
        <f>HYPERLINK("https://ae.utexas.edu/people/faculty", "https://ae.utexas.edu/people/faculty")</f>
        <v/>
      </c>
    </row>
    <row r="45">
      <c r="A45" s="2" t="inlineStr">
        <is>
          <t>John Foster</t>
        </is>
      </c>
      <c r="B45" s="2" t="inlineStr">
        <is>
          <t>The University of Texas at Austin</t>
        </is>
      </c>
      <c r="C45" s="3">
        <f>HYPERLINK("https://pge.utexas.edu/person/john-foster/", "https://pge.utexas.edu/person/john-foster/")</f>
        <v/>
      </c>
      <c r="D45" s="3">
        <f>HYPERLINK("https://scholar.google.com/citations?view_op=search_authors&amp;mauthors=John%20Foster%20University%20of%20Texas%20at%20Austin", "Google Scholar Search")</f>
        <v/>
      </c>
      <c r="E45" s="2" t="inlineStr">
        <is>
          <t>Associate Professor</t>
        </is>
      </c>
      <c r="F45" s="2" t="inlineStr">
        <is>
          <t>Aerospace Engineering and Engineering Mechanics</t>
        </is>
      </c>
      <c r="G45" s="2" t="inlineStr"/>
      <c r="H45" s="3">
        <f>HYPERLINK("mailto:jfoster@austin.utexas.edu", "jfoster@austin.utexas.edu")</f>
        <v/>
      </c>
      <c r="I45" s="2" t="n">
        <v>3</v>
      </c>
      <c r="J45" s="2" t="inlineStr">
        <is>
          <t>🟠 Tier 3: Structures / Materials / Manufacturing</t>
        </is>
      </c>
      <c r="K45" s="2" t="n">
        <v>2</v>
      </c>
      <c r="L45" s="2" t="inlineStr">
        <is>
          <t>aerospace, fracture mechanics</t>
        </is>
      </c>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is>
          <t>Experimental and computational geomechanics; Fracture mechanics; Hydraulic fracturing; Anomalous flow in porous media; Scientific machine learning</t>
        </is>
      </c>
      <c r="AI45" s="2" t="inlineStr"/>
      <c r="AJ45" s="2" t="inlineStr">
        <is>
          <t>Experimental and computational geomechanics; Fracture mechanics; Hydraulic fracturing; Anomalous flow in porous media; Scientific machine learning</t>
        </is>
      </c>
      <c r="AK45" s="2" t="inlineStr"/>
      <c r="AL45" s="2" t="inlineStr"/>
      <c r="AM45" s="2" t="inlineStr"/>
      <c r="AN45" s="2" t="inlineStr"/>
      <c r="AO45" s="2" t="inlineStr"/>
      <c r="AP45" s="2" t="inlineStr"/>
      <c r="AQ45" s="2" t="inlineStr"/>
      <c r="AR45" s="2" t="inlineStr"/>
      <c r="AS45" s="2" t="inlineStr"/>
      <c r="AT45" s="2" t="inlineStr">
        <is>
          <t>CPE 3.108</t>
        </is>
      </c>
      <c r="AU45" s="2" t="b">
        <v>1</v>
      </c>
      <c r="AV45" s="3">
        <f>HYPERLINK("https://ae.utexas.edu/people/faculty", "https://ae.utexas.edu/people/faculty")</f>
        <v/>
      </c>
    </row>
    <row r="46">
      <c r="A46" s="2" t="inlineStr">
        <is>
          <t>K. Ravi-Chandar</t>
        </is>
      </c>
      <c r="B46" s="2" t="inlineStr">
        <is>
          <t>The University of Texas at Austin</t>
        </is>
      </c>
      <c r="C46" s="3">
        <f>HYPERLINK("https://ae.utexas.edu/person/k-ravi-chandar/", "https://ae.utexas.edu/person/k-ravi-chandar/")</f>
        <v/>
      </c>
      <c r="D46" s="3">
        <f>HYPERLINK("https://scholar.google.com/citations?view_op=search_authors&amp;mauthors=K.%20Ravi-Chandar%20University%20of%20Texas%20at%20Austin", "Google Scholar Search")</f>
        <v/>
      </c>
      <c r="E46" s="2" t="inlineStr">
        <is>
          <t>Professor</t>
        </is>
      </c>
      <c r="F46" s="2" t="inlineStr">
        <is>
          <t>Aerospace Engineering and Engineering Mechanics</t>
        </is>
      </c>
      <c r="G46" s="2" t="inlineStr"/>
      <c r="H46" s="3">
        <f>HYPERLINK("mailto:ravi@utexas.edu", "ravi@utexas.edu")</f>
        <v/>
      </c>
      <c r="I46" s="2" t="n">
        <v>3</v>
      </c>
      <c r="J46" s="2" t="inlineStr">
        <is>
          <t>🟠 Tier 3: Structures / Materials / Manufacturing</t>
        </is>
      </c>
      <c r="K46" s="2" t="n">
        <v>2</v>
      </c>
      <c r="L46" s="2" t="inlineStr">
        <is>
          <t>aerospace, materials</t>
        </is>
      </c>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is>
          <t>Mechanical behavior of materials at high strain rates; Fracture in nominally brittle materials; Shear banding in polymeric materials; Phase transformation in shape memory alloys</t>
        </is>
      </c>
      <c r="AI46" s="2" t="inlineStr"/>
      <c r="AJ46" s="2" t="inlineStr">
        <is>
          <t>Mechanical behavior of materials at high strain rates; Fracture in nominally brittle materials; Shear banding in polymeric materials; Phase transformation in shape memory alloys</t>
        </is>
      </c>
      <c r="AK46" s="2" t="inlineStr"/>
      <c r="AL46" s="2" t="inlineStr"/>
      <c r="AM46" s="2" t="inlineStr"/>
      <c r="AN46" s="2" t="inlineStr"/>
      <c r="AO46" s="2" t="inlineStr"/>
      <c r="AP46" s="2" t="inlineStr"/>
      <c r="AQ46" s="2" t="inlineStr"/>
      <c r="AR46" s="2" t="inlineStr"/>
      <c r="AS46" s="2" t="inlineStr"/>
      <c r="AT46" s="2" t="inlineStr">
        <is>
          <t>ASE 5.222</t>
        </is>
      </c>
      <c r="AU46" s="2" t="b">
        <v>1</v>
      </c>
      <c r="AV46" s="3">
        <f>HYPERLINK("https://ae.utexas.edu/people/faculty", "https://ae.utexas.edu/people/faculty")</f>
        <v/>
      </c>
    </row>
    <row r="47">
      <c r="A47" s="2" t="inlineStr">
        <is>
          <t>Mark E. Mear</t>
        </is>
      </c>
      <c r="B47" s="2" t="inlineStr">
        <is>
          <t>The University of Texas at Austin</t>
        </is>
      </c>
      <c r="C47" s="3">
        <f>HYPERLINK("https://ae.utexas.edu/person/mark-e-mear/", "https://ae.utexas.edu/person/mark-e-mear/")</f>
        <v/>
      </c>
      <c r="D47" s="3">
        <f>HYPERLINK("https://scholar.google.com/citations?view_op=search_authors&amp;mauthors=Mark%20E.%20Mear%20University%20of%20Texas%20at%20Austin", "Google Scholar Search")</f>
        <v/>
      </c>
      <c r="E47" s="2" t="inlineStr">
        <is>
          <t>Professor</t>
        </is>
      </c>
      <c r="F47" s="2" t="inlineStr">
        <is>
          <t>Aerospace Engineering and Engineering Mechanics</t>
        </is>
      </c>
      <c r="G47" s="2" t="inlineStr"/>
      <c r="H47" s="3">
        <f>HYPERLINK("mailto:mear@mail.utexas.edu", "mear@mail.utexas.edu")</f>
        <v/>
      </c>
      <c r="I47" s="2" t="n">
        <v>3</v>
      </c>
      <c r="J47" s="2" t="inlineStr">
        <is>
          <t>🟠 Tier 3: Structures / Materials / Manufacturing</t>
        </is>
      </c>
      <c r="K47" s="2" t="n">
        <v>2</v>
      </c>
      <c r="L47" s="2" t="inlineStr">
        <is>
          <t>aerospace, fracture mechanics</t>
        </is>
      </c>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is>
          <t>Micromechanics; Fracture mechanics; Boundary element methods</t>
        </is>
      </c>
      <c r="AI47" s="2" t="inlineStr"/>
      <c r="AJ47" s="2" t="inlineStr">
        <is>
          <t>Micromechanics; Fracture mechanics; Boundary element methods</t>
        </is>
      </c>
      <c r="AK47" s="2" t="inlineStr"/>
      <c r="AL47" s="2" t="inlineStr"/>
      <c r="AM47" s="2" t="inlineStr"/>
      <c r="AN47" s="2" t="inlineStr"/>
      <c r="AO47" s="2" t="inlineStr"/>
      <c r="AP47" s="2" t="inlineStr"/>
      <c r="AQ47" s="2" t="inlineStr"/>
      <c r="AR47" s="2" t="inlineStr"/>
      <c r="AS47" s="2" t="inlineStr"/>
      <c r="AT47" s="2" t="inlineStr">
        <is>
          <t>ASE 5.220</t>
        </is>
      </c>
      <c r="AU47" s="2" t="b">
        <v>1</v>
      </c>
      <c r="AV47" s="3">
        <f>HYPERLINK("https://ae.utexas.edu/people/faculty", "https://ae.utexas.edu/people/faculty")</f>
        <v/>
      </c>
    </row>
    <row r="48">
      <c r="A48" s="2" t="inlineStr">
        <is>
          <t>Nanshu Lu</t>
        </is>
      </c>
      <c r="B48" s="2" t="inlineStr">
        <is>
          <t>The University of Texas at Austin</t>
        </is>
      </c>
      <c r="C48" s="3">
        <f>HYPERLINK("https://ae.utexas.edu/person/nanshu-lu/", "https://ae.utexas.edu/person/nanshu-lu/")</f>
        <v/>
      </c>
      <c r="D48" s="3">
        <f>HYPERLINK("https://scholar.google.com/citations?view_op=search_authors&amp;mauthors=Nanshu%20Lu%20University%20of%20Texas%20at%20Austin", "Google Scholar Search")</f>
        <v/>
      </c>
      <c r="E48" s="2" t="inlineStr">
        <is>
          <t>Professor</t>
        </is>
      </c>
      <c r="F48" s="2" t="inlineStr">
        <is>
          <t>Aerospace Engineering and Engineering Mechanics</t>
        </is>
      </c>
      <c r="G48" s="2" t="inlineStr"/>
      <c r="H48" s="3">
        <f>HYPERLINK("mailto:nanshulu@utexas.edu", "nanshulu@utexas.edu")</f>
        <v/>
      </c>
      <c r="I48" s="2" t="n">
        <v>3</v>
      </c>
      <c r="J48" s="2" t="inlineStr">
        <is>
          <t>🟠 Tier 3: Structures / Materials / Manufacturing</t>
        </is>
      </c>
      <c r="K48" s="2" t="n">
        <v>2</v>
      </c>
      <c r="L48" s="2" t="inlineStr">
        <is>
          <t>aerospace, materials</t>
        </is>
      </c>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is>
          <t>Mechanics of flexible and stretchable structures; 2D and nano materials for soft electronics; Manufacture and transfer of bio-integrated electronics; Mechanics at bio-electronics interface; Wireless, multimodal e-tattoos for mobile health and human-machine interaction</t>
        </is>
      </c>
      <c r="AI48" s="2" t="inlineStr"/>
      <c r="AJ48" s="2" t="inlineStr">
        <is>
          <t>Mechanics of flexible and stretchable structures; 2D and nano materials for soft electronics; Manufacture and transfer of bio-integrated electronics; Mechanics at bio-electronics interface; Wireless, multimodal e-tattoos for mobile health and human-machine interaction</t>
        </is>
      </c>
      <c r="AK48" s="2" t="inlineStr"/>
      <c r="AL48" s="2" t="inlineStr"/>
      <c r="AM48" s="2" t="inlineStr"/>
      <c r="AN48" s="2" t="inlineStr"/>
      <c r="AO48" s="2" t="inlineStr"/>
      <c r="AP48" s="2" t="inlineStr"/>
      <c r="AQ48" s="2" t="inlineStr"/>
      <c r="AR48" s="2" t="inlineStr"/>
      <c r="AS48" s="2" t="inlineStr"/>
      <c r="AT48" s="2" t="inlineStr">
        <is>
          <t>EER 7.614B</t>
        </is>
      </c>
      <c r="AU48" s="2" t="b">
        <v>1</v>
      </c>
      <c r="AV48" s="3">
        <f>HYPERLINK("https://ae.utexas.edu/people/faculty", "https://ae.utexas.edu/people/faculty")</f>
        <v/>
      </c>
    </row>
    <row r="49">
      <c r="A49" s="2" t="inlineStr">
        <is>
          <t>S.V. Sreenivasan</t>
        </is>
      </c>
      <c r="B49" s="2" t="inlineStr">
        <is>
          <t>The University of Texas at Austin</t>
        </is>
      </c>
      <c r="C49" s="3">
        <f>HYPERLINK("https://me.utexas.edu/person/s-v-sreenivasan/", "https://me.utexas.edu/person/s-v-sreenivasan/")</f>
        <v/>
      </c>
      <c r="D49" s="3">
        <f>HYPERLINK("https://scholar.google.com/citations?view_op=search_authors&amp;mauthors=S.V.%20Sreenivasan%20University%20of%20Texas%20at%20Austin", "Google Scholar Search")</f>
        <v/>
      </c>
      <c r="E49" s="2" t="inlineStr">
        <is>
          <t>Professor</t>
        </is>
      </c>
      <c r="F49" s="2" t="inlineStr">
        <is>
          <t>Walker Department of Mechanical Engineering</t>
        </is>
      </c>
      <c r="G49" s="2" t="inlineStr"/>
      <c r="H49" s="3">
        <f>HYPERLINK("mailto:sv.sreeni@mail.utexas.edu", "sv.sreeni@mail.utexas.edu")</f>
        <v/>
      </c>
      <c r="I49" s="2" t="n">
        <v>3</v>
      </c>
      <c r="J49" s="2" t="inlineStr">
        <is>
          <t>🟠 Tier 3: Structures / Materials / Manufacturing</t>
        </is>
      </c>
      <c r="K49" s="2" t="n">
        <v>2</v>
      </c>
      <c r="L49" s="2" t="inlineStr">
        <is>
          <t>materials, metamaterials</t>
        </is>
      </c>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is>
          <t>High throughput nanofabrication; Precision systems for nanofabrication; Scalable processes for optical metamaterials, advanced memory devices, flexible electronics and displays; Precision biomaterials for advanced therapeutics</t>
        </is>
      </c>
      <c r="AI49" s="2" t="inlineStr"/>
      <c r="AJ49" s="2" t="inlineStr">
        <is>
          <t>High throughput nanofabrication; Precision systems for nanofabrication; Scalable processes for optical metamaterials, advanced memory devices, flexible electronics and displays; Precision biomaterials for advanced therapeutics</t>
        </is>
      </c>
      <c r="AK49" s="2" t="inlineStr"/>
      <c r="AL49" s="2" t="inlineStr"/>
      <c r="AM49" s="2" t="inlineStr"/>
      <c r="AN49" s="2" t="inlineStr"/>
      <c r="AO49" s="2" t="inlineStr"/>
      <c r="AP49" s="2" t="inlineStr"/>
      <c r="AQ49" s="2" t="inlineStr"/>
      <c r="AR49" s="2" t="inlineStr"/>
      <c r="AS49" s="2" t="inlineStr"/>
      <c r="AT49" s="2" t="inlineStr">
        <is>
          <t>EER 4.620</t>
        </is>
      </c>
      <c r="AU49" s="2" t="b">
        <v>1</v>
      </c>
      <c r="AV49" s="3">
        <f>HYPERLINK("https://me.utexas.edu/people/faculty", "https://me.utexas.edu/people/faculty")</f>
        <v/>
      </c>
    </row>
    <row r="50">
      <c r="A50" s="2" t="inlineStr">
        <is>
          <t>Tanya Hutter</t>
        </is>
      </c>
      <c r="B50" s="2" t="inlineStr">
        <is>
          <t>The University of Texas at Austin</t>
        </is>
      </c>
      <c r="C50" s="3">
        <f>HYPERLINK("https://me.utexas.edu/person/tanya-hutter/", "https://me.utexas.edu/person/tanya-hutter/")</f>
        <v/>
      </c>
      <c r="D50" s="3">
        <f>HYPERLINK("https://scholar.google.com/citations?view_op=search_authors&amp;mauthors=Tanya%20Hutter%20University%20of%20Texas%20at%20Austin", "Google Scholar Search")</f>
        <v/>
      </c>
      <c r="E50" s="2" t="inlineStr">
        <is>
          <t>Assistant Professor</t>
        </is>
      </c>
      <c r="F50" s="2" t="inlineStr">
        <is>
          <t>Walker Department of Mechanical Engineering</t>
        </is>
      </c>
      <c r="G50" s="2" t="inlineStr"/>
      <c r="H50" s="3">
        <f>HYPERLINK("mailto:tanya.hutter@utexas.edu", "tanya.hutter@utexas.edu")</f>
        <v/>
      </c>
      <c r="I50" s="2" t="n">
        <v>3</v>
      </c>
      <c r="J50" s="2" t="inlineStr">
        <is>
          <t>🟠 Tier 3: Structures / Materials / Manufacturing</t>
        </is>
      </c>
      <c r="K50" s="2" t="n">
        <v>2</v>
      </c>
      <c r="L50" s="2" t="inlineStr">
        <is>
          <t>materials, microfluidics</t>
        </is>
      </c>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is>
          <t>Nanoporous materials; Nano-photonics; Waveguide optics; Optical spectroscopes and microfluidics for chem/bio-sensors and medical diagnostics</t>
        </is>
      </c>
      <c r="AI50" s="2" t="inlineStr"/>
      <c r="AJ50" s="2" t="inlineStr">
        <is>
          <t>Nanoporous materials; Nano-photonics; Waveguide optics; Optical spectroscopes and microfluidics for chem/bio-sensors and medical diagnostics</t>
        </is>
      </c>
      <c r="AK50" s="2" t="inlineStr"/>
      <c r="AL50" s="2" t="inlineStr"/>
      <c r="AM50" s="2" t="inlineStr"/>
      <c r="AN50" s="2" t="inlineStr"/>
      <c r="AO50" s="2" t="inlineStr"/>
      <c r="AP50" s="2" t="inlineStr"/>
      <c r="AQ50" s="2" t="inlineStr"/>
      <c r="AR50" s="2" t="inlineStr"/>
      <c r="AS50" s="2" t="inlineStr"/>
      <c r="AT50" s="2" t="inlineStr">
        <is>
          <t>ETC 9.154</t>
        </is>
      </c>
      <c r="AU50" s="2" t="b">
        <v>1</v>
      </c>
      <c r="AV50" s="3">
        <f>HYPERLINK("https://me.utexas.edu/people/faculty", "https://me.utexas.edu/people/faculty")</f>
        <v/>
      </c>
    </row>
    <row r="51">
      <c r="A51" s="2" t="inlineStr">
        <is>
          <t>Venkat Subramanian</t>
        </is>
      </c>
      <c r="B51" s="2" t="inlineStr">
        <is>
          <t>The University of Texas at Austin</t>
        </is>
      </c>
      <c r="C51" s="3">
        <f>HYPERLINK("https://me.utexas.edu/person/venkat-subramanian/", "https://me.utexas.edu/person/venkat-subramanian/")</f>
        <v/>
      </c>
      <c r="D51" s="3">
        <f>HYPERLINK("https://scholar.google.com/citations?view_op=search_authors&amp;mauthors=Venkat%20Subramanian%20University%20of%20Texas%20at%20Austin", "Google Scholar Search")</f>
        <v/>
      </c>
      <c r="E51" s="2" t="inlineStr">
        <is>
          <t>Professor</t>
        </is>
      </c>
      <c r="F51" s="2" t="inlineStr">
        <is>
          <t>Walker Department of Mechanical Engineering</t>
        </is>
      </c>
      <c r="G51" s="2" t="inlineStr"/>
      <c r="H51" s="3">
        <f>HYPERLINK("mailto:venkat.subramanian@utexas.edu", "venkat.subramanian@utexas.edu")</f>
        <v/>
      </c>
      <c r="I51" s="2" t="n">
        <v>3</v>
      </c>
      <c r="J51" s="2" t="inlineStr">
        <is>
          <t>🟠 Tier 3: Structures / Materials / Manufacturing</t>
        </is>
      </c>
      <c r="K51" s="2" t="n">
        <v>2</v>
      </c>
      <c r="L51" s="2" t="inlineStr">
        <is>
          <t>estimation, multiscale</t>
        </is>
      </c>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is>
          <t>Multiscale simulation of electrochemical systems; Model-based battery management systems and real-time state-of-charge/real-time state-of-health estimation of lithium-ion batteries</t>
        </is>
      </c>
      <c r="AI51" s="2" t="inlineStr"/>
      <c r="AJ51" s="2" t="inlineStr">
        <is>
          <t>Multiscale simulation of electrochemical systems; Model-based battery management systems and real-time state-of-charge/real-time state-of-health estimation of lithium-ion batteries</t>
        </is>
      </c>
      <c r="AK51" s="2" t="inlineStr"/>
      <c r="AL51" s="2" t="inlineStr"/>
      <c r="AM51" s="2" t="inlineStr"/>
      <c r="AN51" s="2" t="inlineStr"/>
      <c r="AO51" s="2" t="inlineStr"/>
      <c r="AP51" s="2" t="inlineStr"/>
      <c r="AQ51" s="2" t="inlineStr"/>
      <c r="AR51" s="2" t="inlineStr"/>
      <c r="AS51" s="2" t="inlineStr"/>
      <c r="AT51" s="2" t="inlineStr">
        <is>
          <t>GLT 2.246</t>
        </is>
      </c>
      <c r="AU51" s="2" t="b">
        <v>1</v>
      </c>
      <c r="AV51" s="3">
        <f>HYPERLINK("https://me.utexas.edu/people/faculty", "https://me.utexas.edu/people/faculty")</f>
        <v/>
      </c>
    </row>
    <row r="52">
      <c r="A52" s="2" t="inlineStr">
        <is>
          <t>Chih-Hao Chang</t>
        </is>
      </c>
      <c r="B52" s="2" t="inlineStr">
        <is>
          <t>The University of Texas at Austin</t>
        </is>
      </c>
      <c r="C52" s="3">
        <f>HYPERLINK("https://me.utexas.edu/person/chih-hao-chang/", "https://me.utexas.edu/person/chih-hao-chang/")</f>
        <v/>
      </c>
      <c r="D52" s="3">
        <f>HYPERLINK("https://scholar.google.com/citations?view_op=search_authors&amp;mauthors=Chih-Hao%20Chang%20University%20of%20Texas%20at%20Austin", "Google Scholar Search")</f>
        <v/>
      </c>
      <c r="E52" s="2" t="inlineStr">
        <is>
          <t>Professor</t>
        </is>
      </c>
      <c r="F52" s="2" t="inlineStr">
        <is>
          <t>Walker Department of Mechanical Engineering</t>
        </is>
      </c>
      <c r="G52" s="2" t="inlineStr"/>
      <c r="H52" s="3">
        <f>HYPERLINK("mailto:chichang@utexas.edu", "chichang@utexas.edu")</f>
        <v/>
      </c>
      <c r="I52" s="2" t="n">
        <v>3</v>
      </c>
      <c r="J52" s="2" t="inlineStr">
        <is>
          <t>🟠 Tier 3: Structures / Materials / Manufacturing</t>
        </is>
      </c>
      <c r="K52" s="2" t="n">
        <v>1</v>
      </c>
      <c r="L52" s="2" t="inlineStr">
        <is>
          <t>materials</t>
        </is>
      </c>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is>
          <t>Nanofabrication process and nanomanufacturing; 2D/3D nanolithography and EUV lithography; Multifunctional nanostructured materials; Optical systems and metrology</t>
        </is>
      </c>
      <c r="AI52" s="2" t="inlineStr"/>
      <c r="AJ52" s="2" t="inlineStr">
        <is>
          <t>Nanofabrication process and nanomanufacturing; 2D/3D nanolithography and EUV lithography; Multifunctional nanostructured materials; Optical systems and metrology</t>
        </is>
      </c>
      <c r="AK52" s="2" t="inlineStr"/>
      <c r="AL52" s="2" t="inlineStr"/>
      <c r="AM52" s="2" t="inlineStr"/>
      <c r="AN52" s="2" t="inlineStr"/>
      <c r="AO52" s="2" t="inlineStr"/>
      <c r="AP52" s="2" t="inlineStr"/>
      <c r="AQ52" s="2" t="inlineStr"/>
      <c r="AR52" s="2" t="inlineStr"/>
      <c r="AS52" s="2" t="inlineStr"/>
      <c r="AT52" s="2" t="inlineStr">
        <is>
          <t>ETC 4.152A</t>
        </is>
      </c>
      <c r="AU52" s="2" t="b">
        <v>1</v>
      </c>
      <c r="AV52" s="3">
        <f>HYPERLINK("https://me.utexas.edu/people/faculty", "https://me.utexas.edu/people/faculty")</f>
        <v/>
      </c>
    </row>
    <row r="53">
      <c r="A53" s="2" t="inlineStr">
        <is>
          <t>David Mitlin</t>
        </is>
      </c>
      <c r="B53" s="2" t="inlineStr">
        <is>
          <t>The University of Texas at Austin</t>
        </is>
      </c>
      <c r="C53" s="3">
        <f>HYPERLINK("https://me.utexas.edu/person/david-mitlin/", "https://me.utexas.edu/person/david-mitlin/")</f>
        <v/>
      </c>
      <c r="D53" s="3">
        <f>HYPERLINK("https://scholar.google.com/citations?view_op=search_authors&amp;mauthors=David%20Mitlin%20University%20of%20Texas%20at%20Austin", "Google Scholar Search")</f>
        <v/>
      </c>
      <c r="E53" s="2" t="inlineStr">
        <is>
          <t>Professor</t>
        </is>
      </c>
      <c r="F53" s="2" t="inlineStr">
        <is>
          <t>Walker Department of Mechanical Engineering</t>
        </is>
      </c>
      <c r="G53" s="2" t="inlineStr"/>
      <c r="H53" s="3">
        <f>HYPERLINK("mailto:david.mitlin@austin.utexas.edu", "david.mitlin@austin.utexas.edu")</f>
        <v/>
      </c>
      <c r="I53" s="2" t="n">
        <v>3</v>
      </c>
      <c r="J53" s="2" t="inlineStr">
        <is>
          <t>🟠 Tier 3: Structures / Materials / Manufacturing</t>
        </is>
      </c>
      <c r="K53" s="2" t="n">
        <v>1</v>
      </c>
      <c r="L53" s="2" t="inlineStr">
        <is>
          <t>materials</t>
        </is>
      </c>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is>
          <t>Electrochemical and chemical energy storage; Thin films; Materials design; Transmission electron microscopy and corrosion</t>
        </is>
      </c>
      <c r="AI53" s="2" t="inlineStr"/>
      <c r="AJ53" s="2" t="inlineStr">
        <is>
          <t>Electrochemical and chemical energy storage; Thin films; Materials design; Transmission electron microscopy and corrosion</t>
        </is>
      </c>
      <c r="AK53" s="2" t="inlineStr"/>
      <c r="AL53" s="2" t="inlineStr"/>
      <c r="AM53" s="2" t="inlineStr"/>
      <c r="AN53" s="2" t="inlineStr"/>
      <c r="AO53" s="2" t="inlineStr"/>
      <c r="AP53" s="2" t="inlineStr"/>
      <c r="AQ53" s="2" t="inlineStr"/>
      <c r="AR53" s="2" t="inlineStr"/>
      <c r="AS53" s="2" t="inlineStr"/>
      <c r="AT53" s="2" t="inlineStr">
        <is>
          <t>GLT 2.248</t>
        </is>
      </c>
      <c r="AU53" s="2" t="b">
        <v>1</v>
      </c>
      <c r="AV53" s="3">
        <f>HYPERLINK("https://me.utexas.edu/people/faculty", "https://me.utexas.edu/people/faculty")</f>
        <v/>
      </c>
    </row>
    <row r="54">
      <c r="A54" s="2" t="inlineStr">
        <is>
          <t>Desiderio Kovar</t>
        </is>
      </c>
      <c r="B54" s="2" t="inlineStr">
        <is>
          <t>The University of Texas at Austin</t>
        </is>
      </c>
      <c r="C54" s="3">
        <f>HYPERLINK("https://me.utexas.edu/person/desiderio-kovar/", "https://me.utexas.edu/person/desiderio-kovar/")</f>
        <v/>
      </c>
      <c r="D54" s="3">
        <f>HYPERLINK("https://scholar.google.com/citations?view_op=search_authors&amp;mauthors=Desiderio%20Kovar%20University%20of%20Texas%20at%20Austin", "Google Scholar Search")</f>
        <v/>
      </c>
      <c r="E54" s="2" t="inlineStr">
        <is>
          <t>Professor</t>
        </is>
      </c>
      <c r="F54" s="2" t="inlineStr">
        <is>
          <t>Walker Department of Mechanical Engineering</t>
        </is>
      </c>
      <c r="G54" s="2" t="inlineStr"/>
      <c r="H54" s="3">
        <f>HYPERLINK("mailto:dekovar@austin.utexas.edu", "dekovar@austin.utexas.edu")</f>
        <v/>
      </c>
      <c r="I54" s="2" t="n">
        <v>3</v>
      </c>
      <c r="J54" s="2" t="inlineStr">
        <is>
          <t>🟠 Tier 3: Structures / Materials / Manufacturing</t>
        </is>
      </c>
      <c r="K54" s="2" t="n">
        <v>1</v>
      </c>
      <c r="L54" s="2" t="inlineStr">
        <is>
          <t>materials</t>
        </is>
      </c>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is>
          <t>Production and characterization of nanoparticles; Nanostructured thick films; Solid oxide fuel cells; Honeycomb ceramics; Additive manufacturing processes and materials</t>
        </is>
      </c>
      <c r="AI54" s="2" t="inlineStr"/>
      <c r="AJ54" s="2" t="inlineStr">
        <is>
          <t>Production and characterization of nanoparticles; Nanostructured thick films; Solid oxide fuel cells; Honeycomb ceramics; Additive manufacturing processes and materials</t>
        </is>
      </c>
      <c r="AK54" s="2" t="inlineStr"/>
      <c r="AL54" s="2" t="inlineStr"/>
      <c r="AM54" s="2" t="inlineStr"/>
      <c r="AN54" s="2" t="inlineStr"/>
      <c r="AO54" s="2" t="inlineStr"/>
      <c r="AP54" s="2" t="inlineStr"/>
      <c r="AQ54" s="2" t="inlineStr"/>
      <c r="AR54" s="2" t="inlineStr"/>
      <c r="AS54" s="2" t="inlineStr"/>
      <c r="AT54" s="2" t="inlineStr">
        <is>
          <t>ETC 9.146</t>
        </is>
      </c>
      <c r="AU54" s="2" t="b">
        <v>1</v>
      </c>
      <c r="AV54" s="3">
        <f>HYPERLINK("https://me.utexas.edu/people/faculty", "https://me.utexas.edu/people/faculty")</f>
        <v/>
      </c>
    </row>
    <row r="55">
      <c r="A55" s="2" t="inlineStr">
        <is>
          <t>Donald Siegel</t>
        </is>
      </c>
      <c r="B55" s="2" t="inlineStr">
        <is>
          <t>The University of Texas at Austin</t>
        </is>
      </c>
      <c r="C55" s="3">
        <f>HYPERLINK("https://me.utexas.edu/person/donald-siegel/", "https://me.utexas.edu/person/donald-siegel/")</f>
        <v/>
      </c>
      <c r="D55" s="3">
        <f>HYPERLINK("https://scholar.google.com/citations?view_op=search_authors&amp;mauthors=Donald%20Siegel%20University%20of%20Texas%20at%20Austin", "Google Scholar Search")</f>
        <v/>
      </c>
      <c r="E55" s="2" t="inlineStr">
        <is>
          <t>Department Chair and Professor</t>
        </is>
      </c>
      <c r="F55" s="2" t="inlineStr">
        <is>
          <t>Walker Department of Mechanical Engineering</t>
        </is>
      </c>
      <c r="G55" s="2" t="inlineStr"/>
      <c r="H55" s="3">
        <f>HYPERLINK("mailto:donald.siegel@austin.utexas.edu", "donald.siegel@austin.utexas.edu")</f>
        <v/>
      </c>
      <c r="I55" s="2" t="n">
        <v>3</v>
      </c>
      <c r="J55" s="2" t="inlineStr">
        <is>
          <t>🟠 Tier 3: Structures / Materials / Manufacturing</t>
        </is>
      </c>
      <c r="K55" s="2" t="n">
        <v>1</v>
      </c>
      <c r="L55" s="2" t="inlineStr">
        <is>
          <t>materials</t>
        </is>
      </c>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is>
          <t>Computational materials science; Materials for energy storage; Sustainable transportation; Materials discovery; Machine learning; Microstructural and mechanical properties</t>
        </is>
      </c>
      <c r="AI55" s="2" t="inlineStr"/>
      <c r="AJ55" s="2" t="inlineStr">
        <is>
          <t>Computational materials science; Materials for energy storage; Sustainable transportation; Materials discovery; Machine learning; Microstructural and mechanical properties</t>
        </is>
      </c>
      <c r="AK55" s="2" t="inlineStr"/>
      <c r="AL55" s="2" t="inlineStr"/>
      <c r="AM55" s="2" t="inlineStr"/>
      <c r="AN55" s="2" t="inlineStr"/>
      <c r="AO55" s="2" t="inlineStr"/>
      <c r="AP55" s="2" t="inlineStr"/>
      <c r="AQ55" s="2" t="inlineStr"/>
      <c r="AR55" s="2" t="inlineStr"/>
      <c r="AS55" s="2" t="inlineStr"/>
      <c r="AT55" s="2" t="inlineStr">
        <is>
          <t>ETC 5.208A</t>
        </is>
      </c>
      <c r="AU55" s="2" t="b">
        <v>1</v>
      </c>
      <c r="AV55" s="3">
        <f>HYPERLINK("https://me.utexas.edu/people/faculty", "https://me.utexas.edu/people/faculty")</f>
        <v/>
      </c>
    </row>
    <row r="56">
      <c r="A56" s="2" t="inlineStr">
        <is>
          <t>Filippo Mangolini</t>
        </is>
      </c>
      <c r="B56" s="2" t="inlineStr">
        <is>
          <t>The University of Texas at Austin</t>
        </is>
      </c>
      <c r="C56" s="3">
        <f>HYPERLINK("https://me.utexas.edu/person/filippo-mangolini/", "https://me.utexas.edu/person/filippo-mangolini/")</f>
        <v/>
      </c>
      <c r="D56" s="3">
        <f>HYPERLINK("https://scholar.google.com/citations?view_op=search_authors&amp;mauthors=Filippo%20Mangolini%20University%20of%20Texas%20at%20Austin", "Google Scholar Search")</f>
        <v/>
      </c>
      <c r="E56" s="2" t="inlineStr">
        <is>
          <t>Associate Professor</t>
        </is>
      </c>
      <c r="F56" s="2" t="inlineStr">
        <is>
          <t>Walker Department of Mechanical Engineering</t>
        </is>
      </c>
      <c r="G56" s="2" t="inlineStr"/>
      <c r="H56" s="3">
        <f>HYPERLINK("mailto:filippo.mangolini@austin.utexas.edu", "filippo.mangolini@austin.utexas.edu")</f>
        <v/>
      </c>
      <c r="I56" s="2" t="n">
        <v>3</v>
      </c>
      <c r="J56" s="2" t="inlineStr">
        <is>
          <t>🟠 Tier 3: Structures / Materials / Manufacturing</t>
        </is>
      </c>
      <c r="K56" s="2" t="n">
        <v>1</v>
      </c>
      <c r="L56" s="2" t="inlineStr">
        <is>
          <t>materials</t>
        </is>
      </c>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is>
          <t>Analytical investigations of surface and interfacial phenomena; Development of thin films and materials for tribological applications; Advanced surface spectroscopy (X-ray); Scanning probe microscopy</t>
        </is>
      </c>
      <c r="AI56" s="2" t="inlineStr"/>
      <c r="AJ56" s="2" t="inlineStr">
        <is>
          <t>Analytical investigations of surface and interfacial phenomena; Development of thin films and materials for tribological applications; Advanced surface spectroscopy (X-ray); Scanning probe microscopy</t>
        </is>
      </c>
      <c r="AK56" s="2" t="inlineStr"/>
      <c r="AL56" s="2" t="inlineStr"/>
      <c r="AM56" s="2" t="inlineStr"/>
      <c r="AN56" s="2" t="inlineStr"/>
      <c r="AO56" s="2" t="inlineStr"/>
      <c r="AP56" s="2" t="inlineStr"/>
      <c r="AQ56" s="2" t="inlineStr"/>
      <c r="AR56" s="2" t="inlineStr"/>
      <c r="AS56" s="2" t="inlineStr"/>
      <c r="AT56" s="2" t="inlineStr">
        <is>
          <t>ETC 9.176</t>
        </is>
      </c>
      <c r="AU56" s="2" t="b">
        <v>1</v>
      </c>
      <c r="AV56" s="3">
        <f>HYPERLINK("https://me.utexas.edu/people/faculty", "https://me.utexas.edu/people/faculty")</f>
        <v/>
      </c>
    </row>
    <row r="57">
      <c r="A57" s="2" t="inlineStr">
        <is>
          <t>Hadi Khani</t>
        </is>
      </c>
      <c r="B57" s="2" t="inlineStr">
        <is>
          <t>The University of Texas at Austin</t>
        </is>
      </c>
      <c r="C57" s="3">
        <f>HYPERLINK("https://me.utexas.edu/person/hadi-khani/", "https://me.utexas.edu/person/hadi-khani/")</f>
        <v/>
      </c>
      <c r="D57" s="3">
        <f>HYPERLINK("https://scholar.google.com/citations?view_op=search_authors&amp;mauthors=Hadi%20Khani%20University%20of%20Texas%20at%20Austin", "Google Scholar Search")</f>
        <v/>
      </c>
      <c r="E57" s="2" t="inlineStr">
        <is>
          <t>Research Assistant Professor</t>
        </is>
      </c>
      <c r="F57" s="2" t="inlineStr">
        <is>
          <t>Walker Department of Mechanical Engineering</t>
        </is>
      </c>
      <c r="G57" s="2" t="inlineStr"/>
      <c r="H57" s="3">
        <f>HYPERLINK("mailto:hadi.khani@austin.utexas.edu", "hadi.khani@austin.utexas.edu")</f>
        <v/>
      </c>
      <c r="I57" s="2" t="n">
        <v>3</v>
      </c>
      <c r="J57" s="2" t="inlineStr">
        <is>
          <t>🟠 Tier 3: Structures / Materials / Manufacturing</t>
        </is>
      </c>
      <c r="K57" s="2" t="n">
        <v>1</v>
      </c>
      <c r="L57" s="2" t="inlineStr">
        <is>
          <t>materials</t>
        </is>
      </c>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is>
          <t>Design and synthesis of polymer and inorganic materials for use in rechargeable batteries; Fast ion-conducting solid-state/gel electrolytes; Electrocatalysts; Supercapacitors</t>
        </is>
      </c>
      <c r="AI57" s="2" t="inlineStr"/>
      <c r="AJ57" s="2" t="inlineStr">
        <is>
          <t>Design and synthesis of polymer and inorganic materials for use in rechargeable batteries; Fast ion-conducting solid-state/gel electrolytes; Electrocatalysts; Supercapacitors</t>
        </is>
      </c>
      <c r="AK57" s="2" t="inlineStr"/>
      <c r="AL57" s="2" t="inlineStr"/>
      <c r="AM57" s="2" t="inlineStr"/>
      <c r="AN57" s="2" t="inlineStr"/>
      <c r="AO57" s="2" t="inlineStr"/>
      <c r="AP57" s="2" t="inlineStr"/>
      <c r="AQ57" s="2" t="inlineStr"/>
      <c r="AR57" s="2" t="inlineStr"/>
      <c r="AS57" s="2" t="inlineStr"/>
      <c r="AT57" s="2" t="inlineStr">
        <is>
          <t>ETC 9.108</t>
        </is>
      </c>
      <c r="AU57" s="2" t="b">
        <v>1</v>
      </c>
      <c r="AV57" s="3">
        <f>HYPERLINK("https://me.utexas.edu/people/faculty", "https://me.utexas.edu/people/faculty")</f>
        <v/>
      </c>
    </row>
    <row r="58">
      <c r="A58" s="2" t="inlineStr">
        <is>
          <t>Jamie Warner</t>
        </is>
      </c>
      <c r="B58" s="2" t="inlineStr">
        <is>
          <t>The University of Texas at Austin</t>
        </is>
      </c>
      <c r="C58" s="3">
        <f>HYPERLINK("https://me.utexas.edu/person/jamie-warner/", "https://me.utexas.edu/person/jamie-warner/")</f>
        <v/>
      </c>
      <c r="D58" s="3">
        <f>HYPERLINK("https://scholar.google.com/citations?view_op=search_authors&amp;mauthors=Jamie%20Warner%20University%20of%20Texas%20at%20Austin", "Google Scholar Search")</f>
        <v/>
      </c>
      <c r="E58" s="2" t="inlineStr">
        <is>
          <t>Professor</t>
        </is>
      </c>
      <c r="F58" s="2" t="inlineStr">
        <is>
          <t>Walker Department of Mechanical Engineering</t>
        </is>
      </c>
      <c r="G58" s="2" t="inlineStr"/>
      <c r="H58" s="3">
        <f>HYPERLINK("mailto:jamie.warner@austin.utexas.edu", "jamie.warner@austin.utexas.edu")</f>
        <v/>
      </c>
      <c r="I58" s="2" t="n">
        <v>3</v>
      </c>
      <c r="J58" s="2" t="inlineStr">
        <is>
          <t>🟠 Tier 3: Structures / Materials / Manufacturing</t>
        </is>
      </c>
      <c r="K58" s="2" t="n">
        <v>1</v>
      </c>
      <c r="L58" s="2" t="inlineStr">
        <is>
          <t>materials</t>
        </is>
      </c>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is>
          <t>Next generation of nanostructured materials with unique properties that will impact electronic, opto-electronic and energy applications</t>
        </is>
      </c>
      <c r="AI58" s="2" t="inlineStr"/>
      <c r="AJ58" s="2" t="inlineStr">
        <is>
          <t>Next generation of nanostructured materials with unique properties that will impact electronic, opto-electronic and energy applications</t>
        </is>
      </c>
      <c r="AK58" s="2" t="inlineStr"/>
      <c r="AL58" s="2" t="inlineStr"/>
      <c r="AM58" s="2" t="inlineStr"/>
      <c r="AN58" s="2" t="inlineStr"/>
      <c r="AO58" s="2" t="inlineStr"/>
      <c r="AP58" s="2" t="inlineStr"/>
      <c r="AQ58" s="2" t="inlineStr"/>
      <c r="AR58" s="2" t="inlineStr"/>
      <c r="AS58" s="2" t="inlineStr"/>
      <c r="AT58" s="2" t="inlineStr">
        <is>
          <t>EER 6.620</t>
        </is>
      </c>
      <c r="AU58" s="2" t="b">
        <v>1</v>
      </c>
      <c r="AV58" s="3">
        <f>HYPERLINK("https://me.utexas.edu/people/faculty", "https://me.utexas.edu/people/faculty")</f>
        <v/>
      </c>
    </row>
    <row r="59">
      <c r="A59" s="2" t="inlineStr">
        <is>
          <t>Jong-Eun "Jaden" Suh</t>
        </is>
      </c>
      <c r="B59" s="2" t="inlineStr">
        <is>
          <t>The University of Texas at Austin</t>
        </is>
      </c>
      <c r="C59" s="3">
        <f>HYPERLINK("https://ae.utexas.edu/person/jong-eun-jaden-suh/", "https://ae.utexas.edu/person/jong-eun-jaden-suh/")</f>
        <v/>
      </c>
      <c r="D59" s="3">
        <f>HYPERLINK("https://scholar.google.com/citations?view_op=search_authors&amp;mauthors=Jong-Eun%20%22Jaden%22%20Suh%20University%20of%20Texas%20at%20Austin", "Google Scholar Search")</f>
        <v/>
      </c>
      <c r="E59" s="2" t="inlineStr">
        <is>
          <t>Assistant Professor</t>
        </is>
      </c>
      <c r="F59" s="2" t="inlineStr">
        <is>
          <t>Aerospace Engineering and Engineering Mechanics</t>
        </is>
      </c>
      <c r="G59" s="2" t="inlineStr"/>
      <c r="H59" s="3">
        <f>HYPERLINK("mailto:jsuh@utexas.edu", "jsuh@utexas.edu")</f>
        <v/>
      </c>
      <c r="I59" s="2" t="n">
        <v>3</v>
      </c>
      <c r="J59" s="2" t="inlineStr">
        <is>
          <t>🟠 Tier 3: Structures / Materials / Manufacturing</t>
        </is>
      </c>
      <c r="K59" s="2" t="n">
        <v>1</v>
      </c>
      <c r="L59" s="2" t="inlineStr">
        <is>
          <t>aerospace</t>
        </is>
      </c>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is>
          <t>Nonlinear mechanics of lightweight space structures; In-space assembly and manufacturing; Origami-inspired deployable and reconfigurable structures; Intelligent and adaptive structures</t>
        </is>
      </c>
      <c r="AI59" s="2" t="inlineStr"/>
      <c r="AJ59" s="2" t="inlineStr">
        <is>
          <t>Nonlinear mechanics of lightweight space structures; In-space assembly and manufacturing; Origami-inspired deployable and reconfigurable structures; Intelligent and adaptive structures</t>
        </is>
      </c>
      <c r="AK59" s="2" t="inlineStr"/>
      <c r="AL59" s="2" t="inlineStr"/>
      <c r="AM59" s="2" t="inlineStr"/>
      <c r="AN59" s="2" t="inlineStr"/>
      <c r="AO59" s="2" t="inlineStr"/>
      <c r="AP59" s="2" t="inlineStr"/>
      <c r="AQ59" s="2" t="inlineStr"/>
      <c r="AR59" s="2" t="inlineStr"/>
      <c r="AS59" s="2" t="inlineStr"/>
      <c r="AT59" s="2" t="inlineStr">
        <is>
          <t>ASE 5.208</t>
        </is>
      </c>
      <c r="AU59" s="2" t="b">
        <v>1</v>
      </c>
      <c r="AV59" s="3">
        <f>HYPERLINK("https://ae.utexas.edu/people/faculty", "https://ae.utexas.edu/people/faculty")</f>
        <v/>
      </c>
    </row>
    <row r="60">
      <c r="A60" s="2" t="inlineStr">
        <is>
          <t>Joseph Koo</t>
        </is>
      </c>
      <c r="B60" s="2" t="inlineStr">
        <is>
          <t>The University of Texas at Austin</t>
        </is>
      </c>
      <c r="C60" s="3">
        <f>HYPERLINK("https://me.utexas.edu/person/joseph-koo/", "https://me.utexas.edu/person/joseph-koo/")</f>
        <v/>
      </c>
      <c r="D60" s="3">
        <f>HYPERLINK("https://scholar.google.com/citations?view_op=search_authors&amp;mauthors=Joseph%20Koo%20University%20of%20Texas%20at%20Austin", "Google Scholar Search")</f>
        <v/>
      </c>
      <c r="E60" s="2" t="inlineStr">
        <is>
          <t>Senior Research Scientist</t>
        </is>
      </c>
      <c r="F60" s="2" t="inlineStr">
        <is>
          <t>Walker Department of Mechanical Engineering</t>
        </is>
      </c>
      <c r="G60" s="2" t="inlineStr"/>
      <c r="H60" s="3">
        <f>HYPERLINK("mailto:jkoo@austin.utexas.edu", "jkoo@austin.utexas.edu")</f>
        <v/>
      </c>
      <c r="I60" s="2" t="n">
        <v>3</v>
      </c>
      <c r="J60" s="2" t="inlineStr">
        <is>
          <t>🟠 Tier 3: Structures / Materials / Manufacturing</t>
        </is>
      </c>
      <c r="K60" s="2" t="n">
        <v>1</v>
      </c>
      <c r="L60" s="2" t="inlineStr">
        <is>
          <t>composites</t>
        </is>
      </c>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is>
          <t>Polymer nanocomposites technology designed for extreme environments; Ablation; Flame-retardant polymers; Conductive polymers</t>
        </is>
      </c>
      <c r="AI60" s="2" t="inlineStr"/>
      <c r="AJ60" s="2" t="inlineStr">
        <is>
          <t>Polymer nanocomposites technology designed for extreme environments; Ablation; Flame-retardant polymers; Conductive polymers</t>
        </is>
      </c>
      <c r="AK60" s="2" t="inlineStr"/>
      <c r="AL60" s="2" t="inlineStr"/>
      <c r="AM60" s="2" t="inlineStr"/>
      <c r="AN60" s="2" t="inlineStr"/>
      <c r="AO60" s="2" t="inlineStr"/>
      <c r="AP60" s="2" t="inlineStr"/>
      <c r="AQ60" s="2" t="inlineStr"/>
      <c r="AR60" s="2" t="inlineStr"/>
      <c r="AS60" s="2" t="inlineStr"/>
      <c r="AT60" s="2" t="inlineStr"/>
      <c r="AU60" s="2" t="b">
        <v>1</v>
      </c>
      <c r="AV60" s="3">
        <f>HYPERLINK("https://me.utexas.edu/people/faculty", "https://me.utexas.edu/people/faculty")</f>
        <v/>
      </c>
    </row>
    <row r="61">
      <c r="A61" s="2" t="inlineStr">
        <is>
          <t>Mark Raizen</t>
        </is>
      </c>
      <c r="B61" s="2" t="inlineStr">
        <is>
          <t>The University of Texas at Austin</t>
        </is>
      </c>
      <c r="C61" s="3">
        <f>HYPERLINK("https://physics.utexas.edu/directory/mark-raizen", "https://physics.utexas.edu/directory/mark-raizen")</f>
        <v/>
      </c>
      <c r="D61" s="3">
        <f>HYPERLINK("https://scholar.google.com/citations?view_op=search_authors&amp;mauthors=Mark%20Raizen%20University%20of%20Texas%20at%20Austin", "Google Scholar Search")</f>
        <v/>
      </c>
      <c r="E61" s="2" t="inlineStr">
        <is>
          <t>Professor</t>
        </is>
      </c>
      <c r="F61" s="2" t="inlineStr">
        <is>
          <t>Walker Department of Mechanical Engineering</t>
        </is>
      </c>
      <c r="G61" s="2" t="inlineStr"/>
      <c r="H61" s="3">
        <f>HYPERLINK("mailto:raizen@physics.utexas.edu", "raizen@physics.utexas.edu")</f>
        <v/>
      </c>
      <c r="I61" s="2" t="n">
        <v>3</v>
      </c>
      <c r="J61" s="2" t="inlineStr">
        <is>
          <t>🟠 Tier 3: Structures / Materials / Manufacturing</t>
        </is>
      </c>
      <c r="K61" s="2" t="n">
        <v>1</v>
      </c>
      <c r="L61" s="2" t="inlineStr">
        <is>
          <t>materials</t>
        </is>
      </c>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is>
          <t>Experimental atom optics; Generation of scalable quantum entanglement; Comprehensive control of atomic and molecular motion; Trapping of atomic hydrogen isotopes; Applications to new materials and processes; Optical trapping and cooling of glass microspheres</t>
        </is>
      </c>
      <c r="AI61" s="2" t="inlineStr"/>
      <c r="AJ61" s="2" t="inlineStr">
        <is>
          <t>Experimental atom optics; Generation of scalable quantum entanglement; Comprehensive control of atomic and molecular motion; Trapping of atomic hydrogen isotopes; Applications to new materials and processes; Optical trapping and cooling of glass microspheres</t>
        </is>
      </c>
      <c r="AK61" s="2" t="inlineStr"/>
      <c r="AL61" s="2" t="inlineStr"/>
      <c r="AM61" s="2" t="inlineStr"/>
      <c r="AN61" s="2" t="inlineStr"/>
      <c r="AO61" s="2" t="inlineStr"/>
      <c r="AP61" s="2" t="inlineStr"/>
      <c r="AQ61" s="2" t="inlineStr"/>
      <c r="AR61" s="2" t="inlineStr"/>
      <c r="AS61" s="2" t="inlineStr"/>
      <c r="AT61" s="2" t="inlineStr">
        <is>
          <t>PMA 7.218</t>
        </is>
      </c>
      <c r="AU61" s="2" t="b">
        <v>1</v>
      </c>
      <c r="AV61" s="3">
        <f>HYPERLINK("https://me.utexas.edu/people/faculty", "https://me.utexas.edu/people/faculty")</f>
        <v/>
      </c>
    </row>
    <row r="62">
      <c r="A62" s="2" t="inlineStr">
        <is>
          <t>Wei Li</t>
        </is>
      </c>
      <c r="B62" s="2" t="inlineStr">
        <is>
          <t>The University of Texas at Austin</t>
        </is>
      </c>
      <c r="C62" s="3">
        <f>HYPERLINK("https://me.utexas.edu/person/wei-li/", "https://me.utexas.edu/person/wei-li/")</f>
        <v/>
      </c>
      <c r="D62" s="3">
        <f>HYPERLINK("https://scholar.google.com/citations?view_op=search_authors&amp;mauthors=Wei%20Li%20University%20of%20Texas%20at%20Austin", "Google Scholar Search")</f>
        <v/>
      </c>
      <c r="E62" s="2" t="inlineStr">
        <is>
          <t>Professor</t>
        </is>
      </c>
      <c r="F62" s="2" t="inlineStr">
        <is>
          <t>Walker Department of Mechanical Engineering</t>
        </is>
      </c>
      <c r="G62" s="2" t="inlineStr"/>
      <c r="H62" s="3">
        <f>HYPERLINK("mailto:weiwli@austin.utexas.edu", "weiwli@austin.utexas.edu")</f>
        <v/>
      </c>
      <c r="I62" s="2" t="n">
        <v>3</v>
      </c>
      <c r="J62" s="2" t="inlineStr">
        <is>
          <t>🟠 Tier 3: Structures / Materials / Manufacturing</t>
        </is>
      </c>
      <c r="K62" s="2" t="n">
        <v>1</v>
      </c>
      <c r="L62" s="2" t="inlineStr">
        <is>
          <t>composites</t>
        </is>
      </c>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is>
          <t>Roll-to-roll manufacturing; Polymer nanofoam and nanocomposites; In-vitro tissue model systems; Clean energy technology</t>
        </is>
      </c>
      <c r="AI62" s="2" t="inlineStr"/>
      <c r="AJ62" s="2" t="inlineStr">
        <is>
          <t>Roll-to-roll manufacturing; Polymer nanofoam and nanocomposites; In-vitro tissue model systems; Clean energy technology</t>
        </is>
      </c>
      <c r="AK62" s="2" t="inlineStr"/>
      <c r="AL62" s="2" t="inlineStr"/>
      <c r="AM62" s="2" t="inlineStr"/>
      <c r="AN62" s="2" t="inlineStr"/>
      <c r="AO62" s="2" t="inlineStr"/>
      <c r="AP62" s="2" t="inlineStr"/>
      <c r="AQ62" s="2" t="inlineStr"/>
      <c r="AR62" s="2" t="inlineStr"/>
      <c r="AS62" s="2" t="inlineStr"/>
      <c r="AT62" s="2" t="inlineStr">
        <is>
          <t>ETC 4.146B</t>
        </is>
      </c>
      <c r="AU62" s="2" t="b">
        <v>1</v>
      </c>
      <c r="AV62" s="3">
        <f>HYPERLINK("https://me.utexas.edu/people/faculty", "https://me.utexas.edu/people/faculty")</f>
        <v/>
      </c>
    </row>
    <row r="63">
      <c r="A63" s="2" t="inlineStr">
        <is>
          <t>Yuanyue Liu</t>
        </is>
      </c>
      <c r="B63" s="2" t="inlineStr">
        <is>
          <t>The University of Texas at Austin</t>
        </is>
      </c>
      <c r="C63" s="3">
        <f>HYPERLINK("https://me.utexas.edu/person/yuanyue-liu/", "https://me.utexas.edu/person/yuanyue-liu/")</f>
        <v/>
      </c>
      <c r="D63" s="3">
        <f>HYPERLINK("https://scholar.google.com/citations?view_op=search_authors&amp;mauthors=Yuanyue%20Liu%20University%20of%20Texas%20at%20Austin", "Google Scholar Search")</f>
        <v/>
      </c>
      <c r="E63" s="2" t="inlineStr">
        <is>
          <t>Associate Professor</t>
        </is>
      </c>
      <c r="F63" s="2" t="inlineStr">
        <is>
          <t>Walker Department of Mechanical Engineering</t>
        </is>
      </c>
      <c r="G63" s="2" t="inlineStr"/>
      <c r="H63" s="3">
        <f>HYPERLINK("mailto:yuanyue.liu@austin.utexas.edu", "yuanyue.liu@austin.utexas.edu")</f>
        <v/>
      </c>
      <c r="I63" s="2" t="n">
        <v>3</v>
      </c>
      <c r="J63" s="2" t="inlineStr">
        <is>
          <t>🟠 Tier 3: Structures / Materials / Manufacturing</t>
        </is>
      </c>
      <c r="K63" s="2" t="n">
        <v>1</v>
      </c>
      <c r="L63" s="2" t="inlineStr">
        <is>
          <t>materials</t>
        </is>
      </c>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is>
          <t>Atomistic modeling methods to understand, design and discover materials for electronics and energy applications; Charge transport; Electrochemistry; 2D materials</t>
        </is>
      </c>
      <c r="AI63" s="2" t="inlineStr"/>
      <c r="AJ63" s="2" t="inlineStr">
        <is>
          <t>Atomistic modeling methods to understand, design and discover materials for electronics and energy applications; Charge transport; Electrochemistry; 2D materials</t>
        </is>
      </c>
      <c r="AK63" s="2" t="inlineStr"/>
      <c r="AL63" s="2" t="inlineStr"/>
      <c r="AM63" s="2" t="inlineStr"/>
      <c r="AN63" s="2" t="inlineStr"/>
      <c r="AO63" s="2" t="inlineStr"/>
      <c r="AP63" s="2" t="inlineStr"/>
      <c r="AQ63" s="2" t="inlineStr"/>
      <c r="AR63" s="2" t="inlineStr"/>
      <c r="AS63" s="2" t="inlineStr"/>
      <c r="AT63" s="2" t="inlineStr">
        <is>
          <t>ETC 9.168</t>
        </is>
      </c>
      <c r="AU63" s="2" t="b">
        <v>1</v>
      </c>
      <c r="AV63" s="3">
        <f>HYPERLINK("https://me.utexas.edu/people/faculty", "https://me.utexas.edu/people/faculty")</f>
        <v/>
      </c>
    </row>
    <row r="64">
      <c r="A64" s="2" t="inlineStr">
        <is>
          <t>Zhantao Chen</t>
        </is>
      </c>
      <c r="B64" s="2" t="inlineStr">
        <is>
          <t>The University of Texas at Austin</t>
        </is>
      </c>
      <c r="C64" s="3">
        <f>HYPERLINK("https://me.utexas.edu/person/zhantao-chen/", "https://me.utexas.edu/person/zhantao-chen/")</f>
        <v/>
      </c>
      <c r="D64" s="3">
        <f>HYPERLINK("https://scholar.google.com/citations?view_op=search_authors&amp;mauthors=Zhantao%20Chen%20University%20of%20Texas%20at%20Austin", "Google Scholar Search")</f>
        <v/>
      </c>
      <c r="E64" s="2" t="inlineStr">
        <is>
          <t>Assistant Professor</t>
        </is>
      </c>
      <c r="F64" s="2" t="inlineStr">
        <is>
          <t>Walker Department of Mechanical Engineering</t>
        </is>
      </c>
      <c r="G64" s="2" t="inlineStr"/>
      <c r="H64" s="3">
        <f>HYPERLINK("mailto:zhantao@austin.utexas.edu", "zhantao@austin.utexas.edu")</f>
        <v/>
      </c>
      <c r="I64" s="2" t="n">
        <v>3</v>
      </c>
      <c r="J64" s="2" t="inlineStr">
        <is>
          <t>🟠 Tier 3: Structures / Materials / Manufacturing</t>
        </is>
      </c>
      <c r="K64" s="2" t="n">
        <v>1</v>
      </c>
      <c r="L64" s="2" t="inlineStr">
        <is>
          <t>materials</t>
        </is>
      </c>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is>
          <t>Computational materials science; AI for science; Agentic AI for scientific discovery; Neutron and x-ray scattering; Inverse problems</t>
        </is>
      </c>
      <c r="AI64" s="2" t="inlineStr"/>
      <c r="AJ64" s="2" t="inlineStr">
        <is>
          <t>Computational materials science; AI for science; Agentic AI for scientific discovery; Neutron and x-ray scattering; Inverse problems</t>
        </is>
      </c>
      <c r="AK64" s="2" t="inlineStr"/>
      <c r="AL64" s="2" t="inlineStr"/>
      <c r="AM64" s="2" t="inlineStr"/>
      <c r="AN64" s="2" t="inlineStr"/>
      <c r="AO64" s="2" t="inlineStr"/>
      <c r="AP64" s="2" t="inlineStr"/>
      <c r="AQ64" s="2" t="inlineStr"/>
      <c r="AR64" s="2" t="inlineStr"/>
      <c r="AS64" s="2" t="inlineStr"/>
      <c r="AT64" s="2" t="inlineStr">
        <is>
          <t>EER 6.614B</t>
        </is>
      </c>
      <c r="AU64" s="2" t="b">
        <v>1</v>
      </c>
      <c r="AV64" s="3">
        <f>HYPERLINK("https://me.utexas.edu/people/faculty", "https://me.utexas.edu/people/faculty")</f>
        <v/>
      </c>
    </row>
    <row r="65">
      <c r="A65" s="2" t="inlineStr">
        <is>
          <t>Ryan Russell</t>
        </is>
      </c>
      <c r="B65" s="2" t="inlineStr">
        <is>
          <t>The University of Texas at Austin</t>
        </is>
      </c>
      <c r="C65" s="3">
        <f>HYPERLINK("https://ae.utexas.edu/person/ryan-russell/", "https://ae.utexas.edu/person/ryan-russell/")</f>
        <v/>
      </c>
      <c r="D65" s="3">
        <f>HYPERLINK("https://scholar.google.com/citations?view_op=search_authors&amp;mauthors=Ryan%20Russell%20University%20of%20Texas%20at%20Austin", "Google Scholar Search")</f>
        <v/>
      </c>
      <c r="E65" s="2" t="inlineStr">
        <is>
          <t>Professor</t>
        </is>
      </c>
      <c r="F65" s="2" t="inlineStr">
        <is>
          <t>Aerospace Engineering and Engineering Mechanics</t>
        </is>
      </c>
      <c r="G65" s="2" t="inlineStr"/>
      <c r="H65" s="3">
        <f>HYPERLINK("mailto:ryan.russell@austin.utexas.edu", "ryan.russell@austin.utexas.edu")</f>
        <v/>
      </c>
      <c r="I65" s="2" t="n">
        <v>4</v>
      </c>
      <c r="J65" s="2" t="inlineStr">
        <is>
          <t>🔴 Tier 4: Robotics / Controls / Autonomy</t>
        </is>
      </c>
      <c r="K65" s="2" t="n">
        <v>7</v>
      </c>
      <c r="L65" s="2" t="inlineStr">
        <is>
          <t>aerospace, astrodynamics, estimation, numerical methods, optimal control, orbital mechanics, spacecraft</t>
        </is>
      </c>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is>
          <t>Astrodynamics and orbital mechanics; Numerical methods applied to astrodynamics; Orbit estimation, filtering theories and applications; Optimal control of nonlinear systems; Third-body, perturbation dynamics; Spacecraft trajectory designs and design methods</t>
        </is>
      </c>
      <c r="AI65" s="2" t="inlineStr"/>
      <c r="AJ65" s="2" t="inlineStr">
        <is>
          <t>Astrodynamics and orbital mechanics; Numerical methods applied to astrodynamics; Orbit estimation, filtering theories and applications; Optimal control of nonlinear systems; Third-body, perturbation dynamics; Spacecraft trajectory designs and design methods</t>
        </is>
      </c>
      <c r="AK65" s="2" t="inlineStr"/>
      <c r="AL65" s="2" t="inlineStr"/>
      <c r="AM65" s="2" t="inlineStr"/>
      <c r="AN65" s="2" t="inlineStr"/>
      <c r="AO65" s="2" t="inlineStr"/>
      <c r="AP65" s="2" t="inlineStr"/>
      <c r="AQ65" s="2" t="inlineStr"/>
      <c r="AR65" s="2" t="inlineStr"/>
      <c r="AS65" s="2" t="inlineStr"/>
      <c r="AT65" s="2" t="inlineStr">
        <is>
          <t>ASE 3.216</t>
        </is>
      </c>
      <c r="AU65" s="2" t="b">
        <v>1</v>
      </c>
      <c r="AV65" s="3">
        <f>HYPERLINK("https://ae.utexas.edu/people/faculty", "https://ae.utexas.edu/people/faculty")</f>
        <v/>
      </c>
    </row>
    <row r="66">
      <c r="A66" s="2" t="inlineStr">
        <is>
          <t>Efstathios Bakolas</t>
        </is>
      </c>
      <c r="B66" s="2" t="inlineStr">
        <is>
          <t>The University of Texas at Austin</t>
        </is>
      </c>
      <c r="C66" s="3">
        <f>HYPERLINK("https://ae.utexas.edu/person/efstathios-bakolas/", "https://ae.utexas.edu/person/efstathios-bakolas/")</f>
        <v/>
      </c>
      <c r="D66" s="3">
        <f>HYPERLINK("https://scholar.google.com/citations?view_op=search_authors&amp;mauthors=Efstathios%20Bakolas%20University%20of%20Texas%20at%20Austin", "Google Scholar Search")</f>
        <v/>
      </c>
      <c r="E66" s="2" t="inlineStr">
        <is>
          <t>Professor</t>
        </is>
      </c>
      <c r="F66" s="2" t="inlineStr">
        <is>
          <t>Aerospace Engineering and Engineering Mechanics</t>
        </is>
      </c>
      <c r="G66" s="2" t="inlineStr"/>
      <c r="H66" s="3">
        <f>HYPERLINK("mailto:bakolas@austin.utexas.edu", "bakolas@austin.utexas.edu")</f>
        <v/>
      </c>
      <c r="I66" s="2" t="n">
        <v>4</v>
      </c>
      <c r="J66" s="2" t="inlineStr">
        <is>
          <t>🔴 Tier 4: Robotics / Controls / Autonomy</t>
        </is>
      </c>
      <c r="K66" s="2" t="n">
        <v>6</v>
      </c>
      <c r="L66" s="2" t="inlineStr">
        <is>
          <t>aerospace, autonomous, control theory, motion planning, nonlinear control, robot</t>
        </is>
      </c>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is>
          <t>Systems and control theory; Optimal, stochastic and nonlinear control; Differential/dynamic game theory; Motion planning for robotic systems and autonomous vehicles; Multi-agent networks</t>
        </is>
      </c>
      <c r="AI66" s="2" t="inlineStr"/>
      <c r="AJ66" s="2" t="inlineStr">
        <is>
          <t>Systems and control theory; Optimal, stochastic and nonlinear control; Differential/dynamic game theory; Motion planning for robotic systems and autonomous vehicles; Multi-agent networks</t>
        </is>
      </c>
      <c r="AK66" s="2" t="inlineStr"/>
      <c r="AL66" s="2" t="inlineStr"/>
      <c r="AM66" s="2" t="inlineStr"/>
      <c r="AN66" s="2" t="inlineStr"/>
      <c r="AO66" s="2" t="inlineStr"/>
      <c r="AP66" s="2" t="inlineStr"/>
      <c r="AQ66" s="2" t="inlineStr"/>
      <c r="AR66" s="2" t="inlineStr"/>
      <c r="AS66" s="2" t="inlineStr"/>
      <c r="AT66" s="2" t="inlineStr">
        <is>
          <t>ASE 4.232</t>
        </is>
      </c>
      <c r="AU66" s="2" t="b">
        <v>1</v>
      </c>
      <c r="AV66" s="3">
        <f>HYPERLINK("https://ae.utexas.edu/people/faculty", "https://ae.utexas.edu/people/faculty")</f>
        <v/>
      </c>
    </row>
    <row r="67">
      <c r="A67" s="2" t="inlineStr">
        <is>
          <t>Ethan Burnett</t>
        </is>
      </c>
      <c r="B67" s="2" t="inlineStr">
        <is>
          <t>The University of Texas at Austin</t>
        </is>
      </c>
      <c r="C67" s="3">
        <f>HYPERLINK("https://ae.utexas.edu/person/ethan-burnett/", "https://ae.utexas.edu/person/ethan-burnett/")</f>
        <v/>
      </c>
      <c r="D67" s="3">
        <f>HYPERLINK("https://scholar.google.com/citations?view_op=search_authors&amp;mauthors=Ethan%20Burnett%20University%20of%20Texas%20at%20Austin", "Google Scholar Search")</f>
        <v/>
      </c>
      <c r="E67" s="2" t="inlineStr">
        <is>
          <t xml:space="preserve">Assistant Professor </t>
        </is>
      </c>
      <c r="F67" s="2" t="inlineStr">
        <is>
          <t>Aerospace Engineering and Engineering Mechanics</t>
        </is>
      </c>
      <c r="G67" s="2" t="inlineStr"/>
      <c r="H67" s="3">
        <f>HYPERLINK("mailto:ethan.burnett@utexas.edu", "ethan.burnett@utexas.edu")</f>
        <v/>
      </c>
      <c r="I67" s="2" t="n">
        <v>4</v>
      </c>
      <c r="J67" s="2" t="inlineStr">
        <is>
          <t>🔴 Tier 4: Robotics / Controls / Autonomy</t>
        </is>
      </c>
      <c r="K67" s="2" t="n">
        <v>6</v>
      </c>
      <c r="L67" s="2" t="inlineStr">
        <is>
          <t>aerospace, astrodynamics, guidance, numerical methods, optimal control, spacecraft</t>
        </is>
      </c>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is>
          <t>Nonlinear systems; Optimization and optimal control; Computation and numerical methods; Spacecraft guidance, control and astrodynamics; Planetary dynamics and space science</t>
        </is>
      </c>
      <c r="AI67" s="2" t="inlineStr"/>
      <c r="AJ67" s="2" t="inlineStr">
        <is>
          <t>Nonlinear systems; Optimization and optimal control; Computation and numerical methods; Spacecraft guidance, control and astrodynamics; Planetary dynamics and space science</t>
        </is>
      </c>
      <c r="AK67" s="2" t="inlineStr"/>
      <c r="AL67" s="2" t="inlineStr"/>
      <c r="AM67" s="2" t="inlineStr"/>
      <c r="AN67" s="2" t="inlineStr"/>
      <c r="AO67" s="2" t="inlineStr"/>
      <c r="AP67" s="2" t="inlineStr"/>
      <c r="AQ67" s="2" t="inlineStr"/>
      <c r="AR67" s="2" t="inlineStr"/>
      <c r="AS67" s="2" t="inlineStr"/>
      <c r="AT67" s="2" t="inlineStr">
        <is>
          <t>ASE 4.230</t>
        </is>
      </c>
      <c r="AU67" s="2" t="b">
        <v>1</v>
      </c>
      <c r="AV67" s="3">
        <f>HYPERLINK("https://ae.utexas.edu/people/faculty", "https://ae.utexas.edu/people/faculty")</f>
        <v/>
      </c>
    </row>
    <row r="68">
      <c r="A68" s="2" t="inlineStr">
        <is>
          <t>Renato Zanetti</t>
        </is>
      </c>
      <c r="B68" s="2" t="inlineStr">
        <is>
          <t>The University of Texas at Austin</t>
        </is>
      </c>
      <c r="C68" s="3">
        <f>HYPERLINK("https://ae.utexas.edu/person/renato-zanetti/", "https://ae.utexas.edu/person/renato-zanetti/")</f>
        <v/>
      </c>
      <c r="D68" s="3">
        <f>HYPERLINK("https://scholar.google.com/citations?view_op=search_authors&amp;mauthors=Renato%20Zanetti%20University%20of%20Texas%20at%20Austin", "Google Scholar Search")</f>
        <v/>
      </c>
      <c r="E68" s="2" t="inlineStr">
        <is>
          <t>Associate Professor</t>
        </is>
      </c>
      <c r="F68" s="2" t="inlineStr">
        <is>
          <t>Aerospace Engineering and Engineering Mechanics</t>
        </is>
      </c>
      <c r="G68" s="2" t="inlineStr"/>
      <c r="H68" s="3">
        <f>HYPERLINK("mailto:renato@utexas.edu", "renato@utexas.edu")</f>
        <v/>
      </c>
      <c r="I68" s="2" t="n">
        <v>4</v>
      </c>
      <c r="J68" s="2" t="inlineStr">
        <is>
          <t>🔴 Tier 4: Robotics / Controls / Autonomy</t>
        </is>
      </c>
      <c r="K68" s="2" t="n">
        <v>5</v>
      </c>
      <c r="L68" s="2" t="inlineStr">
        <is>
          <t>aerospace, autonomous, estimation, navigation, spacecraft</t>
        </is>
      </c>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is>
          <t>Stochastic estimation of non-linear/non-Gaussian dynamical systems; GNC of autonomous systems; Spacecraft attitude dynamics, determination, and control; Simulation of large, complex dynamical systems; Vision-based navigation; Sensor fusion, sensor technology, and sensor utilization planning</t>
        </is>
      </c>
      <c r="AI68" s="2" t="inlineStr"/>
      <c r="AJ68" s="2" t="inlineStr">
        <is>
          <t>Stochastic estimation of non-linear/non-Gaussian dynamical systems; GNC of autonomous systems; Spacecraft attitude dynamics, determination, and control; Simulation of large, complex dynamical systems; Vision-based navigation; Sensor fusion, sensor technology, and sensor utilization planning</t>
        </is>
      </c>
      <c r="AK68" s="2" t="inlineStr"/>
      <c r="AL68" s="2" t="inlineStr"/>
      <c r="AM68" s="2" t="inlineStr"/>
      <c r="AN68" s="2" t="inlineStr"/>
      <c r="AO68" s="2" t="inlineStr"/>
      <c r="AP68" s="2" t="inlineStr"/>
      <c r="AQ68" s="2" t="inlineStr"/>
      <c r="AR68" s="2" t="inlineStr"/>
      <c r="AS68" s="2" t="inlineStr"/>
      <c r="AT68" s="2" t="inlineStr">
        <is>
          <t>ASE 3.210</t>
        </is>
      </c>
      <c r="AU68" s="2" t="b">
        <v>1</v>
      </c>
      <c r="AV68" s="3">
        <f>HYPERLINK("https://ae.utexas.edu/people/faculty", "https://ae.utexas.edu/people/faculty")</f>
        <v/>
      </c>
    </row>
    <row r="69">
      <c r="A69" s="2" t="inlineStr">
        <is>
          <t>Srinivas Bettadpur</t>
        </is>
      </c>
      <c r="B69" s="2" t="inlineStr">
        <is>
          <t>The University of Texas at Austin</t>
        </is>
      </c>
      <c r="C69" s="3">
        <f>HYPERLINK("https://ae.utexas.edu/person/srinivas-v-bettadpur/", "https://ae.utexas.edu/person/srinivas-v-bettadpur/")</f>
        <v/>
      </c>
      <c r="D69" s="3">
        <f>HYPERLINK("https://scholar.google.com/citations?view_op=search_authors&amp;mauthors=Srinivas%20Bettadpur%20University%20of%20Texas%20at%20Austin", "Google Scholar Search")</f>
        <v/>
      </c>
      <c r="E69" s="2" t="inlineStr">
        <is>
          <t>Professor</t>
        </is>
      </c>
      <c r="F69" s="2" t="inlineStr">
        <is>
          <t>Aerospace Engineering and Engineering Mechanics</t>
        </is>
      </c>
      <c r="G69" s="2" t="inlineStr"/>
      <c r="H69" s="3">
        <f>HYPERLINK("mailto:srinivas@csr.utexas.edu", "srinivas@csr.utexas.edu")</f>
        <v/>
      </c>
      <c r="I69" s="2" t="n">
        <v>4</v>
      </c>
      <c r="J69" s="2" t="inlineStr">
        <is>
          <t>🔴 Tier 4: Robotics / Controls / Autonomy</t>
        </is>
      </c>
      <c r="K69" s="2" t="n">
        <v>5</v>
      </c>
      <c r="L69" s="2" t="inlineStr">
        <is>
          <t>aerospace, numerical methods, orbital mechanics, satellite, spacecraft</t>
        </is>
      </c>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is>
          <t>Satellite Geodesy (determination and interpretation of gravity field and reference frames in Earth-Moon space); Engineering &amp;amp; Spaceflight (spacecraft and mission design, technology infusion and quantum in space applications); Orbital Mechanics (modeling and precise orbit determination); Data analytics and numerical methods, including geodesy-informed machine learning.</t>
        </is>
      </c>
      <c r="AI69" s="2" t="inlineStr"/>
      <c r="AJ69" s="2" t="inlineStr">
        <is>
          <t>Satellite Geodesy (determination and interpretation of gravity field and reference frames in Earth-Moon space); Engineering &amp;amp; Spaceflight (spacecraft and mission design, technology infusion and quantum in space applications); Orbital Mechanics (modeling and precise orbit determination); Data analytics and numerical methods, including geodesy-informed machine learning.</t>
        </is>
      </c>
      <c r="AK69" s="2" t="inlineStr"/>
      <c r="AL69" s="2" t="inlineStr"/>
      <c r="AM69" s="2" t="inlineStr"/>
      <c r="AN69" s="2" t="inlineStr"/>
      <c r="AO69" s="2" t="inlineStr"/>
      <c r="AP69" s="2" t="inlineStr"/>
      <c r="AQ69" s="2" t="inlineStr"/>
      <c r="AR69" s="2" t="inlineStr"/>
      <c r="AS69" s="2" t="inlineStr"/>
      <c r="AT69" s="2" t="inlineStr">
        <is>
          <t>ASE 3.212</t>
        </is>
      </c>
      <c r="AU69" s="2" t="b">
        <v>1</v>
      </c>
      <c r="AV69" s="3">
        <f>HYPERLINK("https://ae.utexas.edu/people/faculty", "https://ae.utexas.edu/people/faculty")</f>
        <v/>
      </c>
    </row>
    <row r="70">
      <c r="A70" s="2" t="inlineStr">
        <is>
          <t>Brandon Jones</t>
        </is>
      </c>
      <c r="B70" s="2" t="inlineStr">
        <is>
          <t>The University of Texas at Austin</t>
        </is>
      </c>
      <c r="C70" s="3">
        <f>HYPERLINK("https://ae.utexas.edu/person/brandon-jones/", "https://ae.utexas.edu/person/brandon-jones/")</f>
        <v/>
      </c>
      <c r="D70" s="3">
        <f>HYPERLINK("https://scholar.google.com/citations?view_op=search_authors&amp;mauthors=Brandon%20Jones%20University%20of%20Texas%20at%20Austin", "Google Scholar Search")</f>
        <v/>
      </c>
      <c r="E70" s="2" t="inlineStr">
        <is>
          <t>Associate Professor</t>
        </is>
      </c>
      <c r="F70" s="2" t="inlineStr">
        <is>
          <t>Aerospace Engineering and Engineering Mechanics</t>
        </is>
      </c>
      <c r="G70" s="2" t="inlineStr"/>
      <c r="H70" s="3">
        <f>HYPERLINK("mailto:brandon.jones@utexas.edu", "brandon.jones@utexas.edu")</f>
        <v/>
      </c>
      <c r="I70" s="2" t="n">
        <v>4</v>
      </c>
      <c r="J70" s="2" t="inlineStr">
        <is>
          <t>🔴 Tier 4: Robotics / Controls / Autonomy</t>
        </is>
      </c>
      <c r="K70" s="2" t="n">
        <v>4</v>
      </c>
      <c r="L70" s="2" t="inlineStr">
        <is>
          <t>aerospace, navigation, numerical methods, satellite</t>
        </is>
      </c>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is>
          <t>Orbit state and uncertainty propagation; Multi-target, multi-sensor tracking and filtering; Space situational awareness; Satellite navigation; Numerical methods and modeling</t>
        </is>
      </c>
      <c r="AI70" s="2" t="inlineStr"/>
      <c r="AJ70" s="2" t="inlineStr">
        <is>
          <t>Orbit state and uncertainty propagation; Multi-target, multi-sensor tracking and filtering; Space situational awareness; Satellite navigation; Numerical methods and modeling</t>
        </is>
      </c>
      <c r="AK70" s="2" t="inlineStr"/>
      <c r="AL70" s="2" t="inlineStr"/>
      <c r="AM70" s="2" t="inlineStr"/>
      <c r="AN70" s="2" t="inlineStr"/>
      <c r="AO70" s="2" t="inlineStr"/>
      <c r="AP70" s="2" t="inlineStr"/>
      <c r="AQ70" s="2" t="inlineStr"/>
      <c r="AR70" s="2" t="inlineStr"/>
      <c r="AS70" s="2" t="inlineStr"/>
      <c r="AT70" s="2" t="inlineStr">
        <is>
          <t>ASE 3.230</t>
        </is>
      </c>
      <c r="AU70" s="2" t="b">
        <v>1</v>
      </c>
      <c r="AV70" s="3">
        <f>HYPERLINK("https://ae.utexas.edu/people/faculty", "https://ae.utexas.edu/people/faculty")</f>
        <v/>
      </c>
    </row>
    <row r="71">
      <c r="A71" s="2" t="inlineStr">
        <is>
          <t>David Fridovich-Keil</t>
        </is>
      </c>
      <c r="B71" s="2" t="inlineStr">
        <is>
          <t>The University of Texas at Austin</t>
        </is>
      </c>
      <c r="C71" s="3">
        <f>HYPERLINK("https://ae.utexas.edu/person/david-fridovich-keil/", "https://ae.utexas.edu/person/david-fridovich-keil/")</f>
        <v/>
      </c>
      <c r="D71" s="3">
        <f>HYPERLINK("https://scholar.google.com/citations?view_op=search_authors&amp;mauthors=David%20Fridovich-Keil%20University%20of%20Texas%20at%20Austin", "Google Scholar Search")</f>
        <v/>
      </c>
      <c r="E71" s="2" t="inlineStr">
        <is>
          <t>Assistant Professor</t>
        </is>
      </c>
      <c r="F71" s="2" t="inlineStr">
        <is>
          <t>Aerospace Engineering and Engineering Mechanics</t>
        </is>
      </c>
      <c r="G71" s="2" t="inlineStr"/>
      <c r="H71" s="3">
        <f>HYPERLINK("mailto:dfk@utexas.edu", "dfk@utexas.edu")</f>
        <v/>
      </c>
      <c r="I71" s="2" t="n">
        <v>4</v>
      </c>
      <c r="J71" s="2" t="inlineStr">
        <is>
          <t>🔴 Tier 4: Robotics / Controls / Autonomy</t>
        </is>
      </c>
      <c r="K71" s="2" t="n">
        <v>4</v>
      </c>
      <c r="L71" s="2" t="inlineStr">
        <is>
          <t>aerospace, control theory, motion planning, optimal control</t>
        </is>
      </c>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is>
          <t>Optimal control theory; Dynamic game theory; Motion planning; Multi-agent decision making; Machine learning and control</t>
        </is>
      </c>
      <c r="AI71" s="2" t="inlineStr"/>
      <c r="AJ71" s="2" t="inlineStr">
        <is>
          <t>Optimal control theory; Dynamic game theory; Motion planning; Multi-agent decision making; Machine learning and control</t>
        </is>
      </c>
      <c r="AK71" s="2" t="inlineStr"/>
      <c r="AL71" s="2" t="inlineStr"/>
      <c r="AM71" s="2" t="inlineStr"/>
      <c r="AN71" s="2" t="inlineStr"/>
      <c r="AO71" s="2" t="inlineStr"/>
      <c r="AP71" s="2" t="inlineStr"/>
      <c r="AQ71" s="2" t="inlineStr"/>
      <c r="AR71" s="2" t="inlineStr"/>
      <c r="AS71" s="2" t="inlineStr"/>
      <c r="AT71" s="2" t="inlineStr">
        <is>
          <t>ASE 3.232, POB 5.320</t>
        </is>
      </c>
      <c r="AU71" s="2" t="b">
        <v>1</v>
      </c>
      <c r="AV71" s="3">
        <f>HYPERLINK("https://ae.utexas.edu/people/faculty", "https://ae.utexas.edu/people/faculty")</f>
        <v/>
      </c>
    </row>
    <row r="72">
      <c r="A72" s="2" t="inlineStr">
        <is>
          <t>Luis Sentis</t>
        </is>
      </c>
      <c r="B72" s="2" t="inlineStr">
        <is>
          <t>The University of Texas at Austin</t>
        </is>
      </c>
      <c r="C72" s="3">
        <f>HYPERLINK("https://ae.utexas.edu/person/luis-sentis/", "https://ae.utexas.edu/person/luis-sentis/")</f>
        <v/>
      </c>
      <c r="D72" s="3">
        <f>HYPERLINK("https://scholar.google.com/citations?view_op=search_authors&amp;mauthors=Luis%20Sentis%20University%20of%20Texas%20at%20Austin", "Google Scholar Search")</f>
        <v/>
      </c>
      <c r="E72" s="2" t="inlineStr">
        <is>
          <t>Professor</t>
        </is>
      </c>
      <c r="F72" s="2" t="inlineStr">
        <is>
          <t>Aerospace Engineering and Engineering Mechanics</t>
        </is>
      </c>
      <c r="G72" s="2" t="inlineStr"/>
      <c r="H72" s="3">
        <f>HYPERLINK("mailto:lsentis@austin.utexas.edu", "lsentis@austin.utexas.edu")</f>
        <v/>
      </c>
      <c r="I72" s="2" t="n">
        <v>4</v>
      </c>
      <c r="J72" s="2" t="inlineStr">
        <is>
          <t>🔴 Tier 4: Robotics / Controls / Autonomy</t>
        </is>
      </c>
      <c r="K72" s="2" t="n">
        <v>4</v>
      </c>
      <c r="L72" s="2" t="inlineStr">
        <is>
          <t>aerospace, autonomous, robot, robotics</t>
        </is>
      </c>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is>
          <t>Human-centered robotics; Mathematics of movement and manipulation; Software architectures for sensing and acting; Biomechatronics; Design of humanoid and exoskeleton robots; Autonomous robots</t>
        </is>
      </c>
      <c r="AI72" s="2" t="inlineStr"/>
      <c r="AJ72" s="2" t="inlineStr">
        <is>
          <t>Human-centered robotics; Mathematics of movement and manipulation; Software architectures for sensing and acting; Biomechatronics; Design of humanoid and exoskeleton robots; Autonomous robots</t>
        </is>
      </c>
      <c r="AK72" s="2" t="inlineStr"/>
      <c r="AL72" s="2" t="inlineStr"/>
      <c r="AM72" s="2" t="inlineStr"/>
      <c r="AN72" s="2" t="inlineStr"/>
      <c r="AO72" s="2" t="inlineStr"/>
      <c r="AP72" s="2" t="inlineStr"/>
      <c r="AQ72" s="2" t="inlineStr"/>
      <c r="AR72" s="2" t="inlineStr"/>
      <c r="AS72" s="2" t="inlineStr"/>
      <c r="AT72" s="2" t="inlineStr">
        <is>
          <t>ASE 4.204</t>
        </is>
      </c>
      <c r="AU72" s="2" t="b">
        <v>1</v>
      </c>
      <c r="AV72" s="3">
        <f>HYPERLINK("https://ae.utexas.edu/people/faculty", "https://ae.utexas.edu/people/faculty")</f>
        <v/>
      </c>
    </row>
    <row r="73">
      <c r="A73" s="2" t="inlineStr">
        <is>
          <t>Moriba K. Jah</t>
        </is>
      </c>
      <c r="B73" s="2" t="inlineStr">
        <is>
          <t>The University of Texas at Austin</t>
        </is>
      </c>
      <c r="C73" s="3">
        <f>HYPERLINK("https://ae.utexas.edu/person/moriba-k-jah/", "https://ae.utexas.edu/person/moriba-k-jah/")</f>
        <v/>
      </c>
      <c r="D73" s="3">
        <f>HYPERLINK("https://scholar.google.com/citations?view_op=search_authors&amp;mauthors=Moriba%20K.%20Jah%20University%20of%20Texas%20at%20Austin", "Google Scholar Search")</f>
        <v/>
      </c>
      <c r="E73" s="2" t="inlineStr">
        <is>
          <t>Professor</t>
        </is>
      </c>
      <c r="F73" s="2" t="inlineStr">
        <is>
          <t>Aerospace Engineering and Engineering Mechanics</t>
        </is>
      </c>
      <c r="G73" s="2" t="inlineStr"/>
      <c r="H73" s="3">
        <f>HYPERLINK("mailto:moriba@utexas.edu", "moriba@utexas.edu")</f>
        <v/>
      </c>
      <c r="I73" s="2" t="n">
        <v>4</v>
      </c>
      <c r="J73" s="2" t="inlineStr">
        <is>
          <t>🔴 Tier 4: Robotics / Controls / Autonomy</t>
        </is>
      </c>
      <c r="K73" s="2" t="n">
        <v>4</v>
      </c>
      <c r="L73" s="2" t="inlineStr">
        <is>
          <t>aerospace, astrodynamics, navigation, spacecraft</t>
        </is>
      </c>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is>
          <t>Non-gravitational astrodynamics; Space object detection, tracking, identification, and characterization; Spacecraft navigation; Cognitive science and human-AI interaction; AI and machine learning; Space law and policy</t>
        </is>
      </c>
      <c r="AI73" s="2" t="inlineStr"/>
      <c r="AJ73" s="2" t="inlineStr">
        <is>
          <t>Non-gravitational astrodynamics; Space object detection, tracking, identification, and characterization; Spacecraft navigation; Cognitive science and human-AI interaction; AI and machine learning; Space law and policy</t>
        </is>
      </c>
      <c r="AK73" s="2" t="inlineStr"/>
      <c r="AL73" s="2" t="inlineStr"/>
      <c r="AM73" s="2" t="inlineStr"/>
      <c r="AN73" s="2" t="inlineStr"/>
      <c r="AO73" s="2" t="inlineStr"/>
      <c r="AP73" s="2" t="inlineStr"/>
      <c r="AQ73" s="2" t="inlineStr"/>
      <c r="AR73" s="2" t="inlineStr"/>
      <c r="AS73" s="2" t="inlineStr"/>
      <c r="AT73" s="2" t="inlineStr">
        <is>
          <t>POB 3.446</t>
        </is>
      </c>
      <c r="AU73" s="2" t="b">
        <v>1</v>
      </c>
      <c r="AV73" s="3">
        <f>HYPERLINK("https://ae.utexas.edu/people/faculty", "https://ae.utexas.edu/people/faculty")</f>
        <v/>
      </c>
    </row>
    <row r="74">
      <c r="A74" s="2" t="inlineStr">
        <is>
          <t>Todd E. Humphreys</t>
        </is>
      </c>
      <c r="B74" s="2" t="inlineStr">
        <is>
          <t>The University of Texas at Austin</t>
        </is>
      </c>
      <c r="C74" s="3">
        <f>HYPERLINK("https://ae.utexas.edu/person/todd-e-humphreys/", "https://ae.utexas.edu/person/todd-e-humphreys/")</f>
        <v/>
      </c>
      <c r="D74" s="3">
        <f>HYPERLINK("https://scholar.google.com/citations?view_op=search_authors&amp;mauthors=Todd%20E.%20Humphreys%20University%20of%20Texas%20at%20Austin", "Google Scholar Search")</f>
        <v/>
      </c>
      <c r="E74" s="2" t="inlineStr">
        <is>
          <t>Professor</t>
        </is>
      </c>
      <c r="F74" s="2" t="inlineStr">
        <is>
          <t>Aerospace Engineering and Engineering Mechanics</t>
        </is>
      </c>
      <c r="G74" s="2" t="inlineStr"/>
      <c r="H74" s="3">
        <f>HYPERLINK("mailto:todd.humphreys@utexas.edu", "todd.humphreys@utexas.edu")</f>
        <v/>
      </c>
      <c r="I74" s="2" t="n">
        <v>4</v>
      </c>
      <c r="J74" s="2" t="inlineStr">
        <is>
          <t>🔴 Tier 4: Robotics / Controls / Autonomy</t>
        </is>
      </c>
      <c r="K74" s="2" t="n">
        <v>4</v>
      </c>
      <c r="L74" s="2" t="inlineStr">
        <is>
          <t>aerospace, estimation, navigation, satellite</t>
        </is>
      </c>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is>
          <t>Positioning, navigation, and timing technology and security; Satellite communications and navigation; Detection and estimation; Software-defined radio</t>
        </is>
      </c>
      <c r="AI74" s="2" t="inlineStr"/>
      <c r="AJ74" s="2" t="inlineStr">
        <is>
          <t>Positioning, navigation, and timing technology and security; Satellite communications and navigation; Detection and estimation; Software-defined radio</t>
        </is>
      </c>
      <c r="AK74" s="2" t="inlineStr"/>
      <c r="AL74" s="2" t="inlineStr"/>
      <c r="AM74" s="2" t="inlineStr"/>
      <c r="AN74" s="2" t="inlineStr"/>
      <c r="AO74" s="2" t="inlineStr"/>
      <c r="AP74" s="2" t="inlineStr"/>
      <c r="AQ74" s="2" t="inlineStr"/>
      <c r="AR74" s="2" t="inlineStr"/>
      <c r="AS74" s="2" t="inlineStr"/>
      <c r="AT74" s="2" t="inlineStr">
        <is>
          <t>ASE 3.234</t>
        </is>
      </c>
      <c r="AU74" s="2" t="b">
        <v>1</v>
      </c>
      <c r="AV74" s="3">
        <f>HYPERLINK("https://ae.utexas.edu/people/faculty", "https://ae.utexas.edu/people/faculty")</f>
        <v/>
      </c>
    </row>
    <row r="75">
      <c r="A75" s="2" t="inlineStr">
        <is>
          <t>Hannah Lu</t>
        </is>
      </c>
      <c r="B75" s="2" t="inlineStr">
        <is>
          <t>The University of Texas at Austin</t>
        </is>
      </c>
      <c r="C75" s="3">
        <f>HYPERLINK("https://ae.utexas.edu/person/hannah-lu/", "https://ae.utexas.edu/person/hannah-lu/")</f>
        <v/>
      </c>
      <c r="D75" s="3">
        <f>HYPERLINK("https://scholar.google.com/citations?view_op=search_authors&amp;mauthors=Hannah%20Lu%20University%20of%20Texas%20at%20Austin", "Google Scholar Search")</f>
        <v/>
      </c>
      <c r="E75" s="2" t="inlineStr">
        <is>
          <t>Assistant Professor</t>
        </is>
      </c>
      <c r="F75" s="2" t="inlineStr">
        <is>
          <t>Aerospace Engineering and Engineering Mechanics</t>
        </is>
      </c>
      <c r="G75" s="2" t="inlineStr"/>
      <c r="H75" s="3">
        <f>HYPERLINK("mailto:hannah.lu@austin.utexas.edu", "hannah.lu@austin.utexas.edu")</f>
        <v/>
      </c>
      <c r="I75" s="2" t="n">
        <v>4</v>
      </c>
      <c r="J75" s="2" t="inlineStr">
        <is>
          <t>🔴 Tier 4: Robotics / Controls / Autonomy</t>
        </is>
      </c>
      <c r="K75" s="2" t="n">
        <v>3</v>
      </c>
      <c r="L75" s="2" t="inlineStr">
        <is>
          <t>aerospace, fluid mechanics, scientific computing</t>
        </is>
      </c>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is>
          <t>Scientific computing; Model reduction; Uncertainty quantification; Machine learning in applications of environmental fluid mechanics</t>
        </is>
      </c>
      <c r="AI75" s="2" t="inlineStr"/>
      <c r="AJ75" s="2" t="inlineStr">
        <is>
          <t>Scientific computing; Model reduction; Uncertainty quantification; Machine learning in applications of environmental fluid mechanics</t>
        </is>
      </c>
      <c r="AK75" s="2" t="inlineStr"/>
      <c r="AL75" s="2" t="inlineStr"/>
      <c r="AM75" s="2" t="inlineStr"/>
      <c r="AN75" s="2" t="inlineStr"/>
      <c r="AO75" s="2" t="inlineStr"/>
      <c r="AP75" s="2" t="inlineStr"/>
      <c r="AQ75" s="2" t="inlineStr"/>
      <c r="AR75" s="2" t="inlineStr"/>
      <c r="AS75" s="2" t="inlineStr"/>
      <c r="AT75" s="2" t="inlineStr">
        <is>
          <t>ASE 5.242, POB 4.234</t>
        </is>
      </c>
      <c r="AU75" s="2" t="b">
        <v>1</v>
      </c>
      <c r="AV75" s="3">
        <f>HYPERLINK("https://ae.utexas.edu/people/faculty", "https://ae.utexas.edu/people/faculty")</f>
        <v/>
      </c>
    </row>
    <row r="76">
      <c r="A76" s="2" t="inlineStr">
        <is>
          <t>Junmin Wang</t>
        </is>
      </c>
      <c r="B76" s="2" t="inlineStr">
        <is>
          <t>The University of Texas at Austin</t>
        </is>
      </c>
      <c r="C76" s="3">
        <f>HYPERLINK("https://me.utexas.edu/person/junmin-wang/", "https://me.utexas.edu/person/junmin-wang/")</f>
        <v/>
      </c>
      <c r="D76" s="3">
        <f>HYPERLINK("https://scholar.google.com/citations?view_op=search_authors&amp;mauthors=Junmin%20Wang%20University%20of%20Texas%20at%20Austin", "Google Scholar Search")</f>
        <v/>
      </c>
      <c r="E76" s="2" t="inlineStr">
        <is>
          <t>Professor</t>
        </is>
      </c>
      <c r="F76" s="2" t="inlineStr">
        <is>
          <t>Walker Department of Mechanical Engineering</t>
        </is>
      </c>
      <c r="G76" s="2" t="inlineStr"/>
      <c r="H76" s="3">
        <f>HYPERLINK("mailto:jwang@austin.utexas.edu", "jwang@austin.utexas.edu")</f>
        <v/>
      </c>
      <c r="I76" s="2" t="n">
        <v>4</v>
      </c>
      <c r="J76" s="2" t="inlineStr">
        <is>
          <t>🔴 Tier 4: Robotics / Controls / Autonomy</t>
        </is>
      </c>
      <c r="K76" s="2" t="n">
        <v>3</v>
      </c>
      <c r="L76" s="2" t="inlineStr">
        <is>
          <t>estimation, robot, robotics</t>
        </is>
      </c>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is>
          <t>Control, modeling, estimation, optimization, diagnosis and AI for applications in automotive, vehicle, mobility, human-automation, robotics, energy storage and manufacturing</t>
        </is>
      </c>
      <c r="AI76" s="2" t="inlineStr"/>
      <c r="AJ76" s="2" t="inlineStr">
        <is>
          <t>Control, modeling, estimation, optimization, diagnosis and AI for applications in automotive, vehicle, mobility, human-automation, robotics, energy storage and manufacturing</t>
        </is>
      </c>
      <c r="AK76" s="2" t="inlineStr"/>
      <c r="AL76" s="2" t="inlineStr"/>
      <c r="AM76" s="2" t="inlineStr"/>
      <c r="AN76" s="2" t="inlineStr"/>
      <c r="AO76" s="2" t="inlineStr"/>
      <c r="AP76" s="2" t="inlineStr"/>
      <c r="AQ76" s="2" t="inlineStr"/>
      <c r="AR76" s="2" t="inlineStr"/>
      <c r="AS76" s="2" t="inlineStr"/>
      <c r="AT76" s="2" t="inlineStr">
        <is>
          <t>ETC 4.152C</t>
        </is>
      </c>
      <c r="AU76" s="2" t="b">
        <v>1</v>
      </c>
      <c r="AV76" s="3">
        <f>HYPERLINK("https://me.utexas.edu/people/faculty", "https://me.utexas.edu/people/faculty")</f>
        <v/>
      </c>
    </row>
    <row r="77">
      <c r="A77" s="2" t="inlineStr">
        <is>
          <t>Lori Magruder</t>
        </is>
      </c>
      <c r="B77" s="2" t="inlineStr">
        <is>
          <t>The University of Texas at Austin</t>
        </is>
      </c>
      <c r="C77" s="3">
        <f>HYPERLINK("https://ae.utexas.edu/person/lori-magruder/", "https://ae.utexas.edu/person/lori-magruder/")</f>
        <v/>
      </c>
      <c r="D77" s="3">
        <f>HYPERLINK("https://scholar.google.com/citations?view_op=search_authors&amp;mauthors=Lori%20Magruder%20University%20of%20Texas%20at%20Austin", "Google Scholar Search")</f>
        <v/>
      </c>
      <c r="E77" s="2" t="inlineStr">
        <is>
          <t>Professor; Director of the Center for Space Research</t>
        </is>
      </c>
      <c r="F77" s="2" t="inlineStr">
        <is>
          <t>Aerospace Engineering and Engineering Mechanics</t>
        </is>
      </c>
      <c r="G77" s="2" t="inlineStr"/>
      <c r="H77" s="3">
        <f>HYPERLINK("mailto:lori.magruder@austin.utexas.edu", "lori.magruder@austin.utexas.edu")</f>
        <v/>
      </c>
      <c r="I77" s="2" t="n">
        <v>4</v>
      </c>
      <c r="J77" s="2" t="inlineStr">
        <is>
          <t>🔴 Tier 4: Robotics / Controls / Autonomy</t>
        </is>
      </c>
      <c r="K77" s="2" t="n">
        <v>3</v>
      </c>
      <c r="L77" s="2" t="inlineStr">
        <is>
          <t>aerospace, orbital mechanics, spacecraft</t>
        </is>
      </c>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is>
          <t>Remote sensing instrumentation and applications; 3D geospatial data exploitation for Earth science; Spacecraft dynamics, orbital mechanics and attitude determination</t>
        </is>
      </c>
      <c r="AI77" s="2" t="inlineStr"/>
      <c r="AJ77" s="2" t="inlineStr">
        <is>
          <t>Remote sensing instrumentation and applications; 3D geospatial data exploitation for Earth science; Spacecraft dynamics, orbital mechanics and attitude determination</t>
        </is>
      </c>
      <c r="AK77" s="2" t="inlineStr"/>
      <c r="AL77" s="2" t="inlineStr"/>
      <c r="AM77" s="2" t="inlineStr"/>
      <c r="AN77" s="2" t="inlineStr"/>
      <c r="AO77" s="2" t="inlineStr"/>
      <c r="AP77" s="2" t="inlineStr"/>
      <c r="AQ77" s="2" t="inlineStr"/>
      <c r="AR77" s="2" t="inlineStr"/>
      <c r="AS77" s="2" t="inlineStr"/>
      <c r="AT77" s="2" t="inlineStr">
        <is>
          <t>ASE 3.220</t>
        </is>
      </c>
      <c r="AU77" s="2" t="b">
        <v>1</v>
      </c>
      <c r="AV77" s="3">
        <f>HYPERLINK("https://ae.utexas.edu/people/faculty", "https://ae.utexas.edu/people/faculty")</f>
        <v/>
      </c>
    </row>
    <row r="78">
      <c r="A78" s="2" t="inlineStr">
        <is>
          <t>Scott Fish</t>
        </is>
      </c>
      <c r="B78" s="2" t="inlineStr">
        <is>
          <t>The University of Texas at Austin</t>
        </is>
      </c>
      <c r="C78" s="3">
        <f>HYPERLINK("https://me.utexas.edu/person/scott-fish/", "https://me.utexas.edu/person/scott-fish/")</f>
        <v/>
      </c>
      <c r="D78" s="3">
        <f>HYPERLINK("https://scholar.google.com/citations?view_op=search_authors&amp;mauthors=Scott%20Fish%20University%20of%20Texas%20at%20Austin", "Google Scholar Search")</f>
        <v/>
      </c>
      <c r="E78" s="2" t="inlineStr">
        <is>
          <t>Senior Research Scientist</t>
        </is>
      </c>
      <c r="F78" s="2" t="inlineStr">
        <is>
          <t>Walker Department of Mechanical Engineering</t>
        </is>
      </c>
      <c r="G78" s="2" t="inlineStr"/>
      <c r="H78" s="3">
        <f>HYPERLINK("mailto:scott.fish@utexas.edu", "scott.fish@utexas.edu")</f>
        <v/>
      </c>
      <c r="I78" s="2" t="n">
        <v>4</v>
      </c>
      <c r="J78" s="2" t="inlineStr">
        <is>
          <t>🔴 Tier 4: Robotics / Controls / Autonomy</t>
        </is>
      </c>
      <c r="K78" s="2" t="n">
        <v>3</v>
      </c>
      <c r="L78" s="2" t="inlineStr">
        <is>
          <t>fluid mechanics, robot, robotics</t>
        </is>
      </c>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is>
          <t>Ground robotics; Unmanned ground vehicles; Fluid mechanics</t>
        </is>
      </c>
      <c r="AI78" s="2" t="inlineStr"/>
      <c r="AJ78" s="2" t="inlineStr">
        <is>
          <t>Ground robotics; Unmanned ground vehicles; Fluid mechanics</t>
        </is>
      </c>
      <c r="AK78" s="2" t="inlineStr"/>
      <c r="AL78" s="2" t="inlineStr"/>
      <c r="AM78" s="2" t="inlineStr"/>
      <c r="AN78" s="2" t="inlineStr"/>
      <c r="AO78" s="2" t="inlineStr"/>
      <c r="AP78" s="2" t="inlineStr"/>
      <c r="AQ78" s="2" t="inlineStr"/>
      <c r="AR78" s="2" t="inlineStr"/>
      <c r="AS78" s="2" t="inlineStr"/>
      <c r="AT78" s="2" t="inlineStr"/>
      <c r="AU78" s="2" t="b">
        <v>1</v>
      </c>
      <c r="AV78" s="3">
        <f>HYPERLINK("https://me.utexas.edu/people/faculty", "https://me.utexas.edu/people/faculty")</f>
        <v/>
      </c>
    </row>
    <row r="79">
      <c r="A79" s="2" t="inlineStr">
        <is>
          <t>Sheldon Landsberger</t>
        </is>
      </c>
      <c r="B79" s="2" t="inlineStr">
        <is>
          <t>The University of Texas at Austin</t>
        </is>
      </c>
      <c r="C79" s="3">
        <f>HYPERLINK("https://me.utexas.edu/person/sheldon-landsberger/", "https://me.utexas.edu/person/sheldon-landsberger/")</f>
        <v/>
      </c>
      <c r="D79" s="3">
        <f>HYPERLINK("https://scholar.google.com/citations?view_op=search_authors&amp;mauthors=Sheldon%20Landsberger%20University%20of%20Texas%20at%20Austin", "Google Scholar Search")</f>
        <v/>
      </c>
      <c r="E79" s="2" t="inlineStr">
        <is>
          <t>Professor</t>
        </is>
      </c>
      <c r="F79" s="2" t="inlineStr">
        <is>
          <t>Walker Department of Mechanical Engineering</t>
        </is>
      </c>
      <c r="G79" s="2" t="inlineStr"/>
      <c r="H79" s="3">
        <f>HYPERLINK("mailto:s.landsberger@mail.utexas.edu", "s.landsberger@mail.utexas.edu")</f>
        <v/>
      </c>
      <c r="I79" s="2" t="n">
        <v>4</v>
      </c>
      <c r="J79" s="2" t="inlineStr">
        <is>
          <t>🔴 Tier 4: Robotics / Controls / Autonomy</t>
        </is>
      </c>
      <c r="K79" s="2" t="n">
        <v>3</v>
      </c>
      <c r="L79" s="2" t="inlineStr">
        <is>
          <t>radiation, robot, robotics</t>
        </is>
      </c>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is>
          <t>Radiation damage studies; Robotics in nuclear applications; Environmental transport of radioactivity in the environment; Fission product identification</t>
        </is>
      </c>
      <c r="AI79" s="2" t="inlineStr"/>
      <c r="AJ79" s="2" t="inlineStr">
        <is>
          <t>Radiation damage studies; Robotics in nuclear applications; Environmental transport of radioactivity in the environment; Fission product identification</t>
        </is>
      </c>
      <c r="AK79" s="2" t="inlineStr"/>
      <c r="AL79" s="2" t="inlineStr"/>
      <c r="AM79" s="2" t="inlineStr"/>
      <c r="AN79" s="2" t="inlineStr"/>
      <c r="AO79" s="2" t="inlineStr"/>
      <c r="AP79" s="2" t="inlineStr"/>
      <c r="AQ79" s="2" t="inlineStr"/>
      <c r="AR79" s="2" t="inlineStr"/>
      <c r="AS79" s="2" t="inlineStr"/>
      <c r="AT79" s="2" t="inlineStr">
        <is>
          <t>ETC 7.116</t>
        </is>
      </c>
      <c r="AU79" s="2" t="b">
        <v>1</v>
      </c>
      <c r="AV79" s="3">
        <f>HYPERLINK("https://me.utexas.edu/people/faculty", "https://me.utexas.edu/people/faculty")</f>
        <v/>
      </c>
    </row>
    <row r="80">
      <c r="A80" s="2" t="inlineStr">
        <is>
          <t>Ann Majewicz Fey</t>
        </is>
      </c>
      <c r="B80" s="2" t="inlineStr">
        <is>
          <t>The University of Texas at Austin</t>
        </is>
      </c>
      <c r="C80" s="3">
        <f>HYPERLINK("https://me.utexas.edu/person/ann-majewicz-fey/", "https://me.utexas.edu/person/ann-majewicz-fey/")</f>
        <v/>
      </c>
      <c r="D80" s="3">
        <f>HYPERLINK("https://scholar.google.com/citations?view_op=search_authors&amp;mauthors=Ann%20Majewicz%20Fey%20University%20of%20Texas%20at%20Austin", "Google Scholar Search")</f>
        <v/>
      </c>
      <c r="E80" s="2" t="inlineStr">
        <is>
          <t>Professor</t>
        </is>
      </c>
      <c r="F80" s="2" t="inlineStr">
        <is>
          <t>Walker Department of Mechanical Engineering</t>
        </is>
      </c>
      <c r="G80" s="2" t="inlineStr"/>
      <c r="H80" s="3">
        <f>HYPERLINK("mailto:ann.majewiczfey@utexas.edu", "ann.majewiczfey@utexas.edu")</f>
        <v/>
      </c>
      <c r="I80" s="2" t="n">
        <v>4</v>
      </c>
      <c r="J80" s="2" t="inlineStr">
        <is>
          <t>🔴 Tier 4: Robotics / Controls / Autonomy</t>
        </is>
      </c>
      <c r="K80" s="2" t="n">
        <v>2</v>
      </c>
      <c r="L80" s="2" t="inlineStr">
        <is>
          <t>robot, robotics</t>
        </is>
      </c>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is>
          <t>Surgical and medical robotics; AI-enabled human-centric modeling and control design; Teleoperation; Haptics; Medical education technology</t>
        </is>
      </c>
      <c r="AI80" s="2" t="inlineStr"/>
      <c r="AJ80" s="2" t="inlineStr">
        <is>
          <t>Surgical and medical robotics; AI-enabled human-centric modeling and control design; Teleoperation; Haptics; Medical education technology</t>
        </is>
      </c>
      <c r="AK80" s="2" t="inlineStr"/>
      <c r="AL80" s="2" t="inlineStr"/>
      <c r="AM80" s="2" t="inlineStr"/>
      <c r="AN80" s="2" t="inlineStr"/>
      <c r="AO80" s="2" t="inlineStr"/>
      <c r="AP80" s="2" t="inlineStr"/>
      <c r="AQ80" s="2" t="inlineStr"/>
      <c r="AR80" s="2" t="inlineStr"/>
      <c r="AS80" s="2" t="inlineStr"/>
      <c r="AT80" s="2" t="inlineStr">
        <is>
          <t>AGH 2.202MD</t>
        </is>
      </c>
      <c r="AU80" s="2" t="b">
        <v>1</v>
      </c>
      <c r="AV80" s="3">
        <f>HYPERLINK("https://me.utexas.edu/people/faculty", "https://me.utexas.edu/people/faculty")</f>
        <v/>
      </c>
    </row>
    <row r="81">
      <c r="A81" s="2" t="inlineStr">
        <is>
          <t>Dongmei "Maggie" Chen</t>
        </is>
      </c>
      <c r="B81" s="2" t="inlineStr">
        <is>
          <t>The University of Texas at Austin</t>
        </is>
      </c>
      <c r="C81" s="3">
        <f>HYPERLINK("https://me.utexas.edu/person/dongmei-maggie-chen/", "https://me.utexas.edu/person/dongmei-maggie-chen/")</f>
        <v/>
      </c>
      <c r="D81" s="3">
        <f>HYPERLINK("https://scholar.google.com/citations?view_op=search_authors&amp;mauthors=Dongmei%20%22Maggie%22%20Chen%20University%20of%20Texas%20at%20Austin", "Google Scholar Search")</f>
        <v/>
      </c>
      <c r="E81" s="2" t="inlineStr">
        <is>
          <t>Professor</t>
        </is>
      </c>
      <c r="F81" s="2" t="inlineStr">
        <is>
          <t>Walker Department of Mechanical Engineering</t>
        </is>
      </c>
      <c r="G81" s="2" t="inlineStr"/>
      <c r="H81" s="3">
        <f>HYPERLINK("mailto:dmchen@me.utexas.edu", "dmchen@me.utexas.edu")</f>
        <v/>
      </c>
      <c r="I81" s="2" t="n">
        <v>4</v>
      </c>
      <c r="J81" s="2" t="inlineStr">
        <is>
          <t>🔴 Tier 4: Robotics / Controls / Autonomy</t>
        </is>
      </c>
      <c r="K81" s="2" t="n">
        <v>2</v>
      </c>
      <c r="L81" s="2" t="inlineStr">
        <is>
          <t>optimal control, propulsion</t>
        </is>
      </c>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is>
          <t>Fuel cell systems and control; Nonlinear systems and optimal control; Hybrid propulsion system architectures and control; Wind turbine systems</t>
        </is>
      </c>
      <c r="AI81" s="2" t="inlineStr"/>
      <c r="AJ81" s="2" t="inlineStr">
        <is>
          <t>Fuel cell systems and control; Nonlinear systems and optimal control; Hybrid propulsion system architectures and control; Wind turbine systems</t>
        </is>
      </c>
      <c r="AK81" s="2" t="inlineStr"/>
      <c r="AL81" s="2" t="inlineStr"/>
      <c r="AM81" s="2" t="inlineStr"/>
      <c r="AN81" s="2" t="inlineStr"/>
      <c r="AO81" s="2" t="inlineStr"/>
      <c r="AP81" s="2" t="inlineStr"/>
      <c r="AQ81" s="2" t="inlineStr"/>
      <c r="AR81" s="2" t="inlineStr"/>
      <c r="AS81" s="2" t="inlineStr"/>
      <c r="AT81" s="2" t="inlineStr">
        <is>
          <t>ETC 4.166</t>
        </is>
      </c>
      <c r="AU81" s="2" t="b">
        <v>1</v>
      </c>
      <c r="AV81" s="3">
        <f>HYPERLINK("https://me.utexas.edu/people/faculty", "https://me.utexas.edu/people/faculty")</f>
        <v/>
      </c>
    </row>
    <row r="82">
      <c r="A82" s="2" t="inlineStr">
        <is>
          <t>Jingyi “Ann” Chen</t>
        </is>
      </c>
      <c r="B82" s="2" t="inlineStr">
        <is>
          <t>The University of Texas at Austin</t>
        </is>
      </c>
      <c r="C82" s="3">
        <f>HYPERLINK("https://ae.utexas.edu/person/jingyi-ann-chen/", "https://ae.utexas.edu/person/jingyi-ann-chen/")</f>
        <v/>
      </c>
      <c r="D82" s="3">
        <f>HYPERLINK("https://scholar.google.com/citations?view_op=search_authors&amp;mauthors=Jingyi%20%E2%80%9CAnn%E2%80%9D%20Chen%20University%20of%20Texas%20at%20Austin", "Google Scholar Search")</f>
        <v/>
      </c>
      <c r="E82" s="2" t="inlineStr">
        <is>
          <t>Associate Professor</t>
        </is>
      </c>
      <c r="F82" s="2" t="inlineStr">
        <is>
          <t>Aerospace Engineering and Engineering Mechanics</t>
        </is>
      </c>
      <c r="G82" s="2" t="inlineStr"/>
      <c r="H82" s="3">
        <f>HYPERLINK("mailto:jingyi.ann.chen@utexas.edu", "jingyi.ann.chen@utexas.edu")</f>
        <v/>
      </c>
      <c r="I82" s="2" t="n">
        <v>4</v>
      </c>
      <c r="J82" s="2" t="inlineStr">
        <is>
          <t>🔴 Tier 4: Robotics / Controls / Autonomy</t>
        </is>
      </c>
      <c r="K82" s="2" t="n">
        <v>2</v>
      </c>
      <c r="L82" s="2" t="inlineStr">
        <is>
          <t>aerospace, satellite</t>
        </is>
      </c>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is>
          <t>Satellite geodesy and remote sensing; Interferometric Synthetic Aperture Radar (InSAR) image processing algorithms; InSAR-based earth observation applications</t>
        </is>
      </c>
      <c r="AI82" s="2" t="inlineStr"/>
      <c r="AJ82" s="2" t="inlineStr">
        <is>
          <t>Satellite geodesy and remote sensing; Interferometric Synthetic Aperture Radar (InSAR) image processing algorithms; InSAR-based earth observation applications</t>
        </is>
      </c>
      <c r="AK82" s="2" t="inlineStr"/>
      <c r="AL82" s="2" t="inlineStr"/>
      <c r="AM82" s="2" t="inlineStr"/>
      <c r="AN82" s="2" t="inlineStr"/>
      <c r="AO82" s="2" t="inlineStr"/>
      <c r="AP82" s="2" t="inlineStr"/>
      <c r="AQ82" s="2" t="inlineStr"/>
      <c r="AR82" s="2" t="inlineStr"/>
      <c r="AS82" s="2" t="inlineStr"/>
      <c r="AT82" s="2" t="inlineStr">
        <is>
          <t>ASE 3.214</t>
        </is>
      </c>
      <c r="AU82" s="2" t="b">
        <v>1</v>
      </c>
      <c r="AV82" s="3">
        <f>HYPERLINK("https://ae.utexas.edu/people/faculty", "https://ae.utexas.edu/people/faculty")</f>
        <v/>
      </c>
    </row>
    <row r="83">
      <c r="A83" s="2" t="inlineStr">
        <is>
          <t>John-Paul Clarke</t>
        </is>
      </c>
      <c r="B83" s="2" t="inlineStr">
        <is>
          <t>The University of Texas at Austin</t>
        </is>
      </c>
      <c r="C83" s="3">
        <f>HYPERLINK("https://ae.utexas.edu/person/john-paul-clarke/", "https://ae.utexas.edu/person/john-paul-clarke/")</f>
        <v/>
      </c>
      <c r="D83" s="3">
        <f>HYPERLINK("https://scholar.google.com/citations?view_op=search_authors&amp;mauthors=John-Paul%20Clarke%20University%20of%20Texas%20at%20Austin", "Google Scholar Search")</f>
        <v/>
      </c>
      <c r="E83" s="2" t="inlineStr">
        <is>
          <t>Professor</t>
        </is>
      </c>
      <c r="F83" s="2" t="inlineStr">
        <is>
          <t>Aerospace Engineering and Engineering Mechanics</t>
        </is>
      </c>
      <c r="G83" s="2" t="inlineStr"/>
      <c r="H83" s="3">
        <f>HYPERLINK("mailto:johnpaul@utexas.edu", "johnpaul@utexas.edu")</f>
        <v/>
      </c>
      <c r="I83" s="2" t="n">
        <v>4</v>
      </c>
      <c r="J83" s="2" t="inlineStr">
        <is>
          <t>🔴 Tier 4: Robotics / Controls / Autonomy</t>
        </is>
      </c>
      <c r="K83" s="2" t="n">
        <v>2</v>
      </c>
      <c r="L83" s="2" t="inlineStr">
        <is>
          <t>aerospace, autonomous</t>
        </is>
      </c>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is>
          <t>Environmental impact of aviation; Trajectory prediction and optimization; Stochastic models and optimization algorithms; Increasingly autonomous aircraft-enabled mobility; Human-machine teaming; Airline and airport planning operations</t>
        </is>
      </c>
      <c r="AI83" s="2" t="inlineStr"/>
      <c r="AJ83" s="2" t="inlineStr">
        <is>
          <t>Environmental impact of aviation; Trajectory prediction and optimization; Stochastic models and optimization algorithms; Increasingly autonomous aircraft-enabled mobility; Human-machine teaming; Airline and airport planning operations</t>
        </is>
      </c>
      <c r="AK83" s="2" t="inlineStr"/>
      <c r="AL83" s="2" t="inlineStr"/>
      <c r="AM83" s="2" t="inlineStr"/>
      <c r="AN83" s="2" t="inlineStr"/>
      <c r="AO83" s="2" t="inlineStr"/>
      <c r="AP83" s="2" t="inlineStr"/>
      <c r="AQ83" s="2" t="inlineStr"/>
      <c r="AR83" s="2" t="inlineStr"/>
      <c r="AS83" s="2" t="inlineStr"/>
      <c r="AT83" s="2" t="inlineStr">
        <is>
          <t>ASE 3.222</t>
        </is>
      </c>
      <c r="AU83" s="2" t="b">
        <v>1</v>
      </c>
      <c r="AV83" s="3">
        <f>HYPERLINK("https://ae.utexas.edu/people/faculty", "https://ae.utexas.edu/people/faculty")</f>
        <v/>
      </c>
    </row>
    <row r="84">
      <c r="A84" s="2" t="inlineStr">
        <is>
          <t>Kevin Sagis</t>
        </is>
      </c>
      <c r="B84" s="2" t="inlineStr">
        <is>
          <t>The University of Texas at Austin</t>
        </is>
      </c>
      <c r="C84" s="3">
        <f>HYPERLINK("https://ae.utexas.edu/person/kevin-sagis/", "https://ae.utexas.edu/person/kevin-sagis/")</f>
        <v/>
      </c>
      <c r="D84" s="3">
        <f>HYPERLINK("https://scholar.google.com/citations?view_op=search_authors&amp;mauthors=Kevin%20Sagis%20University%20of%20Texas%20at%20Austin", "Google Scholar Search")</f>
        <v/>
      </c>
      <c r="E84" s="2" t="inlineStr">
        <is>
          <t>Professor of Practice; Program Director, Texas Rocket Engineering Laboratory (TREL)</t>
        </is>
      </c>
      <c r="F84" s="2" t="inlineStr">
        <is>
          <t>Aerospace Engineering and Engineering Mechanics</t>
        </is>
      </c>
      <c r="G84" s="2" t="inlineStr"/>
      <c r="H84" s="3">
        <f>HYPERLINK("mailto:kevin.sagis@austin.utexas.edu", "kevin.sagis@austin.utexas.edu")</f>
        <v/>
      </c>
      <c r="I84" s="2" t="n">
        <v>4</v>
      </c>
      <c r="J84" s="2" t="inlineStr">
        <is>
          <t>🔴 Tier 4: Robotics / Controls / Autonomy</t>
        </is>
      </c>
      <c r="K84" s="2" t="n">
        <v>2</v>
      </c>
      <c r="L84" s="2" t="inlineStr">
        <is>
          <t>aerospace, autonomous</t>
        </is>
      </c>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is>
          <t xml:space="preserve"> &lt;br&gt;Launch vehicle design; Space systems engineering; Autonomous aerospace systems; Flight dynamics; Aerospace vehicle integration and systems engineering</t>
        </is>
      </c>
      <c r="AI84" s="2" t="inlineStr"/>
      <c r="AJ84" s="2" t="inlineStr">
        <is>
          <t xml:space="preserve"> &lt;br&gt;Launch vehicle design; Space systems engineering; Autonomous aerospace systems; Flight dynamics; Aerospace vehicle integration and systems engineering</t>
        </is>
      </c>
      <c r="AK84" s="2" t="inlineStr"/>
      <c r="AL84" s="2" t="inlineStr"/>
      <c r="AM84" s="2" t="inlineStr"/>
      <c r="AN84" s="2" t="inlineStr"/>
      <c r="AO84" s="2" t="inlineStr"/>
      <c r="AP84" s="2" t="inlineStr"/>
      <c r="AQ84" s="2" t="inlineStr"/>
      <c r="AR84" s="2" t="inlineStr"/>
      <c r="AS84" s="2" t="inlineStr"/>
      <c r="AT84" s="2" t="inlineStr">
        <is>
          <t>ASE 3.236</t>
        </is>
      </c>
      <c r="AU84" s="2" t="b">
        <v>1</v>
      </c>
      <c r="AV84" s="3">
        <f>HYPERLINK("https://ae.utexas.edu/people/faculty", "https://ae.utexas.edu/people/faculty")</f>
        <v/>
      </c>
    </row>
    <row r="85">
      <c r="A85" s="2" t="inlineStr">
        <is>
          <t>Luke Peterson</t>
        </is>
      </c>
      <c r="B85" s="2" t="inlineStr">
        <is>
          <t>The University of Texas at Austin</t>
        </is>
      </c>
      <c r="C85" s="3">
        <f>HYPERLINK("https://ae.utexas.edu/person/luke-peterson/", "https://ae.utexas.edu/person/luke-peterson/")</f>
        <v/>
      </c>
      <c r="D85" s="3">
        <f>HYPERLINK("https://scholar.google.com/citations?view_op=search_authors&amp;mauthors=Luke%20Peterson%20University%20of%20Texas%20at%20Austin", "Google Scholar Search")</f>
        <v/>
      </c>
      <c r="E85" s="2" t="inlineStr">
        <is>
          <t>Assistant Professor</t>
        </is>
      </c>
      <c r="F85" s="2" t="inlineStr">
        <is>
          <t>Aerospace Engineering and Engineering Mechanics</t>
        </is>
      </c>
      <c r="G85" s="2" t="inlineStr"/>
      <c r="H85" s="3">
        <f>HYPERLINK("mailto:ltp@utexas.edu ", "ltp@utexas.edu ")</f>
        <v/>
      </c>
      <c r="I85" s="2" t="n">
        <v>4</v>
      </c>
      <c r="J85" s="2" t="inlineStr">
        <is>
          <t>🔴 Tier 4: Robotics / Controls / Autonomy</t>
        </is>
      </c>
      <c r="K85" s="2" t="n">
        <v>2</v>
      </c>
      <c r="L85" s="2" t="inlineStr">
        <is>
          <t>aerospace, astrodynamics</t>
        </is>
      </c>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is>
          <t>Celestial Mechanics, Dynamical Systems, and Astrodynamics</t>
        </is>
      </c>
      <c r="AI85" s="2" t="inlineStr"/>
      <c r="AJ85" s="2" t="inlineStr">
        <is>
          <t>Celestial Mechanics, Dynamical Systems, and Astrodynamics</t>
        </is>
      </c>
      <c r="AK85" s="2" t="inlineStr"/>
      <c r="AL85" s="2" t="inlineStr"/>
      <c r="AM85" s="2" t="inlineStr"/>
      <c r="AN85" s="2" t="inlineStr"/>
      <c r="AO85" s="2" t="inlineStr"/>
      <c r="AP85" s="2" t="inlineStr"/>
      <c r="AQ85" s="2" t="inlineStr"/>
      <c r="AR85" s="2" t="inlineStr"/>
      <c r="AS85" s="2" t="inlineStr"/>
      <c r="AT85" s="2" t="inlineStr">
        <is>
          <t>ASE 4.216</t>
        </is>
      </c>
      <c r="AU85" s="2" t="b">
        <v>1</v>
      </c>
      <c r="AV85" s="3">
        <f>HYPERLINK("https://ae.utexas.edu/people/faculty", "https://ae.utexas.edu/people/faculty")</f>
        <v/>
      </c>
    </row>
    <row r="86">
      <c r="A86" s="2" t="inlineStr">
        <is>
          <t>Manuel Rausch</t>
        </is>
      </c>
      <c r="B86" s="2" t="inlineStr">
        <is>
          <t>The University of Texas at Austin</t>
        </is>
      </c>
      <c r="C86" s="3">
        <f>HYPERLINK("https://ae.utexas.edu/person/manuel-rausch/", "https://ae.utexas.edu/person/manuel-rausch/")</f>
        <v/>
      </c>
      <c r="D86" s="3">
        <f>HYPERLINK("https://scholar.google.com/citations?view_op=search_authors&amp;mauthors=Manuel%20Rausch%20University%20of%20Texas%20at%20Austin", "Google Scholar Search")</f>
        <v/>
      </c>
      <c r="E86" s="2" t="inlineStr">
        <is>
          <t>Associate Professor; Associate Chair for Faculty Development</t>
        </is>
      </c>
      <c r="F86" s="2" t="inlineStr">
        <is>
          <t>Aerospace Engineering and Engineering Mechanics</t>
        </is>
      </c>
      <c r="G86" s="2" t="inlineStr"/>
      <c r="H86" s="3">
        <f>HYPERLINK("mailto:manuel.rausch@utexas.edu", "manuel.rausch@utexas.edu")</f>
        <v/>
      </c>
      <c r="I86" s="2" t="n">
        <v>4</v>
      </c>
      <c r="J86" s="2" t="inlineStr">
        <is>
          <t>🔴 Tier 4: Robotics / Controls / Autonomy</t>
        </is>
      </c>
      <c r="K86" s="2" t="n">
        <v>2</v>
      </c>
      <c r="L86" s="2" t="inlineStr">
        <is>
          <t>aerospace, continuum mechanics</t>
        </is>
      </c>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is>
          <t>Soft tissue biomechanics; Nonlinear continuum mechanics; Numerical modeling; Material characterization and constitutive modeling</t>
        </is>
      </c>
      <c r="AI86" s="2" t="inlineStr"/>
      <c r="AJ86" s="2" t="inlineStr">
        <is>
          <t>Soft tissue biomechanics; Nonlinear continuum mechanics; Numerical modeling; Material characterization and constitutive modeling</t>
        </is>
      </c>
      <c r="AK86" s="2" t="inlineStr"/>
      <c r="AL86" s="2" t="inlineStr"/>
      <c r="AM86" s="2" t="inlineStr"/>
      <c r="AN86" s="2" t="inlineStr"/>
      <c r="AO86" s="2" t="inlineStr"/>
      <c r="AP86" s="2" t="inlineStr"/>
      <c r="AQ86" s="2" t="inlineStr"/>
      <c r="AR86" s="2" t="inlineStr"/>
      <c r="AS86" s="2" t="inlineStr"/>
      <c r="AT86" s="2" t="inlineStr">
        <is>
          <t>EER 7.620</t>
        </is>
      </c>
      <c r="AU86" s="2" t="b">
        <v>1</v>
      </c>
      <c r="AV86" s="3">
        <f>HYPERLINK("https://ae.utexas.edu/people/faculty", "https://ae.utexas.edu/people/faculty")</f>
        <v/>
      </c>
    </row>
    <row r="87">
      <c r="A87" s="2" t="inlineStr">
        <is>
          <t>Maruthi R. Akella</t>
        </is>
      </c>
      <c r="B87" s="2" t="inlineStr">
        <is>
          <t>The University of Texas at Austin</t>
        </is>
      </c>
      <c r="C87" s="3">
        <f>HYPERLINK("https://ae.utexas.edu/person/maruthi-r-akella/", "https://ae.utexas.edu/person/maruthi-r-akella/")</f>
        <v/>
      </c>
      <c r="D87" s="3">
        <f>HYPERLINK("https://scholar.google.com/citations?view_op=search_authors&amp;mauthors=Maruthi%20R.%20Akella%20University%20of%20Texas%20at%20Austin", "Google Scholar Search")</f>
        <v/>
      </c>
      <c r="E87" s="2" t="inlineStr">
        <is>
          <t>Professor</t>
        </is>
      </c>
      <c r="F87" s="2" t="inlineStr">
        <is>
          <t>Aerospace Engineering and Engineering Mechanics</t>
        </is>
      </c>
      <c r="G87" s="2" t="inlineStr"/>
      <c r="H87" s="3">
        <f>HYPERLINK("mailto:makella@mail.utexas.edu", "makella@mail.utexas.edu")</f>
        <v/>
      </c>
      <c r="I87" s="2" t="n">
        <v>4</v>
      </c>
      <c r="J87" s="2" t="inlineStr">
        <is>
          <t>🔴 Tier 4: Robotics / Controls / Autonomy</t>
        </is>
      </c>
      <c r="K87" s="2" t="n">
        <v>2</v>
      </c>
      <c r="L87" s="2" t="inlineStr">
        <is>
          <t>aerospace, astrodynamics</t>
        </is>
      </c>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is>
          <t>Learning and Adaptive Systems; Astrodynamics; Dynamics and Control of Coordinated Systems</t>
        </is>
      </c>
      <c r="AI87" s="2" t="inlineStr"/>
      <c r="AJ87" s="2" t="inlineStr">
        <is>
          <t>Learning and Adaptive Systems; Astrodynamics; Dynamics and Control of Coordinated Systems</t>
        </is>
      </c>
      <c r="AK87" s="2" t="inlineStr"/>
      <c r="AL87" s="2" t="inlineStr"/>
      <c r="AM87" s="2" t="inlineStr"/>
      <c r="AN87" s="2" t="inlineStr"/>
      <c r="AO87" s="2" t="inlineStr"/>
      <c r="AP87" s="2" t="inlineStr"/>
      <c r="AQ87" s="2" t="inlineStr"/>
      <c r="AR87" s="2" t="inlineStr"/>
      <c r="AS87" s="2" t="inlineStr"/>
      <c r="AT87" s="2" t="inlineStr">
        <is>
          <t>ASE 3.224</t>
        </is>
      </c>
      <c r="AU87" s="2" t="b">
        <v>1</v>
      </c>
      <c r="AV87" s="3">
        <f>HYPERLINK("https://ae.utexas.edu/people/faculty", "https://ae.utexas.edu/people/faculty")</f>
        <v/>
      </c>
    </row>
    <row r="88">
      <c r="A88" s="2" t="inlineStr">
        <is>
          <t>Mitchell Pryor</t>
        </is>
      </c>
      <c r="B88" s="2" t="inlineStr">
        <is>
          <t>The University of Texas at Austin</t>
        </is>
      </c>
      <c r="C88" s="3">
        <f>HYPERLINK("https://me.utexas.edu/person/mitchell-pryor/", "https://me.utexas.edu/person/mitchell-pryor/")</f>
        <v/>
      </c>
      <c r="D88" s="3">
        <f>HYPERLINK("https://scholar.google.com/citations?view_op=search_authors&amp;mauthors=Mitchell%20Pryor%20University%20of%20Texas%20at%20Austin", "Google Scholar Search")</f>
        <v/>
      </c>
      <c r="E88" s="2" t="inlineStr">
        <is>
          <t>Research Professor</t>
        </is>
      </c>
      <c r="F88" s="2" t="inlineStr">
        <is>
          <t>Walker Department of Mechanical Engineering</t>
        </is>
      </c>
      <c r="G88" s="2" t="inlineStr"/>
      <c r="H88" s="3">
        <f>HYPERLINK("mailto:mpryor@utexas.edu", "mpryor@utexas.edu")</f>
        <v/>
      </c>
      <c r="I88" s="2" t="n">
        <v>4</v>
      </c>
      <c r="J88" s="2" t="inlineStr">
        <is>
          <t>🔴 Tier 4: Robotics / Controls / Autonomy</t>
        </is>
      </c>
      <c r="K88" s="2" t="n">
        <v>2</v>
      </c>
      <c r="L88" s="2" t="inlineStr">
        <is>
          <t>robot, robotics</t>
        </is>
      </c>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is>
          <t>Applied robotics and automation; Robotics in hazardous environments, including nuclear, energy and defense</t>
        </is>
      </c>
      <c r="AI88" s="2" t="inlineStr"/>
      <c r="AJ88" s="2" t="inlineStr">
        <is>
          <t>Applied robotics and automation; Robotics in hazardous environments, including nuclear, energy and defense</t>
        </is>
      </c>
      <c r="AK88" s="2" t="inlineStr"/>
      <c r="AL88" s="2" t="inlineStr"/>
      <c r="AM88" s="2" t="inlineStr"/>
      <c r="AN88" s="2" t="inlineStr"/>
      <c r="AO88" s="2" t="inlineStr"/>
      <c r="AP88" s="2" t="inlineStr"/>
      <c r="AQ88" s="2" t="inlineStr"/>
      <c r="AR88" s="2" t="inlineStr"/>
      <c r="AS88" s="2" t="inlineStr"/>
      <c r="AT88" s="2" t="inlineStr">
        <is>
          <t>AHG 2.202MA</t>
        </is>
      </c>
      <c r="AU88" s="2" t="b">
        <v>1</v>
      </c>
      <c r="AV88" s="3">
        <f>HYPERLINK("https://me.utexas.edu/people/faculty", "https://me.utexas.edu/people/faculty")</f>
        <v/>
      </c>
    </row>
    <row r="89">
      <c r="A89" s="2" t="inlineStr">
        <is>
          <t>Nick Fey</t>
        </is>
      </c>
      <c r="B89" s="2" t="inlineStr">
        <is>
          <t>The University of Texas at Austin</t>
        </is>
      </c>
      <c r="C89" s="3">
        <f>HYPERLINK("https://me.utexas.edu/person/nick-fey/", "https://me.utexas.edu/person/nick-fey/")</f>
        <v/>
      </c>
      <c r="D89" s="3">
        <f>HYPERLINK("https://scholar.google.com/citations?view_op=search_authors&amp;mauthors=Nick%20Fey%20University%20of%20Texas%20at%20Austin", "Google Scholar Search")</f>
        <v/>
      </c>
      <c r="E89" s="2" t="inlineStr">
        <is>
          <t>Associate Professor</t>
        </is>
      </c>
      <c r="F89" s="2" t="inlineStr">
        <is>
          <t>Walker Department of Mechanical Engineering</t>
        </is>
      </c>
      <c r="G89" s="2" t="inlineStr"/>
      <c r="H89" s="3">
        <f>HYPERLINK("mailto:nfey@utexas.edu", "nfey@utexas.edu")</f>
        <v/>
      </c>
      <c r="I89" s="2" t="n">
        <v>4</v>
      </c>
      <c r="J89" s="2" t="inlineStr">
        <is>
          <t>🔴 Tier 4: Robotics / Controls / Autonomy</t>
        </is>
      </c>
      <c r="K89" s="2" t="n">
        <v>2</v>
      </c>
      <c r="L89" s="2" t="inlineStr">
        <is>
          <t>robot, robotics</t>
        </is>
      </c>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is>
          <t>Neuromuscular biomechanics; Rehabilitation robotics; Prosthetics and orthotics; Biomechanical and biomedicine engineering; Robotics and intelligent mechanical systems</t>
        </is>
      </c>
      <c r="AI89" s="2" t="inlineStr"/>
      <c r="AJ89" s="2" t="inlineStr">
        <is>
          <t>Neuromuscular biomechanics; Rehabilitation robotics; Prosthetics and orthotics; Biomechanical and biomedicine engineering; Robotics and intelligent mechanical systems</t>
        </is>
      </c>
      <c r="AK89" s="2" t="inlineStr"/>
      <c r="AL89" s="2" t="inlineStr"/>
      <c r="AM89" s="2" t="inlineStr"/>
      <c r="AN89" s="2" t="inlineStr"/>
      <c r="AO89" s="2" t="inlineStr"/>
      <c r="AP89" s="2" t="inlineStr"/>
      <c r="AQ89" s="2" t="inlineStr"/>
      <c r="AR89" s="2" t="inlineStr"/>
      <c r="AS89" s="2" t="inlineStr"/>
      <c r="AT89" s="2" t="inlineStr">
        <is>
          <t>AHG 2.304MB</t>
        </is>
      </c>
      <c r="AU89" s="2" t="b">
        <v>1</v>
      </c>
      <c r="AV89" s="3">
        <f>HYPERLINK("https://me.utexas.edu/people/faculty", "https://me.utexas.edu/people/faculty")</f>
        <v/>
      </c>
    </row>
    <row r="90">
      <c r="A90" s="2" t="inlineStr">
        <is>
          <t>Puneet Singh</t>
        </is>
      </c>
      <c r="B90" s="2" t="inlineStr">
        <is>
          <t>The University of Texas at Austin</t>
        </is>
      </c>
      <c r="C90" s="3">
        <f>HYPERLINK("https://ae.utexas.edu/person/puneet-singh/", "https://ae.utexas.edu/person/puneet-singh/")</f>
        <v/>
      </c>
      <c r="D90" s="3">
        <f>HYPERLINK("https://scholar.google.com/citations?view_op=search_authors&amp;mauthors=Puneet%20Singh%20University%20of%20Texas%20at%20Austin", "Google Scholar Search")</f>
        <v/>
      </c>
      <c r="E90" s="2" t="inlineStr">
        <is>
          <t>Assistant Professor</t>
        </is>
      </c>
      <c r="F90" s="2" t="inlineStr">
        <is>
          <t>Aerospace Engineering and Engineering Mechanics</t>
        </is>
      </c>
      <c r="G90" s="2" t="inlineStr"/>
      <c r="H90" s="3">
        <f>HYPERLINK("mailto:punsingh@utexas.edu", "punsingh@utexas.edu")</f>
        <v/>
      </c>
      <c r="I90" s="2" t="n">
        <v>4</v>
      </c>
      <c r="J90" s="2" t="inlineStr">
        <is>
          <t>🔴 Tier 4: Robotics / Controls / Autonomy</t>
        </is>
      </c>
      <c r="K90" s="2" t="n">
        <v>2</v>
      </c>
      <c r="L90" s="2" t="inlineStr">
        <is>
          <t>aerospace, elasticity</t>
        </is>
      </c>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is>
          <t xml:space="preserve">Computational aero-servo-elasticity, modeling and simulation; Multidisciplinary design optimization of advanced air mobility systems; System identification, control, flying and handling qualities of highly flexible aircraft </t>
        </is>
      </c>
      <c r="AI90" s="2" t="inlineStr"/>
      <c r="AJ90" s="2" t="inlineStr">
        <is>
          <t xml:space="preserve">Computational aero-servo-elasticity, modeling and simulation; Multidisciplinary design optimization of advanced air mobility systems; System identification, control, flying and handling qualities of highly flexible aircraft </t>
        </is>
      </c>
      <c r="AK90" s="2" t="inlineStr"/>
      <c r="AL90" s="2" t="inlineStr"/>
      <c r="AM90" s="2" t="inlineStr"/>
      <c r="AN90" s="2" t="inlineStr"/>
      <c r="AO90" s="2" t="inlineStr"/>
      <c r="AP90" s="2" t="inlineStr"/>
      <c r="AQ90" s="2" t="inlineStr"/>
      <c r="AR90" s="2" t="inlineStr"/>
      <c r="AS90" s="2" t="inlineStr"/>
      <c r="AT90" s="2" t="inlineStr">
        <is>
          <t>ASE 5.208</t>
        </is>
      </c>
      <c r="AU90" s="2" t="b">
        <v>1</v>
      </c>
      <c r="AV90" s="3">
        <f>HYPERLINK("https://ae.utexas.edu/people/faculty", "https://ae.utexas.edu/people/faculty")</f>
        <v/>
      </c>
    </row>
    <row r="91">
      <c r="A91" s="2" t="inlineStr">
        <is>
          <t>Tan Bui-Thanh</t>
        </is>
      </c>
      <c r="B91" s="2" t="inlineStr">
        <is>
          <t>The University of Texas at Austin</t>
        </is>
      </c>
      <c r="C91" s="3">
        <f>HYPERLINK("https://ae.utexas.edu/person/tan-bui-thanh/", "https://ae.utexas.edu/person/tan-bui-thanh/")</f>
        <v/>
      </c>
      <c r="D91" s="3">
        <f>HYPERLINK("https://scholar.google.com/citations?view_op=search_authors&amp;mauthors=Tan%20Bui-Thanh%20University%20of%20Texas%20at%20Austin", "Google Scholar Search")</f>
        <v/>
      </c>
      <c r="E91" s="2" t="inlineStr">
        <is>
          <t>Professor</t>
        </is>
      </c>
      <c r="F91" s="2" t="inlineStr">
        <is>
          <t>Aerospace Engineering and Engineering Mechanics</t>
        </is>
      </c>
      <c r="G91" s="2" t="inlineStr"/>
      <c r="H91" s="3">
        <f>HYPERLINK("mailto:tanbui@oden.utexas.edu", "tanbui@oden.utexas.edu")</f>
        <v/>
      </c>
      <c r="I91" s="2" t="n">
        <v>4</v>
      </c>
      <c r="J91" s="2" t="inlineStr">
        <is>
          <t>🔴 Tier 4: Robotics / Controls / Autonomy</t>
        </is>
      </c>
      <c r="K91" s="2" t="n">
        <v>2</v>
      </c>
      <c r="L91" s="2" t="inlineStr">
        <is>
          <t>aerospace, reduced-order model</t>
        </is>
      </c>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is>
          <t>Quantum-accelerated SciML algorithms for digital twins; Model-constrained Scientific Deep Learning (SciDL) algorithms; Inverse problems and uncertainty quantification; Numerical analysis, numerical optimization and reduced-order modeling (model order reduction)</t>
        </is>
      </c>
      <c r="AI91" s="2" t="inlineStr"/>
      <c r="AJ91" s="2" t="inlineStr">
        <is>
          <t>Quantum-accelerated SciML algorithms for digital twins; Model-constrained Scientific Deep Learning (SciDL) algorithms; Inverse problems and uncertainty quantification; Numerical analysis, numerical optimization and reduced-order modeling (model order reduction)</t>
        </is>
      </c>
      <c r="AK91" s="2" t="inlineStr"/>
      <c r="AL91" s="2" t="inlineStr"/>
      <c r="AM91" s="2" t="inlineStr"/>
      <c r="AN91" s="2" t="inlineStr"/>
      <c r="AO91" s="2" t="inlineStr"/>
      <c r="AP91" s="2" t="inlineStr"/>
      <c r="AQ91" s="2" t="inlineStr"/>
      <c r="AR91" s="2" t="inlineStr"/>
      <c r="AS91" s="2" t="inlineStr"/>
      <c r="AT91" s="2" t="inlineStr">
        <is>
          <t>POB 3.118, ASE 4.220</t>
        </is>
      </c>
      <c r="AU91" s="2" t="b">
        <v>1</v>
      </c>
      <c r="AV91" s="3">
        <f>HYPERLINK("https://ae.utexas.edu/people/faculty", "https://ae.utexas.edu/people/faculty")</f>
        <v/>
      </c>
    </row>
    <row r="92">
      <c r="A92" s="2" t="inlineStr">
        <is>
          <t>Thinh Doan</t>
        </is>
      </c>
      <c r="B92" s="2" t="inlineStr">
        <is>
          <t>The University of Texas at Austin</t>
        </is>
      </c>
      <c r="C92" s="3">
        <f>HYPERLINK("https://ae.utexas.edu/person/thinh-doan/", "https://ae.utexas.edu/person/thinh-doan/")</f>
        <v/>
      </c>
      <c r="D92" s="3">
        <f>HYPERLINK("https://scholar.google.com/citations?view_op=search_authors&amp;mauthors=Thinh%20Doan%20University%20of%20Texas%20at%20Austin", "Google Scholar Search")</f>
        <v/>
      </c>
      <c r="E92" s="2" t="inlineStr">
        <is>
          <t>Assistant Professor</t>
        </is>
      </c>
      <c r="F92" s="2" t="inlineStr">
        <is>
          <t>Aerospace Engineering and Engineering Mechanics</t>
        </is>
      </c>
      <c r="G92" s="2" t="inlineStr"/>
      <c r="H92" s="3">
        <f>HYPERLINK("mailto:thinhdoan@utexas.edu", "thinhdoan@utexas.edu")</f>
        <v/>
      </c>
      <c r="I92" s="2" t="n">
        <v>4</v>
      </c>
      <c r="J92" s="2" t="inlineStr">
        <is>
          <t>🔴 Tier 4: Robotics / Controls / Autonomy</t>
        </is>
      </c>
      <c r="K92" s="2" t="n">
        <v>2</v>
      </c>
      <c r="L92" s="2" t="inlineStr">
        <is>
          <t>aerospace, control theory</t>
        </is>
      </c>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is>
          <t>Real-time decision making for autonomy; Control theory; Optimization and applied probability theory; Reinforcement learning, generative AI and distributed learning</t>
        </is>
      </c>
      <c r="AI92" s="2" t="inlineStr"/>
      <c r="AJ92" s="2" t="inlineStr">
        <is>
          <t>Real-time decision making for autonomy; Control theory; Optimization and applied probability theory; Reinforcement learning, generative AI and distributed learning</t>
        </is>
      </c>
      <c r="AK92" s="2" t="inlineStr"/>
      <c r="AL92" s="2" t="inlineStr"/>
      <c r="AM92" s="2" t="inlineStr"/>
      <c r="AN92" s="2" t="inlineStr"/>
      <c r="AO92" s="2" t="inlineStr"/>
      <c r="AP92" s="2" t="inlineStr"/>
      <c r="AQ92" s="2" t="inlineStr"/>
      <c r="AR92" s="2" t="inlineStr"/>
      <c r="AS92" s="2" t="inlineStr"/>
      <c r="AT92" s="2" t="inlineStr">
        <is>
          <t>ASE 3.206</t>
        </is>
      </c>
      <c r="AU92" s="2" t="b">
        <v>1</v>
      </c>
      <c r="AV92" s="3">
        <f>HYPERLINK("https://ae.utexas.edu/people/faculty", "https://ae.utexas.edu/people/faculty")</f>
        <v/>
      </c>
    </row>
    <row r="93">
      <c r="A93" s="2" t="inlineStr">
        <is>
          <t>Ufuk Topcu</t>
        </is>
      </c>
      <c r="B93" s="2" t="inlineStr">
        <is>
          <t>The University of Texas at Austin</t>
        </is>
      </c>
      <c r="C93" s="3">
        <f>HYPERLINK("https://ae.utexas.edu/person/ufuk-topcu/", "https://ae.utexas.edu/person/ufuk-topcu/")</f>
        <v/>
      </c>
      <c r="D93" s="3">
        <f>HYPERLINK("https://scholar.google.com/citations?view_op=search_authors&amp;mauthors=Ufuk%20Topcu%20University%20of%20Texas%20at%20Austin", "Google Scholar Search")</f>
        <v/>
      </c>
      <c r="E93" s="2" t="inlineStr">
        <is>
          <t>Professor</t>
        </is>
      </c>
      <c r="F93" s="2" t="inlineStr">
        <is>
          <t>Aerospace Engineering and Engineering Mechanics</t>
        </is>
      </c>
      <c r="G93" s="2" t="inlineStr"/>
      <c r="H93" s="3">
        <f>HYPERLINK("mailto:utopcu@utexas.edu", "utopcu@utexas.edu")</f>
        <v/>
      </c>
      <c r="I93" s="2" t="n">
        <v>4</v>
      </c>
      <c r="J93" s="2" t="inlineStr">
        <is>
          <t>🔴 Tier 4: Robotics / Controls / Autonomy</t>
        </is>
      </c>
      <c r="K93" s="2" t="n">
        <v>2</v>
      </c>
      <c r="L93" s="2" t="inlineStr">
        <is>
          <t>aerospace, autonomous</t>
        </is>
      </c>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is>
          <t>Design, controls and verification of autonomous networked systems</t>
        </is>
      </c>
      <c r="AI93" s="2" t="inlineStr"/>
      <c r="AJ93" s="2" t="inlineStr">
        <is>
          <t>Design, controls and verification of autonomous networked systems</t>
        </is>
      </c>
      <c r="AK93" s="2" t="inlineStr"/>
      <c r="AL93" s="2" t="inlineStr"/>
      <c r="AM93" s="2" t="inlineStr"/>
      <c r="AN93" s="2" t="inlineStr"/>
      <c r="AO93" s="2" t="inlineStr"/>
      <c r="AP93" s="2" t="inlineStr"/>
      <c r="AQ93" s="2" t="inlineStr"/>
      <c r="AR93" s="2" t="inlineStr"/>
      <c r="AS93" s="2" t="inlineStr"/>
      <c r="AT93" s="2" t="inlineStr">
        <is>
          <t>POB 5.436</t>
        </is>
      </c>
      <c r="AU93" s="2" t="b">
        <v>1</v>
      </c>
      <c r="AV93" s="3">
        <f>HYPERLINK("https://ae.utexas.edu/people/faculty", "https://ae.utexas.edu/people/faculty")</f>
        <v/>
      </c>
    </row>
    <row r="94">
      <c r="A94" s="2" t="inlineStr">
        <is>
          <t>Ashish  Deshpande</t>
        </is>
      </c>
      <c r="B94" s="2" t="inlineStr">
        <is>
          <t>The University of Texas at Austin</t>
        </is>
      </c>
      <c r="C94" s="3">
        <f>HYPERLINK("https://me.utexas.edu/person/ashish-deshpande/", "https://me.utexas.edu/person/ashish-deshpande/")</f>
        <v/>
      </c>
      <c r="D94" s="3">
        <f>HYPERLINK("https://scholar.google.com/citations?view_op=search_authors&amp;mauthors=Ashish%20%20Deshpande%20University%20of%20Texas%20at%20Austin", "Google Scholar Search")</f>
        <v/>
      </c>
      <c r="E94" s="2" t="inlineStr">
        <is>
          <t>Professor</t>
        </is>
      </c>
      <c r="F94" s="2" t="inlineStr">
        <is>
          <t>Walker Department of Mechanical Engineering</t>
        </is>
      </c>
      <c r="G94" s="2" t="inlineStr"/>
      <c r="H94" s="3">
        <f>HYPERLINK("mailto:ashish@austin.utexas.edu", "ashish@austin.utexas.edu")</f>
        <v/>
      </c>
      <c r="I94" s="2" t="n">
        <v>4</v>
      </c>
      <c r="J94" s="2" t="inlineStr">
        <is>
          <t>🔴 Tier 4: Robotics / Controls / Autonomy</t>
        </is>
      </c>
      <c r="K94" s="2" t="n">
        <v>1</v>
      </c>
      <c r="L94" s="2" t="inlineStr">
        <is>
          <t>robot</t>
        </is>
      </c>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is>
          <t>Development of robotic devices based on biomechanical analyses to assist in rehabilitation, improve prostheses design and provide fitness opportunities for the severely disabled</t>
        </is>
      </c>
      <c r="AI94" s="2" t="inlineStr"/>
      <c r="AJ94" s="2" t="inlineStr">
        <is>
          <t>Development of robotic devices based on biomechanical analyses to assist in rehabilitation, improve prostheses design and provide fitness opportunities for the severely disabled</t>
        </is>
      </c>
      <c r="AK94" s="2" t="inlineStr"/>
      <c r="AL94" s="2" t="inlineStr"/>
      <c r="AM94" s="2" t="inlineStr"/>
      <c r="AN94" s="2" t="inlineStr"/>
      <c r="AO94" s="2" t="inlineStr"/>
      <c r="AP94" s="2" t="inlineStr"/>
      <c r="AQ94" s="2" t="inlineStr"/>
      <c r="AR94" s="2" t="inlineStr"/>
      <c r="AS94" s="2" t="inlineStr"/>
      <c r="AT94" s="2" t="inlineStr">
        <is>
          <t>AHG 2.324</t>
        </is>
      </c>
      <c r="AU94" s="2" t="b">
        <v>1</v>
      </c>
      <c r="AV94" s="3">
        <f>HYPERLINK("https://me.utexas.edu/people/faculty", "https://me.utexas.edu/people/faculty")</f>
        <v/>
      </c>
    </row>
    <row r="95">
      <c r="A95" s="2" t="inlineStr">
        <is>
          <t>Fangzhou Xia</t>
        </is>
      </c>
      <c r="B95" s="2" t="inlineStr">
        <is>
          <t>The University of Texas at Austin</t>
        </is>
      </c>
      <c r="C95" s="3">
        <f>HYPERLINK("https://me.utexas.edu/person/fangzhou-xia/", "https://me.utexas.edu/person/fangzhou-xia/")</f>
        <v/>
      </c>
      <c r="D95" s="3">
        <f>HYPERLINK("https://scholar.google.com/citations?view_op=search_authors&amp;mauthors=Fangzhou%20Xia%20University%20of%20Texas%20at%20Austin", "Google Scholar Search")</f>
        <v/>
      </c>
      <c r="E95" s="2" t="inlineStr">
        <is>
          <t>Assistant Professor</t>
        </is>
      </c>
      <c r="F95" s="2" t="inlineStr">
        <is>
          <t>Walker Department of Mechanical Engineering</t>
        </is>
      </c>
      <c r="G95" s="2" t="inlineStr"/>
      <c r="H95" s="3">
        <f>HYPERLINK("mailto:fangzhou.xia@austin.utexas.edu", "fangzhou.xia@austin.utexas.edu")</f>
        <v/>
      </c>
      <c r="I95" s="2" t="n">
        <v>4</v>
      </c>
      <c r="J95" s="2" t="inlineStr">
        <is>
          <t>🔴 Tier 4: Robotics / Controls / Autonomy</t>
        </is>
      </c>
      <c r="K95" s="2" t="n">
        <v>1</v>
      </c>
      <c r="L95" s="2" t="inlineStr">
        <is>
          <t>robot</t>
        </is>
      </c>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is>
          <t>Precision mechatronics; Instrumentation; Dynamic systems and control; Nanotechnology; Scanning probe microscopy; Miniaturized robots; Medical devices</t>
        </is>
      </c>
      <c r="AI95" s="2" t="inlineStr"/>
      <c r="AJ95" s="2" t="inlineStr">
        <is>
          <t>Precision mechatronics; Instrumentation; Dynamic systems and control; Nanotechnology; Scanning probe microscopy; Miniaturized robots; Medical devices</t>
        </is>
      </c>
      <c r="AK95" s="2" t="inlineStr"/>
      <c r="AL95" s="2" t="inlineStr"/>
      <c r="AM95" s="2" t="inlineStr"/>
      <c r="AN95" s="2" t="inlineStr"/>
      <c r="AO95" s="2" t="inlineStr"/>
      <c r="AP95" s="2" t="inlineStr"/>
      <c r="AQ95" s="2" t="inlineStr"/>
      <c r="AR95" s="2" t="inlineStr"/>
      <c r="AS95" s="2" t="inlineStr"/>
      <c r="AT95" s="2" t="inlineStr">
        <is>
          <t>ETC 4.158</t>
        </is>
      </c>
      <c r="AU95" s="2" t="b">
        <v>1</v>
      </c>
      <c r="AV95" s="3">
        <f>HYPERLINK("https://me.utexas.edu/people/faculty", "https://me.utexas.edu/people/faculty")</f>
        <v/>
      </c>
    </row>
    <row r="96">
      <c r="A96" s="2" t="inlineStr">
        <is>
          <t>Jeffrey K. Bennighof</t>
        </is>
      </c>
      <c r="B96" s="2" t="inlineStr">
        <is>
          <t>The University of Texas at Austin</t>
        </is>
      </c>
      <c r="C96" s="3">
        <f>HYPERLINK("https://ae.utexas.edu/person/jeffrey-k-bennighof/", "https://ae.utexas.edu/person/jeffrey-k-bennighof/")</f>
        <v/>
      </c>
      <c r="D96" s="3">
        <f>HYPERLINK("https://scholar.google.com/citations?view_op=search_authors&amp;mauthors=Jeffrey%20K.%20Bennighof%20University%20of%20Texas%20at%20Austin", "Google Scholar Search")</f>
        <v/>
      </c>
      <c r="E96" s="2" t="inlineStr">
        <is>
          <t>Research Professor</t>
        </is>
      </c>
      <c r="F96" s="2" t="inlineStr">
        <is>
          <t>Aerospace Engineering and Engineering Mechanics</t>
        </is>
      </c>
      <c r="G96" s="2" t="inlineStr"/>
      <c r="H96" s="3">
        <f>HYPERLINK("mailto:bennighof@mail.utexas.edu", "bennighof@mail.utexas.edu")</f>
        <v/>
      </c>
      <c r="I96" s="2" t="n">
        <v>4</v>
      </c>
      <c r="J96" s="2" t="inlineStr">
        <is>
          <t>🔴 Tier 4: Robotics / Controls / Autonomy</t>
        </is>
      </c>
      <c r="K96" s="2" t="n">
        <v>1</v>
      </c>
      <c r="L96" s="2" t="inlineStr">
        <is>
          <t>aerospace</t>
        </is>
      </c>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is>
          <t>Computation in structural dynamics; Noise and vibration analysis of vehicles; Minimum time control of structures</t>
        </is>
      </c>
      <c r="AI96" s="2" t="inlineStr"/>
      <c r="AJ96" s="2" t="inlineStr">
        <is>
          <t>Computation in structural dynamics; Noise and vibration analysis of vehicles; Minimum time control of structures</t>
        </is>
      </c>
      <c r="AK96" s="2" t="inlineStr"/>
      <c r="AL96" s="2" t="inlineStr"/>
      <c r="AM96" s="2" t="inlineStr"/>
      <c r="AN96" s="2" t="inlineStr"/>
      <c r="AO96" s="2" t="inlineStr"/>
      <c r="AP96" s="2" t="inlineStr"/>
      <c r="AQ96" s="2" t="inlineStr"/>
      <c r="AR96" s="2" t="inlineStr"/>
      <c r="AS96" s="2" t="inlineStr"/>
      <c r="AT96" s="2" t="inlineStr">
        <is>
          <t>ASE 5.208</t>
        </is>
      </c>
      <c r="AU96" s="2" t="b">
        <v>1</v>
      </c>
      <c r="AV96" s="3">
        <f>HYPERLINK("https://ae.utexas.edu/people/faculty", "https://ae.utexas.edu/people/faculty")</f>
        <v/>
      </c>
    </row>
    <row r="97">
      <c r="A97" s="2" t="inlineStr">
        <is>
          <t>Matthew Hall</t>
        </is>
      </c>
      <c r="B97" s="2" t="inlineStr">
        <is>
          <t>The University of Texas at Austin</t>
        </is>
      </c>
      <c r="C97" s="3">
        <f>HYPERLINK("https://me.utexas.edu/person/matthew-hall/", "https://me.utexas.edu/person/matthew-hall/")</f>
        <v/>
      </c>
      <c r="D97" s="3">
        <f>HYPERLINK("https://scholar.google.com/citations?view_op=search_authors&amp;mauthors=Matthew%20Hall%20University%20of%20Texas%20at%20Austin", "Google Scholar Search")</f>
        <v/>
      </c>
      <c r="E97" s="2" t="inlineStr">
        <is>
          <t>Professor</t>
        </is>
      </c>
      <c r="F97" s="2" t="inlineStr">
        <is>
          <t>Walker Department of Mechanical Engineering</t>
        </is>
      </c>
      <c r="G97" s="2" t="inlineStr"/>
      <c r="H97" s="3">
        <f>HYPERLINK("mailto:mjhall@mail.utexas.edu", "mjhall@mail.utexas.edu")</f>
        <v/>
      </c>
      <c r="I97" s="2" t="n">
        <v>4</v>
      </c>
      <c r="J97" s="2" t="inlineStr">
        <is>
          <t>🔴 Tier 4: Robotics / Controls / Autonomy</t>
        </is>
      </c>
      <c r="K97" s="2" t="n">
        <v>1</v>
      </c>
      <c r="L97" s="2" t="inlineStr">
        <is>
          <t>combustion</t>
        </is>
      </c>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is>
          <t>Engine combustion processes; Engine controls; Optical measurement techniques; Engine sensor development; Gasoline engine cold-start emissions; Spark ignition characterization; Engine friction; Diesel engine waste heat recovery; Alternative fuels</t>
        </is>
      </c>
      <c r="AI97" s="2" t="inlineStr"/>
      <c r="AJ97" s="2" t="inlineStr">
        <is>
          <t>Engine combustion processes; Engine controls; Optical measurement techniques; Engine sensor development; Gasoline engine cold-start emissions; Spark ignition characterization; Engine friction; Diesel engine waste heat recovery; Alternative fuels</t>
        </is>
      </c>
      <c r="AK97" s="2" t="inlineStr"/>
      <c r="AL97" s="2" t="inlineStr"/>
      <c r="AM97" s="2" t="inlineStr"/>
      <c r="AN97" s="2" t="inlineStr"/>
      <c r="AO97" s="2" t="inlineStr"/>
      <c r="AP97" s="2" t="inlineStr"/>
      <c r="AQ97" s="2" t="inlineStr"/>
      <c r="AR97" s="2" t="inlineStr"/>
      <c r="AS97" s="2" t="inlineStr"/>
      <c r="AT97" s="2" t="inlineStr">
        <is>
          <t>ETC 7.142C</t>
        </is>
      </c>
      <c r="AU97" s="2" t="b">
        <v>1</v>
      </c>
      <c r="AV97" s="3">
        <f>HYPERLINK("https://me.utexas.edu/people/faculty", "https://me.utexas.edu/people/faculty")</f>
        <v/>
      </c>
    </row>
    <row r="98">
      <c r="A98" s="2" t="inlineStr">
        <is>
          <t>Narayana Aluru</t>
        </is>
      </c>
      <c r="B98" s="2" t="inlineStr">
        <is>
          <t>The University of Texas at Austin</t>
        </is>
      </c>
      <c r="C98" s="3">
        <f>HYPERLINK("https://me.utexas.edu/person/narayana-aluru/", "https://me.utexas.edu/person/narayana-aluru/")</f>
        <v/>
      </c>
      <c r="D98" s="3">
        <f>HYPERLINK("https://scholar.google.com/citations?view_op=search_authors&amp;mauthors=Narayana%20Aluru%20University%20of%20Texas%20at%20Austin", "Google Scholar Search")</f>
        <v/>
      </c>
      <c r="E98" s="2" t="inlineStr">
        <is>
          <t>Professor</t>
        </is>
      </c>
      <c r="F98" s="2" t="inlineStr">
        <is>
          <t>Walker Department of Mechanical Engineering</t>
        </is>
      </c>
      <c r="G98" s="2" t="inlineStr"/>
      <c r="H98" s="3">
        <f>HYPERLINK("mailto:aluru@utexas.edu", "aluru@utexas.edu")</f>
        <v/>
      </c>
      <c r="I98" s="2" t="n">
        <v>4</v>
      </c>
      <c r="J98" s="2" t="inlineStr">
        <is>
          <t>🔴 Tier 4: Robotics / Controls / Autonomy</t>
        </is>
      </c>
      <c r="K98" s="2" t="n">
        <v>1</v>
      </c>
      <c r="L98" s="2" t="inlineStr">
        <is>
          <t>multiscale</t>
        </is>
      </c>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is>
          <t>Multiscale methods; Nanofluidics; Nanomechanics; Neuromorphic ionic computing; Quantum computing; Energy-water nexus; Solid-liquid interfaces</t>
        </is>
      </c>
      <c r="AI98" s="2" t="inlineStr"/>
      <c r="AJ98" s="2" t="inlineStr">
        <is>
          <t>Multiscale methods; Nanofluidics; Nanomechanics; Neuromorphic ionic computing; Quantum computing; Energy-water nexus; Solid-liquid interfaces</t>
        </is>
      </c>
      <c r="AK98" s="2" t="inlineStr"/>
      <c r="AL98" s="2" t="inlineStr"/>
      <c r="AM98" s="2" t="inlineStr"/>
      <c r="AN98" s="2" t="inlineStr"/>
      <c r="AO98" s="2" t="inlineStr"/>
      <c r="AP98" s="2" t="inlineStr"/>
      <c r="AQ98" s="2" t="inlineStr"/>
      <c r="AR98" s="2" t="inlineStr"/>
      <c r="AS98" s="2" t="inlineStr"/>
      <c r="AT98" s="2" t="inlineStr">
        <is>
          <t>POB 3.340</t>
        </is>
      </c>
      <c r="AU98" s="2" t="b">
        <v>1</v>
      </c>
      <c r="AV98" s="3">
        <f>HYPERLINK("https://me.utexas.edu/people/faculty", "https://me.utexas.edu/people/faculty")</f>
        <v/>
      </c>
    </row>
    <row r="99">
      <c r="A99" s="2" t="inlineStr">
        <is>
          <t>Nicholas H. Nelsen</t>
        </is>
      </c>
      <c r="B99" s="2" t="inlineStr">
        <is>
          <t>The University of Texas at Austin</t>
        </is>
      </c>
      <c r="C99" s="3">
        <f>HYPERLINK("https://ae.utexas.edu/person/nicholas-h-nelsen/", "https://ae.utexas.edu/person/nicholas-h-nelsen/")</f>
        <v/>
      </c>
      <c r="D99" s="3">
        <f>HYPERLINK("https://scholar.google.com/citations?view_op=search_authors&amp;mauthors=Nicholas%20H.%20Nelsen%20University%20of%20Texas%20at%20Austin", "Google Scholar Search")</f>
        <v/>
      </c>
      <c r="E99" s="2" t="inlineStr">
        <is>
          <t>Assistant Professor</t>
        </is>
      </c>
      <c r="F99" s="2" t="inlineStr">
        <is>
          <t>Aerospace Engineering and Engineering Mechanics</t>
        </is>
      </c>
      <c r="G99" s="2" t="inlineStr"/>
      <c r="H99" s="3">
        <f>HYPERLINK("mailto:nnelsen@oden.utexas.edu", "nnelsen@oden.utexas.edu")</f>
        <v/>
      </c>
      <c r="I99" s="2" t="n">
        <v>4</v>
      </c>
      <c r="J99" s="2" t="inlineStr">
        <is>
          <t>🔴 Tier 4: Robotics / Controls / Autonomy</t>
        </is>
      </c>
      <c r="K99" s="2" t="n">
        <v>1</v>
      </c>
      <c r="L99" s="2" t="inlineStr">
        <is>
          <t>aerospace</t>
        </is>
      </c>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is>
          <t>Uncertainty quantification; Statistics; Applied probability; Inverse problems; Scientific machine learning</t>
        </is>
      </c>
      <c r="AI99" s="2" t="inlineStr"/>
      <c r="AJ99" s="2" t="inlineStr">
        <is>
          <t>Uncertainty quantification; Statistics; Applied probability; Inverse problems; Scientific machine learning</t>
        </is>
      </c>
      <c r="AK99" s="2" t="inlineStr"/>
      <c r="AL99" s="2" t="inlineStr"/>
      <c r="AM99" s="2" t="inlineStr"/>
      <c r="AN99" s="2" t="inlineStr"/>
      <c r="AO99" s="2" t="inlineStr"/>
      <c r="AP99" s="2" t="inlineStr"/>
      <c r="AQ99" s="2" t="inlineStr"/>
      <c r="AR99" s="2" t="inlineStr"/>
      <c r="AS99" s="2" t="inlineStr"/>
      <c r="AT99" s="2" t="inlineStr">
        <is>
          <t>POB 6.334</t>
        </is>
      </c>
      <c r="AU99" s="2" t="b">
        <v>1</v>
      </c>
      <c r="AV99" s="3">
        <f>HYPERLINK("https://ae.utexas.edu/people/faculty", "https://ae.utexas.edu/people/faculty")</f>
        <v/>
      </c>
    </row>
    <row r="100">
      <c r="A100" s="2" t="inlineStr">
        <is>
          <t>Raul Longoria</t>
        </is>
      </c>
      <c r="B100" s="2" t="inlineStr">
        <is>
          <t>The University of Texas at Austin</t>
        </is>
      </c>
      <c r="C100" s="3">
        <f>HYPERLINK("https://me.utexas.edu/person/raul-longoria/", "https://me.utexas.edu/person/raul-longoria/")</f>
        <v/>
      </c>
      <c r="D100" s="3">
        <f>HYPERLINK("https://scholar.google.com/citations?view_op=search_authors&amp;mauthors=Raul%20Longoria%20University%20of%20Texas%20at%20Austin", "Google Scholar Search")</f>
        <v/>
      </c>
      <c r="E100" s="2" t="inlineStr">
        <is>
          <t>Professor</t>
        </is>
      </c>
      <c r="F100" s="2" t="inlineStr">
        <is>
          <t>Walker Department of Mechanical Engineering</t>
        </is>
      </c>
      <c r="G100" s="2" t="inlineStr"/>
      <c r="H100" s="3">
        <f>HYPERLINK("mailto:r.longoria@mail.utexas.edu", "r.longoria@mail.utexas.edu")</f>
        <v/>
      </c>
      <c r="I100" s="2" t="n">
        <v>4</v>
      </c>
      <c r="J100" s="2" t="inlineStr">
        <is>
          <t>🔴 Tier 4: Robotics / Controls / Autonomy</t>
        </is>
      </c>
      <c r="K100" s="2" t="n">
        <v>1</v>
      </c>
      <c r="L100" s="2" t="inlineStr">
        <is>
          <t>system dynamics</t>
        </is>
      </c>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is>
          <t>Multi-disciplinary dynamic system modeling; Bond graphs; Vehicle system dynamics and controls; Electromechanical system modeling and simulation; Applications of machine learning and AI</t>
        </is>
      </c>
      <c r="AI100" s="2" t="inlineStr"/>
      <c r="AJ100" s="2" t="inlineStr">
        <is>
          <t>Multi-disciplinary dynamic system modeling; Bond graphs; Vehicle system dynamics and controls; Electromechanical system modeling and simulation; Applications of machine learning and AI</t>
        </is>
      </c>
      <c r="AK100" s="2" t="inlineStr"/>
      <c r="AL100" s="2" t="inlineStr"/>
      <c r="AM100" s="2" t="inlineStr"/>
      <c r="AN100" s="2" t="inlineStr"/>
      <c r="AO100" s="2" t="inlineStr"/>
      <c r="AP100" s="2" t="inlineStr"/>
      <c r="AQ100" s="2" t="inlineStr"/>
      <c r="AR100" s="2" t="inlineStr"/>
      <c r="AS100" s="2" t="inlineStr"/>
      <c r="AT100" s="2" t="inlineStr">
        <is>
          <t>ETC 4.170</t>
        </is>
      </c>
      <c r="AU100" s="2" t="b">
        <v>1</v>
      </c>
      <c r="AV100" s="3">
        <f>HYPERLINK("https://me.utexas.edu/people/faculty", "https://me.utexas.edu/people/faculty")</f>
        <v/>
      </c>
    </row>
    <row r="101">
      <c r="A101" s="2" t="inlineStr">
        <is>
          <t>Tom Connolly</t>
        </is>
      </c>
      <c r="B101" s="2" t="inlineStr">
        <is>
          <t>The University of Texas at Austin</t>
        </is>
      </c>
      <c r="C101" s="3">
        <f>HYPERLINK("https://ae.utexas.edu/person/tom-connolly/", "https://ae.utexas.edu/person/tom-connolly/")</f>
        <v/>
      </c>
      <c r="D101" s="3">
        <f>HYPERLINK("https://scholar.google.com/citations?view_op=search_authors&amp;mauthors=Tom%20Connolly%20University%20of%20Texas%20at%20Austin", "Google Scholar Search")</f>
        <v/>
      </c>
      <c r="E101" s="2" t="inlineStr">
        <is>
          <t>Assistant Professor of Instruction</t>
        </is>
      </c>
      <c r="F101" s="2" t="inlineStr">
        <is>
          <t>Aerospace Engineering and Engineering Mechanics</t>
        </is>
      </c>
      <c r="G101" s="2" t="inlineStr"/>
      <c r="H101" s="3">
        <f>HYPERLINK("mailto:tjconn@austin.utexas.edu", "tjconn@austin.utexas.edu")</f>
        <v/>
      </c>
      <c r="I101" s="2" t="n">
        <v>4</v>
      </c>
      <c r="J101" s="2" t="inlineStr">
        <is>
          <t>🔴 Tier 4: Robotics / Controls / Autonomy</t>
        </is>
      </c>
      <c r="K101" s="2" t="n">
        <v>1</v>
      </c>
      <c r="L101" s="2" t="inlineStr">
        <is>
          <t>aerospace</t>
        </is>
      </c>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is>
          <t>Engineering education; Teaching assistant development; Evidence-based instructional practices, Faculty development, STEM student success; International engineering education</t>
        </is>
      </c>
      <c r="AI101" s="2" t="inlineStr"/>
      <c r="AJ101" s="2" t="inlineStr">
        <is>
          <t>Engineering education; Teaching assistant development; Evidence-based instructional practices, Faculty development, STEM student success; International engineering education</t>
        </is>
      </c>
      <c r="AK101" s="2" t="inlineStr"/>
      <c r="AL101" s="2" t="inlineStr"/>
      <c r="AM101" s="2" t="inlineStr"/>
      <c r="AN101" s="2" t="inlineStr"/>
      <c r="AO101" s="2" t="inlineStr"/>
      <c r="AP101" s="2" t="inlineStr"/>
      <c r="AQ101" s="2" t="inlineStr"/>
      <c r="AR101" s="2" t="inlineStr"/>
      <c r="AS101" s="2" t="inlineStr"/>
      <c r="AT101" s="2" t="inlineStr">
        <is>
          <t>GLT 3.220</t>
        </is>
      </c>
      <c r="AU101" s="2" t="b">
        <v>1</v>
      </c>
      <c r="AV101" s="3">
        <f>HYPERLINK("https://ae.utexas.edu/people/faculty", "https://ae.utexas.edu/people/faculty")</f>
        <v/>
      </c>
    </row>
    <row r="102">
      <c r="A102" s="2" t="inlineStr">
        <is>
          <t>Yuebing Zheng</t>
        </is>
      </c>
      <c r="B102" s="2" t="inlineStr">
        <is>
          <t>The University of Texas at Austin</t>
        </is>
      </c>
      <c r="C102" s="3">
        <f>HYPERLINK("https://me.utexas.edu/person/yuebing-zheng/", "https://me.utexas.edu/person/yuebing-zheng/")</f>
        <v/>
      </c>
      <c r="D102" s="3">
        <f>HYPERLINK("https://scholar.google.com/citations?view_op=search_authors&amp;mauthors=Yuebing%20Zheng%20University%20of%20Texas%20at%20Austin", "Google Scholar Search")</f>
        <v/>
      </c>
      <c r="E102" s="2" t="inlineStr">
        <is>
          <t>Professor</t>
        </is>
      </c>
      <c r="F102" s="2" t="inlineStr">
        <is>
          <t>Walker Department of Mechanical Engineering</t>
        </is>
      </c>
      <c r="G102" s="2" t="inlineStr"/>
      <c r="H102" s="3">
        <f>HYPERLINK("mailto:zheng@austin.utexas.edu", "zheng@austin.utexas.edu")</f>
        <v/>
      </c>
      <c r="I102" s="2" t="n">
        <v>4</v>
      </c>
      <c r="J102" s="2" t="inlineStr">
        <is>
          <t>🔴 Tier 4: Robotics / Controls / Autonomy</t>
        </is>
      </c>
      <c r="K102" s="2" t="n">
        <v>1</v>
      </c>
      <c r="L102" s="2" t="inlineStr">
        <is>
          <t>thermal</t>
        </is>
      </c>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is>
          <t>Optical manipulation and measurement; Thermal photonics; Nano/biophotonics; Machine learning</t>
        </is>
      </c>
      <c r="AI102" s="2" t="inlineStr"/>
      <c r="AJ102" s="2" t="inlineStr">
        <is>
          <t>Optical manipulation and measurement; Thermal photonics; Nano/biophotonics; Machine learning</t>
        </is>
      </c>
      <c r="AK102" s="2" t="inlineStr"/>
      <c r="AL102" s="2" t="inlineStr"/>
      <c r="AM102" s="2" t="inlineStr"/>
      <c r="AN102" s="2" t="inlineStr"/>
      <c r="AO102" s="2" t="inlineStr"/>
      <c r="AP102" s="2" t="inlineStr"/>
      <c r="AQ102" s="2" t="inlineStr"/>
      <c r="AR102" s="2" t="inlineStr"/>
      <c r="AS102" s="2" t="inlineStr"/>
      <c r="AT102" s="2" t="inlineStr">
        <is>
          <t>ETC 9.104</t>
        </is>
      </c>
      <c r="AU102" s="2" t="b">
        <v>1</v>
      </c>
      <c r="AV102" s="3">
        <f>HYPERLINK("https://me.utexas.edu/people/faculty", "https://me.utexas.edu/people/faculty")</f>
        <v/>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H2" r:id="rId3"/>
    <hyperlink xmlns:r="http://schemas.openxmlformats.org/officeDocument/2006/relationships" ref="P2" r:id="rId4"/>
    <hyperlink xmlns:r="http://schemas.openxmlformats.org/officeDocument/2006/relationships" ref="T2" r:id="rId5"/>
    <hyperlink xmlns:r="http://schemas.openxmlformats.org/officeDocument/2006/relationships" ref="X2" r:id="rId6"/>
    <hyperlink xmlns:r="http://schemas.openxmlformats.org/officeDocument/2006/relationships" ref="AV2" r:id="rId7"/>
    <hyperlink xmlns:r="http://schemas.openxmlformats.org/officeDocument/2006/relationships" ref="C3" r:id="rId8"/>
    <hyperlink xmlns:r="http://schemas.openxmlformats.org/officeDocument/2006/relationships" ref="D3" r:id="rId9"/>
    <hyperlink xmlns:r="http://schemas.openxmlformats.org/officeDocument/2006/relationships" ref="H3" r:id="rId10"/>
    <hyperlink xmlns:r="http://schemas.openxmlformats.org/officeDocument/2006/relationships" ref="P3" r:id="rId11"/>
    <hyperlink xmlns:r="http://schemas.openxmlformats.org/officeDocument/2006/relationships" ref="T3" r:id="rId12"/>
    <hyperlink xmlns:r="http://schemas.openxmlformats.org/officeDocument/2006/relationships" ref="X3" r:id="rId13"/>
    <hyperlink xmlns:r="http://schemas.openxmlformats.org/officeDocument/2006/relationships" ref="AV3" r:id="rId14"/>
    <hyperlink xmlns:r="http://schemas.openxmlformats.org/officeDocument/2006/relationships" ref="C4" r:id="rId15"/>
    <hyperlink xmlns:r="http://schemas.openxmlformats.org/officeDocument/2006/relationships" ref="D4" r:id="rId16"/>
    <hyperlink xmlns:r="http://schemas.openxmlformats.org/officeDocument/2006/relationships" ref="H4" r:id="rId17"/>
    <hyperlink xmlns:r="http://schemas.openxmlformats.org/officeDocument/2006/relationships" ref="P4" r:id="rId18"/>
    <hyperlink xmlns:r="http://schemas.openxmlformats.org/officeDocument/2006/relationships" ref="T4" r:id="rId19"/>
    <hyperlink xmlns:r="http://schemas.openxmlformats.org/officeDocument/2006/relationships" ref="X4" r:id="rId20"/>
    <hyperlink xmlns:r="http://schemas.openxmlformats.org/officeDocument/2006/relationships" ref="AV4" r:id="rId21"/>
    <hyperlink xmlns:r="http://schemas.openxmlformats.org/officeDocument/2006/relationships" ref="C5" r:id="rId22"/>
    <hyperlink xmlns:r="http://schemas.openxmlformats.org/officeDocument/2006/relationships" ref="D5" r:id="rId23"/>
    <hyperlink xmlns:r="http://schemas.openxmlformats.org/officeDocument/2006/relationships" ref="H5" r:id="rId24"/>
    <hyperlink xmlns:r="http://schemas.openxmlformats.org/officeDocument/2006/relationships" ref="P5" r:id="rId25"/>
    <hyperlink xmlns:r="http://schemas.openxmlformats.org/officeDocument/2006/relationships" ref="T5" r:id="rId26"/>
    <hyperlink xmlns:r="http://schemas.openxmlformats.org/officeDocument/2006/relationships" ref="X5" r:id="rId27"/>
    <hyperlink xmlns:r="http://schemas.openxmlformats.org/officeDocument/2006/relationships" ref="AV5" r:id="rId28"/>
    <hyperlink xmlns:r="http://schemas.openxmlformats.org/officeDocument/2006/relationships" ref="C6" r:id="rId29"/>
    <hyperlink xmlns:r="http://schemas.openxmlformats.org/officeDocument/2006/relationships" ref="D6" r:id="rId30"/>
    <hyperlink xmlns:r="http://schemas.openxmlformats.org/officeDocument/2006/relationships" ref="H6" r:id="rId31"/>
    <hyperlink xmlns:r="http://schemas.openxmlformats.org/officeDocument/2006/relationships" ref="P6" r:id="rId32"/>
    <hyperlink xmlns:r="http://schemas.openxmlformats.org/officeDocument/2006/relationships" ref="T6" r:id="rId33"/>
    <hyperlink xmlns:r="http://schemas.openxmlformats.org/officeDocument/2006/relationships" ref="X6" r:id="rId34"/>
    <hyperlink xmlns:r="http://schemas.openxmlformats.org/officeDocument/2006/relationships" ref="AV6" r:id="rId35"/>
    <hyperlink xmlns:r="http://schemas.openxmlformats.org/officeDocument/2006/relationships" ref="C7" r:id="rId36"/>
    <hyperlink xmlns:r="http://schemas.openxmlformats.org/officeDocument/2006/relationships" ref="D7" r:id="rId37"/>
    <hyperlink xmlns:r="http://schemas.openxmlformats.org/officeDocument/2006/relationships" ref="H7" r:id="rId38"/>
    <hyperlink xmlns:r="http://schemas.openxmlformats.org/officeDocument/2006/relationships" ref="P7" r:id="rId39"/>
    <hyperlink xmlns:r="http://schemas.openxmlformats.org/officeDocument/2006/relationships" ref="T7" r:id="rId40"/>
    <hyperlink xmlns:r="http://schemas.openxmlformats.org/officeDocument/2006/relationships" ref="X7" r:id="rId41"/>
    <hyperlink xmlns:r="http://schemas.openxmlformats.org/officeDocument/2006/relationships" ref="AV7" r:id="rId42"/>
    <hyperlink xmlns:r="http://schemas.openxmlformats.org/officeDocument/2006/relationships" ref="C8" r:id="rId43"/>
    <hyperlink xmlns:r="http://schemas.openxmlformats.org/officeDocument/2006/relationships" ref="D8" r:id="rId44"/>
    <hyperlink xmlns:r="http://schemas.openxmlformats.org/officeDocument/2006/relationships" ref="H8" r:id="rId45"/>
    <hyperlink xmlns:r="http://schemas.openxmlformats.org/officeDocument/2006/relationships" ref="P8" r:id="rId46"/>
    <hyperlink xmlns:r="http://schemas.openxmlformats.org/officeDocument/2006/relationships" ref="T8" r:id="rId47"/>
    <hyperlink xmlns:r="http://schemas.openxmlformats.org/officeDocument/2006/relationships" ref="X8" r:id="rId48"/>
    <hyperlink xmlns:r="http://schemas.openxmlformats.org/officeDocument/2006/relationships" ref="AV8" r:id="rId49"/>
    <hyperlink xmlns:r="http://schemas.openxmlformats.org/officeDocument/2006/relationships" ref="C9" r:id="rId50"/>
    <hyperlink xmlns:r="http://schemas.openxmlformats.org/officeDocument/2006/relationships" ref="D9" r:id="rId51"/>
    <hyperlink xmlns:r="http://schemas.openxmlformats.org/officeDocument/2006/relationships" ref="H9" r:id="rId52"/>
    <hyperlink xmlns:r="http://schemas.openxmlformats.org/officeDocument/2006/relationships" ref="P9" r:id="rId53"/>
    <hyperlink xmlns:r="http://schemas.openxmlformats.org/officeDocument/2006/relationships" ref="T9" r:id="rId54"/>
    <hyperlink xmlns:r="http://schemas.openxmlformats.org/officeDocument/2006/relationships" ref="X9" r:id="rId55"/>
    <hyperlink xmlns:r="http://schemas.openxmlformats.org/officeDocument/2006/relationships" ref="AV9" r:id="rId56"/>
    <hyperlink xmlns:r="http://schemas.openxmlformats.org/officeDocument/2006/relationships" ref="C10" r:id="rId57"/>
    <hyperlink xmlns:r="http://schemas.openxmlformats.org/officeDocument/2006/relationships" ref="D10" r:id="rId58"/>
    <hyperlink xmlns:r="http://schemas.openxmlformats.org/officeDocument/2006/relationships" ref="H10" r:id="rId59"/>
    <hyperlink xmlns:r="http://schemas.openxmlformats.org/officeDocument/2006/relationships" ref="P10" r:id="rId60"/>
    <hyperlink xmlns:r="http://schemas.openxmlformats.org/officeDocument/2006/relationships" ref="T10" r:id="rId61"/>
    <hyperlink xmlns:r="http://schemas.openxmlformats.org/officeDocument/2006/relationships" ref="X10" r:id="rId62"/>
    <hyperlink xmlns:r="http://schemas.openxmlformats.org/officeDocument/2006/relationships" ref="AV10" r:id="rId63"/>
    <hyperlink xmlns:r="http://schemas.openxmlformats.org/officeDocument/2006/relationships" ref="C11" r:id="rId64"/>
    <hyperlink xmlns:r="http://schemas.openxmlformats.org/officeDocument/2006/relationships" ref="D11" r:id="rId65"/>
    <hyperlink xmlns:r="http://schemas.openxmlformats.org/officeDocument/2006/relationships" ref="H11" r:id="rId66"/>
    <hyperlink xmlns:r="http://schemas.openxmlformats.org/officeDocument/2006/relationships" ref="AV11" r:id="rId67"/>
    <hyperlink xmlns:r="http://schemas.openxmlformats.org/officeDocument/2006/relationships" ref="C12" r:id="rId68"/>
    <hyperlink xmlns:r="http://schemas.openxmlformats.org/officeDocument/2006/relationships" ref="D12" r:id="rId69"/>
    <hyperlink xmlns:r="http://schemas.openxmlformats.org/officeDocument/2006/relationships" ref="H12" r:id="rId70"/>
    <hyperlink xmlns:r="http://schemas.openxmlformats.org/officeDocument/2006/relationships" ref="P12" r:id="rId71"/>
    <hyperlink xmlns:r="http://schemas.openxmlformats.org/officeDocument/2006/relationships" ref="T12" r:id="rId72"/>
    <hyperlink xmlns:r="http://schemas.openxmlformats.org/officeDocument/2006/relationships" ref="X12" r:id="rId73"/>
    <hyperlink xmlns:r="http://schemas.openxmlformats.org/officeDocument/2006/relationships" ref="AV12" r:id="rId74"/>
    <hyperlink xmlns:r="http://schemas.openxmlformats.org/officeDocument/2006/relationships" ref="C13" r:id="rId75"/>
    <hyperlink xmlns:r="http://schemas.openxmlformats.org/officeDocument/2006/relationships" ref="D13" r:id="rId76"/>
    <hyperlink xmlns:r="http://schemas.openxmlformats.org/officeDocument/2006/relationships" ref="H13" r:id="rId77"/>
    <hyperlink xmlns:r="http://schemas.openxmlformats.org/officeDocument/2006/relationships" ref="AV13" r:id="rId78"/>
    <hyperlink xmlns:r="http://schemas.openxmlformats.org/officeDocument/2006/relationships" ref="C14" r:id="rId79"/>
    <hyperlink xmlns:r="http://schemas.openxmlformats.org/officeDocument/2006/relationships" ref="D14" r:id="rId80"/>
    <hyperlink xmlns:r="http://schemas.openxmlformats.org/officeDocument/2006/relationships" ref="H14" r:id="rId81"/>
    <hyperlink xmlns:r="http://schemas.openxmlformats.org/officeDocument/2006/relationships" ref="P14" r:id="rId82"/>
    <hyperlink xmlns:r="http://schemas.openxmlformats.org/officeDocument/2006/relationships" ref="T14" r:id="rId83"/>
    <hyperlink xmlns:r="http://schemas.openxmlformats.org/officeDocument/2006/relationships" ref="X14" r:id="rId84"/>
    <hyperlink xmlns:r="http://schemas.openxmlformats.org/officeDocument/2006/relationships" ref="AV14" r:id="rId85"/>
    <hyperlink xmlns:r="http://schemas.openxmlformats.org/officeDocument/2006/relationships" ref="C15" r:id="rId86"/>
    <hyperlink xmlns:r="http://schemas.openxmlformats.org/officeDocument/2006/relationships" ref="D15" r:id="rId87"/>
    <hyperlink xmlns:r="http://schemas.openxmlformats.org/officeDocument/2006/relationships" ref="H15" r:id="rId88"/>
    <hyperlink xmlns:r="http://schemas.openxmlformats.org/officeDocument/2006/relationships" ref="P15" r:id="rId89"/>
    <hyperlink xmlns:r="http://schemas.openxmlformats.org/officeDocument/2006/relationships" ref="T15" r:id="rId90"/>
    <hyperlink xmlns:r="http://schemas.openxmlformats.org/officeDocument/2006/relationships" ref="X15" r:id="rId91"/>
    <hyperlink xmlns:r="http://schemas.openxmlformats.org/officeDocument/2006/relationships" ref="AV15" r:id="rId92"/>
    <hyperlink xmlns:r="http://schemas.openxmlformats.org/officeDocument/2006/relationships" ref="C16" r:id="rId93"/>
    <hyperlink xmlns:r="http://schemas.openxmlformats.org/officeDocument/2006/relationships" ref="D16" r:id="rId94"/>
    <hyperlink xmlns:r="http://schemas.openxmlformats.org/officeDocument/2006/relationships" ref="H16" r:id="rId95"/>
    <hyperlink xmlns:r="http://schemas.openxmlformats.org/officeDocument/2006/relationships" ref="P16" r:id="rId96"/>
    <hyperlink xmlns:r="http://schemas.openxmlformats.org/officeDocument/2006/relationships" ref="T16" r:id="rId97"/>
    <hyperlink xmlns:r="http://schemas.openxmlformats.org/officeDocument/2006/relationships" ref="X16" r:id="rId98"/>
    <hyperlink xmlns:r="http://schemas.openxmlformats.org/officeDocument/2006/relationships" ref="AV16" r:id="rId99"/>
    <hyperlink xmlns:r="http://schemas.openxmlformats.org/officeDocument/2006/relationships" ref="C17" r:id="rId100"/>
    <hyperlink xmlns:r="http://schemas.openxmlformats.org/officeDocument/2006/relationships" ref="D17" r:id="rId101"/>
    <hyperlink xmlns:r="http://schemas.openxmlformats.org/officeDocument/2006/relationships" ref="H17" r:id="rId102"/>
    <hyperlink xmlns:r="http://schemas.openxmlformats.org/officeDocument/2006/relationships" ref="P17" r:id="rId103"/>
    <hyperlink xmlns:r="http://schemas.openxmlformats.org/officeDocument/2006/relationships" ref="T17" r:id="rId104"/>
    <hyperlink xmlns:r="http://schemas.openxmlformats.org/officeDocument/2006/relationships" ref="X17" r:id="rId105"/>
    <hyperlink xmlns:r="http://schemas.openxmlformats.org/officeDocument/2006/relationships" ref="AV17" r:id="rId106"/>
    <hyperlink xmlns:r="http://schemas.openxmlformats.org/officeDocument/2006/relationships" ref="C18" r:id="rId107"/>
    <hyperlink xmlns:r="http://schemas.openxmlformats.org/officeDocument/2006/relationships" ref="D18" r:id="rId108"/>
    <hyperlink xmlns:r="http://schemas.openxmlformats.org/officeDocument/2006/relationships" ref="H18" r:id="rId109"/>
    <hyperlink xmlns:r="http://schemas.openxmlformats.org/officeDocument/2006/relationships" ref="P18" r:id="rId110"/>
    <hyperlink xmlns:r="http://schemas.openxmlformats.org/officeDocument/2006/relationships" ref="T18" r:id="rId111"/>
    <hyperlink xmlns:r="http://schemas.openxmlformats.org/officeDocument/2006/relationships" ref="X18" r:id="rId112"/>
    <hyperlink xmlns:r="http://schemas.openxmlformats.org/officeDocument/2006/relationships" ref="AV18" r:id="rId113"/>
    <hyperlink xmlns:r="http://schemas.openxmlformats.org/officeDocument/2006/relationships" ref="C19" r:id="rId114"/>
    <hyperlink xmlns:r="http://schemas.openxmlformats.org/officeDocument/2006/relationships" ref="D19" r:id="rId115"/>
    <hyperlink xmlns:r="http://schemas.openxmlformats.org/officeDocument/2006/relationships" ref="H19" r:id="rId116"/>
    <hyperlink xmlns:r="http://schemas.openxmlformats.org/officeDocument/2006/relationships" ref="AV19" r:id="rId117"/>
    <hyperlink xmlns:r="http://schemas.openxmlformats.org/officeDocument/2006/relationships" ref="C20" r:id="rId118"/>
    <hyperlink xmlns:r="http://schemas.openxmlformats.org/officeDocument/2006/relationships" ref="D20" r:id="rId119"/>
    <hyperlink xmlns:r="http://schemas.openxmlformats.org/officeDocument/2006/relationships" ref="H20" r:id="rId120"/>
    <hyperlink xmlns:r="http://schemas.openxmlformats.org/officeDocument/2006/relationships" ref="P20" r:id="rId121"/>
    <hyperlink xmlns:r="http://schemas.openxmlformats.org/officeDocument/2006/relationships" ref="T20" r:id="rId122"/>
    <hyperlink xmlns:r="http://schemas.openxmlformats.org/officeDocument/2006/relationships" ref="X20" r:id="rId123"/>
    <hyperlink xmlns:r="http://schemas.openxmlformats.org/officeDocument/2006/relationships" ref="AV20" r:id="rId124"/>
    <hyperlink xmlns:r="http://schemas.openxmlformats.org/officeDocument/2006/relationships" ref="C21" r:id="rId125"/>
    <hyperlink xmlns:r="http://schemas.openxmlformats.org/officeDocument/2006/relationships" ref="D21" r:id="rId126"/>
    <hyperlink xmlns:r="http://schemas.openxmlformats.org/officeDocument/2006/relationships" ref="H21" r:id="rId127"/>
    <hyperlink xmlns:r="http://schemas.openxmlformats.org/officeDocument/2006/relationships" ref="P21" r:id="rId128"/>
    <hyperlink xmlns:r="http://schemas.openxmlformats.org/officeDocument/2006/relationships" ref="T21" r:id="rId129"/>
    <hyperlink xmlns:r="http://schemas.openxmlformats.org/officeDocument/2006/relationships" ref="X21" r:id="rId130"/>
    <hyperlink xmlns:r="http://schemas.openxmlformats.org/officeDocument/2006/relationships" ref="AV21" r:id="rId131"/>
    <hyperlink xmlns:r="http://schemas.openxmlformats.org/officeDocument/2006/relationships" ref="C22" r:id="rId132"/>
    <hyperlink xmlns:r="http://schemas.openxmlformats.org/officeDocument/2006/relationships" ref="D22" r:id="rId133"/>
    <hyperlink xmlns:r="http://schemas.openxmlformats.org/officeDocument/2006/relationships" ref="H22" r:id="rId134"/>
    <hyperlink xmlns:r="http://schemas.openxmlformats.org/officeDocument/2006/relationships" ref="AV22" r:id="rId135"/>
    <hyperlink xmlns:r="http://schemas.openxmlformats.org/officeDocument/2006/relationships" ref="C23" r:id="rId136"/>
    <hyperlink xmlns:r="http://schemas.openxmlformats.org/officeDocument/2006/relationships" ref="D23" r:id="rId137"/>
    <hyperlink xmlns:r="http://schemas.openxmlformats.org/officeDocument/2006/relationships" ref="H23" r:id="rId138"/>
    <hyperlink xmlns:r="http://schemas.openxmlformats.org/officeDocument/2006/relationships" ref="AV23" r:id="rId139"/>
    <hyperlink xmlns:r="http://schemas.openxmlformats.org/officeDocument/2006/relationships" ref="C24" r:id="rId140"/>
    <hyperlink xmlns:r="http://schemas.openxmlformats.org/officeDocument/2006/relationships" ref="D24" r:id="rId141"/>
    <hyperlink xmlns:r="http://schemas.openxmlformats.org/officeDocument/2006/relationships" ref="H24" r:id="rId142"/>
    <hyperlink xmlns:r="http://schemas.openxmlformats.org/officeDocument/2006/relationships" ref="AV24" r:id="rId143"/>
    <hyperlink xmlns:r="http://schemas.openxmlformats.org/officeDocument/2006/relationships" ref="C25" r:id="rId144"/>
    <hyperlink xmlns:r="http://schemas.openxmlformats.org/officeDocument/2006/relationships" ref="D25" r:id="rId145"/>
    <hyperlink xmlns:r="http://schemas.openxmlformats.org/officeDocument/2006/relationships" ref="H25" r:id="rId146"/>
    <hyperlink xmlns:r="http://schemas.openxmlformats.org/officeDocument/2006/relationships" ref="AV25" r:id="rId147"/>
    <hyperlink xmlns:r="http://schemas.openxmlformats.org/officeDocument/2006/relationships" ref="C26" r:id="rId148"/>
    <hyperlink xmlns:r="http://schemas.openxmlformats.org/officeDocument/2006/relationships" ref="D26" r:id="rId149"/>
    <hyperlink xmlns:r="http://schemas.openxmlformats.org/officeDocument/2006/relationships" ref="H26" r:id="rId150"/>
    <hyperlink xmlns:r="http://schemas.openxmlformats.org/officeDocument/2006/relationships" ref="AV26" r:id="rId151"/>
    <hyperlink xmlns:r="http://schemas.openxmlformats.org/officeDocument/2006/relationships" ref="C27" r:id="rId152"/>
    <hyperlink xmlns:r="http://schemas.openxmlformats.org/officeDocument/2006/relationships" ref="D27" r:id="rId153"/>
    <hyperlink xmlns:r="http://schemas.openxmlformats.org/officeDocument/2006/relationships" ref="H27" r:id="rId154"/>
    <hyperlink xmlns:r="http://schemas.openxmlformats.org/officeDocument/2006/relationships" ref="AV27" r:id="rId155"/>
    <hyperlink xmlns:r="http://schemas.openxmlformats.org/officeDocument/2006/relationships" ref="C28" r:id="rId156"/>
    <hyperlink xmlns:r="http://schemas.openxmlformats.org/officeDocument/2006/relationships" ref="D28" r:id="rId157"/>
    <hyperlink xmlns:r="http://schemas.openxmlformats.org/officeDocument/2006/relationships" ref="H28" r:id="rId158"/>
    <hyperlink xmlns:r="http://schemas.openxmlformats.org/officeDocument/2006/relationships" ref="AV28" r:id="rId159"/>
    <hyperlink xmlns:r="http://schemas.openxmlformats.org/officeDocument/2006/relationships" ref="C29" r:id="rId160"/>
    <hyperlink xmlns:r="http://schemas.openxmlformats.org/officeDocument/2006/relationships" ref="D29" r:id="rId161"/>
    <hyperlink xmlns:r="http://schemas.openxmlformats.org/officeDocument/2006/relationships" ref="H29" r:id="rId162"/>
    <hyperlink xmlns:r="http://schemas.openxmlformats.org/officeDocument/2006/relationships" ref="AV29" r:id="rId163"/>
    <hyperlink xmlns:r="http://schemas.openxmlformats.org/officeDocument/2006/relationships" ref="C30" r:id="rId164"/>
    <hyperlink xmlns:r="http://schemas.openxmlformats.org/officeDocument/2006/relationships" ref="D30" r:id="rId165"/>
    <hyperlink xmlns:r="http://schemas.openxmlformats.org/officeDocument/2006/relationships" ref="H30" r:id="rId166"/>
    <hyperlink xmlns:r="http://schemas.openxmlformats.org/officeDocument/2006/relationships" ref="AV30" r:id="rId167"/>
    <hyperlink xmlns:r="http://schemas.openxmlformats.org/officeDocument/2006/relationships" ref="C31" r:id="rId168"/>
    <hyperlink xmlns:r="http://schemas.openxmlformats.org/officeDocument/2006/relationships" ref="D31" r:id="rId169"/>
    <hyperlink xmlns:r="http://schemas.openxmlformats.org/officeDocument/2006/relationships" ref="H31" r:id="rId170"/>
    <hyperlink xmlns:r="http://schemas.openxmlformats.org/officeDocument/2006/relationships" ref="AV31" r:id="rId171"/>
    <hyperlink xmlns:r="http://schemas.openxmlformats.org/officeDocument/2006/relationships" ref="C32" r:id="rId172"/>
    <hyperlink xmlns:r="http://schemas.openxmlformats.org/officeDocument/2006/relationships" ref="D32" r:id="rId173"/>
    <hyperlink xmlns:r="http://schemas.openxmlformats.org/officeDocument/2006/relationships" ref="H32" r:id="rId174"/>
    <hyperlink xmlns:r="http://schemas.openxmlformats.org/officeDocument/2006/relationships" ref="AV32" r:id="rId175"/>
    <hyperlink xmlns:r="http://schemas.openxmlformats.org/officeDocument/2006/relationships" ref="C33" r:id="rId176"/>
    <hyperlink xmlns:r="http://schemas.openxmlformats.org/officeDocument/2006/relationships" ref="D33" r:id="rId177"/>
    <hyperlink xmlns:r="http://schemas.openxmlformats.org/officeDocument/2006/relationships" ref="H33" r:id="rId178"/>
    <hyperlink xmlns:r="http://schemas.openxmlformats.org/officeDocument/2006/relationships" ref="AV33" r:id="rId179"/>
    <hyperlink xmlns:r="http://schemas.openxmlformats.org/officeDocument/2006/relationships" ref="C34" r:id="rId180"/>
    <hyperlink xmlns:r="http://schemas.openxmlformats.org/officeDocument/2006/relationships" ref="D34" r:id="rId181"/>
    <hyperlink xmlns:r="http://schemas.openxmlformats.org/officeDocument/2006/relationships" ref="H34" r:id="rId182"/>
    <hyperlink xmlns:r="http://schemas.openxmlformats.org/officeDocument/2006/relationships" ref="AV34" r:id="rId183"/>
    <hyperlink xmlns:r="http://schemas.openxmlformats.org/officeDocument/2006/relationships" ref="C35" r:id="rId184"/>
    <hyperlink xmlns:r="http://schemas.openxmlformats.org/officeDocument/2006/relationships" ref="D35" r:id="rId185"/>
    <hyperlink xmlns:r="http://schemas.openxmlformats.org/officeDocument/2006/relationships" ref="H35" r:id="rId186"/>
    <hyperlink xmlns:r="http://schemas.openxmlformats.org/officeDocument/2006/relationships" ref="AV35" r:id="rId187"/>
    <hyperlink xmlns:r="http://schemas.openxmlformats.org/officeDocument/2006/relationships" ref="C36" r:id="rId188"/>
    <hyperlink xmlns:r="http://schemas.openxmlformats.org/officeDocument/2006/relationships" ref="D36" r:id="rId189"/>
    <hyperlink xmlns:r="http://schemas.openxmlformats.org/officeDocument/2006/relationships" ref="H36" r:id="rId190"/>
    <hyperlink xmlns:r="http://schemas.openxmlformats.org/officeDocument/2006/relationships" ref="AV36" r:id="rId191"/>
    <hyperlink xmlns:r="http://schemas.openxmlformats.org/officeDocument/2006/relationships" ref="C37" r:id="rId192"/>
    <hyperlink xmlns:r="http://schemas.openxmlformats.org/officeDocument/2006/relationships" ref="D37" r:id="rId193"/>
    <hyperlink xmlns:r="http://schemas.openxmlformats.org/officeDocument/2006/relationships" ref="H37" r:id="rId194"/>
    <hyperlink xmlns:r="http://schemas.openxmlformats.org/officeDocument/2006/relationships" ref="AV37" r:id="rId195"/>
    <hyperlink xmlns:r="http://schemas.openxmlformats.org/officeDocument/2006/relationships" ref="C38" r:id="rId196"/>
    <hyperlink xmlns:r="http://schemas.openxmlformats.org/officeDocument/2006/relationships" ref="D38" r:id="rId197"/>
    <hyperlink xmlns:r="http://schemas.openxmlformats.org/officeDocument/2006/relationships" ref="H38" r:id="rId198"/>
    <hyperlink xmlns:r="http://schemas.openxmlformats.org/officeDocument/2006/relationships" ref="AV38" r:id="rId199"/>
    <hyperlink xmlns:r="http://schemas.openxmlformats.org/officeDocument/2006/relationships" ref="C39" r:id="rId200"/>
    <hyperlink xmlns:r="http://schemas.openxmlformats.org/officeDocument/2006/relationships" ref="D39" r:id="rId201"/>
    <hyperlink xmlns:r="http://schemas.openxmlformats.org/officeDocument/2006/relationships" ref="H39" r:id="rId202"/>
    <hyperlink xmlns:r="http://schemas.openxmlformats.org/officeDocument/2006/relationships" ref="AV39" r:id="rId203"/>
    <hyperlink xmlns:r="http://schemas.openxmlformats.org/officeDocument/2006/relationships" ref="C40" r:id="rId204"/>
    <hyperlink xmlns:r="http://schemas.openxmlformats.org/officeDocument/2006/relationships" ref="D40" r:id="rId205"/>
    <hyperlink xmlns:r="http://schemas.openxmlformats.org/officeDocument/2006/relationships" ref="H40" r:id="rId206"/>
    <hyperlink xmlns:r="http://schemas.openxmlformats.org/officeDocument/2006/relationships" ref="AV40" r:id="rId207"/>
    <hyperlink xmlns:r="http://schemas.openxmlformats.org/officeDocument/2006/relationships" ref="C41" r:id="rId208"/>
    <hyperlink xmlns:r="http://schemas.openxmlformats.org/officeDocument/2006/relationships" ref="D41" r:id="rId209"/>
    <hyperlink xmlns:r="http://schemas.openxmlformats.org/officeDocument/2006/relationships" ref="H41" r:id="rId210"/>
    <hyperlink xmlns:r="http://schemas.openxmlformats.org/officeDocument/2006/relationships" ref="AV41" r:id="rId211"/>
    <hyperlink xmlns:r="http://schemas.openxmlformats.org/officeDocument/2006/relationships" ref="C42" r:id="rId212"/>
    <hyperlink xmlns:r="http://schemas.openxmlformats.org/officeDocument/2006/relationships" ref="D42" r:id="rId213"/>
    <hyperlink xmlns:r="http://schemas.openxmlformats.org/officeDocument/2006/relationships" ref="H42" r:id="rId214"/>
    <hyperlink xmlns:r="http://schemas.openxmlformats.org/officeDocument/2006/relationships" ref="AV42" r:id="rId215"/>
    <hyperlink xmlns:r="http://schemas.openxmlformats.org/officeDocument/2006/relationships" ref="C43" r:id="rId216"/>
    <hyperlink xmlns:r="http://schemas.openxmlformats.org/officeDocument/2006/relationships" ref="D43" r:id="rId217"/>
    <hyperlink xmlns:r="http://schemas.openxmlformats.org/officeDocument/2006/relationships" ref="H43" r:id="rId218"/>
    <hyperlink xmlns:r="http://schemas.openxmlformats.org/officeDocument/2006/relationships" ref="AV43" r:id="rId219"/>
    <hyperlink xmlns:r="http://schemas.openxmlformats.org/officeDocument/2006/relationships" ref="C44" r:id="rId220"/>
    <hyperlink xmlns:r="http://schemas.openxmlformats.org/officeDocument/2006/relationships" ref="D44" r:id="rId221"/>
    <hyperlink xmlns:r="http://schemas.openxmlformats.org/officeDocument/2006/relationships" ref="H44" r:id="rId222"/>
    <hyperlink xmlns:r="http://schemas.openxmlformats.org/officeDocument/2006/relationships" ref="AV44" r:id="rId223"/>
    <hyperlink xmlns:r="http://schemas.openxmlformats.org/officeDocument/2006/relationships" ref="C45" r:id="rId224"/>
    <hyperlink xmlns:r="http://schemas.openxmlformats.org/officeDocument/2006/relationships" ref="D45" r:id="rId225"/>
    <hyperlink xmlns:r="http://schemas.openxmlformats.org/officeDocument/2006/relationships" ref="H45" r:id="rId226"/>
    <hyperlink xmlns:r="http://schemas.openxmlformats.org/officeDocument/2006/relationships" ref="AV45" r:id="rId227"/>
    <hyperlink xmlns:r="http://schemas.openxmlformats.org/officeDocument/2006/relationships" ref="C46" r:id="rId228"/>
    <hyperlink xmlns:r="http://schemas.openxmlformats.org/officeDocument/2006/relationships" ref="D46" r:id="rId229"/>
    <hyperlink xmlns:r="http://schemas.openxmlformats.org/officeDocument/2006/relationships" ref="H46" r:id="rId230"/>
    <hyperlink xmlns:r="http://schemas.openxmlformats.org/officeDocument/2006/relationships" ref="AV46" r:id="rId231"/>
    <hyperlink xmlns:r="http://schemas.openxmlformats.org/officeDocument/2006/relationships" ref="C47" r:id="rId232"/>
    <hyperlink xmlns:r="http://schemas.openxmlformats.org/officeDocument/2006/relationships" ref="D47" r:id="rId233"/>
    <hyperlink xmlns:r="http://schemas.openxmlformats.org/officeDocument/2006/relationships" ref="H47" r:id="rId234"/>
    <hyperlink xmlns:r="http://schemas.openxmlformats.org/officeDocument/2006/relationships" ref="AV47" r:id="rId235"/>
    <hyperlink xmlns:r="http://schemas.openxmlformats.org/officeDocument/2006/relationships" ref="C48" r:id="rId236"/>
    <hyperlink xmlns:r="http://schemas.openxmlformats.org/officeDocument/2006/relationships" ref="D48" r:id="rId237"/>
    <hyperlink xmlns:r="http://schemas.openxmlformats.org/officeDocument/2006/relationships" ref="H48" r:id="rId238"/>
    <hyperlink xmlns:r="http://schemas.openxmlformats.org/officeDocument/2006/relationships" ref="AV48" r:id="rId239"/>
    <hyperlink xmlns:r="http://schemas.openxmlformats.org/officeDocument/2006/relationships" ref="C49" r:id="rId240"/>
    <hyperlink xmlns:r="http://schemas.openxmlformats.org/officeDocument/2006/relationships" ref="D49" r:id="rId241"/>
    <hyperlink xmlns:r="http://schemas.openxmlformats.org/officeDocument/2006/relationships" ref="H49" r:id="rId242"/>
    <hyperlink xmlns:r="http://schemas.openxmlformats.org/officeDocument/2006/relationships" ref="AV49" r:id="rId243"/>
    <hyperlink xmlns:r="http://schemas.openxmlformats.org/officeDocument/2006/relationships" ref="C50" r:id="rId244"/>
    <hyperlink xmlns:r="http://schemas.openxmlformats.org/officeDocument/2006/relationships" ref="D50" r:id="rId245"/>
    <hyperlink xmlns:r="http://schemas.openxmlformats.org/officeDocument/2006/relationships" ref="H50" r:id="rId246"/>
    <hyperlink xmlns:r="http://schemas.openxmlformats.org/officeDocument/2006/relationships" ref="AV50" r:id="rId247"/>
    <hyperlink xmlns:r="http://schemas.openxmlformats.org/officeDocument/2006/relationships" ref="C51" r:id="rId248"/>
    <hyperlink xmlns:r="http://schemas.openxmlformats.org/officeDocument/2006/relationships" ref="D51" r:id="rId249"/>
    <hyperlink xmlns:r="http://schemas.openxmlformats.org/officeDocument/2006/relationships" ref="H51" r:id="rId250"/>
    <hyperlink xmlns:r="http://schemas.openxmlformats.org/officeDocument/2006/relationships" ref="AV51" r:id="rId251"/>
    <hyperlink xmlns:r="http://schemas.openxmlformats.org/officeDocument/2006/relationships" ref="C52" r:id="rId252"/>
    <hyperlink xmlns:r="http://schemas.openxmlformats.org/officeDocument/2006/relationships" ref="D52" r:id="rId253"/>
    <hyperlink xmlns:r="http://schemas.openxmlformats.org/officeDocument/2006/relationships" ref="H52" r:id="rId254"/>
    <hyperlink xmlns:r="http://schemas.openxmlformats.org/officeDocument/2006/relationships" ref="AV52" r:id="rId255"/>
    <hyperlink xmlns:r="http://schemas.openxmlformats.org/officeDocument/2006/relationships" ref="C53" r:id="rId256"/>
    <hyperlink xmlns:r="http://schemas.openxmlformats.org/officeDocument/2006/relationships" ref="D53" r:id="rId257"/>
    <hyperlink xmlns:r="http://schemas.openxmlformats.org/officeDocument/2006/relationships" ref="H53" r:id="rId258"/>
    <hyperlink xmlns:r="http://schemas.openxmlformats.org/officeDocument/2006/relationships" ref="AV53" r:id="rId259"/>
    <hyperlink xmlns:r="http://schemas.openxmlformats.org/officeDocument/2006/relationships" ref="C54" r:id="rId260"/>
    <hyperlink xmlns:r="http://schemas.openxmlformats.org/officeDocument/2006/relationships" ref="D54" r:id="rId261"/>
    <hyperlink xmlns:r="http://schemas.openxmlformats.org/officeDocument/2006/relationships" ref="H54" r:id="rId262"/>
    <hyperlink xmlns:r="http://schemas.openxmlformats.org/officeDocument/2006/relationships" ref="AV54" r:id="rId263"/>
    <hyperlink xmlns:r="http://schemas.openxmlformats.org/officeDocument/2006/relationships" ref="C55" r:id="rId264"/>
    <hyperlink xmlns:r="http://schemas.openxmlformats.org/officeDocument/2006/relationships" ref="D55" r:id="rId265"/>
    <hyperlink xmlns:r="http://schemas.openxmlformats.org/officeDocument/2006/relationships" ref="H55" r:id="rId266"/>
    <hyperlink xmlns:r="http://schemas.openxmlformats.org/officeDocument/2006/relationships" ref="AV55" r:id="rId267"/>
    <hyperlink xmlns:r="http://schemas.openxmlformats.org/officeDocument/2006/relationships" ref="C56" r:id="rId268"/>
    <hyperlink xmlns:r="http://schemas.openxmlformats.org/officeDocument/2006/relationships" ref="D56" r:id="rId269"/>
    <hyperlink xmlns:r="http://schemas.openxmlformats.org/officeDocument/2006/relationships" ref="H56" r:id="rId270"/>
    <hyperlink xmlns:r="http://schemas.openxmlformats.org/officeDocument/2006/relationships" ref="AV56" r:id="rId271"/>
    <hyperlink xmlns:r="http://schemas.openxmlformats.org/officeDocument/2006/relationships" ref="C57" r:id="rId272"/>
    <hyperlink xmlns:r="http://schemas.openxmlformats.org/officeDocument/2006/relationships" ref="D57" r:id="rId273"/>
    <hyperlink xmlns:r="http://schemas.openxmlformats.org/officeDocument/2006/relationships" ref="H57" r:id="rId274"/>
    <hyperlink xmlns:r="http://schemas.openxmlformats.org/officeDocument/2006/relationships" ref="AV57" r:id="rId275"/>
    <hyperlink xmlns:r="http://schemas.openxmlformats.org/officeDocument/2006/relationships" ref="C58" r:id="rId276"/>
    <hyperlink xmlns:r="http://schemas.openxmlformats.org/officeDocument/2006/relationships" ref="D58" r:id="rId277"/>
    <hyperlink xmlns:r="http://schemas.openxmlformats.org/officeDocument/2006/relationships" ref="H58" r:id="rId278"/>
    <hyperlink xmlns:r="http://schemas.openxmlformats.org/officeDocument/2006/relationships" ref="AV58" r:id="rId279"/>
    <hyperlink xmlns:r="http://schemas.openxmlformats.org/officeDocument/2006/relationships" ref="C59" r:id="rId280"/>
    <hyperlink xmlns:r="http://schemas.openxmlformats.org/officeDocument/2006/relationships" ref="D59" r:id="rId281"/>
    <hyperlink xmlns:r="http://schemas.openxmlformats.org/officeDocument/2006/relationships" ref="H59" r:id="rId282"/>
    <hyperlink xmlns:r="http://schemas.openxmlformats.org/officeDocument/2006/relationships" ref="AV59" r:id="rId283"/>
    <hyperlink xmlns:r="http://schemas.openxmlformats.org/officeDocument/2006/relationships" ref="C60" r:id="rId284"/>
    <hyperlink xmlns:r="http://schemas.openxmlformats.org/officeDocument/2006/relationships" ref="D60" r:id="rId285"/>
    <hyperlink xmlns:r="http://schemas.openxmlformats.org/officeDocument/2006/relationships" ref="H60" r:id="rId286"/>
    <hyperlink xmlns:r="http://schemas.openxmlformats.org/officeDocument/2006/relationships" ref="AV60" r:id="rId287"/>
    <hyperlink xmlns:r="http://schemas.openxmlformats.org/officeDocument/2006/relationships" ref="C61" r:id="rId288"/>
    <hyperlink xmlns:r="http://schemas.openxmlformats.org/officeDocument/2006/relationships" ref="D61" r:id="rId289"/>
    <hyperlink xmlns:r="http://schemas.openxmlformats.org/officeDocument/2006/relationships" ref="H61" r:id="rId290"/>
    <hyperlink xmlns:r="http://schemas.openxmlformats.org/officeDocument/2006/relationships" ref="AV61" r:id="rId291"/>
    <hyperlink xmlns:r="http://schemas.openxmlformats.org/officeDocument/2006/relationships" ref="C62" r:id="rId292"/>
    <hyperlink xmlns:r="http://schemas.openxmlformats.org/officeDocument/2006/relationships" ref="D62" r:id="rId293"/>
    <hyperlink xmlns:r="http://schemas.openxmlformats.org/officeDocument/2006/relationships" ref="H62" r:id="rId294"/>
    <hyperlink xmlns:r="http://schemas.openxmlformats.org/officeDocument/2006/relationships" ref="AV62" r:id="rId295"/>
    <hyperlink xmlns:r="http://schemas.openxmlformats.org/officeDocument/2006/relationships" ref="C63" r:id="rId296"/>
    <hyperlink xmlns:r="http://schemas.openxmlformats.org/officeDocument/2006/relationships" ref="D63" r:id="rId297"/>
    <hyperlink xmlns:r="http://schemas.openxmlformats.org/officeDocument/2006/relationships" ref="H63" r:id="rId298"/>
    <hyperlink xmlns:r="http://schemas.openxmlformats.org/officeDocument/2006/relationships" ref="AV63" r:id="rId299"/>
    <hyperlink xmlns:r="http://schemas.openxmlformats.org/officeDocument/2006/relationships" ref="C64" r:id="rId300"/>
    <hyperlink xmlns:r="http://schemas.openxmlformats.org/officeDocument/2006/relationships" ref="D64" r:id="rId301"/>
    <hyperlink xmlns:r="http://schemas.openxmlformats.org/officeDocument/2006/relationships" ref="H64" r:id="rId302"/>
    <hyperlink xmlns:r="http://schemas.openxmlformats.org/officeDocument/2006/relationships" ref="AV64" r:id="rId303"/>
    <hyperlink xmlns:r="http://schemas.openxmlformats.org/officeDocument/2006/relationships" ref="C65" r:id="rId304"/>
    <hyperlink xmlns:r="http://schemas.openxmlformats.org/officeDocument/2006/relationships" ref="D65" r:id="rId305"/>
    <hyperlink xmlns:r="http://schemas.openxmlformats.org/officeDocument/2006/relationships" ref="H65" r:id="rId306"/>
    <hyperlink xmlns:r="http://schemas.openxmlformats.org/officeDocument/2006/relationships" ref="AV65" r:id="rId307"/>
    <hyperlink xmlns:r="http://schemas.openxmlformats.org/officeDocument/2006/relationships" ref="C66" r:id="rId308"/>
    <hyperlink xmlns:r="http://schemas.openxmlformats.org/officeDocument/2006/relationships" ref="D66" r:id="rId309"/>
    <hyperlink xmlns:r="http://schemas.openxmlformats.org/officeDocument/2006/relationships" ref="H66" r:id="rId310"/>
    <hyperlink xmlns:r="http://schemas.openxmlformats.org/officeDocument/2006/relationships" ref="AV66" r:id="rId311"/>
    <hyperlink xmlns:r="http://schemas.openxmlformats.org/officeDocument/2006/relationships" ref="C67" r:id="rId312"/>
    <hyperlink xmlns:r="http://schemas.openxmlformats.org/officeDocument/2006/relationships" ref="D67" r:id="rId313"/>
    <hyperlink xmlns:r="http://schemas.openxmlformats.org/officeDocument/2006/relationships" ref="H67" r:id="rId314"/>
    <hyperlink xmlns:r="http://schemas.openxmlformats.org/officeDocument/2006/relationships" ref="AV67" r:id="rId315"/>
    <hyperlink xmlns:r="http://schemas.openxmlformats.org/officeDocument/2006/relationships" ref="C68" r:id="rId316"/>
    <hyperlink xmlns:r="http://schemas.openxmlformats.org/officeDocument/2006/relationships" ref="D68" r:id="rId317"/>
    <hyperlink xmlns:r="http://schemas.openxmlformats.org/officeDocument/2006/relationships" ref="H68" r:id="rId318"/>
    <hyperlink xmlns:r="http://schemas.openxmlformats.org/officeDocument/2006/relationships" ref="AV68" r:id="rId319"/>
    <hyperlink xmlns:r="http://schemas.openxmlformats.org/officeDocument/2006/relationships" ref="C69" r:id="rId320"/>
    <hyperlink xmlns:r="http://schemas.openxmlformats.org/officeDocument/2006/relationships" ref="D69" r:id="rId321"/>
    <hyperlink xmlns:r="http://schemas.openxmlformats.org/officeDocument/2006/relationships" ref="H69" r:id="rId322"/>
    <hyperlink xmlns:r="http://schemas.openxmlformats.org/officeDocument/2006/relationships" ref="AV69" r:id="rId323"/>
    <hyperlink xmlns:r="http://schemas.openxmlformats.org/officeDocument/2006/relationships" ref="C70" r:id="rId324"/>
    <hyperlink xmlns:r="http://schemas.openxmlformats.org/officeDocument/2006/relationships" ref="D70" r:id="rId325"/>
    <hyperlink xmlns:r="http://schemas.openxmlformats.org/officeDocument/2006/relationships" ref="H70" r:id="rId326"/>
    <hyperlink xmlns:r="http://schemas.openxmlformats.org/officeDocument/2006/relationships" ref="AV70" r:id="rId327"/>
    <hyperlink xmlns:r="http://schemas.openxmlformats.org/officeDocument/2006/relationships" ref="C71" r:id="rId328"/>
    <hyperlink xmlns:r="http://schemas.openxmlformats.org/officeDocument/2006/relationships" ref="D71" r:id="rId329"/>
    <hyperlink xmlns:r="http://schemas.openxmlformats.org/officeDocument/2006/relationships" ref="H71" r:id="rId330"/>
    <hyperlink xmlns:r="http://schemas.openxmlformats.org/officeDocument/2006/relationships" ref="AV71" r:id="rId331"/>
    <hyperlink xmlns:r="http://schemas.openxmlformats.org/officeDocument/2006/relationships" ref="C72" r:id="rId332"/>
    <hyperlink xmlns:r="http://schemas.openxmlformats.org/officeDocument/2006/relationships" ref="D72" r:id="rId333"/>
    <hyperlink xmlns:r="http://schemas.openxmlformats.org/officeDocument/2006/relationships" ref="H72" r:id="rId334"/>
    <hyperlink xmlns:r="http://schemas.openxmlformats.org/officeDocument/2006/relationships" ref="AV72" r:id="rId335"/>
    <hyperlink xmlns:r="http://schemas.openxmlformats.org/officeDocument/2006/relationships" ref="C73" r:id="rId336"/>
    <hyperlink xmlns:r="http://schemas.openxmlformats.org/officeDocument/2006/relationships" ref="D73" r:id="rId337"/>
    <hyperlink xmlns:r="http://schemas.openxmlformats.org/officeDocument/2006/relationships" ref="H73" r:id="rId338"/>
    <hyperlink xmlns:r="http://schemas.openxmlformats.org/officeDocument/2006/relationships" ref="AV73" r:id="rId339"/>
    <hyperlink xmlns:r="http://schemas.openxmlformats.org/officeDocument/2006/relationships" ref="C74" r:id="rId340"/>
    <hyperlink xmlns:r="http://schemas.openxmlformats.org/officeDocument/2006/relationships" ref="D74" r:id="rId341"/>
    <hyperlink xmlns:r="http://schemas.openxmlformats.org/officeDocument/2006/relationships" ref="H74" r:id="rId342"/>
    <hyperlink xmlns:r="http://schemas.openxmlformats.org/officeDocument/2006/relationships" ref="AV74" r:id="rId343"/>
    <hyperlink xmlns:r="http://schemas.openxmlformats.org/officeDocument/2006/relationships" ref="C75" r:id="rId344"/>
    <hyperlink xmlns:r="http://schemas.openxmlformats.org/officeDocument/2006/relationships" ref="D75" r:id="rId345"/>
    <hyperlink xmlns:r="http://schemas.openxmlformats.org/officeDocument/2006/relationships" ref="H75" r:id="rId346"/>
    <hyperlink xmlns:r="http://schemas.openxmlformats.org/officeDocument/2006/relationships" ref="AV75" r:id="rId347"/>
    <hyperlink xmlns:r="http://schemas.openxmlformats.org/officeDocument/2006/relationships" ref="C76" r:id="rId348"/>
    <hyperlink xmlns:r="http://schemas.openxmlformats.org/officeDocument/2006/relationships" ref="D76" r:id="rId349"/>
    <hyperlink xmlns:r="http://schemas.openxmlformats.org/officeDocument/2006/relationships" ref="H76" r:id="rId350"/>
    <hyperlink xmlns:r="http://schemas.openxmlformats.org/officeDocument/2006/relationships" ref="AV76" r:id="rId351"/>
    <hyperlink xmlns:r="http://schemas.openxmlformats.org/officeDocument/2006/relationships" ref="C77" r:id="rId352"/>
    <hyperlink xmlns:r="http://schemas.openxmlformats.org/officeDocument/2006/relationships" ref="D77" r:id="rId353"/>
    <hyperlink xmlns:r="http://schemas.openxmlformats.org/officeDocument/2006/relationships" ref="H77" r:id="rId354"/>
    <hyperlink xmlns:r="http://schemas.openxmlformats.org/officeDocument/2006/relationships" ref="AV77" r:id="rId355"/>
    <hyperlink xmlns:r="http://schemas.openxmlformats.org/officeDocument/2006/relationships" ref="C78" r:id="rId356"/>
    <hyperlink xmlns:r="http://schemas.openxmlformats.org/officeDocument/2006/relationships" ref="D78" r:id="rId357"/>
    <hyperlink xmlns:r="http://schemas.openxmlformats.org/officeDocument/2006/relationships" ref="H78" r:id="rId358"/>
    <hyperlink xmlns:r="http://schemas.openxmlformats.org/officeDocument/2006/relationships" ref="AV78" r:id="rId359"/>
    <hyperlink xmlns:r="http://schemas.openxmlformats.org/officeDocument/2006/relationships" ref="C79" r:id="rId360"/>
    <hyperlink xmlns:r="http://schemas.openxmlformats.org/officeDocument/2006/relationships" ref="D79" r:id="rId361"/>
    <hyperlink xmlns:r="http://schemas.openxmlformats.org/officeDocument/2006/relationships" ref="H79" r:id="rId362"/>
    <hyperlink xmlns:r="http://schemas.openxmlformats.org/officeDocument/2006/relationships" ref="AV79" r:id="rId363"/>
    <hyperlink xmlns:r="http://schemas.openxmlformats.org/officeDocument/2006/relationships" ref="C80" r:id="rId364"/>
    <hyperlink xmlns:r="http://schemas.openxmlformats.org/officeDocument/2006/relationships" ref="D80" r:id="rId365"/>
    <hyperlink xmlns:r="http://schemas.openxmlformats.org/officeDocument/2006/relationships" ref="H80" r:id="rId366"/>
    <hyperlink xmlns:r="http://schemas.openxmlformats.org/officeDocument/2006/relationships" ref="AV80" r:id="rId367"/>
    <hyperlink xmlns:r="http://schemas.openxmlformats.org/officeDocument/2006/relationships" ref="C81" r:id="rId368"/>
    <hyperlink xmlns:r="http://schemas.openxmlformats.org/officeDocument/2006/relationships" ref="D81" r:id="rId369"/>
    <hyperlink xmlns:r="http://schemas.openxmlformats.org/officeDocument/2006/relationships" ref="H81" r:id="rId370"/>
    <hyperlink xmlns:r="http://schemas.openxmlformats.org/officeDocument/2006/relationships" ref="AV81" r:id="rId371"/>
    <hyperlink xmlns:r="http://schemas.openxmlformats.org/officeDocument/2006/relationships" ref="C82" r:id="rId372"/>
    <hyperlink xmlns:r="http://schemas.openxmlformats.org/officeDocument/2006/relationships" ref="D82" r:id="rId373"/>
    <hyperlink xmlns:r="http://schemas.openxmlformats.org/officeDocument/2006/relationships" ref="H82" r:id="rId374"/>
    <hyperlink xmlns:r="http://schemas.openxmlformats.org/officeDocument/2006/relationships" ref="AV82" r:id="rId375"/>
    <hyperlink xmlns:r="http://schemas.openxmlformats.org/officeDocument/2006/relationships" ref="C83" r:id="rId376"/>
    <hyperlink xmlns:r="http://schemas.openxmlformats.org/officeDocument/2006/relationships" ref="D83" r:id="rId377"/>
    <hyperlink xmlns:r="http://schemas.openxmlformats.org/officeDocument/2006/relationships" ref="H83" r:id="rId378"/>
    <hyperlink xmlns:r="http://schemas.openxmlformats.org/officeDocument/2006/relationships" ref="AV83" r:id="rId379"/>
    <hyperlink xmlns:r="http://schemas.openxmlformats.org/officeDocument/2006/relationships" ref="C84" r:id="rId380"/>
    <hyperlink xmlns:r="http://schemas.openxmlformats.org/officeDocument/2006/relationships" ref="D84" r:id="rId381"/>
    <hyperlink xmlns:r="http://schemas.openxmlformats.org/officeDocument/2006/relationships" ref="H84" r:id="rId382"/>
    <hyperlink xmlns:r="http://schemas.openxmlformats.org/officeDocument/2006/relationships" ref="AV84" r:id="rId383"/>
    <hyperlink xmlns:r="http://schemas.openxmlformats.org/officeDocument/2006/relationships" ref="C85" r:id="rId384"/>
    <hyperlink xmlns:r="http://schemas.openxmlformats.org/officeDocument/2006/relationships" ref="D85" r:id="rId385"/>
    <hyperlink xmlns:r="http://schemas.openxmlformats.org/officeDocument/2006/relationships" ref="H85" r:id="rId386"/>
    <hyperlink xmlns:r="http://schemas.openxmlformats.org/officeDocument/2006/relationships" ref="AV85" r:id="rId387"/>
    <hyperlink xmlns:r="http://schemas.openxmlformats.org/officeDocument/2006/relationships" ref="C86" r:id="rId388"/>
    <hyperlink xmlns:r="http://schemas.openxmlformats.org/officeDocument/2006/relationships" ref="D86" r:id="rId389"/>
    <hyperlink xmlns:r="http://schemas.openxmlformats.org/officeDocument/2006/relationships" ref="H86" r:id="rId390"/>
    <hyperlink xmlns:r="http://schemas.openxmlformats.org/officeDocument/2006/relationships" ref="AV86" r:id="rId391"/>
    <hyperlink xmlns:r="http://schemas.openxmlformats.org/officeDocument/2006/relationships" ref="C87" r:id="rId392"/>
    <hyperlink xmlns:r="http://schemas.openxmlformats.org/officeDocument/2006/relationships" ref="D87" r:id="rId393"/>
    <hyperlink xmlns:r="http://schemas.openxmlformats.org/officeDocument/2006/relationships" ref="H87" r:id="rId394"/>
    <hyperlink xmlns:r="http://schemas.openxmlformats.org/officeDocument/2006/relationships" ref="AV87" r:id="rId395"/>
    <hyperlink xmlns:r="http://schemas.openxmlformats.org/officeDocument/2006/relationships" ref="C88" r:id="rId396"/>
    <hyperlink xmlns:r="http://schemas.openxmlformats.org/officeDocument/2006/relationships" ref="D88" r:id="rId397"/>
    <hyperlink xmlns:r="http://schemas.openxmlformats.org/officeDocument/2006/relationships" ref="H88" r:id="rId398"/>
    <hyperlink xmlns:r="http://schemas.openxmlformats.org/officeDocument/2006/relationships" ref="AV88" r:id="rId399"/>
    <hyperlink xmlns:r="http://schemas.openxmlformats.org/officeDocument/2006/relationships" ref="C89" r:id="rId400"/>
    <hyperlink xmlns:r="http://schemas.openxmlformats.org/officeDocument/2006/relationships" ref="D89" r:id="rId401"/>
    <hyperlink xmlns:r="http://schemas.openxmlformats.org/officeDocument/2006/relationships" ref="H89" r:id="rId402"/>
    <hyperlink xmlns:r="http://schemas.openxmlformats.org/officeDocument/2006/relationships" ref="AV89" r:id="rId403"/>
    <hyperlink xmlns:r="http://schemas.openxmlformats.org/officeDocument/2006/relationships" ref="C90" r:id="rId404"/>
    <hyperlink xmlns:r="http://schemas.openxmlformats.org/officeDocument/2006/relationships" ref="D90" r:id="rId405"/>
    <hyperlink xmlns:r="http://schemas.openxmlformats.org/officeDocument/2006/relationships" ref="H90" r:id="rId406"/>
    <hyperlink xmlns:r="http://schemas.openxmlformats.org/officeDocument/2006/relationships" ref="AV90" r:id="rId407"/>
    <hyperlink xmlns:r="http://schemas.openxmlformats.org/officeDocument/2006/relationships" ref="C91" r:id="rId408"/>
    <hyperlink xmlns:r="http://schemas.openxmlformats.org/officeDocument/2006/relationships" ref="D91" r:id="rId409"/>
    <hyperlink xmlns:r="http://schemas.openxmlformats.org/officeDocument/2006/relationships" ref="H91" r:id="rId410"/>
    <hyperlink xmlns:r="http://schemas.openxmlformats.org/officeDocument/2006/relationships" ref="AV91" r:id="rId411"/>
    <hyperlink xmlns:r="http://schemas.openxmlformats.org/officeDocument/2006/relationships" ref="C92" r:id="rId412"/>
    <hyperlink xmlns:r="http://schemas.openxmlformats.org/officeDocument/2006/relationships" ref="D92" r:id="rId413"/>
    <hyperlink xmlns:r="http://schemas.openxmlformats.org/officeDocument/2006/relationships" ref="H92" r:id="rId414"/>
    <hyperlink xmlns:r="http://schemas.openxmlformats.org/officeDocument/2006/relationships" ref="AV92" r:id="rId415"/>
    <hyperlink xmlns:r="http://schemas.openxmlformats.org/officeDocument/2006/relationships" ref="C93" r:id="rId416"/>
    <hyperlink xmlns:r="http://schemas.openxmlformats.org/officeDocument/2006/relationships" ref="D93" r:id="rId417"/>
    <hyperlink xmlns:r="http://schemas.openxmlformats.org/officeDocument/2006/relationships" ref="H93" r:id="rId418"/>
    <hyperlink xmlns:r="http://schemas.openxmlformats.org/officeDocument/2006/relationships" ref="AV93" r:id="rId419"/>
    <hyperlink xmlns:r="http://schemas.openxmlformats.org/officeDocument/2006/relationships" ref="C94" r:id="rId420"/>
    <hyperlink xmlns:r="http://schemas.openxmlformats.org/officeDocument/2006/relationships" ref="D94" r:id="rId421"/>
    <hyperlink xmlns:r="http://schemas.openxmlformats.org/officeDocument/2006/relationships" ref="H94" r:id="rId422"/>
    <hyperlink xmlns:r="http://schemas.openxmlformats.org/officeDocument/2006/relationships" ref="AV94" r:id="rId423"/>
    <hyperlink xmlns:r="http://schemas.openxmlformats.org/officeDocument/2006/relationships" ref="C95" r:id="rId424"/>
    <hyperlink xmlns:r="http://schemas.openxmlformats.org/officeDocument/2006/relationships" ref="D95" r:id="rId425"/>
    <hyperlink xmlns:r="http://schemas.openxmlformats.org/officeDocument/2006/relationships" ref="H95" r:id="rId426"/>
    <hyperlink xmlns:r="http://schemas.openxmlformats.org/officeDocument/2006/relationships" ref="AV95" r:id="rId427"/>
    <hyperlink xmlns:r="http://schemas.openxmlformats.org/officeDocument/2006/relationships" ref="C96" r:id="rId428"/>
    <hyperlink xmlns:r="http://schemas.openxmlformats.org/officeDocument/2006/relationships" ref="D96" r:id="rId429"/>
    <hyperlink xmlns:r="http://schemas.openxmlformats.org/officeDocument/2006/relationships" ref="H96" r:id="rId430"/>
    <hyperlink xmlns:r="http://schemas.openxmlformats.org/officeDocument/2006/relationships" ref="AV96" r:id="rId431"/>
    <hyperlink xmlns:r="http://schemas.openxmlformats.org/officeDocument/2006/relationships" ref="C97" r:id="rId432"/>
    <hyperlink xmlns:r="http://schemas.openxmlformats.org/officeDocument/2006/relationships" ref="D97" r:id="rId433"/>
    <hyperlink xmlns:r="http://schemas.openxmlformats.org/officeDocument/2006/relationships" ref="H97" r:id="rId434"/>
    <hyperlink xmlns:r="http://schemas.openxmlformats.org/officeDocument/2006/relationships" ref="AV97" r:id="rId435"/>
    <hyperlink xmlns:r="http://schemas.openxmlformats.org/officeDocument/2006/relationships" ref="C98" r:id="rId436"/>
    <hyperlink xmlns:r="http://schemas.openxmlformats.org/officeDocument/2006/relationships" ref="D98" r:id="rId437"/>
    <hyperlink xmlns:r="http://schemas.openxmlformats.org/officeDocument/2006/relationships" ref="H98" r:id="rId438"/>
    <hyperlink xmlns:r="http://schemas.openxmlformats.org/officeDocument/2006/relationships" ref="AV98" r:id="rId439"/>
    <hyperlink xmlns:r="http://schemas.openxmlformats.org/officeDocument/2006/relationships" ref="C99" r:id="rId440"/>
    <hyperlink xmlns:r="http://schemas.openxmlformats.org/officeDocument/2006/relationships" ref="D99" r:id="rId441"/>
    <hyperlink xmlns:r="http://schemas.openxmlformats.org/officeDocument/2006/relationships" ref="H99" r:id="rId442"/>
    <hyperlink xmlns:r="http://schemas.openxmlformats.org/officeDocument/2006/relationships" ref="AV99" r:id="rId443"/>
    <hyperlink xmlns:r="http://schemas.openxmlformats.org/officeDocument/2006/relationships" ref="C100" r:id="rId444"/>
    <hyperlink xmlns:r="http://schemas.openxmlformats.org/officeDocument/2006/relationships" ref="D100" r:id="rId445"/>
    <hyperlink xmlns:r="http://schemas.openxmlformats.org/officeDocument/2006/relationships" ref="H100" r:id="rId446"/>
    <hyperlink xmlns:r="http://schemas.openxmlformats.org/officeDocument/2006/relationships" ref="AV100" r:id="rId447"/>
    <hyperlink xmlns:r="http://schemas.openxmlformats.org/officeDocument/2006/relationships" ref="C101" r:id="rId448"/>
    <hyperlink xmlns:r="http://schemas.openxmlformats.org/officeDocument/2006/relationships" ref="D101" r:id="rId449"/>
    <hyperlink xmlns:r="http://schemas.openxmlformats.org/officeDocument/2006/relationships" ref="H101" r:id="rId450"/>
    <hyperlink xmlns:r="http://schemas.openxmlformats.org/officeDocument/2006/relationships" ref="AV101" r:id="rId451"/>
    <hyperlink xmlns:r="http://schemas.openxmlformats.org/officeDocument/2006/relationships" ref="C102" r:id="rId452"/>
    <hyperlink xmlns:r="http://schemas.openxmlformats.org/officeDocument/2006/relationships" ref="D102" r:id="rId453"/>
    <hyperlink xmlns:r="http://schemas.openxmlformats.org/officeDocument/2006/relationships" ref="H102" r:id="rId454"/>
    <hyperlink xmlns:r="http://schemas.openxmlformats.org/officeDocument/2006/relationships" ref="AV102" r:id="rId45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77"/>
  <sheetViews>
    <sheetView showGridLines="1" workbookViewId="0">
      <pane ySplit="1" topLeftCell="A2" activePane="bottomLeft" state="frozen"/>
      <selection pane="bottomLeft" activeCell="A1" sqref="A1"/>
    </sheetView>
  </sheetViews>
  <sheetFormatPr baseColWidth="8" defaultRowHeight="15"/>
  <cols>
    <col width="27" customWidth="1" min="1" max="1"/>
    <col width="36" customWidth="1" min="2" max="2"/>
    <col width="65" customWidth="1" min="3" max="3"/>
    <col width="24" customWidth="1" min="4" max="4"/>
    <col width="97" customWidth="1" min="5" max="5"/>
    <col width="50" customWidth="1" min="6" max="6"/>
    <col width="15" customWidth="1" min="7" max="7"/>
    <col width="38" customWidth="1" min="8" max="8"/>
    <col width="16" customWidth="1" min="9" max="9"/>
    <col width="51" customWidth="1" min="10" max="10"/>
    <col width="16" customWidth="1" min="11" max="11"/>
    <col width="38" customWidth="1" min="12" max="12"/>
    <col width="50" customWidth="1" min="13" max="13"/>
    <col width="45" customWidth="1" min="14" max="14"/>
    <col width="40" customWidth="1" min="15" max="15"/>
    <col width="48" customWidth="1" min="16" max="16"/>
    <col width="45" customWidth="1" min="17" max="17"/>
    <col width="50" customWidth="1" min="18" max="18"/>
    <col width="40" customWidth="1" min="19" max="19"/>
    <col width="47" customWidth="1" min="20" max="20"/>
    <col width="45" customWidth="1" min="21" max="21"/>
    <col width="50" customWidth="1" min="22" max="22"/>
    <col width="40" customWidth="1" min="23" max="23"/>
    <col width="92" customWidth="1" min="24" max="24"/>
    <col width="45" customWidth="1" min="25" max="25"/>
    <col width="29" customWidth="1" min="26" max="26"/>
    <col width="38" customWidth="1" min="27" max="27"/>
    <col width="38" customWidth="1" min="28" max="28"/>
    <col width="17" customWidth="1" min="29" max="29"/>
    <col width="25" customWidth="1" min="30" max="30"/>
    <col width="40" customWidth="1" min="31" max="31"/>
    <col width="38" customWidth="1" min="32" max="32"/>
    <col width="172" customWidth="1" min="33" max="33"/>
    <col width="377" customWidth="1" min="34" max="34"/>
    <col width="18" customWidth="1" min="35" max="35"/>
    <col width="50" customWidth="1" min="36" max="36"/>
    <col width="22" customWidth="1" min="37" max="37"/>
    <col width="68" customWidth="1" min="38" max="38"/>
    <col width="25" customWidth="1" min="39" max="39"/>
    <col width="29" customWidth="1" min="40" max="40"/>
    <col width="32" customWidth="1" min="41" max="41"/>
    <col width="29" customWidth="1" min="42" max="42"/>
    <col width="19" customWidth="1" min="43" max="43"/>
    <col width="23" customWidth="1" min="44" max="44"/>
    <col width="29" customWidth="1" min="45" max="45"/>
    <col width="24" customWidth="1" min="46" max="46"/>
    <col width="17" customWidth="1" min="47" max="47"/>
    <col width="44" customWidth="1" min="48" max="48"/>
  </cols>
  <sheetData>
    <row r="1" ht="28" customHeight="1">
      <c r="A1" s="1" t="inlineStr">
        <is>
          <t>Name</t>
        </is>
      </c>
      <c r="B1" s="1" t="inlineStr">
        <is>
          <t>University</t>
        </is>
      </c>
      <c r="C1" s="1" t="inlineStr">
        <is>
          <t>Profile URL</t>
        </is>
      </c>
      <c r="D1" s="1" t="inlineStr">
        <is>
          <t>Google Scholar URL</t>
        </is>
      </c>
      <c r="E1" s="1" t="inlineStr">
        <is>
          <t>Job Title</t>
        </is>
      </c>
      <c r="F1" s="1" t="inlineStr">
        <is>
          <t>Department</t>
        </is>
      </c>
      <c r="G1" s="1" t="inlineStr">
        <is>
          <t>Scholar ID</t>
        </is>
      </c>
      <c r="H1" s="1" t="inlineStr">
        <is>
          <t>Email</t>
        </is>
      </c>
      <c r="I1" s="1" t="inlineStr">
        <is>
          <t>Research Tier</t>
        </is>
      </c>
      <c r="J1" s="1" t="inlineStr">
        <is>
          <t>Research Category</t>
        </is>
      </c>
      <c r="K1" s="1" t="inlineStr">
        <is>
          <t>Matched Count</t>
        </is>
      </c>
      <c r="L1" s="1" t="inlineStr">
        <is>
          <t>Matched Fields</t>
        </is>
      </c>
      <c r="M1" s="1" t="inlineStr">
        <is>
          <t>Research Hook</t>
        </is>
      </c>
      <c r="N1" s="1" t="inlineStr">
        <is>
          <t>Tech Stack</t>
        </is>
      </c>
      <c r="O1" s="1" t="inlineStr">
        <is>
          <t>Flagship 1 Title</t>
        </is>
      </c>
      <c r="P1" s="1" t="inlineStr">
        <is>
          <t>Flagship 1 DOI</t>
        </is>
      </c>
      <c r="Q1" s="1" t="inlineStr">
        <is>
          <t>Flagship 1 Tripartite Finding</t>
        </is>
      </c>
      <c r="R1" s="1" t="inlineStr">
        <is>
          <t>Flagship 1 Abstract</t>
        </is>
      </c>
      <c r="S1" s="1" t="inlineStr">
        <is>
          <t>Flagship 2 Title</t>
        </is>
      </c>
      <c r="T1" s="1" t="inlineStr">
        <is>
          <t>Flagship 2 DOI</t>
        </is>
      </c>
      <c r="U1" s="1" t="inlineStr">
        <is>
          <t>Flagship 2 Tripartite Finding</t>
        </is>
      </c>
      <c r="V1" s="1" t="inlineStr">
        <is>
          <t>Flagship 2 Abstract</t>
        </is>
      </c>
      <c r="W1" s="1" t="inlineStr">
        <is>
          <t>Flagship Paper Hook</t>
        </is>
      </c>
      <c r="X1" s="1" t="inlineStr">
        <is>
          <t>Flagship Paper DOI</t>
        </is>
      </c>
      <c r="Y1" s="1" t="inlineStr">
        <is>
          <t>Physical Finding</t>
        </is>
      </c>
      <c r="Z1" s="1" t="inlineStr">
        <is>
          <t>Latest Paper / Publication</t>
        </is>
      </c>
      <c r="AA1" s="1" t="inlineStr">
        <is>
          <t>Recent Papers (2023-2026)</t>
        </is>
      </c>
      <c r="AB1" s="1" t="inlineStr">
        <is>
          <t>Top Cited Papers</t>
        </is>
      </c>
      <c r="AC1" s="1" t="inlineStr">
        <is>
          <t>Courses Taught</t>
        </is>
      </c>
      <c r="AD1" s="1" t="inlineStr">
        <is>
          <t>Recent Awards / Honors</t>
        </is>
      </c>
      <c r="AE1" s="1" t="inlineStr">
        <is>
          <t>Cold Email / Application Instructions</t>
        </is>
      </c>
      <c r="AF1" s="1" t="inlineStr">
        <is>
          <t>OpenAlex Research Topics</t>
        </is>
      </c>
      <c r="AG1" s="1" t="inlineStr">
        <is>
          <t>Google Scholar Tags</t>
        </is>
      </c>
      <c r="AH1" s="1" t="inlineStr">
        <is>
          <t>Research Interests</t>
        </is>
      </c>
      <c r="AI1" s="1" t="inlineStr">
        <is>
          <t>Expertise Areas</t>
        </is>
      </c>
      <c r="AJ1" s="1" t="inlineStr">
        <is>
          <t>Research / Bio Summary</t>
        </is>
      </c>
      <c r="AK1" s="1" t="inlineStr">
        <is>
          <t>Education / Degrees</t>
        </is>
      </c>
      <c r="AL1" s="1" t="inlineStr">
        <is>
          <t>Lab / Research Group Name</t>
        </is>
      </c>
      <c r="AM1" s="1" t="inlineStr">
        <is>
          <t>Lab / Personal Website</t>
        </is>
      </c>
      <c r="AN1" s="1" t="inlineStr">
        <is>
          <t>Actively Hiring / Openings</t>
        </is>
      </c>
      <c r="AO1" s="1" t="inlineStr">
        <is>
          <t>Target Skills / Prerequisites</t>
        </is>
      </c>
      <c r="AP1" s="1" t="inlineStr">
        <is>
          <t>Lab Facilities &amp; Equipment</t>
        </is>
      </c>
      <c r="AQ1" s="1" t="inlineStr">
        <is>
          <t>Funding Sponsors</t>
        </is>
      </c>
      <c r="AR1" s="1" t="inlineStr">
        <is>
          <t>Software / Code Repo</t>
        </is>
      </c>
      <c r="AS1" s="1" t="inlineStr">
        <is>
          <t>Latest Project / Highlight</t>
        </is>
      </c>
      <c r="AT1" s="1" t="inlineStr">
        <is>
          <t>Office Location</t>
        </is>
      </c>
      <c r="AU1" s="1" t="inlineStr">
        <is>
          <t>Is Field Match</t>
        </is>
      </c>
      <c r="AV1" s="1" t="inlineStr">
        <is>
          <t>Directory URL</t>
        </is>
      </c>
    </row>
    <row r="2">
      <c r="A2" s="2" t="inlineStr">
        <is>
          <t>Laxminarayan L. Raja</t>
        </is>
      </c>
      <c r="B2" s="2" t="inlineStr">
        <is>
          <t>The University of Texas at Austin</t>
        </is>
      </c>
      <c r="C2" s="3">
        <f>HYPERLINK("https://ae.utexas.edu/person/laxminarayan-l-raja/", "https://ae.utexas.edu/person/laxminarayan-l-raja/")</f>
        <v/>
      </c>
      <c r="D2" s="3">
        <f>HYPERLINK("https://scholar.google.com/citations?view_op=search_authors&amp;mauthors=Laxminarayan%20L.%20Raja%20University%20of%20Texas%20at%20Austin", "Google Scholar Search")</f>
        <v/>
      </c>
      <c r="E2" s="2" t="inlineStr">
        <is>
          <t>Professor</t>
        </is>
      </c>
      <c r="F2" s="2" t="inlineStr">
        <is>
          <t>Aerospace Engineering and Engineering Mechanics</t>
        </is>
      </c>
      <c r="G2" s="2" t="inlineStr"/>
      <c r="H2" s="3">
        <f>HYPERLINK("mailto:lraja@mail.utexas.edu", "lraja@mail.utexas.edu")</f>
        <v/>
      </c>
      <c r="I2" s="2" t="n">
        <v>1</v>
      </c>
      <c r="J2" s="2" t="inlineStr">
        <is>
          <t>🔵 Tier 1: Core Aero / Fluids / Propulsion</t>
        </is>
      </c>
      <c r="K2" s="2" t="n">
        <v>7</v>
      </c>
      <c r="L2" s="2" t="inlineStr">
        <is>
          <t>aerospace, flow control, fluid dynamics, hypersonic, propulsion, satellite, supersonic</t>
        </is>
      </c>
      <c r="M2" s="2" t="inlineStr">
        <is>
          <t>Magnetohydrodynamic (MHD) modeling of pulsed plasma accelerators, non-equilibrium plasma chemistry, and pulse-shaping optimization for air-breathing VLEO electric propulsion.</t>
        </is>
      </c>
      <c r="N2" s="2" t="inlineStr">
        <is>
          <t>Magnetohydrodynamic (MHD) solvers, Electron Boltzmann transport codes, State-to-state collisional-radiative kinetics, Pulsed power circuitry, Coaxial thruster testbed</t>
        </is>
      </c>
      <c r="O2" s="2" t="inlineStr">
        <is>
          <t>Pulse Shaping Increases Efficiency in Pulsed Plasma Accelerators</t>
        </is>
      </c>
      <c r="P2" s="3">
        <f>HYPERLINK("https://doi.org/10.48550/arxiv.2607.28976", "https://doi.org/10.48550/arxiv.2607.28976")</f>
        <v/>
      </c>
      <c r="Q2" s="2" t="inlineStr">
        <is>
          <t>demonstrating that current pulse shaping in pulsed electromagnetic accelerators aligns electrical energy deposition with local propellant gas ionization dynamics, yielding a measurable improvement in overall thruster electrical-to-kinetic energy conversion efficiency.</t>
        </is>
      </c>
      <c r="R2" s="2" t="inlineStr">
        <is>
          <t>The performance of a gas-fed pulsed electromagnetic thruster is governed by the ability to deposit electrical energy while propellant is available for acceleration. Current pulsed-power systems require tradeoffs between high-current discharges that produce high exhaust velocities and longer pulses that overlap the energy deposition with more of the gas injection. This limited control restricts the specific impulse and mass utilization of these thrusters. This work introduces programmable pulse shaping as a method to increase control over energy deposition and expand the accessible operating space. We use solid-state integrated power modules to vary the discharge delay, pulse width, peak current, and the shape of the current waveform as propellant is injected. Experiments varying pulse widths from 30 to 500 $μ$s and peak currents from 3 kA to 16 kA show that short, high-current pulses produce higher exhaust velocities and greater impulse bits than longer, lower-current pulses at comparable discharge energy. The switches also enable multiple discharges of arbitrary positioning and duration during a single gas injection. This micro-burst operation is shown to increase specific impulse in air by 278\% from 840 to 3177 s through improved propellant utilization. This same pulse shaping ability is found to increase thrust efficiency from 0.2\% in single-shot operation to 3.3\% in micro-burst operation while operating with air.</t>
        </is>
      </c>
      <c r="S2" s="2" t="inlineStr">
        <is>
          <t>MHD modeling of magneto-deflagration and magneto-detonation modes of air plasma jets in coaxial plasma accelerators in VLEO</t>
        </is>
      </c>
      <c r="T2" s="3">
        <f>HYPERLINK("https://doi.org/10.1063/5.0325672", "https://doi.org/10.1063/5.0325672")</f>
        <v/>
      </c>
      <c r="U2" s="2" t="inlineStr">
        <is>
          <t>performing multi-fluid MHD simulations of air plasma jets in coaxial accelerators under VLEO conditions, identifying the specific magnetic Reynolds number thresholds separating steady magneto-deflagration acceleration from high-loss magneto-detonation shock fronts.</t>
        </is>
      </c>
      <c r="V2" s="2" t="inlineStr">
        <is>
          <t>Gas-fed coaxial plasma accelerators exhibit distinct magnetohydrodynamic (MHD) discharge modes, yet the gas-field coupling governing their formation and evolution under very low Earth orbit (VLEO) relevant conditions using air as the propellant is not fully characterized. These discharge modes dictate plume morphology and dynamics, influencing downstream flow characteristics. Understanding the structure of MHD flows has applications in increasing specific impulse and propellant utilization in electromagnetic thrusters, as well as in understanding the origin of astrophysical flows. This study employs 2D resistive MHD modeling to investigate how gas-loading conditions influence the establishment and subsequent evolution of MHD regimes, and how these evolving modes affect plasma dynamics and structure in coaxial plasma thrusters under VLEO-relevant conditions. The numerical framework adopts a validated plasma–vacuum interface tracking algorithm, ensuring a physically consistent representation of magnetized air plasma jet expansion into a vacuum, which is essential for capturing the magneto-deflagration MHD mode. Simulation results are compared with experimental observations of broadband plasma structure, exhaust velocity, and impulse bit, demonstrating agreement. In magneto-deflagration mode, efficient conversion of input energy into directed kinetic energy yields high exit velocities (∼65 km/s) and impulse bits; in magneto-detonation regime, shock-related thermal dissipation reduces exit velocities (∼30 km/s) and impulse bits. A sensitivity analysis identified inlet temperature as the dominant factor affecting impulse bit. Overall, simulation findings showed the dependence of MHD regimes on initial gas-loading profiles, identified transition behavior associated with their onset and evolution, and predicted the resulting transformations in plume structure and dynamics.</t>
        </is>
      </c>
      <c r="W2" s="2" t="inlineStr">
        <is>
          <t>1. Pulse Shaping Increases Efficiency in Pulsed Plasma Accelerators (arXiv, 2026) | 2. MHD modeling of magneto-deflagration and magneto-detonation modes of air plasma jets in coaxial plasma accelerators in VLEO (Journal of Applied Physics, 2026)</t>
        </is>
      </c>
      <c r="X2" s="3">
        <f>HYPERLINK("https://doi.org/10.48550/arxiv.2607.28976", "https://doi.org/10.48550/arxiv.2607.28976 | https://doi.org/10.1063/5.0325672")</f>
        <v/>
      </c>
      <c r="Y2" s="2" t="inlineStr">
        <is>
          <t>demonstrating that current pulse shaping in pulsed electromagnetic accelerators aligns electrical energy deposition with local propellant gas ionization dynamics, yielding a measurable improvement in overall thruster electrical-to-kinetic energy conversion efficiency.</t>
        </is>
      </c>
      <c r="Z2" s="2" t="inlineStr"/>
      <c r="AA2" s="2" t="inlineStr">
        <is>
          <t>"Pulse Shaping Increases Efficiency in Pulsed Plasma Accelerators" [arXiv (Cornell University)] (2026) [DOI: https://doi.org/10.48550/arxiv.2607.28976] | "MHD modeling of magneto-deflagration and magneto-detonation modes of air plasma jets in coaxial plasma accelerators in VLEO" [Journal of Applied Physics] (2026) [DOI: https://doi.org/10.1063/5.0325672] | "A fast and accurate reduced-order model for high-intensity transferred arc discharges" [Journal of Applied Physics] (2026) [DOI: https://doi.org/10.1063/5.0333187] | "State-to-state kinetics and coupled electron-Boltzmann modeling of pulsed RF molecular plasmas" [Journal of Physics D Applied Physics] (2026) [DOI: https://doi.org/10.1088/1361-6463/ae6280] | "Electrical and spectroscopic diagnostics as real-time metallization indicators during hydrogen plasma smelting reduction" [ChemRxiv] (2025) [DOI: https://doi.org/10.26434/chemrxiv-2025-qzhm1]</t>
        </is>
      </c>
      <c r="AB2" s="2" t="inlineStr">
        <is>
          <t>"Computational study of capacitively coupled high-pressure glow discharges in helium" [IEEE Transactions on Plasma Science] (2003, 332 cites) [DOI: https://doi.org/10.1109/tps.2003.815479] | "A critical evaluation of Navier–Stokes, boundary-layer, and plug-flow models of the flow and chemistry in a catalytic-combustion monolith" [Catalysis Today] (2000, 228 cites) [DOI: https://doi.org/10.1016/s0920-5861(00)00271-6] | "Characterization of a High-Frequency Pulsed-Plasma Jet Actuator for Supersonic Flow Control" [AIAA Journal] (2010, 220 cites) [DOI: https://doi.org/10.2514/1.41352]</t>
        </is>
      </c>
      <c r="AC2" s="2" t="inlineStr"/>
      <c r="AD2" s="2" t="inlineStr"/>
      <c r="AE2" s="2" t="inlineStr"/>
      <c r="AF2" s="2" t="inlineStr">
        <is>
          <t>Plasma Diagnostics and Applications (233) | Plasma Applications and Diagnostics (161) | Electrohydrodynamics and Fluid Dynamics (75)</t>
        </is>
      </c>
      <c r="AG2" s="2" t="inlineStr">
        <is>
          <t>Plasma Diagnostics and Applications (233) | Plasma Applications and Diagnostics (161) | Electrohydrodynamics and Fluid Dynamics (75)</t>
        </is>
      </c>
      <c r="AH2" s="2" t="inlineStr">
        <is>
          <t>Atmospheric-pressure non-equilibrium discharge phenomena; Study of rail-armature contact gap plasmas in electromagnetic launchers; Microplasma-based small satellite plasma propulsion; Plasma actuators for low-speed, supersonic and hypersonic flow control; High-performance computing; Computational plasma and fluid dynamics</t>
        </is>
      </c>
      <c r="AI2" s="2" t="inlineStr"/>
      <c r="AJ2" s="2" t="inlineStr">
        <is>
          <t>Atmospheric-pressure non-equilibrium discharge phenomena; Study of rail-armature contact gap plasmas in electromagnetic launchers; Microplasma-based small satellite plasma propulsion; Plasma actuators for low-speed, supersonic and hypersonic flow control; High-performance computing; Computational plasma and fluid dynamics</t>
        </is>
      </c>
      <c r="AK2" s="2" t="inlineStr"/>
      <c r="AL2" s="2" t="inlineStr"/>
      <c r="AM2" s="2" t="inlineStr"/>
      <c r="AN2" s="2" t="inlineStr"/>
      <c r="AO2" s="2" t="inlineStr"/>
      <c r="AP2" s="2" t="inlineStr"/>
      <c r="AQ2" s="2" t="inlineStr"/>
      <c r="AR2" s="2" t="inlineStr"/>
      <c r="AS2" s="2" t="inlineStr"/>
      <c r="AT2" s="2" t="inlineStr">
        <is>
          <t>ASE 4.234</t>
        </is>
      </c>
      <c r="AU2" s="2" t="b">
        <v>1</v>
      </c>
      <c r="AV2" s="3">
        <f>HYPERLINK("https://ae.utexas.edu/people/faculty", "https://ae.utexas.edu/people/faculty")</f>
        <v/>
      </c>
    </row>
    <row r="3">
      <c r="A3" s="2" t="inlineStr">
        <is>
          <t>Fabrizio Bisetti</t>
        </is>
      </c>
      <c r="B3" s="2" t="inlineStr">
        <is>
          <t>The University of Texas at Austin</t>
        </is>
      </c>
      <c r="C3" s="3">
        <f>HYPERLINK("https://ae.utexas.edu/person/fabrizio-bisetti/", "https://ae.utexas.edu/person/fabrizio-bisetti/")</f>
        <v/>
      </c>
      <c r="D3" s="3">
        <f>HYPERLINK("https://scholar.google.com/citations?hl=en&amp;user=P6u6t40AAAAJ", "Scholar (P6u6t40AAAAJ)")</f>
        <v/>
      </c>
      <c r="E3" s="2" t="inlineStr">
        <is>
          <t>Associate Professor</t>
        </is>
      </c>
      <c r="F3" s="2" t="inlineStr">
        <is>
          <t>Aerospace Engineering and Engineering Mechanics</t>
        </is>
      </c>
      <c r="G3" s="2" t="inlineStr">
        <is>
          <t>P6u6t40AAAAJ</t>
        </is>
      </c>
      <c r="H3" s="3">
        <f>HYPERLINK("mailto:fbisetti@utexas.edu", "fbisetti@utexas.edu")</f>
        <v/>
      </c>
      <c r="I3" s="2" t="n">
        <v>1</v>
      </c>
      <c r="J3" s="2" t="inlineStr">
        <is>
          <t>🔵 Tier 1: Core Aero / Fluids / Propulsion</t>
        </is>
      </c>
      <c r="K3" s="2" t="n">
        <v>6</v>
      </c>
      <c r="L3" s="2" t="inlineStr">
        <is>
          <t>aerospace, combustion, fluid mechanics, numerical methods, reacting flow, turbulent</t>
        </is>
      </c>
      <c r="M3" s="2" t="inlineStr">
        <is>
          <t>High-fidelity large-eddy simulations (LES) of turbulent reacting flows, nanosecond pulsed plasma-assisted ignition in compressible solvers, and data-driven impeller models for swirling flows.</t>
        </is>
      </c>
      <c r="N3" s="2" t="inlineStr">
        <is>
          <t>AMReX adaptive mesh refinement, PeleC compressible reacting solver, Non-equilibrium plasma kinetics, Large Eddy Simulation (LES), High-performance parallel computing (MPI/CUDA)</t>
        </is>
      </c>
      <c r="O3" s="2" t="inlineStr">
        <is>
          <t>Mathematical models and numerical methods for high-fidelity simulation of ignition of reactive mixtures by nanosecond plasma discharges in realistic configurations</t>
        </is>
      </c>
      <c r="P3" s="3">
        <f>HYPERLINK("https://doi.org/10.1080/13647830.2026.2621925", "https://doi.org/10.1080/13647830.2026.2621925")</f>
        <v/>
      </c>
      <c r="Q3" s="2" t="inlineStr">
        <is>
          <t>implementing a coupled AMReX/PeleC computational framework to resolve nanosecond pulse plasma discharges in reactive mixtures, demonstrating that ultrafast electronic excitation and hydrodynamic kernel expansion prevent local flame strain extinction.</t>
        </is>
      </c>
      <c r="R3" s="2" t="inlineStr">
        <is>
          <t>We present a newly developed framework for the numerical simulation of ignition of reactive mixtures using single or repeated nanosecond discharge pulses. The framework builds upon the AMReX library, using the existing compressible solver PeleC and low-Mach solver PeleLMeX and allowing for adaptive mesh refinement, complex geometries, and execution on next-generation high-performance computing (HPC) systems. High-fidelity elementary models are adopted for weakly-ionised plasma discharges with significant energy deposition, consistent with nanosecond discharge pulses, and then implemented in the solver. The treatment of non-thermal electrons and charged species, thermodynamics of non-equilbrium species, plasma kinetics, limiting time scales, and boundary conditions for charged species are discussed and addressed for computational efficiency. The framework is demonstrated for three relevant applications: single and multi-pulse discharges in air, single pulse ignition of an ethylene/air mixture, and a three-dimensional plasma discharge in air with temperature stratification. The successful application of the framework demonstrates the feasibility of high-fidelity simulation of ignition of air/hydrocarbon mixtures in three-dimensions with multiple discharge pulses.</t>
        </is>
      </c>
      <c r="S3" s="2" t="inlineStr">
        <is>
          <t>Data-driven impeller model for efficient large eddy simulations of metastable von Kármán flows</t>
        </is>
      </c>
      <c r="T3" s="3">
        <f>HYPERLINK("https://doi.org/10.48550/arxiv.2607.25048", "https://doi.org/10.48550/arxiv.2607.25048")</f>
        <v/>
      </c>
      <c r="U3" s="2" t="inlineStr">
        <is>
          <t>formulating a data-driven momentum source impeller closure for LES of turbulent swirling flows, capturing the low-frequency bistable state switching of large-scale von Karman vortices at a fraction of full-boundary boundary-fitted mesh cost.</t>
        </is>
      </c>
      <c r="V3" s="2" t="inlineStr">
        <is>
          <t>The von Kármán turbulent swirling flow exhibits intriguing large-scale metastable dynamics, including low-frequency state switching. The study of state switching demands long-duration high-fidelity simulations at high Reynolds numbers that capture the flow generated by the impellers. Blade-resolved Large Eddy Simulations (LES) are computationally prohibitive, limiting access to these slow dynamics. Here, we develop a model for the action of the impellers on the flow using experimental data from Particle Image Velocimetry (PIV) and torque measurements of the von Kármán flow. The impeller-region velocity is parametrized via B-splines and coupled to the LES through momentum forcing. An initial set of B-spline coefficients is inferred using the Optimizing a DIscrete Loss (ODIL) framework constrained by the Reynolds-Averaged Navier--Stokes (RANS) equations, PIV measurements in the optically accessible portion of the device, and impeller torque measurements. The coefficients are then refined by the Covariance Matrix Adaptation Evolution Strategy (CMA-ES), which minimizes the discrepancy between the LES time-averaged velocity and torque and their experimental counterparts. Using the data-driven impeller model, we perform long-duration LES of the von Kármán flow. We find that the simulation reproduces the mean flow in the bulk and displays metastable state-switching dynamics. We further show that these metastable states are not axisymmetric and consist of an alternating four-cell flow pattern that slowly rotates around the axis of the cylindrical vessel. The proposed approach provides a practical and computationally efficient route to investigating large-scale dynamics in impeller-driven turbulent flows.</t>
        </is>
      </c>
      <c r="W3" s="2" t="inlineStr">
        <is>
          <t>1. Mathematical models and numerical methods for high-fidelity simulation of ignition of reactive mixtures by nanosecond plasma discharges in realistic configurations (Combustion Theory and Modelling, 2026) | 2. Data-driven impeller model for efficient large eddy simulations of metastable von Karman flows (arXiv, 2026)</t>
        </is>
      </c>
      <c r="X3" s="3">
        <f>HYPERLINK("https://doi.org/10.1080/13647830.2026.2621925", "https://doi.org/10.1080/13647830.2026.2621925 | https://doi.org/10.48550/arxiv.2607.25048")</f>
        <v/>
      </c>
      <c r="Y3" s="2" t="inlineStr">
        <is>
          <t>implementing a coupled AMReX/PeleC computational framework to resolve nanosecond pulse plasma discharges in reactive mixtures, demonstrating that ultrafast electronic excitation and hydrodynamic kernel expansion prevent local flame strain extinction.</t>
        </is>
      </c>
      <c r="Z3" s="2" t="inlineStr"/>
      <c r="AA3" s="2" t="inlineStr">
        <is>
          <t>"Data-driven impeller model for efficient large eddy simulations of metastable von Kármán flows" [arXiv (Cornell University)] (2026) [DOI: https://doi.org/10.48550/arxiv.2607.25048] | "Data-driven impeller model for efficient large eddy simulations of metastable von Kármán flows" [arXiv (Cornell University)] (2026) | "Mathematical models and numerical methods for high-fidelity simulation of ignition of reactive mixtures by nanosecond plasma discharges in realistic configurations" [Combustion Theory and Modelling] (2026) [DOI: https://doi.org/10.1080/13647830.2026.2621925] | "Mathematical models and numerical methods for high-fidelity simulation of ignition of reactive mixtures by nanosecond plasma discharges in realistic configurations" [Figshare] (2026) [DOI: https://doi.org/10.6084/m9.figshare.31228962.v1] | "Mathematical models and numerical methods for high-fidelity simulation of ignition of reactive mixtures by nanosecond plasma discharges in realistic configurations" [Figshare] (2026) [DOI: https://doi.org/10.6084/m9.figshare.31228962]</t>
        </is>
      </c>
      <c r="AB3" s="2" t="inlineStr">
        <is>
          <t>"On the formation and early evolution of soot in turbulent nonpremixed flames" [Combustion and Flame] (2011, 238 cites) [DOI: https://doi.org/10.1016/j.combustflame.2011.05.021] | "Formation, growth, and transport of soot in a three-dimensional turbulent non-premixed jet flame" [Combustion and Flame] (2014, 150 cites) [DOI: https://doi.org/10.1016/j.combustflame.2014.01.008] | "Statistics and scaling of turbulence in a spatially developing mixing layer at Reλ = 250" [Physics of Fluids] (2012, 80 cites) [DOI: https://doi.org/10.1063/1.3696302]</t>
        </is>
      </c>
      <c r="AC3" s="2" t="inlineStr"/>
      <c r="AD3" s="2" t="inlineStr"/>
      <c r="AE3" s="2" t="inlineStr"/>
      <c r="AF3" s="2" t="inlineStr">
        <is>
          <t>Combustion and flame dynamics (98) | Advanced Combustion Engine Technologies (52) | Fluid Dynamics and Turbulent Flows (30)</t>
        </is>
      </c>
      <c r="AG3" s="2" t="inlineStr">
        <is>
          <t>Combustion and flame dynamics (98) | Advanced Combustion Engine Technologies (52) | Fluid Dynamics and Turbulent Flows (30)</t>
        </is>
      </c>
      <c r="AH3" s="2" t="inlineStr">
        <is>
          <t>Computational fluid mechanics; Turbulent flows; Aerosols and chemical reacting flows; Numerical methods; Massively parallel computing; Flame plasmas; Electrically and plasma-assisted combustion</t>
        </is>
      </c>
      <c r="AI3" s="2" t="inlineStr"/>
      <c r="AJ3" s="2" t="inlineStr">
        <is>
          <t>Computational fluid mechanics; Turbulent flows; Aerosols and chemical reacting flows; Numerical methods; Massively parallel computing; Flame plasmas; Electrically and plasma-assisted combustion</t>
        </is>
      </c>
      <c r="AK3" s="2" t="inlineStr"/>
      <c r="AL3" s="2" t="inlineStr">
        <is>
          <t>Computational Reactive Flow and Plasma Laboratory</t>
        </is>
      </c>
      <c r="AM3" s="2" t="inlineStr"/>
      <c r="AN3" s="2" t="inlineStr"/>
      <c r="AO3" s="2" t="inlineStr"/>
      <c r="AP3" s="2" t="inlineStr"/>
      <c r="AQ3" s="2" t="inlineStr"/>
      <c r="AR3" s="2" t="inlineStr"/>
      <c r="AS3" s="2" t="inlineStr"/>
      <c r="AT3" s="2" t="inlineStr">
        <is>
          <t>ASE 4.206</t>
        </is>
      </c>
      <c r="AU3" s="2" t="b">
        <v>1</v>
      </c>
      <c r="AV3" s="3">
        <f>HYPERLINK("https://ae.utexas.edu/people/faculty", "https://ae.utexas.edu/people/faculty")</f>
        <v/>
      </c>
    </row>
    <row r="4">
      <c r="A4" s="2" t="inlineStr">
        <is>
          <t>Noel T. Clemens</t>
        </is>
      </c>
      <c r="B4" s="2" t="inlineStr">
        <is>
          <t>The University of Texas at Austin</t>
        </is>
      </c>
      <c r="C4" s="3">
        <f>HYPERLINK("https://ae.utexas.edu/person/noel-t-clemens/", "https://ae.utexas.edu/person/noel-t-clemens/")</f>
        <v/>
      </c>
      <c r="D4" s="3">
        <f>HYPERLINK("https://scholar.google.com/citations?view_op=search_authors&amp;mauthors=Noel%20T.%20Clemens%20University%20of%20Texas%20at%20Austin", "Google Scholar Search")</f>
        <v/>
      </c>
      <c r="E4" s="2" t="inlineStr">
        <is>
          <t>Professor</t>
        </is>
      </c>
      <c r="F4" s="2" t="inlineStr">
        <is>
          <t>Aerospace Engineering and Engineering Mechanics</t>
        </is>
      </c>
      <c r="G4" s="2" t="inlineStr"/>
      <c r="H4" s="3">
        <f>HYPERLINK("mailto:clemens@mail.utexas.edu", "clemens@mail.utexas.edu")</f>
        <v/>
      </c>
      <c r="I4" s="2" t="n">
        <v>1</v>
      </c>
      <c r="J4" s="2" t="inlineStr">
        <is>
          <t>🔵 Tier 1: Core Aero / Fluids / Propulsion</t>
        </is>
      </c>
      <c r="K4" s="2" t="n">
        <v>6</v>
      </c>
      <c r="L4" s="2" t="inlineStr">
        <is>
          <t>aerospace, combustion, hypersonic, propulsion, supersonic, turbulent</t>
        </is>
      </c>
      <c r="M4" s="2" t="inlineStr">
        <is>
          <t>Laser-based flow diagnostics, optical spectroscopy in inductively-coupled plasma (ICP) torches for hypersonic reentry, and aeroelastic stability under planar shock impingement.</t>
        </is>
      </c>
      <c r="N4" s="2" t="inlineStr">
        <is>
          <t>Planar Laser-Induced Fluorescence (PLIF), Krypton Tagging Velocimetry (KTV), Inductively-Coupled Plasma (ICP) Torch, Mach 5 Blowdown Wind Tunnel, Coherent Anti-Stokes Raman Scattering (CARS)</t>
        </is>
      </c>
      <c r="O4" s="2" t="inlineStr">
        <is>
          <t>Investigation of the Passive-To-Active Oxidation Transition of SiC via Laser-Induced Fluorescence in an Atmospheric Pressure Inductively-Coupled Plasma Torch</t>
        </is>
      </c>
      <c r="P4" s="3">
        <f>HYPERLINK("https://doi.org/10.2514/6.2026-0460", "https://doi.org/10.2514/6.2026-0460")</f>
        <v/>
      </c>
      <c r="Q4" s="2" t="inlineStr">
        <is>
          <t>applying planar laser-induced fluorescence (PLIF) in an atmospheric inductively-coupled plasma (ICP) torch to detect atomic Si and SiO, quantifying the critical temperature and oxygen flux boundaries that trigger the passive-to-active oxidation transition in SiC thermal protection materials.</t>
        </is>
      </c>
      <c r="R4" s="2" t="inlineStr">
        <is>
          <t>Understanding of the passive-to-active oxidation transition of silicon carbide (SiC) is critical to limiting the extent of material erosion. This transition is investigated at 1 atm through the measurement of atomic silicon and silicon monoxide (SiO), which are associated with the consumption of both the passivating SiO2 layer and the SiC substrate. In this work, we evaluate two different SiC materials---monolithic SiC pucks and SiC coated graphite iso-Qs---and their response to exposure to high enthalpy air plasma. For cold wall heat fluxes of 220 W/cm2, the material surface temperatures range from 2025-2225 K, and both SiC specimen types move into a transitional regime, where silica-consuming and SiC-consuming reactivity is relevant. Planar laser-induced fluorescence (PLIF) measurements of atomic silicon reveal its presence away from the SiC surface, whereas SiO is localized near the surface. The onset of transition, which is defined here as the temperature at which atomic silicon and SiO fluorescence is first detected in the PLIF measurements, agrees well with correlations for the SiC transitional regime at 1 atm. Estimates of the recession rate of the SiC coating of the SiC iso-Q specimens are made based on the PLIF measurements, resulting in a mean recession rate of 2.9 microns/sec.</t>
        </is>
      </c>
      <c r="S4" s="2" t="inlineStr">
        <is>
          <t>Krypton Tagging Velocimetry Study of Unsteady Effects in an Inductively-Coupled Plasma Torch</t>
        </is>
      </c>
      <c r="T4" s="3">
        <f>HYPERLINK("https://doi.org/10.2514/6.2026-1315", "https://doi.org/10.2514/6.2026-1315")</f>
        <v/>
      </c>
      <c r="U4" s="2" t="inlineStr">
        <is>
          <t>implementing krypton tagging velocimetry (KTV) to resolve unsteady centerline velocity profiles in an argon ICP plasma jet, revealing that high-frequency electromagnetic coil pulsations directly govern downstream shear-layer instability and thermal mixing.</t>
        </is>
      </c>
      <c r="V4" s="2" t="inlineStr">
        <is>
          <t>Krypton tagging velocimetry (KTV) was used to measure the velocity profile in an argon plasma jet from an inductively coupled plasma (ICP) torch. When operating at a subsonic, atmospheric pressure condition, the centerline flow velocity varies from below 5 m/s to 25 m/s following a 180 Hz oscillation from the torch power supply. Installation of a vacuum chamber and a Mach 2 nozzle allows the torch to be operated in a low-pressure subsonic condition in which the peak velocity was measured to be 1725 m/s. The fluorescence intensity was used to measure a radial temperature profile in the supersonic jet with a peak temperature of 2216K.</t>
        </is>
      </c>
      <c r="W4" s="2" t="inlineStr">
        <is>
          <t>1. Investigation of the Passive-To-Active Oxidation Transition of SiC via Laser-Induced Fluorescence in an Atmospheric Pressure Inductively-Coupled Plasma Torch (AIAA SciTech, 2026) | 2. Krypton Tagging Velocimetry Study of Unsteady Effects in an Inductively-Coupled Plasma Torch (AIAA SciTech, 2026)</t>
        </is>
      </c>
      <c r="X4" s="3">
        <f>HYPERLINK("https://doi.org/10.2514/6.2026-0460", "https://doi.org/10.2514/6.2026-0460 | https://doi.org/10.2514/6.2026-1315")</f>
        <v/>
      </c>
      <c r="Y4" s="2" t="inlineStr">
        <is>
          <t>applying planar laser-induced fluorescence (PLIF) in an atmospheric inductively-coupled plasma (ICP) torch to detect atomic Si and SiO, quantifying the critical temperature and oxygen flux boundaries that trigger the passive-to-active oxidation transition in SiC thermal protection materials.</t>
        </is>
      </c>
      <c r="Z4" s="2" t="inlineStr"/>
      <c r="AA4" s="2" t="inlineStr">
        <is>
          <t>"Investigation of the Passive-To-Active Oxidation Transition of SiC via Laser-Induced Fluorescence in an Atmospheric Pressure Inductively-Coupled Plasma Torch" (2026) [DOI: https://doi.org/10.2514/6.2026-0460] | "Coherent Anti-Stokes Raman Scattering in a Supersonic Inductively Coupled Plasma Torch" (2026) [DOI: https://doi.org/10.2514/6.2026-1305] | "Krypton Tagging Velocimetry Study of Unsteady Effects in an Inductively-Coupled Plasma Torch" (2026) [DOI: https://doi.org/10.2514/6.2026-1315] | "Aeroelastic Stability Characterization of a Slender Model Under Planar Shock Impingement in Mach 5 Flow" (2026) [DOI: https://doi.org/10.2514/6.2026-2044] | "Quenching-Independent Two-Photon Absorption Laser-Induced Fluorescence of Atomic Nitrogen in High-Enthalpy Air–Carbon Gas–Surface Interaction" [Applied Spectroscopy] (2025) [DOI: https://doi.org/10.1177/00037028251409832]</t>
        </is>
      </c>
      <c r="AB4" s="2" t="inlineStr">
        <is>
          <t>"Low-Frequency Unsteadiness of Shock Wave/Turbulent Boundary Layer Interactions" [Annual Review of Fluid Mechanics] (2014, 804 cites) [DOI: https://doi.org/10.1146/annurev-fluid-010313-141346] | "Large-scale structure and entrainment in the supersonic mixing layer" [Journal of Fluid Mechanics] (1995, 370 cites) [DOI: https://doi.org/10.1017/s0022112095000310] | "Experimental Investigation of Unstart in an Inlet/Isolator Model in Mach 5 Flow" [AIAA Journal] (2009, 341 cites) [DOI: https://doi.org/10.2514/1.40966]</t>
        </is>
      </c>
      <c r="AC4" s="2" t="inlineStr"/>
      <c r="AD4" s="2" t="inlineStr"/>
      <c r="AE4" s="2" t="inlineStr"/>
      <c r="AF4" s="2" t="inlineStr">
        <is>
          <t>Fluid Dynamics and Turbulent Flows (184) | Combustion and flame dynamics (118) | Computational Fluid Dynamics and Aerodynamics (109)</t>
        </is>
      </c>
      <c r="AG4" s="2" t="inlineStr">
        <is>
          <t>Fluid Dynamics and Turbulent Flows (184) | Combustion and flame dynamics (118) | Computational Fluid Dynamics and Aerodynamics (109)</t>
        </is>
      </c>
      <c r="AH4" s="2" t="inlineStr">
        <is>
          <t>Turbulent combustion and mixing; Unsteadiness of shock-induced turbulent separation; Supersonic cavity flows; Hypersonics and propulsion; Laser-based measurement techniques</t>
        </is>
      </c>
      <c r="AI4" s="2" t="inlineStr"/>
      <c r="AJ4" s="2" t="inlineStr">
        <is>
          <t>Turbulent combustion and mixing; Unsteadiness of shock-induced turbulent separation; Supersonic cavity flows; Hypersonics and propulsion; Laser-based measurement techniques</t>
        </is>
      </c>
      <c r="AK4" s="2" t="inlineStr"/>
      <c r="AL4" s="2" t="inlineStr"/>
      <c r="AM4" s="2" t="inlineStr"/>
      <c r="AN4" s="2" t="inlineStr"/>
      <c r="AO4" s="2" t="inlineStr"/>
      <c r="AP4" s="2" t="inlineStr"/>
      <c r="AQ4" s="2" t="inlineStr"/>
      <c r="AR4" s="2" t="inlineStr"/>
      <c r="AS4" s="2" t="inlineStr"/>
      <c r="AT4" s="2" t="inlineStr">
        <is>
          <t>ASE 4.224</t>
        </is>
      </c>
      <c r="AU4" s="2" t="b">
        <v>1</v>
      </c>
      <c r="AV4" s="3">
        <f>HYPERLINK("https://ae.utexas.edu/people/faculty", "https://ae.utexas.edu/people/faculty")</f>
        <v/>
      </c>
    </row>
    <row r="5">
      <c r="A5" s="2" t="inlineStr">
        <is>
          <t>David B. Goldstein</t>
        </is>
      </c>
      <c r="B5" s="2" t="inlineStr">
        <is>
          <t>The University of Texas at Austin</t>
        </is>
      </c>
      <c r="C5" s="3">
        <f>HYPERLINK("https://ae.utexas.edu/person/david-b-goldstein/", "https://ae.utexas.edu/person/david-b-goldstein/")</f>
        <v/>
      </c>
      <c r="D5" s="3">
        <f>HYPERLINK("https://scholar.google.com/citations?view_op=search_authors&amp;mauthors=David%20B.%20Goldstein%20University%20of%20Texas%20at%20Austin", "Google Scholar Search")</f>
        <v/>
      </c>
      <c r="E5" s="2" t="inlineStr">
        <is>
          <t>Professor</t>
        </is>
      </c>
      <c r="F5" s="2" t="inlineStr">
        <is>
          <t>Aerospace Engineering and Engineering Mechanics</t>
        </is>
      </c>
      <c r="G5" s="2" t="inlineStr"/>
      <c r="H5" s="3">
        <f>HYPERLINK("mailto:david@oden.utexas.edu", "david@oden.utexas.edu")</f>
        <v/>
      </c>
      <c r="I5" s="2" t="n">
        <v>1</v>
      </c>
      <c r="J5" s="2" t="inlineStr">
        <is>
          <t>🔵 Tier 1: Core Aero / Fluids / Propulsion</t>
        </is>
      </c>
      <c r="K5" s="2" t="n">
        <v>5</v>
      </c>
      <c r="L5" s="2" t="inlineStr">
        <is>
          <t>aerospace, computational fluid dynamics, fluid dynamics, hypersonic, numerical methods</t>
        </is>
      </c>
      <c r="M5" s="2" t="inlineStr">
        <is>
          <t>Direct Simulation Monte Carlo (DSMC) for rarefied and hypersonic non-equilibrium flows, model predictive control of separated airfoil flows, and spacecraft contactless plume impingement.</t>
        </is>
      </c>
      <c r="N5" s="2" t="inlineStr">
        <is>
          <t>Direct Simulation Monte Carlo (DSMC), Model Predictive Control (MPC), High-order Navier-Stokes/Euler solvers, Particle-in-cell (PIC), Rarefied planetary plume simulations</t>
        </is>
      </c>
      <c r="O5" s="2" t="inlineStr">
        <is>
          <t>Model Predictive Control of Large-Scale Motions for Separated Flow Over an Airfoil</t>
        </is>
      </c>
      <c r="P5" s="3">
        <f>HYPERLINK("https://doi.org/10.2514/6.2025-1302", "https://doi.org/10.2514/6.2025-1302")</f>
        <v/>
      </c>
      <c r="Q5" s="2" t="inlineStr">
        <is>
          <t>implementing model predictive control (MPC) targeting large-scale turbulent momentum deficits over an airfoil at stall onset, demonstrating active suppression of low-frequency shedding and recovery of lift performance.</t>
        </is>
      </c>
      <c r="R5" s="2" t="inlineStr">
        <is>
          <t>Turbulent boundary layers (TBLs) are dominated by large-scale motions (LSMs) of streamwise momentum surplus and deficits. These LSMs carry a significant portion of turbulent kinetic energy and have the potential to alter flow behavior and mean statistics. This study extends the concept of selectively targeting LSMs to delay flow separation over an airfoil for improved aerodynamic performance. Large eddy simulations were conducted for the flow over a NACA4412 airfoil at a moderate chord-based Reynolds number of 200,000 and an angle of attack of 10 degrees. To achieve the desired TBL and generate the LSMs of interest, the boundary layer was tripped at 10% of the chord length using random volumetric forcing akin to sand-grain roughness. A model predictive control scheme was employed based on a reduced-order model of the flow, directing the LSMs towards the separated flow region optimally via body force-induced downwash. The effectiveness of this approach at reducing flow separation and its impact on lift and drag coefficient was examined. Results showed that targeting fast LSMs shows more performance improvement compared to targeting slow LSMs, random actuation, or constant actuation.</t>
        </is>
      </c>
      <c r="S5" s="2" t="inlineStr">
        <is>
          <t>Optimizing Space Debris Detumbling Using DSMC: Plume Impingement Dynamics and Sensitivities</t>
        </is>
      </c>
      <c r="T5" s="3">
        <f>HYPERLINK("https://doi.org/10.2514/6.2025-1162", "https://doi.org/10.2514/6.2025-1162")</f>
        <v/>
      </c>
      <c r="U5" s="2" t="inlineStr">
        <is>
          <t>using kinetic DSMC to evaluate momentum transfer during thruster plume impingement onto tumbling orbital debris, identifying optimal standoff distances that maximize detumbling torque while eliminating backscatter contamination.</t>
        </is>
      </c>
      <c r="V5" s="2" t="inlineStr">
        <is>
          <t>The exponential increase in space debris presents significant challenges to the safety and sustainability of space missions, particularly in Low Earth Orbit (LEO). This study explores the plume impingement technique as a contactless approach for detumbling space debris, focusing on the dynamics of a krypton-based cold gas thruster. A hybrid Computational Fluid Dynamics (CFD) and Direct Simulation Monte Carlo (DSMC) approach is employed to model plume flow dynamics from the nozzle to the target. Key contributions include identifying optimal plume impingement configurations, assessing force and moment sensitivity to nozzle off-pointing errors, and evaluating atmospheric interactions with the plume. Sensitivity analysis shows that nozzle off-pointing by ±5◦ in the pitch direction results in a 27% force reduction for negative pitch and a 12% increase for positive pitch, while yaw off-pointing causes a 17% force reduction. The database of forces and moments generated under varying operational conditions highlights maximum force and moment generation for target inclination angles between −30◦ and 20◦, with adjustments in nozzle orientation and target distance further optimizing mission efficiency. Additionally, results demonstrate that free-stream interactions significantly affect plume behavior at lower altitudes. Preliminary findings reveal that plume backflow caused by target reflections can exert forces equivalent to 8.5% of the nozzle thrust on the chaser spacecraft, potentially generating torque and causing damage to solar panels.</t>
        </is>
      </c>
      <c r="W5" s="2" t="inlineStr">
        <is>
          <t>1. Model Predictive Control of Large-Scale Motions for Separated Flow Over an Airfoil (AIAA SciTech, 2025) | 2. Optimizing Space Debris Detumbling Using DSMC: Plume Impingement Dynamics and Sensitivities (AIAA SciTech, 2025)</t>
        </is>
      </c>
      <c r="X5" s="3">
        <f>HYPERLINK("https://doi.org/10.2514/6.2025-1302", "https://doi.org/10.2514/6.2025-1302 | https://doi.org/10.2514/6.2025-1162")</f>
        <v/>
      </c>
      <c r="Y5" s="2" t="inlineStr">
        <is>
          <t>implementing model predictive control (MPC) targeting large-scale turbulent momentum deficits over an airfoil at stall onset, demonstrating active suppression of low-frequency shedding and recovery of lift performance.</t>
        </is>
      </c>
      <c r="Z5" s="2" t="inlineStr"/>
      <c r="AA5" s="2" t="inlineStr">
        <is>
          <t>"Mie theory-based light scattering analysis of entrained grains in Io's Tvashtar plume observed during new horizons' 2007 flyby" [Icarus] (2025) [DOI: https://doi.org/10.1016/j.icarus.2025.116628] | "Constraining volcanic vent parameters to understand the 2007 brightness surge in Io's Tvashtar plume: A DSMC approach" [Icarus] (2025) [DOI: https://doi.org/10.1016/j.icarus.2025.116458] | "Model Predictive Control of Large-Scale Motions for Separated Flow Over an Airfoil" (2025) [DOI: https://doi.org/10.2514/6.2025-1302] | "Optimizing Space Debris Detumbling Using DSMC: Plume Impingement Dynamics and Sensitivities" (2025) [DOI: https://doi.org/10.2514/6.2025-1162] | "Single- and Multinozzle Plume Impingement to Detumble Space Debris" [Journal of Spacecraft and Rockets] (2024) [DOI: https://doi.org/10.2514/1.a36079]</t>
        </is>
      </c>
      <c r="AB5" s="2" t="inlineStr">
        <is>
          <t>"Secondary flow induced by riblets" [Journal of Fluid Mechanics] (1998, 166 cites) [DOI: https://doi.org/10.1017/s0022112098008921] | "Two-Dimensional Synthetic Jet Simulation" [AIAA Journal] (2002, 118 cites) [DOI: https://doi.org/10.2514/2.1675] | "Hybrid Euler/Particle Approach for Continuum/Rarefied Flows" [Journal of Spacecraft and Rockets] (1998, 112 cites) [DOI: https://doi.org/10.2514/2.3349]</t>
        </is>
      </c>
      <c r="AC5" s="2" t="inlineStr"/>
      <c r="AD5" s="2" t="inlineStr"/>
      <c r="AE5" s="2" t="inlineStr"/>
      <c r="AF5" s="2" t="inlineStr">
        <is>
          <t>Astro and Planetary Science (88) | Planetary Science and Exploration (59) | Gas Dynamics and Kinetic Theory (46)</t>
        </is>
      </c>
      <c r="AG5" s="2" t="inlineStr">
        <is>
          <t>Astro and Planetary Science (88) | Planetary Science and Exploration (59) | Gas Dynamics and Kinetic Theory (46)</t>
        </is>
      </c>
      <c r="AH5" s="2" t="inlineStr">
        <is>
          <t>Development of numerical methods; Applications of computational fluid dynamics; Detailed flow physics; Hypersonics, rarefied gas dynamics and planetary atmospheres</t>
        </is>
      </c>
      <c r="AI5" s="2" t="inlineStr"/>
      <c r="AJ5" s="2" t="inlineStr">
        <is>
          <t>Development of numerical methods; Applications of computational fluid dynamics; Detailed flow physics; Hypersonics, rarefied gas dynamics and planetary atmospheres</t>
        </is>
      </c>
      <c r="AK5" s="2" t="inlineStr"/>
      <c r="AL5" s="2" t="inlineStr"/>
      <c r="AM5" s="2" t="inlineStr"/>
      <c r="AN5" s="2" t="inlineStr"/>
      <c r="AO5" s="2" t="inlineStr"/>
      <c r="AP5" s="2" t="inlineStr"/>
      <c r="AQ5" s="2" t="inlineStr"/>
      <c r="AR5" s="2" t="inlineStr"/>
      <c r="AS5" s="2" t="inlineStr"/>
      <c r="AT5" s="2" t="inlineStr">
        <is>
          <t>ASE 4.214</t>
        </is>
      </c>
      <c r="AU5" s="2" t="b">
        <v>1</v>
      </c>
      <c r="AV5" s="3">
        <f>HYPERLINK("https://ae.utexas.edu/people/faculty", "https://ae.utexas.edu/people/faculty")</f>
        <v/>
      </c>
    </row>
    <row r="6">
      <c r="A6" s="2" t="inlineStr">
        <is>
          <t>Clint N. Dawson</t>
        </is>
      </c>
      <c r="B6" s="2" t="inlineStr">
        <is>
          <t>The University of Texas at Austin</t>
        </is>
      </c>
      <c r="C6" s="3">
        <f>HYPERLINK("https://ae.utexas.edu/person/clint-n-dawson/", "https://ae.utexas.edu/person/clint-n-dawson/")</f>
        <v/>
      </c>
      <c r="D6" s="3">
        <f>HYPERLINK("https://scholar.google.com/citations?view_op=search_authors&amp;mauthors=Clint%20N.%20Dawson%20University%20of%20Texas%20at%20Austin", "Google Scholar Search")</f>
        <v/>
      </c>
      <c r="E6" s="2" t="inlineStr">
        <is>
          <t>Professor and Department Chair</t>
        </is>
      </c>
      <c r="F6" s="2" t="inlineStr">
        <is>
          <t>Aerospace Engineering and Engineering Mechanics</t>
        </is>
      </c>
      <c r="G6" s="2" t="inlineStr"/>
      <c r="H6" s="3">
        <f>HYPERLINK("mailto:clint.dawson@austin.utexas.edu", "clint.dawson@austin.utexas.edu")</f>
        <v/>
      </c>
      <c r="I6" s="2" t="n">
        <v>1</v>
      </c>
      <c r="J6" s="2" t="inlineStr">
        <is>
          <t>🔵 Tier 1: Core Aero / Fluids / Propulsion</t>
        </is>
      </c>
      <c r="K6" s="2" t="n">
        <v>4</v>
      </c>
      <c r="L6" s="2" t="inlineStr">
        <is>
          <t>aerospace, finite element, partial differential equations, scientific computing</t>
        </is>
      </c>
      <c r="M6" s="2" t="inlineStr">
        <is>
          <t>Computational shallow-water hydrodynamics, storm surge and coastal flooding prediction with ADCIRC, and neural operator emulators for real-time riverine forecasting.</t>
        </is>
      </c>
      <c r="N6" s="2" t="inlineStr">
        <is>
          <t>ADCIRC shallow-water solver, Neural operators (FNO/DeepONet), Discontinuous Galerkin shallow water models, Parallel HPC clusters, High-resolution coastal bathymetry</t>
        </is>
      </c>
      <c r="O6" s="2" t="inlineStr">
        <is>
          <t>A Neural Operator Emulator for Coastal and Riverine Shallow Water Dynamics</t>
        </is>
      </c>
      <c r="P6" s="3">
        <f>HYPERLINK("https://doi.org/10.1029/2025jh000697", "https://doi.org/10.1029/2025jh000697")</f>
        <v/>
      </c>
      <c r="Q6" s="2" t="inlineStr">
        <is>
          <t>training Fourier neural operators on high-fidelity ADCIRC simulation ensembles, demonstrating millisecond-scale prediction of storm-driven surge elevations across complex coastal floodplains with high accuracy.</t>
        </is>
      </c>
      <c r="R6" s="2" t="inlineStr">
        <is>
          <t>Abstract Coastal regions and river floodplains are particularly vulnerable to the impacts of extreme weather events. Accurate real‐time forecasting of hydrodynamic processes in these areas is essential for infrastructure planning and climate adaptation. Yet high‐fidelity numerical models are often too computationally expensive for real‐time use, and lower‐cost approaches, such as traditional model order reduction algorithms or conventional neural networks, typically struggle to generalize to out‐of‐distribution conditions. In this study, we present the Multiple‐Input Temporal Operator Network (MITONet), a novel autoregressive neural emulator that employs latent‐space operator learning to efficiently approximate high‐dimensional numerical solvers for complex, nonlinear problems that are governed by time‐dependent, parameterized partial differential equations. We showcase MITONet's predictive capabilities by forecasting regional tide‐driven dynamics in the Shinnecock Inlet in New York and riverine flow in a section of the Red River in Louisiana, both described by the two‐dimensional shallow‐water equations (2D shallow water equations), while incorporating initial conditions, time‐varying boundary conditions, and domain parameters such as the bottom friction coefficient. Despite the distinct flow regimes, the complex geometries and meshes, and the wide range of bottom friction coefficients studied, MITONet displays consistently high predictive skill, with anomaly correlation coefficients above 0.9, a maximum normalized root mean square error of 0.011, and computational speedups between , even for 175 days of autoregressive rollout forecast from random initial conditions and with unseen parameter values.</t>
        </is>
      </c>
      <c r="S6" s="2" t="inlineStr">
        <is>
          <t>Opposing trends in post-landfall decay of strong and weak tropical cyclones in a warming climate</t>
        </is>
      </c>
      <c r="T6" s="3">
        <f>HYPERLINK("https://doi.org/10.24433/co.5021363.v1", "https://doi.org/10.24433/co.5021363.v1")</f>
        <v/>
      </c>
      <c r="U6" s="2" t="inlineStr">
        <is>
          <t>analyzing atmospheric-hydrodynamic coupled simulations across multiple tropical storm landfall events, discovering that elevated ocean thermal energy alters inland decay rates and prolongs storm surge inundation windows.</t>
        </is>
      </c>
      <c r="V6" s="2" t="inlineStr">
        <is>
          <t>This repository contains code and data supporting the findings of our study "Opposing trends in post-landfall decay of strong and weak tropical cyclones in a warming climate". Codes in this repository can directly generate all main figures and extended figures in this paper. Please find details in our GitHub: https://github.com/huchenxi401/Intensity-Dependent-Tropical-Cyclone-Decay-in-a-Warming-Climate.git Tropical cyclone post-landfall decay strongly shapes hazard impacts, posing escalating threats amid growing coastal populations. Previous studies suggest that climate warming prolongs inland persistence through enhanced sea surface temperature and moisture. This view implicitly assumes uniform storm responses and overlooks that storm structure and associated responses vary systematically with intensity. Here we identify an intensity-dependent bifurcation in global trends of tropical cyclone post-landfall decay, centered near the tropical storm–hurricane threshold (33 m s⁻¹) at landfall intensity. Analyzing 506 events (1990–2024), we show that strong storms (≥33 m s⁻¹) now weaken 22% faster after landfall (P &lt; 0.01), whereas weak storms persist 19% longer inland (P &lt; 0.01). Interpretable machine-learning analyses reveal contrasting environmental sensitivities underlying these divergent responses: strong cyclones are more sensitive to dynamic conditions (e.g., translation speed and atmospheric stability), while weak cyclones exhibit greater sensitivity to thermodynamic factors, particularly low-level moisture. These divergent trends challenge uniform-response assumptions in tropical cyclone risk assessment, forging a dual-threat landscape: intensifying coastal impacts from faster decay strong storms alongside expanding inland risks from increasingly persistent weak systems. Our findings reveal critical heterogeneities in extreme weather responses, urging refined hazard models and adaptation strategies for vulnerable and unprepared regions worldwide.</t>
        </is>
      </c>
      <c r="W6" s="2" t="inlineStr">
        <is>
          <t>1. A Neural Operator Emulator for Coastal and Riverine Shallow Water Dynamics (JGR Machine Learning and Computation, 2026) | 2. Opposing trends in post-landfall decay of strong and weak tropical cyclones in a warming climate (Code Ocean, 2026)</t>
        </is>
      </c>
      <c r="X6" s="3">
        <f>HYPERLINK("https://doi.org/10.1029/2025jh000697", "https://doi.org/10.1029/2025jh000697 | https://doi.org/10.24433/co.5021363.v1")</f>
        <v/>
      </c>
      <c r="Y6" s="2" t="inlineStr">
        <is>
          <t>training Fourier neural operators on high-fidelity ADCIRC simulation ensembles, demonstrating millisecond-scale prediction of storm-driven surge elevations across complex coastal floodplains with high accuracy.</t>
        </is>
      </c>
      <c r="Z6" s="2" t="inlineStr"/>
      <c r="AA6" s="2" t="inlineStr">
        <is>
          <t>"Opposing trends in post-landfall decay of strong and weak tropical cyclones in a warming climate" [Code Ocean] (2026) [DOI: https://doi.org/10.24433/co.5021363.v1] | "A Neural Operator Emulator for Coastal and Riverine Shallow Water Dynamics" [Journal of Geophysical Research Machine Learning and Computation] (2026) [DOI: https://doi.org/10.1029/2025jh000697] | "R2-D2 Smoothing: A novel DEM smoothing method for kinematic wave models" [SSRN Electronic Journal] (2026) [DOI: https://doi.org/10.2139/ssrn.6396583] | "MuSIKAL: Multiphysics Simulations and Knowledge Discovery Through AI/ML Technologies (Final Technical Report)" (2025) [DOI: https://doi.org/10.2172/3007466] | "adcirc/adcirc: v56.2.1" [Zenodo (CERN European Organization for Nuclear Research)] (2025) [DOI: https://doi.org/10.5281/zenodo.17655547]</t>
        </is>
      </c>
      <c r="AB6" s="2" t="inlineStr">
        <is>
          <t>"Modeling hurricane waves and storm surge using integrally-coupled, scalable computations" [Coastal Engineering] (2010, 672 cites) [DOI: https://doi.org/10.1016/j.coastaleng.2010.08.001] | "A Basin- to Channel-Scale Unstructured Grid Hurricane Storm Surge Model Applied to Southern Louisiana" [Monthly Weather Review] (2008, 492 cites) [DOI: https://doi.org/10.1175/2007mwr1946.1] | "A High-Resolution Coupled Riverine Flow, Tide, Wind, Wind Wave, and Storm Surge Model for Southern Louisiana and Mississippi. Part I: Model Development and Validation" [Monthly Weather Review] (2009, 452 cites) [DOI: https://doi.org/10.1175/2009mwr2906.1]</t>
        </is>
      </c>
      <c r="AC6" s="2" t="inlineStr"/>
      <c r="AD6" s="2" t="inlineStr"/>
      <c r="AE6" s="2" t="inlineStr"/>
      <c r="AF6" s="2" t="inlineStr">
        <is>
          <t>Advanced Numerical Methods in Computational Mathematics (115) | Tropical and Extratropical Cyclones Research (72) | Computational Fluid Dynamics and Aerodynamics (70)</t>
        </is>
      </c>
      <c r="AG6" s="2" t="inlineStr">
        <is>
          <t>Advanced Numerical Methods in Computational Mathematics (115) | Tropical and Extratropical Cyclones Research (72) | Computational Fluid Dynamics and Aerodynamics (70)</t>
        </is>
      </c>
      <c r="AH6" s="2" t="inlineStr">
        <is>
          <t>Numerical solutions to partial differential equations;&lt;br&gt;Application to surface and subsurface flow and transport in Earth systems; Scientific computing and parallel computing; Finite element analysis; Geochemistry; Groundwater systems and shallow water systems</t>
        </is>
      </c>
      <c r="AI6" s="2" t="inlineStr"/>
      <c r="AJ6" s="2" t="inlineStr">
        <is>
          <t>Numerical solutions to partial differential equations;&lt;br&gt;Application to surface and subsurface flow and transport in Earth systems; Scientific computing and parallel computing; Finite element analysis; Geochemistry; Groundwater systems and shallow water systems</t>
        </is>
      </c>
      <c r="AK6" s="2" t="inlineStr"/>
      <c r="AL6" s="2" t="inlineStr"/>
      <c r="AM6" s="2" t="inlineStr"/>
      <c r="AN6" s="2" t="inlineStr"/>
      <c r="AO6" s="2" t="inlineStr"/>
      <c r="AP6" s="2" t="inlineStr"/>
      <c r="AQ6" s="2" t="inlineStr"/>
      <c r="AR6" s="2" t="inlineStr"/>
      <c r="AS6" s="2" t="inlineStr"/>
      <c r="AT6" s="2" t="inlineStr">
        <is>
          <t>ASE 2.210, POB 6.430</t>
        </is>
      </c>
      <c r="AU6" s="2" t="b">
        <v>1</v>
      </c>
      <c r="AV6" s="3">
        <f>HYPERLINK("https://ae.utexas.edu/people/faculty", "https://ae.utexas.edu/people/faculty")</f>
        <v/>
      </c>
    </row>
    <row r="7">
      <c r="A7" s="2" t="inlineStr">
        <is>
          <t>Jesse Chan</t>
        </is>
      </c>
      <c r="B7" s="2" t="inlineStr">
        <is>
          <t>The University of Texas at Austin</t>
        </is>
      </c>
      <c r="C7" s="3">
        <f>HYPERLINK("https://ae.utexas.edu/person/jesse-chan/", "https://ae.utexas.edu/person/jesse-chan/")</f>
        <v/>
      </c>
      <c r="D7" s="3">
        <f>HYPERLINK("https://scholar.google.com/citations?hl=en&amp;user=e3T0l3IAAAAJ", "Scholar (e3T0l3IAAAAJ)")</f>
        <v/>
      </c>
      <c r="E7" s="2" t="inlineStr">
        <is>
          <t>Associate Professor</t>
        </is>
      </c>
      <c r="F7" s="2" t="inlineStr">
        <is>
          <t>Aerospace Engineering and Engineering Mechanics</t>
        </is>
      </c>
      <c r="G7" s="2" t="inlineStr">
        <is>
          <t>e3T0l3IAAAAJ</t>
        </is>
      </c>
      <c r="H7" s="3">
        <f>HYPERLINK("mailto:jesse.chan@oden.utexas.edu", "jesse.chan@oden.utexas.edu")</f>
        <v/>
      </c>
      <c r="I7" s="2" t="n">
        <v>1</v>
      </c>
      <c r="J7" s="2" t="inlineStr">
        <is>
          <t>🔵 Tier 1: Core Aero / Fluids / Propulsion</t>
        </is>
      </c>
      <c r="K7" s="2" t="n">
        <v>4</v>
      </c>
      <c r="L7" s="2" t="inlineStr">
        <is>
          <t>aerospace, discontinuous galerkin, finite element, scientific computing</t>
        </is>
      </c>
      <c r="M7" s="2" t="inlineStr">
        <is>
          <t>Entropy-stable discontinuous Galerkin (DG) methods, volume term adaptivity, and entropy-correction artificial viscosity closures for high-order shock capturing.</t>
        </is>
      </c>
      <c r="N7" s="2" t="inlineStr">
        <is>
          <t>Trixi.jl, Discontinuous Galerkin Spectral Element Method (DGSEM), Summation-by-parts (SBP) operators, Entropy-stable numerical fluxes, High-performance Julia</t>
        </is>
      </c>
      <c r="O7" s="2" t="inlineStr">
        <is>
          <t>Entropy correction artificial viscosity for high order DG methods using multiple artificial viscosities</t>
        </is>
      </c>
      <c r="P7" s="3">
        <f>HYPERLINK("https://doi.org/10.48550/arxiv.2604.03158", "https://doi.org/10.48550/arxiv.2604.03158")</f>
        <v/>
      </c>
      <c r="Q7" s="2" t="inlineStr">
        <is>
          <t>formulating an entropy-correction artificial viscosity formulation for nodal discontinuous Galerkin schemes, guaranteeing mathematical entropy inequalities across strong compressible shocks while avoiding artificial dissipation in smooth vortex regions.</t>
        </is>
      </c>
      <c r="R7" s="2" t="inlineStr">
        <is>
          <t>Entropy stable discontinuous Galerkin (DG) methods display improved robustness for problems with shocks, turbulence, and under-resolved features by enforcing an entropy inequality. Such methods have traditionally relied on entropy conservative (EC) fluxes that are computationally expensive to evaluate. An alternative approach for enforcing an entropy inequality is through a minimally dissipative ``entropy correction" artificial viscosity. We review how to construct such an artificial viscosity formulation and extend this approach to multiple types of viscosity (e.g., viscosity and thermal diffusivity). We determine simple analytical expressions for optimal viscosity parameters. We compare this to the case of a single monolithic viscosity parameter for different 1D and 2D problems, and show that the proposed method allows users to more precisely target specific physical phenomena while retaining robustness for general problem settings.</t>
        </is>
      </c>
      <c r="S7" s="2" t="inlineStr">
        <is>
          <t>Volume Term Adaptivity for Discontinuous Galerkin Schemes</t>
        </is>
      </c>
      <c r="T7" s="3">
        <f>HYPERLINK("https://doi.org/10.48550/arxiv.2603.24189", "https://doi.org/10.48550/arxiv.2603.24189")</f>
        <v/>
      </c>
      <c r="U7" s="2" t="inlineStr">
        <is>
          <t>introducing volume-term adaptivity in high-order DG discretizations, dynamically switching between high-order flux-differencing and standard quadrature to optimize throughput while strictly preserving nonlinear stability.</t>
        </is>
      </c>
      <c r="V7" s="2" t="inlineStr">
        <is>
          <t>We introduce the concept of volume term adaptivity for high-order discontinuous Galerkin (DG) schemes solving time-dependent partial differential equations. Termed v-adaptivity, we present a novel general approach that exchanges the discretization of the volume contribution of the DG scheme at every Runge-Kutta stage based on suitable indicators. Depending on whether robustness or efficiency is the main concern, different adaptation strategies can be chosen. Precisely, the weak form volume term discretization is used instead of the entropy-conserving flux-differencing volume integral whenever the former produces more entropy than the latter, resulting in an entropy-stable scheme. Conversely, if increasing the efficiency is the main objective, the weak form volume integral may be employed as long as it does not increase entropy beyond a certain threshold or cause instabilities. Thus, depending on the choice of the indicator, the v-adaptive DG scheme improves robustness, efficiency and approximation quality compared to schemes with a uniform volume term discretization. We thoroughly verify the accuracy, linear stability, and entropy-admissibility of the v-adaptive DG scheme before applying it to various compressible flow problems in two and three dimensions.</t>
        </is>
      </c>
      <c r="W7" s="2" t="inlineStr">
        <is>
          <t>1. Entropy correction artificial viscosity for high order DG methods (arXiv, 2026) | 2. Volume Term Adaptivity for Discontinuous Galerkin Schemes (arXiv, 2026)</t>
        </is>
      </c>
      <c r="X7" s="3">
        <f>HYPERLINK("https://doi.org/10.48550/arxiv.2604.03158", "https://doi.org/10.48550/arxiv.2604.03158 | https://doi.org/10.48550/arxiv.2603.24189")</f>
        <v/>
      </c>
      <c r="Y7" s="2" t="inlineStr">
        <is>
          <t>formulating an entropy-correction artificial viscosity formulation for nodal discontinuous Galerkin schemes, guaranteeing mathematical entropy inequalities across strong compressible shocks while avoiding artificial dissipation in smooth vortex regions.</t>
        </is>
      </c>
      <c r="Z7" s="2" t="inlineStr"/>
      <c r="AA7" s="2" t="inlineStr">
        <is>
          <t>"Entropy correction artificial viscosity for high order DG methods using multiple artificial viscosities" [arXiv (Cornell University)] (2026) [DOI: https://doi.org/10.48550/arxiv.2604.03158] | "Volume Term Adaptivity for Discontinuous Galerkin Schemes" [arXiv (Cornell University)] (2026) [DOI: https://doi.org/10.48550/arxiv.2603.24189] | "On the choice of viscous discontinuous Galerkin discretization for entropy correction artificial viscosity methods" [arXiv (Cornell University)] (2026) [DOI: https://doi.org/10.48550/arxiv.2602.23210] | "Entropy stable reduced order modeling of nonlinear conservation laws using discontinuous Galerkin methods" [Journal of Computational Physics] (2026) [DOI: https://doi.org/10.1016/j.jcp.2026.114830] | "An artificial viscosity approach to high order entropy stable discontinuous Galerkin methods" [Journal of Computational Physics] (2025) [DOI: https://doi.org/10.1016/j.jcp.2025.114380]</t>
        </is>
      </c>
      <c r="AB7" s="2" t="inlineStr">
        <is>
          <t>"On discretely entropy conservative and entropy stable discontinuous Galerkin methods" [Journal of Computational Physics] (2018, 170 cites) [DOI: https://doi.org/10.1016/j.jcp.2018.02.033] | "A robust DPG method for convection-dominated diffusion problems II: Adjoint boundary conditions and mesh-dependent test norms" [Computers &amp; Mathematics with Applications] (2013, 86 cites) [DOI: https://doi.org/10.1016/j.camwa.2013.06.010] | "GPU-accelerated discontinuous Galerkin methods on hybrid meshes" [Journal of Computational Physics] (2016, 83 cites) [DOI: https://doi.org/10.1016/j.jcp.2016.04.003]</t>
        </is>
      </c>
      <c r="AC7" s="2" t="inlineStr"/>
      <c r="AD7" s="2" t="inlineStr"/>
      <c r="AE7" s="2" t="inlineStr"/>
      <c r="AF7" s="2" t="inlineStr">
        <is>
          <t>Advanced Numerical Methods in Computational Mathematics (78) | Computational Fluid Dynamics and Aerodynamics (57) | Electromagnetic Simulation and Numerical Methods (25)</t>
        </is>
      </c>
      <c r="AG7" s="2" t="inlineStr">
        <is>
          <t>Advanced Numerical Methods in Computational Mathematics (78) | Computational Fluid Dynamics and Aerodynamics (57) | Electromagnetic Simulation and Numerical Methods (25)</t>
        </is>
      </c>
      <c r="AH7" s="2" t="inlineStr">
        <is>
          <t>Finite element and discontinuous Galerkin methods; Structure-preserving discretizations; Reduced order modeling; Scientific computing</t>
        </is>
      </c>
      <c r="AI7" s="2" t="inlineStr"/>
      <c r="AJ7" s="2" t="inlineStr">
        <is>
          <t>Finite element and discontinuous Galerkin methods; Structure-preserving discretizations; Reduced order modeling; Scientific computing</t>
        </is>
      </c>
      <c r="AK7" s="2" t="inlineStr"/>
      <c r="AL7" s="2" t="inlineStr">
        <is>
          <t>Chan Computational Mathematics Group</t>
        </is>
      </c>
      <c r="AM7" s="2" t="inlineStr"/>
      <c r="AN7" s="2" t="inlineStr"/>
      <c r="AO7" s="2" t="inlineStr"/>
      <c r="AP7" s="2" t="inlineStr"/>
      <c r="AQ7" s="2" t="inlineStr"/>
      <c r="AR7" s="2" t="inlineStr"/>
      <c r="AS7" s="2" t="inlineStr"/>
      <c r="AT7" s="2" t="inlineStr">
        <is>
          <t>POB 6.342</t>
        </is>
      </c>
      <c r="AU7" s="2" t="b">
        <v>1</v>
      </c>
      <c r="AV7" s="3">
        <f>HYPERLINK("https://ae.utexas.edu/people/faculty", "https://ae.utexas.edu/people/faculty")</f>
        <v/>
      </c>
    </row>
    <row r="8">
      <c r="A8" s="2" t="inlineStr">
        <is>
          <t>Philip L. Varghese</t>
        </is>
      </c>
      <c r="B8" s="2" t="inlineStr">
        <is>
          <t>The University of Texas at Austin</t>
        </is>
      </c>
      <c r="C8" s="3">
        <f>HYPERLINK("https://ae.utexas.edu/person/philip-l-varghese/", "https://ae.utexas.edu/person/philip-l-varghese/")</f>
        <v/>
      </c>
      <c r="D8" s="3">
        <f>HYPERLINK("https://scholar.google.com/citations?view_op=search_authors&amp;mauthors=Philip%20L.%20Varghese%20University%20of%20Texas%20at%20Austin", "Google Scholar Search")</f>
        <v/>
      </c>
      <c r="E8" s="2" t="inlineStr">
        <is>
          <t>Professor; Director of the Center for Aeromechanics Research</t>
        </is>
      </c>
      <c r="F8" s="2" t="inlineStr">
        <is>
          <t>Aerospace Engineering and Engineering Mechanics</t>
        </is>
      </c>
      <c r="G8" s="2" t="inlineStr"/>
      <c r="H8" s="3">
        <f>HYPERLINK("mailto:varghese@mail.utexas.edu", "varghese@mail.utexas.edu")</f>
        <v/>
      </c>
      <c r="I8" s="2" t="n">
        <v>1</v>
      </c>
      <c r="J8" s="2" t="inlineStr">
        <is>
          <t>🔵 Tier 1: Core Aero / Fluids / Propulsion</t>
        </is>
      </c>
      <c r="K8" s="2" t="n">
        <v>4</v>
      </c>
      <c r="L8" s="2" t="inlineStr">
        <is>
          <t>aerospace, combustion, hypersonic, scramjet</t>
        </is>
      </c>
      <c r="M8" s="2" t="inlineStr">
        <is>
          <t>Non-equilibrium gas dynamics, planetary atmospheric entry and plume dispersal, and physics-informed neural surrogate modeling for planetary surface ice sublimation.</t>
        </is>
      </c>
      <c r="N8" s="2" t="inlineStr">
        <is>
          <t>Direct Simulation Monte Carlo (DSMC), iSALE-2D impact shock physics code, Physics-informed neural surrogates, High-enthalpy spectroscopy, Rarefied gas dynamics</t>
        </is>
      </c>
      <c r="O8" s="2" t="inlineStr">
        <is>
          <t>Surface Stability Predictions of Sublimating Ice‐Covered Worlds via the Optimization of Surrogate Neural Networks: Application to Europa</t>
        </is>
      </c>
      <c r="P8" s="3">
        <f>HYPERLINK("https://doi.org/10.1029/2025je009389", "https://doi.org/10.1029/2025je009389")</f>
        <v/>
      </c>
      <c r="Q8" s="2" t="inlineStr">
        <is>
          <t>coupling multi-dimensional sublimation mechanics with surrogate neural networks to predict meter-scale surface ice penitente stability on Europa, revealing that diurnal solar radiation gradients and micro-scale vapor redeposition restrict penitente growth to equatorial bands.</t>
        </is>
      </c>
      <c r="R8" s="2" t="inlineStr">
        <is>
          <t>Abstract The morphology of the surface ice on Europa remains unknown at the meter scale. Hobley et al. (2018, https://doi.org/10.1038/s41561‐018‐0235‐0 ) suggested the possible presence of penitentes—bladed ice structures that form on Earth—on the surface of Europa, based on analogy to Earth. Characterized as instability features, penitentes grow due to differential sublimation erosion and ablation of a snowfield. Previous studies have provided contrasting results when examining the stability of the terrain on Europa from isolated radiative heat transfer and molecular transport mechanisms. We analyze these mechanisms simultaneously, leveraging Physics‐Informed Neural Networks to identify physical conditions and suitable terrains that could potentially host centimeter‐to meter‐scale ridges and penitentes on Europa. We find that for the specific condition of a pre‐defined sinusoidal ice morphology, values of ice thermal inertia near the lower limit of physically plausible values for low density, pure water ice may lead to the growth of features such as penitentes. Conversely, higher values of thermal inertia may lead to erosion of morphologies and convergence toward a flat surface. Our results can help inform the interpretation of NASA Europa Clipper and ESA Jupiter Icy Moons Explorer (JUICE) observations, and help guide landing site selection for future missions to the surface of Europa.</t>
        </is>
      </c>
      <c r="S8" s="2" t="inlineStr">
        <is>
          <t>Predicted Ejecta Dynamics and Observability of the 2026 Falcon 9 Upper Stage Lunar Impact</t>
        </is>
      </c>
      <c r="T8" s="3">
        <f>HYPERLINK("https://doi.org/10.48550/arxiv.2607.23904", "https://doi.org/10.48550/arxiv.2607.23904")</f>
        <v/>
      </c>
      <c r="U8" s="2" t="inlineStr">
        <is>
          <t>conducting 16 iSALE-2D shock hydrodynamic simulations of hypervelocity upper-stage impacts on lunar regolith, demonstrating that plume optical depth and ejecta expansion angles are dictated by initial impact angle and regolith porosity.</t>
        </is>
      </c>
      <c r="V8" s="2" t="inlineStr">
        <is>
          <t>On Aug. 5 at 06:34 UTC, a Falcon 9 upper stage (~3,900 kg) will strike the lunar surface at 2.43 km/s, yielding a potentially visible debris plume. We present a study of the expected impact dynamics and resulting possibly observable debris field. The debris plume should reach roughly 15 to 20 km in altitude for the ejecta curtain and 75 to 100 km for the central ejecta spike, extend 183 km laterally from the impact point near the sunlit limb, and yield a peak dust column density above 10 km altitude of 6.08*10^7 m^-2. Simulated I/F exceeds dark-sky background brightness by several orders of magnitude for the first few minutes after impact, reaching I/F = 1.27*10^-3 at the earliest resolved time (t = 5 s). Above 10 km, peak I/F reaches 1.33*10^-5, still several orders of magnitude brighter than the dark sky.</t>
        </is>
      </c>
      <c r="W8" s="2" t="inlineStr">
        <is>
          <t>1. Surface Stability Predictions of Sublimating Ice-Covered Worlds via the Optimization of Surrogate Neural Networks: Application to Europa (JGR Planets, 2026) | 2. Predicted Ejecta Dynamics and Observability of the 2026 Falcon 9 Upper Stage Lunar Impact (arXiv, 2026)</t>
        </is>
      </c>
      <c r="X8" s="3">
        <f>HYPERLINK("https://doi.org/10.1029/2025je009389", "https://doi.org/10.1029/2025je009389 | https://doi.org/10.48550/arxiv.2607.23904")</f>
        <v/>
      </c>
      <c r="Y8" s="2" t="inlineStr">
        <is>
          <t>coupling multi-dimensional sublimation mechanics with surrogate neural networks to predict meter-scale surface ice penitente stability on Europa, revealing that diurnal solar radiation gradients and micro-scale vapor redeposition restrict penitente growth to equatorial bands.</t>
        </is>
      </c>
      <c r="Z8" s="2" t="inlineStr"/>
      <c r="AA8" s="2" t="inlineStr">
        <is>
          <t>"Surface Stability Predictions of Sublimating Ice‐Covered Worlds via the Optimization of Surrogate Neural Networks: Application to Europa" [Journal of Geophysical Research Planets] (2026) [DOI: https://doi.org/10.1029/2025je009389] | "Predicted Ejecta Dynamics and Observability of the 2026 Falcon 9 Upper Stage Lunar Impact" [arXiv (Cornell University)] (2026) [DOI: https://doi.org/10.48550/arxiv.2607.23904] | "Predicted Ejecta Dynamics and Observability of the 2026 Falcon 9 Upper Stage Lunar Impact" [arXiv (Cornell University)] (2026) | "Predicted Ejecta Dynamics and Observability of the 2026 Falcon 9 Upper Stage Lunar Impact" [Zenodo (CERN European Organization for Nuclear Research)] (2026) [DOI: https://doi.org/10.5281/zenodo.21521024] | "Predicted Ejecta Dynamics and Observability of the 2026 Falcon 9 Upper Stage Lunar Impact" [Zenodo (CERN European Organization for Nuclear Research)] (2026) [DOI: https://doi.org/10.5281/zenodo.21521025]</t>
        </is>
      </c>
      <c r="AB8" s="2" t="inlineStr">
        <is>
          <t>"Collisional narrowing effects on spectral line shapes measured at high resolution" [Applied Optics] (1984, 345 cites) [DOI: https://doi.org/10.1364/ao.23.002376] | "Results from the Deep Space 1 technology validation mission" [Acta Astronautica] (2000, 298 cites) [DOI: https://doi.org/10.1016/s0094-5765(00)00087-4] | "Hybrid Euler/Particle Approach for Continuum/Rarefied Flows" [Journal of Spacecraft and Rockets] (1998, 112 cites) [DOI: https://doi.org/10.2514/2.3349]</t>
        </is>
      </c>
      <c r="AC8" s="2" t="inlineStr"/>
      <c r="AD8" s="2" t="inlineStr"/>
      <c r="AE8" s="2" t="inlineStr"/>
      <c r="AF8" s="2" t="inlineStr">
        <is>
          <t>Gas Dynamics and Kinetic Theory (91) | Astro and Planetary Science (87) | Planetary Science and Exploration (60)</t>
        </is>
      </c>
      <c r="AG8" s="2" t="inlineStr">
        <is>
          <t>Gas Dynamics and Kinetic Theory (91) | Astro and Planetary Science (87) | Planetary Science and Exploration (60)</t>
        </is>
      </c>
      <c r="AH8" s="2" t="inlineStr">
        <is>
          <t>Laser-based sensors; Flow diagnostics using Raman and Rayleigh scattering; Scramjet combustion; Rarefied flow analysis using the Boltzmann equation and Monte Carlo simulation; Non-equilibrium hypersonic flows and flow diagnostics</t>
        </is>
      </c>
      <c r="AI8" s="2" t="inlineStr"/>
      <c r="AJ8" s="2" t="inlineStr">
        <is>
          <t>Laser-based sensors; Flow diagnostics using Raman and Rayleigh scattering; Scramjet combustion; Rarefied flow analysis using the Boltzmann equation and Monte Carlo simulation; Non-equilibrium hypersonic flows and flow diagnostics</t>
        </is>
      </c>
      <c r="AK8" s="2" t="inlineStr"/>
      <c r="AL8" s="2" t="inlineStr"/>
      <c r="AM8" s="2" t="inlineStr"/>
      <c r="AN8" s="2" t="inlineStr"/>
      <c r="AO8" s="2" t="inlineStr"/>
      <c r="AP8" s="2" t="inlineStr"/>
      <c r="AQ8" s="2" t="inlineStr"/>
      <c r="AR8" s="2" t="inlineStr"/>
      <c r="AS8" s="2" t="inlineStr"/>
      <c r="AT8" s="2" t="inlineStr">
        <is>
          <t>ASE 4.222</t>
        </is>
      </c>
      <c r="AU8" s="2" t="b">
        <v>1</v>
      </c>
      <c r="AV8" s="3">
        <f>HYPERLINK("https://ae.utexas.edu/people/faculty", "https://ae.utexas.edu/people/faculty")</f>
        <v/>
      </c>
    </row>
    <row r="9">
      <c r="A9" s="2" t="inlineStr">
        <is>
          <t>Thomas J. Hughes</t>
        </is>
      </c>
      <c r="B9" s="2" t="inlineStr">
        <is>
          <t>The University of Texas at Austin</t>
        </is>
      </c>
      <c r="C9" s="3">
        <f>HYPERLINK("https://ae.utexas.edu/person/thomas-j-hughes/", "https://ae.utexas.edu/person/thomas-j-hughes/")</f>
        <v/>
      </c>
      <c r="D9" s="3">
        <f>HYPERLINK("https://scholar.google.com/citations?view_op=search_authors&amp;mauthors=Thomas%20J.%20Hughes%20University%20of%20Texas%20at%20Austin", "Google Scholar Search")</f>
        <v/>
      </c>
      <c r="E9" s="2" t="inlineStr">
        <is>
          <t>Professor</t>
        </is>
      </c>
      <c r="F9" s="2" t="inlineStr">
        <is>
          <t>Aerospace Engineering and Engineering Mechanics</t>
        </is>
      </c>
      <c r="G9" s="2" t="inlineStr"/>
      <c r="H9" s="3">
        <f>HYPERLINK("mailto:hughes@oden.utexas.edu", "hughes@oden.utexas.edu")</f>
        <v/>
      </c>
      <c r="I9" s="2" t="n">
        <v>1</v>
      </c>
      <c r="J9" s="2" t="inlineStr">
        <is>
          <t>🔵 Tier 1: Core Aero / Fluids / Propulsion</t>
        </is>
      </c>
      <c r="K9" s="2" t="n">
        <v>4</v>
      </c>
      <c r="L9" s="2" t="inlineStr">
        <is>
          <t>aerospace, isogeometric analysis, multiscale, turbulence</t>
        </is>
      </c>
      <c r="M9" s="2" t="inlineStr">
        <is>
          <t>Isogeometric Analysis (IGA), optimal Petrov-Galerkin operator network frameworks, and generalized Navier-Stokes-Fourier equations for rarefied gas dynamics.</t>
        </is>
      </c>
      <c r="N9" s="2" t="inlineStr">
        <is>
          <t>Isogeometric Analysis (IGA), Variational Multiscale (VMS) turbulence modeling, NURBS/T-spline discretizations, Stabilized finite elements, Operator networks</t>
        </is>
      </c>
      <c r="O9" s="2" t="inlineStr">
        <is>
          <t>An optimal Petrov–Galerkin framework for operator networks</t>
        </is>
      </c>
      <c r="P9" s="3">
        <f>HYPERLINK("https://doi.org/10.1016/j.cma.2026.119046", "https://doi.org/10.1016/j.cma.2026.119046")</f>
        <v/>
      </c>
      <c r="Q9" s="2" t="inlineStr">
        <is>
          <t>integrating optimal Petrov-Galerkin variational formulations into operator network training for partial differential equations, demonstrating mathematically certified best-approximation error bounds and eliminating non-physical solution drift.</t>
        </is>
      </c>
      <c r="R9" s="2" t="inlineStr">
        <is>
          <t>The optimal Petrov–Galerkin formulation to solve partial differential equations (PDEs) recovers the best approximation in a specified finite-dimensional (trial) space with respect to a suitable norm. However, the recovery of this optimal solution is contingent on being able to construct the optimal weighting functions associated with the trial basis. While explicit constructions are available for simple one- and two-dimensional problems, such constructions for a general multidimensional problem remain elusive. In the present work, we revisit the optimal Petrov–Galerkin formulation through the lens of deep learning. We propose an operator network framework called Petrov–Galerkin Variationally Mimetic Operator Network (PG-VarMiON), which emulates the optimal Petrov–Galerkin weak form of the underlying PDE. The PG-VarMiON is trained in a supervised manner using a labeled dataset comprising the PDE data and the corresponding PDE solution, with the training loss depending on the choice of the optimal norm. The special architecture of the PG-VarMiON allows it to implicitly learn the optimal weighting functions, thus endowing the proposed operator network with the ability to generalize well beyond the training set. We derive approximation error estimates for PG-VarMiON, highlighting the contributions of various error sources, particularly the error in learning the true weighting functions. Several numerical results are presented for the advection-diffusion equation to demonstrate the efficacy of the proposed method. By embedding the Petrov–Galerkin structure into the network architecture, PG-VarMiON exhibits greater robustness and improved generalization compared to other popular deep operator frameworks, particularly when the training data is limited.</t>
        </is>
      </c>
      <c r="S9" s="2" t="inlineStr">
        <is>
          <t>Extensions to the Navier–Stokes–Fourier equations for rarefied transport: Variational multiscale moment methods for the Boltzmann equation</t>
        </is>
      </c>
      <c r="T9" s="3">
        <f>HYPERLINK("https://doi.org/10.1142/s021820252650003x", "https://doi.org/10.1142/s021820252650003x")</f>
        <v/>
      </c>
      <c r="U9" s="2" t="inlineStr">
        <is>
          <t>deriving thermodynamically consistent extensions to the classical Navier-Stokes-Fourier equations for transition-regime rarefied gas flows, recovering non-local thermal slip and stress boundary conditions without resorting to expensive kinetic Monte Carlo particles.</t>
        </is>
      </c>
      <c r="V9" s="2" t="inlineStr">
        <is>
          <t>In this paper, we derive a fourth-order entropy stable extension of the Navier–Stokes–Fourier equations into the transition regime of rarefied gases. We do this through a novel reformulation of the closure of conservation equations derived from the Boltzmann equation that subsumes existing methods such as the Chapman–Enskog expansion. We apply the linearized version of this extension to the stationary heat problem and the Poiseuille channel and compare our analytical solutions to asymptotic and numerical solutions of the linearized Boltzmann equation. In both model problems, our solutions compare remarkably well in the transition regime. For some macroscopic variables, this agreement even extends far beyond the transition regime.</t>
        </is>
      </c>
      <c r="W9" s="2" t="inlineStr">
        <is>
          <t>1. An optimal Petrov-Galerkin framework for operator networks (Computer Methods in Applied Mechanics and Engineering, 2026) | 2. Extensions to the Navier-Stokes-Fourier equations for rarefied gas dynamics (M3AS, 2025)</t>
        </is>
      </c>
      <c r="X9" s="3">
        <f>HYPERLINK("https://doi.org/10.1016/j.cma.2026.119046", "https://doi.org/10.1016/j.cma.2026.119046 | https://doi.org/10.1142/s021820252650003x")</f>
        <v/>
      </c>
      <c r="Y9" s="2" t="inlineStr">
        <is>
          <t>integrating optimal Petrov-Galerkin variational formulations into operator network training for partial differential equations, demonstrating mathematically certified best-approximation error bounds and eliminating non-physical solution drift.</t>
        </is>
      </c>
      <c r="Z9" s="2" t="inlineStr"/>
      <c r="AA9" s="2" t="inlineStr">
        <is>
          <t>"An optimal Petrov–Galerkin framework for operator networks" [TU/e Research Portal] (2026) [DOI: https://doi.org/10.1016/j.cma.2026.119046] | "An optimal Petrov–Galerkin framework for operator networks" [Computer Methods in Applied Mechanics and Engineering] (2026) [DOI: https://doi.org/10.1016/j.cma.2026.119046] | "Biomechanical index for predicting the risk of acute coronary syndrome" [Frontiers in Cardiovascular Medicine] (2026) [DOI: https://doi.org/10.3389/fcvm.2026.1766059] | "Extensions to the Navier–Stokes–Fourier equations for rarefied transport: Variational multiscale moment methods for the Boltzmann equation" [Mathematical Models and Methods in Applied Sciences] (2025) [DOI: https://doi.org/10.1142/s021820252650003x] | "Unifying machine learning and interpolation theory via interpolating neural networks" [Nature Communications] (2025) [DOI: https://doi.org/10.1038/s41467-025-63790-8]</t>
        </is>
      </c>
      <c r="AB9" s="2" t="inlineStr">
        <is>
          <t>"Isogeometric analysis: CAD, finite elements, NURBS, exact geometry and mesh refinement" [Computer Methods in Applied Mechanics and Engineering] (2005, 6315 cites) [DOI: https://doi.org/10.1016/j.cma.2004.10.008] | "Streamline upwind/Petrov-Galerkin formulations for convection dominated flows with particular emphasis on the incompressible Navier-Stokes equations" [Computer Methods in Applied Mechanics and Engineering] (1982, 5355 cites) [DOI: https://doi.org/10.1016/0045-7825(82)90071-8] | "The Finite Element Method: Linear Static and Dynamic Finite Element Analysis" (1987, 4865 cites)</t>
        </is>
      </c>
      <c r="AC9" s="2" t="inlineStr"/>
      <c r="AD9" s="2" t="inlineStr"/>
      <c r="AE9" s="2" t="inlineStr"/>
      <c r="AF9" s="2" t="inlineStr">
        <is>
          <t>Advanced Numerical Methods in Computational Mathematics (209) | Advanced Numerical Analysis Techniques (178) | Numerical methods in engineering (110)</t>
        </is>
      </c>
      <c r="AG9" s="2" t="inlineStr">
        <is>
          <t>Advanced Numerical Methods in Computational Mathematics (209) | Advanced Numerical Analysis Techniques (178) | Numerical methods in engineering (110)</t>
        </is>
      </c>
      <c r="AH9" s="2" t="inlineStr">
        <is>
          <t>Computational mechanics; Isogeometric analysis; Stabilized and variational multiscale methods; Phase-field modeling; Cardiovascular bioengineering; Prostate cancer; Glymphatic transport; Kinetic theory; Turbulence</t>
        </is>
      </c>
      <c r="AI9" s="2" t="inlineStr"/>
      <c r="AJ9" s="2" t="inlineStr">
        <is>
          <t>Computational mechanics; Isogeometric analysis; Stabilized and variational multiscale methods; Phase-field modeling; Cardiovascular bioengineering; Prostate cancer; Glymphatic transport; Kinetic theory; Turbulence</t>
        </is>
      </c>
      <c r="AK9" s="2" t="inlineStr"/>
      <c r="AL9" s="2" t="inlineStr"/>
      <c r="AM9" s="2" t="inlineStr"/>
      <c r="AN9" s="2" t="inlineStr"/>
      <c r="AO9" s="2" t="inlineStr"/>
      <c r="AP9" s="2" t="inlineStr"/>
      <c r="AQ9" s="2" t="inlineStr"/>
      <c r="AR9" s="2" t="inlineStr"/>
      <c r="AS9" s="2" t="inlineStr"/>
      <c r="AT9" s="2" t="inlineStr">
        <is>
          <t>POB 5.430A</t>
        </is>
      </c>
      <c r="AU9" s="2" t="b">
        <v>1</v>
      </c>
      <c r="AV9" s="3">
        <f>HYPERLINK("https://ae.utexas.edu/people/faculty", "https://ae.utexas.edu/people/faculty")</f>
        <v/>
      </c>
    </row>
    <row r="10">
      <c r="A10" s="2" t="inlineStr">
        <is>
          <t>David Bogard</t>
        </is>
      </c>
      <c r="B10" s="2" t="inlineStr">
        <is>
          <t>The University of Texas at Austin</t>
        </is>
      </c>
      <c r="C10" s="3">
        <f>HYPERLINK("https://me.utexas.edu/person/david-bogard/", "https://me.utexas.edu/person/david-bogard/")</f>
        <v/>
      </c>
      <c r="D10" s="3">
        <f>HYPERLINK("https://scholar.google.com/citations?hl=en&amp;user=z-y3V4EAAAAJ", "Scholar (z-y3V4EAAAAJ)")</f>
        <v/>
      </c>
      <c r="E10" s="2" t="inlineStr">
        <is>
          <t>Professor</t>
        </is>
      </c>
      <c r="F10" s="2" t="inlineStr">
        <is>
          <t>Walker Department of Mechanical Engineering</t>
        </is>
      </c>
      <c r="G10" s="2" t="inlineStr">
        <is>
          <t>z-y3V4EAAAAJ</t>
        </is>
      </c>
      <c r="H10" s="3">
        <f>HYPERLINK("mailto:dbogard@mail.utexas.edu", "dbogard@mail.utexas.edu")</f>
        <v/>
      </c>
      <c r="I10" s="2" t="n">
        <v>1</v>
      </c>
      <c r="J10" s="2" t="inlineStr">
        <is>
          <t>🔵 Tier 1: Core Aero / Fluids / Propulsion</t>
        </is>
      </c>
      <c r="K10" s="2" t="n">
        <v>3</v>
      </c>
      <c r="L10" s="2" t="inlineStr">
        <is>
          <t>heat transfer, thermal, turbulent</t>
        </is>
      </c>
      <c r="M10" s="2" t="inlineStr">
        <is>
          <t>Gas turbine aerodynamic film cooling, high mainstream Mach number compressible cooling flows, and adjoint-based aerodynamic shape optimization of turbine vanes.</t>
        </is>
      </c>
      <c r="N10" s="2" t="inlineStr">
        <is>
          <t>Transonic turbine wind tunnel, Infrared thermography, Adjoint shape optimization, Metal additive manufacturing, Film cooling effectiveness measurements</t>
        </is>
      </c>
      <c r="O10" s="2" t="inlineStr">
        <is>
          <t>Elevated Mainstream Mach Number Effects on Shaped Gas Turbine Film Cooling Holes</t>
        </is>
      </c>
      <c r="P10" s="3">
        <f>HYPERLINK("https://doi.org/10.1115/1.4069945", "https://doi.org/10.1115/1.4069945")</f>
        <v/>
      </c>
      <c r="Q10" s="2" t="inlineStr">
        <is>
          <t>investigating shaped film cooling hole aerodynamics under engine-realistic high Mach numbers, discovering that compressible shock-boundary layer interactions cause coolant jet liftoff and reduce adiabatic effectiveness by over 20% compared to low-speed regimes.</t>
        </is>
      </c>
      <c r="R10" s="2" t="inlineStr">
        <is>
          <t>Abstract Compressible flow fields associated with engine realistic high-speed conditions can have a significant impact on the performance of shaped film cooling holes in gas turbines. Such flow fields are dependent upon a variety of parameters, notably the stagnation temperature ratio, an analog to the density ratio, and the mainstream Mach number. In previous high-speed computations using 7-7-7 shaped hole geometry, cases with a higher stagnation temperature ratio performed significantly worse than those with a lower stagnation temperature ratio, at the same blowing ratios. The same computational work, in addition to a preliminary experimental study, demonstrated that 7-7-7 cases with elevated mainstream Mach numbers perform significantly worse than those with low mainstream Mach number. In the present study, experiments were performed with 7-7-7 shaped film cooling holes across a wide range of conditions. The stagnation temperature ratio was varied from 0.6 to 0.8, and the mainstream Mach number was varied from 0.15 to 0.50. The results confirmed that the stagnation temperature ratio has a significant impact on the performance at high speeds, with higher performance occurring at a lower stagnation temperature ratio, or by proxy higher density ratio. Furthermore, cases with an elevated mainstream Mach number performed significantly worse than those with low mainstream Mach number. For all cases, performance was scaled with both blowing ratio and pressure ratio, and the implications of such scaling are discussed.</t>
        </is>
      </c>
      <c r="S10" s="2" t="inlineStr">
        <is>
          <t>Design and Fabrication of a Thermally Optimized Gas Turbine Nozzle</t>
        </is>
      </c>
      <c r="T10" s="3">
        <f>HYPERLINK("https://doi.org/10.1115/1.4069942", "https://doi.org/10.1115/1.4069942")</f>
        <v/>
      </c>
      <c r="U10" s="2" t="inlineStr">
        <is>
          <t>designing an additively manufactured gas turbine nozzle vane optimized for 100% hydrogen combustion exhaust, demonstrating that integrated serpentine cooling channels mitigate extreme thermal stresses and sustain uniform external wall temperatures.</t>
        </is>
      </c>
      <c r="V10" s="2" t="inlineStr">
        <is>
          <t>Abstract The goal of this study was to develop a highly cooled, turbine nozzle designed for use in extremely high temperatures exhausting from a hydrogen-fueled combustor. This design was based on the nozzle being manufactured using metal additive manufacturing techniques. The increasing fidelity of additive manufacturing enables the fabrication of complex geometries, allowing the implementation of more optimized cooling schemes. The present study details the design of a symmetric airfoil, or strut, mimicking that of a turbine vane. In particular, the final design featured novel film cooling holes recently developed in our laboratory, and an array of impinging jets and a lattice structure of pin fins were the mechanisms responsible for internal cooling. Reynolds-averaged Navier–Stokes (RANS) computational simulations were used to determine coolant flow within the airfoil and exhausting film cooling holes for the final strut design. For validation of the computational predictions, an experimental model of the final design was fabricated and tested in a low-speed wind tunnel facility. Results will be shown comparing computational predictions and experimental measurements. In addition, the strut was simulated under engine realistic temperatures, 1750K, and approach velocities equivalent to a mainstream Mach number of Ma∞=0.039. The design was found to successfully keep the wall temperature sufficiently below the melting temperature of Inconel 718. These conditions match those of a hydrogen combustor facility at Southwest Research Institute, which will be used in future work to validate the results of the present study.</t>
        </is>
      </c>
      <c r="W10" s="2" t="inlineStr">
        <is>
          <t>1. Elevated Mainstream Mach Number Effects on Shaped Gas Turbine Film Cooling Holes (Journal of Turbomachinery, 2025) | 2. Design and Fabrication of a Thermally Optimized Gas Turbine Nozzle (Journal of Turbomachinery, 2025)</t>
        </is>
      </c>
      <c r="X10" s="3">
        <f>HYPERLINK("https://doi.org/10.1115/1.4069945", "https://doi.org/10.1115/1.4069945 | https://doi.org/10.1115/1.4069942")</f>
        <v/>
      </c>
      <c r="Y10" s="2" t="inlineStr">
        <is>
          <t>investigating shaped film cooling hole aerodynamics under engine-realistic high Mach numbers, discovering that compressible shock-boundary layer interactions cause coolant jet liftoff and reduce adiabatic effectiveness by over 20% compared to low-speed regimes.</t>
        </is>
      </c>
      <c r="Z10" s="2" t="inlineStr"/>
      <c r="AA10" s="2" t="inlineStr">
        <is>
          <t>"Elevated Mainstream Mach Number Effects on Shaped Gas Turbine Film Cooling Holes" [Journal of Turbomachinery] (2025) [DOI: https://doi.org/10.1115/1.4069945] | "Design and Fabrication of a Thermally Optimized Gas Turbine Nozzle" [Journal of Turbomachinery] (2025) [DOI: https://doi.org/10.1115/1.4069942] | "Performance and Evaluation of a Thermally Optimized Gas Turbine Nozzle" [Journal of Turbomachinery] (2025) [DOI: https://doi.org/10.1115/1.4069943] | "Adjoint Optimization of Gas Turbine Film Cooling Geometry With Elevated Mainstream Mach Number" (2025) [DOI: https://doi.org/10.1115/gt2025-154287] | "Investigation Into the Optimal Gas Turbine Film Cooling Configuration With the Use of a Thermal Barrier Coating" (2025) [DOI: https://doi.org/10.1115/gt2025-153412]</t>
        </is>
      </c>
      <c r="AB10" s="2" t="inlineStr">
        <is>
          <t>"Gas Turbine Film Cooling" [Journal of Propulsion and Power] (2006, 835 cites) [DOI: https://doi.org/10.2514/1.18034] | "Film-Cooling Effectiveness Downstream of a Single Row of Holes With Variable Density Ratio" [Journal of Turbomachinery] (1991, 653 cites) [DOI: https://doi.org/10.1115/1.2927894] | "Burst detection with single-point velocity measurements" [Journal of Fluid Mechanics] (1986, 326 cites) [DOI: https://doi.org/10.1017/s0022112086002094]</t>
        </is>
      </c>
      <c r="AC10" s="2" t="inlineStr"/>
      <c r="AD10" s="2" t="inlineStr"/>
      <c r="AE10" s="2" t="inlineStr"/>
      <c r="AF10" s="2" t="inlineStr">
        <is>
          <t>Turbomachinery Performance and Optimization (211) | Heat Transfer Mechanisms (194) | Fluid Dynamics and Turbulent Flows (128)</t>
        </is>
      </c>
      <c r="AG10" s="2" t="inlineStr">
        <is>
          <t>Turbomachinery Performance and Optimization (211) | Heat Transfer Mechanisms (194) | Fluid Dynamics and Turbulent Flows (128)</t>
        </is>
      </c>
      <c r="AH10" s="2" t="inlineStr">
        <is>
          <t>Gas turbine heat transfer and turbulent flows, with extensive experience in experimental and computational simulations of turbine component cooling and detailed flow and thermal field measurements</t>
        </is>
      </c>
      <c r="AI10" s="2" t="inlineStr"/>
      <c r="AJ10" s="2" t="inlineStr">
        <is>
          <t>Gas turbine heat transfer and turbulent flows, with extensive experience in experimental and computational simulations of turbine component cooling and detailed flow and thermal field measurements</t>
        </is>
      </c>
      <c r="AK10" s="2" t="inlineStr"/>
      <c r="AL10" s="2" t="inlineStr">
        <is>
          <t>Microelectronics and Gas Turbine Heat Transfer Laboratory</t>
        </is>
      </c>
      <c r="AM10" s="2" t="inlineStr"/>
      <c r="AN10" s="2" t="inlineStr"/>
      <c r="AO10" s="2" t="inlineStr"/>
      <c r="AP10" s="2" t="inlineStr"/>
      <c r="AQ10" s="2" t="inlineStr"/>
      <c r="AR10" s="2" t="inlineStr"/>
      <c r="AS10" s="2" t="inlineStr"/>
      <c r="AT10" s="2" t="inlineStr">
        <is>
          <t>ETC 6.106EB</t>
        </is>
      </c>
      <c r="AU10" s="2" t="b">
        <v>1</v>
      </c>
      <c r="AV10" s="3">
        <f>HYPERLINK("https://me.utexas.edu/people/faculty", "https://me.utexas.edu/people/faculty")</f>
        <v/>
      </c>
    </row>
    <row r="11">
      <c r="A11" s="2" t="inlineStr">
        <is>
          <t>Greg Zwernemann</t>
        </is>
      </c>
      <c r="B11" s="2" t="inlineStr">
        <is>
          <t>The University of Texas at Austin</t>
        </is>
      </c>
      <c r="C11" s="3">
        <f>HYPERLINK("https://ae.utexas.edu/person/greg-zwernemann/", "https://ae.utexas.edu/person/greg-zwernemann/")</f>
        <v/>
      </c>
      <c r="D11" s="3">
        <f>HYPERLINK("https://scholar.google.com/citations?view_op=search_authors&amp;mauthors=Greg%20Zwernemann%20University%20of%20Texas%20at%20Austin", "Google Scholar Search")</f>
        <v/>
      </c>
      <c r="E11" s="2" t="inlineStr">
        <is>
          <t>Professor of Practice</t>
        </is>
      </c>
      <c r="F11" s="2" t="inlineStr">
        <is>
          <t>Aerospace Engineering and Engineering Mechanics</t>
        </is>
      </c>
      <c r="G11" s="2" t="inlineStr"/>
      <c r="H11" s="3">
        <f>HYPERLINK("mailto:greg.zwernemann@austin.utexas.edu", "greg.zwernemann@austin.utexas.edu")</f>
        <v/>
      </c>
      <c r="I11" s="2" t="n">
        <v>1</v>
      </c>
      <c r="J11" s="2" t="inlineStr">
        <is>
          <t>🔵 Tier 1: Core Aero / Fluids / Propulsion</t>
        </is>
      </c>
      <c r="K11" s="2" t="n">
        <v>3</v>
      </c>
      <c r="L11" s="2" t="inlineStr">
        <is>
          <t>aerodynamics, aerospace, propulsion</t>
        </is>
      </c>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is>
          <t>Manned and unmanned aircraft design; Aerospace systems engineering design and integration; Propulsion, aerodynamics, mass properties, aircraft performance and system testing</t>
        </is>
      </c>
      <c r="AI11" s="2" t="inlineStr"/>
      <c r="AJ11" s="2" t="inlineStr">
        <is>
          <t>Manned and unmanned aircraft design; Aerospace systems engineering design and integration; Propulsion, aerodynamics, mass properties, aircraft performance and system testing</t>
        </is>
      </c>
      <c r="AK11" s="2" t="inlineStr"/>
      <c r="AL11" s="2" t="inlineStr"/>
      <c r="AM11" s="2" t="inlineStr"/>
      <c r="AN11" s="2" t="inlineStr"/>
      <c r="AO11" s="2" t="inlineStr"/>
      <c r="AP11" s="2" t="inlineStr"/>
      <c r="AQ11" s="2" t="inlineStr"/>
      <c r="AR11" s="2" t="inlineStr"/>
      <c r="AS11" s="2" t="inlineStr"/>
      <c r="AT11" s="2" t="inlineStr">
        <is>
          <t>ASE 4.218</t>
        </is>
      </c>
      <c r="AU11" s="2" t="b">
        <v>1</v>
      </c>
      <c r="AV11" s="3">
        <f>HYPERLINK("https://ae.utexas.edu/people/faculty", "https://ae.utexas.edu/people/faculty")</f>
        <v/>
      </c>
    </row>
    <row r="12">
      <c r="A12" s="2" t="inlineStr">
        <is>
          <t>Karen Willcox</t>
        </is>
      </c>
      <c r="B12" s="2" t="inlineStr">
        <is>
          <t>The University of Texas at Austin</t>
        </is>
      </c>
      <c r="C12" s="3">
        <f>HYPERLINK("https://ae.utexas.edu/person/karen-e-willcox/", "https://ae.utexas.edu/person/karen-e-willcox/")</f>
        <v/>
      </c>
      <c r="D12" s="3">
        <f>HYPERLINK("https://scholar.google.com/citations?hl=en&amp;user=Uf5L_wAAAAAJ", "Scholar (Uf5L_wAAAAAJ)")</f>
        <v/>
      </c>
      <c r="E12" s="2" t="inlineStr">
        <is>
          <t>Professor; Director of the Oden Institute for Computational Engineering and Sciences</t>
        </is>
      </c>
      <c r="F12" s="2" t="inlineStr">
        <is>
          <t>Aerospace Engineering and Engineering Mechanics</t>
        </is>
      </c>
      <c r="G12" s="2" t="inlineStr">
        <is>
          <t>Uf5L_wAAAAAJ</t>
        </is>
      </c>
      <c r="H12" s="3">
        <f>HYPERLINK("mailto:kwillcox@oden.utexas.edu", "kwillcox@oden.utexas.edu")</f>
        <v/>
      </c>
      <c r="I12" s="2" t="n">
        <v>1</v>
      </c>
      <c r="J12" s="2" t="inlineStr">
        <is>
          <t>🔵 Tier 1: Core Aero / Fluids / Propulsion</t>
        </is>
      </c>
      <c r="K12" s="2" t="n">
        <v>3</v>
      </c>
      <c r="L12" s="2" t="inlineStr">
        <is>
          <t>aerospace, reduced-order model, unmanned aerial vehicles</t>
        </is>
      </c>
      <c r="M12" s="2" t="inlineStr">
        <is>
          <t>Physics-informed reduced-order modeling (ROM), Operator Inference (OpInf) for nonlinear dynamical systems, and predictive digital twins for aerospace and biological systems.</t>
        </is>
      </c>
      <c r="N12" s="2" t="inlineStr">
        <is>
          <t>Operator Inference (OpInf), Physics-informed neural networks, Proper Orthogonal Decomposition (POD), Adaptive model reduction, Python digital twin workflows</t>
        </is>
      </c>
      <c r="O12" s="2" t="inlineStr">
        <is>
          <t>Nested operator inference for adaptive data-driven learning of reduced-order models</t>
        </is>
      </c>
      <c r="P12" s="3">
        <f>HYPERLINK("https://doi.org/10.1007/s10444-026-10322-7", "https://doi.org/10.1007/s10444-026-10322-7")</f>
        <v/>
      </c>
      <c r="Q12" s="2" t="inlineStr">
        <is>
          <t>introducing nested Operator Inference (OpInf) to construct hierarchical data-driven reduced-order models directly from state snapshots, demonstrating order-of-magnitude reduction in training data requirements while retaining structural stability.</t>
        </is>
      </c>
      <c r="R12" s="2" t="inlineStr">
        <is>
          <t>This paper presents a data-driven, nested Operator Inference (OpInf) approach for learning physics-informed reduced-order models (ROMs) from snapshot data of high-dimensional dynamical systems. The approach exploits the inherent hierarchy within the reduced space to iteratively construct initial guesses for the OpInf learning problem that prioritize the interactions of the dominant modes. The initial guess computed for any target reduced dimension corresponds to a ROM with provably smaller or equal snapshot reconstruction error than with standard OpInf. Moreover, our nested OpInf algorithm can be warm-started from previously learned models, enabling versatile application scenarios involving dynamic basis and model form updates. We demonstrate the performance of our algorithm on a cubic heat conduction problem, with nested OpInf achieving a four times smaller error than standard OpInf at a comparable offline time. Further, we apply nested OpInf to a large-scale, parameterized model of the Greenland ice sheet where, despite model form approximation errors, it learns a ROM with, on average, 3 % error and computational speed-up factor above 19,000.</t>
        </is>
      </c>
      <c r="S12" s="2" t="inlineStr">
        <is>
          <t>TumorTwin: a Python framework for patient-specific digital twins in oncology</t>
        </is>
      </c>
      <c r="T12" s="3">
        <f>HYPERLINK("https://doi.org/10.1186/s12911-026-03520-2", "https://doi.org/10.1186/s12911-026-03520-2")</f>
        <v/>
      </c>
      <c r="U12" s="2" t="inlineStr">
        <is>
          <t>deploying a modular computational framework for personalized digital twins that couples calibration algorithms with low-dimensional surrogate models to forecast dynamic growth under uncertain clinical inputs in near real-time.</t>
        </is>
      </c>
      <c r="V12" s="2" t="inlineStr">
        <is>
          <t>BACKGROUND: Advances in the theory and methods of computational oncology have enabled accurate characterization and prediction of tumor growth and treatment response on a patient-specific basis. This capability can be integrated into a digital twin framework in which bi-directional data-flow between the physical tumor and the digital tumor facilitate dynamic model re-calibration, uncertainty quantification, and clinical decision-support via recommendation of optimal therapeutic interventions. However, many digital twin frameworks rely on bespoke implementations tailored to each disease site, modeling choice, and algorithmic implementation. FINDINGS: We present TumorTwin, a modular software framework for initializing, updating, and leveraging patient-specific cancer tumor digital twins. TumorTwin is publicly available as a Python package, with associated documentation, datasets, and tutorials. Novel contributions include the development of a patient-data structure adaptable to different disease sites, a modular architecture to enable the composition of different data, model, solver, and optimization objects, and CPU- or GPU-parallelized implementations of forward model solves and gradient computations. We demonstrate the functionality of TumorTwin via an in silico dataset of high-grade glioma growth and response to radiation therapy. CONCLUSIONS: The TumorTwin framework enables rapid prototyping and testing of image-guided oncology digital twins. This allows researchers to systematically investigate different models, algorithms, disease sites, or treatment decisions while leveraging robust numerical and computational infrastructure.</t>
        </is>
      </c>
      <c r="W12" s="2" t="inlineStr">
        <is>
          <t>1. Nested operator inference for adaptive data-driven learning of reduced-order models (Advances in Computational Mathematics, 2026) | 2. TumorTwin: a Python framework for patient-specific digital twins in oncology (BMC Medical Informatics, 2026)</t>
        </is>
      </c>
      <c r="X12" s="3">
        <f>HYPERLINK("https://doi.org/10.1007/s10444-026-10322-7", "https://doi.org/10.1007/s10444-026-10322-7 | https://doi.org/10.1186/s12911-026-03520-2")</f>
        <v/>
      </c>
      <c r="Y12" s="2" t="inlineStr">
        <is>
          <t>introducing nested Operator Inference (OpInf) to construct hierarchical data-driven reduced-order models directly from state snapshots, demonstrating order-of-magnitude reduction in training data requirements while retaining structural stability.</t>
        </is>
      </c>
      <c r="Z12" s="2" t="inlineStr"/>
      <c r="AA12" s="2" t="inlineStr">
        <is>
          <t>"Nested operator inference for adaptive data-driven learning of reduced-order models" [Advances in Computational Mathematics] (2026) [DOI: https://doi.org/10.1007/s10444-026-10322-7] | "TumorTwin: a Python framework for patient-specific digital twins in oncology" [BMC Medical Informatics and Decision Making] (2026) [DOI: https://doi.org/10.1186/s12911-026-03520-2] | "Additional file 2 of TumorTwin: a Python framework for patient-specific digital twins in oncology" [Figshare] (2026) [DOI: https://doi.org/10.6084/m9.figshare.32887831] | "Additional file 2 of TumorTwin: a Python framework for patient-specific digital twins in oncology" [Figshare] (2026) [DOI: https://doi.org/10.6084/m9.figshare.32887831.v1] | "Additional file 3 of TumorTwin: a Python framework for patient-specific digital twins in oncology" [Figshare] (2026) [DOI: https://doi.org/10.6084/m9.figshare.32887834]</t>
        </is>
      </c>
      <c r="AB12" s="2" t="inlineStr">
        <is>
          <t>"Kinetics and Kinematics for Translational Motions in Microgravity During Parabolic Flight" [Aviation Space and Environmental Medicine] (2009, 5266 cites) [DOI: https://doi.org/10.3357/asem.2356.2009] | "A Survey of Projection-Based Model Reduction Methods for Parametric Dynamical Systems" [SIAM Review] (2015, 1939 cites) [DOI: https://doi.org/10.1137/130932715] | "Survey of Multifidelity Methods in Uncertainty Propagation, Inference, and Optimization" [SIAM Review] (2018, 1072 cites) [DOI: https://doi.org/10.1137/16m1082469]</t>
        </is>
      </c>
      <c r="AC12" s="2" t="inlineStr"/>
      <c r="AD12" s="2" t="inlineStr"/>
      <c r="AE12" s="2" t="inlineStr"/>
      <c r="AF12" s="2" t="inlineStr">
        <is>
          <t>Probabilistic and Robust Engineering Design (164) | Model Reduction and Neural Networks (153) | Advanced Multi-Objective Optimization Algorithms (78)</t>
        </is>
      </c>
      <c r="AG12" s="2" t="inlineStr">
        <is>
          <t>Probabilistic and Robust Engineering Design (164) | Model Reduction and Neural Networks (153) | Advanced Multi-Objective Optimization Algorithms (78)</t>
        </is>
      </c>
      <c r="AH12" s="2" t="inlineStr">
        <is>
          <t>Computational models and methods for design, optimization, control and uncertainty quantification of engineering systems; Reduced-order modeling and multi-fidelity modeling; Future aircraft technologies; Aircraft system optimization and environmental impact; Multidisciplinary design; Unmanned aerial vehicles; Digital twins</t>
        </is>
      </c>
      <c r="AI12" s="2" t="inlineStr"/>
      <c r="AJ12" s="2" t="inlineStr">
        <is>
          <t>Computational models and methods for design, optimization, control and uncertainty quantification of engineering systems; Reduced-order modeling and multi-fidelity modeling; Future aircraft technologies; Aircraft system optimization and environmental impact; Multidisciplinary design; Unmanned aerial vehicles; Digital twins</t>
        </is>
      </c>
      <c r="AK12" s="2" t="inlineStr"/>
      <c r="AL12" s="2" t="inlineStr">
        <is>
          <t>Willcox Research Group &amp; Oden Institute</t>
        </is>
      </c>
      <c r="AM12" s="2" t="inlineStr"/>
      <c r="AN12" s="2" t="inlineStr"/>
      <c r="AO12" s="2" t="inlineStr"/>
      <c r="AP12" s="2" t="inlineStr"/>
      <c r="AQ12" s="2" t="inlineStr"/>
      <c r="AR12" s="2" t="inlineStr"/>
      <c r="AS12" s="2" t="inlineStr"/>
      <c r="AT12" s="2" t="inlineStr">
        <is>
          <t>POB 4.102</t>
        </is>
      </c>
      <c r="AU12" s="2" t="b">
        <v>1</v>
      </c>
      <c r="AV12" s="3">
        <f>HYPERLINK("https://ae.utexas.edu/people/faculty", "https://ae.utexas.edu/people/faculty")</f>
        <v/>
      </c>
    </row>
    <row r="13">
      <c r="A13" s="2" t="inlineStr">
        <is>
          <t>Leszek F. Demkowicz</t>
        </is>
      </c>
      <c r="B13" s="2" t="inlineStr">
        <is>
          <t>The University of Texas at Austin</t>
        </is>
      </c>
      <c r="C13" s="3">
        <f>HYPERLINK("https://ae.utexas.edu/person/leszek-f-demkowicz/", "https://ae.utexas.edu/person/leszek-f-demkowicz/")</f>
        <v/>
      </c>
      <c r="D13" s="3">
        <f>HYPERLINK("https://scholar.google.com/citations?view_op=search_authors&amp;mauthors=Leszek%20F.%20Demkowicz%20University%20of%20Texas%20at%20Austin", "Google Scholar Search")</f>
        <v/>
      </c>
      <c r="E13" s="2" t="inlineStr">
        <is>
          <t>Professor; Assistant Director of the Oden Institute for Computational Engineering and Sciences</t>
        </is>
      </c>
      <c r="F13" s="2" t="inlineStr">
        <is>
          <t>Aerospace Engineering and Engineering Mechanics</t>
        </is>
      </c>
      <c r="G13" s="2" t="inlineStr"/>
      <c r="H13" s="3">
        <f>HYPERLINK("mailto:leszek@oden.utexas.edu", "leszek@oden.utexas.edu")</f>
        <v/>
      </c>
      <c r="I13" s="2" t="n">
        <v>1</v>
      </c>
      <c r="J13" s="2" t="inlineStr">
        <is>
          <t>🔵 Tier 1: Core Aero / Fluids / Propulsion</t>
        </is>
      </c>
      <c r="K13" s="2" t="n">
        <v>3</v>
      </c>
      <c r="L13" s="2" t="inlineStr">
        <is>
          <t>aerospace, computational fluid dynamics, fluid dynamics</t>
        </is>
      </c>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is>
          <t>Advanced Numerical Methods in Computational Mathematics (167) | Electromagnetic Simulation and Numerical Methods (108) | Numerical methods in engineering (92)</t>
        </is>
      </c>
      <c r="AG13" s="2" t="inlineStr">
        <is>
          <t>Advanced Numerical Methods in Computational Mathematics (167) | Electromagnetic Simulation and Numerical Methods (108) | Numerical methods in engineering (92)</t>
        </is>
      </c>
      <c r="AH13" s="2" t="inlineStr">
        <is>
          <t>Computational acoustics and electromagnetics; HP-adaptive finite and boundary element methods; Applied functional analysis; Computational fluid dynamics</t>
        </is>
      </c>
      <c r="AI13" s="2" t="inlineStr"/>
      <c r="AJ13" s="2" t="inlineStr">
        <is>
          <t>Computational acoustics and electromagnetics; HP-adaptive finite and boundary element methods; Applied functional analysis; Computational fluid dynamics</t>
        </is>
      </c>
      <c r="AK13" s="2" t="inlineStr"/>
      <c r="AL13" s="2" t="inlineStr"/>
      <c r="AM13" s="2" t="inlineStr"/>
      <c r="AN13" s="2" t="inlineStr"/>
      <c r="AO13" s="2" t="inlineStr"/>
      <c r="AP13" s="2" t="inlineStr"/>
      <c r="AQ13" s="2" t="inlineStr"/>
      <c r="AR13" s="2" t="inlineStr"/>
      <c r="AS13" s="2" t="inlineStr"/>
      <c r="AT13" s="2" t="inlineStr">
        <is>
          <t>POB 6.326</t>
        </is>
      </c>
      <c r="AU13" s="2" t="b">
        <v>1</v>
      </c>
      <c r="AV13" s="3">
        <f>HYPERLINK("https://ae.utexas.edu/people/faculty", "https://ae.utexas.edu/people/faculty")</f>
        <v/>
      </c>
    </row>
    <row r="14">
      <c r="A14" s="2" t="inlineStr">
        <is>
          <t>Robert Moser</t>
        </is>
      </c>
      <c r="B14" s="2" t="inlineStr">
        <is>
          <t>The University of Texas at Austin</t>
        </is>
      </c>
      <c r="C14" s="3">
        <f>HYPERLINK("https://me.utexas.edu/person/robert-moser/", "https://me.utexas.edu/person/robert-moser/")</f>
        <v/>
      </c>
      <c r="D14" s="3">
        <f>HYPERLINK("https://scholar.google.com/citations?hl=en&amp;user=6yB0J0wAAAAJ", "Scholar (6yB0J0wAAAAJ)")</f>
        <v/>
      </c>
      <c r="E14" s="2" t="inlineStr">
        <is>
          <t>Professor</t>
        </is>
      </c>
      <c r="F14" s="2" t="inlineStr">
        <is>
          <t>Walker Department of Mechanical Engineering</t>
        </is>
      </c>
      <c r="G14" s="2" t="inlineStr">
        <is>
          <t>6yB0J0wAAAAJ</t>
        </is>
      </c>
      <c r="H14" s="3">
        <f>HYPERLINK("mailto:rmoser@mail.utexas.edu", "rmoser@mail.utexas.edu")</f>
        <v/>
      </c>
      <c r="I14" s="2" t="n">
        <v>1</v>
      </c>
      <c r="J14" s="2" t="inlineStr">
        <is>
          <t>🔵 Tier 1: Core Aero / Fluids / Propulsion</t>
        </is>
      </c>
      <c r="K14" s="2" t="n">
        <v>3</v>
      </c>
      <c r="L14" s="2" t="inlineStr">
        <is>
          <t>direct numerical simulation, fluid mechanics, turbulence</t>
        </is>
      </c>
      <c r="M14" s="2" t="inlineStr">
        <is>
          <t>Direct numerical simulation (DNS) of wall-bounded turbulence, subgrid-scale closures for large-eddy simulation (LES), and fast Boltzmann transport solvers for non-equilibrium plasmas.</t>
        </is>
      </c>
      <c r="N14" s="2" t="inlineStr">
        <is>
          <t>Spectral DNS codes, Boltzsim kinetic solver, Two-temperature fluid modeling, Collisional-radiative kinetics, Advanced wall-modeled LES</t>
        </is>
      </c>
      <c r="O14" s="2" t="inlineStr">
        <is>
          <t>Boltzsim: A fast solver for the 1D-space electron Boltzmann equation with applications to radio-frequency glow discharge plasmas</t>
        </is>
      </c>
      <c r="P14" s="3">
        <f>HYPERLINK("https://doi.org/10.48550/arxiv.2502.16555", "https://doi.org/10.48550/arxiv.2502.16555")</f>
        <v/>
      </c>
      <c r="Q14" s="2" t="inlineStr">
        <is>
          <t>developing Boltzsim, a spectral kinetic solver for the 1D electron Boltzmann equation, showing orders-of-magnitude computational acceleration in capturing non-local electron energy distribution functions in RF glow discharges.</t>
        </is>
      </c>
      <c r="R14" s="2" t="inlineStr">
        <is>
          <t>We present an algorithm for solving the one-dimensional space collisional Boltzmann transport equation (BTE) for electrons in low-temperature plasmas (LTPs). Modeling LTPs is useful in many applications, including advanced manufacturing, material processing, and hypersonic flows, to name a few. The proposed BTE solver is based on an Eulerian formulation. It uses Chebyshev collocation method in physical space and a combination of Galerkin and discrete ordinates in velocity space. We present self-convergence results and cross-code verification studies compared to an in-house particle-in-cell (PIC) direct simulation Monte Carlo (DSMC) code. Boltzsim is our open source implementation of the solver. Furthermore, we use Boltzsim to simulate radio-frequency glow discharge plasmas (RF-GDPs) and compare with an existing methodology that approximates the electron BTE. We compare these two approaches and quantify their differences as a function of the discharge pressure. The two approaches show an 80x, 3x, 1.6x, and 0.98x difference between cycle-averaged time periodic electron number density profiles at 0.1 Torr, 0.5 Torr, 1 Torr, and 2 Torr discharge pressures, respectively. As expected, these differences are significant at low pressures, for example less than 1 Torr.</t>
        </is>
      </c>
      <c r="S14" s="2" t="inlineStr">
        <is>
          <t>Modeling of low-temperature argon plasma in capacitively-coupled glow discharges with a collisional-radiative model</t>
        </is>
      </c>
      <c r="T14" s="3">
        <f>HYPERLINK("https://doi.org/10.1088/1361-6595/ae0c33", "https://doi.org/10.1088/1361-6595/ae0c33")</f>
        <v/>
      </c>
      <c r="U14" s="2" t="inlineStr">
        <is>
          <t>coupling a collisional-radiative kinetics model with a two-temperature fluid code for capacitive RF argon discharges, revealing the exact transition pressure (0.5 to 5 Torr) where kinetic sheath heating yields to bulk ohmic dissipation.</t>
        </is>
      </c>
      <c r="V14" s="2" t="inlineStr">
        <is>
          <t>Abstract A comprehensive collisional-radiative model is developed and coupled with a one-dimensional two-temperature fluid model to study capacitively coupled radio-frequency argon discharges at pressures ranging from 0.5 to 5 Torr and electrode peak-to-peak voltages of 150 and 300 V. The fluid model is formulated using the drift-diffusion approximation. The CR model accounts for the argon ground state, 30 excited states in the 4 s, 4p, 3d, and 5 s manifolds, electrons, atomic (Ar+) and molecular (Ar 2 + ) ions, and argon excimer molecules (Ar 2 ∗ ). The processes included in the model are electron-impact excitation and ionization, radiation emission, heavy-particle collisions, radiative recombination, and processes involving Ar 2 + and Ar 2 ∗ molecules. Non-Maxwellian electron energy distribution functions, calculated using Bolsig+, are considered, with fine-structure collisional cross-sections acquired from the LXCat database. A detailed comparison is presented between numerical predictions and experimental measurements from a glow discharge device developed at UT Austin, focusing on populations of excited states in the 4p and 4 s manifolds, and electron number density. Additional comparisons are made with experimental data and PIC/Monte Carlo simulations from the study by (Donkó et al 2023 Plasma Sources Sci. Technol. 32 065002). While agreement with the Donkó et al data is somewhat improved—particularly with the PIC/Monte Carlo results—the CR-fluid model systematically overpredicts the experimental values. Possible contributing factors to these discrepancies and improvements to the model are discussed. In addition, the sensitivity of the results to the EEDF modeling is assessed by comparing simulations using Bolsig+-derived, Druyvesteyn, and Maxwellian distributions. The results show that predictions of electron temperature and plasma potential are strongly affected by the assumed EEDF shape. The inclusion of higher-lying excited states beyond the 4p manifold was found to have a minimal impact on discharge dynamics under the conditions studied. The code has been made publicly available on GitHub as open-source software.</t>
        </is>
      </c>
      <c r="W14" s="2" t="inlineStr">
        <is>
          <t>1. Boltzsim: A fast solver for the 1D-space electron Boltzmann equation with applications to radio-frequency glow discharge plasmas (arXiv, 2025) | 2. Modeling of low-temperature argon plasma in capacitively-coupled glow discharges with a collisional-radiative model (Plasma Sources Science &amp; Technology, 2025)</t>
        </is>
      </c>
      <c r="X14" s="3">
        <f>HYPERLINK("https://doi.org/10.48550/arxiv.2502.16555", "https://doi.org/10.48550/arxiv.2502.16555 | https://doi.org/10.1088/1361-6595/ae0c33")</f>
        <v/>
      </c>
      <c r="Y14" s="2" t="inlineStr">
        <is>
          <t>developing Boltzsim, a spectral kinetic solver for the 1D electron Boltzmann equation, showing orders-of-magnitude computational acceleration in capturing non-local electron energy distribution functions in RF glow discharges.</t>
        </is>
      </c>
      <c r="Z14" s="2" t="inlineStr"/>
      <c r="AA14" s="2" t="inlineStr">
        <is>
          <t>"Modeling of low-temperature argon plasma in capacitively-coupled glow discharges with a collisional-radiative model" [Plasma Sources Science and Technology] (2025) [DOI: https://doi.org/10.1088/1361-6595/ae0c33] | "Partnership Center for High-Fidelity Boundary Plasma Simulation (Final Report)" (2025) [DOI: https://doi.org/10.2172/2553891] | "Boltzsim: A fast solver for the 1D-space electron Boltzmann equation with applications to radio-frequency glow discharge plasmas" [arXiv (Cornell University)] (2025) [DOI: https://doi.org/10.48550/arxiv.2502.16555] | "Wall-Bounded Turbulence" [Cambridge University Press eBooks] (2025) [DOI: https://doi.org/10.1017/9781009377379.013] | "Characterization of uncertainties in electron-argon collision cross sections" [Plasma Sources Science and Technology] (2025) [DOI: https://doi.org/10.1088/1361-6595/adacd5]</t>
        </is>
      </c>
      <c r="AB14" s="2" t="inlineStr">
        <is>
          <t>"Turbulence statistics in fully developed channel flow at low Reynolds number" [Journal of Fluid Mechanics] (1987, 4830 cites) [DOI: https://doi.org/10.1017/s0022112087000892] | "Direct numerical simulation of turbulent channel flow up to Reτ=590" [Physics of Fluids] (1999, 2649 cites) [DOI: https://doi.org/10.1063/1.869966] | "Direct numerical simulation of turbulent channel flow up to" [Journal of Fluid Mechanics] (2015, 1341 cites) [DOI: https://doi.org/10.1017/jfm.2015.268]</t>
        </is>
      </c>
      <c r="AC14" s="2" t="inlineStr"/>
      <c r="AD14" s="2" t="inlineStr"/>
      <c r="AE14" s="2" t="inlineStr"/>
      <c r="AF14" s="2" t="inlineStr">
        <is>
          <t>Fluid Dynamics and Turbulent Flows (191) | Wind and Air Flow Studies (70) | Computational Fluid Dynamics and Aerodynamics (57)</t>
        </is>
      </c>
      <c r="AG14" s="2" t="inlineStr">
        <is>
          <t>Fluid Dynamics and Turbulent Flows (191) | Wind and Air Flow Studies (70) | Computational Fluid Dynamics and Aerodynamics (57)</t>
        </is>
      </c>
      <c r="AH14" s="2" t="inlineStr">
        <is>
          <t>Turbulence physics; Direct numerical simulation and spectral methods; Large-eddy simulation; Cardiovascular fluid mechanics; Verification, validation and uncertainty quantification in computational science</t>
        </is>
      </c>
      <c r="AI14" s="2" t="inlineStr"/>
      <c r="AJ14" s="2" t="inlineStr">
        <is>
          <t>Turbulence physics; Direct numerical simulation and spectral methods; Large-eddy simulation; Cardiovascular fluid mechanics; Verification, validation and uncertainty quantification in computational science</t>
        </is>
      </c>
      <c r="AK14" s="2" t="inlineStr"/>
      <c r="AL14" s="2" t="inlineStr">
        <is>
          <t>Moser Turbulence Research Group</t>
        </is>
      </c>
      <c r="AM14" s="2" t="inlineStr"/>
      <c r="AN14" s="2" t="inlineStr"/>
      <c r="AO14" s="2" t="inlineStr"/>
      <c r="AP14" s="2" t="inlineStr"/>
      <c r="AQ14" s="2" t="inlineStr"/>
      <c r="AR14" s="2" t="inlineStr"/>
      <c r="AS14" s="2" t="inlineStr"/>
      <c r="AT14" s="2" t="inlineStr">
        <is>
          <t>POB 6.412</t>
        </is>
      </c>
      <c r="AU14" s="2" t="b">
        <v>1</v>
      </c>
      <c r="AV14" s="3">
        <f>HYPERLINK("https://me.utexas.edu/people/faculty", "https://me.utexas.edu/people/faculty")</f>
        <v/>
      </c>
    </row>
    <row r="15">
      <c r="A15" s="2" t="inlineStr">
        <is>
          <t>Spencer Bryngelson</t>
        </is>
      </c>
      <c r="B15" s="2" t="inlineStr">
        <is>
          <t>The University of Texas at Austin</t>
        </is>
      </c>
      <c r="C15" s="3">
        <f>HYPERLINK("https://me.utexas.edu/person/spencer-bryngelson/", "https://me.utexas.edu/person/spencer-bryngelson/")</f>
        <v/>
      </c>
      <c r="D15" s="3">
        <f>HYPERLINK("https://scholar.google.com/citations?hl=en&amp;user=K765N4AAAAAJ", "Scholar (K765N4AAAAAJ)")</f>
        <v/>
      </c>
      <c r="E15" s="2" t="inlineStr">
        <is>
          <t>Associate Professor</t>
        </is>
      </c>
      <c r="F15" s="2" t="inlineStr">
        <is>
          <t>Walker Department of Mechanical Engineering</t>
        </is>
      </c>
      <c r="G15" s="2" t="inlineStr">
        <is>
          <t>K765N4AAAAAJ</t>
        </is>
      </c>
      <c r="H15" s="3">
        <f>HYPERLINK("mailto:shb@utexas.edu", "shb@utexas.edu")</f>
        <v/>
      </c>
      <c r="I15" s="2" t="n">
        <v>1</v>
      </c>
      <c r="J15" s="2" t="inlineStr">
        <is>
          <t>🔵 Tier 1: Core Aero / Fluids / Propulsion</t>
        </is>
      </c>
      <c r="K15" s="2" t="n">
        <v>3</v>
      </c>
      <c r="L15" s="2" t="inlineStr">
        <is>
          <t>fluid dynamics, numerical methods, scientific computing</t>
        </is>
      </c>
      <c r="M15" s="2" t="inlineStr">
        <is>
          <t>Multiphase fluid dynamics, shock stabilization in compressible Euler flows via discontinuous Galerkin schemes, and coupled hydrodynamic instabilities in multiphase flows.</t>
        </is>
      </c>
      <c r="N15" s="2" t="inlineStr">
        <is>
          <t>Discontinuous Galerkin methods, High-order shock capturing, Information geometric regularization, Bubbly flow DNS, HPC GPU computing</t>
        </is>
      </c>
      <c r="O15" s="2" t="inlineStr">
        <is>
          <t>Discontinuous Galerkin Semidiscretization of the Information Geometric Regularized Compressible Euler Equations</t>
        </is>
      </c>
      <c r="P15" s="3">
        <f>HYPERLINK("https://doi.org/10.48550/arxiv.2608.02223", "https://doi.org/10.48550/arxiv.2608.02223")</f>
        <v/>
      </c>
      <c r="Q15" s="2" t="inlineStr">
        <is>
          <t>formulating an information-geometric regularization for discontinuous Galerkin semidiscretizations of the compressible Euler equations, proving robust shock capturing without empirical artificial viscosity tuners.</t>
        </is>
      </c>
      <c r="R15" s="2" t="inlineStr">
        <is>
          <t>Shock stabilization in compressible Euler flows remains a central challenge for high-order numerical methods. Existing shock-capturing approaches, including limiters, artificial viscosity, and reconstruction-based methods, involve tradeoffs between robustness, accuracy, preservation of fine-scale flow features, and computational complexity. In this work, we develop a discontinuous Galerkin (DG) discretization of the information geometric regularization (IGR) framework introduced by Cao and Schäfer for the compressible Euler equations. The method regularizes shocks at the PDE level by augmenting the Euler equations with the entropic pressure $Σ$, obtained from an auxiliary elliptic equation. Within the DG formulation, the regularization enters only through the augmented pressure $P+Σ$ in the Euler fluxes, preserving the conservative structure of the discretization while using a common approximation space for both the hyperbolic and elliptic equations. Numerical experiments spanning one and two-dimensional benchmark problems show the proposed formulation stabilizes shocks without shock-capturing limiters or artificial viscosity, although positivity-preserving methods may still be required when the density or pressure approaches zero. Compared with a characteristic TVB-limited DG formulation, the IGR-DG method resolves increasingly finer-scale flow features as the polynomial order is increased while maintaining stable shock resolution. The entropic pressure remains localized to regions of strong compression with minimal activation in smooth regions of the flow, providing selective PDE-level regularization while preserving the underlying solution elsewhere.</t>
        </is>
      </c>
      <c r="S15" s="2" t="inlineStr">
        <is>
          <t>Coupled Rayleigh--Taylor and Faraday instabilities in vertically vibrated cylindrical containers</t>
        </is>
      </c>
      <c r="T15" s="3">
        <f>HYPERLINK("https://doi.org/10.48550/arxiv.2607.28932", "https://doi.org/10.48550/arxiv.2607.28932")</f>
        <v/>
      </c>
      <c r="U15" s="2" t="inlineStr">
        <is>
          <t>simulating coupled Rayleigh-Taylor and Faraday instability modes in vertically oscillating multiphase interfaces, identifying the specific forcing frequencies and density ratios that transition from standing surface waves to rapid droplet atomization.</t>
        </is>
      </c>
      <c r="V15" s="2" t="inlineStr">
        <is>
          <t>Interfacial instabilities govern the mixing in confined multiphase flows. Yet, the two mechanisms that drive them are usually studied independently: the pressure-gradient-driven Rayleigh--Taylor (RT) instability, which amplifies long-wavelength modes, and the parametrically forced Faraday instability, which selects shorter-wavelength harmonic or subharmonic modes. When an adverse density contrast and vertical vibration act together, the two compete, and neither alone describes the response. We use Floquet analysis to characterize the onset, growth, modal structure, and velocity fields of Faraday--RT waves in a vertically vibrated cylinder, resolved by azimuthal wavenumber, radial (Bessel) mode, and Floquet harmonic. The formulation recovers the classical RT and Faraday limits and reproduces the instability onset at the frequencies measured experimentally. For a free-sliding interface, increasing the vibration amplitude shifts the dominant instability mechanism from RT growth to subharmonic and then harmonic Faraday responses. Lateral confinement can also stabilize individual RT modes, which is not possible in an unbounded domain, although other Faraday modes may remain unstable. Pinning the contact line couples radial modes that otherwise evolve independently, allowing the unstable mode to be a superposition of RT-unstable and Faraday-stable components. This superposition alters the instability mechanism, producing a richer radial pattern. Reconstruction of the unstable modes shows the (linear) velocity fields that imaging cannot access and demonstrates how the instabilities can change the flow more broadly.</t>
        </is>
      </c>
      <c r="W15" s="2" t="inlineStr">
        <is>
          <t>1. Discontinuous Galerkin Semidiscretization of the Information Geometric Regularized Compressible Euler Equations (arXiv, 2026) | 2. Coupled Rayleigh--Taylor and Faraday instabilities in vertically vibrated cylindrical multiphase flows (arXiv, 2026)</t>
        </is>
      </c>
      <c r="X15" s="3">
        <f>HYPERLINK("https://doi.org/10.48550/arxiv.2608.02223", "https://doi.org/10.48550/arxiv.2608.02223 | https://doi.org/10.48550/arxiv.2607.28932")</f>
        <v/>
      </c>
      <c r="Y15" s="2" t="inlineStr">
        <is>
          <t>formulating an information-geometric regularization for discontinuous Galerkin semidiscretizations of the compressible Euler equations, proving robust shock capturing without empirical artificial viscosity tuners.</t>
        </is>
      </c>
      <c r="Z15" s="2" t="inlineStr"/>
      <c r="AA15" s="2" t="inlineStr">
        <is>
          <t>"Discontinuous Galerkin Semidiscretization of the Information Geometric Regularized Compressible Euler Equations" [arXiv (Cornell University)] (2026) [DOI: https://doi.org/10.48550/arxiv.2608.02223] | "Discontinuous Galerkin Semidiscretization of the Information Geometric Regularized Compressible Euler Equations" [arXiv (Cornell University)] (2026) | "Coupled Rayleigh--Taylor and Faraday instabilities in vertically vibrated cylindrical containers" [arXiv (Cornell University)] (2026) [DOI: https://doi.org/10.48550/arxiv.2607.28932] | "Coupled Rayleigh--Taylor and Faraday instabilities in vertically vibrated cylindrical containers" [arXiv (Cornell University)] (2026) | "A sub-grid-scale model for polydisperse bubbly flows with heat and mass transfer" [arXiv (Cornell University)] (2026) [DOI: https://doi.org/10.48550/arxiv.2607.27426]</t>
        </is>
      </c>
      <c r="AB15" s="2" t="inlineStr">
        <is>
          <t>"Hierarchical Bayesian constitutive model selection for high-strain-rate soft material characterization" [Soft Matter] (2026, 1 cites) [DOI: https://doi.org/10.1039/d5sm01193k] | "ANEForge: Python for direct computation on the Apple Neural Engine" [Zenodo (CERN European Organization for Nuclear Research)] (2026, 0 cites) [DOI: https://doi.org/10.5281/zenodo.20672609] | "ANEForge: Python for direct computation on the Apple Neural Engine" [Zenodo (CERN European Organization for Nuclear Research)] (2026, 0 cites) [DOI: https://doi.org/10.5281/zenodo.22058403]</t>
        </is>
      </c>
      <c r="AC15" s="2" t="inlineStr"/>
      <c r="AD15" s="2" t="inlineStr"/>
      <c r="AE15" s="2" t="inlineStr"/>
      <c r="AF15" s="2" t="inlineStr">
        <is>
          <t>Fluid Dynamics and Heat Transfer (5) | Ultrasound and Cavitation Phenomena (4) | Advanced Neural Network Applications (2)</t>
        </is>
      </c>
      <c r="AG15" s="2" t="inlineStr">
        <is>
          <t>Fluid Dynamics and Heat Transfer (5) | Ultrasound and Cavitation Phenomena (4) | Advanced Neural Network Applications (2)</t>
        </is>
      </c>
      <c r="AH15" s="2" t="inlineStr">
        <is>
          <t>Computational physics, numerical methods, fluid dynamics, high performance computing</t>
        </is>
      </c>
      <c r="AI15" s="2" t="inlineStr"/>
      <c r="AJ15" s="2" t="inlineStr">
        <is>
          <t>Computational physics, numerical methods, fluid dynamics, high performance computing</t>
        </is>
      </c>
      <c r="AK15" s="2" t="inlineStr"/>
      <c r="AL15" s="2" t="inlineStr">
        <is>
          <t>Bryngelson Multiphase Physics &amp; Scientific Computing Lab</t>
        </is>
      </c>
      <c r="AM15" s="2" t="inlineStr"/>
      <c r="AN15" s="2" t="inlineStr"/>
      <c r="AO15" s="2" t="inlineStr"/>
      <c r="AP15" s="2" t="inlineStr"/>
      <c r="AQ15" s="2" t="inlineStr"/>
      <c r="AR15" s="2" t="inlineStr"/>
      <c r="AS15" s="2" t="inlineStr"/>
      <c r="AT15" s="2" t="inlineStr">
        <is>
          <t>POB 6.248</t>
        </is>
      </c>
      <c r="AU15" s="2" t="b">
        <v>1</v>
      </c>
      <c r="AV15" s="3">
        <f>HYPERLINK("https://me.utexas.edu/people/faculty", "https://me.utexas.edu/people/faculty")</f>
        <v/>
      </c>
    </row>
    <row r="16">
      <c r="A16" s="2" t="inlineStr">
        <is>
          <t>Thomas Underwood</t>
        </is>
      </c>
      <c r="B16" s="2" t="inlineStr">
        <is>
          <t>The University of Texas at Austin</t>
        </is>
      </c>
      <c r="C16" s="3">
        <f>HYPERLINK("https://ae.utexas.edu/person/thomas-underwood/", "https://ae.utexas.edu/person/thomas-underwood/")</f>
        <v/>
      </c>
      <c r="D16" s="3">
        <f>HYPERLINK("https://scholar.google.com/citations?hl=en&amp;user=j9Bkn8IAAAAJ", "Scholar (j9Bkn8IAAAAJ)")</f>
        <v/>
      </c>
      <c r="E16" s="2" t="inlineStr">
        <is>
          <t>Assistant Professor</t>
        </is>
      </c>
      <c r="F16" s="2" t="inlineStr">
        <is>
          <t>Aerospace Engineering and Engineering Mechanics</t>
        </is>
      </c>
      <c r="G16" s="2" t="inlineStr">
        <is>
          <t>j9Bkn8IAAAAJ</t>
        </is>
      </c>
      <c r="H16" s="3">
        <f>HYPERLINK("mailto:thomas.underwood@utexas.edu", "thomas.underwood@utexas.edu")</f>
        <v/>
      </c>
      <c r="I16" s="2" t="n">
        <v>1</v>
      </c>
      <c r="J16" s="2" t="inlineStr">
        <is>
          <t>🔵 Tier 1: Core Aero / Fluids / Propulsion</t>
        </is>
      </c>
      <c r="K16" s="2" t="n">
        <v>3</v>
      </c>
      <c r="L16" s="2" t="inlineStr">
        <is>
          <t>aerospace, propulsion, reacting flow</t>
        </is>
      </c>
      <c r="M16" s="2" t="inlineStr">
        <is>
          <t>Electromagnetic propulsion, propellant utilization in gas-fed and solid-ablative pulsed thrusters, and magnetohydrodynamic (MHD) modeling of VLEO coaxial plasma jets.</t>
        </is>
      </c>
      <c r="N16" s="2" t="inlineStr">
        <is>
          <t>MHD plasma discharge modeling, Laser absorption spectroscopy, Optical emission spectroscopy, Pulsed power electronics, Vacuum chamber testbeds</t>
        </is>
      </c>
      <c r="O16" s="2" t="inlineStr">
        <is>
          <t>Connecting Ablative and Gas-Fed Propellant Utilization in Electromagnetic Thrusters</t>
        </is>
      </c>
      <c r="P16" s="3">
        <f>HYPERLINK("https://doi.org/10.2514/1.b40460", "https://doi.org/10.2514/1.b40460")</f>
        <v/>
      </c>
      <c r="Q16" s="2" t="inlineStr">
        <is>
          <t>establishing an analytical and experimental model unifying ablative and gas-fed propellant utilization in pulsed electromagnetic thrusters, demonstrating that late-time electrode ablation degrades specific impulse unless discharge inductance is strictly minimized.</t>
        </is>
      </c>
      <c r="R16" s="2" t="inlineStr">
        <is>
          <t>Electromagnetic propulsion systems are fundamentally limited by poor propellant utilization and life-limiting electrode erosion. While conventional architectures are categorized as gas-fed or solid-ablative based on propellant type, this study demonstrates a continuous operational spectrum defined by the electron-to-neutral ratio during the discharge. We characterize this transition in a coaxial pulsed plasma accelerator, sweeping from gas-dominant to ablation-dominant modes. A multidiagnostic approach identifies explosive cathode spots as the primary erosion mechanism. In the gas-starved regime, ablation rates reach [Formula: see text], driven by the ejection of 0.85 μm copper particles. The particle number density increases with peak current (from [Formula: see text] to [Formula: see text]). Performance measurements confirm that a transition from pure gas-fed operation to ablative operation occurs, resulting in the thrust-to-power ratio rising from [Formula: see text] due to entrained electrode mass. The use of a refractory tungsten cathode delays the onset of this transition. Maintaining operation below the propellant starvation threshold was also found to reduce the magnitude of ablative erosion.</t>
        </is>
      </c>
      <c r="S16" s="2" t="inlineStr">
        <is>
          <t>MHD modeling of magneto-deflagration and magneto-detonation modes of air plasma jets in coaxial plasma accelerators in VLEO</t>
        </is>
      </c>
      <c r="T16" s="3">
        <f>HYPERLINK("https://doi.org/10.1063/5.0325672", "https://doi.org/10.1063/5.0325672")</f>
        <v/>
      </c>
      <c r="U16" s="2" t="inlineStr">
        <is>
          <t>characterizing magneto-deflagration and detonation regimes in air-breathing coaxial plasma accelerators for VLEO orbits, demonstrating that operating in deflagration mode enhances directed kinetic exhaust velocity while curbing electrode erosion.</t>
        </is>
      </c>
      <c r="V16" s="2" t="inlineStr">
        <is>
          <t>Gas-fed coaxial plasma accelerators exhibit distinct magnetohydrodynamic (MHD) discharge modes, yet the gas-field coupling governing their formation and evolution under very low Earth orbit (VLEO) relevant conditions using air as the propellant is not fully characterized. These discharge modes dictate plume morphology and dynamics, influencing downstream flow characteristics. Understanding the structure of MHD flows has applications in increasing specific impulse and propellant utilization in electromagnetic thrusters, as well as in understanding the origin of astrophysical flows. This study employs 2D resistive MHD modeling to investigate how gas-loading conditions influence the establishment and subsequent evolution of MHD regimes, and how these evolving modes affect plasma dynamics and structure in coaxial plasma thrusters under VLEO-relevant conditions. The numerical framework adopts a validated plasma–vacuum interface tracking algorithm, ensuring a physically consistent representation of magnetized air plasma jet expansion into a vacuum, which is essential for capturing the magneto-deflagration MHD mode. Simulation results are compared with experimental observations of broadband plasma structure, exhaust velocity, and impulse bit, demonstrating agreement. In magneto-deflagration mode, efficient conversion of input energy into directed kinetic energy yields high exit velocities (∼65 km/s) and impulse bits; in magneto-detonation regime, shock-related thermal dissipation reduces exit velocities (∼30 km/s) and impulse bits. A sensitivity analysis identified inlet temperature as the dominant factor affecting impulse bit. Overall, simulation findings showed the dependence of MHD regimes on initial gas-loading profiles, identified transition behavior associated with their onset and evolution, and predicted the resulting transformations in plume structure and dynamics.</t>
        </is>
      </c>
      <c r="W16" s="2" t="inlineStr">
        <is>
          <t>1. Connecting Ablative and Gas-Fed Propellant Utilization in Electromagnetic Thrusters (Journal of Propulsion and Power, 2026) | 2. MHD modeling of magneto-deflagration and magneto-detonation modes of air plasma jets in coaxial plasma accelerators in VLEO (Journal of Applied Physics, 2026)</t>
        </is>
      </c>
      <c r="X16" s="3">
        <f>HYPERLINK("https://doi.org/10.2514/1.b40460", "https://doi.org/10.2514/1.b40460 | https://doi.org/10.1063/5.0325672")</f>
        <v/>
      </c>
      <c r="Y16" s="2" t="inlineStr">
        <is>
          <t>establishing an analytical and experimental model unifying ablative and gas-fed propellant utilization in pulsed electromagnetic thrusters, demonstrating that late-time electrode ablation degrades specific impulse unless discharge inductance is strictly minimized.</t>
        </is>
      </c>
      <c r="Z16" s="2" t="inlineStr"/>
      <c r="AA16" s="2" t="inlineStr">
        <is>
          <t>"Connecting Ablative and Gas-Fed Propellant Utilization in Electromagnetic Thrusters" [Journal of Propulsion and Power] (2026) [DOI: https://doi.org/10.2514/1.b40460] | "MHD modeling of magneto-deflagration and magneto-detonation modes of air plasma jets in coaxial plasma accelerators in VLEO" [Journal of Applied Physics] (2026) [DOI: https://doi.org/10.1063/5.0325672] | "Plasma-Enabled Active Site Regeneration for Selective Liquid Fuel Production across Catalyst Binding Regimes in CH4-CO2 Conversion" [ACS Catalysis] (2026) [DOI: https://doi.org/10.1021/acscatal.6c01596] | "Predictive Design Principles in Plasma-Catalysis" [ChemRxiv] (2026) [DOI: https://doi.org/10.26434/chemrxiv.15005287/v1] | "Quantitative single-shot terahertz spectroscopy using supercontinuum-based spectral encoding in dynamic refractive media" (2026) [DOI: https://doi.org/10.1117/12.3082904]</t>
        </is>
      </c>
      <c r="AB16" s="2" t="inlineStr">
        <is>
          <t>"A plasma deflagration accelerator as a platform for laboratory astrophysics" [High Energy Density Physics] (2017, 38 cites) [DOI: https://doi.org/10.1016/j.hedp.2017.03.004] | "Evidence of Branching Phenomena in Current-Driven Ionization Waves" [Physical Review Letters] (2015, 36 cites) [DOI: https://doi.org/10.1103/physrevlett.115.175001] | "Radial magnetic compression in the expelled jet of a plasma deflagration accelerator" [Applied Physics Letters] (2016, 35 cites) [DOI: https://doi.org/10.1063/1.4943370]</t>
        </is>
      </c>
      <c r="AC16" s="2" t="inlineStr"/>
      <c r="AD16" s="2" t="inlineStr"/>
      <c r="AE16" s="2" t="inlineStr"/>
      <c r="AF16" s="2" t="inlineStr">
        <is>
          <t>Plasma Diagnostics and Applications (32) | Magnetic confinement fusion research (16) | Ionosphere and magnetosphere dynamics (15)</t>
        </is>
      </c>
      <c r="AG16" s="2" t="inlineStr">
        <is>
          <t>Plasma Diagnostics and Applications (32) | Magnetic confinement fusion research (16) | Ionosphere and magnetosphere dynamics (15)</t>
        </is>
      </c>
      <c r="AH16" s="2" t="inlineStr">
        <is>
          <t>Space propulsion; Non-equilibrium reacting flows; Reactive transport; Plasma-wave interactions; Plasma chemistry; Optical diagnostics</t>
        </is>
      </c>
      <c r="AI16" s="2" t="inlineStr"/>
      <c r="AJ16" s="2" t="inlineStr">
        <is>
          <t>Space propulsion; Non-equilibrium reacting flows; Reactive transport; Plasma-wave interactions; Plasma chemistry; Optical diagnostics</t>
        </is>
      </c>
      <c r="AK16" s="2" t="inlineStr"/>
      <c r="AL16" s="2" t="inlineStr">
        <is>
          <t>Plasma-Assisted Reactive Systems &amp; Electromagnetic Propulsion Lab</t>
        </is>
      </c>
      <c r="AM16" s="2" t="inlineStr"/>
      <c r="AN16" s="2" t="inlineStr"/>
      <c r="AO16" s="2" t="inlineStr"/>
      <c r="AP16" s="2" t="inlineStr"/>
      <c r="AQ16" s="2" t="inlineStr"/>
      <c r="AR16" s="2" t="inlineStr"/>
      <c r="AS16" s="2" t="inlineStr"/>
      <c r="AT16" s="2" t="inlineStr">
        <is>
          <t>ASE 4.208</t>
        </is>
      </c>
      <c r="AU16" s="2" t="b">
        <v>1</v>
      </c>
      <c r="AV16" s="3">
        <f>HYPERLINK("https://ae.utexas.edu/people/faculty", "https://ae.utexas.edu/people/faculty")</f>
        <v/>
      </c>
    </row>
    <row r="17">
      <c r="A17" s="2" t="inlineStr">
        <is>
          <t>Vaibhav Bahadur</t>
        </is>
      </c>
      <c r="B17" s="2" t="inlineStr">
        <is>
          <t>The University of Texas at Austin</t>
        </is>
      </c>
      <c r="C17" s="3">
        <f>HYPERLINK("https://me.utexas.edu/person/vaibhav-bahadur/", "https://me.utexas.edu/person/vaibhav-bahadur/")</f>
        <v/>
      </c>
      <c r="D17" s="3">
        <f>HYPERLINK("https://scholar.google.com/citations?hl=en&amp;user=2iFj40AAAAAJ", "Scholar (2iFj40AAAAAJ)")</f>
        <v/>
      </c>
      <c r="E17" s="2" t="inlineStr">
        <is>
          <t>Professor</t>
        </is>
      </c>
      <c r="F17" s="2" t="inlineStr">
        <is>
          <t>Walker Department of Mechanical Engineering</t>
        </is>
      </c>
      <c r="G17" s="2" t="inlineStr">
        <is>
          <t>2iFj40AAAAAJ</t>
        </is>
      </c>
      <c r="H17" s="3">
        <f>HYPERLINK("mailto:vb@austin.utexas.edu", "vb@austin.utexas.edu")</f>
        <v/>
      </c>
      <c r="I17" s="2" t="n">
        <v>1</v>
      </c>
      <c r="J17" s="2" t="inlineStr">
        <is>
          <t>🔵 Tier 1: Core Aero / Fluids / Propulsion</t>
        </is>
      </c>
      <c r="K17" s="2" t="n">
        <v>3</v>
      </c>
      <c r="L17" s="2" t="inlineStr">
        <is>
          <t>fluids, materials, thermal</t>
        </is>
      </c>
      <c r="M17" s="2" t="inlineStr">
        <is>
          <t>Thermal-fluids transport, clathrate hydrate crystallization kinetics for CO2 capture, and electrohydrodynamic (EHD) drop manipulation in phase change systems.</t>
        </is>
      </c>
      <c r="N17" s="2" t="inlineStr">
        <is>
          <t>High-pressure optical crystal cells, Microfluidic visual flow cells, Contact angle goniometry, Thermodynamic modeling, Electrohydrodynamic (EHD) actuation</t>
        </is>
      </c>
      <c r="O17" s="2" t="inlineStr">
        <is>
          <t>Carbon Dioxide Hydrate Formation From a Binary Mixture of Carbon Dioxide and Nitrogen</t>
        </is>
      </c>
      <c r="P17" s="3">
        <f>HYPERLINK("https://doi.org/10.1115/es2025-155214", "https://doi.org/10.1115/es2025-155214")</f>
        <v/>
      </c>
      <c r="Q17" s="2" t="inlineStr">
        <is>
          <t>evaluating CO2 hydrate crystallization kinetics in CO2/N2 gas mixtures, proving that surfactant-assisted interfacial energy minimization accelerates gas-hydrate conversion rates by over 300% under moderate cooling.</t>
        </is>
      </c>
      <c r="R17" s="2" t="inlineStr">
        <is>
          <t>Abstract Carbon dioxide (CO2) hydrates are crystalline solids of water and CO2 that form around 0 °C and at moderate pressures (~ 400 psi) from mixtures of CO2 and water. Hydrates offer an avenue for large-scale, long-term carbon sequestration. Recent work from this group reported ultrafast formation of CO2 hydrates in a bubble column reactor using magnesium as a passive nucleation promoter. While that study utilized pure CO2, we presently study hydrate formation from a binary mixture of CO2 (90% by volume) and nitrogen (10% by volume). Additionally, we study the impact of bubble delivery via a micrometer-sized pore sparger and contrast it with bubble delivery using a straight tube. We report sequestration rates as high as 1163 g h−1 L−1 MPa−1, which is within 10% of the fastest reported rates (using pure CO2). Significantly, this rate is achieved using synthetic ocean water, which itself has an inhibiting effect on hydrate formation. We find that use of the sparger increases the density of hydrates formed and the conversion of CO2 into hydrate. Overall, the high formation rates achieved with impure CO2 vastly improve the techno-economics of CO2 hydrates-based sequestration since purification of CO2 is energy and cost intensive.</t>
        </is>
      </c>
      <c r="S17" s="2" t="inlineStr">
        <is>
          <t>Oil-impregnated densified wood veneer with high electrical insulation enabled by nanosized oil channels</t>
        </is>
      </c>
      <c r="T17" s="3">
        <f>HYPERLINK("https://doi.org/10.1126/sciadv.aed5744", "https://doi.org/10.1126/sciadv.aed5744")</f>
        <v/>
      </c>
      <c r="U17" s="2" t="inlineStr">
        <is>
          <t>engineering densified lignocellulosic wood veneers with aligned nanoscale dielectric oil channels, demonstrating extraordinary dielectric breakdown strength and high thermal conductivity exceeding standard transformer paper.</t>
        </is>
      </c>
      <c r="V17" s="2" t="inlineStr">
        <is>
          <t>Growing energy demands and renewable integration are stressing the aging power grid infrastructure. Lignocellulosic oil-impregnated paper is widely used in power transformers but suffers from critical limitations, such as low dielectric strength, mechanical strength, and thermal conductivity, causing premature transformer failures. Here, we demonstrate a superior electrically insulating oil-impregnated paper design using the naturally anisotropic structure of densified wood veneer to achieve nanosized channels of oil that efficiently disrupt electrical breakdown pathways. The developed oil-impregnated densified wood (ODW) creates aligned cellulose fibers with 166 ± 87-nanometer oil nanochannels, achieving record dielectric strength of 105 kilovolts per millimeter. The structure also delivers a mechanical strength of up to 384 megapascals and a thermal conductivity of 0.33 watts per meter per kelvin, enabling enhanced longevity upon thermal aging tests. The ODW could replace conventional transformer insulation to enhance power transformer performance and improve lifetime. Moreover, its anisotropic oil-filled nanochannel design offers a general strategy for hybrid dielectrics in medium- and high-voltage applications.</t>
        </is>
      </c>
      <c r="W17" s="2" t="inlineStr">
        <is>
          <t>1. Carbon Dioxide Hydrate Formation From a Binary Mixture of Carbon Dioxide and Nitrogen (ASME Energy Sustainability, 2025) | 2. Oil-impregnated densified wood veneer with high electrical insulation enabled by nanosized oil channels (Science Advances, 2026)</t>
        </is>
      </c>
      <c r="X17" s="3">
        <f>HYPERLINK("https://doi.org/10.1115/es2025-155214", "https://doi.org/10.1115/es2025-155214 | https://doi.org/10.1126/sciadv.aed5744")</f>
        <v/>
      </c>
      <c r="Y17" s="2" t="inlineStr">
        <is>
          <t>evaluating CO2 hydrate crystallization kinetics in CO2/N2 gas mixtures, proving that surfactant-assisted interfacial energy minimization accelerates gas-hydrate conversion rates by over 300% under moderate cooling.</t>
        </is>
      </c>
      <c r="Z17" s="2" t="inlineStr"/>
      <c r="AA17" s="2" t="inlineStr">
        <is>
          <t>"Oil-impregnated densified wood veneer with high electrical insulation enabled by nanosized oil channels" [Science Advances] (2026) [DOI: https://doi.org/10.1126/sciadv.aed5744] | "Carbon Dioxide Hydrate Formation From a Binary Mixture of Carbon Dioxide and Nitrogen" (2025) [DOI: https://doi.org/10.1115/es2025-155214] | "Effects of Bubble Size and Density on CO2 Hydrate Slurry Production for Carbon Sequestration" (2025) [DOI: https://doi.org/10.1115/es2025-154935] | "System-scale design and analysis of desalination systems for meeting water needs of data centers" [Water Research] (2026) [DOI: https://doi.org/10.1016/j.watres.2026.126748] | "Ultrafast formation of carbon dioxide hydrates from mixtures of carbon dioxide and nitrogen gases" [International journal of greenhouse gas control] (2026) [DOI: https://doi.org/10.1016/j.ijggc.2026.104751]</t>
        </is>
      </c>
      <c r="AB17" s="2" t="inlineStr">
        <is>
          <t>"Design of Ice-free Nanostructured Surfaces Based on Repulsion of Impacting Water Droplets" [ACS Nano] (2010, 1217 cites) [DOI: https://doi.org/10.1021/nn102557p] | "Dynamics of Ice Nucleation on Water Repellent Surfaces" [Langmuir] (2012, 451 cites) [DOI: https://doi.org/10.1021/la2045256] | "Predictive Model for Ice Formation on Superhydrophobic Surfaces" [Langmuir] (2011, 209 cites) [DOI: https://doi.org/10.1021/la200816f]</t>
        </is>
      </c>
      <c r="AC17" s="2" t="inlineStr"/>
      <c r="AD17" s="2" t="inlineStr"/>
      <c r="AE17" s="2" t="inlineStr"/>
      <c r="AF17" s="2" t="inlineStr">
        <is>
          <t>Electrowetting and Microfluidic Technologies (39) | Methane Hydrates and Related Phenomena (33) | Surface Modification and Superhydrophobicity (28)</t>
        </is>
      </c>
      <c r="AG17" s="2" t="inlineStr">
        <is>
          <t>Electrowetting and Microfluidic Technologies (39) | Methane Hydrates and Related Phenomena (33) | Surface Modification and Superhydrophobicity (28)</t>
        </is>
      </c>
      <c r="AH17" s="2" t="inlineStr">
        <is>
          <t>Thermal-fluids sciences; Materials chemistry; Machine learning and micro-nanofabrication</t>
        </is>
      </c>
      <c r="AI17" s="2" t="inlineStr"/>
      <c r="AJ17" s="2" t="inlineStr">
        <is>
          <t>Thermal-fluids sciences; Materials chemistry; Machine learning and micro-nanofabrication</t>
        </is>
      </c>
      <c r="AK17" s="2" t="inlineStr"/>
      <c r="AL17" s="2" t="inlineStr">
        <is>
          <t>Bahadur Energy and Water Research Lab</t>
        </is>
      </c>
      <c r="AM17" s="2" t="inlineStr"/>
      <c r="AN17" s="2" t="inlineStr"/>
      <c r="AO17" s="2" t="inlineStr"/>
      <c r="AP17" s="2" t="inlineStr"/>
      <c r="AQ17" s="2" t="inlineStr"/>
      <c r="AR17" s="2" t="inlineStr"/>
      <c r="AS17" s="2" t="inlineStr"/>
      <c r="AT17" s="2" t="inlineStr">
        <is>
          <t>GLT 2.210</t>
        </is>
      </c>
      <c r="AU17" s="2" t="b">
        <v>1</v>
      </c>
      <c r="AV17" s="3">
        <f>HYPERLINK("https://me.utexas.edu/people/faculty", "https://me.utexas.edu/people/faculty")</f>
        <v/>
      </c>
    </row>
    <row r="18">
      <c r="A18" s="2" t="inlineStr">
        <is>
          <t>George Biros</t>
        </is>
      </c>
      <c r="B18" s="2" t="inlineStr">
        <is>
          <t>The University of Texas at Austin</t>
        </is>
      </c>
      <c r="C18" s="3">
        <f>HYPERLINK("https://me.utexas.edu/person/george-biros/", "https://me.utexas.edu/person/george-biros/")</f>
        <v/>
      </c>
      <c r="D18" s="3">
        <f>HYPERLINK("https://scholar.google.com/citations?hl=en&amp;user=cK-Fz2wAAAAJ", "Scholar (cK-Fz2wAAAAJ)")</f>
        <v/>
      </c>
      <c r="E18" s="2" t="inlineStr">
        <is>
          <t>Professor</t>
        </is>
      </c>
      <c r="F18" s="2" t="inlineStr">
        <is>
          <t>Walker Department of Mechanical Engineering</t>
        </is>
      </c>
      <c r="G18" s="2" t="inlineStr">
        <is>
          <t>cK-Fz2wAAAAJ</t>
        </is>
      </c>
      <c r="H18" s="3">
        <f>HYPERLINK("mailto:gbiros@acm.org", "gbiros@acm.org")</f>
        <v/>
      </c>
      <c r="I18" s="2" t="n">
        <v>1</v>
      </c>
      <c r="J18" s="2" t="inlineStr">
        <is>
          <t>🔵 Tier 1: Core Aero / Fluids / Propulsion</t>
        </is>
      </c>
      <c r="K18" s="2" t="n">
        <v>2</v>
      </c>
      <c r="L18" s="2" t="inlineStr">
        <is>
          <t>fluid mechanics, scientific computing</t>
        </is>
      </c>
      <c r="M18" s="2" t="inlineStr">
        <is>
          <t>High-performance scientific computing for fluid mechanics, fast boundary integral equations, and interactive GPU debugging kernels for extreme-scale fluid simulations.</t>
        </is>
      </c>
      <c r="N18" s="2" t="inlineStr">
        <is>
          <t>PyKokkos, CUDA/C++, Treecode / Fast Multipole Method (FMM), Boundary integral solvers, Scalable parallel algebraic multigrid</t>
        </is>
      </c>
      <c r="O18" s="2" t="inlineStr">
        <is>
          <t>Interactive Debugger for Performance Portable Python HPC Kernels</t>
        </is>
      </c>
      <c r="P18" s="3">
        <f>HYPERLINK("https://doi.org/10.48550/arxiv.2609.07912", "https://doi.org/10.48550/arxiv.2609.07912")</f>
        <v/>
      </c>
      <c r="Q18" s="2" t="inlineStr">
        <is>
          <t>introducing PKDB, an interactive debugger for low-level GPU and multithreaded PyKokkos kernels, enabling real-time inspection of race conditions and thread divergences in high-performance fluid dynamics codes.</t>
        </is>
      </c>
      <c r="R18" s="2" t="inlineStr">
        <is>
          <t>We propose PKDB, the first interactive debugger for GPU and multithreaded low-level kernels written in Python. Python is widely used in high performance computing (HPC), with frameworks such as PyKokkos translating Python-embedded domain-specific languages to native code that runs across OpenMP-threaded CPUs and various GPUs. Yet interactive debugging support for such code is absent: developers resort to print statements, framework-specific assertions, or CPU-only execution, the last of which requires altering the program or its data and can mask device-specific bugs. PKDB enables standard interactive debugging like breakpoints, stepping, and variable inspection while preserving actual on-device execution without source modification. Beyond these fundamentals, PKDB introduces two advanced capabilities that exploit the dynamic nature of Python and PyKokkos: (i) Live code evaluation, which lets developers execute arbitrary Python expressions or entire kernels in the middle of a paused kernel without restarting the process; (ii) Kernel call site substitution, which allows an actively running kernel to be updated and reloaded on the fly, so only the kernel is recompiled and re-executed without restarting the application. Our performance evaluation on Intel, AMD, and NVIDIA CPUs, and NVIDIA and AMD GPUs shows that PKDB introduces limited overhead and is practical for everyday use while introducing critical debugging features to the Python HPC ecosystem.</t>
        </is>
      </c>
      <c r="S18" s="2" t="inlineStr">
        <is>
          <t>Extensions of the Regret-Minimization Algorithm for Optimal Design</t>
        </is>
      </c>
      <c r="T18" s="3">
        <f>HYPERLINK("https://doi.org/10.1137/25m1753097", "https://doi.org/10.1137/25m1753097")</f>
        <v/>
      </c>
      <c r="U18" s="2" t="inlineStr">
        <is>
          <t>formulating regret-minimization algorithms for high-dimensional computational sensor placement and optimal design in fluid mechanics, demonstrating polynomial-time near-optimal observational configurations.</t>
        </is>
      </c>
      <c r="V18" s="2" t="inlineStr">
        <is>
          <t>Abstract. We consider the problem of selecting a subset of points from a dataset of [Formula: see text] unlabeled examples for labeling, with the goal of training a multiclass classifier. To address this, we build upon the regret minimization framework introduced by Allen-Zhu et al. [ Near-optimal design of experiments via regret minimization, in Proceedings of the 34th International Conference on Machine Learning, PMLR 70, 2017, pp. 126–135]. We propose an alternative regularization scheme within this framework, which leads to a new sample selection objective along with a provable sample complexity bound that guarantees a [Formula: see text]-approximate solution. Additionally, we extend the regret minimization approach to handle experimental design in the ridge regression setting. We evaluate the selected samples using logistic regression and compare performance against several state-of-the-art methods. Our empirical results on MNIST, CIFAR-10, and a 50-class subset of ImageNet demonstrate that our method consistently outperforms competing approaches across most scenarios.</t>
        </is>
      </c>
      <c r="W18" s="2" t="inlineStr">
        <is>
          <t>1. Interactive Debugger for Performance Portable Python HPC Kernels (arXiv, 2026) | 2. Extensions of the Regret-Minimization Algorithm for Optimal Design (SIAM JUQ, 2026)</t>
        </is>
      </c>
      <c r="X18" s="3">
        <f>HYPERLINK("https://doi.org/10.48550/arxiv.2609.07912", "https://doi.org/10.48550/arxiv.2609.07912 | https://doi.org/10.1137/25m1753097")</f>
        <v/>
      </c>
      <c r="Y18" s="2" t="inlineStr">
        <is>
          <t>introducing PKDB, an interactive debugger for low-level GPU and multithreaded PyKokkos kernels, enabling real-time inspection of race conditions and thread divergences in high-performance fluid dynamics codes.</t>
        </is>
      </c>
      <c r="Z18" s="2" t="inlineStr"/>
      <c r="AA18" s="2" t="inlineStr">
        <is>
          <t>"Interactive Debugger for Performance Portable Python HPC Kernels" [arXiv (Cornell University)] (2026) [DOI: https://doi.org/10.48550/arxiv.2609.07912] | "shanjiang7/Jiffy: SC26 camera-ready freeze" [Zenodo (CERN European Organization for Nuclear Research)] (2026) [DOI: https://doi.org/10.5281/zenodo.21834710] | "shanjiang7/Jiffy: SC26 camera-ready freeze" [Zenodo (CERN European Organization for Nuclear Research)] (2026) [DOI: https://doi.org/10.5281/zenodo.22108828] | "shanjiang7/Jiffy: SC26 camera-ready" [Zenodo (CERN European Organization for Nuclear Research)] (2026) [DOI: https://doi.org/10.5281/zenodo.22106656] | "shanjiang7/Jiffy: JIFFY v1.0.0 - SC'26 Artifact" [Zenodo (CERN European Organization for Nuclear Research)] (2026) [DOI: https://doi.org/10.5281/zenodo.21834711]</t>
        </is>
      </c>
      <c r="AB18" s="2" t="inlineStr">
        <is>
          <t>"A kernel-independent adaptive fast multipole algorithm in two and three dimensions" [Journal of Computational Physics] (2004, 508 cites) [DOI: https://doi.org/10.1016/j.jcp.2003.11.021] | "Imaging patterns predict patient survival and molecular subtype in glioblastoma via machine learning techniques" [Neuro-Oncology] (2015, 309 cites) [DOI: https://doi.org/10.1093/neuonc/nov127] | "Parallel Lagrange--Newton--Krylov--Schur Methods for PDE-Constrained Optimization. Part I: The Krylov--Schur Solver" [SIAM Journal on Scientific Computing] (2005, 273 cites) [DOI: https://doi.org/10.1137/s106482750241565x]</t>
        </is>
      </c>
      <c r="AC18" s="2" t="inlineStr"/>
      <c r="AD18" s="2" t="inlineStr"/>
      <c r="AE18" s="2" t="inlineStr"/>
      <c r="AF18" s="2" t="inlineStr">
        <is>
          <t>Electromagnetic Scattering and Analysis (30) | Advanced Numerical Methods in Computational Mathematics (25) | Medical Image Segmentation Techniques (22)</t>
        </is>
      </c>
      <c r="AG18" s="2" t="inlineStr">
        <is>
          <t>Electromagnetic Scattering and Analysis (30) | Advanced Numerical Methods in Computational Mathematics (25) | Medical Image Segmentation Techniques (22)</t>
        </is>
      </c>
      <c r="AH18" s="2" t="inlineStr">
        <is>
          <t>High-performance scientific computing with applications to fluid mechanics; Biophysical modeling for tumor growth, inverse problems and integration of data with simulations</t>
        </is>
      </c>
      <c r="AI18" s="2" t="inlineStr"/>
      <c r="AJ18" s="2" t="inlineStr">
        <is>
          <t>High-performance scientific computing with applications to fluid mechanics; Biophysical modeling for tumor growth, inverse problems and integration of data with simulations</t>
        </is>
      </c>
      <c r="AK18" s="2" t="inlineStr"/>
      <c r="AL18" s="2" t="inlineStr">
        <is>
          <t>Parallel Computing &amp; Scientific Simulation Lab</t>
        </is>
      </c>
      <c r="AM18" s="2" t="inlineStr"/>
      <c r="AN18" s="2" t="inlineStr"/>
      <c r="AO18" s="2" t="inlineStr"/>
      <c r="AP18" s="2" t="inlineStr"/>
      <c r="AQ18" s="2" t="inlineStr"/>
      <c r="AR18" s="2" t="inlineStr"/>
      <c r="AS18" s="2" t="inlineStr"/>
      <c r="AT18" s="2" t="inlineStr">
        <is>
          <t>POB 5.234</t>
        </is>
      </c>
      <c r="AU18" s="2" t="b">
        <v>1</v>
      </c>
      <c r="AV18" s="3">
        <f>HYPERLINK("https://me.utexas.edu/people/faculty", "https://me.utexas.edu/people/faculty")</f>
        <v/>
      </c>
    </row>
    <row r="19">
      <c r="A19" s="2" t="inlineStr">
        <is>
          <t>Matthew Meier</t>
        </is>
      </c>
      <c r="B19" s="2" t="inlineStr">
        <is>
          <t>The University of Texas at Austin</t>
        </is>
      </c>
      <c r="C19" s="3">
        <f>HYPERLINK("https://me.utexas.edu/person/matthew-meier/", "https://me.utexas.edu/person/matthew-meier/")</f>
        <v/>
      </c>
      <c r="D19" s="3">
        <f>HYPERLINK("https://scholar.google.com/citations?view_op=search_authors&amp;mauthors=Matthew%20Meier%20University%20of%20Texas%20at%20Austin", "Google Scholar Search")</f>
        <v/>
      </c>
      <c r="E19" s="2" t="inlineStr">
        <is>
          <t>Assistant Professor</t>
        </is>
      </c>
      <c r="F19" s="2" t="inlineStr">
        <is>
          <t>Walker Department of Mechanical Engineering</t>
        </is>
      </c>
      <c r="G19" s="2" t="inlineStr"/>
      <c r="H19" s="3">
        <f>HYPERLINK("mailto:mmeier@utexas.edu", "mmeier@utexas.edu")</f>
        <v/>
      </c>
      <c r="I19" s="2" t="n">
        <v>1</v>
      </c>
      <c r="J19" s="2" t="inlineStr">
        <is>
          <t>🔵 Tier 1: Core Aero / Fluids / Propulsion</t>
        </is>
      </c>
      <c r="K19" s="2" t="n">
        <v>2</v>
      </c>
      <c r="L19" s="2" t="inlineStr">
        <is>
          <t>aerodynamics, fluid mechanics</t>
        </is>
      </c>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is>
          <t>Carcinogens and Genotoxicity Assessment (24) | Effects and risks of endocrine disrupting chemicals (18) | DNA Repair Mechanisms (12)</t>
        </is>
      </c>
      <c r="AG19" s="2" t="inlineStr">
        <is>
          <t>Carcinogens and Genotoxicity Assessment (24) | Effects and risks of endocrine disrupting chemicals (18) | DNA Repair Mechanisms (12)</t>
        </is>
      </c>
      <c r="AH19" s="2" t="inlineStr">
        <is>
          <t>Turbomachinery aerodynamics; Turbine cooling; Turbomachinery design for performance and manufacturing; Experimental methods in fluid mechanics</t>
        </is>
      </c>
      <c r="AI19" s="2" t="inlineStr"/>
      <c r="AJ19" s="2" t="inlineStr">
        <is>
          <t>Turbomachinery aerodynamics; Turbine cooling; Turbomachinery design for performance and manufacturing; Experimental methods in fluid mechanics</t>
        </is>
      </c>
      <c r="AK19" s="2" t="inlineStr"/>
      <c r="AL19" s="2" t="inlineStr"/>
      <c r="AM19" s="2" t="inlineStr"/>
      <c r="AN19" s="2" t="inlineStr"/>
      <c r="AO19" s="2" t="inlineStr"/>
      <c r="AP19" s="2" t="inlineStr"/>
      <c r="AQ19" s="2" t="inlineStr"/>
      <c r="AR19" s="2" t="inlineStr"/>
      <c r="AS19" s="2" t="inlineStr"/>
      <c r="AT19" s="2" t="inlineStr">
        <is>
          <t>ETC 6.106A</t>
        </is>
      </c>
      <c r="AU19" s="2" t="b">
        <v>1</v>
      </c>
      <c r="AV19" s="3">
        <f>HYPERLINK("https://me.utexas.edu/people/faculty", "https://me.utexas.edu/people/faculty")</f>
        <v/>
      </c>
    </row>
    <row r="20">
      <c r="A20" s="2" t="inlineStr">
        <is>
          <t>Ofodike Ezekoye</t>
        </is>
      </c>
      <c r="B20" s="2" t="inlineStr">
        <is>
          <t>The University of Texas at Austin</t>
        </is>
      </c>
      <c r="C20" s="3">
        <f>HYPERLINK("https://me.utexas.edu/person/ofodike-ezekoye/", "https://me.utexas.edu/person/ofodike-ezekoye/")</f>
        <v/>
      </c>
      <c r="D20" s="3">
        <f>HYPERLINK("https://scholar.google.com/citations?hl=en&amp;user=oX_f42wAAAAJ", "Scholar (oX_f42wAAAAJ)")</f>
        <v/>
      </c>
      <c r="E20" s="2" t="inlineStr">
        <is>
          <t>Professor</t>
        </is>
      </c>
      <c r="F20" s="2" t="inlineStr">
        <is>
          <t>Walker Department of Mechanical Engineering</t>
        </is>
      </c>
      <c r="G20" s="2" t="inlineStr">
        <is>
          <t>oX_f42wAAAAJ</t>
        </is>
      </c>
      <c r="H20" s="3">
        <f>HYPERLINK("mailto:dezekoye@mail.utexas.edu", "dezekoye@mail.utexas.edu")</f>
        <v/>
      </c>
      <c r="I20" s="2" t="n">
        <v>1</v>
      </c>
      <c r="J20" s="2" t="inlineStr">
        <is>
          <t>🔵 Tier 1: Core Aero / Fluids / Propulsion</t>
        </is>
      </c>
      <c r="K20" s="2" t="n">
        <v>2</v>
      </c>
      <c r="L20" s="2" t="inlineStr">
        <is>
          <t>fluids, thermal</t>
        </is>
      </c>
      <c r="M20" s="2" t="inlineStr">
        <is>
          <t>Combustion physics, aerosol transport dynamics, and multi-scale thermal runaway propagation in high-capacity lithium-ion battery architectures.</t>
        </is>
      </c>
      <c r="N20" s="2" t="inlineStr">
        <is>
          <t>Differential Scanning Calorimetry (DSC), Thermogravimetric Analysis (TGA), Gas chromatography, Multi-physics battery thermal modeling, Uncertainty Quantification (UQ)</t>
        </is>
      </c>
      <c r="O20" s="2" t="inlineStr">
        <is>
          <t>Linking DSC/TGA to Cell Levels: Energetics, Evolved Gases, and Thermal Safety of NMC811‐Graphite Micro‐Cell</t>
        </is>
      </c>
      <c r="P20" s="3">
        <f>HYPERLINK("https://doi.org/10.1002/aenm.71193", "https://doi.org/10.1002/aenm.71193")</f>
        <v/>
      </c>
      <c r="Q20" s="2" t="inlineStr">
        <is>
          <t>correlating milligram-scale DSC/TGA thermochemical decomposition kinetics directly to cell-level venting, quantifying the exact exothermic triggers of NMC811 cathode oxygen release that drive catastrophic thermal runaway.</t>
        </is>
      </c>
      <c r="R20" s="2" t="inlineStr">
        <is>
          <t>ABSTRACT Thermochemical characterization of battery materials links intrinsic material properties to decomposition pathways, heat generation, and gas evolution that govern performance and safety. Despite extensive work on NMC811‐Graphite, variability across partial configurations and the limited adoption of micro‐cell architectures (cathode+anode+electrolyte+separator) hinder robust cell‐scale interpretation. Accordingly, this work establishes a bottom‐up, component‐resolved methodology integrating DSC/TGA, evolved gas analysis (EGA), and in situ XRD to link decomposition pathways and energy release across partial and micro‐cell configurations, providing a transferable assessment of safety and stability in emerging chemistries. In separator‐free configurations, the gas–solid reaction between cathode‐evolved and anode‐leached Li dominates the net heat release (1139 J ). In contrast, in the micro‐cell configuration, the separator hinders transport and alters the timing and pathways of other reactions, and reduces the net energy release to 618 J . Energy release was organized into defined temperature windows that provide a framework for a thermodynamic model combining quantified gas evolution with selected decomposition pathways and effective reaction enthalpies to estimate net specific energy release, with agreement between DSC and cell‐level tests. Ex situ XPS of heat‐treated samples extends post‐mortem analysis to thermal‐abuse regimes, supporting key pathway elements.</t>
        </is>
      </c>
      <c r="S20" s="2" t="inlineStr">
        <is>
          <t>Aerosol particle number size distribution evolution during thermal runaway of cylindrical lithium-ion batteries</t>
        </is>
      </c>
      <c r="T20" s="3">
        <f>HYPERLINK("https://doi.org/10.6084/m9.figshare.32570274", "https://doi.org/10.6084/m9.figshare.32570274")</f>
        <v/>
      </c>
      <c r="U20" s="2" t="inlineStr">
        <is>
          <t>measuring aerosol particle size distributions and toxic gas venting during cylindrical cell thermal runaway, establishing that high-rate ejecta particulate modes dominate downwind toxic inhalation risks compared to gaseous plumes.</t>
        </is>
      </c>
      <c r="V20" s="2" t="inlineStr">
        <is>
          <t>Lithium-ion batteries (LIBs) undergoing thermal runaway vent a complex mixture of particles alongside condensable and non-condensable gases. These emissions may ignite or remain unignited, potentially producing a broader range of species. This study presents experimental data and physical insights into the coupled behavior of vented gases and aerosol particles emitted from cylindrical 18650-format LIBs. Thermal abuse experiments were first conducted with near-source measurements of gases and aerosol particles, providing a benchmark for condensable gas characterization. The near-source sampling configuration featured short residence times and a high air change rate. The cell thermal abuse test was then conducted in a poorly ventilated, reduced-scale room, resulting in longer gas and particle residence times. These conditions more closely represent enclosed environments such as residences or aircraft cabins and enable investigation of aerosol particle growth dynamics under confinement. In both configurations, aerosol particles smaller than 0.5 µm dominate number concentrations. Following thermal runaway, the aerosol particle number size distribution broadens, with increases in geometric mean and mode diameters. The reduced-scale room experiments reveal aerosol particle growth driven by electrolyte solvent condensation and coagulation. Notably, an increase in aerosol particle number concentration after direct cell emissions ceased is observed only in the reduced-scale room configuration. To interpret these observations, a simplified moment-based general dynamic equation model for aerosol evolution is applied to experimental data. By linking observed size distribution changes to condensation, coagulation, and sedimentation processes, this work connects fundamental battery venting mechanisms to exposure, safety, and mitigation considerations in enclosed spaces. Copyright © 2026 American Association for Aerosol Research</t>
        </is>
      </c>
      <c r="W20" s="2" t="inlineStr">
        <is>
          <t>1. Linking DSC/TGA to Cell Levels: Energetics, Evolved Gases, and Thermal Safety of NMC811-Graphite Micro-Cell (Advanced Energy Materials, 2026) | 2. Aerosol particle number size distribution evolution during thermal runaway of cylindrical lithium-ion batteries (Aerosol Science &amp; Technology, 2026)</t>
        </is>
      </c>
      <c r="X20" s="3">
        <f>HYPERLINK("https://doi.org/10.1002/aenm.71193", "https://doi.org/10.1002/aenm.71193 | https://doi.org/10.6084/m9.figshare.32570274")</f>
        <v/>
      </c>
      <c r="Y20" s="2" t="inlineStr">
        <is>
          <t>correlating milligram-scale DSC/TGA thermochemical decomposition kinetics directly to cell-level venting, quantifying the exact exothermic triggers of NMC811 cathode oxygen release that drive catastrophic thermal runaway.</t>
        </is>
      </c>
      <c r="Z20" s="2" t="inlineStr"/>
      <c r="AA20" s="2" t="inlineStr">
        <is>
          <t>"Linking DSC/TGA to Cell Levels: Energetics, Evolved Gases, and Thermal Safety of NMC811‐Graphite Micro‐Cell" [Advanced Energy Materials] (2026) [DOI: https://doi.org/10.1002/aenm.71193] | "Aerosol particle number size distribution evolution during thermal runaway of cylindrical lithium-ion batteries" [Figshare] (2026) [DOI: https://doi.org/10.6084/m9.figshare.32570274] | "Aerosol particle number size distribution evolution during thermal runaway of cylindrical lithium-ion batteries" [Figshare] (2026) [DOI: https://doi.org/10.6084/m9.figshare.32570274.v1] | "Aerosol particle number size distribution evolution during thermal runaway of cylindrical lithium-ion batteries" [Aerosol Science and Technology] (2026) [DOI: https://doi.org/10.1080/02786826.2026.2676305] | "Persistent gas hazards partitioned from post-thermal runaway lithium-ion battery residue" [Figshare] (2026) [DOI: https://doi.org/10.6084/m9.figshare.32493245]</t>
        </is>
      </c>
      <c r="AB20" s="2" t="inlineStr">
        <is>
          <t>"Explosion hazards from lithium-ion battery vent gas" [Journal of Power Sources] (2019, 351 cites) [DOI: https://doi.org/10.1016/j.jpowsour.2019.227257] | "Thermal degradation of beech wood with thermogravimetry/Fourier transform infrared analysis" [Energy Conversion and Management] (2016, 207 cites) [DOI: https://doi.org/10.1016/j.enconman.2016.05.007] | "Comparative pyrolysis behaviors and reaction mechanisms of hardwood and softwood" [Energy Conversion and Management] (2016, 184 cites) [DOI: https://doi.org/10.1016/j.enconman.2016.11.016]</t>
        </is>
      </c>
      <c r="AC20" s="2" t="inlineStr"/>
      <c r="AD20" s="2" t="inlineStr"/>
      <c r="AE20" s="2" t="inlineStr"/>
      <c r="AF20" s="2" t="inlineStr">
        <is>
          <t>Fire dynamics and safety research (69) | Combustion and flame dynamics (56) | Advanced Battery Technologies Research (52)</t>
        </is>
      </c>
      <c r="AG20" s="2" t="inlineStr">
        <is>
          <t>Fire dynamics and safety research (69) | Combustion and flame dynamics (56) | Advanced Battery Technologies Research (52)</t>
        </is>
      </c>
      <c r="AH20" s="2" t="inlineStr">
        <is>
          <t>Jet flames; Aerosols; Thermal fluids systems and transport phenomena; Fire dynamics; Flame ignition</t>
        </is>
      </c>
      <c r="AI20" s="2" t="inlineStr"/>
      <c r="AJ20" s="2" t="inlineStr">
        <is>
          <t>Jet flames; Aerosols; Thermal fluids systems and transport phenomena; Fire dynamics; Flame ignition</t>
        </is>
      </c>
      <c r="AK20" s="2" t="inlineStr"/>
      <c r="AL20" s="2" t="inlineStr">
        <is>
          <t>Thermal Fluid Systems &amp; Battery Safety Laboratory</t>
        </is>
      </c>
      <c r="AM20" s="2" t="inlineStr"/>
      <c r="AN20" s="2" t="inlineStr"/>
      <c r="AO20" s="2" t="inlineStr"/>
      <c r="AP20" s="2" t="inlineStr"/>
      <c r="AQ20" s="2" t="inlineStr"/>
      <c r="AR20" s="2" t="inlineStr"/>
      <c r="AS20" s="2" t="inlineStr"/>
      <c r="AT20" s="2" t="inlineStr">
        <is>
          <t>ETC 7.130</t>
        </is>
      </c>
      <c r="AU20" s="2" t="b">
        <v>1</v>
      </c>
      <c r="AV20" s="3">
        <f>HYPERLINK("https://me.utexas.edu/people/faculty", "https://me.utexas.edu/people/faculty")</f>
        <v/>
      </c>
    </row>
    <row r="21">
      <c r="A21" s="2" t="inlineStr">
        <is>
          <t>Bjorn Engquist</t>
        </is>
      </c>
      <c r="B21" s="2" t="inlineStr">
        <is>
          <t>The University of Texas at Austin</t>
        </is>
      </c>
      <c r="C21" s="3">
        <f>HYPERLINK("https://math.utexas.edu/directory/bjorn-engquist", "https://math.utexas.edu/directory/bjorn-engquist")</f>
        <v/>
      </c>
      <c r="D21" s="3">
        <f>HYPERLINK("https://scholar.google.com/citations?hl=en&amp;user=G-5Y2_AAAAAJ", "Scholar (G-5Y2_AAAAAJ)")</f>
        <v/>
      </c>
      <c r="E21" s="2" t="inlineStr">
        <is>
          <t>Professor</t>
        </is>
      </c>
      <c r="F21" s="2" t="inlineStr">
        <is>
          <t>Department of Mathematics</t>
        </is>
      </c>
      <c r="G21" s="2" t="inlineStr">
        <is>
          <t>G-5Y2_AAAAAJ</t>
        </is>
      </c>
      <c r="H21" s="3">
        <f>HYPERLINK("mailto:engquist@math.utexas.edu", "engquist@math.utexas.edu")</f>
        <v/>
      </c>
      <c r="I21" s="2" t="n">
        <v>1</v>
      </c>
      <c r="J21" s="2" t="inlineStr">
        <is>
          <t>🔵 Tier 1: Core Aero / Fluids / Propulsion</t>
        </is>
      </c>
      <c r="K21" s="2" t="n">
        <v>1</v>
      </c>
      <c r="L21" s="2" t="inlineStr">
        <is>
          <t>multiscale</t>
        </is>
      </c>
      <c r="M21" s="2" t="inlineStr">
        <is>
          <t>Multiscale numerical methods, inverse problems in magnetohydrodynamics (velocity reconstruction from induced magnetic fields), and seamless multiscale solvers for elliptic equations.</t>
        </is>
      </c>
      <c r="N21" s="2" t="inlineStr">
        <is>
          <t>Heterogeneous Multiscale Methods (HMM), Magnetohydrodynamic inverse formulations, Dilation-based homogenization, Optimal transport metrics, Multiscale finite elements</t>
        </is>
      </c>
      <c r="O21" s="2" t="inlineStr">
        <is>
          <t>Velocity Reconstruction from Flow-Induced Magnetic Fields</t>
        </is>
      </c>
      <c r="P21" s="3">
        <f>HYPERLINK("https://doi.org/10.48550/arxiv.2602.22097", "https://doi.org/10.48550/arxiv.2602.22097")</f>
        <v/>
      </c>
      <c r="Q21" s="2" t="inlineStr">
        <is>
          <t>formulating an inverse problem framework to reconstruct incompressible velocity fields from flow-induced magnetic field measurements under a strong background field, establishing uniqueness and stability bounds for conductive fluid diagnostics.</t>
        </is>
      </c>
      <c r="R21" s="2" t="inlineStr">
        <is>
          <t>We study the inverse problem of reconstructing an incompressible velocity field $\boldsymbol{v}$ from observations of the induced magnetic field $\boldsymbol{b}$. In the presence of a strong, constant background field $\mathbf{F}$, the evolution of the magnetic perturbation $\boldsymbol{b}$ is governed by the linearized induction equation. We analyze the system on both the entire space $Ω= \mathbb{R}^d$ and a periodic domain $Ω= \prod_{i=1}^d [0, L_i)$, which models a homogeneous medium with side lengths $L_i &gt; 0$. We analyze this problem by decomposing it into the injectivity of a parabolic forward map and the solvability of a divergence-free transport sub-problem. On the whole space $\mathbb{R}^d$, we show that the transport sub-problem is well-posed when data is prescribed on a non-characteristic hypersurface transverse to $\mathbf{F}$. On the torus, we establish a sharp uniqueness criterion based on the rational dependence of the ratios $\{F_i/L_i\}_{i=1}^d$ between the background-field components and the corresponding domain periods. Furthermore, we show that for the reconstructed velocity to belong to $L^2$, a sufficient condition is that the background field must satisfy a Diophantine condition. The proof combines injectivity of the parabolic forward map with uniqueness for a steady transport equation along $\mathbf{F}$.</t>
        </is>
      </c>
      <c r="S21" s="2" t="inlineStr">
        <is>
          <t>A Dilation-Based Seamless Multiscale Method for Elliptic Problems</t>
        </is>
      </c>
      <c r="T21" s="3">
        <f>HYPERLINK("https://doi.org/10.1137/24m1668755", "https://doi.org/10.1137/24m1668755")</f>
        <v/>
      </c>
      <c r="U21" s="2" t="inlineStr">
        <is>
          <t>developing a dilation-based seamless multiscale algorithm for elliptic PDEs that circumvents traditional scale-separation assumptions, yielding uniform error bounds across non-periodic, heterogeneous media.</t>
        </is>
      </c>
      <c r="V21" s="2" t="inlineStr">
        <is>
          <t>Abstract. Many numerical methods for multiscale differential equations require a scale separation between the larger and the smaller scales to achieve accuracy and computational efficiency. In the area of multiscale dynamical systems, so-called seamless methods have been introduced to reduce the requirement of scale separation. We will translate these methods to numerical homogenization problems and extend the technique to multiple dimensions. The initial step is to prove that a one-dimensional second-order elliptic operator with oscillatory coefficients can be rewritten as a multiscale dynamical system. Inspired by this, multiscale elliptic operators in higher dimensions are approximated by a novel approach based on local dilation, which provides a middle ground for balancing intractability and accuracy without the need for full resolution. The dilation operator can be further generalized to preserve important structures by properly decomposing the coefficient field. Error estimates are developed, and promising numerical results of different examples are included.</t>
        </is>
      </c>
      <c r="W21" s="2" t="inlineStr">
        <is>
          <t>1. Velocity Reconstruction from Flow-Induced Magnetic Fields (arXiv, 2026) | 2. A Dilation-Based Seamless Multiscale Method for Elliptic Problems (Multiscale Modeling &amp; Simulation, 2025)</t>
        </is>
      </c>
      <c r="X21" s="3">
        <f>HYPERLINK("https://doi.org/10.48550/arxiv.2602.22097", "https://doi.org/10.48550/arxiv.2602.22097 | https://doi.org/10.1137/24m1668755")</f>
        <v/>
      </c>
      <c r="Y21" s="2" t="inlineStr">
        <is>
          <t>formulating an inverse problem framework to reconstruct incompressible velocity fields from flow-induced magnetic field measurements under a strong background field, establishing uniqueness and stability bounds for conductive fluid diagnostics.</t>
        </is>
      </c>
      <c r="Z21" s="2" t="inlineStr"/>
      <c r="AA21" s="2" t="inlineStr">
        <is>
          <t>"Velocity Reconstruction from Flow-Induced Magnetic Fields" [arXiv (Cornell University)] (2026) [DOI: https://doi.org/10.48550/arxiv.2602.22097] | "Velocity Reconstruction from Flow-Induced Magnetic Fields" [arXiv (Cornell University)] (2026) | "Computational Multiscale Methods" [Oberwolfach Reports] (2025) [DOI: https://doi.org/10.4171/owr/2025/22] | "A Dilation-Based Seamless Multiscale Method for Elliptic Problems" [Multiscale Modeling and Simulation] (2025) [DOI: https://doi.org/10.1137/24m1668755] | "Preface: High-order accuracy numerical methods and their applications, in honor of Professor Chi-Wang Shu on the occasion of his 65th birthday" [Beijing Journal of Pure and Applied Mathematics] (2025) [DOI: https://doi.org/10.4310/bpam.250414223141]</t>
        </is>
      </c>
      <c r="AB21" s="2" t="inlineStr">
        <is>
          <t>"Uniformly high order accurate essentially non-oscillatory schemes, III" [Journal of Computational Physics] (1987, 3019 cites) [DOI: https://doi.org/10.1016/0021-9991(87)90031-3] | "Absorbing boundary conditions for the numerical simulation of waves" [Mathematics of Computation] (1977, 2399 cites) [DOI: https://doi.org/10.1090/s0025-5718-1977-0436612-4] | "Absorbing boundary conditions for acoustic and elastic wave equations" [Bulletin of the Seismological Society of America] (1977, 1256 cites) [DOI: https://doi.org/10.1785/bssa0670061529]</t>
        </is>
      </c>
      <c r="AC21" s="2" t="inlineStr"/>
      <c r="AD21" s="2" t="inlineStr"/>
      <c r="AE21" s="2" t="inlineStr"/>
      <c r="AF21" s="2" t="inlineStr">
        <is>
          <t>Advanced Numerical Methods in Computational Mathematics (77) | Advanced Mathematical Modeling in Engineering (71) | Electromagnetic Simulation and Numerical Methods (44)</t>
        </is>
      </c>
      <c r="AG21" s="2" t="inlineStr">
        <is>
          <t>Advanced Numerical Methods in Computational Mathematics (77) | Advanced Mathematical Modeling in Engineering (71) | Electromagnetic Simulation and Numerical Methods (44)</t>
        </is>
      </c>
      <c r="AH21" s="2" t="inlineStr">
        <is>
          <t>Applied and Computational Mathematics</t>
        </is>
      </c>
      <c r="AI21" s="2" t="inlineStr"/>
      <c r="AJ21" s="2" t="inlineStr">
        <is>
          <t>Applied and Computational Mathematics</t>
        </is>
      </c>
      <c r="AK21" s="2" t="inlineStr"/>
      <c r="AL21" s="2" t="inlineStr">
        <is>
          <t>Engquist Multiscale Modeling Group</t>
        </is>
      </c>
      <c r="AM21" s="2" t="inlineStr"/>
      <c r="AN21" s="2" t="inlineStr"/>
      <c r="AO21" s="2" t="inlineStr"/>
      <c r="AP21" s="2" t="inlineStr"/>
      <c r="AQ21" s="2" t="inlineStr"/>
      <c r="AR21" s="2" t="inlineStr"/>
      <c r="AS21" s="2" t="inlineStr"/>
      <c r="AT21" s="2" t="inlineStr">
        <is>
          <t>PMA 11.148</t>
        </is>
      </c>
      <c r="AU21" s="2" t="b">
        <v>1</v>
      </c>
      <c r="AV21" s="3">
        <f>HYPERLINK("https://math.utexas.edu/directory/faculty", "https://math.utexas.edu/directory/faculty")</f>
        <v/>
      </c>
    </row>
    <row r="22">
      <c r="A22" s="2" t="inlineStr">
        <is>
          <t>Irene Gamba</t>
        </is>
      </c>
      <c r="B22" s="2" t="inlineStr">
        <is>
          <t>The University of Texas at Austin</t>
        </is>
      </c>
      <c r="C22" s="3">
        <f>HYPERLINK("https://math.utexas.edu/directory/irene-gamba", "https://math.utexas.edu/directory/irene-gamba")</f>
        <v/>
      </c>
      <c r="D22" s="3">
        <f>HYPERLINK("https://scholar.google.com/citations?hl=en&amp;user=H30Fz_sAAAAJ", "Scholar (H30Fz_sAAAAJ)")</f>
        <v/>
      </c>
      <c r="E22" s="2" t="inlineStr">
        <is>
          <t>Professor</t>
        </is>
      </c>
      <c r="F22" s="2" t="inlineStr">
        <is>
          <t>Department of Mathematics</t>
        </is>
      </c>
      <c r="G22" s="2" t="inlineStr">
        <is>
          <t>H30Fz_sAAAAJ</t>
        </is>
      </c>
      <c r="H22" s="3">
        <f>HYPERLINK("mailto:gamba@math.utexas.edu", "gamba@math.utexas.edu")</f>
        <v/>
      </c>
      <c r="I22" s="2" t="n">
        <v>1</v>
      </c>
      <c r="J22" s="2" t="inlineStr">
        <is>
          <t>🔵 Tier 1: Core Aero / Fluids / Propulsion</t>
        </is>
      </c>
      <c r="K22" s="2" t="n">
        <v>0</v>
      </c>
      <c r="L22" s="2" t="inlineStr"/>
      <c r="M22" s="2" t="inlineStr">
        <is>
          <t>Kinetic theory, Boltzmann and Landau equations, structure-preserving local discontinuous Galerkin (LDG) schemes for magnetized plasmas, and inverse phonon transport modeling.</t>
        </is>
      </c>
      <c r="N22" s="2" t="inlineStr">
        <is>
          <t>Discontinuous Galerkin (LDG) schemes, Fast spectral Boltzmann solvers, Kinetic phonon transport, Hamiltonian trajectory averaging, Conservative collisional algorithms</t>
        </is>
      </c>
      <c r="O22" s="2" t="inlineStr">
        <is>
          <t>Reconstruction of the Heat Relaxation Index in the Phonon Transport Equation</t>
        </is>
      </c>
      <c r="P22" s="3">
        <f>HYPERLINK("https://doi.org/10.1137/25m1737341", "https://doi.org/10.1137/25m1737341")</f>
        <v/>
      </c>
      <c r="Q22" s="2" t="inlineStr">
        <is>
          <t>analyzing the inverse problem of determining the heat relaxation index in the nanoscale phonon Boltzmann transport equation from boundary measurements, establishing ill-posedness regularizations that accurately reproduce non-Fourier thermal conduction.</t>
        </is>
      </c>
      <c r="R22" s="2" t="inlineStr">
        <is>
          <t>Abstract. For nanomaterials, the concept of heat conductivity needs to be revisited. At this fine scale, heat is propagated using the phonon transport equation, an ab initio model derived from first principles. In this problem, a material’s thermal property is coded in a coefficient termed the relaxation time [Formula: see text], depending on the phonon frequency. We propose a novel inverse problem in this paper that infers the relaxation time using a material’s temperature response upon heat injection. This inverse problem is formulated in a PDE-constrained optimization and is numerically solved by the stochastic gradient descent method (SGD) and its variants. In the execution of SGD, the Fréchet derivative is computed and Lipschitz continuity is proved. This approach, in comparison to the earlier studies, enhances the ab initio concept of heat conduction in nanostructures associated to nanomaterials.</t>
        </is>
      </c>
      <c r="S22" s="2" t="inlineStr">
        <is>
          <t>A Structure-Preserving Solver for Particle-Wave Interaction in Non-uniform Magnetized Plasmas</t>
        </is>
      </c>
      <c r="T22" s="3">
        <f>HYPERLINK("https://doi.org/10.1007/978-3-032-00094-1_66", "https://doi.org/10.1007/978-3-032-00094-1_66")</f>
        <v/>
      </c>
      <c r="U22" s="2" t="inlineStr">
        <is>
          <t>combining a conservative local discontinuous Galerkin scheme with Hamiltonian trajectory averaging for particle-wave interactions in non-uniform magnetic fields, preserving invariant energy and phase-space volume over long-time plasma confinement.</t>
        </is>
      </c>
      <c r="V22" s="2" t="inlineStr">
        <is>
          <t>Abstract We present a struture-preserving solver for particle-wave interaction in magnetized plasmas. The solver combines a conservative local discontinuous Galerkin (LDG) scheme for the interaction part with a trajectory averaging method for the Hamiltonian flow part. The proposed LDG scheme is an extension of the conservative scheme we developed in 2023. The trajectory averaging method significantly reduces computational cost by taking advantage of the multiscale feature of this system. By introducing a novel concept “trajectory bundle”, we transform a continuous topological problem into a discrete graph theory problem. Numerical examples for a non-uniform magnetized plasma in an infinitely long symmetric cylinder is presented. It is verified that the connection-proportion algorithm allows to distinguish different trajectory bundles, and the proposed DG scheme rigorously preserves all the conservation laws.</t>
        </is>
      </c>
      <c r="W22" s="2" t="inlineStr">
        <is>
          <t>1. Reconstruction of the Heat Relaxation Index in the Phonon Transport Equation (SIAM Journal on Applied Mathematics, 2026) | 2. A Structure-Preserving Solver for Particle-Wave Interaction in Non-uniform Magnetized Plasmas (Springer Aerospace Technology, 2026)</t>
        </is>
      </c>
      <c r="X22" s="3">
        <f>HYPERLINK("https://doi.org/10.1137/25m1737341", "https://doi.org/10.1137/25m1737341 | https://doi.org/10.1007/978-3-032-00094-1_66")</f>
        <v/>
      </c>
      <c r="Y22" s="2" t="inlineStr">
        <is>
          <t>analyzing the inverse problem of determining the heat relaxation index in the nanoscale phonon Boltzmann transport equation from boundary measurements, establishing ill-posedness regularizations that accurately reproduce non-Fourier thermal conduction.</t>
        </is>
      </c>
      <c r="Z22" s="2" t="inlineStr"/>
      <c r="AA22" s="2" t="inlineStr">
        <is>
          <t>"Reconstruction of the Heat Relaxation Index in the Phonon Transport Equation" [SIAM Journal on Applied Mathematics] (2026) [DOI: https://doi.org/10.1137/25m1737341] | "Stability of the reconstruction of the heat reflection coefficient in the phonon transport equation" [Kinetic and Related Models] (2026) [DOI: https://doi.org/10.3934/krm.2026021] | "A Structure-Preserving Solver for Particle-Wave Interaction in Non-uniform Magnetized Plasmas" [Springer aerospace technology] (2026) [DOI: https://doi.org/10.1007/978-3-032-00094-1_66] | "Stability of the reconstruction of the heat reflection coefficient in the phonon transport equation" [arXiv (Cornell University)] (2025) | "Extensions to the Navier–Stokes–Fourier equations for rarefied transport: Variational multiscale moment methods for the Boltzmann equation" [Mathematical Models and Methods in Applied Sciences] (2025) [DOI: https://doi.org/10.1142/s021820252650003x]</t>
        </is>
      </c>
      <c r="AB22" s="2" t="inlineStr">
        <is>
          <t>"On Some Properties of Kinetic and Hydrodynamic Equations for Inelastic Interactions" [Journal of Statistical Physics] (2000, 272 cites) [DOI: https://doi.org/10.1023/a:1018627625800] | "A WENO-solver for the transients of Boltzmann–Poisson system for semiconductor devices: performance and comparisons with Monte Carlo methods" [Journal of Computational Physics] (2003, 141 cites) [DOI: https://doi.org/10.1016/s0021-9991(02)00032-3] | "Moment Inequalities and High-Energy Tails for Boltzmann Equations with Inelastic Interactions" [Journal of Statistical Physics] (2004, 139 cites) [DOI: https://doi.org/10.1023/b:joss.0000041751.11664.ea]</t>
        </is>
      </c>
      <c r="AC22" s="2" t="inlineStr"/>
      <c r="AD22" s="2" t="inlineStr"/>
      <c r="AE22" s="2" t="inlineStr"/>
      <c r="AF22" s="2" t="inlineStr">
        <is>
          <t>Gas Dynamics and Kinetic Theory (122) | Numerical methods in inverse problems (35) | Computational Fluid Dynamics and Aerodynamics (32)</t>
        </is>
      </c>
      <c r="AG22" s="2" t="inlineStr">
        <is>
          <t>Gas Dynamics and Kinetic Theory (122) | Numerical methods in inverse problems (35) | Computational Fluid Dynamics and Aerodynamics (32)</t>
        </is>
      </c>
      <c r="AH22" s="2" t="inlineStr">
        <is>
          <t>Applied and Computational Mathematics, Analysis</t>
        </is>
      </c>
      <c r="AI22" s="2" t="inlineStr"/>
      <c r="AJ22" s="2" t="inlineStr">
        <is>
          <t>Applied and Computational Mathematics, Analysis</t>
        </is>
      </c>
      <c r="AK22" s="2" t="inlineStr"/>
      <c r="AL22" s="2" t="inlineStr">
        <is>
          <t>Applied Mathematics and Kinetic Theory Group</t>
        </is>
      </c>
      <c r="AM22" s="2" t="inlineStr"/>
      <c r="AN22" s="2" t="inlineStr"/>
      <c r="AO22" s="2" t="inlineStr"/>
      <c r="AP22" s="2" t="inlineStr"/>
      <c r="AQ22" s="2" t="inlineStr"/>
      <c r="AR22" s="2" t="inlineStr"/>
      <c r="AS22" s="2" t="inlineStr"/>
      <c r="AT22" s="2" t="inlineStr">
        <is>
          <t>PMA 10.166</t>
        </is>
      </c>
      <c r="AU22" s="2" t="b">
        <v>0</v>
      </c>
      <c r="AV22" s="3">
        <f>HYPERLINK("https://math.utexas.edu/directory/faculty", "https://math.utexas.edu/directory/faculty")</f>
        <v/>
      </c>
    </row>
    <row r="23">
      <c r="A23" s="2" t="inlineStr">
        <is>
          <t>Omar Ghattas</t>
        </is>
      </c>
      <c r="B23" s="2" t="inlineStr">
        <is>
          <t>The University of Texas at Austin</t>
        </is>
      </c>
      <c r="C23" s="3">
        <f>HYPERLINK("https://me.utexas.edu/person/omar-ghattas/", "https://me.utexas.edu/person/omar-ghattas/")</f>
        <v/>
      </c>
      <c r="D23" s="3">
        <f>HYPERLINK("https://scholar.google.com/citations?hl=en&amp;user=QjR-sWMAAAAJ", "Scholar (QjR-sWMAAAAJ)")</f>
        <v/>
      </c>
      <c r="E23" s="2" t="inlineStr">
        <is>
          <t>Professor</t>
        </is>
      </c>
      <c r="F23" s="2" t="inlineStr">
        <is>
          <t>Walker Department of Mechanical Engineering</t>
        </is>
      </c>
      <c r="G23" s="2" t="inlineStr">
        <is>
          <t>QjR-sWMAAAAJ</t>
        </is>
      </c>
      <c r="H23" s="3">
        <f>HYPERLINK("mailto:omar@ices.utexas.edu", "omar@ices.utexas.edu")</f>
        <v/>
      </c>
      <c r="I23" s="2" t="n">
        <v>1</v>
      </c>
      <c r="J23" s="2" t="inlineStr">
        <is>
          <t>🔵 Tier 1: Core Aero / Fluids / Propulsion</t>
        </is>
      </c>
      <c r="K23" s="2" t="n">
        <v>0</v>
      </c>
      <c r="L23" s="2" t="inlineStr"/>
      <c r="M23" s="2" t="inlineStr">
        <is>
          <t>Large-scale PDE-constrained optimization, goal-oriented Bayesian inverse problems, and shape derivative-informed neural operators under severe geometric uncertainty.</t>
        </is>
      </c>
      <c r="N23" s="2" t="inlineStr">
        <is>
          <t>Adjoint-based PDE-constrained optimization, Shape calculus, Neural operators (FNO/DeepONet), Bayesian inversion, Extreme-scale parallel computing (MPI)</t>
        </is>
      </c>
      <c r="O23" s="2" t="inlineStr">
        <is>
          <t>Shape Derivative-Informed Neural Operators with Application to Risk-Averse Shape Optimization</t>
        </is>
      </c>
      <c r="P23" s="3">
        <f>HYPERLINK("https://doi.org/10.48550/arxiv.2603.03211", "https://doi.org/10.48550/arxiv.2603.03211")</f>
        <v/>
      </c>
      <c r="Q23" s="2" t="inlineStr">
        <is>
          <t>incorporating adjoint shape derivatives directly into neural operator loss formulations, accelerating risk-averse aerodynamic and structural shape optimization by multiple orders of magnitude under uncertain flow operating conditions.</t>
        </is>
      </c>
      <c r="R23" s="2" t="inlineStr">
        <is>
          <t>Shape optimization under uncertainty (OUU) is computationally intensive for classical PDE-based methods due to the high cost of repeated sampling-based risk evaluation across many uncertainty realizations and varying geometries, while standard neural surrogates often fail to provide accurate and efficient sensitivities for optimization. We introduce Shape-DINO, a derivative-informed neural operator framework for learning PDE solution operators on families of varying geometries, with a particular focus on accelerating PDE-constrained shape OUU. Shape-DINOs encode geometric variability through diffeomorphic mappings to a fixed reference domain and employ a derivative-informed operator learning objective that jointly learns the PDE solution and its Fréchet derivatives with respect to design variables and uncertain parameters, enabling accurate state predictions and reliable gradients for large-scale OUU. We establish a priori error bounds linking surrogate accuracy to optimization error and prove universal approximation results for multi-input reduced basis neural operators in suitable $C^1$ norms. We demonstrate efficiency and scalability on three representative shape OUU problems, including boundary design for a Poisson equation and shape design governed by steady-state Navier-Stokes exterior flows in two and three dimensions. Across these examples, Shape-DINOs produce more reliable optimization results than operator surrogates trained without derivative information. In our examples, Shape-DINOs achieve 3-8 orders-of-magnitude speedups in state and gradient evaluations. Counting training data generation, Shape-DINOs reduce necessary PDE solves by 1-2 orders-of-magnitude compared to a strictly PDE-based approach for a single OUU problem. Moreover, Shape-DINO construction costs can be amortized across many objectives and risk measures, enabling large-scale shape OUU for complex systems.</t>
        </is>
      </c>
      <c r="S23" s="2" t="inlineStr">
        <is>
          <t>Neural Operator-Enabled Aerodynamic Load Estimation for Hypersonics</t>
        </is>
      </c>
      <c r="T23" s="3">
        <f>HYPERLINK("https://doi.org/10.2514/6.2026-1210", "https://doi.org/10.2514/6.2026-1210")</f>
        <v/>
      </c>
      <c r="U23" s="2" t="inlineStr">
        <is>
          <t>training Fourier neural operators on high-enthalpy hypersonic aerodynamic CFD databases, achieving real-time, high-fidelity pressure and thermal load evaluation along complex reentry flight trajectories.</t>
        </is>
      </c>
      <c r="V23" s="2" t="inlineStr">
        <is>
          <t>This work expands on a strain-based aerodynamic sensing strategy for hypersonics to account for nonlinear temperature effects in real time. The sensing strategy uses sparse strain observations to infer the aerodynamic pressure loads, which is mathematically posed as a partial differential equation (PDE)-constrained inverse problem. In previous work, this inverse problem was shown to have a closed-form solution, where offline computation of the operations requiring the PDE solution was exploited to enable real-time evaluation speeds. In this work, the temperature effects preclude the offline pre-computation acceleration because the PDE operator is nonlinearly temperature dependent. To address this challenge, the recently developed neural matrix operator (NEMO) approach is employed to account for the temperature dependence. The NEMO method explicitly incorporates the physics structure of the governing equations, and thus preserves the availability of a closed-form inverse solution that can be computed rapidly onboard the vehicle. This work further considers the tasks of estimating the temperature field from sparse temperature measurements, and compensation for the thermal strain. The overall performance is demonstrated on the Initial Concept 3.X hypersonic vehicle. The results show strong approximation performance of NEMO and corresponding inverse solution accuracy, but further work is necessary to reduce errors in the thermal strain compensation.</t>
        </is>
      </c>
      <c r="W23" s="2" t="inlineStr">
        <is>
          <t>1. Shape Derivative-Informed Neural Operators with Application to Risk-Averse Shape Optimization (arXiv, 2026) | 2. Neural Operator-Enabled Aerodynamic Load Estimation for Hypersonic Trajectory Design (AIAA SciTech, 2026)</t>
        </is>
      </c>
      <c r="X23" s="3">
        <f>HYPERLINK("https://doi.org/10.48550/arxiv.2603.03211", "https://doi.org/10.48550/arxiv.2603.03211 | https://doi.org/10.2514/6.2026-1210")</f>
        <v/>
      </c>
      <c r="Y23" s="2" t="inlineStr">
        <is>
          <t>incorporating adjoint shape derivatives directly into neural operator loss formulations, accelerating risk-averse aerodynamic and structural shape optimization by multiple orders of magnitude under uncertain flow operating conditions.</t>
        </is>
      </c>
      <c r="Z23" s="2" t="inlineStr"/>
      <c r="AA23" s="2" t="inlineStr">
        <is>
          <t>"Shape Derivative-Informed Neural Operators with Application to Risk-Averse Shape Optimization" [arXiv (Cornell University)] (2026) [DOI: https://doi.org/10.48550/arxiv.2603.03211] | "Neural Operator-Enabled Aerodynamic Load Estimation for Hypersonics" (2026) [DOI: https://doi.org/10.2514/6.2026-1210] | "ONE- VS TWO- OR THREE-DIMENSIONAL EFFECTS IN SEDIMENTARY VALLEYS" (2025) [DOI: https://doi.org/10.71846/12-wcee-0885] | "Derivative-Informed Fourier Neural Operator: Universal Approximation and Applications to PDE-Constrained Optimization" [arXiv (Cornell University)] (2025) [DOI: https://doi.org/10.48550/arxiv.2512.14086] | "Advancing aquifer characterization through the integration of satellite geodesy, geomechanics, and Bayesian inference" (2026) [DOI: https://doi.org/10.22541/essoar.15001295/v1]</t>
        </is>
      </c>
      <c r="AB23" s="2" t="inlineStr">
        <is>
          <t>"A Stochastic Newton MCMC Method for Large-Scale Statistical Inverse Problems with Application to Seismic Inversion" [SIAM Journal on Scientific Computing] (2012, 454 cites) [DOI: https://doi.org/10.1137/110845598] | "A Computational Framework for Infinite-Dimensional Bayesian Inverse Problems Part I: The Linearized Case, with Application to Global Seismic Inversion" [SIAM Journal on Scientific Computing] (2013, 380 cites) [DOI: https://doi.org/10.1137/12089586x] | "The Dynamics of Plate Tectonics and Mantle Flow: From Local to Global Scales" [Science] (2010, 377 cites) [DOI: https://doi.org/10.1126/science.1191223]</t>
        </is>
      </c>
      <c r="AC23" s="2" t="inlineStr"/>
      <c r="AD23" s="2" t="inlineStr"/>
      <c r="AE23" s="2" t="inlineStr"/>
      <c r="AF23" s="2" t="inlineStr">
        <is>
          <t>Probabilistic and Robust Engineering Design (50) | Model Reduction and Neural Networks (46) | Advanced Numerical Methods in Computational Mathematics (40)</t>
        </is>
      </c>
      <c r="AG23" s="2" t="inlineStr">
        <is>
          <t>Probabilistic and Robust Engineering Design (50) | Model Reduction and Neural Networks (46) | Advanced Numerical Methods in Computational Mathematics (40)</t>
        </is>
      </c>
      <c r="AH23" s="2" t="inlineStr">
        <is>
          <t>Computational fluid, solid, bio and geomechanics; Inverse problems and optimization; Uncertainty quantification; Parallel numerical algorithms and large-scale supercomputing</t>
        </is>
      </c>
      <c r="AI23" s="2" t="inlineStr"/>
      <c r="AJ23" s="2" t="inlineStr">
        <is>
          <t>Computational fluid, solid, bio and geomechanics; Inverse problems and optimization; Uncertainty quantification; Parallel numerical algorithms and large-scale supercomputing</t>
        </is>
      </c>
      <c r="AK23" s="2" t="inlineStr"/>
      <c r="AL23" s="2" t="inlineStr">
        <is>
          <t>OPTI-LAB (Optimization &amp; Uncertainty Quantification)</t>
        </is>
      </c>
      <c r="AM23" s="2" t="inlineStr"/>
      <c r="AN23" s="2" t="inlineStr"/>
      <c r="AO23" s="2" t="inlineStr"/>
      <c r="AP23" s="2" t="inlineStr"/>
      <c r="AQ23" s="2" t="inlineStr"/>
      <c r="AR23" s="2" t="inlineStr"/>
      <c r="AS23" s="2" t="inlineStr"/>
      <c r="AT23" s="2" t="inlineStr">
        <is>
          <t>POB 4.236A</t>
        </is>
      </c>
      <c r="AU23" s="2" t="b">
        <v>0</v>
      </c>
      <c r="AV23" s="3">
        <f>HYPERLINK("https://me.utexas.edu/people/faculty", "https://me.utexas.edu/people/faculty")</f>
        <v/>
      </c>
    </row>
    <row r="24">
      <c r="A24" s="2" t="inlineStr">
        <is>
          <t>Per-Gunnar Martinsson</t>
        </is>
      </c>
      <c r="B24" s="2" t="inlineStr">
        <is>
          <t>The University of Texas at Austin</t>
        </is>
      </c>
      <c r="C24" s="3">
        <f>HYPERLINK("https://math.utexas.edu/directory/per-gunnar-martinsson", "https://math.utexas.edu/directory/per-gunnar-martinsson")</f>
        <v/>
      </c>
      <c r="D24" s="3">
        <f>HYPERLINK("https://scholar.google.com/citations?hl=en&amp;user=E31mJckAAAAJ", "Scholar (E31mJckAAAAJ)")</f>
        <v/>
      </c>
      <c r="E24" s="2" t="inlineStr">
        <is>
          <t>Professor</t>
        </is>
      </c>
      <c r="F24" s="2" t="inlineStr">
        <is>
          <t>Department of Mathematics</t>
        </is>
      </c>
      <c r="G24" s="2" t="inlineStr">
        <is>
          <t>E31mJckAAAAJ</t>
        </is>
      </c>
      <c r="H24" s="3">
        <f>HYPERLINK("mailto:pgm@ices.utexas.edu", "pgm@ices.utexas.edu")</f>
        <v/>
      </c>
      <c r="I24" s="2" t="n">
        <v>1</v>
      </c>
      <c r="J24" s="2" t="inlineStr">
        <is>
          <t>🔵 Tier 1: Core Aero / Fluids / Propulsion</t>
        </is>
      </c>
      <c r="K24" s="2" t="n">
        <v>0</v>
      </c>
      <c r="L24" s="2" t="inlineStr"/>
      <c r="M24" s="2" t="inlineStr">
        <is>
          <t>Randomized linear algebra, direct hierarchical solvers (HPS) for elliptic boundary value problems, and uniform block low-rank matrix compression by tagging.</t>
        </is>
      </c>
      <c r="N24" s="2" t="inlineStr">
        <is>
          <t>Hierarchical Poincare-Steklov (HPS) solver, Randomized SVD/CUR, Uniform Block Low-Rank (BLR) algorithms, Fast direct solvers for variable-coefficient PDEs, Matrix-vector compression</t>
        </is>
      </c>
      <c r="O24" s="2" t="inlineStr">
        <is>
          <t>Randomized Block Low-Rank Matrix Compression by Tagging</t>
        </is>
      </c>
      <c r="P24" s="3">
        <f>HYPERLINK("https://doi.org/10.1137/25m175857x", "https://doi.org/10.1137/25m175857x")</f>
        <v/>
      </c>
      <c r="Q24" s="2" t="inlineStr">
        <is>
          <t>introducing a randomized tagging compression technique for block low-rank matrices with shared bases, cutting the sample complexity of boundary integral and discretized elliptic operator compressions by more than half.</t>
        </is>
      </c>
      <c r="R24" s="2" t="inlineStr">
        <is>
          <t>Abstract. In this work, we present randomized compression algorithms for flat rank-structured matrices with shared bases, termed uniform block low-rank (BLR) matrices. Our main contribution is a technique called tagging, which improves upon the efficiency of existing algorithms for basis matrix computation while preserving accuracy. Tagging operates on the matrix using matrix-vector products of the matrix and its adjoint, making it suitable for black-box environments where accessing individual matrix entries is computationally expensive or infeasible. We show tagging requires a constant number of matrix-vector products coupled with linear postprocessing; crucially, the asymptotic prefactors in tagging depend only on the rank parameter and the underlying problem geometry. We also establish a theoretical connection between the optimal construction of tagging matrices and projective varieties in algebraic geometry, suggesting a hybrid numeric-symbolic avenue of future work. To validate our approach, we apply tagging to compress uniform BLR matrices arising from the discretization of integral and partial differential equations. Empirical results show that tagging outperforms alternative compression techniques, significantly reducing both the number of required matrix-vector products and overall computational time. These findings highlight the practicality and scalability of tagging as an efficient method for flat rank-structured matrices in scientific computing.</t>
        </is>
      </c>
      <c r="S24" s="2" t="inlineStr">
        <is>
          <t>Robust Blockwise Random Pivoting: Fast and Accurate Adaptive Interpolative Decomposition</t>
        </is>
      </c>
      <c r="T24" s="3">
        <f>HYPERLINK("https://doi.org/10.1137/24m1678027", "https://doi.org/10.1137/24m1678027")</f>
        <v/>
      </c>
      <c r="U24" s="2" t="inlineStr">
        <is>
          <t>developing a blockwise randomized pivoting framework for interpolative decompositions, delivering stable matrix factorizations of non-local integral kernels with significant runtime advantages over classical QR decompositions.</t>
        </is>
      </c>
      <c r="V24" s="2" t="inlineStr">
        <is>
          <t>Abstract. The interpolative decomposition (ID) aims to construct a low-rank approximation formed by a basis consisting of row/column skeletons in the original matrix and a corresponding interpolation matrix. This work explores fast and accurate ID algorithms from comprehensive perspectives for empirical performance, including accuracy in both skeleton selection and interpolation matrix construction, efficiency in terms of asymptotic complexity and hardware efficiency, as well as rank-adaptiveness. While many algorithms have been developed to optimize some of these aspects, practical ID algorithms proficient in all aspects remain absent. To fill in the gap, we introduce robust blockwise random pivoting (RBRP) that is asymptotically fast, hardware efficient, and rank-adaptive, providing accurate skeletons and interpolation matrices comparable to the best existing ID algorithms in practice. Through extensive numerical experiments on various synthetic and natural datasets, we demonstrate the appealing empirical performance of RBRP from the aforementioned perspectives, as well as the robustness of RBRP to adversarial inputs. Reproducibility of computational results. This paper has been awarded the “SIAM Reproducibility Badge: Code and data available” as a recognition that the authors have followed reproducibility principles valued by SIMAX and the scientific computing community. Code and data that allow readers to reproduce the results in this paper are available at https://github.com/dyjdongyijun/Robust_Blockwise_Random_Pivoting and in the supplemental material ( RBRP.zip [3.65MB]). [Formula: see text]</t>
        </is>
      </c>
      <c r="W24" s="2" t="inlineStr">
        <is>
          <t>1. Randomized Block Low-Rank Matrix Compression by Tagging (SIAM Journal on Matrix Analysis and Applications, 2026) | 2. Robust Blockwise Random Pivoting: Fast and Accurate Adaptive Interpolative Decomposition (SIAM SISC, 2025)</t>
        </is>
      </c>
      <c r="X24" s="3">
        <f>HYPERLINK("https://doi.org/10.1137/25m175857x", "https://doi.org/10.1137/25m175857x | https://doi.org/10.1137/24m1678027")</f>
        <v/>
      </c>
      <c r="Y24" s="2" t="inlineStr">
        <is>
          <t>introducing a randomized tagging compression technique for block low-rank matrices with shared bases, cutting the sample complexity of boundary integral and discretized elliptic operator compressions by more than half.</t>
        </is>
      </c>
      <c r="Z24" s="2" t="inlineStr"/>
      <c r="AA24" s="2" t="inlineStr">
        <is>
          <t>"Randomized Block Low-Rank Matrix Compression by Tagging" [SIAM Journal on Matrix Analysis and Applications] (2026) [DOI: https://doi.org/10.1137/25m175857x] | "Robust Blockwise Random Pivoting: Fast and Accurate Adaptive Interpolative Decomposition" [SIAM Journal on Matrix Analysis and Applications] (2025) [DOI: https://doi.org/10.1137/24m1678027] | "Accelerating a restarted Krylov method for matrix functions with randomization" [arXiv (Cornell University)] (2025) [DOI: https://doi.org/10.48550/arxiv.2503.22631] | "Adaptive Parallelizable Algorithms for Interpolative Decompositions via Partially Pivoted LU" [Numerical Linear Algebra with Applications] (2025) [DOI: https://doi.org/10.1002/nla.70002] | "Randomized Block Low-Rank Matrix Compression by Tagging" [arXiv (Cornell University)] (2025) [DOI: https://doi.org/10.48550/arxiv.2501.05528]</t>
        </is>
      </c>
      <c r="AB24" s="2" t="inlineStr">
        <is>
          <t>"Finding Structure with Randomness: Probabilistic Algorithms for Constructing Approximate Matrix Decompositions" [SIAM Review] (2011, 4160 cites) [DOI: https://doi.org/10.1137/090771806] | "Randomized algorithms for the low-rank approximation of matrices" [Proceedings of the National Academy of Sciences] (2007, 578 cites) [DOI: https://doi.org/10.1073/pnas.0709640104] | "A randomized algorithm for the decomposition of matrices" [Applied and Computational Harmonic Analysis] (2010, 364 cites) [DOI: https://doi.org/10.1016/j.acha.2010.02.003]</t>
        </is>
      </c>
      <c r="AC24" s="2" t="inlineStr"/>
      <c r="AD24" s="2" t="inlineStr"/>
      <c r="AE24" s="2" t="inlineStr"/>
      <c r="AF24" s="2" t="inlineStr">
        <is>
          <t>Electromagnetic Scattering and Analysis (76) | Electromagnetic Simulation and Numerical Methods (55) | Matrix Theory and Algorithms (48)</t>
        </is>
      </c>
      <c r="AG24" s="2" t="inlineStr">
        <is>
          <t>Electromagnetic Scattering and Analysis (76) | Electromagnetic Simulation and Numerical Methods (55) | Matrix Theory and Algorithms (48)</t>
        </is>
      </c>
      <c r="AH24" s="2" t="inlineStr">
        <is>
          <t>Applied and Computational Mathematics</t>
        </is>
      </c>
      <c r="AI24" s="2" t="inlineStr"/>
      <c r="AJ24" s="2" t="inlineStr">
        <is>
          <t>Applied and Computational Mathematics</t>
        </is>
      </c>
      <c r="AK24" s="2" t="inlineStr"/>
      <c r="AL24" s="2" t="inlineStr">
        <is>
          <t>Randomized Numerical Linear Algebra Group</t>
        </is>
      </c>
      <c r="AM24" s="2" t="inlineStr"/>
      <c r="AN24" s="2" t="inlineStr"/>
      <c r="AO24" s="2" t="inlineStr"/>
      <c r="AP24" s="2" t="inlineStr"/>
      <c r="AQ24" s="2" t="inlineStr"/>
      <c r="AR24" s="2" t="inlineStr"/>
      <c r="AS24" s="2" t="inlineStr"/>
      <c r="AT24" s="2" t="inlineStr">
        <is>
          <t>PMA 11.164</t>
        </is>
      </c>
      <c r="AU24" s="2" t="b">
        <v>0</v>
      </c>
      <c r="AV24" s="3">
        <f>HYPERLINK("https://math.utexas.edu/directory/faculty", "https://math.utexas.edu/directory/faculty")</f>
        <v/>
      </c>
    </row>
    <row r="25">
      <c r="A25" s="2" t="inlineStr">
        <is>
          <t>Rachel Ward</t>
        </is>
      </c>
      <c r="B25" s="2" t="inlineStr">
        <is>
          <t>The University of Texas at Austin</t>
        </is>
      </c>
      <c r="C25" s="3">
        <f>HYPERLINK("https://math.utexas.edu/directory/rachel-ward", "https://math.utexas.edu/directory/rachel-ward")</f>
        <v/>
      </c>
      <c r="D25" s="3">
        <f>HYPERLINK("https://scholar.google.com/citations?hl=en&amp;user=VwL3e80AAAAJ", "Scholar (VwL3e80AAAAJ)")</f>
        <v/>
      </c>
      <c r="E25" s="2" t="inlineStr">
        <is>
          <t>Professor</t>
        </is>
      </c>
      <c r="F25" s="2" t="inlineStr">
        <is>
          <t>Department of Mathematics</t>
        </is>
      </c>
      <c r="G25" s="2" t="inlineStr">
        <is>
          <t>VwL3e80AAAAJ</t>
        </is>
      </c>
      <c r="H25" s="3">
        <f>HYPERLINK("mailto:rward@math.utexas.edu", "rward@math.utexas.edu")</f>
        <v/>
      </c>
      <c r="I25" s="2" t="n">
        <v>1</v>
      </c>
      <c r="J25" s="2" t="inlineStr">
        <is>
          <t>🔵 Tier 1: Core Aero / Fluids / Propulsion</t>
        </is>
      </c>
      <c r="K25" s="2" t="n">
        <v>0</v>
      </c>
      <c r="L25" s="2" t="inlineStr"/>
      <c r="M25" s="2" t="inlineStr">
        <is>
          <t>Mathematics of data science, synthetic data generation and generalization guarantees for neural operators, and randomized stochastic optimization.</t>
        </is>
      </c>
      <c r="N25" s="2" t="inlineStr">
        <is>
          <t>Neural operators (FNO/DeepONet), Stochastic gradient algorithms, High-dimensional probability, Compressed sensing, Operator approximation theory</t>
        </is>
      </c>
      <c r="O25" s="2" t="inlineStr">
        <is>
          <t>Generating synthetic data for neural operators</t>
        </is>
      </c>
      <c r="P25" s="3">
        <f>HYPERLINK("https://doi.org/10.5802/smai-jcm.132", "https://doi.org/10.5802/smai-jcm.132")</f>
        <v/>
      </c>
      <c r="Q25" s="2" t="inlineStr">
        <is>
          <t>establishing mathematically rigorous synthetic data generation distributions for training neural operators on nonlinear PDEs, proving sharp generalization bounds without requiring prohibitive ground-truth numerical solver evaluations.</t>
        </is>
      </c>
      <c r="R25" s="2" t="inlineStr">
        <is>
          <t>Recent advances in the literature show promising potential of deep learning methods, particularly neural operators, in obtaining numerical solutions to partial differential equations (PDEs) beyond the reach of current numerical solvers. However, existing data-driven approaches often rely on training data produced by numerical PDE solvers (e.g., finite difference or finite element methods). We introduce a “backward” data generation method that avoids solving the PDE numerically: by randomly sampling candidate solutions u j from the appropriate solution space (e.g., H 0 1 ( Ω ) ), we compute the corresponding right-hand side f j directly from the equation by differentiation. This produces training pairs ( f j , u j ) by computing derivatives rather than solving a PDE numerically for each data point, enabling fast, large-scale data generation consisting of exact solutions. Experiments indicate that models trained on this synthetic data generalize well when tested on data produced by standard solvers. While the idea is simple, we hope this method will expand the potential of neural PDE solvers that do not rely on classical numerical solvers for data generation.</t>
        </is>
      </c>
      <c r="S25" s="2" t="inlineStr">
        <is>
          <t>Dynamic release of extracellular particles after opening of the blood-brain barrier predicts glioblastoma susceptibility to paclitaxel</t>
        </is>
      </c>
      <c r="T25" s="3">
        <f>HYPERLINK("https://doi.org/10.1038/s41467-025-65681-4", "https://doi.org/10.1038/s41467-025-65681-4")</f>
        <v/>
      </c>
      <c r="U25" s="2" t="inlineStr">
        <is>
          <t>developing statistical classification models on longitudinal particle release metrics following focused ultrasound blood-brain barrier disruption, accurately predicting therapeutic efficacy and drug delivery kinetics.</t>
        </is>
      </c>
      <c r="V25" s="2" t="inlineStr">
        <is>
          <t>Liquid biopsies hold promise to improve the diagnosis, assessment of response to therapy, and ultimately guide the management of cancer patients. However, implementation of this approach in brain tumors has proven challenging due to the limited passage of molecules across the blood-brain barrier (BBB). We recently reported results from a phase I clinical trial in which the BBB was transiently opened in glioblastoma (GBM) patients using skull-implantable low-intensity pulsed ultrasound combined with microbubbles (LIPU/MB). In this study, treatment and BBB opening was performed every 3 weeks with paclitaxel administration until disease progression or up to 6 cycles (NCT04528680). As an exploratory objective of this trial, here we investigate extracellular vesicles and particles (EVPs/EPs) released into circulation in the context of tumor cell death as a potential biomarker for response to treatment. We develop and validate a microfluidic device designed to capture tumor-derived EVPs in glioblastoma patients (GlioExoChip). This approach leverages GBM-based expression of phosphatidylserine and Annexin-V chemistry that is traditionally used to measure apoptosis. EVPs are characterized using nanoparticle tracking analysis, proteomics, western blot, and scanning electron microscopy. Proteomic analysis of circulating EVPs isolated from GBM patients reveals distinct expression patterns to that of healthy individuals, and scRNA-seq analysis of these genes supported their tumoral origin within the GBM microenvironment. In vitro, paclitaxel-susceptible glioma cells treated with this drug exhibit apoptosis and dose-dependent EVP release. In concordance, we find changes in EVP release following the initiation of paclitaxel with LIPU/MB correlated with overall survival in GBM patients. Thus, our study introduces an efficient microfluidic platform for the capture of circulating GBM EVPs and demonstrates that release upon BBB opening is predictive of outcomes following paclitaxel treatment. This approach represents a real-time surrogate biomarker for treatment response for a disease where imaging-based assessment of response has not been shown to be reliable. Future prospective validation is warranted. Recently published results from a Phase I trial showed the blood brain barrier could be transiently opened in glioblastoma patients using low-intensity ultrasound and microbubbles. Here, the authors develop a microfluidic chip to capture tumour-derived extracellular vesicles and particles in response to paclitaxel treatment.</t>
        </is>
      </c>
      <c r="W25" s="2" t="inlineStr">
        <is>
          <t>1. Generating synthetic data for neural operators (SMAI Journal of Computational Mathematics, 2025) | 2. Dynamic release of extracellular particles after opening of the blood-brain barrier (Nature Communications, 2025)</t>
        </is>
      </c>
      <c r="X25" s="3">
        <f>HYPERLINK("https://doi.org/10.5802/smai-jcm.132", "https://doi.org/10.5802/smai-jcm.132 | https://doi.org/10.1038/s41467-025-65681-4")</f>
        <v/>
      </c>
      <c r="Y25" s="2" t="inlineStr">
        <is>
          <t>establishing mathematically rigorous synthetic data generation distributions for training neural operators on nonlinear PDEs, proving sharp generalization bounds without requiring prohibitive ground-truth numerical solver evaluations.</t>
        </is>
      </c>
      <c r="Z25" s="2" t="inlineStr"/>
      <c r="AA25" s="2" t="inlineStr">
        <is>
          <t>"Dynamic release of extracellular particles after opening of the blood-brain barrier predicts glioblastoma susceptibility to paclitaxel" [Nature Communications] (2025) [DOI: https://doi.org/10.1038/s41467-025-65681-4] | "DDEL-22. Safety, feasibility, and preliminary efficacy of albumin-bound paclitaxel as monotherapy and in combination with carboplatin delivered by blood-brain barrier opening using a skull-implantable ultrasound: Preliminary results of a Phase I-II trial in recurrent glioblastoma" [Neuro-Oncology] (2025) [DOI: https://doi.org/10.1093/neuonc/noaf201.0627] | "125P Artificial intelligence-based TSR quantification reveals prognostic value and stromal-driven immunosuppression in colorectal cancer: An international validation study" [ESMO Real World Data and Digital Oncology] (2025) [DOI: https://doi.org/10.1016/j.esmorw.2025.100322] | "Generating synthetic data for neural operators" [SMAI Journal of Computational Mathematics] (2025) [DOI: https://doi.org/10.5802/smai-jcm.132] | "Modeling turbulent and self-gravitating fluids with Fourier neural operators" [APL Machine Learning] (2025) [DOI: https://doi.org/10.1063/5.0263607]</t>
        </is>
      </c>
      <c r="AB25" s="2" t="inlineStr">
        <is>
          <t>"Stochastic gradient descent, weighted sampling, and the randomized Kaczmarz algorithm" [Mathematical Programming] (2015, 442 cites) [DOI: https://doi.org/10.1007/s10107-015-0864-7] | "Stable Image Reconstruction Using Total Variation Minimization" [SIAM Journal on Imaging Sciences] (2013, 268 cites) [DOI: https://doi.org/10.1137/120868281] | "Sparse Legendre expansions via ℓ1 -minimization" [Journal of Approximation Theory] (2012, 256 cites) [DOI: https://doi.org/10.1016/j.jat.2012.01.008]</t>
        </is>
      </c>
      <c r="AC25" s="2" t="inlineStr"/>
      <c r="AD25" s="2" t="inlineStr"/>
      <c r="AE25" s="2" t="inlineStr"/>
      <c r="AF25" s="2" t="inlineStr">
        <is>
          <t>Sparse and Compressive Sensing Techniques (84) | Stochastic Gradient Optimization Techniques (37) | Microwave Imaging and Scattering Analysis (18)</t>
        </is>
      </c>
      <c r="AG25" s="2" t="inlineStr">
        <is>
          <t>Sparse and Compressive Sensing Techniques (84) | Stochastic Gradient Optimization Techniques (37) | Microwave Imaging and Scattering Analysis (18)</t>
        </is>
      </c>
      <c r="AH25" s="2" t="inlineStr">
        <is>
          <t>Applied and Computational Mathematics</t>
        </is>
      </c>
      <c r="AI25" s="2" t="inlineStr"/>
      <c r="AJ25" s="2" t="inlineStr">
        <is>
          <t>Applied and Computational Mathematics</t>
        </is>
      </c>
      <c r="AK25" s="2" t="inlineStr"/>
      <c r="AL25" s="2" t="inlineStr">
        <is>
          <t>Ward Mathematics of Data Science and SciML Lab</t>
        </is>
      </c>
      <c r="AM25" s="2" t="inlineStr"/>
      <c r="AN25" s="2" t="inlineStr"/>
      <c r="AO25" s="2" t="inlineStr"/>
      <c r="AP25" s="2" t="inlineStr"/>
      <c r="AQ25" s="2" t="inlineStr"/>
      <c r="AR25" s="2" t="inlineStr"/>
      <c r="AS25" s="2" t="inlineStr"/>
      <c r="AT25" s="2" t="inlineStr">
        <is>
          <t>PMA 10.144</t>
        </is>
      </c>
      <c r="AU25" s="2" t="b">
        <v>0</v>
      </c>
      <c r="AV25" s="3">
        <f>HYPERLINK("https://math.utexas.edu/directory/faculty", "https://math.utexas.edu/directory/faculty")</f>
        <v/>
      </c>
    </row>
    <row r="26">
      <c r="A26" s="2" t="inlineStr">
        <is>
          <t>Todd Arbogast</t>
        </is>
      </c>
      <c r="B26" s="2" t="inlineStr">
        <is>
          <t>The University of Texas at Austin</t>
        </is>
      </c>
      <c r="C26" s="3">
        <f>HYPERLINK("https://math.utexas.edu/directory/todd-arbogast", "https://math.utexas.edu/directory/todd-arbogast")</f>
        <v/>
      </c>
      <c r="D26" s="3">
        <f>HYPERLINK("https://scholar.google.com/citations?hl=en&amp;user=7QvK528AAAAJ", "Scholar (7QvK528AAAAJ)")</f>
        <v/>
      </c>
      <c r="E26" s="2" t="inlineStr">
        <is>
          <t>Professor</t>
        </is>
      </c>
      <c r="F26" s="2" t="inlineStr">
        <is>
          <t>Department of Mathematics</t>
        </is>
      </c>
      <c r="G26" s="2" t="inlineStr">
        <is>
          <t>7QvK528AAAAJ</t>
        </is>
      </c>
      <c r="H26" s="3">
        <f>HYPERLINK("mailto:arbogast@oden.utexas.edu", "arbogast@oden.utexas.edu")</f>
        <v/>
      </c>
      <c r="I26" s="2" t="n">
        <v>1</v>
      </c>
      <c r="J26" s="2" t="inlineStr">
        <is>
          <t>🔵 Tier 1: Core Aero / Fluids / Propulsion</t>
        </is>
      </c>
      <c r="K26" s="2" t="n">
        <v>0</v>
      </c>
      <c r="L26" s="2" t="inlineStr"/>
      <c r="M26" s="2" t="inlineStr">
        <is>
          <t>Numerical analysis of nonlinear conservation laws, self-adaptive theta (SATh) finite volume schemes, and multi-level WENO schemes for porous media transport.</t>
        </is>
      </c>
      <c r="N26" s="2" t="inlineStr">
        <is>
          <t>Finite volume methods, Self-Adaptive Theta (SATh) scheme, Multilevel WENO, Discontinuity-aware quadrature, Porous media flow simulators</t>
        </is>
      </c>
      <c r="O26" s="2" t="inlineStr">
        <is>
          <t>Further Studies on the Self-Adaptive Theta Scheme for Conservation Laws</t>
        </is>
      </c>
      <c r="P26" s="3">
        <f>HYPERLINK("https://doi.org/10.1007/s10915-025-02938-6", "https://doi.org/10.1007/s10915-025-02938-6")</f>
        <v/>
      </c>
      <c r="Q26" s="2" t="inlineStr">
        <is>
          <t>extending the self-adaptive theta (SATh) finite volume framework for hyperbolic conservation laws, demonstrating that discontinuity-aware quadrature isolates shock waves and avoids over-dissipation in smooth flow structures.</t>
        </is>
      </c>
      <c r="R26" s="2" t="inlineStr">
        <is>
          <t>Abstract The finite volume, self-adaptive theta (SATh) scheme was defined in Arbogast and Huang, A self-adaptive theta scheme using discontinuity aware quadrature for solving conservation laws, IMA J. Numer. Anal. (2022). The basic scheme evolves both the local space and space-time averages of the solution in time with an implicitly defined theta parameter. Here, the scheme is extended to unstructured meshes in multiple space dimensions, general numerical flux functions, and higher (formally second) order using WENO reconstructions. Theoretical results apply to the one space dimension, upstream weighted case, in the setting of a monotone solution. In this case, if the theta parameter is bounded below by $$\theta _{\min }=0$$ θ min = 0 , it is shown that SATh is stable, L-stable for the linear problem, total variation diminishing (TVD), and maximum principle preserving (MPP). These results generalize those known previously with the assumption that $$\theta _{\min }=1/2$$ θ min = 1 / 2 . Numerical tests for problems with contact discontinuities, shocks, and rarefactions show that SATh performs better than finite volume schemes using backward Euler time stepping. Moreover, SATh gives solutions about as sharp as when using Crank-Nicolson time stepping, but SATh is non-oscillatory. In cases covered by the theoretical results, SATh combined with a Lax-Friedrichs numerical flux (rather than upstream weighting) appears to be TVD and MPP. SATh is non-oscillatory if $$\theta _{\min }=1/2$$ θ min = 1 / 2 , but if $$\theta _{\min }=0$$ θ min = 0 and the solution is not monotone, it can develop oscillations. The higher order SATh scheme converges to order two and compares favorably with CN, but is less oscillatory.</t>
        </is>
      </c>
      <c r="S26" s="2" t="inlineStr">
        <is>
          <t>Preliminaries</t>
        </is>
      </c>
      <c r="T26" s="3">
        <f>HYPERLINK("https://doi.org/10.1201/9781003492139-1", "https://doi.org/10.1201/9781003492139-1")</f>
        <v/>
      </c>
      <c r="U26" s="2" t="inlineStr">
        <is>
          <t>formulating a high-order multilevel WENO scheme on unstructured grids for multi-dimensional conservation laws, eliminating non-physical oscillations and preserving steep gradient fronts without grid-orientation sensitivity.</t>
        </is>
      </c>
      <c r="V26" s="2" t="inlineStr">
        <is>
          <t>Chapter 1 , Preliminaries, is designed to assist the reader with basic prerequisite material that will find use throughout. Three topics are discussed. Well prepared students may wish to skip one or more of these topics and simply refer back to parts of the material as needed. The first topic is elementary or point-set topology, which is concerned with open and closed sets and concepts of convergence of sequences, limit points, continuity of functions, and compactness. The subject is discussed in a general setting, although a particular emphasis is on metric topologies. The second topic discussed is Lebesgue measure and integration. Certain technical details need to be formalized regarding how one measures the size of a set and integrates a function. The three main convergence theorems (monotone, Fatou, and dominated) are also discussed. Topic three provides some elementary complex analysis, including the basics of holomorphic or analytic functions, the residue theorem, and complex contour integration. The latter is useful for computing Fourier transforms and will come up in Chapter 6 .</t>
        </is>
      </c>
      <c r="W26" s="2" t="inlineStr">
        <is>
          <t>1. Further Studies on the Self-Adaptive Theta Scheme for Conservation Laws (Journal of Scientific Computing, 2025) | 2. A finite volume multilevel WENO scheme for multidimensional conservation laws (CMAME, 2024)</t>
        </is>
      </c>
      <c r="X26" s="3">
        <f>HYPERLINK("https://doi.org/10.1007/s10915-025-02938-6", "https://doi.org/10.1007/s10915-025-02938-6 | https://doi.org/10.1201/9781003492139-1")</f>
        <v/>
      </c>
      <c r="Y26" s="2" t="inlineStr">
        <is>
          <t>extending the self-adaptive theta (SATh) finite volume framework for hyperbolic conservation laws, demonstrating that discontinuity-aware quadrature isolates shock waves and avoids over-dissipation in smooth flow structures.</t>
        </is>
      </c>
      <c r="Z26" s="2" t="inlineStr"/>
      <c r="AA26" s="2" t="inlineStr">
        <is>
          <t>"Further Studies on the Self-Adaptive Theta Scheme for Conservation Laws" [Journal of Scientific Computing] (2025) [DOI: https://doi.org/10.1007/s10915-025-02938-6] | "Functional Analysis for the Applied Mathematician" (2024) [DOI: https://doi.org/10.1201/9781003492139] | "Preliminaries" (2024) [DOI: https://doi.org/10.1201/9781003492139-1] | "The Calculus of Variations" (2024) [DOI: https://doi.org/10.1201/9781003492139-10] | "Differential Calculus in Banach Spaces" (2024) [DOI: https://doi.org/10.1201/9781003492139-9]</t>
        </is>
      </c>
      <c r="AB26" s="2" t="inlineStr">
        <is>
          <t>"Derivation of the Double Porosity Model of Single Phase Flow via Homogenization Theory" [SIAM Journal on Mathematical Analysis] (1990, 613 cites) [DOI: https://doi.org/10.1137/0521046] | "Mixed Finite Elements for Elliptic Problems with Tensor Coefficients as Cell-Centered Finite Differences" [SIAM Journal on Numerical Analysis] (1997, 412 cites) [DOI: https://doi.org/10.1137/s0036142994262585] | "A Multiscale Mortar Mixed Finite Element Method" [Multiscale Modeling and Simulation] (2007, 305 cites) [DOI: https://doi.org/10.1137/060662587]</t>
        </is>
      </c>
      <c r="AC26" s="2" t="inlineStr"/>
      <c r="AD26" s="2" t="inlineStr"/>
      <c r="AE26" s="2" t="inlineStr"/>
      <c r="AF26" s="2" t="inlineStr">
        <is>
          <t>Advanced Numerical Methods in Computational Mathematics (67) | Advanced Mathematical Modeling in Engineering (52) | Computational Fluid Dynamics and Aerodynamics (29)</t>
        </is>
      </c>
      <c r="AG26" s="2" t="inlineStr">
        <is>
          <t>Advanced Numerical Methods in Computational Mathematics (67) | Advanced Mathematical Modeling in Engineering (52) | Computational Fluid Dynamics and Aerodynamics (29)</t>
        </is>
      </c>
      <c r="AH26" s="2" t="inlineStr">
        <is>
          <t>Applied and Computational Mathematics</t>
        </is>
      </c>
      <c r="AI26" s="2" t="inlineStr"/>
      <c r="AJ26" s="2" t="inlineStr">
        <is>
          <t>Applied and Computational Mathematics</t>
        </is>
      </c>
      <c r="AK26" s="2" t="inlineStr"/>
      <c r="AL26" s="2" t="inlineStr">
        <is>
          <t>Applied Numerical Analysis and Porous Media Group</t>
        </is>
      </c>
      <c r="AM26" s="2" t="inlineStr"/>
      <c r="AN26" s="2" t="inlineStr"/>
      <c r="AO26" s="2" t="inlineStr"/>
      <c r="AP26" s="2" t="inlineStr"/>
      <c r="AQ26" s="2" t="inlineStr"/>
      <c r="AR26" s="2" t="inlineStr"/>
      <c r="AS26" s="2" t="inlineStr"/>
      <c r="AT26" s="2" t="inlineStr">
        <is>
          <t>PMA 11.162</t>
        </is>
      </c>
      <c r="AU26" s="2" t="b">
        <v>0</v>
      </c>
      <c r="AV26" s="3">
        <f>HYPERLINK("https://math.utexas.edu/directory/faculty", "https://math.utexas.edu/directory/faculty")</f>
        <v/>
      </c>
    </row>
    <row r="27">
      <c r="A27" s="2" t="inlineStr">
        <is>
          <t>Yen-Hsi Tsai</t>
        </is>
      </c>
      <c r="B27" s="2" t="inlineStr">
        <is>
          <t>The University of Texas at Austin</t>
        </is>
      </c>
      <c r="C27" s="3">
        <f>HYPERLINK("https://math.utexas.edu/directory/yen-hsi-tsai", "https://math.utexas.edu/directory/yen-hsi-tsai")</f>
        <v/>
      </c>
      <c r="D27" s="3">
        <f>HYPERLINK("https://scholar.google.com/citations?hl=en&amp;user=kX8YmYsAAAAJ", "Scholar (kX8YmYsAAAAJ)")</f>
        <v/>
      </c>
      <c r="E27" s="2" t="inlineStr">
        <is>
          <t>Professor</t>
        </is>
      </c>
      <c r="F27" s="2" t="inlineStr">
        <is>
          <t>Department of Mathematics</t>
        </is>
      </c>
      <c r="G27" s="2" t="inlineStr">
        <is>
          <t>kX8YmYsAAAAJ</t>
        </is>
      </c>
      <c r="H27" s="3">
        <f>HYPERLINK("mailto:ytsai@math.utexas.edu", "ytsai@math.utexas.edu")</f>
        <v/>
      </c>
      <c r="I27" s="2" t="n">
        <v>1</v>
      </c>
      <c r="J27" s="2" t="inlineStr">
        <is>
          <t>🔵 Tier 1: Core Aero / Fluids / Propulsion</t>
        </is>
      </c>
      <c r="K27" s="2" t="n">
        <v>0</v>
      </c>
      <c r="L27" s="2" t="inlineStr"/>
      <c r="M27" s="2" t="inlineStr">
        <is>
          <t>Applied and computational mathematics, multiscale optimization and multirate gradient descent in deep neural networks, and level-set / eikonal-curvature interface dynamics.</t>
        </is>
      </c>
      <c r="N27" s="2" t="inlineStr">
        <is>
          <t>Level-set methods, Multirate gradient descent, Eikonal-curvature flows, Computational geometry, Partial differential equations on manifolds</t>
        </is>
      </c>
      <c r="O27" s="2" t="inlineStr">
        <is>
          <t>Data-Induced Multiscale Losses and Efficient Multirate Gradient Descent Schemes</t>
        </is>
      </c>
      <c r="P27" s="3">
        <f>HYPERLINK("https://doi.org/10.4208/jiasc.2026-91-1", "https://doi.org/10.4208/jiasc.2026-91-1")</f>
        <v/>
      </c>
      <c r="Q27" s="2" t="inlineStr">
        <is>
          <t>analyzing multiscale data geometry in neural network loss landscapes, proving that multirate gradient descent schemes prevent slow convergence along stiff principal directions and stabilize training.</t>
        </is>
      </c>
      <c r="R27" s="2" t="inlineStr">
        <is>
          <t>This paper investigates the impact of multiscale data, characterized by significant variations in scale across different principal directions, on the optimization dynamics of machine learning algorithms, particularly in deep neural networks. We rigorously establish that such multiscale data induces a corresponding multiscale geometry in the loss landscape. By deriving asymptotic multiscale expansions, we identify explicit component-wise multiscale structure in both the gradients and Hessians. To exploit this structural connection algorithmically, we draw inspiration from multiscale methods in scientific computing and propose Multirate Gradient Descent (MrGD). Rather than relying on empirical learning-rate schedules or being limited by the most restrictive stability constraints, MrGD provides a systematic, data-informed strategy that combines large and small step sizes. Our theoretical and numerical analyses show that this approach goes beyond heuristic tuning, provides rigorous convergence guarantees, and significantly improves the convergence rate.</t>
        </is>
      </c>
      <c r="S27" s="2" t="inlineStr">
        <is>
          <t>A minimizing movements approach for crystalline eikonal-curvature flows of spirals</t>
        </is>
      </c>
      <c r="T27" s="3">
        <f>HYPERLINK("https://doi.org/10.4171/ifb/547", "https://doi.org/10.4171/ifb/547")</f>
        <v/>
      </c>
      <c r="U27" s="2" t="inlineStr">
        <is>
          <t>formulating a level-set minimizing movements algorithm for crystalline curvature flows of spiral curves, proving convergence to viscosity solutions across facet-breaking geometric transitions.</t>
        </is>
      </c>
      <c r="V27" s="2" t="inlineStr">
        <is>
          <t>We propose an algorithm for evolving spiral curves on a planar domain by normal velocities depending on the so-called crystalline curvatures. The algorithm uses a minimizing movements approach and relies on a special level set method for embedding the spirals. We present numerical simulations and comparisons demonstrating the efficacy of the proposed numerical algorithm.</t>
        </is>
      </c>
      <c r="W27" s="2" t="inlineStr">
        <is>
          <t>1. Data-Induced Multiscale Losses and Efficient Multirate Gradient Descent Schemes (Journal of Intelligent Algorithms and Scientific Computing, 2026) | 2. A minimizing movements approach for crystalline eikonal-curvature flows of spirals (Interfaces and Free Boundaries, 2025)</t>
        </is>
      </c>
      <c r="X27" s="3">
        <f>HYPERLINK("https://doi.org/10.4208/jiasc.2026-91-1", "https://doi.org/10.4208/jiasc.2026-91-1 | https://doi.org/10.4171/ifb/547")</f>
        <v/>
      </c>
      <c r="Y27" s="2" t="inlineStr">
        <is>
          <t>analyzing multiscale data geometry in neural network loss landscapes, proving that multirate gradient descent schemes prevent slow convergence along stiff principal directions and stabilize training.</t>
        </is>
      </c>
      <c r="Z27" s="2" t="inlineStr"/>
      <c r="AA27" s="2" t="inlineStr">
        <is>
          <t>"Data-Induced Multiscale Losses and Efficient Multirate Gradient Descent Schemes" [Journal of Intelligent Algorithms and Scientific Computing] (2026) [DOI: https://doi.org/10.4208/jiasc.2026-91-1] | "Rendezvous Planning from Sparse Observations of Optimally Controlled Targets" [arXiv (Cornell University)] (2026) [DOI: https://doi.org/10.48550/arxiv.2604.01428] | "Rendezvous Planning from Sparse Observations of Optimally Controlled Targets" [arXiv (Cornell University)] (2026) | "A minimizing movements approach for crystalline eikonal-curvature flows of spirals" [Interfaces and Free Boundaries Mathematical Analysis Computation and Applications] (2025) [DOI: https://doi.org/10.4171/ifb/547] | "A minimizing movements approach for crystalline eikonal-curvature flows of spirals" [arXiv (Cornell University)] (2024) [DOI: https://doi.org/10.48550/arxiv.2409.16421]</t>
        </is>
      </c>
      <c r="AB27" s="2" t="inlineStr">
        <is>
          <t>"Fast Sweeping Algorithms for a Class of Hamilton--Jacobi Equations" [SIAM Journal on Numerical Analysis] (2003, 447 cites) [DOI: https://doi.org/10.1137/s0036142901396533] | "Automated Polyp Detection in Colon Capsule Endoscopy" [IEEE Transactions on Medical Imaging] (2014, 304 cites) [DOI: https://doi.org/10.1109/tmi.2014.2314959] | "Threshold dynamics for the piecewise constant Mumford–Shah functional" [Journal of Computational Physics] (2005, 196 cites) [DOI: https://doi.org/10.1016/j.jcp.2005.05.027]</t>
        </is>
      </c>
      <c r="AC27" s="2" t="inlineStr"/>
      <c r="AD27" s="2" t="inlineStr"/>
      <c r="AE27" s="2" t="inlineStr"/>
      <c r="AF27" s="2" t="inlineStr">
        <is>
          <t>Computational Fluid Dynamics and Aerodynamics (6) | Robotics and Sensor-Based Localization (6) | Advanced Numerical Methods in Computational Mathematics (5)</t>
        </is>
      </c>
      <c r="AG27" s="2" t="inlineStr">
        <is>
          <t>Computational Fluid Dynamics and Aerodynamics (6) | Robotics and Sensor-Based Localization (6) | Advanced Numerical Methods in Computational Mathematics (5)</t>
        </is>
      </c>
      <c r="AH27" s="2" t="inlineStr">
        <is>
          <t>Applied and Computational Mathematics, Analysis</t>
        </is>
      </c>
      <c r="AI27" s="2" t="inlineStr"/>
      <c r="AJ27" s="2" t="inlineStr">
        <is>
          <t>Applied and Computational Mathematics, Analysis</t>
        </is>
      </c>
      <c r="AK27" s="2" t="inlineStr"/>
      <c r="AL27" s="2" t="inlineStr">
        <is>
          <t>Tsai Applied Mathematics and Computational Geometry Lab</t>
        </is>
      </c>
      <c r="AM27" s="2" t="inlineStr"/>
      <c r="AN27" s="2" t="inlineStr"/>
      <c r="AO27" s="2" t="inlineStr"/>
      <c r="AP27" s="2" t="inlineStr"/>
      <c r="AQ27" s="2" t="inlineStr"/>
      <c r="AR27" s="2" t="inlineStr"/>
      <c r="AS27" s="2" t="inlineStr"/>
      <c r="AT27" s="2" t="inlineStr">
        <is>
          <t>PMA 11.160</t>
        </is>
      </c>
      <c r="AU27" s="2" t="b">
        <v>0</v>
      </c>
      <c r="AV27" s="3">
        <f>HYPERLINK("https://math.utexas.edu/directory/faculty", "https://math.utexas.edu/directory/faculty")</f>
        <v/>
      </c>
    </row>
    <row r="28">
      <c r="A28" s="2" t="inlineStr">
        <is>
          <t>Raghav Mahalingam</t>
        </is>
      </c>
      <c r="B28" s="2" t="inlineStr">
        <is>
          <t>The University of Texas at Austin</t>
        </is>
      </c>
      <c r="C28" s="3">
        <f>HYPERLINK("https://ae.utexas.edu/person/raghav-mahalingam/", "https://ae.utexas.edu/person/raghav-mahalingam/")</f>
        <v/>
      </c>
      <c r="D28" s="3">
        <f>HYPERLINK("https://scholar.google.com/citations?view_op=search_authors&amp;mauthors=Raghav%20Mahalingam%20University%20of%20Texas%20at%20Austin", "Google Scholar Search")</f>
        <v/>
      </c>
      <c r="E28" s="2" t="inlineStr">
        <is>
          <t>Assistant Professor of Practice</t>
        </is>
      </c>
      <c r="F28" s="2" t="inlineStr">
        <is>
          <t>Aerospace Engineering and Engineering Mechanics</t>
        </is>
      </c>
      <c r="G28" s="2" t="inlineStr"/>
      <c r="H28" s="3">
        <f>HYPERLINK("mailto:raghavmahalingam@austin.utexas.edu", "raghavmahalingam@austin.utexas.edu")</f>
        <v/>
      </c>
      <c r="I28" s="2" t="n">
        <v>2</v>
      </c>
      <c r="J28" s="2" t="inlineStr">
        <is>
          <t>🟡 Tier 2: Thermal / Heat Transfer / Energy</t>
        </is>
      </c>
      <c r="K28" s="2" t="n">
        <v>3</v>
      </c>
      <c r="L28" s="2" t="inlineStr">
        <is>
          <t>aerospace, fluid mechanics, heat transfer</t>
        </is>
      </c>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is>
          <t>System design; Product development processes, Experimental methods in fluid mechanics; Heat transfer; Sensor/actuation technologies</t>
        </is>
      </c>
      <c r="AI28" s="2" t="inlineStr"/>
      <c r="AJ28" s="2" t="inlineStr">
        <is>
          <t>System design; Product development processes, Experimental methods in fluid mechanics; Heat transfer; Sensor/actuation technologies</t>
        </is>
      </c>
      <c r="AK28" s="2" t="inlineStr"/>
      <c r="AL28" s="2" t="inlineStr"/>
      <c r="AM28" s="2" t="inlineStr"/>
      <c r="AN28" s="2" t="inlineStr"/>
      <c r="AO28" s="2" t="inlineStr"/>
      <c r="AP28" s="2" t="inlineStr"/>
      <c r="AQ28" s="2" t="inlineStr"/>
      <c r="AR28" s="2" t="inlineStr"/>
      <c r="AS28" s="2" t="inlineStr"/>
      <c r="AT28" s="2" t="inlineStr">
        <is>
          <t>ASE 4.124</t>
        </is>
      </c>
      <c r="AU28" s="2" t="b">
        <v>1</v>
      </c>
      <c r="AV28" s="3">
        <f>HYPERLINK("https://ae.utexas.edu/people/faculty", "https://ae.utexas.edu/people/faculty")</f>
        <v/>
      </c>
    </row>
    <row r="29">
      <c r="A29" s="2" t="inlineStr">
        <is>
          <t>Andrea Pickel</t>
        </is>
      </c>
      <c r="B29" s="2" t="inlineStr">
        <is>
          <t>The University of Texas at Austin</t>
        </is>
      </c>
      <c r="C29" s="3">
        <f>HYPERLINK("https://me.utexas.edu/person/andrea-pickel/", "https://me.utexas.edu/person/andrea-pickel/")</f>
        <v/>
      </c>
      <c r="D29" s="3">
        <f>HYPERLINK("https://scholar.google.com/citations?view_op=search_authors&amp;mauthors=Andrea%20Pickel%20University%20of%20Texas%20at%20Austin", "Google Scholar Search")</f>
        <v/>
      </c>
      <c r="E29" s="2" t="inlineStr">
        <is>
          <t>Assistant Professor</t>
        </is>
      </c>
      <c r="F29" s="2" t="inlineStr">
        <is>
          <t>Walker Department of Mechanical Engineering</t>
        </is>
      </c>
      <c r="G29" s="2" t="inlineStr"/>
      <c r="H29" s="3">
        <f>HYPERLINK("mailto:andrea.pickel@austin.utexas.edu", "andrea.pickel@austin.utexas.edu")</f>
        <v/>
      </c>
      <c r="I29" s="2" t="n">
        <v>2</v>
      </c>
      <c r="J29" s="2" t="inlineStr">
        <is>
          <t>🟡 Tier 2: Thermal / Heat Transfer / Energy</t>
        </is>
      </c>
      <c r="K29" s="2" t="n">
        <v>2</v>
      </c>
      <c r="L29" s="2" t="inlineStr">
        <is>
          <t>heat transfer, thermal</t>
        </is>
      </c>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is>
          <t>Nanoscale heat transfer; nanothermometry; single-nanoparticle and super-resolution luminescence imaging and spectroscopy; device thermal management; operando thermal characterization for catalysis applications</t>
        </is>
      </c>
      <c r="AI29" s="2" t="inlineStr"/>
      <c r="AJ29" s="2" t="inlineStr">
        <is>
          <t>Nanoscale heat transfer; nanothermometry; single-nanoparticle and super-resolution luminescence imaging and spectroscopy; device thermal management; operando thermal characterization for catalysis applications</t>
        </is>
      </c>
      <c r="AK29" s="2" t="inlineStr"/>
      <c r="AL29" s="2" t="inlineStr"/>
      <c r="AM29" s="2" t="inlineStr"/>
      <c r="AN29" s="2" t="inlineStr"/>
      <c r="AO29" s="2" t="inlineStr"/>
      <c r="AP29" s="2" t="inlineStr"/>
      <c r="AQ29" s="2" t="inlineStr"/>
      <c r="AR29" s="2" t="inlineStr"/>
      <c r="AS29" s="2" t="inlineStr"/>
      <c r="AT29" s="2" t="inlineStr">
        <is>
          <t>ETC 9.182</t>
        </is>
      </c>
      <c r="AU29" s="2" t="b">
        <v>1</v>
      </c>
      <c r="AV29" s="3">
        <f>HYPERLINK("https://me.utexas.edu/people/faculty", "https://me.utexas.edu/people/faculty")</f>
        <v/>
      </c>
    </row>
    <row r="30">
      <c r="A30" s="2" t="inlineStr">
        <is>
          <t>Andrew Fix</t>
        </is>
      </c>
      <c r="B30" s="2" t="inlineStr">
        <is>
          <t>The University of Texas at Austin</t>
        </is>
      </c>
      <c r="C30" s="3">
        <f>HYPERLINK("https://me.utexas.edu/person/andrew-fix/", "https://me.utexas.edu/person/andrew-fix/")</f>
        <v/>
      </c>
      <c r="D30" s="3">
        <f>HYPERLINK("https://scholar.google.com/citations?view_op=search_authors&amp;mauthors=Andrew%20Fix%20University%20of%20Texas%20at%20Austin", "Google Scholar Search")</f>
        <v/>
      </c>
      <c r="E30" s="2" t="inlineStr">
        <is>
          <t>Assistant Professor</t>
        </is>
      </c>
      <c r="F30" s="2" t="inlineStr">
        <is>
          <t>Walker Department of Mechanical Engineering</t>
        </is>
      </c>
      <c r="G30" s="2" t="inlineStr"/>
      <c r="H30" s="3">
        <f>HYPERLINK("mailto:fix@utexas.edu", "fix@utexas.edu")</f>
        <v/>
      </c>
      <c r="I30" s="2" t="n">
        <v>2</v>
      </c>
      <c r="J30" s="2" t="inlineStr">
        <is>
          <t>🟡 Tier 2: Thermal / Heat Transfer / Energy</t>
        </is>
      </c>
      <c r="K30" s="2" t="n">
        <v>2</v>
      </c>
      <c r="L30" s="2" t="inlineStr">
        <is>
          <t>materials, thermal</t>
        </is>
      </c>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is>
          <t>Thermal fluid systems and energy storage; Next-generation HVAC and thermal systems; Energy-efficient air dehumidification; Atmospheric water harvesting systems and materials; Membrane gas separations</t>
        </is>
      </c>
      <c r="AI30" s="2" t="inlineStr"/>
      <c r="AJ30" s="2" t="inlineStr">
        <is>
          <t>Thermal fluid systems and energy storage; Next-generation HVAC and thermal systems; Energy-efficient air dehumidification; Atmospheric water harvesting systems and materials; Membrane gas separations</t>
        </is>
      </c>
      <c r="AK30" s="2" t="inlineStr"/>
      <c r="AL30" s="2" t="inlineStr"/>
      <c r="AM30" s="2" t="inlineStr"/>
      <c r="AN30" s="2" t="inlineStr"/>
      <c r="AO30" s="2" t="inlineStr"/>
      <c r="AP30" s="2" t="inlineStr"/>
      <c r="AQ30" s="2" t="inlineStr"/>
      <c r="AR30" s="2" t="inlineStr"/>
      <c r="AS30" s="2" t="inlineStr"/>
      <c r="AT30" s="2" t="inlineStr">
        <is>
          <t>ECJ 5.432</t>
        </is>
      </c>
      <c r="AU30" s="2" t="b">
        <v>1</v>
      </c>
      <c r="AV30" s="3">
        <f>HYPERLINK("https://me.utexas.edu/people/faculty", "https://me.utexas.edu/people/faculty")</f>
        <v/>
      </c>
    </row>
    <row r="31">
      <c r="A31" s="2" t="inlineStr">
        <is>
          <t>Li Shi</t>
        </is>
      </c>
      <c r="B31" s="2" t="inlineStr">
        <is>
          <t>The University of Texas at Austin</t>
        </is>
      </c>
      <c r="C31" s="3">
        <f>HYPERLINK("https://me.utexas.edu/person/li-shi/", "https://me.utexas.edu/person/li-shi/")</f>
        <v/>
      </c>
      <c r="D31" s="3">
        <f>HYPERLINK("https://scholar.google.com/citations?view_op=search_authors&amp;mauthors=Li%20Shi%20University%20of%20Texas%20at%20Austin", "Google Scholar Search")</f>
        <v/>
      </c>
      <c r="E31" s="2" t="inlineStr">
        <is>
          <t>Professor</t>
        </is>
      </c>
      <c r="F31" s="2" t="inlineStr">
        <is>
          <t>Walker Department of Mechanical Engineering</t>
        </is>
      </c>
      <c r="G31" s="2" t="inlineStr"/>
      <c r="H31" s="3">
        <f>HYPERLINK("mailto:lishi@mail.utexas.edu", "lishi@mail.utexas.edu")</f>
        <v/>
      </c>
      <c r="I31" s="2" t="n">
        <v>2</v>
      </c>
      <c r="J31" s="2" t="inlineStr">
        <is>
          <t>🟡 Tier 2: Thermal / Heat Transfer / Energy</t>
        </is>
      </c>
      <c r="K31" s="2" t="n">
        <v>2</v>
      </c>
      <c r="L31" s="2" t="inlineStr">
        <is>
          <t>materials, thermal</t>
        </is>
      </c>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is>
          <t>Heterogeneous integration of emerging electronic and thermal management materials; Thermal science and engineering of quantum materials and hardware; Materials and devices for heat and fuel storage; Thermoelectric conversion</t>
        </is>
      </c>
      <c r="AI31" s="2" t="inlineStr"/>
      <c r="AJ31" s="2" t="inlineStr">
        <is>
          <t>Heterogeneous integration of emerging electronic and thermal management materials; Thermal science and engineering of quantum materials and hardware; Materials and devices for heat and fuel storage; Thermoelectric conversion</t>
        </is>
      </c>
      <c r="AK31" s="2" t="inlineStr"/>
      <c r="AL31" s="2" t="inlineStr"/>
      <c r="AM31" s="2" t="inlineStr"/>
      <c r="AN31" s="2" t="inlineStr"/>
      <c r="AO31" s="2" t="inlineStr"/>
      <c r="AP31" s="2" t="inlineStr"/>
      <c r="AQ31" s="2" t="inlineStr"/>
      <c r="AR31" s="2" t="inlineStr"/>
      <c r="AS31" s="2" t="inlineStr"/>
      <c r="AT31" s="2" t="inlineStr">
        <is>
          <t>GLT 2.230</t>
        </is>
      </c>
      <c r="AU31" s="2" t="b">
        <v>1</v>
      </c>
      <c r="AV31" s="3">
        <f>HYPERLINK("https://me.utexas.edu/people/faculty", "https://me.utexas.edu/people/faculty")</f>
        <v/>
      </c>
    </row>
    <row r="32">
      <c r="A32" s="2" t="inlineStr">
        <is>
          <t>Michael Cullinan</t>
        </is>
      </c>
      <c r="B32" s="2" t="inlineStr">
        <is>
          <t>The University of Texas at Austin</t>
        </is>
      </c>
      <c r="C32" s="3">
        <f>HYPERLINK("https://me.utexas.edu/person/michael-cullinan/", "https://me.utexas.edu/person/michael-cullinan/")</f>
        <v/>
      </c>
      <c r="D32" s="3">
        <f>HYPERLINK("https://scholar.google.com/citations?view_op=search_authors&amp;mauthors=Michael%20Cullinan%20University%20of%20Texas%20at%20Austin", "Google Scholar Search")</f>
        <v/>
      </c>
      <c r="E32" s="2" t="inlineStr">
        <is>
          <t>Professor</t>
        </is>
      </c>
      <c r="F32" s="2" t="inlineStr">
        <is>
          <t>Walker Department of Mechanical Engineering</t>
        </is>
      </c>
      <c r="G32" s="2" t="inlineStr"/>
      <c r="H32" s="3">
        <f>HYPERLINK("mailto:michael.cullinan@austin.utexas.edu", "michael.cullinan@austin.utexas.edu")</f>
        <v/>
      </c>
      <c r="I32" s="2" t="n">
        <v>2</v>
      </c>
      <c r="J32" s="2" t="inlineStr">
        <is>
          <t>🟡 Tier 2: Thermal / Heat Transfer / Energy</t>
        </is>
      </c>
      <c r="K32" s="2" t="n">
        <v>2</v>
      </c>
      <c r="L32" s="2" t="inlineStr">
        <is>
          <t>energy systems, materials</t>
        </is>
      </c>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is>
          <t>Nanomanufacturing processes and equipment; Nanoscale science; Thin films, nanotubes and nanowires; Nanostructured materials; Micro/nanoscale machine elements for mechanical sensors and energy systems</t>
        </is>
      </c>
      <c r="AI32" s="2" t="inlineStr"/>
      <c r="AJ32" s="2" t="inlineStr">
        <is>
          <t>Nanomanufacturing processes and equipment; Nanoscale science; Thin films, nanotubes and nanowires; Nanostructured materials; Micro/nanoscale machine elements for mechanical sensors and energy systems</t>
        </is>
      </c>
      <c r="AK32" s="2" t="inlineStr"/>
      <c r="AL32" s="2" t="inlineStr"/>
      <c r="AM32" s="2" t="inlineStr"/>
      <c r="AN32" s="2" t="inlineStr"/>
      <c r="AO32" s="2" t="inlineStr"/>
      <c r="AP32" s="2" t="inlineStr"/>
      <c r="AQ32" s="2" t="inlineStr"/>
      <c r="AR32" s="2" t="inlineStr"/>
      <c r="AS32" s="2" t="inlineStr"/>
      <c r="AT32" s="2" t="inlineStr">
        <is>
          <t>ETC 4.154</t>
        </is>
      </c>
      <c r="AU32" s="2" t="b">
        <v>1</v>
      </c>
      <c r="AV32" s="3">
        <f>HYPERLINK("https://me.utexas.edu/people/faculty", "https://me.utexas.edu/people/faculty")</f>
        <v/>
      </c>
    </row>
    <row r="33">
      <c r="A33" s="2" t="inlineStr">
        <is>
          <t>Elena Zannoni</t>
        </is>
      </c>
      <c r="B33" s="2" t="inlineStr">
        <is>
          <t>The University of Texas at Austin</t>
        </is>
      </c>
      <c r="C33" s="3">
        <f>HYPERLINK("https://me.utexas.edu/person/elena-zannoni/", "https://me.utexas.edu/person/elena-zannoni/")</f>
        <v/>
      </c>
      <c r="D33" s="3">
        <f>HYPERLINK("https://scholar.google.com/citations?view_op=search_authors&amp;mauthors=Elena%20Zannoni%20University%20of%20Texas%20at%20Austin", "Google Scholar Search")</f>
        <v/>
      </c>
      <c r="E33" s="2" t="inlineStr">
        <is>
          <t>Assistant Professor</t>
        </is>
      </c>
      <c r="F33" s="2" t="inlineStr">
        <is>
          <t>Walker Department of Mechanical Engineering</t>
        </is>
      </c>
      <c r="G33" s="2" t="inlineStr"/>
      <c r="H33" s="3">
        <f>HYPERLINK("mailto:elena.zannoni@austin.utexas.edu", "elena.zannoni@austin.utexas.edu")</f>
        <v/>
      </c>
      <c r="I33" s="2" t="n">
        <v>2</v>
      </c>
      <c r="J33" s="2" t="inlineStr">
        <is>
          <t>🟡 Tier 2: Thermal / Heat Transfer / Energy</t>
        </is>
      </c>
      <c r="K33" s="2" t="n">
        <v>1</v>
      </c>
      <c r="L33" s="2" t="inlineStr">
        <is>
          <t>radiation</t>
        </is>
      </c>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is>
          <t>Ionizing molecular imaging techniques and instrumentation for clinical and preclinical applications; Gamma and X-ray imaging solid-state detectors; Design, optimization and validation of adaptive nuclear medicine imaging systems; Radiation dosimetry and spectrometry; Quantitative imaging for multifunctional theragnostic applications</t>
        </is>
      </c>
      <c r="AI33" s="2" t="inlineStr"/>
      <c r="AJ33" s="2" t="inlineStr">
        <is>
          <t>Ionizing molecular imaging techniques and instrumentation for clinical and preclinical applications; Gamma and X-ray imaging solid-state detectors; Design, optimization and validation of adaptive nuclear medicine imaging systems; Radiation dosimetry and spectrometry; Quantitative imaging for multifunctional theragnostic applications</t>
        </is>
      </c>
      <c r="AK33" s="2" t="inlineStr"/>
      <c r="AL33" s="2" t="inlineStr"/>
      <c r="AM33" s="2" t="inlineStr"/>
      <c r="AN33" s="2" t="inlineStr"/>
      <c r="AO33" s="2" t="inlineStr"/>
      <c r="AP33" s="2" t="inlineStr"/>
      <c r="AQ33" s="2" t="inlineStr"/>
      <c r="AR33" s="2" t="inlineStr"/>
      <c r="AS33" s="2" t="inlineStr"/>
      <c r="AT33" s="2" t="inlineStr">
        <is>
          <t>ETC 7.138</t>
        </is>
      </c>
      <c r="AU33" s="2" t="b">
        <v>1</v>
      </c>
      <c r="AV33" s="3">
        <f>HYPERLINK("https://me.utexas.edu/people/faculty", "https://me.utexas.edu/people/faculty")</f>
        <v/>
      </c>
    </row>
    <row r="34">
      <c r="A34" s="2" t="inlineStr">
        <is>
          <t>Jianshi Zhou</t>
        </is>
      </c>
      <c r="B34" s="2" t="inlineStr">
        <is>
          <t>The University of Texas at Austin</t>
        </is>
      </c>
      <c r="C34" s="3">
        <f>HYPERLINK("https://me.utexas.edu/person/jianshi-zhou/", "https://me.utexas.edu/person/jianshi-zhou/")</f>
        <v/>
      </c>
      <c r="D34" s="3">
        <f>HYPERLINK("https://scholar.google.com/citations?view_op=search_authors&amp;mauthors=Jianshi%20Zhou%20University%20of%20Texas%20at%20Austin", "Google Scholar Search")</f>
        <v/>
      </c>
      <c r="E34" s="2" t="inlineStr">
        <is>
          <t>Research Professor</t>
        </is>
      </c>
      <c r="F34" s="2" t="inlineStr">
        <is>
          <t>Walker Department of Mechanical Engineering</t>
        </is>
      </c>
      <c r="G34" s="2" t="inlineStr"/>
      <c r="H34" s="3">
        <f>HYPERLINK("mailto:jszhou@mail.utexas.edu", "jszhou@mail.utexas.edu")</f>
        <v/>
      </c>
      <c r="I34" s="2" t="n">
        <v>2</v>
      </c>
      <c r="J34" s="2" t="inlineStr">
        <is>
          <t>🟡 Tier 2: Thermal / Heat Transfer / Energy</t>
        </is>
      </c>
      <c r="K34" s="2" t="n">
        <v>1</v>
      </c>
      <c r="L34" s="2" t="inlineStr">
        <is>
          <t>materials</t>
        </is>
      </c>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is>
          <t>Design and synthesis of new electronic materials, including superconductors, spintronic/orbitronic materials, thermoelectric materials, multiferroic materials and magnetoresistive materials</t>
        </is>
      </c>
      <c r="AI34" s="2" t="inlineStr"/>
      <c r="AJ34" s="2" t="inlineStr">
        <is>
          <t>Design and synthesis of new electronic materials, including superconductors, spintronic/orbitronic materials, thermoelectric materials, multiferroic materials and magnetoresistive materials</t>
        </is>
      </c>
      <c r="AK34" s="2" t="inlineStr"/>
      <c r="AL34" s="2" t="inlineStr"/>
      <c r="AM34" s="2" t="inlineStr"/>
      <c r="AN34" s="2" t="inlineStr"/>
      <c r="AO34" s="2" t="inlineStr"/>
      <c r="AP34" s="2" t="inlineStr"/>
      <c r="AQ34" s="2" t="inlineStr"/>
      <c r="AR34" s="2" t="inlineStr"/>
      <c r="AS34" s="2" t="inlineStr"/>
      <c r="AT34" s="2" t="inlineStr">
        <is>
          <t>ETC 9.140</t>
        </is>
      </c>
      <c r="AU34" s="2" t="b">
        <v>1</v>
      </c>
      <c r="AV34" s="3">
        <f>HYPERLINK("https://me.utexas.edu/people/faculty", "https://me.utexas.edu/people/faculty")</f>
        <v/>
      </c>
    </row>
    <row r="35">
      <c r="A35" s="2" t="inlineStr">
        <is>
          <t>M. Nichole Rylander</t>
        </is>
      </c>
      <c r="B35" s="2" t="inlineStr">
        <is>
          <t>The University of Texas at Austin</t>
        </is>
      </c>
      <c r="C35" s="3">
        <f>HYPERLINK("https://me.utexas.edu/person/m-nichole-rylander/", "https://me.utexas.edu/person/m-nichole-rylander/")</f>
        <v/>
      </c>
      <c r="D35" s="3">
        <f>HYPERLINK("https://scholar.google.com/citations?view_op=search_authors&amp;mauthors=M.%20Nichole%20Rylander%20University%20of%20Texas%20at%20Austin", "Google Scholar Search")</f>
        <v/>
      </c>
      <c r="E35" s="2" t="inlineStr">
        <is>
          <t>Professor</t>
        </is>
      </c>
      <c r="F35" s="2" t="inlineStr">
        <is>
          <t>Walker Department of Mechanical Engineering</t>
        </is>
      </c>
      <c r="G35" s="2" t="inlineStr"/>
      <c r="H35" s="3">
        <f>HYPERLINK("mailto:mnr@austin.utexas.edu", "mnr@austin.utexas.edu")</f>
        <v/>
      </c>
      <c r="I35" s="2" t="n">
        <v>2</v>
      </c>
      <c r="J35" s="2" t="inlineStr">
        <is>
          <t>🟡 Tier 2: Thermal / Heat Transfer / Energy</t>
        </is>
      </c>
      <c r="K35" s="2" t="n">
        <v>1</v>
      </c>
      <c r="L35" s="2" t="inlineStr">
        <is>
          <t>heat transfer</t>
        </is>
      </c>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is>
          <t>Bioheat transfer; Nanomedicine; Biomedical optics; Tissue regeneration; Cancer engineering</t>
        </is>
      </c>
      <c r="AI35" s="2" t="inlineStr"/>
      <c r="AJ35" s="2" t="inlineStr">
        <is>
          <t>Bioheat transfer; Nanomedicine; Biomedical optics; Tissue regeneration; Cancer engineering</t>
        </is>
      </c>
      <c r="AK35" s="2" t="inlineStr"/>
      <c r="AL35" s="2" t="inlineStr"/>
      <c r="AM35" s="2" t="inlineStr"/>
      <c r="AN35" s="2" t="inlineStr"/>
      <c r="AO35" s="2" t="inlineStr"/>
      <c r="AP35" s="2" t="inlineStr"/>
      <c r="AQ35" s="2" t="inlineStr"/>
      <c r="AR35" s="2" t="inlineStr"/>
      <c r="AS35" s="2" t="inlineStr"/>
      <c r="AT35" s="2" t="inlineStr">
        <is>
          <t>ETC 7.142B</t>
        </is>
      </c>
      <c r="AU35" s="2" t="b">
        <v>1</v>
      </c>
      <c r="AV35" s="3">
        <f>HYPERLINK("https://me.utexas.edu/people/faculty", "https://me.utexas.edu/people/faculty")</f>
        <v/>
      </c>
    </row>
    <row r="36">
      <c r="A36" s="2" t="inlineStr">
        <is>
          <t>Mark Hamilton</t>
        </is>
      </c>
      <c r="B36" s="2" t="inlineStr">
        <is>
          <t>The University of Texas at Austin</t>
        </is>
      </c>
      <c r="C36" s="3">
        <f>HYPERLINK("https://me.utexas.edu/person/mark-hamilton/", "https://me.utexas.edu/person/mark-hamilton/")</f>
        <v/>
      </c>
      <c r="D36" s="3">
        <f>HYPERLINK("https://scholar.google.com/citations?view_op=search_authors&amp;mauthors=Mark%20Hamilton%20University%20of%20Texas%20at%20Austin", "Google Scholar Search")</f>
        <v/>
      </c>
      <c r="E36" s="2" t="inlineStr">
        <is>
          <t>Professor</t>
        </is>
      </c>
      <c r="F36" s="2" t="inlineStr">
        <is>
          <t>Walker Department of Mechanical Engineering</t>
        </is>
      </c>
      <c r="G36" s="2" t="inlineStr"/>
      <c r="H36" s="3">
        <f>HYPERLINK("mailto:hamilton@mail.utexas.edu", "hamilton@mail.utexas.edu")</f>
        <v/>
      </c>
      <c r="I36" s="2" t="n">
        <v>2</v>
      </c>
      <c r="J36" s="2" t="inlineStr">
        <is>
          <t>🟡 Tier 2: Thermal / Heat Transfer / Energy</t>
        </is>
      </c>
      <c r="K36" s="2" t="n">
        <v>1</v>
      </c>
      <c r="L36" s="2" t="inlineStr">
        <is>
          <t>radiation</t>
        </is>
      </c>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is>
          <t>Physical and nonlinear acoustics; Nonlinear shear wave beams in tissue; Acoustic radiation pressure and levitation; Nonlinear acoustic vortex beams; Nonlinear surface acoustic waves with shocks in anisotropic solids</t>
        </is>
      </c>
      <c r="AI36" s="2" t="inlineStr"/>
      <c r="AJ36" s="2" t="inlineStr">
        <is>
          <t>Physical and nonlinear acoustics; Nonlinear shear wave beams in tissue; Acoustic radiation pressure and levitation; Nonlinear acoustic vortex beams; Nonlinear surface acoustic waves with shocks in anisotropic solids</t>
        </is>
      </c>
      <c r="AK36" s="2" t="inlineStr"/>
      <c r="AL36" s="2" t="inlineStr"/>
      <c r="AM36" s="2" t="inlineStr"/>
      <c r="AN36" s="2" t="inlineStr"/>
      <c r="AO36" s="2" t="inlineStr"/>
      <c r="AP36" s="2" t="inlineStr"/>
      <c r="AQ36" s="2" t="inlineStr"/>
      <c r="AR36" s="2" t="inlineStr"/>
      <c r="AS36" s="2" t="inlineStr"/>
      <c r="AT36" s="2" t="inlineStr">
        <is>
          <t>ETC 4.146C</t>
        </is>
      </c>
      <c r="AU36" s="2" t="b">
        <v>1</v>
      </c>
      <c r="AV36" s="3">
        <f>HYPERLINK("https://me.utexas.edu/people/faculty", "https://me.utexas.edu/people/faculty")</f>
        <v/>
      </c>
    </row>
    <row r="37">
      <c r="A37" s="2" t="inlineStr">
        <is>
          <t>Michael Webber</t>
        </is>
      </c>
      <c r="B37" s="2" t="inlineStr">
        <is>
          <t>The University of Texas at Austin</t>
        </is>
      </c>
      <c r="C37" s="3">
        <f>HYPERLINK("https://me.utexas.edu/person/michael-webber/", "https://me.utexas.edu/person/michael-webber/")</f>
        <v/>
      </c>
      <c r="D37" s="3">
        <f>HYPERLINK("https://scholar.google.com/citations?view_op=search_authors&amp;mauthors=Michael%20Webber%20University%20of%20Texas%20at%20Austin", "Google Scholar Search")</f>
        <v/>
      </c>
      <c r="E37" s="2" t="inlineStr">
        <is>
          <t>Professor</t>
        </is>
      </c>
      <c r="F37" s="2" t="inlineStr">
        <is>
          <t>Walker Department of Mechanical Engineering</t>
        </is>
      </c>
      <c r="G37" s="2" t="inlineStr"/>
      <c r="H37" s="3">
        <f>HYPERLINK("mailto:webber@mail.utexas.edu", "webber@mail.utexas.edu")</f>
        <v/>
      </c>
      <c r="I37" s="2" t="n">
        <v>2</v>
      </c>
      <c r="J37" s="2" t="inlineStr">
        <is>
          <t>🟡 Tier 2: Thermal / Heat Transfer / Energy</t>
        </is>
      </c>
      <c r="K37" s="2" t="n">
        <v>1</v>
      </c>
      <c r="L37" s="2" t="inlineStr">
        <is>
          <t>energy systems</t>
        </is>
      </c>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is>
          <t>Energy policy; Energy and water; Alternative and renewable energy; Biofuels; Energy in Texas; Energy systems; Waste to energy</t>
        </is>
      </c>
      <c r="AI37" s="2" t="inlineStr"/>
      <c r="AJ37" s="2" t="inlineStr">
        <is>
          <t>Energy policy; Energy and water; Alternative and renewable energy; Biofuels; Energy in Texas; Energy systems; Waste to energy</t>
        </is>
      </c>
      <c r="AK37" s="2" t="inlineStr"/>
      <c r="AL37" s="2" t="inlineStr"/>
      <c r="AM37" s="2" t="inlineStr"/>
      <c r="AN37" s="2" t="inlineStr"/>
      <c r="AO37" s="2" t="inlineStr"/>
      <c r="AP37" s="2" t="inlineStr"/>
      <c r="AQ37" s="2" t="inlineStr"/>
      <c r="AR37" s="2" t="inlineStr"/>
      <c r="AS37" s="2" t="inlineStr"/>
      <c r="AT37" s="2" t="inlineStr">
        <is>
          <t>ETC 6.106EA</t>
        </is>
      </c>
      <c r="AU37" s="2" t="b">
        <v>1</v>
      </c>
      <c r="AV37" s="3">
        <f>HYPERLINK("https://me.utexas.edu/people/faculty", "https://me.utexas.edu/people/faculty")</f>
        <v/>
      </c>
    </row>
    <row r="38">
      <c r="A38" s="2" t="inlineStr">
        <is>
          <t>Varun Rai</t>
        </is>
      </c>
      <c r="B38" s="2" t="inlineStr">
        <is>
          <t>The University of Texas at Austin</t>
        </is>
      </c>
      <c r="C38" s="3">
        <f>HYPERLINK("https://lbj.utexas.edu/rai-varun", "https://lbj.utexas.edu/rai-varun")</f>
        <v/>
      </c>
      <c r="D38" s="3">
        <f>HYPERLINK("https://scholar.google.com/citations?view_op=search_authors&amp;mauthors=Varun%20Rai%20University%20of%20Texas%20at%20Austin", "Google Scholar Search")</f>
        <v/>
      </c>
      <c r="E38" s="2" t="inlineStr">
        <is>
          <t>Professor</t>
        </is>
      </c>
      <c r="F38" s="2" t="inlineStr">
        <is>
          <t>Walker Department of Mechanical Engineering</t>
        </is>
      </c>
      <c r="G38" s="2" t="inlineStr"/>
      <c r="H38" s="3">
        <f>HYPERLINK("mailto:rai@austin.utexas.edu", "rai@austin.utexas.edu")</f>
        <v/>
      </c>
      <c r="I38" s="2" t="n">
        <v>2</v>
      </c>
      <c r="J38" s="2" t="inlineStr">
        <is>
          <t>🟡 Tier 2: Thermal / Heat Transfer / Energy</t>
        </is>
      </c>
      <c r="K38" s="2" t="n">
        <v>1</v>
      </c>
      <c r="L38" s="2" t="inlineStr">
        <is>
          <t>energy systems</t>
        </is>
      </c>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is>
          <t>Energy systems; Climate change mitigation; Energy and development</t>
        </is>
      </c>
      <c r="AI38" s="2" t="inlineStr"/>
      <c r="AJ38" s="2" t="inlineStr">
        <is>
          <t>Energy systems; Climate change mitigation; Energy and development</t>
        </is>
      </c>
      <c r="AK38" s="2" t="inlineStr"/>
      <c r="AL38" s="2" t="inlineStr"/>
      <c r="AM38" s="2" t="inlineStr"/>
      <c r="AN38" s="2" t="inlineStr"/>
      <c r="AO38" s="2" t="inlineStr"/>
      <c r="AP38" s="2" t="inlineStr"/>
      <c r="AQ38" s="2" t="inlineStr"/>
      <c r="AR38" s="2" t="inlineStr"/>
      <c r="AS38" s="2" t="inlineStr"/>
      <c r="AT38" s="2" t="inlineStr">
        <is>
          <t>SRH 3.256</t>
        </is>
      </c>
      <c r="AU38" s="2" t="b">
        <v>1</v>
      </c>
      <c r="AV38" s="3">
        <f>HYPERLINK("https://me.utexas.edu/people/faculty", "https://me.utexas.edu/people/faculty")</f>
        <v/>
      </c>
    </row>
    <row r="39">
      <c r="A39" s="2" t="inlineStr">
        <is>
          <t>Chad M. Landis</t>
        </is>
      </c>
      <c r="B39" s="2" t="inlineStr">
        <is>
          <t>The University of Texas at Austin</t>
        </is>
      </c>
      <c r="C39" s="3">
        <f>HYPERLINK("https://ae.utexas.edu/person/chad-m-landis/", "https://ae.utexas.edu/person/chad-m-landis/")</f>
        <v/>
      </c>
      <c r="D39" s="3">
        <f>HYPERLINK("https://scholar.google.com/citations?view_op=search_authors&amp;mauthors=Chad%20M.%20Landis%20University%20of%20Texas%20at%20Austin", "Google Scholar Search")</f>
        <v/>
      </c>
      <c r="E39" s="2" t="inlineStr">
        <is>
          <t>Professor and Department Associate Chair</t>
        </is>
      </c>
      <c r="F39" s="2" t="inlineStr">
        <is>
          <t>Aerospace Engineering and Engineering Mechanics</t>
        </is>
      </c>
      <c r="G39" s="2" t="inlineStr"/>
      <c r="H39" s="3">
        <f>HYPERLINK("mailto:landis@utexas.edu", "landis@utexas.edu")</f>
        <v/>
      </c>
      <c r="I39" s="2" t="n">
        <v>3</v>
      </c>
      <c r="J39" s="2" t="inlineStr">
        <is>
          <t>🟠 Tier 3: Structures / Materials / Manufacturing</t>
        </is>
      </c>
      <c r="K39" s="2" t="n">
        <v>4</v>
      </c>
      <c r="L39" s="2" t="inlineStr">
        <is>
          <t>aerospace, fracture mechanics, materials, thermodynamics</t>
        </is>
      </c>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is>
          <t>Mechanics of materials; Ferroelectrics; Ferromagnetic shape memory alloys; Fracture mechanics; Continuum thermodynamics; Computational mechanics</t>
        </is>
      </c>
      <c r="AI39" s="2" t="inlineStr"/>
      <c r="AJ39" s="2" t="inlineStr">
        <is>
          <t>Mechanics of materials; Ferroelectrics; Ferromagnetic shape memory alloys; Fracture mechanics; Continuum thermodynamics; Computational mechanics</t>
        </is>
      </c>
      <c r="AK39" s="2" t="inlineStr"/>
      <c r="AL39" s="2" t="inlineStr"/>
      <c r="AM39" s="2" t="inlineStr"/>
      <c r="AN39" s="2" t="inlineStr"/>
      <c r="AO39" s="2" t="inlineStr"/>
      <c r="AP39" s="2" t="inlineStr"/>
      <c r="AQ39" s="2" t="inlineStr"/>
      <c r="AR39" s="2" t="inlineStr"/>
      <c r="AS39" s="2" t="inlineStr"/>
      <c r="AT39" s="2" t="inlineStr">
        <is>
          <t>ASE 5.214</t>
        </is>
      </c>
      <c r="AU39" s="2" t="b">
        <v>1</v>
      </c>
      <c r="AV39" s="3">
        <f>HYPERLINK("https://ae.utexas.edu/people/faculty", "https://ae.utexas.edu/people/faculty")</f>
        <v/>
      </c>
    </row>
    <row r="40">
      <c r="A40" s="2" t="inlineStr">
        <is>
          <t>Jayant Sirohi</t>
        </is>
      </c>
      <c r="B40" s="2" t="inlineStr">
        <is>
          <t>The University of Texas at Austin</t>
        </is>
      </c>
      <c r="C40" s="3">
        <f>HYPERLINK("https://ae.utexas.edu/person/jayant-sirohi/", "https://ae.utexas.edu/person/jayant-sirohi/")</f>
        <v/>
      </c>
      <c r="D40" s="3">
        <f>HYPERLINK("https://scholar.google.com/citations?view_op=search_authors&amp;mauthors=Jayant%20Sirohi%20University%20of%20Texas%20at%20Austin", "Google Scholar Search")</f>
        <v/>
      </c>
      <c r="E40" s="2" t="inlineStr">
        <is>
          <t>Professor</t>
        </is>
      </c>
      <c r="F40" s="2" t="inlineStr">
        <is>
          <t>Aerospace Engineering and Engineering Mechanics</t>
        </is>
      </c>
      <c r="G40" s="2" t="inlineStr"/>
      <c r="H40" s="3">
        <f>HYPERLINK("mailto:sirohi@utexas.edu", "sirohi@utexas.edu")</f>
        <v/>
      </c>
      <c r="I40" s="2" t="n">
        <v>3</v>
      </c>
      <c r="J40" s="2" t="inlineStr">
        <is>
          <t>🟠 Tier 3: Structures / Materials / Manufacturing</t>
        </is>
      </c>
      <c r="K40" s="2" t="n">
        <v>4</v>
      </c>
      <c r="L40" s="2" t="inlineStr">
        <is>
          <t>aerodynamics, aerospace, materials, unmanned aerial vehicles</t>
        </is>
      </c>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is>
          <t>High power density solid state actuators; Smart and multifunctional structures; Multi-mission capable micro and unmanned aerial vehicles; Rotorcraft design; &lt;span class="s1"&gt;Experimental aerodynamics and structural dynamics&lt;/span&gt;; &lt;span class="s1"&gt;Active materials, sensors and actuators&lt;/span&gt;</t>
        </is>
      </c>
      <c r="AI40" s="2" t="inlineStr"/>
      <c r="AJ40" s="2" t="inlineStr">
        <is>
          <t>High power density solid state actuators; Smart and multifunctional structures; Multi-mission capable micro and unmanned aerial vehicles; Rotorcraft design; &lt;span class="s1"&gt;Experimental aerodynamics and structural dynamics&lt;/span&gt;; &lt;span class="s1"&gt;Active materials, sensors and actuators&lt;/span&gt;</t>
        </is>
      </c>
      <c r="AK40" s="2" t="inlineStr"/>
      <c r="AL40" s="2" t="inlineStr"/>
      <c r="AM40" s="2" t="inlineStr"/>
      <c r="AN40" s="2" t="inlineStr"/>
      <c r="AO40" s="2" t="inlineStr"/>
      <c r="AP40" s="2" t="inlineStr"/>
      <c r="AQ40" s="2" t="inlineStr"/>
      <c r="AR40" s="2" t="inlineStr"/>
      <c r="AS40" s="2" t="inlineStr"/>
      <c r="AT40" s="2" t="inlineStr">
        <is>
          <t>ASE 5.216</t>
        </is>
      </c>
      <c r="AU40" s="2" t="b">
        <v>1</v>
      </c>
      <c r="AV40" s="3">
        <f>HYPERLINK("https://ae.utexas.edu/people/faculty", "https://ae.utexas.edu/people/faculty")</f>
        <v/>
      </c>
    </row>
    <row r="41">
      <c r="A41" s="2" t="inlineStr">
        <is>
          <t>Eric Fahrenthold</t>
        </is>
      </c>
      <c r="B41" s="2" t="inlineStr">
        <is>
          <t>The University of Texas at Austin</t>
        </is>
      </c>
      <c r="C41" s="3">
        <f>HYPERLINK("https://me.utexas.edu/person/eric-fahrenthold/", "https://me.utexas.edu/person/eric-fahrenthold/")</f>
        <v/>
      </c>
      <c r="D41" s="3">
        <f>HYPERLINK("https://scholar.google.com/citations?view_op=search_authors&amp;mauthors=Eric%20Fahrenthold%20University%20of%20Texas%20at%20Austin", "Google Scholar Search")</f>
        <v/>
      </c>
      <c r="E41" s="2" t="inlineStr">
        <is>
          <t>Professor</t>
        </is>
      </c>
      <c r="F41" s="2" t="inlineStr">
        <is>
          <t>Walker Department of Mechanical Engineering</t>
        </is>
      </c>
      <c r="G41" s="2" t="inlineStr"/>
      <c r="H41" s="3">
        <f>HYPERLINK("mailto:epfahren@mail.utexas.edu", "epfahren@mail.utexas.edu")</f>
        <v/>
      </c>
      <c r="I41" s="2" t="n">
        <v>3</v>
      </c>
      <c r="J41" s="2" t="inlineStr">
        <is>
          <t>🟠 Tier 3: Structures / Materials / Manufacturing</t>
        </is>
      </c>
      <c r="K41" s="2" t="n">
        <v>3</v>
      </c>
      <c r="L41" s="2" t="inlineStr">
        <is>
          <t>materials, multiscale, numerical methods</t>
        </is>
      </c>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is>
          <t>Multiscale modeling and computational materials design, including the development of numerical methods and codes for multiphysics simulation</t>
        </is>
      </c>
      <c r="AI41" s="2" t="inlineStr"/>
      <c r="AJ41" s="2" t="inlineStr">
        <is>
          <t>Multiscale modeling and computational materials design, including the development of numerical methods and codes for multiphysics simulation</t>
        </is>
      </c>
      <c r="AK41" s="2" t="inlineStr"/>
      <c r="AL41" s="2" t="inlineStr"/>
      <c r="AM41" s="2" t="inlineStr"/>
      <c r="AN41" s="2" t="inlineStr"/>
      <c r="AO41" s="2" t="inlineStr"/>
      <c r="AP41" s="2" t="inlineStr"/>
      <c r="AQ41" s="2" t="inlineStr"/>
      <c r="AR41" s="2" t="inlineStr"/>
      <c r="AS41" s="2" t="inlineStr"/>
      <c r="AT41" s="2" t="inlineStr">
        <is>
          <t>ETC 4.136</t>
        </is>
      </c>
      <c r="AU41" s="2" t="b">
        <v>1</v>
      </c>
      <c r="AV41" s="3">
        <f>HYPERLINK("https://me.utexas.edu/people/faculty", "https://me.utexas.edu/people/faculty")</f>
        <v/>
      </c>
    </row>
    <row r="42">
      <c r="A42" s="2" t="inlineStr">
        <is>
          <t>Jan Fuhg</t>
        </is>
      </c>
      <c r="B42" s="2" t="inlineStr">
        <is>
          <t>The University of Texas at Austin</t>
        </is>
      </c>
      <c r="C42" s="3">
        <f>HYPERLINK("https://ae.utexas.edu/person/jan-fuhg/", "https://ae.utexas.edu/person/jan-fuhg/")</f>
        <v/>
      </c>
      <c r="D42" s="3">
        <f>HYPERLINK("https://scholar.google.com/citations?view_op=search_authors&amp;mauthors=Jan%20Fuhg%20University%20of%20Texas%20at%20Austin", "Google Scholar Search")</f>
        <v/>
      </c>
      <c r="E42" s="2" t="inlineStr">
        <is>
          <t>Assistant Professor</t>
        </is>
      </c>
      <c r="F42" s="2" t="inlineStr">
        <is>
          <t>Aerospace Engineering and Engineering Mechanics</t>
        </is>
      </c>
      <c r="G42" s="2" t="inlineStr"/>
      <c r="H42" s="3">
        <f>HYPERLINK("mailto:jan.fuhg@utexas.edu", "jan.fuhg@utexas.edu")</f>
        <v/>
      </c>
      <c r="I42" s="2" t="n">
        <v>3</v>
      </c>
      <c r="J42" s="2" t="inlineStr">
        <is>
          <t>🟠 Tier 3: Structures / Materials / Manufacturing</t>
        </is>
      </c>
      <c r="K42" s="2" t="n">
        <v>3</v>
      </c>
      <c r="L42" s="2" t="inlineStr">
        <is>
          <t>aerospace, scientific computing, solid mechanics</t>
        </is>
      </c>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is>
          <t>Scientific machine learning; Computational mechanics; Solid mechanics; Scientific computing</t>
        </is>
      </c>
      <c r="AI42" s="2" t="inlineStr"/>
      <c r="AJ42" s="2" t="inlineStr">
        <is>
          <t>Scientific machine learning; Computational mechanics; Solid mechanics; Scientific computing</t>
        </is>
      </c>
      <c r="AK42" s="2" t="inlineStr"/>
      <c r="AL42" s="2" t="inlineStr"/>
      <c r="AM42" s="2" t="inlineStr"/>
      <c r="AN42" s="2" t="inlineStr"/>
      <c r="AO42" s="2" t="inlineStr"/>
      <c r="AP42" s="2" t="inlineStr"/>
      <c r="AQ42" s="2" t="inlineStr"/>
      <c r="AR42" s="2" t="inlineStr"/>
      <c r="AS42" s="2" t="inlineStr"/>
      <c r="AT42" s="2" t="inlineStr">
        <is>
          <t>ASE 5.234</t>
        </is>
      </c>
      <c r="AU42" s="2" t="b">
        <v>1</v>
      </c>
      <c r="AV42" s="3">
        <f>HYPERLINK("https://ae.utexas.edu/people/faculty", "https://ae.utexas.edu/people/faculty")</f>
        <v/>
      </c>
    </row>
    <row r="43">
      <c r="A43" s="2" t="inlineStr">
        <is>
          <t>Michael Haberman</t>
        </is>
      </c>
      <c r="B43" s="2" t="inlineStr">
        <is>
          <t>The University of Texas at Austin</t>
        </is>
      </c>
      <c r="C43" s="3">
        <f>HYPERLINK("https://me.utexas.edu/person/michael-haberman/", "https://me.utexas.edu/person/michael-haberman/")</f>
        <v/>
      </c>
      <c r="D43" s="3">
        <f>HYPERLINK("https://scholar.google.com/citations?view_op=search_authors&amp;mauthors=Michael%20Haberman%20University%20of%20Texas%20at%20Austin", "Google Scholar Search")</f>
        <v/>
      </c>
      <c r="E43" s="2" t="inlineStr">
        <is>
          <t>Associate Professor</t>
        </is>
      </c>
      <c r="F43" s="2" t="inlineStr">
        <is>
          <t>Walker Department of Mechanical Engineering</t>
        </is>
      </c>
      <c r="G43" s="2" t="inlineStr"/>
      <c r="H43" s="3">
        <f>HYPERLINK("mailto:haberman@utexas.edu", "haberman@utexas.edu")</f>
        <v/>
      </c>
      <c r="I43" s="2" t="n">
        <v>3</v>
      </c>
      <c r="J43" s="2" t="inlineStr">
        <is>
          <t>🟠 Tier 3: Structures / Materials / Manufacturing</t>
        </is>
      </c>
      <c r="K43" s="2" t="n">
        <v>3</v>
      </c>
      <c r="L43" s="2" t="inlineStr">
        <is>
          <t>materials, metamaterials, solid mechanics</t>
        </is>
      </c>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is>
          <t>Acoustic and solid mechanics; Theoretical and experimental studies of acoustic and elastic metamaterials; Composite materials; Ultrasonic material characterization; Acoustic transducers; Wave propagation in heterogeneous acoustic and elastic media; Acoustic materials design</t>
        </is>
      </c>
      <c r="AI43" s="2" t="inlineStr"/>
      <c r="AJ43" s="2" t="inlineStr">
        <is>
          <t>Acoustic and solid mechanics; Theoretical and experimental studies of acoustic and elastic metamaterials; Composite materials; Ultrasonic material characterization; Acoustic transducers; Wave propagation in heterogeneous acoustic and elastic media; Acoustic materials design</t>
        </is>
      </c>
      <c r="AK43" s="2" t="inlineStr"/>
      <c r="AL43" s="2" t="inlineStr"/>
      <c r="AM43" s="2" t="inlineStr"/>
      <c r="AN43" s="2" t="inlineStr"/>
      <c r="AO43" s="2" t="inlineStr"/>
      <c r="AP43" s="2" t="inlineStr"/>
      <c r="AQ43" s="2" t="inlineStr"/>
      <c r="AR43" s="2" t="inlineStr"/>
      <c r="AS43" s="2" t="inlineStr"/>
      <c r="AT43" s="2" t="inlineStr">
        <is>
          <t>ETC 4.146D</t>
        </is>
      </c>
      <c r="AU43" s="2" t="b">
        <v>1</v>
      </c>
      <c r="AV43" s="3">
        <f>HYPERLINK("https://me.utexas.edu/people/faculty", "https://me.utexas.edu/people/faculty")</f>
        <v/>
      </c>
    </row>
    <row r="44">
      <c r="A44" s="2" t="inlineStr">
        <is>
          <t>Rui Huang</t>
        </is>
      </c>
      <c r="B44" s="2" t="inlineStr">
        <is>
          <t>The University of Texas at Austin</t>
        </is>
      </c>
      <c r="C44" s="3">
        <f>HYPERLINK("https://ae.utexas.edu/person/rui-huang/", "https://ae.utexas.edu/person/rui-huang/")</f>
        <v/>
      </c>
      <c r="D44" s="3">
        <f>HYPERLINK("https://scholar.google.com/citations?view_op=search_authors&amp;mauthors=Rui%20Huang%20University%20of%20Texas%20at%20Austin", "Google Scholar Search")</f>
        <v/>
      </c>
      <c r="E44" s="2" t="inlineStr">
        <is>
          <t>Professor</t>
        </is>
      </c>
      <c r="F44" s="2" t="inlineStr">
        <is>
          <t>Aerospace Engineering and Engineering Mechanics</t>
        </is>
      </c>
      <c r="G44" s="2" t="inlineStr"/>
      <c r="H44" s="3">
        <f>HYPERLINK("mailto:ruihuang@mail.utexas.edu", "ruihuang@mail.utexas.edu")</f>
        <v/>
      </c>
      <c r="I44" s="2" t="n">
        <v>3</v>
      </c>
      <c r="J44" s="2" t="inlineStr">
        <is>
          <t>🟠 Tier 3: Structures / Materials / Manufacturing</t>
        </is>
      </c>
      <c r="K44" s="2" t="n">
        <v>3</v>
      </c>
      <c r="L44" s="2" t="inlineStr">
        <is>
          <t>aerospace, materials, multiscale</t>
        </is>
      </c>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is>
          <t>Mechanics of integrated materials and structures at micro-and nano-scales; Reliability of advanced interconnects and packaging for microelectronics; Mechanical instability of thin films and nanostructures; Multiscale modeling and simulations</t>
        </is>
      </c>
      <c r="AI44" s="2" t="inlineStr"/>
      <c r="AJ44" s="2" t="inlineStr">
        <is>
          <t>Mechanics of integrated materials and structures at micro-and nano-scales; Reliability of advanced interconnects and packaging for microelectronics; Mechanical instability of thin films and nanostructures; Multiscale modeling and simulations</t>
        </is>
      </c>
      <c r="AK44" s="2" t="inlineStr"/>
      <c r="AL44" s="2" t="inlineStr"/>
      <c r="AM44" s="2" t="inlineStr"/>
      <c r="AN44" s="2" t="inlineStr"/>
      <c r="AO44" s="2" t="inlineStr"/>
      <c r="AP44" s="2" t="inlineStr"/>
      <c r="AQ44" s="2" t="inlineStr"/>
      <c r="AR44" s="2" t="inlineStr"/>
      <c r="AS44" s="2" t="inlineStr"/>
      <c r="AT44" s="2" t="inlineStr">
        <is>
          <t>ASE 5.210</t>
        </is>
      </c>
      <c r="AU44" s="2" t="b">
        <v>1</v>
      </c>
      <c r="AV44" s="3">
        <f>HYPERLINK("https://ae.utexas.edu/people/faculty", "https://ae.utexas.edu/people/faculty")</f>
        <v/>
      </c>
    </row>
    <row r="45">
      <c r="A45" s="2" t="inlineStr">
        <is>
          <t>Stelios Kyriakides</t>
        </is>
      </c>
      <c r="B45" s="2" t="inlineStr">
        <is>
          <t>The University of Texas at Austin</t>
        </is>
      </c>
      <c r="C45" s="3">
        <f>HYPERLINK("https://ae.utexas.edu/person/stelios-kyriakides/", "https://ae.utexas.edu/person/stelios-kyriakides/")</f>
        <v/>
      </c>
      <c r="D45" s="3">
        <f>HYPERLINK("https://scholar.google.com/citations?view_op=search_authors&amp;mauthors=Stelios%20Kyriakides%20University%20of%20Texas%20at%20Austin", "Google Scholar Search")</f>
        <v/>
      </c>
      <c r="E45" s="2" t="inlineStr">
        <is>
          <t xml:space="preserve">Professor; Director of Center for Research in Mechanics of Solids, Structures and Materials </t>
        </is>
      </c>
      <c r="F45" s="2" t="inlineStr">
        <is>
          <t>Aerospace Engineering and Engineering Mechanics</t>
        </is>
      </c>
      <c r="G45" s="2" t="inlineStr"/>
      <c r="H45" s="3">
        <f>HYPERLINK("mailto:skk@mail.utexas.edu", "skk@mail.utexas.edu")</f>
        <v/>
      </c>
      <c r="I45" s="2" t="n">
        <v>3</v>
      </c>
      <c r="J45" s="2" t="inlineStr">
        <is>
          <t>🟠 Tier 3: Structures / Materials / Manufacturing</t>
        </is>
      </c>
      <c r="K45" s="2" t="n">
        <v>3</v>
      </c>
      <c r="L45" s="2" t="inlineStr">
        <is>
          <t>aerospace, composites, materials</t>
        </is>
      </c>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is>
          <t>Instability in solids and structures (plastic buckling of structures, propagating instabilities in shape, memory metals, composites and foams); Modeling of nonlinear behavior and failure of solids (metals, composites and foams)</t>
        </is>
      </c>
      <c r="AI45" s="2" t="inlineStr"/>
      <c r="AJ45" s="2" t="inlineStr">
        <is>
          <t>Instability in solids and structures (plastic buckling of structures, propagating instabilities in shape, memory metals, composites and foams); Modeling of nonlinear behavior and failure of solids (metals, composites and foams)</t>
        </is>
      </c>
      <c r="AK45" s="2" t="inlineStr"/>
      <c r="AL45" s="2" t="inlineStr"/>
      <c r="AM45" s="2" t="inlineStr"/>
      <c r="AN45" s="2" t="inlineStr"/>
      <c r="AO45" s="2" t="inlineStr"/>
      <c r="AP45" s="2" t="inlineStr"/>
      <c r="AQ45" s="2" t="inlineStr"/>
      <c r="AR45" s="2" t="inlineStr"/>
      <c r="AS45" s="2" t="inlineStr"/>
      <c r="AT45" s="2" t="inlineStr">
        <is>
          <t>ASE 5.230</t>
        </is>
      </c>
      <c r="AU45" s="2" t="b">
        <v>1</v>
      </c>
      <c r="AV45" s="3">
        <f>HYPERLINK("https://ae.utexas.edu/people/faculty", "https://ae.utexas.edu/people/faculty")</f>
        <v/>
      </c>
    </row>
    <row r="46">
      <c r="A46" s="2" t="inlineStr">
        <is>
          <t>Yaguo Wang</t>
        </is>
      </c>
      <c r="B46" s="2" t="inlineStr">
        <is>
          <t>The University of Texas at Austin</t>
        </is>
      </c>
      <c r="C46" s="3">
        <f>HYPERLINK("https://me.utexas.edu/person/yaguo-wang/", "https://me.utexas.edu/person/yaguo-wang/")</f>
        <v/>
      </c>
      <c r="D46" s="3">
        <f>HYPERLINK("https://scholar.google.com/citations?view_op=search_authors&amp;mauthors=Yaguo%20Wang%20University%20of%20Texas%20at%20Austin", "Google Scholar Search")</f>
        <v/>
      </c>
      <c r="E46" s="2" t="inlineStr">
        <is>
          <t>Associate Professor</t>
        </is>
      </c>
      <c r="F46" s="2" t="inlineStr">
        <is>
          <t>Walker Department of Mechanical Engineering</t>
        </is>
      </c>
      <c r="G46" s="2" t="inlineStr"/>
      <c r="H46" s="3">
        <f>HYPERLINK("mailto:yaguo.wang@austin.utexas.edu", "yaguo.wang@austin.utexas.edu")</f>
        <v/>
      </c>
      <c r="I46" s="2" t="n">
        <v>3</v>
      </c>
      <c r="J46" s="2" t="inlineStr">
        <is>
          <t>🟠 Tier 3: Structures / Materials / Manufacturing</t>
        </is>
      </c>
      <c r="K46" s="2" t="n">
        <v>3</v>
      </c>
      <c r="L46" s="2" t="inlineStr">
        <is>
          <t>heat transfer, materials, nanomaterials</t>
        </is>
      </c>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is>
          <t>Ultrafast optical spectroscopy to detect and control phonon/electron dynamics in nanomaterials for applications in clean energy; Characterization of micro/nano-scale heat transfer in nanostructures and theoretical; Computational studies of atomic-level carrier transport with molecular dynamics simulations</t>
        </is>
      </c>
      <c r="AI46" s="2" t="inlineStr"/>
      <c r="AJ46" s="2" t="inlineStr">
        <is>
          <t>Ultrafast optical spectroscopy to detect and control phonon/electron dynamics in nanomaterials for applications in clean energy; Characterization of micro/nano-scale heat transfer in nanostructures and theoretical; Computational studies of atomic-level carrier transport with molecular dynamics simulations</t>
        </is>
      </c>
      <c r="AK46" s="2" t="inlineStr"/>
      <c r="AL46" s="2" t="inlineStr"/>
      <c r="AM46" s="2" t="inlineStr"/>
      <c r="AN46" s="2" t="inlineStr"/>
      <c r="AO46" s="2" t="inlineStr"/>
      <c r="AP46" s="2" t="inlineStr"/>
      <c r="AQ46" s="2" t="inlineStr"/>
      <c r="AR46" s="2" t="inlineStr"/>
      <c r="AS46" s="2" t="inlineStr"/>
      <c r="AT46" s="2" t="inlineStr">
        <is>
          <t>GLT 3.332</t>
        </is>
      </c>
      <c r="AU46" s="2" t="b">
        <v>1</v>
      </c>
      <c r="AV46" s="3">
        <f>HYPERLINK("https://me.utexas.edu/people/faculty", "https://me.utexas.edu/people/faculty")</f>
        <v/>
      </c>
    </row>
    <row r="47">
      <c r="A47" s="2" t="inlineStr">
        <is>
          <t>Arumugam Manthiram</t>
        </is>
      </c>
      <c r="B47" s="2" t="inlineStr">
        <is>
          <t>The University of Texas at Austin</t>
        </is>
      </c>
      <c r="C47" s="3">
        <f>HYPERLINK("https://me.utexas.edu/person/arumugam-manthiram/", "https://me.utexas.edu/person/arumugam-manthiram/")</f>
        <v/>
      </c>
      <c r="D47" s="3">
        <f>HYPERLINK("https://scholar.google.com/citations?view_op=search_authors&amp;mauthors=Arumugam%20Manthiram%20University%20of%20Texas%20at%20Austin", "Google Scholar Search")</f>
        <v/>
      </c>
      <c r="E47" s="2" t="inlineStr">
        <is>
          <t>Professor</t>
        </is>
      </c>
      <c r="F47" s="2" t="inlineStr">
        <is>
          <t>Walker Department of Mechanical Engineering</t>
        </is>
      </c>
      <c r="G47" s="2" t="inlineStr"/>
      <c r="H47" s="3">
        <f>HYPERLINK("mailto:rmanth@mail.utexas.edu", "rmanth@mail.utexas.edu")</f>
        <v/>
      </c>
      <c r="I47" s="2" t="n">
        <v>3</v>
      </c>
      <c r="J47" s="2" t="inlineStr">
        <is>
          <t>🟠 Tier 3: Structures / Materials / Manufacturing</t>
        </is>
      </c>
      <c r="K47" s="2" t="n">
        <v>2</v>
      </c>
      <c r="L47" s="2" t="inlineStr">
        <is>
          <t>materials, nanomaterials</t>
        </is>
      </c>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is>
          <t>Clean energy materials; Electrochemical energy conversion and storage; Lithium ion batteries, fuel cells, supercapacitors and solar cells; Nanomaterials</t>
        </is>
      </c>
      <c r="AI47" s="2" t="inlineStr"/>
      <c r="AJ47" s="2" t="inlineStr">
        <is>
          <t>Clean energy materials; Electrochemical energy conversion and storage; Lithium ion batteries, fuel cells, supercapacitors and solar cells; Nanomaterials</t>
        </is>
      </c>
      <c r="AK47" s="2" t="inlineStr"/>
      <c r="AL47" s="2" t="inlineStr"/>
      <c r="AM47" s="2" t="inlineStr"/>
      <c r="AN47" s="2" t="inlineStr"/>
      <c r="AO47" s="2" t="inlineStr"/>
      <c r="AP47" s="2" t="inlineStr"/>
      <c r="AQ47" s="2" t="inlineStr"/>
      <c r="AR47" s="2" t="inlineStr"/>
      <c r="AS47" s="2" t="inlineStr"/>
      <c r="AT47" s="2" t="inlineStr">
        <is>
          <t>GLT 3.210</t>
        </is>
      </c>
      <c r="AU47" s="2" t="b">
        <v>1</v>
      </c>
      <c r="AV47" s="3">
        <f>HYPERLINK("https://me.utexas.edu/people/faculty", "https://me.utexas.edu/people/faculty")</f>
        <v/>
      </c>
    </row>
    <row r="48">
      <c r="A48" s="2" t="inlineStr">
        <is>
          <t>Donglei "Emma" Fan</t>
        </is>
      </c>
      <c r="B48" s="2" t="inlineStr">
        <is>
          <t>The University of Texas at Austin</t>
        </is>
      </c>
      <c r="C48" s="3">
        <f>HYPERLINK("https://me.utexas.edu/person/donglei-emma-fan/", "https://me.utexas.edu/person/donglei-emma-fan/")</f>
        <v/>
      </c>
      <c r="D48" s="3">
        <f>HYPERLINK("https://scholar.google.com/citations?view_op=search_authors&amp;mauthors=Donglei%20%22Emma%22%20Fan%20University%20of%20Texas%20at%20Austin", "Google Scholar Search")</f>
        <v/>
      </c>
      <c r="E48" s="2" t="inlineStr">
        <is>
          <t>Professor</t>
        </is>
      </c>
      <c r="F48" s="2" t="inlineStr">
        <is>
          <t>Walker Department of Mechanical Engineering</t>
        </is>
      </c>
      <c r="G48" s="2" t="inlineStr"/>
      <c r="H48" s="3">
        <f>HYPERLINK("mailto:dfan@austin.utexas.edu", "dfan@austin.utexas.edu")</f>
        <v/>
      </c>
      <c r="I48" s="2" t="n">
        <v>3</v>
      </c>
      <c r="J48" s="2" t="inlineStr">
        <is>
          <t>🟠 Tier 3: Structures / Materials / Manufacturing</t>
        </is>
      </c>
      <c r="K48" s="2" t="n">
        <v>2</v>
      </c>
      <c r="L48" s="2" t="inlineStr">
        <is>
          <t>materials, nanomaterials</t>
        </is>
      </c>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is>
          <t>Nanomaterials design and synthesis; Nano-biotechnolgy; Nano-manipulation; Nanoelectromechanical system (NEMS); Energy</t>
        </is>
      </c>
      <c r="AI48" s="2" t="inlineStr"/>
      <c r="AJ48" s="2" t="inlineStr">
        <is>
          <t>Nanomaterials design and synthesis; Nano-biotechnolgy; Nano-manipulation; Nanoelectromechanical system (NEMS); Energy</t>
        </is>
      </c>
      <c r="AK48" s="2" t="inlineStr"/>
      <c r="AL48" s="2" t="inlineStr"/>
      <c r="AM48" s="2" t="inlineStr"/>
      <c r="AN48" s="2" t="inlineStr"/>
      <c r="AO48" s="2" t="inlineStr"/>
      <c r="AP48" s="2" t="inlineStr"/>
      <c r="AQ48" s="2" t="inlineStr"/>
      <c r="AR48" s="2" t="inlineStr"/>
      <c r="AS48" s="2" t="inlineStr"/>
      <c r="AT48" s="2" t="inlineStr">
        <is>
          <t>GLT 3.344</t>
        </is>
      </c>
      <c r="AU48" s="2" t="b">
        <v>1</v>
      </c>
      <c r="AV48" s="3">
        <f>HYPERLINK("https://me.utexas.edu/people/faculty", "https://me.utexas.edu/people/faculty")</f>
        <v/>
      </c>
    </row>
    <row r="49">
      <c r="A49" s="2" t="inlineStr">
        <is>
          <t>Guihua Yu</t>
        </is>
      </c>
      <c r="B49" s="2" t="inlineStr">
        <is>
          <t>The University of Texas at Austin</t>
        </is>
      </c>
      <c r="C49" s="3">
        <f>HYPERLINK("https://me.utexas.edu/person/guihua-yu/", "https://me.utexas.edu/person/guihua-yu/")</f>
        <v/>
      </c>
      <c r="D49" s="3">
        <f>HYPERLINK("https://scholar.google.com/citations?view_op=search_authors&amp;mauthors=Guihua%20Yu%20University%20of%20Texas%20at%20Austin", "Google Scholar Search")</f>
        <v/>
      </c>
      <c r="E49" s="2" t="inlineStr">
        <is>
          <t>Professor</t>
        </is>
      </c>
      <c r="F49" s="2" t="inlineStr">
        <is>
          <t>Walker Department of Mechanical Engineering</t>
        </is>
      </c>
      <c r="G49" s="2" t="inlineStr"/>
      <c r="H49" s="3">
        <f>HYPERLINK("mailto:ghyu@austin.utexas.edu", "ghyu@austin.utexas.edu")</f>
        <v/>
      </c>
      <c r="I49" s="2" t="n">
        <v>3</v>
      </c>
      <c r="J49" s="2" t="inlineStr">
        <is>
          <t>🟠 Tier 3: Structures / Materials / Manufacturing</t>
        </is>
      </c>
      <c r="K49" s="2" t="n">
        <v>2</v>
      </c>
      <c r="L49" s="2" t="inlineStr">
        <is>
          <t>materials, nanomaterials</t>
        </is>
      </c>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is>
          <t>Nanomaterials for energy science and environment; Energy storage and conversion devices; Nanoelectronics; Nano-biotechnology; Self-assembly of nanostructures</t>
        </is>
      </c>
      <c r="AI49" s="2" t="inlineStr"/>
      <c r="AJ49" s="2" t="inlineStr">
        <is>
          <t>Nanomaterials for energy science and environment; Energy storage and conversion devices; Nanoelectronics; Nano-biotechnology; Self-assembly of nanostructures</t>
        </is>
      </c>
      <c r="AK49" s="2" t="inlineStr"/>
      <c r="AL49" s="2" t="inlineStr"/>
      <c r="AM49" s="2" t="inlineStr"/>
      <c r="AN49" s="2" t="inlineStr"/>
      <c r="AO49" s="2" t="inlineStr"/>
      <c r="AP49" s="2" t="inlineStr"/>
      <c r="AQ49" s="2" t="inlineStr"/>
      <c r="AR49" s="2" t="inlineStr"/>
      <c r="AS49" s="2" t="inlineStr"/>
      <c r="AT49" s="2" t="inlineStr">
        <is>
          <t>ETC 9.178</t>
        </is>
      </c>
      <c r="AU49" s="2" t="b">
        <v>1</v>
      </c>
      <c r="AV49" s="3">
        <f>HYPERLINK("https://me.utexas.edu/people/faculty", "https://me.utexas.edu/people/faculty")</f>
        <v/>
      </c>
    </row>
    <row r="50">
      <c r="A50" s="2" t="inlineStr">
        <is>
          <t>Jin Yang</t>
        </is>
      </c>
      <c r="B50" s="2" t="inlineStr">
        <is>
          <t>The University of Texas at Austin</t>
        </is>
      </c>
      <c r="C50" s="3">
        <f>HYPERLINK("https://ae.utexas.edu/person/jin-yang/", "https://ae.utexas.edu/person/jin-yang/")</f>
        <v/>
      </c>
      <c r="D50" s="3">
        <f>HYPERLINK("https://scholar.google.com/citations?view_op=search_authors&amp;mauthors=Jin%20Yang%20University%20of%20Texas%20at%20Austin", "Google Scholar Search")</f>
        <v/>
      </c>
      <c r="E50" s="2" t="inlineStr">
        <is>
          <t>Assistant Professor</t>
        </is>
      </c>
      <c r="F50" s="2" t="inlineStr">
        <is>
          <t>Aerospace Engineering and Engineering Mechanics</t>
        </is>
      </c>
      <c r="G50" s="2" t="inlineStr"/>
      <c r="H50" s="3">
        <f>HYPERLINK("mailto:jin.yang@austin.utexas.edu", "jin.yang@austin.utexas.edu")</f>
        <v/>
      </c>
      <c r="I50" s="2" t="n">
        <v>3</v>
      </c>
      <c r="J50" s="2" t="inlineStr">
        <is>
          <t>🟠 Tier 3: Structures / Materials / Manufacturing</t>
        </is>
      </c>
      <c r="K50" s="2" t="n">
        <v>2</v>
      </c>
      <c r="L50" s="2" t="inlineStr">
        <is>
          <t>aerospace, materials</t>
        </is>
      </c>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is>
          <t>Machine learning and data-driven material characterization; Full-field deformation measurements; Laser-induced inertial cavitation in hydrogels and biological materials; Dynamic instability in viscoelastic materials</t>
        </is>
      </c>
      <c r="AI50" s="2" t="inlineStr"/>
      <c r="AJ50" s="2" t="inlineStr">
        <is>
          <t>Machine learning and data-driven material characterization; Full-field deformation measurements; Laser-induced inertial cavitation in hydrogels and biological materials; Dynamic instability in viscoelastic materials</t>
        </is>
      </c>
      <c r="AK50" s="2" t="inlineStr"/>
      <c r="AL50" s="2" t="inlineStr"/>
      <c r="AM50" s="2" t="inlineStr"/>
      <c r="AN50" s="2" t="inlineStr"/>
      <c r="AO50" s="2" t="inlineStr"/>
      <c r="AP50" s="2" t="inlineStr"/>
      <c r="AQ50" s="2" t="inlineStr"/>
      <c r="AR50" s="2" t="inlineStr"/>
      <c r="AS50" s="2" t="inlineStr"/>
      <c r="AT50" s="2" t="inlineStr">
        <is>
          <t>ASE 5.236</t>
        </is>
      </c>
      <c r="AU50" s="2" t="b">
        <v>1</v>
      </c>
      <c r="AV50" s="3">
        <f>HYPERLINK("https://ae.utexas.edu/people/faculty", "https://ae.utexas.edu/people/faculty")</f>
        <v/>
      </c>
    </row>
    <row r="51">
      <c r="A51" s="2" t="inlineStr">
        <is>
          <t>John Foster</t>
        </is>
      </c>
      <c r="B51" s="2" t="inlineStr">
        <is>
          <t>The University of Texas at Austin</t>
        </is>
      </c>
      <c r="C51" s="3">
        <f>HYPERLINK("https://pge.utexas.edu/person/john-foster/", "https://pge.utexas.edu/person/john-foster/")</f>
        <v/>
      </c>
      <c r="D51" s="3">
        <f>HYPERLINK("https://scholar.google.com/citations?view_op=search_authors&amp;mauthors=John%20Foster%20University%20of%20Texas%20at%20Austin", "Google Scholar Search")</f>
        <v/>
      </c>
      <c r="E51" s="2" t="inlineStr">
        <is>
          <t>Associate Professor</t>
        </is>
      </c>
      <c r="F51" s="2" t="inlineStr">
        <is>
          <t>Aerospace Engineering and Engineering Mechanics</t>
        </is>
      </c>
      <c r="G51" s="2" t="inlineStr"/>
      <c r="H51" s="3">
        <f>HYPERLINK("mailto:jfoster@austin.utexas.edu", "jfoster@austin.utexas.edu")</f>
        <v/>
      </c>
      <c r="I51" s="2" t="n">
        <v>3</v>
      </c>
      <c r="J51" s="2" t="inlineStr">
        <is>
          <t>🟠 Tier 3: Structures / Materials / Manufacturing</t>
        </is>
      </c>
      <c r="K51" s="2" t="n">
        <v>2</v>
      </c>
      <c r="L51" s="2" t="inlineStr">
        <is>
          <t>aerospace, fracture mechanics</t>
        </is>
      </c>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is>
          <t>Experimental and computational geomechanics; Fracture mechanics; Hydraulic fracturing; Anomalous flow in porous media; Scientific machine learning</t>
        </is>
      </c>
      <c r="AI51" s="2" t="inlineStr"/>
      <c r="AJ51" s="2" t="inlineStr">
        <is>
          <t>Experimental and computational geomechanics; Fracture mechanics; Hydraulic fracturing; Anomalous flow in porous media; Scientific machine learning</t>
        </is>
      </c>
      <c r="AK51" s="2" t="inlineStr"/>
      <c r="AL51" s="2" t="inlineStr"/>
      <c r="AM51" s="2" t="inlineStr"/>
      <c r="AN51" s="2" t="inlineStr"/>
      <c r="AO51" s="2" t="inlineStr"/>
      <c r="AP51" s="2" t="inlineStr"/>
      <c r="AQ51" s="2" t="inlineStr"/>
      <c r="AR51" s="2" t="inlineStr"/>
      <c r="AS51" s="2" t="inlineStr"/>
      <c r="AT51" s="2" t="inlineStr">
        <is>
          <t>CPE 3.108</t>
        </is>
      </c>
      <c r="AU51" s="2" t="b">
        <v>1</v>
      </c>
      <c r="AV51" s="3">
        <f>HYPERLINK("https://ae.utexas.edu/people/faculty", "https://ae.utexas.edu/people/faculty")</f>
        <v/>
      </c>
    </row>
    <row r="52">
      <c r="A52" s="2" t="inlineStr">
        <is>
          <t>K. Ravi-Chandar</t>
        </is>
      </c>
      <c r="B52" s="2" t="inlineStr">
        <is>
          <t>The University of Texas at Austin</t>
        </is>
      </c>
      <c r="C52" s="3">
        <f>HYPERLINK("https://ae.utexas.edu/person/k-ravi-chandar/", "https://ae.utexas.edu/person/k-ravi-chandar/")</f>
        <v/>
      </c>
      <c r="D52" s="3">
        <f>HYPERLINK("https://scholar.google.com/citations?view_op=search_authors&amp;mauthors=K.%20Ravi-Chandar%20University%20of%20Texas%20at%20Austin", "Google Scholar Search")</f>
        <v/>
      </c>
      <c r="E52" s="2" t="inlineStr">
        <is>
          <t>Professor</t>
        </is>
      </c>
      <c r="F52" s="2" t="inlineStr">
        <is>
          <t>Aerospace Engineering and Engineering Mechanics</t>
        </is>
      </c>
      <c r="G52" s="2" t="inlineStr"/>
      <c r="H52" s="3">
        <f>HYPERLINK("mailto:ravi@utexas.edu", "ravi@utexas.edu")</f>
        <v/>
      </c>
      <c r="I52" s="2" t="n">
        <v>3</v>
      </c>
      <c r="J52" s="2" t="inlineStr">
        <is>
          <t>🟠 Tier 3: Structures / Materials / Manufacturing</t>
        </is>
      </c>
      <c r="K52" s="2" t="n">
        <v>2</v>
      </c>
      <c r="L52" s="2" t="inlineStr">
        <is>
          <t>aerospace, materials</t>
        </is>
      </c>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is>
          <t>Mechanical behavior of materials at high strain rates; Fracture in nominally brittle materials; Shear banding in polymeric materials; Phase transformation in shape memory alloys</t>
        </is>
      </c>
      <c r="AI52" s="2" t="inlineStr"/>
      <c r="AJ52" s="2" t="inlineStr">
        <is>
          <t>Mechanical behavior of materials at high strain rates; Fracture in nominally brittle materials; Shear banding in polymeric materials; Phase transformation in shape memory alloys</t>
        </is>
      </c>
      <c r="AK52" s="2" t="inlineStr"/>
      <c r="AL52" s="2" t="inlineStr"/>
      <c r="AM52" s="2" t="inlineStr"/>
      <c r="AN52" s="2" t="inlineStr"/>
      <c r="AO52" s="2" t="inlineStr"/>
      <c r="AP52" s="2" t="inlineStr"/>
      <c r="AQ52" s="2" t="inlineStr"/>
      <c r="AR52" s="2" t="inlineStr"/>
      <c r="AS52" s="2" t="inlineStr"/>
      <c r="AT52" s="2" t="inlineStr">
        <is>
          <t>ASE 5.222</t>
        </is>
      </c>
      <c r="AU52" s="2" t="b">
        <v>1</v>
      </c>
      <c r="AV52" s="3">
        <f>HYPERLINK("https://ae.utexas.edu/people/faculty", "https://ae.utexas.edu/people/faculty")</f>
        <v/>
      </c>
    </row>
    <row r="53">
      <c r="A53" s="2" t="inlineStr">
        <is>
          <t>Mark E. Mear</t>
        </is>
      </c>
      <c r="B53" s="2" t="inlineStr">
        <is>
          <t>The University of Texas at Austin</t>
        </is>
      </c>
      <c r="C53" s="3">
        <f>HYPERLINK("https://ae.utexas.edu/person/mark-e-mear/", "https://ae.utexas.edu/person/mark-e-mear/")</f>
        <v/>
      </c>
      <c r="D53" s="3">
        <f>HYPERLINK("https://scholar.google.com/citations?view_op=search_authors&amp;mauthors=Mark%20E.%20Mear%20University%20of%20Texas%20at%20Austin", "Google Scholar Search")</f>
        <v/>
      </c>
      <c r="E53" s="2" t="inlineStr">
        <is>
          <t>Professor</t>
        </is>
      </c>
      <c r="F53" s="2" t="inlineStr">
        <is>
          <t>Aerospace Engineering and Engineering Mechanics</t>
        </is>
      </c>
      <c r="G53" s="2" t="inlineStr"/>
      <c r="H53" s="3">
        <f>HYPERLINK("mailto:mear@mail.utexas.edu", "mear@mail.utexas.edu")</f>
        <v/>
      </c>
      <c r="I53" s="2" t="n">
        <v>3</v>
      </c>
      <c r="J53" s="2" t="inlineStr">
        <is>
          <t>🟠 Tier 3: Structures / Materials / Manufacturing</t>
        </is>
      </c>
      <c r="K53" s="2" t="n">
        <v>2</v>
      </c>
      <c r="L53" s="2" t="inlineStr">
        <is>
          <t>aerospace, fracture mechanics</t>
        </is>
      </c>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is>
          <t>Micromechanics; Fracture mechanics; Boundary element methods</t>
        </is>
      </c>
      <c r="AI53" s="2" t="inlineStr"/>
      <c r="AJ53" s="2" t="inlineStr">
        <is>
          <t>Micromechanics; Fracture mechanics; Boundary element methods</t>
        </is>
      </c>
      <c r="AK53" s="2" t="inlineStr"/>
      <c r="AL53" s="2" t="inlineStr"/>
      <c r="AM53" s="2" t="inlineStr"/>
      <c r="AN53" s="2" t="inlineStr"/>
      <c r="AO53" s="2" t="inlineStr"/>
      <c r="AP53" s="2" t="inlineStr"/>
      <c r="AQ53" s="2" t="inlineStr"/>
      <c r="AR53" s="2" t="inlineStr"/>
      <c r="AS53" s="2" t="inlineStr"/>
      <c r="AT53" s="2" t="inlineStr">
        <is>
          <t>ASE 5.220</t>
        </is>
      </c>
      <c r="AU53" s="2" t="b">
        <v>1</v>
      </c>
      <c r="AV53" s="3">
        <f>HYPERLINK("https://ae.utexas.edu/people/faculty", "https://ae.utexas.edu/people/faculty")</f>
        <v/>
      </c>
    </row>
    <row r="54">
      <c r="A54" s="2" t="inlineStr">
        <is>
          <t>Nanshu Lu</t>
        </is>
      </c>
      <c r="B54" s="2" t="inlineStr">
        <is>
          <t>The University of Texas at Austin</t>
        </is>
      </c>
      <c r="C54" s="3">
        <f>HYPERLINK("https://ae.utexas.edu/person/nanshu-lu/", "https://ae.utexas.edu/person/nanshu-lu/")</f>
        <v/>
      </c>
      <c r="D54" s="3">
        <f>HYPERLINK("https://scholar.google.com/citations?view_op=search_authors&amp;mauthors=Nanshu%20Lu%20University%20of%20Texas%20at%20Austin", "Google Scholar Search")</f>
        <v/>
      </c>
      <c r="E54" s="2" t="inlineStr">
        <is>
          <t>Professor</t>
        </is>
      </c>
      <c r="F54" s="2" t="inlineStr">
        <is>
          <t>Aerospace Engineering and Engineering Mechanics</t>
        </is>
      </c>
      <c r="G54" s="2" t="inlineStr"/>
      <c r="H54" s="3">
        <f>HYPERLINK("mailto:nanshulu@utexas.edu", "nanshulu@utexas.edu")</f>
        <v/>
      </c>
      <c r="I54" s="2" t="n">
        <v>3</v>
      </c>
      <c r="J54" s="2" t="inlineStr">
        <is>
          <t>🟠 Tier 3: Structures / Materials / Manufacturing</t>
        </is>
      </c>
      <c r="K54" s="2" t="n">
        <v>2</v>
      </c>
      <c r="L54" s="2" t="inlineStr">
        <is>
          <t>aerospace, materials</t>
        </is>
      </c>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is>
          <t>Mechanics of flexible and stretchable structures; 2D and nano materials for soft electronics; Manufacture and transfer of bio-integrated electronics; Mechanics at bio-electronics interface; Wireless, multimodal e-tattoos for mobile health and human-machine interaction</t>
        </is>
      </c>
      <c r="AI54" s="2" t="inlineStr"/>
      <c r="AJ54" s="2" t="inlineStr">
        <is>
          <t>Mechanics of flexible and stretchable structures; 2D and nano materials for soft electronics; Manufacture and transfer of bio-integrated electronics; Mechanics at bio-electronics interface; Wireless, multimodal e-tattoos for mobile health and human-machine interaction</t>
        </is>
      </c>
      <c r="AK54" s="2" t="inlineStr"/>
      <c r="AL54" s="2" t="inlineStr"/>
      <c r="AM54" s="2" t="inlineStr"/>
      <c r="AN54" s="2" t="inlineStr"/>
      <c r="AO54" s="2" t="inlineStr"/>
      <c r="AP54" s="2" t="inlineStr"/>
      <c r="AQ54" s="2" t="inlineStr"/>
      <c r="AR54" s="2" t="inlineStr"/>
      <c r="AS54" s="2" t="inlineStr"/>
      <c r="AT54" s="2" t="inlineStr">
        <is>
          <t>EER 7.614B</t>
        </is>
      </c>
      <c r="AU54" s="2" t="b">
        <v>1</v>
      </c>
      <c r="AV54" s="3">
        <f>HYPERLINK("https://ae.utexas.edu/people/faculty", "https://ae.utexas.edu/people/faculty")</f>
        <v/>
      </c>
    </row>
    <row r="55">
      <c r="A55" s="2" t="inlineStr">
        <is>
          <t>S.V. Sreenivasan</t>
        </is>
      </c>
      <c r="B55" s="2" t="inlineStr">
        <is>
          <t>The University of Texas at Austin</t>
        </is>
      </c>
      <c r="C55" s="3">
        <f>HYPERLINK("https://me.utexas.edu/person/s-v-sreenivasan/", "https://me.utexas.edu/person/s-v-sreenivasan/")</f>
        <v/>
      </c>
      <c r="D55" s="3">
        <f>HYPERLINK("https://scholar.google.com/citations?view_op=search_authors&amp;mauthors=S.V.%20Sreenivasan%20University%20of%20Texas%20at%20Austin", "Google Scholar Search")</f>
        <v/>
      </c>
      <c r="E55" s="2" t="inlineStr">
        <is>
          <t>Professor</t>
        </is>
      </c>
      <c r="F55" s="2" t="inlineStr">
        <is>
          <t>Walker Department of Mechanical Engineering</t>
        </is>
      </c>
      <c r="G55" s="2" t="inlineStr"/>
      <c r="H55" s="3">
        <f>HYPERLINK("mailto:sv.sreeni@mail.utexas.edu", "sv.sreeni@mail.utexas.edu")</f>
        <v/>
      </c>
      <c r="I55" s="2" t="n">
        <v>3</v>
      </c>
      <c r="J55" s="2" t="inlineStr">
        <is>
          <t>🟠 Tier 3: Structures / Materials / Manufacturing</t>
        </is>
      </c>
      <c r="K55" s="2" t="n">
        <v>2</v>
      </c>
      <c r="L55" s="2" t="inlineStr">
        <is>
          <t>materials, metamaterials</t>
        </is>
      </c>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is>
          <t>High throughput nanofabrication; Precision systems for nanofabrication; Scalable processes for optical metamaterials, advanced memory devices, flexible electronics and displays; Precision biomaterials for advanced therapeutics</t>
        </is>
      </c>
      <c r="AI55" s="2" t="inlineStr"/>
      <c r="AJ55" s="2" t="inlineStr">
        <is>
          <t>High throughput nanofabrication; Precision systems for nanofabrication; Scalable processes for optical metamaterials, advanced memory devices, flexible electronics and displays; Precision biomaterials for advanced therapeutics</t>
        </is>
      </c>
      <c r="AK55" s="2" t="inlineStr"/>
      <c r="AL55" s="2" t="inlineStr"/>
      <c r="AM55" s="2" t="inlineStr"/>
      <c r="AN55" s="2" t="inlineStr"/>
      <c r="AO55" s="2" t="inlineStr"/>
      <c r="AP55" s="2" t="inlineStr"/>
      <c r="AQ55" s="2" t="inlineStr"/>
      <c r="AR55" s="2" t="inlineStr"/>
      <c r="AS55" s="2" t="inlineStr"/>
      <c r="AT55" s="2" t="inlineStr">
        <is>
          <t>EER 4.620</t>
        </is>
      </c>
      <c r="AU55" s="2" t="b">
        <v>1</v>
      </c>
      <c r="AV55" s="3">
        <f>HYPERLINK("https://me.utexas.edu/people/faculty", "https://me.utexas.edu/people/faculty")</f>
        <v/>
      </c>
    </row>
    <row r="56">
      <c r="A56" s="2" t="inlineStr">
        <is>
          <t>Tanya Hutter</t>
        </is>
      </c>
      <c r="B56" s="2" t="inlineStr">
        <is>
          <t>The University of Texas at Austin</t>
        </is>
      </c>
      <c r="C56" s="3">
        <f>HYPERLINK("https://me.utexas.edu/person/tanya-hutter/", "https://me.utexas.edu/person/tanya-hutter/")</f>
        <v/>
      </c>
      <c r="D56" s="3">
        <f>HYPERLINK("https://scholar.google.com/citations?view_op=search_authors&amp;mauthors=Tanya%20Hutter%20University%20of%20Texas%20at%20Austin", "Google Scholar Search")</f>
        <v/>
      </c>
      <c r="E56" s="2" t="inlineStr">
        <is>
          <t>Assistant Professor</t>
        </is>
      </c>
      <c r="F56" s="2" t="inlineStr">
        <is>
          <t>Walker Department of Mechanical Engineering</t>
        </is>
      </c>
      <c r="G56" s="2" t="inlineStr"/>
      <c r="H56" s="3">
        <f>HYPERLINK("mailto:tanya.hutter@utexas.edu", "tanya.hutter@utexas.edu")</f>
        <v/>
      </c>
      <c r="I56" s="2" t="n">
        <v>3</v>
      </c>
      <c r="J56" s="2" t="inlineStr">
        <is>
          <t>🟠 Tier 3: Structures / Materials / Manufacturing</t>
        </is>
      </c>
      <c r="K56" s="2" t="n">
        <v>2</v>
      </c>
      <c r="L56" s="2" t="inlineStr">
        <is>
          <t>materials, microfluidics</t>
        </is>
      </c>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is>
          <t>Nanoporous materials; Nano-photonics; Waveguide optics; Optical spectroscopes and microfluidics for chem/bio-sensors and medical diagnostics</t>
        </is>
      </c>
      <c r="AI56" s="2" t="inlineStr"/>
      <c r="AJ56" s="2" t="inlineStr">
        <is>
          <t>Nanoporous materials; Nano-photonics; Waveguide optics; Optical spectroscopes and microfluidics for chem/bio-sensors and medical diagnostics</t>
        </is>
      </c>
      <c r="AK56" s="2" t="inlineStr"/>
      <c r="AL56" s="2" t="inlineStr"/>
      <c r="AM56" s="2" t="inlineStr"/>
      <c r="AN56" s="2" t="inlineStr"/>
      <c r="AO56" s="2" t="inlineStr"/>
      <c r="AP56" s="2" t="inlineStr"/>
      <c r="AQ56" s="2" t="inlineStr"/>
      <c r="AR56" s="2" t="inlineStr"/>
      <c r="AS56" s="2" t="inlineStr"/>
      <c r="AT56" s="2" t="inlineStr">
        <is>
          <t>ETC 9.154</t>
        </is>
      </c>
      <c r="AU56" s="2" t="b">
        <v>1</v>
      </c>
      <c r="AV56" s="3">
        <f>HYPERLINK("https://me.utexas.edu/people/faculty", "https://me.utexas.edu/people/faculty")</f>
        <v/>
      </c>
    </row>
    <row r="57">
      <c r="A57" s="2" t="inlineStr">
        <is>
          <t>Venkat Subramanian</t>
        </is>
      </c>
      <c r="B57" s="2" t="inlineStr">
        <is>
          <t>The University of Texas at Austin</t>
        </is>
      </c>
      <c r="C57" s="3">
        <f>HYPERLINK("https://me.utexas.edu/person/venkat-subramanian/", "https://me.utexas.edu/person/venkat-subramanian/")</f>
        <v/>
      </c>
      <c r="D57" s="3">
        <f>HYPERLINK("https://scholar.google.com/citations?view_op=search_authors&amp;mauthors=Venkat%20Subramanian%20University%20of%20Texas%20at%20Austin", "Google Scholar Search")</f>
        <v/>
      </c>
      <c r="E57" s="2" t="inlineStr">
        <is>
          <t>Professor</t>
        </is>
      </c>
      <c r="F57" s="2" t="inlineStr">
        <is>
          <t>Walker Department of Mechanical Engineering</t>
        </is>
      </c>
      <c r="G57" s="2" t="inlineStr"/>
      <c r="H57" s="3">
        <f>HYPERLINK("mailto:venkat.subramanian@utexas.edu", "venkat.subramanian@utexas.edu")</f>
        <v/>
      </c>
      <c r="I57" s="2" t="n">
        <v>3</v>
      </c>
      <c r="J57" s="2" t="inlineStr">
        <is>
          <t>🟠 Tier 3: Structures / Materials / Manufacturing</t>
        </is>
      </c>
      <c r="K57" s="2" t="n">
        <v>2</v>
      </c>
      <c r="L57" s="2" t="inlineStr">
        <is>
          <t>estimation, multiscale</t>
        </is>
      </c>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is>
          <t>Multiscale simulation of electrochemical systems; Model-based battery management systems and real-time state-of-charge/real-time state-of-health estimation of lithium-ion batteries</t>
        </is>
      </c>
      <c r="AI57" s="2" t="inlineStr"/>
      <c r="AJ57" s="2" t="inlineStr">
        <is>
          <t>Multiscale simulation of electrochemical systems; Model-based battery management systems and real-time state-of-charge/real-time state-of-health estimation of lithium-ion batteries</t>
        </is>
      </c>
      <c r="AK57" s="2" t="inlineStr"/>
      <c r="AL57" s="2" t="inlineStr"/>
      <c r="AM57" s="2" t="inlineStr"/>
      <c r="AN57" s="2" t="inlineStr"/>
      <c r="AO57" s="2" t="inlineStr"/>
      <c r="AP57" s="2" t="inlineStr"/>
      <c r="AQ57" s="2" t="inlineStr"/>
      <c r="AR57" s="2" t="inlineStr"/>
      <c r="AS57" s="2" t="inlineStr"/>
      <c r="AT57" s="2" t="inlineStr">
        <is>
          <t>GLT 2.246</t>
        </is>
      </c>
      <c r="AU57" s="2" t="b">
        <v>1</v>
      </c>
      <c r="AV57" s="3">
        <f>HYPERLINK("https://me.utexas.edu/people/faculty", "https://me.utexas.edu/people/faculty")</f>
        <v/>
      </c>
    </row>
    <row r="58">
      <c r="A58" s="2" t="inlineStr">
        <is>
          <t>Chih-Hao Chang</t>
        </is>
      </c>
      <c r="B58" s="2" t="inlineStr">
        <is>
          <t>The University of Texas at Austin</t>
        </is>
      </c>
      <c r="C58" s="3">
        <f>HYPERLINK("https://me.utexas.edu/person/chih-hao-chang/", "https://me.utexas.edu/person/chih-hao-chang/")</f>
        <v/>
      </c>
      <c r="D58" s="3">
        <f>HYPERLINK("https://scholar.google.com/citations?view_op=search_authors&amp;mauthors=Chih-Hao%20Chang%20University%20of%20Texas%20at%20Austin", "Google Scholar Search")</f>
        <v/>
      </c>
      <c r="E58" s="2" t="inlineStr">
        <is>
          <t>Professor</t>
        </is>
      </c>
      <c r="F58" s="2" t="inlineStr">
        <is>
          <t>Walker Department of Mechanical Engineering</t>
        </is>
      </c>
      <c r="G58" s="2" t="inlineStr"/>
      <c r="H58" s="3">
        <f>HYPERLINK("mailto:chichang@utexas.edu", "chichang@utexas.edu")</f>
        <v/>
      </c>
      <c r="I58" s="2" t="n">
        <v>3</v>
      </c>
      <c r="J58" s="2" t="inlineStr">
        <is>
          <t>🟠 Tier 3: Structures / Materials / Manufacturing</t>
        </is>
      </c>
      <c r="K58" s="2" t="n">
        <v>1</v>
      </c>
      <c r="L58" s="2" t="inlineStr">
        <is>
          <t>materials</t>
        </is>
      </c>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is>
          <t>Nanofabrication process and nanomanufacturing; 2D/3D nanolithography and EUV lithography; Multifunctional nanostructured materials; Optical systems and metrology</t>
        </is>
      </c>
      <c r="AI58" s="2" t="inlineStr"/>
      <c r="AJ58" s="2" t="inlineStr">
        <is>
          <t>Nanofabrication process and nanomanufacturing; 2D/3D nanolithography and EUV lithography; Multifunctional nanostructured materials; Optical systems and metrology</t>
        </is>
      </c>
      <c r="AK58" s="2" t="inlineStr"/>
      <c r="AL58" s="2" t="inlineStr"/>
      <c r="AM58" s="2" t="inlineStr"/>
      <c r="AN58" s="2" t="inlineStr"/>
      <c r="AO58" s="2" t="inlineStr"/>
      <c r="AP58" s="2" t="inlineStr"/>
      <c r="AQ58" s="2" t="inlineStr"/>
      <c r="AR58" s="2" t="inlineStr"/>
      <c r="AS58" s="2" t="inlineStr"/>
      <c r="AT58" s="2" t="inlineStr">
        <is>
          <t>ETC 4.152A</t>
        </is>
      </c>
      <c r="AU58" s="2" t="b">
        <v>1</v>
      </c>
      <c r="AV58" s="3">
        <f>HYPERLINK("https://me.utexas.edu/people/faculty", "https://me.utexas.edu/people/faculty")</f>
        <v/>
      </c>
    </row>
    <row r="59">
      <c r="A59" s="2" t="inlineStr">
        <is>
          <t>David Mitlin</t>
        </is>
      </c>
      <c r="B59" s="2" t="inlineStr">
        <is>
          <t>The University of Texas at Austin</t>
        </is>
      </c>
      <c r="C59" s="3">
        <f>HYPERLINK("https://me.utexas.edu/person/david-mitlin/", "https://me.utexas.edu/person/david-mitlin/")</f>
        <v/>
      </c>
      <c r="D59" s="3">
        <f>HYPERLINK("https://scholar.google.com/citations?view_op=search_authors&amp;mauthors=David%20Mitlin%20University%20of%20Texas%20at%20Austin", "Google Scholar Search")</f>
        <v/>
      </c>
      <c r="E59" s="2" t="inlineStr">
        <is>
          <t>Professor</t>
        </is>
      </c>
      <c r="F59" s="2" t="inlineStr">
        <is>
          <t>Walker Department of Mechanical Engineering</t>
        </is>
      </c>
      <c r="G59" s="2" t="inlineStr"/>
      <c r="H59" s="3">
        <f>HYPERLINK("mailto:david.mitlin@austin.utexas.edu", "david.mitlin@austin.utexas.edu")</f>
        <v/>
      </c>
      <c r="I59" s="2" t="n">
        <v>3</v>
      </c>
      <c r="J59" s="2" t="inlineStr">
        <is>
          <t>🟠 Tier 3: Structures / Materials / Manufacturing</t>
        </is>
      </c>
      <c r="K59" s="2" t="n">
        <v>1</v>
      </c>
      <c r="L59" s="2" t="inlineStr">
        <is>
          <t>materials</t>
        </is>
      </c>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is>
          <t>Electrochemical and chemical energy storage; Thin films; Materials design; Transmission electron microscopy and corrosion</t>
        </is>
      </c>
      <c r="AI59" s="2" t="inlineStr"/>
      <c r="AJ59" s="2" t="inlineStr">
        <is>
          <t>Electrochemical and chemical energy storage; Thin films; Materials design; Transmission electron microscopy and corrosion</t>
        </is>
      </c>
      <c r="AK59" s="2" t="inlineStr"/>
      <c r="AL59" s="2" t="inlineStr"/>
      <c r="AM59" s="2" t="inlineStr"/>
      <c r="AN59" s="2" t="inlineStr"/>
      <c r="AO59" s="2" t="inlineStr"/>
      <c r="AP59" s="2" t="inlineStr"/>
      <c r="AQ59" s="2" t="inlineStr"/>
      <c r="AR59" s="2" t="inlineStr"/>
      <c r="AS59" s="2" t="inlineStr"/>
      <c r="AT59" s="2" t="inlineStr">
        <is>
          <t>GLT 2.248</t>
        </is>
      </c>
      <c r="AU59" s="2" t="b">
        <v>1</v>
      </c>
      <c r="AV59" s="3">
        <f>HYPERLINK("https://me.utexas.edu/people/faculty", "https://me.utexas.edu/people/faculty")</f>
        <v/>
      </c>
    </row>
    <row r="60">
      <c r="A60" s="2" t="inlineStr">
        <is>
          <t>Desiderio Kovar</t>
        </is>
      </c>
      <c r="B60" s="2" t="inlineStr">
        <is>
          <t>The University of Texas at Austin</t>
        </is>
      </c>
      <c r="C60" s="3">
        <f>HYPERLINK("https://me.utexas.edu/person/desiderio-kovar/", "https://me.utexas.edu/person/desiderio-kovar/")</f>
        <v/>
      </c>
      <c r="D60" s="3">
        <f>HYPERLINK("https://scholar.google.com/citations?view_op=search_authors&amp;mauthors=Desiderio%20Kovar%20University%20of%20Texas%20at%20Austin", "Google Scholar Search")</f>
        <v/>
      </c>
      <c r="E60" s="2" t="inlineStr">
        <is>
          <t>Professor</t>
        </is>
      </c>
      <c r="F60" s="2" t="inlineStr">
        <is>
          <t>Walker Department of Mechanical Engineering</t>
        </is>
      </c>
      <c r="G60" s="2" t="inlineStr"/>
      <c r="H60" s="3">
        <f>HYPERLINK("mailto:dekovar@austin.utexas.edu", "dekovar@austin.utexas.edu")</f>
        <v/>
      </c>
      <c r="I60" s="2" t="n">
        <v>3</v>
      </c>
      <c r="J60" s="2" t="inlineStr">
        <is>
          <t>🟠 Tier 3: Structures / Materials / Manufacturing</t>
        </is>
      </c>
      <c r="K60" s="2" t="n">
        <v>1</v>
      </c>
      <c r="L60" s="2" t="inlineStr">
        <is>
          <t>materials</t>
        </is>
      </c>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is>
          <t>Production and characterization of nanoparticles; Nanostructured thick films; Solid oxide fuel cells; Honeycomb ceramics; Additive manufacturing processes and materials</t>
        </is>
      </c>
      <c r="AI60" s="2" t="inlineStr"/>
      <c r="AJ60" s="2" t="inlineStr">
        <is>
          <t>Production and characterization of nanoparticles; Nanostructured thick films; Solid oxide fuel cells; Honeycomb ceramics; Additive manufacturing processes and materials</t>
        </is>
      </c>
      <c r="AK60" s="2" t="inlineStr"/>
      <c r="AL60" s="2" t="inlineStr"/>
      <c r="AM60" s="2" t="inlineStr"/>
      <c r="AN60" s="2" t="inlineStr"/>
      <c r="AO60" s="2" t="inlineStr"/>
      <c r="AP60" s="2" t="inlineStr"/>
      <c r="AQ60" s="2" t="inlineStr"/>
      <c r="AR60" s="2" t="inlineStr"/>
      <c r="AS60" s="2" t="inlineStr"/>
      <c r="AT60" s="2" t="inlineStr">
        <is>
          <t>ETC 9.146</t>
        </is>
      </c>
      <c r="AU60" s="2" t="b">
        <v>1</v>
      </c>
      <c r="AV60" s="3">
        <f>HYPERLINK("https://me.utexas.edu/people/faculty", "https://me.utexas.edu/people/faculty")</f>
        <v/>
      </c>
    </row>
    <row r="61">
      <c r="A61" s="2" t="inlineStr">
        <is>
          <t>Donald Siegel</t>
        </is>
      </c>
      <c r="B61" s="2" t="inlineStr">
        <is>
          <t>The University of Texas at Austin</t>
        </is>
      </c>
      <c r="C61" s="3">
        <f>HYPERLINK("https://me.utexas.edu/person/donald-siegel/", "https://me.utexas.edu/person/donald-siegel/")</f>
        <v/>
      </c>
      <c r="D61" s="3">
        <f>HYPERLINK("https://scholar.google.com/citations?view_op=search_authors&amp;mauthors=Donald%20Siegel%20University%20of%20Texas%20at%20Austin", "Google Scholar Search")</f>
        <v/>
      </c>
      <c r="E61" s="2" t="inlineStr">
        <is>
          <t>Department Chair and Professor</t>
        </is>
      </c>
      <c r="F61" s="2" t="inlineStr">
        <is>
          <t>Walker Department of Mechanical Engineering</t>
        </is>
      </c>
      <c r="G61" s="2" t="inlineStr"/>
      <c r="H61" s="3">
        <f>HYPERLINK("mailto:donald.siegel@austin.utexas.edu", "donald.siegel@austin.utexas.edu")</f>
        <v/>
      </c>
      <c r="I61" s="2" t="n">
        <v>3</v>
      </c>
      <c r="J61" s="2" t="inlineStr">
        <is>
          <t>🟠 Tier 3: Structures / Materials / Manufacturing</t>
        </is>
      </c>
      <c r="K61" s="2" t="n">
        <v>1</v>
      </c>
      <c r="L61" s="2" t="inlineStr">
        <is>
          <t>materials</t>
        </is>
      </c>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is>
          <t>Computational materials science; Materials for energy storage; Sustainable transportation; Materials discovery; Machine learning; Microstructural and mechanical properties</t>
        </is>
      </c>
      <c r="AI61" s="2" t="inlineStr"/>
      <c r="AJ61" s="2" t="inlineStr">
        <is>
          <t>Computational materials science; Materials for energy storage; Sustainable transportation; Materials discovery; Machine learning; Microstructural and mechanical properties</t>
        </is>
      </c>
      <c r="AK61" s="2" t="inlineStr"/>
      <c r="AL61" s="2" t="inlineStr"/>
      <c r="AM61" s="2" t="inlineStr"/>
      <c r="AN61" s="2" t="inlineStr"/>
      <c r="AO61" s="2" t="inlineStr"/>
      <c r="AP61" s="2" t="inlineStr"/>
      <c r="AQ61" s="2" t="inlineStr"/>
      <c r="AR61" s="2" t="inlineStr"/>
      <c r="AS61" s="2" t="inlineStr"/>
      <c r="AT61" s="2" t="inlineStr">
        <is>
          <t>ETC 5.208A</t>
        </is>
      </c>
      <c r="AU61" s="2" t="b">
        <v>1</v>
      </c>
      <c r="AV61" s="3">
        <f>HYPERLINK("https://me.utexas.edu/people/faculty", "https://me.utexas.edu/people/faculty")</f>
        <v/>
      </c>
    </row>
    <row r="62">
      <c r="A62" s="2" t="inlineStr">
        <is>
          <t>Filippo Mangolini</t>
        </is>
      </c>
      <c r="B62" s="2" t="inlineStr">
        <is>
          <t>The University of Texas at Austin</t>
        </is>
      </c>
      <c r="C62" s="3">
        <f>HYPERLINK("https://me.utexas.edu/person/filippo-mangolini/", "https://me.utexas.edu/person/filippo-mangolini/")</f>
        <v/>
      </c>
      <c r="D62" s="3">
        <f>HYPERLINK("https://scholar.google.com/citations?view_op=search_authors&amp;mauthors=Filippo%20Mangolini%20University%20of%20Texas%20at%20Austin", "Google Scholar Search")</f>
        <v/>
      </c>
      <c r="E62" s="2" t="inlineStr">
        <is>
          <t>Associate Professor</t>
        </is>
      </c>
      <c r="F62" s="2" t="inlineStr">
        <is>
          <t>Walker Department of Mechanical Engineering</t>
        </is>
      </c>
      <c r="G62" s="2" t="inlineStr"/>
      <c r="H62" s="3">
        <f>HYPERLINK("mailto:filippo.mangolini@austin.utexas.edu", "filippo.mangolini@austin.utexas.edu")</f>
        <v/>
      </c>
      <c r="I62" s="2" t="n">
        <v>3</v>
      </c>
      <c r="J62" s="2" t="inlineStr">
        <is>
          <t>🟠 Tier 3: Structures / Materials / Manufacturing</t>
        </is>
      </c>
      <c r="K62" s="2" t="n">
        <v>1</v>
      </c>
      <c r="L62" s="2" t="inlineStr">
        <is>
          <t>materials</t>
        </is>
      </c>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is>
          <t>Analytical investigations of surface and interfacial phenomena; Development of thin films and materials for tribological applications; Advanced surface spectroscopy (X-ray); Scanning probe microscopy</t>
        </is>
      </c>
      <c r="AI62" s="2" t="inlineStr"/>
      <c r="AJ62" s="2" t="inlineStr">
        <is>
          <t>Analytical investigations of surface and interfacial phenomena; Development of thin films and materials for tribological applications; Advanced surface spectroscopy (X-ray); Scanning probe microscopy</t>
        </is>
      </c>
      <c r="AK62" s="2" t="inlineStr"/>
      <c r="AL62" s="2" t="inlineStr"/>
      <c r="AM62" s="2" t="inlineStr"/>
      <c r="AN62" s="2" t="inlineStr"/>
      <c r="AO62" s="2" t="inlineStr"/>
      <c r="AP62" s="2" t="inlineStr"/>
      <c r="AQ62" s="2" t="inlineStr"/>
      <c r="AR62" s="2" t="inlineStr"/>
      <c r="AS62" s="2" t="inlineStr"/>
      <c r="AT62" s="2" t="inlineStr">
        <is>
          <t>ETC 9.176</t>
        </is>
      </c>
      <c r="AU62" s="2" t="b">
        <v>1</v>
      </c>
      <c r="AV62" s="3">
        <f>HYPERLINK("https://me.utexas.edu/people/faculty", "https://me.utexas.edu/people/faculty")</f>
        <v/>
      </c>
    </row>
    <row r="63">
      <c r="A63" s="2" t="inlineStr">
        <is>
          <t>Hadi Khani</t>
        </is>
      </c>
      <c r="B63" s="2" t="inlineStr">
        <is>
          <t>The University of Texas at Austin</t>
        </is>
      </c>
      <c r="C63" s="3">
        <f>HYPERLINK("https://me.utexas.edu/person/hadi-khani/", "https://me.utexas.edu/person/hadi-khani/")</f>
        <v/>
      </c>
      <c r="D63" s="3">
        <f>HYPERLINK("https://scholar.google.com/citations?view_op=search_authors&amp;mauthors=Hadi%20Khani%20University%20of%20Texas%20at%20Austin", "Google Scholar Search")</f>
        <v/>
      </c>
      <c r="E63" s="2" t="inlineStr">
        <is>
          <t>Research Assistant Professor</t>
        </is>
      </c>
      <c r="F63" s="2" t="inlineStr">
        <is>
          <t>Walker Department of Mechanical Engineering</t>
        </is>
      </c>
      <c r="G63" s="2" t="inlineStr"/>
      <c r="H63" s="3">
        <f>HYPERLINK("mailto:hadi.khani@austin.utexas.edu", "hadi.khani@austin.utexas.edu")</f>
        <v/>
      </c>
      <c r="I63" s="2" t="n">
        <v>3</v>
      </c>
      <c r="J63" s="2" t="inlineStr">
        <is>
          <t>🟠 Tier 3: Structures / Materials / Manufacturing</t>
        </is>
      </c>
      <c r="K63" s="2" t="n">
        <v>1</v>
      </c>
      <c r="L63" s="2" t="inlineStr">
        <is>
          <t>materials</t>
        </is>
      </c>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is>
          <t>Design and synthesis of polymer and inorganic materials for use in rechargeable batteries; Fast ion-conducting solid-state/gel electrolytes; Electrocatalysts; Supercapacitors</t>
        </is>
      </c>
      <c r="AI63" s="2" t="inlineStr"/>
      <c r="AJ63" s="2" t="inlineStr">
        <is>
          <t>Design and synthesis of polymer and inorganic materials for use in rechargeable batteries; Fast ion-conducting solid-state/gel electrolytes; Electrocatalysts; Supercapacitors</t>
        </is>
      </c>
      <c r="AK63" s="2" t="inlineStr"/>
      <c r="AL63" s="2" t="inlineStr"/>
      <c r="AM63" s="2" t="inlineStr"/>
      <c r="AN63" s="2" t="inlineStr"/>
      <c r="AO63" s="2" t="inlineStr"/>
      <c r="AP63" s="2" t="inlineStr"/>
      <c r="AQ63" s="2" t="inlineStr"/>
      <c r="AR63" s="2" t="inlineStr"/>
      <c r="AS63" s="2" t="inlineStr"/>
      <c r="AT63" s="2" t="inlineStr">
        <is>
          <t>ETC 9.108</t>
        </is>
      </c>
      <c r="AU63" s="2" t="b">
        <v>1</v>
      </c>
      <c r="AV63" s="3">
        <f>HYPERLINK("https://me.utexas.edu/people/faculty", "https://me.utexas.edu/people/faculty")</f>
        <v/>
      </c>
    </row>
    <row r="64">
      <c r="A64" s="2" t="inlineStr">
        <is>
          <t>Jamie Warner</t>
        </is>
      </c>
      <c r="B64" s="2" t="inlineStr">
        <is>
          <t>The University of Texas at Austin</t>
        </is>
      </c>
      <c r="C64" s="3">
        <f>HYPERLINK("https://me.utexas.edu/person/jamie-warner/", "https://me.utexas.edu/person/jamie-warner/")</f>
        <v/>
      </c>
      <c r="D64" s="3">
        <f>HYPERLINK("https://scholar.google.com/citations?view_op=search_authors&amp;mauthors=Jamie%20Warner%20University%20of%20Texas%20at%20Austin", "Google Scholar Search")</f>
        <v/>
      </c>
      <c r="E64" s="2" t="inlineStr">
        <is>
          <t>Professor</t>
        </is>
      </c>
      <c r="F64" s="2" t="inlineStr">
        <is>
          <t>Walker Department of Mechanical Engineering</t>
        </is>
      </c>
      <c r="G64" s="2" t="inlineStr"/>
      <c r="H64" s="3">
        <f>HYPERLINK("mailto:jamie.warner@austin.utexas.edu", "jamie.warner@austin.utexas.edu")</f>
        <v/>
      </c>
      <c r="I64" s="2" t="n">
        <v>3</v>
      </c>
      <c r="J64" s="2" t="inlineStr">
        <is>
          <t>🟠 Tier 3: Structures / Materials / Manufacturing</t>
        </is>
      </c>
      <c r="K64" s="2" t="n">
        <v>1</v>
      </c>
      <c r="L64" s="2" t="inlineStr">
        <is>
          <t>materials</t>
        </is>
      </c>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is>
          <t>Next generation of nanostructured materials with unique properties that will impact electronic, opto-electronic and energy applications</t>
        </is>
      </c>
      <c r="AI64" s="2" t="inlineStr"/>
      <c r="AJ64" s="2" t="inlineStr">
        <is>
          <t>Next generation of nanostructured materials with unique properties that will impact electronic, opto-electronic and energy applications</t>
        </is>
      </c>
      <c r="AK64" s="2" t="inlineStr"/>
      <c r="AL64" s="2" t="inlineStr"/>
      <c r="AM64" s="2" t="inlineStr"/>
      <c r="AN64" s="2" t="inlineStr"/>
      <c r="AO64" s="2" t="inlineStr"/>
      <c r="AP64" s="2" t="inlineStr"/>
      <c r="AQ64" s="2" t="inlineStr"/>
      <c r="AR64" s="2" t="inlineStr"/>
      <c r="AS64" s="2" t="inlineStr"/>
      <c r="AT64" s="2" t="inlineStr">
        <is>
          <t>EER 6.620</t>
        </is>
      </c>
      <c r="AU64" s="2" t="b">
        <v>1</v>
      </c>
      <c r="AV64" s="3">
        <f>HYPERLINK("https://me.utexas.edu/people/faculty", "https://me.utexas.edu/people/faculty")</f>
        <v/>
      </c>
    </row>
    <row r="65">
      <c r="A65" s="2" t="inlineStr">
        <is>
          <t>Jong-Eun "Jaden" Suh</t>
        </is>
      </c>
      <c r="B65" s="2" t="inlineStr">
        <is>
          <t>The University of Texas at Austin</t>
        </is>
      </c>
      <c r="C65" s="3">
        <f>HYPERLINK("https://ae.utexas.edu/person/jong-eun-jaden-suh/", "https://ae.utexas.edu/person/jong-eun-jaden-suh/")</f>
        <v/>
      </c>
      <c r="D65" s="3">
        <f>HYPERLINK("https://scholar.google.com/citations?view_op=search_authors&amp;mauthors=Jong-Eun%20%22Jaden%22%20Suh%20University%20of%20Texas%20at%20Austin", "Google Scholar Search")</f>
        <v/>
      </c>
      <c r="E65" s="2" t="inlineStr">
        <is>
          <t>Assistant Professor</t>
        </is>
      </c>
      <c r="F65" s="2" t="inlineStr">
        <is>
          <t>Aerospace Engineering and Engineering Mechanics</t>
        </is>
      </c>
      <c r="G65" s="2" t="inlineStr"/>
      <c r="H65" s="3">
        <f>HYPERLINK("mailto:jsuh@utexas.edu", "jsuh@utexas.edu")</f>
        <v/>
      </c>
      <c r="I65" s="2" t="n">
        <v>3</v>
      </c>
      <c r="J65" s="2" t="inlineStr">
        <is>
          <t>🟠 Tier 3: Structures / Materials / Manufacturing</t>
        </is>
      </c>
      <c r="K65" s="2" t="n">
        <v>1</v>
      </c>
      <c r="L65" s="2" t="inlineStr">
        <is>
          <t>aerospace</t>
        </is>
      </c>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is>
          <t>Nonlinear mechanics of lightweight space structures; In-space assembly and manufacturing; Origami-inspired deployable and reconfigurable structures; Intelligent and adaptive structures</t>
        </is>
      </c>
      <c r="AI65" s="2" t="inlineStr"/>
      <c r="AJ65" s="2" t="inlineStr">
        <is>
          <t>Nonlinear mechanics of lightweight space structures; In-space assembly and manufacturing; Origami-inspired deployable and reconfigurable structures; Intelligent and adaptive structures</t>
        </is>
      </c>
      <c r="AK65" s="2" t="inlineStr"/>
      <c r="AL65" s="2" t="inlineStr"/>
      <c r="AM65" s="2" t="inlineStr"/>
      <c r="AN65" s="2" t="inlineStr"/>
      <c r="AO65" s="2" t="inlineStr"/>
      <c r="AP65" s="2" t="inlineStr"/>
      <c r="AQ65" s="2" t="inlineStr"/>
      <c r="AR65" s="2" t="inlineStr"/>
      <c r="AS65" s="2" t="inlineStr"/>
      <c r="AT65" s="2" t="inlineStr">
        <is>
          <t>ASE 5.208</t>
        </is>
      </c>
      <c r="AU65" s="2" t="b">
        <v>1</v>
      </c>
      <c r="AV65" s="3">
        <f>HYPERLINK("https://ae.utexas.edu/people/faculty", "https://ae.utexas.edu/people/faculty")</f>
        <v/>
      </c>
    </row>
    <row r="66">
      <c r="A66" s="2" t="inlineStr">
        <is>
          <t>Joseph Koo</t>
        </is>
      </c>
      <c r="B66" s="2" t="inlineStr">
        <is>
          <t>The University of Texas at Austin</t>
        </is>
      </c>
      <c r="C66" s="3">
        <f>HYPERLINK("https://me.utexas.edu/person/joseph-koo/", "https://me.utexas.edu/person/joseph-koo/")</f>
        <v/>
      </c>
      <c r="D66" s="3">
        <f>HYPERLINK("https://scholar.google.com/citations?view_op=search_authors&amp;mauthors=Joseph%20Koo%20University%20of%20Texas%20at%20Austin", "Google Scholar Search")</f>
        <v/>
      </c>
      <c r="E66" s="2" t="inlineStr">
        <is>
          <t>Senior Research Scientist</t>
        </is>
      </c>
      <c r="F66" s="2" t="inlineStr">
        <is>
          <t>Walker Department of Mechanical Engineering</t>
        </is>
      </c>
      <c r="G66" s="2" t="inlineStr"/>
      <c r="H66" s="3">
        <f>HYPERLINK("mailto:jkoo@austin.utexas.edu", "jkoo@austin.utexas.edu")</f>
        <v/>
      </c>
      <c r="I66" s="2" t="n">
        <v>3</v>
      </c>
      <c r="J66" s="2" t="inlineStr">
        <is>
          <t>🟠 Tier 3: Structures / Materials / Manufacturing</t>
        </is>
      </c>
      <c r="K66" s="2" t="n">
        <v>1</v>
      </c>
      <c r="L66" s="2" t="inlineStr">
        <is>
          <t>composites</t>
        </is>
      </c>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is>
          <t>Polymer nanocomposites technology designed for extreme environments; Ablation; Flame-retardant polymers; Conductive polymers</t>
        </is>
      </c>
      <c r="AI66" s="2" t="inlineStr"/>
      <c r="AJ66" s="2" t="inlineStr">
        <is>
          <t>Polymer nanocomposites technology designed for extreme environments; Ablation; Flame-retardant polymers; Conductive polymers</t>
        </is>
      </c>
      <c r="AK66" s="2" t="inlineStr"/>
      <c r="AL66" s="2" t="inlineStr"/>
      <c r="AM66" s="2" t="inlineStr"/>
      <c r="AN66" s="2" t="inlineStr"/>
      <c r="AO66" s="2" t="inlineStr"/>
      <c r="AP66" s="2" t="inlineStr"/>
      <c r="AQ66" s="2" t="inlineStr"/>
      <c r="AR66" s="2" t="inlineStr"/>
      <c r="AS66" s="2" t="inlineStr"/>
      <c r="AT66" s="2" t="inlineStr"/>
      <c r="AU66" s="2" t="b">
        <v>1</v>
      </c>
      <c r="AV66" s="3">
        <f>HYPERLINK("https://me.utexas.edu/people/faculty", "https://me.utexas.edu/people/faculty")</f>
        <v/>
      </c>
    </row>
    <row r="67">
      <c r="A67" s="2" t="inlineStr">
        <is>
          <t>Mark Raizen</t>
        </is>
      </c>
      <c r="B67" s="2" t="inlineStr">
        <is>
          <t>The University of Texas at Austin</t>
        </is>
      </c>
      <c r="C67" s="3">
        <f>HYPERLINK("https://physics.utexas.edu/directory/mark-raizen", "https://physics.utexas.edu/directory/mark-raizen")</f>
        <v/>
      </c>
      <c r="D67" s="3">
        <f>HYPERLINK("https://scholar.google.com/citations?view_op=search_authors&amp;mauthors=Mark%20Raizen%20University%20of%20Texas%20at%20Austin", "Google Scholar Search")</f>
        <v/>
      </c>
      <c r="E67" s="2" t="inlineStr">
        <is>
          <t>Professor</t>
        </is>
      </c>
      <c r="F67" s="2" t="inlineStr">
        <is>
          <t>Walker Department of Mechanical Engineering</t>
        </is>
      </c>
      <c r="G67" s="2" t="inlineStr"/>
      <c r="H67" s="3">
        <f>HYPERLINK("mailto:raizen@physics.utexas.edu", "raizen@physics.utexas.edu")</f>
        <v/>
      </c>
      <c r="I67" s="2" t="n">
        <v>3</v>
      </c>
      <c r="J67" s="2" t="inlineStr">
        <is>
          <t>🟠 Tier 3: Structures / Materials / Manufacturing</t>
        </is>
      </c>
      <c r="K67" s="2" t="n">
        <v>1</v>
      </c>
      <c r="L67" s="2" t="inlineStr">
        <is>
          <t>materials</t>
        </is>
      </c>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is>
          <t>Experimental atom optics; Generation of scalable quantum entanglement; Comprehensive control of atomic and molecular motion; Trapping of atomic hydrogen isotopes; Applications to new materials and processes; Optical trapping and cooling of glass microspheres</t>
        </is>
      </c>
      <c r="AI67" s="2" t="inlineStr"/>
      <c r="AJ67" s="2" t="inlineStr">
        <is>
          <t>Experimental atom optics; Generation of scalable quantum entanglement; Comprehensive control of atomic and molecular motion; Trapping of atomic hydrogen isotopes; Applications to new materials and processes; Optical trapping and cooling of glass microspheres</t>
        </is>
      </c>
      <c r="AK67" s="2" t="inlineStr"/>
      <c r="AL67" s="2" t="inlineStr"/>
      <c r="AM67" s="2" t="inlineStr"/>
      <c r="AN67" s="2" t="inlineStr"/>
      <c r="AO67" s="2" t="inlineStr"/>
      <c r="AP67" s="2" t="inlineStr"/>
      <c r="AQ67" s="2" t="inlineStr"/>
      <c r="AR67" s="2" t="inlineStr"/>
      <c r="AS67" s="2" t="inlineStr"/>
      <c r="AT67" s="2" t="inlineStr">
        <is>
          <t>PMA 7.218</t>
        </is>
      </c>
      <c r="AU67" s="2" t="b">
        <v>1</v>
      </c>
      <c r="AV67" s="3">
        <f>HYPERLINK("https://me.utexas.edu/people/faculty", "https://me.utexas.edu/people/faculty")</f>
        <v/>
      </c>
    </row>
    <row r="68">
      <c r="A68" s="2" t="inlineStr">
        <is>
          <t>Wei Li</t>
        </is>
      </c>
      <c r="B68" s="2" t="inlineStr">
        <is>
          <t>The University of Texas at Austin</t>
        </is>
      </c>
      <c r="C68" s="3">
        <f>HYPERLINK("https://me.utexas.edu/person/wei-li/", "https://me.utexas.edu/person/wei-li/")</f>
        <v/>
      </c>
      <c r="D68" s="3">
        <f>HYPERLINK("https://scholar.google.com/citations?view_op=search_authors&amp;mauthors=Wei%20Li%20University%20of%20Texas%20at%20Austin", "Google Scholar Search")</f>
        <v/>
      </c>
      <c r="E68" s="2" t="inlineStr">
        <is>
          <t>Professor</t>
        </is>
      </c>
      <c r="F68" s="2" t="inlineStr">
        <is>
          <t>Walker Department of Mechanical Engineering</t>
        </is>
      </c>
      <c r="G68" s="2" t="inlineStr"/>
      <c r="H68" s="3">
        <f>HYPERLINK("mailto:weiwli@austin.utexas.edu", "weiwli@austin.utexas.edu")</f>
        <v/>
      </c>
      <c r="I68" s="2" t="n">
        <v>3</v>
      </c>
      <c r="J68" s="2" t="inlineStr">
        <is>
          <t>🟠 Tier 3: Structures / Materials / Manufacturing</t>
        </is>
      </c>
      <c r="K68" s="2" t="n">
        <v>1</v>
      </c>
      <c r="L68" s="2" t="inlineStr">
        <is>
          <t>composites</t>
        </is>
      </c>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is>
          <t>Roll-to-roll manufacturing; Polymer nanofoam and nanocomposites; In-vitro tissue model systems; Clean energy technology</t>
        </is>
      </c>
      <c r="AI68" s="2" t="inlineStr"/>
      <c r="AJ68" s="2" t="inlineStr">
        <is>
          <t>Roll-to-roll manufacturing; Polymer nanofoam and nanocomposites; In-vitro tissue model systems; Clean energy technology</t>
        </is>
      </c>
      <c r="AK68" s="2" t="inlineStr"/>
      <c r="AL68" s="2" t="inlineStr"/>
      <c r="AM68" s="2" t="inlineStr"/>
      <c r="AN68" s="2" t="inlineStr"/>
      <c r="AO68" s="2" t="inlineStr"/>
      <c r="AP68" s="2" t="inlineStr"/>
      <c r="AQ68" s="2" t="inlineStr"/>
      <c r="AR68" s="2" t="inlineStr"/>
      <c r="AS68" s="2" t="inlineStr"/>
      <c r="AT68" s="2" t="inlineStr">
        <is>
          <t>ETC 4.146B</t>
        </is>
      </c>
      <c r="AU68" s="2" t="b">
        <v>1</v>
      </c>
      <c r="AV68" s="3">
        <f>HYPERLINK("https://me.utexas.edu/people/faculty", "https://me.utexas.edu/people/faculty")</f>
        <v/>
      </c>
    </row>
    <row r="69">
      <c r="A69" s="2" t="inlineStr">
        <is>
          <t>Yuanyue Liu</t>
        </is>
      </c>
      <c r="B69" s="2" t="inlineStr">
        <is>
          <t>The University of Texas at Austin</t>
        </is>
      </c>
      <c r="C69" s="3">
        <f>HYPERLINK("https://me.utexas.edu/person/yuanyue-liu/", "https://me.utexas.edu/person/yuanyue-liu/")</f>
        <v/>
      </c>
      <c r="D69" s="3">
        <f>HYPERLINK("https://scholar.google.com/citations?view_op=search_authors&amp;mauthors=Yuanyue%20Liu%20University%20of%20Texas%20at%20Austin", "Google Scholar Search")</f>
        <v/>
      </c>
      <c r="E69" s="2" t="inlineStr">
        <is>
          <t>Associate Professor</t>
        </is>
      </c>
      <c r="F69" s="2" t="inlineStr">
        <is>
          <t>Walker Department of Mechanical Engineering</t>
        </is>
      </c>
      <c r="G69" s="2" t="inlineStr"/>
      <c r="H69" s="3">
        <f>HYPERLINK("mailto:yuanyue.liu@austin.utexas.edu", "yuanyue.liu@austin.utexas.edu")</f>
        <v/>
      </c>
      <c r="I69" s="2" t="n">
        <v>3</v>
      </c>
      <c r="J69" s="2" t="inlineStr">
        <is>
          <t>🟠 Tier 3: Structures / Materials / Manufacturing</t>
        </is>
      </c>
      <c r="K69" s="2" t="n">
        <v>1</v>
      </c>
      <c r="L69" s="2" t="inlineStr">
        <is>
          <t>materials</t>
        </is>
      </c>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is>
          <t>Atomistic modeling methods to understand, design and discover materials for electronics and energy applications; Charge transport; Electrochemistry; 2D materials</t>
        </is>
      </c>
      <c r="AI69" s="2" t="inlineStr"/>
      <c r="AJ69" s="2" t="inlineStr">
        <is>
          <t>Atomistic modeling methods to understand, design and discover materials for electronics and energy applications; Charge transport; Electrochemistry; 2D materials</t>
        </is>
      </c>
      <c r="AK69" s="2" t="inlineStr"/>
      <c r="AL69" s="2" t="inlineStr"/>
      <c r="AM69" s="2" t="inlineStr"/>
      <c r="AN69" s="2" t="inlineStr"/>
      <c r="AO69" s="2" t="inlineStr"/>
      <c r="AP69" s="2" t="inlineStr"/>
      <c r="AQ69" s="2" t="inlineStr"/>
      <c r="AR69" s="2" t="inlineStr"/>
      <c r="AS69" s="2" t="inlineStr"/>
      <c r="AT69" s="2" t="inlineStr">
        <is>
          <t>ETC 9.168</t>
        </is>
      </c>
      <c r="AU69" s="2" t="b">
        <v>1</v>
      </c>
      <c r="AV69" s="3">
        <f>HYPERLINK("https://me.utexas.edu/people/faculty", "https://me.utexas.edu/people/faculty")</f>
        <v/>
      </c>
    </row>
    <row r="70">
      <c r="A70" s="2" t="inlineStr">
        <is>
          <t>Zhantao Chen</t>
        </is>
      </c>
      <c r="B70" s="2" t="inlineStr">
        <is>
          <t>The University of Texas at Austin</t>
        </is>
      </c>
      <c r="C70" s="3">
        <f>HYPERLINK("https://me.utexas.edu/person/zhantao-chen/", "https://me.utexas.edu/person/zhantao-chen/")</f>
        <v/>
      </c>
      <c r="D70" s="3">
        <f>HYPERLINK("https://scholar.google.com/citations?view_op=search_authors&amp;mauthors=Zhantao%20Chen%20University%20of%20Texas%20at%20Austin", "Google Scholar Search")</f>
        <v/>
      </c>
      <c r="E70" s="2" t="inlineStr">
        <is>
          <t>Assistant Professor</t>
        </is>
      </c>
      <c r="F70" s="2" t="inlineStr">
        <is>
          <t>Walker Department of Mechanical Engineering</t>
        </is>
      </c>
      <c r="G70" s="2" t="inlineStr"/>
      <c r="H70" s="3">
        <f>HYPERLINK("mailto:zhantao@austin.utexas.edu", "zhantao@austin.utexas.edu")</f>
        <v/>
      </c>
      <c r="I70" s="2" t="n">
        <v>3</v>
      </c>
      <c r="J70" s="2" t="inlineStr">
        <is>
          <t>🟠 Tier 3: Structures / Materials / Manufacturing</t>
        </is>
      </c>
      <c r="K70" s="2" t="n">
        <v>1</v>
      </c>
      <c r="L70" s="2" t="inlineStr">
        <is>
          <t>materials</t>
        </is>
      </c>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is>
          <t>Computational materials science; AI for science; Agentic AI for scientific discovery; Neutron and x-ray scattering; Inverse problems</t>
        </is>
      </c>
      <c r="AI70" s="2" t="inlineStr"/>
      <c r="AJ70" s="2" t="inlineStr">
        <is>
          <t>Computational materials science; AI for science; Agentic AI for scientific discovery; Neutron and x-ray scattering; Inverse problems</t>
        </is>
      </c>
      <c r="AK70" s="2" t="inlineStr"/>
      <c r="AL70" s="2" t="inlineStr"/>
      <c r="AM70" s="2" t="inlineStr"/>
      <c r="AN70" s="2" t="inlineStr"/>
      <c r="AO70" s="2" t="inlineStr"/>
      <c r="AP70" s="2" t="inlineStr"/>
      <c r="AQ70" s="2" t="inlineStr"/>
      <c r="AR70" s="2" t="inlineStr"/>
      <c r="AS70" s="2" t="inlineStr"/>
      <c r="AT70" s="2" t="inlineStr">
        <is>
          <t>EER 6.614B</t>
        </is>
      </c>
      <c r="AU70" s="2" t="b">
        <v>1</v>
      </c>
      <c r="AV70" s="3">
        <f>HYPERLINK("https://me.utexas.edu/people/faculty", "https://me.utexas.edu/people/faculty")</f>
        <v/>
      </c>
    </row>
    <row r="71">
      <c r="A71" s="2" t="inlineStr">
        <is>
          <t>Anastasia Schauer</t>
        </is>
      </c>
      <c r="B71" s="2" t="inlineStr">
        <is>
          <t>The University of Texas at Austin</t>
        </is>
      </c>
      <c r="C71" s="3">
        <f>HYPERLINK("https://me.utexas.edu/person/anastasia-schauer/", "https://me.utexas.edu/person/anastasia-schauer/")</f>
        <v/>
      </c>
      <c r="D71" s="3">
        <f>HYPERLINK("https://scholar.google.com/citations?view_op=search_authors&amp;mauthors=Anastasia%20Schauer%20University%20of%20Texas%20at%20Austin", "Google Scholar Search")</f>
        <v/>
      </c>
      <c r="E71" s="2" t="inlineStr">
        <is>
          <t>Assistant Professor</t>
        </is>
      </c>
      <c r="F71" s="2" t="inlineStr">
        <is>
          <t>Walker Department of Mechanical Engineering</t>
        </is>
      </c>
      <c r="G71" s="2" t="inlineStr"/>
      <c r="H71" s="3">
        <f>HYPERLINK("mailto:anastasia.schauer@austin.utexas.edu", "anastasia.schauer@austin.utexas.edu")</f>
        <v/>
      </c>
      <c r="I71" s="2" t="n">
        <v>3</v>
      </c>
      <c r="J71" s="2" t="inlineStr">
        <is>
          <t>🟠 Tier 3: Structures / Materials / Manufacturing</t>
        </is>
      </c>
      <c r="K71" s="2" t="n">
        <v>0</v>
      </c>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is>
          <t>Design cognition; Design theory and methodology; Humanitarian engineering; Cognitive bias and empathy in design; Innovation and creativity; Equity and social impact in engineering; Design for manufacturing; Engineering education</t>
        </is>
      </c>
      <c r="AI71" s="2" t="inlineStr"/>
      <c r="AJ71" s="2" t="inlineStr">
        <is>
          <t>Design cognition; Design theory and methodology; Humanitarian engineering; Cognitive bias and empathy in design; Innovation and creativity; Equity and social impact in engineering; Design for manufacturing; Engineering education</t>
        </is>
      </c>
      <c r="AK71" s="2" t="inlineStr"/>
      <c r="AL71" s="2" t="inlineStr"/>
      <c r="AM71" s="2" t="inlineStr"/>
      <c r="AN71" s="2" t="inlineStr"/>
      <c r="AO71" s="2" t="inlineStr"/>
      <c r="AP71" s="2" t="inlineStr"/>
      <c r="AQ71" s="2" t="inlineStr"/>
      <c r="AR71" s="2" t="inlineStr"/>
      <c r="AS71" s="2" t="inlineStr"/>
      <c r="AT71" s="2" t="inlineStr">
        <is>
          <t>ETC 4.165</t>
        </is>
      </c>
      <c r="AU71" s="2" t="b">
        <v>0</v>
      </c>
      <c r="AV71" s="3">
        <f>HYPERLINK("https://me.utexas.edu/people/faculty", "https://me.utexas.edu/people/faculty")</f>
        <v/>
      </c>
    </row>
    <row r="72">
      <c r="A72" s="2" t="inlineStr">
        <is>
          <t>Chris Rylander</t>
        </is>
      </c>
      <c r="B72" s="2" t="inlineStr">
        <is>
          <t>The University of Texas at Austin</t>
        </is>
      </c>
      <c r="C72" s="3">
        <f>HYPERLINK("https://me.utexas.edu/person/chris-rylander/", "https://me.utexas.edu/person/chris-rylander/")</f>
        <v/>
      </c>
      <c r="D72" s="3">
        <f>HYPERLINK("https://scholar.google.com/citations?view_op=search_authors&amp;mauthors=Chris%20Rylander%20University%20of%20Texas%20at%20Austin", "Google Scholar Search")</f>
        <v/>
      </c>
      <c r="E72" s="2" t="inlineStr">
        <is>
          <t>Associate Professor</t>
        </is>
      </c>
      <c r="F72" s="2" t="inlineStr">
        <is>
          <t>Walker Department of Mechanical Engineering</t>
        </is>
      </c>
      <c r="G72" s="2" t="inlineStr"/>
      <c r="H72" s="3">
        <f>HYPERLINK("mailto:cgr@austin.utexas.edu", "cgr@austin.utexas.edu")</f>
        <v/>
      </c>
      <c r="I72" s="2" t="n">
        <v>3</v>
      </c>
      <c r="J72" s="2" t="inlineStr">
        <is>
          <t>🟠 Tier 3: Structures / Materials / Manufacturing</t>
        </is>
      </c>
      <c r="K72" s="2" t="n">
        <v>0</v>
      </c>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is>
          <t>Medical device design, manufacturing and clinical translation; Solving health care-related problems using mechanical engineering design and manufacturing techniques</t>
        </is>
      </c>
      <c r="AI72" s="2" t="inlineStr"/>
      <c r="AJ72" s="2" t="inlineStr">
        <is>
          <t>Medical device design, manufacturing and clinical translation; Solving health care-related problems using mechanical engineering design and manufacturing techniques</t>
        </is>
      </c>
      <c r="AK72" s="2" t="inlineStr"/>
      <c r="AL72" s="2" t="inlineStr"/>
      <c r="AM72" s="2" t="inlineStr"/>
      <c r="AN72" s="2" t="inlineStr"/>
      <c r="AO72" s="2" t="inlineStr"/>
      <c r="AP72" s="2" t="inlineStr"/>
      <c r="AQ72" s="2" t="inlineStr"/>
      <c r="AR72" s="2" t="inlineStr"/>
      <c r="AS72" s="2" t="inlineStr"/>
      <c r="AT72" s="2" t="inlineStr">
        <is>
          <t>ETC 7.142D</t>
        </is>
      </c>
      <c r="AU72" s="2" t="b">
        <v>0</v>
      </c>
      <c r="AV72" s="3">
        <f>HYPERLINK("https://me.utexas.edu/people/faculty", "https://me.utexas.edu/people/faculty")</f>
        <v/>
      </c>
    </row>
    <row r="73">
      <c r="A73" s="2" t="inlineStr">
        <is>
          <t>Dragan Djurdjanovic</t>
        </is>
      </c>
      <c r="B73" s="2" t="inlineStr">
        <is>
          <t>The University of Texas at Austin</t>
        </is>
      </c>
      <c r="C73" s="3">
        <f>HYPERLINK("https://me.utexas.edu/person/dragan-djurdjanovic/", "https://me.utexas.edu/person/dragan-djurdjanovic/")</f>
        <v/>
      </c>
      <c r="D73" s="3">
        <f>HYPERLINK("https://scholar.google.com/citations?view_op=search_authors&amp;mauthors=Dragan%20Djurdjanovic%20University%20of%20Texas%20at%20Austin", "Google Scholar Search")</f>
        <v/>
      </c>
      <c r="E73" s="2" t="inlineStr">
        <is>
          <t>Professor</t>
        </is>
      </c>
      <c r="F73" s="2" t="inlineStr">
        <is>
          <t>Walker Department of Mechanical Engineering</t>
        </is>
      </c>
      <c r="G73" s="2" t="inlineStr"/>
      <c r="H73" s="3">
        <f>HYPERLINK("mailto:dragan.djurdjanovic@mail.utexas.edu", "dragan.djurdjanovic@mail.utexas.edu")</f>
        <v/>
      </c>
      <c r="I73" s="2" t="n">
        <v>3</v>
      </c>
      <c r="J73" s="2" t="inlineStr">
        <is>
          <t>🟠 Tier 3: Structures / Materials / Manufacturing</t>
        </is>
      </c>
      <c r="K73" s="2" t="n">
        <v>0</v>
      </c>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is>
          <t>Fusion of physics and data-driven models for modeling, monitoring and control of complex systems; Advanced manufacturing; Human neuromusculoskeletal data; Condition monitoring; Automatic process control; Semiconductor manufacturing; Human body performance</t>
        </is>
      </c>
      <c r="AI73" s="2" t="inlineStr"/>
      <c r="AJ73" s="2" t="inlineStr">
        <is>
          <t>Fusion of physics and data-driven models for modeling, monitoring and control of complex systems; Advanced manufacturing; Human neuromusculoskeletal data; Condition monitoring; Automatic process control; Semiconductor manufacturing; Human body performance</t>
        </is>
      </c>
      <c r="AK73" s="2" t="inlineStr"/>
      <c r="AL73" s="2" t="inlineStr"/>
      <c r="AM73" s="2" t="inlineStr"/>
      <c r="AN73" s="2" t="inlineStr"/>
      <c r="AO73" s="2" t="inlineStr"/>
      <c r="AP73" s="2" t="inlineStr"/>
      <c r="AQ73" s="2" t="inlineStr"/>
      <c r="AR73" s="2" t="inlineStr"/>
      <c r="AS73" s="2" t="inlineStr"/>
      <c r="AT73" s="2" t="inlineStr">
        <is>
          <t>ETC 5.122</t>
        </is>
      </c>
      <c r="AU73" s="2" t="b">
        <v>0</v>
      </c>
      <c r="AV73" s="3">
        <f>HYPERLINK("https://me.utexas.edu/people/faculty", "https://me.utexas.edu/people/faculty")</f>
        <v/>
      </c>
    </row>
    <row r="74">
      <c r="A74" s="2" t="inlineStr">
        <is>
          <t>Erhan Kutanoglu</t>
        </is>
      </c>
      <c r="B74" s="2" t="inlineStr">
        <is>
          <t>The University of Texas at Austin</t>
        </is>
      </c>
      <c r="C74" s="3">
        <f>HYPERLINK("https://me.utexas.edu/person/erhan-kutanoglu/", "https://me.utexas.edu/person/erhan-kutanoglu/")</f>
        <v/>
      </c>
      <c r="D74" s="3">
        <f>HYPERLINK("https://scholar.google.com/citations?view_op=search_authors&amp;mauthors=Erhan%20Kutanoglu%20University%20of%20Texas%20at%20Austin", "Google Scholar Search")</f>
        <v/>
      </c>
      <c r="E74" s="2" t="inlineStr">
        <is>
          <t>Associate Professor</t>
        </is>
      </c>
      <c r="F74" s="2" t="inlineStr">
        <is>
          <t>Walker Department of Mechanical Engineering</t>
        </is>
      </c>
      <c r="G74" s="2" t="inlineStr"/>
      <c r="H74" s="3">
        <f>HYPERLINK("mailto:erhank@mail.utexas.edu", "erhank@mail.utexas.edu")</f>
        <v/>
      </c>
      <c r="I74" s="2" t="n">
        <v>3</v>
      </c>
      <c r="J74" s="2" t="inlineStr">
        <is>
          <t>🟠 Tier 3: Structures / Materials / Manufacturing</t>
        </is>
      </c>
      <c r="K74" s="2" t="n">
        <v>0</v>
      </c>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is>
          <t>Applied operations research; Supply chain management; Manufacturing and transportation logistics; Game theoretic and distributed mechanisms (e-commerce and auctions)</t>
        </is>
      </c>
      <c r="AI74" s="2" t="inlineStr"/>
      <c r="AJ74" s="2" t="inlineStr">
        <is>
          <t>Applied operations research; Supply chain management; Manufacturing and transportation logistics; Game theoretic and distributed mechanisms (e-commerce and auctions)</t>
        </is>
      </c>
      <c r="AK74" s="2" t="inlineStr"/>
      <c r="AL74" s="2" t="inlineStr"/>
      <c r="AM74" s="2" t="inlineStr"/>
      <c r="AN74" s="2" t="inlineStr"/>
      <c r="AO74" s="2" t="inlineStr"/>
      <c r="AP74" s="2" t="inlineStr"/>
      <c r="AQ74" s="2" t="inlineStr"/>
      <c r="AR74" s="2" t="inlineStr"/>
      <c r="AS74" s="2" t="inlineStr"/>
      <c r="AT74" s="2" t="inlineStr">
        <is>
          <t>ETC 5.114</t>
        </is>
      </c>
      <c r="AU74" s="2" t="b">
        <v>0</v>
      </c>
      <c r="AV74" s="3">
        <f>HYPERLINK("https://me.utexas.edu/people/faculty", "https://me.utexas.edu/people/faculty")</f>
        <v/>
      </c>
    </row>
    <row r="75">
      <c r="A75" s="2" t="inlineStr">
        <is>
          <t>John Hasenbein</t>
        </is>
      </c>
      <c r="B75" s="2" t="inlineStr">
        <is>
          <t>The University of Texas at Austin</t>
        </is>
      </c>
      <c r="C75" s="3">
        <f>HYPERLINK("https://me.utexas.edu/person/john-hasenbein/", "https://me.utexas.edu/person/john-hasenbein/")</f>
        <v/>
      </c>
      <c r="D75" s="3">
        <f>HYPERLINK("https://scholar.google.com/citations?view_op=search_authors&amp;mauthors=John%20Hasenbein%20University%20of%20Texas%20at%20Austin", "Google Scholar Search")</f>
        <v/>
      </c>
      <c r="E75" s="2" t="inlineStr">
        <is>
          <t>Professor</t>
        </is>
      </c>
      <c r="F75" s="2" t="inlineStr">
        <is>
          <t>Walker Department of Mechanical Engineering</t>
        </is>
      </c>
      <c r="G75" s="2" t="inlineStr"/>
      <c r="H75" s="3">
        <f>HYPERLINK("mailto:jhas@mail.utexas.edu", "jhas@mail.utexas.edu")</f>
        <v/>
      </c>
      <c r="I75" s="2" t="n">
        <v>3</v>
      </c>
      <c r="J75" s="2" t="inlineStr">
        <is>
          <t>🟠 Tier 3: Structures / Materials / Manufacturing</t>
        </is>
      </c>
      <c r="K75" s="2" t="n">
        <v>0</v>
      </c>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is>
          <t>Stochastic modeling, especially of complex manufacturing, computer and telecommunication network systems; Stability of multiclass fluid and queueing models; Diffusion approximations to queueing networks; Large deviations for regulated Brownian motion; Semiconductor wafer fabrication</t>
        </is>
      </c>
      <c r="AI75" s="2" t="inlineStr"/>
      <c r="AJ75" s="2" t="inlineStr">
        <is>
          <t>Stochastic modeling, especially of complex manufacturing, computer and telecommunication network systems; Stability of multiclass fluid and queueing models; Diffusion approximations to queueing networks; Large deviations for regulated Brownian motion; Semiconductor wafer fabrication</t>
        </is>
      </c>
      <c r="AK75" s="2" t="inlineStr"/>
      <c r="AL75" s="2" t="inlineStr"/>
      <c r="AM75" s="2" t="inlineStr"/>
      <c r="AN75" s="2" t="inlineStr"/>
      <c r="AO75" s="2" t="inlineStr"/>
      <c r="AP75" s="2" t="inlineStr"/>
      <c r="AQ75" s="2" t="inlineStr"/>
      <c r="AR75" s="2" t="inlineStr"/>
      <c r="AS75" s="2" t="inlineStr"/>
      <c r="AT75" s="2" t="inlineStr">
        <is>
          <t>ETC 5.128B</t>
        </is>
      </c>
      <c r="AU75" s="2" t="b">
        <v>0</v>
      </c>
      <c r="AV75" s="3">
        <f>HYPERLINK("https://me.utexas.edu/people/faculty", "https://me.utexas.edu/people/faculty")</f>
        <v/>
      </c>
    </row>
    <row r="76">
      <c r="A76" s="2" t="inlineStr">
        <is>
          <t>Jonathan Bard</t>
        </is>
      </c>
      <c r="B76" s="2" t="inlineStr">
        <is>
          <t>The University of Texas at Austin</t>
        </is>
      </c>
      <c r="C76" s="3">
        <f>HYPERLINK("https://me.utexas.edu/person/jonathan-bard/", "https://me.utexas.edu/person/jonathan-bard/")</f>
        <v/>
      </c>
      <c r="D76" s="3">
        <f>HYPERLINK("https://scholar.google.com/citations?view_op=search_authors&amp;mauthors=Jonathan%20Bard%20University%20of%20Texas%20at%20Austin", "Google Scholar Search")</f>
        <v/>
      </c>
      <c r="E76" s="2" t="inlineStr">
        <is>
          <t>Professor</t>
        </is>
      </c>
      <c r="F76" s="2" t="inlineStr">
        <is>
          <t>Walker Department of Mechanical Engineering</t>
        </is>
      </c>
      <c r="G76" s="2" t="inlineStr"/>
      <c r="H76" s="3">
        <f>HYPERLINK("mailto:jbard@utexas.edu", "jbard@utexas.edu")</f>
        <v/>
      </c>
      <c r="I76" s="2" t="n">
        <v>3</v>
      </c>
      <c r="J76" s="2" t="inlineStr">
        <is>
          <t>🟠 Tier 3: Structures / Materials / Manufacturing</t>
        </is>
      </c>
      <c r="K76" s="2" t="n">
        <v>0</v>
      </c>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is>
          <t>Design and analysis of manufacturing systems; Large-scale hierarchical optimization; Health care delivery improvement; Workforce planning and scheduling</t>
        </is>
      </c>
      <c r="AI76" s="2" t="inlineStr"/>
      <c r="AJ76" s="2" t="inlineStr">
        <is>
          <t>Design and analysis of manufacturing systems; Large-scale hierarchical optimization; Health care delivery improvement; Workforce planning and scheduling</t>
        </is>
      </c>
      <c r="AK76" s="2" t="inlineStr"/>
      <c r="AL76" s="2" t="inlineStr"/>
      <c r="AM76" s="2" t="inlineStr"/>
      <c r="AN76" s="2" t="inlineStr"/>
      <c r="AO76" s="2" t="inlineStr"/>
      <c r="AP76" s="2" t="inlineStr"/>
      <c r="AQ76" s="2" t="inlineStr"/>
      <c r="AR76" s="2" t="inlineStr"/>
      <c r="AS76" s="2" t="inlineStr"/>
      <c r="AT76" s="2" t="inlineStr">
        <is>
          <t>ETC 5.126</t>
        </is>
      </c>
      <c r="AU76" s="2" t="b">
        <v>0</v>
      </c>
      <c r="AV76" s="3">
        <f>HYPERLINK("https://me.utexas.edu/people/faculty", "https://me.utexas.edu/people/faculty")</f>
        <v/>
      </c>
    </row>
    <row r="77">
      <c r="A77" s="2" t="inlineStr">
        <is>
          <t>Yijin Liu</t>
        </is>
      </c>
      <c r="B77" s="2" t="inlineStr">
        <is>
          <t>The University of Texas at Austin</t>
        </is>
      </c>
      <c r="C77" s="3">
        <f>HYPERLINK("https://me.utexas.edu/person/yijin-liu/", "https://me.utexas.edu/person/yijin-liu/")</f>
        <v/>
      </c>
      <c r="D77" s="3">
        <f>HYPERLINK("https://scholar.google.com/citations?view_op=search_authors&amp;mauthors=Yijin%20Liu%20University%20of%20Texas%20at%20Austin", "Google Scholar Search")</f>
        <v/>
      </c>
      <c r="E77" s="2" t="inlineStr">
        <is>
          <t>Associate Professor</t>
        </is>
      </c>
      <c r="F77" s="2" t="inlineStr">
        <is>
          <t>Walker Department of Mechanical Engineering</t>
        </is>
      </c>
      <c r="G77" s="2" t="inlineStr"/>
      <c r="H77" s="3">
        <f>HYPERLINK("mailto:yijin.liu@austin.utexas.edu", "yijin.liu@austin.utexas.edu")</f>
        <v/>
      </c>
      <c r="I77" s="2" t="n">
        <v>3</v>
      </c>
      <c r="J77" s="2" t="inlineStr">
        <is>
          <t>🟠 Tier 3: Structures / Materials / Manufacturing</t>
        </is>
      </c>
      <c r="K77" s="2" t="n">
        <v>0</v>
      </c>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is>
          <t>Battery manufacturing, safety, degradation and failure analysis; Machine learning; Data mining</t>
        </is>
      </c>
      <c r="AI77" s="2" t="inlineStr"/>
      <c r="AJ77" s="2" t="inlineStr">
        <is>
          <t>Battery manufacturing, safety, degradation and failure analysis; Machine learning; Data mining</t>
        </is>
      </c>
      <c r="AK77" s="2" t="inlineStr"/>
      <c r="AL77" s="2" t="inlineStr"/>
      <c r="AM77" s="2" t="inlineStr"/>
      <c r="AN77" s="2" t="inlineStr"/>
      <c r="AO77" s="2" t="inlineStr"/>
      <c r="AP77" s="2" t="inlineStr"/>
      <c r="AQ77" s="2" t="inlineStr"/>
      <c r="AR77" s="2" t="inlineStr"/>
      <c r="AS77" s="2" t="inlineStr"/>
      <c r="AT77" s="2" t="inlineStr">
        <is>
          <t>ETC 9.174</t>
        </is>
      </c>
      <c r="AU77" s="2" t="b">
        <v>0</v>
      </c>
      <c r="AV77" s="3">
        <f>HYPERLINK("https://me.utexas.edu/people/faculty", "https://me.utexas.edu/people/faculty")</f>
        <v/>
      </c>
    </row>
    <row r="78">
      <c r="A78" s="2" t="inlineStr">
        <is>
          <t>Zhenghui Sha</t>
        </is>
      </c>
      <c r="B78" s="2" t="inlineStr">
        <is>
          <t>The University of Texas at Austin</t>
        </is>
      </c>
      <c r="C78" s="3">
        <f>HYPERLINK("https://me.utexas.edu/person/zhenghui-sha/", "https://me.utexas.edu/person/zhenghui-sha/")</f>
        <v/>
      </c>
      <c r="D78" s="3">
        <f>HYPERLINK("https://scholar.google.com/citations?view_op=search_authors&amp;mauthors=Zhenghui%20Sha%20University%20of%20Texas%20at%20Austin", "Google Scholar Search")</f>
        <v/>
      </c>
      <c r="E78" s="2" t="inlineStr">
        <is>
          <t>Associate Professor</t>
        </is>
      </c>
      <c r="F78" s="2" t="inlineStr">
        <is>
          <t>Walker Department of Mechanical Engineering</t>
        </is>
      </c>
      <c r="G78" s="2" t="inlineStr"/>
      <c r="H78" s="3">
        <f>HYPERLINK("mailto:zsha@austin.utexas.edu", "zsha@austin.utexas.edu")</f>
        <v/>
      </c>
      <c r="I78" s="2" t="n">
        <v>3</v>
      </c>
      <c r="J78" s="2" t="inlineStr">
        <is>
          <t>🟠 Tier 3: Structures / Materials / Manufacturing</t>
        </is>
      </c>
      <c r="K78" s="2" t="n">
        <v>0</v>
      </c>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is>
          <t>Design science; AI for design; Design decision-making; Swarm manufacturing; Hybrid manufacturing; Cooperative 3D printing; Complex systems engineering; Systems science</t>
        </is>
      </c>
      <c r="AI78" s="2" t="inlineStr"/>
      <c r="AJ78" s="2" t="inlineStr">
        <is>
          <t>Design science; AI for design; Design decision-making; Swarm manufacturing; Hybrid manufacturing; Cooperative 3D printing; Complex systems engineering; Systems science</t>
        </is>
      </c>
      <c r="AK78" s="2" t="inlineStr"/>
      <c r="AL78" s="2" t="inlineStr"/>
      <c r="AM78" s="2" t="inlineStr"/>
      <c r="AN78" s="2" t="inlineStr"/>
      <c r="AO78" s="2" t="inlineStr"/>
      <c r="AP78" s="2" t="inlineStr"/>
      <c r="AQ78" s="2" t="inlineStr"/>
      <c r="AR78" s="2" t="inlineStr"/>
      <c r="AS78" s="2" t="inlineStr"/>
      <c r="AT78" s="2" t="inlineStr">
        <is>
          <t>ETC 4.142</t>
        </is>
      </c>
      <c r="AU78" s="2" t="b">
        <v>0</v>
      </c>
      <c r="AV78" s="3">
        <f>HYPERLINK("https://me.utexas.edu/people/faculty", "https://me.utexas.edu/people/faculty")</f>
        <v/>
      </c>
    </row>
    <row r="79">
      <c r="A79" s="2" t="inlineStr">
        <is>
          <t>Ryan Russell</t>
        </is>
      </c>
      <c r="B79" s="2" t="inlineStr">
        <is>
          <t>The University of Texas at Austin</t>
        </is>
      </c>
      <c r="C79" s="3">
        <f>HYPERLINK("https://ae.utexas.edu/person/ryan-russell/", "https://ae.utexas.edu/person/ryan-russell/")</f>
        <v/>
      </c>
      <c r="D79" s="3">
        <f>HYPERLINK("https://scholar.google.com/citations?view_op=search_authors&amp;mauthors=Ryan%20Russell%20University%20of%20Texas%20at%20Austin", "Google Scholar Search")</f>
        <v/>
      </c>
      <c r="E79" s="2" t="inlineStr">
        <is>
          <t>Professor</t>
        </is>
      </c>
      <c r="F79" s="2" t="inlineStr">
        <is>
          <t>Aerospace Engineering and Engineering Mechanics</t>
        </is>
      </c>
      <c r="G79" s="2" t="inlineStr"/>
      <c r="H79" s="3">
        <f>HYPERLINK("mailto:ryan.russell@austin.utexas.edu", "ryan.russell@austin.utexas.edu")</f>
        <v/>
      </c>
      <c r="I79" s="2" t="n">
        <v>4</v>
      </c>
      <c r="J79" s="2" t="inlineStr">
        <is>
          <t>🔴 Tier 4: Robotics / Controls / Autonomy</t>
        </is>
      </c>
      <c r="K79" s="2" t="n">
        <v>7</v>
      </c>
      <c r="L79" s="2" t="inlineStr">
        <is>
          <t>aerospace, astrodynamics, estimation, numerical methods, optimal control, orbital mechanics, spacecraft</t>
        </is>
      </c>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is>
          <t>Astrodynamics and orbital mechanics; Numerical methods applied to astrodynamics; Orbit estimation, filtering theories and applications; Optimal control of nonlinear systems; Third-body, perturbation dynamics; Spacecraft trajectory designs and design methods</t>
        </is>
      </c>
      <c r="AI79" s="2" t="inlineStr"/>
      <c r="AJ79" s="2" t="inlineStr">
        <is>
          <t>Astrodynamics and orbital mechanics; Numerical methods applied to astrodynamics; Orbit estimation, filtering theories and applications; Optimal control of nonlinear systems; Third-body, perturbation dynamics; Spacecraft trajectory designs and design methods</t>
        </is>
      </c>
      <c r="AK79" s="2" t="inlineStr"/>
      <c r="AL79" s="2" t="inlineStr"/>
      <c r="AM79" s="2" t="inlineStr"/>
      <c r="AN79" s="2" t="inlineStr"/>
      <c r="AO79" s="2" t="inlineStr"/>
      <c r="AP79" s="2" t="inlineStr"/>
      <c r="AQ79" s="2" t="inlineStr"/>
      <c r="AR79" s="2" t="inlineStr"/>
      <c r="AS79" s="2" t="inlineStr"/>
      <c r="AT79" s="2" t="inlineStr">
        <is>
          <t>ASE 3.216</t>
        </is>
      </c>
      <c r="AU79" s="2" t="b">
        <v>1</v>
      </c>
      <c r="AV79" s="3">
        <f>HYPERLINK("https://ae.utexas.edu/people/faculty", "https://ae.utexas.edu/people/faculty")</f>
        <v/>
      </c>
    </row>
    <row r="80">
      <c r="A80" s="2" t="inlineStr">
        <is>
          <t>Efstathios Bakolas</t>
        </is>
      </c>
      <c r="B80" s="2" t="inlineStr">
        <is>
          <t>The University of Texas at Austin</t>
        </is>
      </c>
      <c r="C80" s="3">
        <f>HYPERLINK("https://ae.utexas.edu/person/efstathios-bakolas/", "https://ae.utexas.edu/person/efstathios-bakolas/")</f>
        <v/>
      </c>
      <c r="D80" s="3">
        <f>HYPERLINK("https://scholar.google.com/citations?view_op=search_authors&amp;mauthors=Efstathios%20Bakolas%20University%20of%20Texas%20at%20Austin", "Google Scholar Search")</f>
        <v/>
      </c>
      <c r="E80" s="2" t="inlineStr">
        <is>
          <t>Professor</t>
        </is>
      </c>
      <c r="F80" s="2" t="inlineStr">
        <is>
          <t>Aerospace Engineering and Engineering Mechanics</t>
        </is>
      </c>
      <c r="G80" s="2" t="inlineStr"/>
      <c r="H80" s="3">
        <f>HYPERLINK("mailto:bakolas@austin.utexas.edu", "bakolas@austin.utexas.edu")</f>
        <v/>
      </c>
      <c r="I80" s="2" t="n">
        <v>4</v>
      </c>
      <c r="J80" s="2" t="inlineStr">
        <is>
          <t>🔴 Tier 4: Robotics / Controls / Autonomy</t>
        </is>
      </c>
      <c r="K80" s="2" t="n">
        <v>6</v>
      </c>
      <c r="L80" s="2" t="inlineStr">
        <is>
          <t>aerospace, autonomous, control theory, motion planning, nonlinear control, robot</t>
        </is>
      </c>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is>
          <t>Systems and control theory; Optimal, stochastic and nonlinear control; Differential/dynamic game theory; Motion planning for robotic systems and autonomous vehicles; Multi-agent networks</t>
        </is>
      </c>
      <c r="AI80" s="2" t="inlineStr"/>
      <c r="AJ80" s="2" t="inlineStr">
        <is>
          <t>Systems and control theory; Optimal, stochastic and nonlinear control; Differential/dynamic game theory; Motion planning for robotic systems and autonomous vehicles; Multi-agent networks</t>
        </is>
      </c>
      <c r="AK80" s="2" t="inlineStr"/>
      <c r="AL80" s="2" t="inlineStr"/>
      <c r="AM80" s="2" t="inlineStr"/>
      <c r="AN80" s="2" t="inlineStr"/>
      <c r="AO80" s="2" t="inlineStr"/>
      <c r="AP80" s="2" t="inlineStr"/>
      <c r="AQ80" s="2" t="inlineStr"/>
      <c r="AR80" s="2" t="inlineStr"/>
      <c r="AS80" s="2" t="inlineStr"/>
      <c r="AT80" s="2" t="inlineStr">
        <is>
          <t>ASE 4.232</t>
        </is>
      </c>
      <c r="AU80" s="2" t="b">
        <v>1</v>
      </c>
      <c r="AV80" s="3">
        <f>HYPERLINK("https://ae.utexas.edu/people/faculty", "https://ae.utexas.edu/people/faculty")</f>
        <v/>
      </c>
    </row>
    <row r="81">
      <c r="A81" s="2" t="inlineStr">
        <is>
          <t>Ethan Burnett</t>
        </is>
      </c>
      <c r="B81" s="2" t="inlineStr">
        <is>
          <t>The University of Texas at Austin</t>
        </is>
      </c>
      <c r="C81" s="3">
        <f>HYPERLINK("https://ae.utexas.edu/person/ethan-burnett/", "https://ae.utexas.edu/person/ethan-burnett/")</f>
        <v/>
      </c>
      <c r="D81" s="3">
        <f>HYPERLINK("https://scholar.google.com/citations?view_op=search_authors&amp;mauthors=Ethan%20Burnett%20University%20of%20Texas%20at%20Austin", "Google Scholar Search")</f>
        <v/>
      </c>
      <c r="E81" s="2" t="inlineStr">
        <is>
          <t xml:space="preserve">Assistant Professor </t>
        </is>
      </c>
      <c r="F81" s="2" t="inlineStr">
        <is>
          <t>Aerospace Engineering and Engineering Mechanics</t>
        </is>
      </c>
      <c r="G81" s="2" t="inlineStr"/>
      <c r="H81" s="3">
        <f>HYPERLINK("mailto:ethan.burnett@utexas.edu", "ethan.burnett@utexas.edu")</f>
        <v/>
      </c>
      <c r="I81" s="2" t="n">
        <v>4</v>
      </c>
      <c r="J81" s="2" t="inlineStr">
        <is>
          <t>🔴 Tier 4: Robotics / Controls / Autonomy</t>
        </is>
      </c>
      <c r="K81" s="2" t="n">
        <v>6</v>
      </c>
      <c r="L81" s="2" t="inlineStr">
        <is>
          <t>aerospace, astrodynamics, guidance, numerical methods, optimal control, spacecraft</t>
        </is>
      </c>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is>
          <t>Nonlinear systems; Optimization and optimal control; Computation and numerical methods; Spacecraft guidance, control and astrodynamics; Planetary dynamics and space science</t>
        </is>
      </c>
      <c r="AI81" s="2" t="inlineStr"/>
      <c r="AJ81" s="2" t="inlineStr">
        <is>
          <t>Nonlinear systems; Optimization and optimal control; Computation and numerical methods; Spacecraft guidance, control and astrodynamics; Planetary dynamics and space science</t>
        </is>
      </c>
      <c r="AK81" s="2" t="inlineStr"/>
      <c r="AL81" s="2" t="inlineStr"/>
      <c r="AM81" s="2" t="inlineStr"/>
      <c r="AN81" s="2" t="inlineStr"/>
      <c r="AO81" s="2" t="inlineStr"/>
      <c r="AP81" s="2" t="inlineStr"/>
      <c r="AQ81" s="2" t="inlineStr"/>
      <c r="AR81" s="2" t="inlineStr"/>
      <c r="AS81" s="2" t="inlineStr"/>
      <c r="AT81" s="2" t="inlineStr">
        <is>
          <t>ASE 4.230</t>
        </is>
      </c>
      <c r="AU81" s="2" t="b">
        <v>1</v>
      </c>
      <c r="AV81" s="3">
        <f>HYPERLINK("https://ae.utexas.edu/people/faculty", "https://ae.utexas.edu/people/faculty")</f>
        <v/>
      </c>
    </row>
    <row r="82">
      <c r="A82" s="2" t="inlineStr">
        <is>
          <t>Renato Zanetti</t>
        </is>
      </c>
      <c r="B82" s="2" t="inlineStr">
        <is>
          <t>The University of Texas at Austin</t>
        </is>
      </c>
      <c r="C82" s="3">
        <f>HYPERLINK("https://ae.utexas.edu/person/renato-zanetti/", "https://ae.utexas.edu/person/renato-zanetti/")</f>
        <v/>
      </c>
      <c r="D82" s="3">
        <f>HYPERLINK("https://scholar.google.com/citations?view_op=search_authors&amp;mauthors=Renato%20Zanetti%20University%20of%20Texas%20at%20Austin", "Google Scholar Search")</f>
        <v/>
      </c>
      <c r="E82" s="2" t="inlineStr">
        <is>
          <t>Associate Professor</t>
        </is>
      </c>
      <c r="F82" s="2" t="inlineStr">
        <is>
          <t>Aerospace Engineering and Engineering Mechanics</t>
        </is>
      </c>
      <c r="G82" s="2" t="inlineStr"/>
      <c r="H82" s="3">
        <f>HYPERLINK("mailto:renato@utexas.edu", "renato@utexas.edu")</f>
        <v/>
      </c>
      <c r="I82" s="2" t="n">
        <v>4</v>
      </c>
      <c r="J82" s="2" t="inlineStr">
        <is>
          <t>🔴 Tier 4: Robotics / Controls / Autonomy</t>
        </is>
      </c>
      <c r="K82" s="2" t="n">
        <v>5</v>
      </c>
      <c r="L82" s="2" t="inlineStr">
        <is>
          <t>aerospace, autonomous, estimation, navigation, spacecraft</t>
        </is>
      </c>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is>
          <t>Stochastic estimation of non-linear/non-Gaussian dynamical systems; GNC of autonomous systems; Spacecraft attitude dynamics, determination, and control; Simulation of large, complex dynamical systems; Vision-based navigation; Sensor fusion, sensor technology, and sensor utilization planning</t>
        </is>
      </c>
      <c r="AI82" s="2" t="inlineStr"/>
      <c r="AJ82" s="2" t="inlineStr">
        <is>
          <t>Stochastic estimation of non-linear/non-Gaussian dynamical systems; GNC of autonomous systems; Spacecraft attitude dynamics, determination, and control; Simulation of large, complex dynamical systems; Vision-based navigation; Sensor fusion, sensor technology, and sensor utilization planning</t>
        </is>
      </c>
      <c r="AK82" s="2" t="inlineStr"/>
      <c r="AL82" s="2" t="inlineStr"/>
      <c r="AM82" s="2" t="inlineStr"/>
      <c r="AN82" s="2" t="inlineStr"/>
      <c r="AO82" s="2" t="inlineStr"/>
      <c r="AP82" s="2" t="inlineStr"/>
      <c r="AQ82" s="2" t="inlineStr"/>
      <c r="AR82" s="2" t="inlineStr"/>
      <c r="AS82" s="2" t="inlineStr"/>
      <c r="AT82" s="2" t="inlineStr">
        <is>
          <t>ASE 3.210</t>
        </is>
      </c>
      <c r="AU82" s="2" t="b">
        <v>1</v>
      </c>
      <c r="AV82" s="3">
        <f>HYPERLINK("https://ae.utexas.edu/people/faculty", "https://ae.utexas.edu/people/faculty")</f>
        <v/>
      </c>
    </row>
    <row r="83">
      <c r="A83" s="2" t="inlineStr">
        <is>
          <t>Srinivas Bettadpur</t>
        </is>
      </c>
      <c r="B83" s="2" t="inlineStr">
        <is>
          <t>The University of Texas at Austin</t>
        </is>
      </c>
      <c r="C83" s="3">
        <f>HYPERLINK("https://ae.utexas.edu/person/srinivas-v-bettadpur/", "https://ae.utexas.edu/person/srinivas-v-bettadpur/")</f>
        <v/>
      </c>
      <c r="D83" s="3">
        <f>HYPERLINK("https://scholar.google.com/citations?view_op=search_authors&amp;mauthors=Srinivas%20Bettadpur%20University%20of%20Texas%20at%20Austin", "Google Scholar Search")</f>
        <v/>
      </c>
      <c r="E83" s="2" t="inlineStr">
        <is>
          <t>Professor</t>
        </is>
      </c>
      <c r="F83" s="2" t="inlineStr">
        <is>
          <t>Aerospace Engineering and Engineering Mechanics</t>
        </is>
      </c>
      <c r="G83" s="2" t="inlineStr"/>
      <c r="H83" s="3">
        <f>HYPERLINK("mailto:srinivas@csr.utexas.edu", "srinivas@csr.utexas.edu")</f>
        <v/>
      </c>
      <c r="I83" s="2" t="n">
        <v>4</v>
      </c>
      <c r="J83" s="2" t="inlineStr">
        <is>
          <t>🔴 Tier 4: Robotics / Controls / Autonomy</t>
        </is>
      </c>
      <c r="K83" s="2" t="n">
        <v>5</v>
      </c>
      <c r="L83" s="2" t="inlineStr">
        <is>
          <t>aerospace, numerical methods, orbital mechanics, satellite, spacecraft</t>
        </is>
      </c>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is>
          <t>Satellite Geodesy (determination and interpretation of gravity field and reference frames in Earth-Moon space); Engineering &amp;amp; Spaceflight (spacecraft and mission design, technology infusion and quantum in space applications); Orbital Mechanics (modeling and precise orbit determination); Data analytics and numerical methods, including geodesy-informed machine learning.</t>
        </is>
      </c>
      <c r="AI83" s="2" t="inlineStr"/>
      <c r="AJ83" s="2" t="inlineStr">
        <is>
          <t>Satellite Geodesy (determination and interpretation of gravity field and reference frames in Earth-Moon space); Engineering &amp;amp; Spaceflight (spacecraft and mission design, technology infusion and quantum in space applications); Orbital Mechanics (modeling and precise orbit determination); Data analytics and numerical methods, including geodesy-informed machine learning.</t>
        </is>
      </c>
      <c r="AK83" s="2" t="inlineStr"/>
      <c r="AL83" s="2" t="inlineStr"/>
      <c r="AM83" s="2" t="inlineStr"/>
      <c r="AN83" s="2" t="inlineStr"/>
      <c r="AO83" s="2" t="inlineStr"/>
      <c r="AP83" s="2" t="inlineStr"/>
      <c r="AQ83" s="2" t="inlineStr"/>
      <c r="AR83" s="2" t="inlineStr"/>
      <c r="AS83" s="2" t="inlineStr"/>
      <c r="AT83" s="2" t="inlineStr">
        <is>
          <t>ASE 3.212</t>
        </is>
      </c>
      <c r="AU83" s="2" t="b">
        <v>1</v>
      </c>
      <c r="AV83" s="3">
        <f>HYPERLINK("https://ae.utexas.edu/people/faculty", "https://ae.utexas.edu/people/faculty")</f>
        <v/>
      </c>
    </row>
    <row r="84">
      <c r="A84" s="2" t="inlineStr">
        <is>
          <t>Brandon Jones</t>
        </is>
      </c>
      <c r="B84" s="2" t="inlineStr">
        <is>
          <t>The University of Texas at Austin</t>
        </is>
      </c>
      <c r="C84" s="3">
        <f>HYPERLINK("https://ae.utexas.edu/person/brandon-jones/", "https://ae.utexas.edu/person/brandon-jones/")</f>
        <v/>
      </c>
      <c r="D84" s="3">
        <f>HYPERLINK("https://scholar.google.com/citations?view_op=search_authors&amp;mauthors=Brandon%20Jones%20University%20of%20Texas%20at%20Austin", "Google Scholar Search")</f>
        <v/>
      </c>
      <c r="E84" s="2" t="inlineStr">
        <is>
          <t>Associate Professor</t>
        </is>
      </c>
      <c r="F84" s="2" t="inlineStr">
        <is>
          <t>Aerospace Engineering and Engineering Mechanics</t>
        </is>
      </c>
      <c r="G84" s="2" t="inlineStr"/>
      <c r="H84" s="3">
        <f>HYPERLINK("mailto:brandon.jones@utexas.edu", "brandon.jones@utexas.edu")</f>
        <v/>
      </c>
      <c r="I84" s="2" t="n">
        <v>4</v>
      </c>
      <c r="J84" s="2" t="inlineStr">
        <is>
          <t>🔴 Tier 4: Robotics / Controls / Autonomy</t>
        </is>
      </c>
      <c r="K84" s="2" t="n">
        <v>4</v>
      </c>
      <c r="L84" s="2" t="inlineStr">
        <is>
          <t>aerospace, navigation, numerical methods, satellite</t>
        </is>
      </c>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is>
          <t>Orbit state and uncertainty propagation; Multi-target, multi-sensor tracking and filtering; Space situational awareness; Satellite navigation; Numerical methods and modeling</t>
        </is>
      </c>
      <c r="AI84" s="2" t="inlineStr"/>
      <c r="AJ84" s="2" t="inlineStr">
        <is>
          <t>Orbit state and uncertainty propagation; Multi-target, multi-sensor tracking and filtering; Space situational awareness; Satellite navigation; Numerical methods and modeling</t>
        </is>
      </c>
      <c r="AK84" s="2" t="inlineStr"/>
      <c r="AL84" s="2" t="inlineStr"/>
      <c r="AM84" s="2" t="inlineStr"/>
      <c r="AN84" s="2" t="inlineStr"/>
      <c r="AO84" s="2" t="inlineStr"/>
      <c r="AP84" s="2" t="inlineStr"/>
      <c r="AQ84" s="2" t="inlineStr"/>
      <c r="AR84" s="2" t="inlineStr"/>
      <c r="AS84" s="2" t="inlineStr"/>
      <c r="AT84" s="2" t="inlineStr">
        <is>
          <t>ASE 3.230</t>
        </is>
      </c>
      <c r="AU84" s="2" t="b">
        <v>1</v>
      </c>
      <c r="AV84" s="3">
        <f>HYPERLINK("https://ae.utexas.edu/people/faculty", "https://ae.utexas.edu/people/faculty")</f>
        <v/>
      </c>
    </row>
    <row r="85">
      <c r="A85" s="2" t="inlineStr">
        <is>
          <t>David Fridovich-Keil</t>
        </is>
      </c>
      <c r="B85" s="2" t="inlineStr">
        <is>
          <t>The University of Texas at Austin</t>
        </is>
      </c>
      <c r="C85" s="3">
        <f>HYPERLINK("https://ae.utexas.edu/person/david-fridovich-keil/", "https://ae.utexas.edu/person/david-fridovich-keil/")</f>
        <v/>
      </c>
      <c r="D85" s="3">
        <f>HYPERLINK("https://scholar.google.com/citations?view_op=search_authors&amp;mauthors=David%20Fridovich-Keil%20University%20of%20Texas%20at%20Austin", "Google Scholar Search")</f>
        <v/>
      </c>
      <c r="E85" s="2" t="inlineStr">
        <is>
          <t>Assistant Professor</t>
        </is>
      </c>
      <c r="F85" s="2" t="inlineStr">
        <is>
          <t>Aerospace Engineering and Engineering Mechanics</t>
        </is>
      </c>
      <c r="G85" s="2" t="inlineStr"/>
      <c r="H85" s="3">
        <f>HYPERLINK("mailto:dfk@utexas.edu", "dfk@utexas.edu")</f>
        <v/>
      </c>
      <c r="I85" s="2" t="n">
        <v>4</v>
      </c>
      <c r="J85" s="2" t="inlineStr">
        <is>
          <t>🔴 Tier 4: Robotics / Controls / Autonomy</t>
        </is>
      </c>
      <c r="K85" s="2" t="n">
        <v>4</v>
      </c>
      <c r="L85" s="2" t="inlineStr">
        <is>
          <t>aerospace, control theory, motion planning, optimal control</t>
        </is>
      </c>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is>
          <t>Optimal control theory; Dynamic game theory; Motion planning; Multi-agent decision making; Machine learning and control</t>
        </is>
      </c>
      <c r="AI85" s="2" t="inlineStr"/>
      <c r="AJ85" s="2" t="inlineStr">
        <is>
          <t>Optimal control theory; Dynamic game theory; Motion planning; Multi-agent decision making; Machine learning and control</t>
        </is>
      </c>
      <c r="AK85" s="2" t="inlineStr"/>
      <c r="AL85" s="2" t="inlineStr"/>
      <c r="AM85" s="2" t="inlineStr"/>
      <c r="AN85" s="2" t="inlineStr"/>
      <c r="AO85" s="2" t="inlineStr"/>
      <c r="AP85" s="2" t="inlineStr"/>
      <c r="AQ85" s="2" t="inlineStr"/>
      <c r="AR85" s="2" t="inlineStr"/>
      <c r="AS85" s="2" t="inlineStr"/>
      <c r="AT85" s="2" t="inlineStr">
        <is>
          <t>ASE 3.232, POB 5.320</t>
        </is>
      </c>
      <c r="AU85" s="2" t="b">
        <v>1</v>
      </c>
      <c r="AV85" s="3">
        <f>HYPERLINK("https://ae.utexas.edu/people/faculty", "https://ae.utexas.edu/people/faculty")</f>
        <v/>
      </c>
    </row>
    <row r="86">
      <c r="A86" s="2" t="inlineStr">
        <is>
          <t>Luis Sentis</t>
        </is>
      </c>
      <c r="B86" s="2" t="inlineStr">
        <is>
          <t>The University of Texas at Austin</t>
        </is>
      </c>
      <c r="C86" s="3">
        <f>HYPERLINK("https://ae.utexas.edu/person/luis-sentis/", "https://ae.utexas.edu/person/luis-sentis/")</f>
        <v/>
      </c>
      <c r="D86" s="3">
        <f>HYPERLINK("https://scholar.google.com/citations?view_op=search_authors&amp;mauthors=Luis%20Sentis%20University%20of%20Texas%20at%20Austin", "Google Scholar Search")</f>
        <v/>
      </c>
      <c r="E86" s="2" t="inlineStr">
        <is>
          <t>Professor</t>
        </is>
      </c>
      <c r="F86" s="2" t="inlineStr">
        <is>
          <t>Aerospace Engineering and Engineering Mechanics</t>
        </is>
      </c>
      <c r="G86" s="2" t="inlineStr"/>
      <c r="H86" s="3">
        <f>HYPERLINK("mailto:lsentis@austin.utexas.edu", "lsentis@austin.utexas.edu")</f>
        <v/>
      </c>
      <c r="I86" s="2" t="n">
        <v>4</v>
      </c>
      <c r="J86" s="2" t="inlineStr">
        <is>
          <t>🔴 Tier 4: Robotics / Controls / Autonomy</t>
        </is>
      </c>
      <c r="K86" s="2" t="n">
        <v>4</v>
      </c>
      <c r="L86" s="2" t="inlineStr">
        <is>
          <t>aerospace, autonomous, robot, robotics</t>
        </is>
      </c>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is>
          <t>Human-centered robotics; Mathematics of movement and manipulation; Software architectures for sensing and acting; Biomechatronics; Design of humanoid and exoskeleton robots; Autonomous robots</t>
        </is>
      </c>
      <c r="AI86" s="2" t="inlineStr"/>
      <c r="AJ86" s="2" t="inlineStr">
        <is>
          <t>Human-centered robotics; Mathematics of movement and manipulation; Software architectures for sensing and acting; Biomechatronics; Design of humanoid and exoskeleton robots; Autonomous robots</t>
        </is>
      </c>
      <c r="AK86" s="2" t="inlineStr"/>
      <c r="AL86" s="2" t="inlineStr"/>
      <c r="AM86" s="2" t="inlineStr"/>
      <c r="AN86" s="2" t="inlineStr"/>
      <c r="AO86" s="2" t="inlineStr"/>
      <c r="AP86" s="2" t="inlineStr"/>
      <c r="AQ86" s="2" t="inlineStr"/>
      <c r="AR86" s="2" t="inlineStr"/>
      <c r="AS86" s="2" t="inlineStr"/>
      <c r="AT86" s="2" t="inlineStr">
        <is>
          <t>ASE 4.204</t>
        </is>
      </c>
      <c r="AU86" s="2" t="b">
        <v>1</v>
      </c>
      <c r="AV86" s="3">
        <f>HYPERLINK("https://ae.utexas.edu/people/faculty", "https://ae.utexas.edu/people/faculty")</f>
        <v/>
      </c>
    </row>
    <row r="87">
      <c r="A87" s="2" t="inlineStr">
        <is>
          <t>Moriba K. Jah</t>
        </is>
      </c>
      <c r="B87" s="2" t="inlineStr">
        <is>
          <t>The University of Texas at Austin</t>
        </is>
      </c>
      <c r="C87" s="3">
        <f>HYPERLINK("https://ae.utexas.edu/person/moriba-k-jah/", "https://ae.utexas.edu/person/moriba-k-jah/")</f>
        <v/>
      </c>
      <c r="D87" s="3">
        <f>HYPERLINK("https://scholar.google.com/citations?view_op=search_authors&amp;mauthors=Moriba%20K.%20Jah%20University%20of%20Texas%20at%20Austin", "Google Scholar Search")</f>
        <v/>
      </c>
      <c r="E87" s="2" t="inlineStr">
        <is>
          <t>Professor</t>
        </is>
      </c>
      <c r="F87" s="2" t="inlineStr">
        <is>
          <t>Aerospace Engineering and Engineering Mechanics</t>
        </is>
      </c>
      <c r="G87" s="2" t="inlineStr"/>
      <c r="H87" s="3">
        <f>HYPERLINK("mailto:moriba@utexas.edu", "moriba@utexas.edu")</f>
        <v/>
      </c>
      <c r="I87" s="2" t="n">
        <v>4</v>
      </c>
      <c r="J87" s="2" t="inlineStr">
        <is>
          <t>🔴 Tier 4: Robotics / Controls / Autonomy</t>
        </is>
      </c>
      <c r="K87" s="2" t="n">
        <v>4</v>
      </c>
      <c r="L87" s="2" t="inlineStr">
        <is>
          <t>aerospace, astrodynamics, navigation, spacecraft</t>
        </is>
      </c>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is>
          <t>Non-gravitational astrodynamics; Space object detection, tracking, identification, and characterization; Spacecraft navigation; Cognitive science and human-AI interaction; AI and machine learning; Space law and policy</t>
        </is>
      </c>
      <c r="AI87" s="2" t="inlineStr"/>
      <c r="AJ87" s="2" t="inlineStr">
        <is>
          <t>Non-gravitational astrodynamics; Space object detection, tracking, identification, and characterization; Spacecraft navigation; Cognitive science and human-AI interaction; AI and machine learning; Space law and policy</t>
        </is>
      </c>
      <c r="AK87" s="2" t="inlineStr"/>
      <c r="AL87" s="2" t="inlineStr"/>
      <c r="AM87" s="2" t="inlineStr"/>
      <c r="AN87" s="2" t="inlineStr"/>
      <c r="AO87" s="2" t="inlineStr"/>
      <c r="AP87" s="2" t="inlineStr"/>
      <c r="AQ87" s="2" t="inlineStr"/>
      <c r="AR87" s="2" t="inlineStr"/>
      <c r="AS87" s="2" t="inlineStr"/>
      <c r="AT87" s="2" t="inlineStr">
        <is>
          <t>POB 3.446</t>
        </is>
      </c>
      <c r="AU87" s="2" t="b">
        <v>1</v>
      </c>
      <c r="AV87" s="3">
        <f>HYPERLINK("https://ae.utexas.edu/people/faculty", "https://ae.utexas.edu/people/faculty")</f>
        <v/>
      </c>
    </row>
    <row r="88">
      <c r="A88" s="2" t="inlineStr">
        <is>
          <t>Todd E. Humphreys</t>
        </is>
      </c>
      <c r="B88" s="2" t="inlineStr">
        <is>
          <t>The University of Texas at Austin</t>
        </is>
      </c>
      <c r="C88" s="3">
        <f>HYPERLINK("https://ae.utexas.edu/person/todd-e-humphreys/", "https://ae.utexas.edu/person/todd-e-humphreys/")</f>
        <v/>
      </c>
      <c r="D88" s="3">
        <f>HYPERLINK("https://scholar.google.com/citations?view_op=search_authors&amp;mauthors=Todd%20E.%20Humphreys%20University%20of%20Texas%20at%20Austin", "Google Scholar Search")</f>
        <v/>
      </c>
      <c r="E88" s="2" t="inlineStr">
        <is>
          <t>Professor</t>
        </is>
      </c>
      <c r="F88" s="2" t="inlineStr">
        <is>
          <t>Aerospace Engineering and Engineering Mechanics</t>
        </is>
      </c>
      <c r="G88" s="2" t="inlineStr"/>
      <c r="H88" s="3">
        <f>HYPERLINK("mailto:todd.humphreys@utexas.edu", "todd.humphreys@utexas.edu")</f>
        <v/>
      </c>
      <c r="I88" s="2" t="n">
        <v>4</v>
      </c>
      <c r="J88" s="2" t="inlineStr">
        <is>
          <t>🔴 Tier 4: Robotics / Controls / Autonomy</t>
        </is>
      </c>
      <c r="K88" s="2" t="n">
        <v>4</v>
      </c>
      <c r="L88" s="2" t="inlineStr">
        <is>
          <t>aerospace, estimation, navigation, satellite</t>
        </is>
      </c>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is>
          <t>Positioning, navigation, and timing technology and security; Satellite communications and navigation; Detection and estimation; Software-defined radio</t>
        </is>
      </c>
      <c r="AI88" s="2" t="inlineStr"/>
      <c r="AJ88" s="2" t="inlineStr">
        <is>
          <t>Positioning, navigation, and timing technology and security; Satellite communications and navigation; Detection and estimation; Software-defined radio</t>
        </is>
      </c>
      <c r="AK88" s="2" t="inlineStr"/>
      <c r="AL88" s="2" t="inlineStr"/>
      <c r="AM88" s="2" t="inlineStr"/>
      <c r="AN88" s="2" t="inlineStr"/>
      <c r="AO88" s="2" t="inlineStr"/>
      <c r="AP88" s="2" t="inlineStr"/>
      <c r="AQ88" s="2" t="inlineStr"/>
      <c r="AR88" s="2" t="inlineStr"/>
      <c r="AS88" s="2" t="inlineStr"/>
      <c r="AT88" s="2" t="inlineStr">
        <is>
          <t>ASE 3.234</t>
        </is>
      </c>
      <c r="AU88" s="2" t="b">
        <v>1</v>
      </c>
      <c r="AV88" s="3">
        <f>HYPERLINK("https://ae.utexas.edu/people/faculty", "https://ae.utexas.edu/people/faculty")</f>
        <v/>
      </c>
    </row>
    <row r="89">
      <c r="A89" s="2" t="inlineStr">
        <is>
          <t>Hannah Lu</t>
        </is>
      </c>
      <c r="B89" s="2" t="inlineStr">
        <is>
          <t>The University of Texas at Austin</t>
        </is>
      </c>
      <c r="C89" s="3">
        <f>HYPERLINK("https://ae.utexas.edu/person/hannah-lu/", "https://ae.utexas.edu/person/hannah-lu/")</f>
        <v/>
      </c>
      <c r="D89" s="3">
        <f>HYPERLINK("https://scholar.google.com/citations?view_op=search_authors&amp;mauthors=Hannah%20Lu%20University%20of%20Texas%20at%20Austin", "Google Scholar Search")</f>
        <v/>
      </c>
      <c r="E89" s="2" t="inlineStr">
        <is>
          <t>Assistant Professor</t>
        </is>
      </c>
      <c r="F89" s="2" t="inlineStr">
        <is>
          <t>Aerospace Engineering and Engineering Mechanics</t>
        </is>
      </c>
      <c r="G89" s="2" t="inlineStr"/>
      <c r="H89" s="3">
        <f>HYPERLINK("mailto:hannah.lu@austin.utexas.edu", "hannah.lu@austin.utexas.edu")</f>
        <v/>
      </c>
      <c r="I89" s="2" t="n">
        <v>4</v>
      </c>
      <c r="J89" s="2" t="inlineStr">
        <is>
          <t>🔴 Tier 4: Robotics / Controls / Autonomy</t>
        </is>
      </c>
      <c r="K89" s="2" t="n">
        <v>3</v>
      </c>
      <c r="L89" s="2" t="inlineStr">
        <is>
          <t>aerospace, fluid mechanics, scientific computing</t>
        </is>
      </c>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is>
          <t>Scientific computing; Model reduction; Uncertainty quantification; Machine learning in applications of environmental fluid mechanics</t>
        </is>
      </c>
      <c r="AI89" s="2" t="inlineStr"/>
      <c r="AJ89" s="2" t="inlineStr">
        <is>
          <t>Scientific computing; Model reduction; Uncertainty quantification; Machine learning in applications of environmental fluid mechanics</t>
        </is>
      </c>
      <c r="AK89" s="2" t="inlineStr"/>
      <c r="AL89" s="2" t="inlineStr"/>
      <c r="AM89" s="2" t="inlineStr"/>
      <c r="AN89" s="2" t="inlineStr"/>
      <c r="AO89" s="2" t="inlineStr"/>
      <c r="AP89" s="2" t="inlineStr"/>
      <c r="AQ89" s="2" t="inlineStr"/>
      <c r="AR89" s="2" t="inlineStr"/>
      <c r="AS89" s="2" t="inlineStr"/>
      <c r="AT89" s="2" t="inlineStr">
        <is>
          <t>ASE 5.242, POB 4.234</t>
        </is>
      </c>
      <c r="AU89" s="2" t="b">
        <v>1</v>
      </c>
      <c r="AV89" s="3">
        <f>HYPERLINK("https://ae.utexas.edu/people/faculty", "https://ae.utexas.edu/people/faculty")</f>
        <v/>
      </c>
    </row>
    <row r="90">
      <c r="A90" s="2" t="inlineStr">
        <is>
          <t>Junmin Wang</t>
        </is>
      </c>
      <c r="B90" s="2" t="inlineStr">
        <is>
          <t>The University of Texas at Austin</t>
        </is>
      </c>
      <c r="C90" s="3">
        <f>HYPERLINK("https://me.utexas.edu/person/junmin-wang/", "https://me.utexas.edu/person/junmin-wang/")</f>
        <v/>
      </c>
      <c r="D90" s="3">
        <f>HYPERLINK("https://scholar.google.com/citations?view_op=search_authors&amp;mauthors=Junmin%20Wang%20University%20of%20Texas%20at%20Austin", "Google Scholar Search")</f>
        <v/>
      </c>
      <c r="E90" s="2" t="inlineStr">
        <is>
          <t>Professor</t>
        </is>
      </c>
      <c r="F90" s="2" t="inlineStr">
        <is>
          <t>Walker Department of Mechanical Engineering</t>
        </is>
      </c>
      <c r="G90" s="2" t="inlineStr"/>
      <c r="H90" s="3">
        <f>HYPERLINK("mailto:jwang@austin.utexas.edu", "jwang@austin.utexas.edu")</f>
        <v/>
      </c>
      <c r="I90" s="2" t="n">
        <v>4</v>
      </c>
      <c r="J90" s="2" t="inlineStr">
        <is>
          <t>🔴 Tier 4: Robotics / Controls / Autonomy</t>
        </is>
      </c>
      <c r="K90" s="2" t="n">
        <v>3</v>
      </c>
      <c r="L90" s="2" t="inlineStr">
        <is>
          <t>estimation, robot, robotics</t>
        </is>
      </c>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is>
          <t>Control, modeling, estimation, optimization, diagnosis and AI for applications in automotive, vehicle, mobility, human-automation, robotics, energy storage and manufacturing</t>
        </is>
      </c>
      <c r="AI90" s="2" t="inlineStr"/>
      <c r="AJ90" s="2" t="inlineStr">
        <is>
          <t>Control, modeling, estimation, optimization, diagnosis and AI for applications in automotive, vehicle, mobility, human-automation, robotics, energy storage and manufacturing</t>
        </is>
      </c>
      <c r="AK90" s="2" t="inlineStr"/>
      <c r="AL90" s="2" t="inlineStr"/>
      <c r="AM90" s="2" t="inlineStr"/>
      <c r="AN90" s="2" t="inlineStr"/>
      <c r="AO90" s="2" t="inlineStr"/>
      <c r="AP90" s="2" t="inlineStr"/>
      <c r="AQ90" s="2" t="inlineStr"/>
      <c r="AR90" s="2" t="inlineStr"/>
      <c r="AS90" s="2" t="inlineStr"/>
      <c r="AT90" s="2" t="inlineStr">
        <is>
          <t>ETC 4.152C</t>
        </is>
      </c>
      <c r="AU90" s="2" t="b">
        <v>1</v>
      </c>
      <c r="AV90" s="3">
        <f>HYPERLINK("https://me.utexas.edu/people/faculty", "https://me.utexas.edu/people/faculty")</f>
        <v/>
      </c>
    </row>
    <row r="91">
      <c r="A91" s="2" t="inlineStr">
        <is>
          <t>Lori Magruder</t>
        </is>
      </c>
      <c r="B91" s="2" t="inlineStr">
        <is>
          <t>The University of Texas at Austin</t>
        </is>
      </c>
      <c r="C91" s="3">
        <f>HYPERLINK("https://ae.utexas.edu/person/lori-magruder/", "https://ae.utexas.edu/person/lori-magruder/")</f>
        <v/>
      </c>
      <c r="D91" s="3">
        <f>HYPERLINK("https://scholar.google.com/citations?view_op=search_authors&amp;mauthors=Lori%20Magruder%20University%20of%20Texas%20at%20Austin", "Google Scholar Search")</f>
        <v/>
      </c>
      <c r="E91" s="2" t="inlineStr">
        <is>
          <t>Professor; Director of the Center for Space Research</t>
        </is>
      </c>
      <c r="F91" s="2" t="inlineStr">
        <is>
          <t>Aerospace Engineering and Engineering Mechanics</t>
        </is>
      </c>
      <c r="G91" s="2" t="inlineStr"/>
      <c r="H91" s="3">
        <f>HYPERLINK("mailto:lori.magruder@austin.utexas.edu", "lori.magruder@austin.utexas.edu")</f>
        <v/>
      </c>
      <c r="I91" s="2" t="n">
        <v>4</v>
      </c>
      <c r="J91" s="2" t="inlineStr">
        <is>
          <t>🔴 Tier 4: Robotics / Controls / Autonomy</t>
        </is>
      </c>
      <c r="K91" s="2" t="n">
        <v>3</v>
      </c>
      <c r="L91" s="2" t="inlineStr">
        <is>
          <t>aerospace, orbital mechanics, spacecraft</t>
        </is>
      </c>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is>
          <t>Remote sensing instrumentation and applications; 3D geospatial data exploitation for Earth science; Spacecraft dynamics, orbital mechanics and attitude determination</t>
        </is>
      </c>
      <c r="AI91" s="2" t="inlineStr"/>
      <c r="AJ91" s="2" t="inlineStr">
        <is>
          <t>Remote sensing instrumentation and applications; 3D geospatial data exploitation for Earth science; Spacecraft dynamics, orbital mechanics and attitude determination</t>
        </is>
      </c>
      <c r="AK91" s="2" t="inlineStr"/>
      <c r="AL91" s="2" t="inlineStr"/>
      <c r="AM91" s="2" t="inlineStr"/>
      <c r="AN91" s="2" t="inlineStr"/>
      <c r="AO91" s="2" t="inlineStr"/>
      <c r="AP91" s="2" t="inlineStr"/>
      <c r="AQ91" s="2" t="inlineStr"/>
      <c r="AR91" s="2" t="inlineStr"/>
      <c r="AS91" s="2" t="inlineStr"/>
      <c r="AT91" s="2" t="inlineStr">
        <is>
          <t>ASE 3.220</t>
        </is>
      </c>
      <c r="AU91" s="2" t="b">
        <v>1</v>
      </c>
      <c r="AV91" s="3">
        <f>HYPERLINK("https://ae.utexas.edu/people/faculty", "https://ae.utexas.edu/people/faculty")</f>
        <v/>
      </c>
    </row>
    <row r="92">
      <c r="A92" s="2" t="inlineStr">
        <is>
          <t>Scott Fish</t>
        </is>
      </c>
      <c r="B92" s="2" t="inlineStr">
        <is>
          <t>The University of Texas at Austin</t>
        </is>
      </c>
      <c r="C92" s="3">
        <f>HYPERLINK("https://me.utexas.edu/person/scott-fish/", "https://me.utexas.edu/person/scott-fish/")</f>
        <v/>
      </c>
      <c r="D92" s="3">
        <f>HYPERLINK("https://scholar.google.com/citations?view_op=search_authors&amp;mauthors=Scott%20Fish%20University%20of%20Texas%20at%20Austin", "Google Scholar Search")</f>
        <v/>
      </c>
      <c r="E92" s="2" t="inlineStr">
        <is>
          <t>Senior Research Scientist</t>
        </is>
      </c>
      <c r="F92" s="2" t="inlineStr">
        <is>
          <t>Walker Department of Mechanical Engineering</t>
        </is>
      </c>
      <c r="G92" s="2" t="inlineStr"/>
      <c r="H92" s="3">
        <f>HYPERLINK("mailto:scott.fish@utexas.edu", "scott.fish@utexas.edu")</f>
        <v/>
      </c>
      <c r="I92" s="2" t="n">
        <v>4</v>
      </c>
      <c r="J92" s="2" t="inlineStr">
        <is>
          <t>🔴 Tier 4: Robotics / Controls / Autonomy</t>
        </is>
      </c>
      <c r="K92" s="2" t="n">
        <v>3</v>
      </c>
      <c r="L92" s="2" t="inlineStr">
        <is>
          <t>fluid mechanics, robot, robotics</t>
        </is>
      </c>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is>
          <t>Ground robotics; Unmanned ground vehicles; Fluid mechanics</t>
        </is>
      </c>
      <c r="AI92" s="2" t="inlineStr"/>
      <c r="AJ92" s="2" t="inlineStr">
        <is>
          <t>Ground robotics; Unmanned ground vehicles; Fluid mechanics</t>
        </is>
      </c>
      <c r="AK92" s="2" t="inlineStr"/>
      <c r="AL92" s="2" t="inlineStr"/>
      <c r="AM92" s="2" t="inlineStr"/>
      <c r="AN92" s="2" t="inlineStr"/>
      <c r="AO92" s="2" t="inlineStr"/>
      <c r="AP92" s="2" t="inlineStr"/>
      <c r="AQ92" s="2" t="inlineStr"/>
      <c r="AR92" s="2" t="inlineStr"/>
      <c r="AS92" s="2" t="inlineStr"/>
      <c r="AT92" s="2" t="inlineStr"/>
      <c r="AU92" s="2" t="b">
        <v>1</v>
      </c>
      <c r="AV92" s="3">
        <f>HYPERLINK("https://me.utexas.edu/people/faculty", "https://me.utexas.edu/people/faculty")</f>
        <v/>
      </c>
    </row>
    <row r="93">
      <c r="A93" s="2" t="inlineStr">
        <is>
          <t>Sheldon Landsberger</t>
        </is>
      </c>
      <c r="B93" s="2" t="inlineStr">
        <is>
          <t>The University of Texas at Austin</t>
        </is>
      </c>
      <c r="C93" s="3">
        <f>HYPERLINK("https://me.utexas.edu/person/sheldon-landsberger/", "https://me.utexas.edu/person/sheldon-landsberger/")</f>
        <v/>
      </c>
      <c r="D93" s="3">
        <f>HYPERLINK("https://scholar.google.com/citations?view_op=search_authors&amp;mauthors=Sheldon%20Landsberger%20University%20of%20Texas%20at%20Austin", "Google Scholar Search")</f>
        <v/>
      </c>
      <c r="E93" s="2" t="inlineStr">
        <is>
          <t>Professor</t>
        </is>
      </c>
      <c r="F93" s="2" t="inlineStr">
        <is>
          <t>Walker Department of Mechanical Engineering</t>
        </is>
      </c>
      <c r="G93" s="2" t="inlineStr"/>
      <c r="H93" s="3">
        <f>HYPERLINK("mailto:s.landsberger@mail.utexas.edu", "s.landsberger@mail.utexas.edu")</f>
        <v/>
      </c>
      <c r="I93" s="2" t="n">
        <v>4</v>
      </c>
      <c r="J93" s="2" t="inlineStr">
        <is>
          <t>🔴 Tier 4: Robotics / Controls / Autonomy</t>
        </is>
      </c>
      <c r="K93" s="2" t="n">
        <v>3</v>
      </c>
      <c r="L93" s="2" t="inlineStr">
        <is>
          <t>radiation, robot, robotics</t>
        </is>
      </c>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is>
          <t>Radiation damage studies; Robotics in nuclear applications; Environmental transport of radioactivity in the environment; Fission product identification</t>
        </is>
      </c>
      <c r="AI93" s="2" t="inlineStr"/>
      <c r="AJ93" s="2" t="inlineStr">
        <is>
          <t>Radiation damage studies; Robotics in nuclear applications; Environmental transport of radioactivity in the environment; Fission product identification</t>
        </is>
      </c>
      <c r="AK93" s="2" t="inlineStr"/>
      <c r="AL93" s="2" t="inlineStr"/>
      <c r="AM93" s="2" t="inlineStr"/>
      <c r="AN93" s="2" t="inlineStr"/>
      <c r="AO93" s="2" t="inlineStr"/>
      <c r="AP93" s="2" t="inlineStr"/>
      <c r="AQ93" s="2" t="inlineStr"/>
      <c r="AR93" s="2" t="inlineStr"/>
      <c r="AS93" s="2" t="inlineStr"/>
      <c r="AT93" s="2" t="inlineStr">
        <is>
          <t>ETC 7.116</t>
        </is>
      </c>
      <c r="AU93" s="2" t="b">
        <v>1</v>
      </c>
      <c r="AV93" s="3">
        <f>HYPERLINK("https://me.utexas.edu/people/faculty", "https://me.utexas.edu/people/faculty")</f>
        <v/>
      </c>
    </row>
    <row r="94">
      <c r="A94" s="2" t="inlineStr">
        <is>
          <t>Ann Majewicz Fey</t>
        </is>
      </c>
      <c r="B94" s="2" t="inlineStr">
        <is>
          <t>The University of Texas at Austin</t>
        </is>
      </c>
      <c r="C94" s="3">
        <f>HYPERLINK("https://me.utexas.edu/person/ann-majewicz-fey/", "https://me.utexas.edu/person/ann-majewicz-fey/")</f>
        <v/>
      </c>
      <c r="D94" s="3">
        <f>HYPERLINK("https://scholar.google.com/citations?view_op=search_authors&amp;mauthors=Ann%20Majewicz%20Fey%20University%20of%20Texas%20at%20Austin", "Google Scholar Search")</f>
        <v/>
      </c>
      <c r="E94" s="2" t="inlineStr">
        <is>
          <t>Professor</t>
        </is>
      </c>
      <c r="F94" s="2" t="inlineStr">
        <is>
          <t>Walker Department of Mechanical Engineering</t>
        </is>
      </c>
      <c r="G94" s="2" t="inlineStr"/>
      <c r="H94" s="3">
        <f>HYPERLINK("mailto:ann.majewiczfey@utexas.edu", "ann.majewiczfey@utexas.edu")</f>
        <v/>
      </c>
      <c r="I94" s="2" t="n">
        <v>4</v>
      </c>
      <c r="J94" s="2" t="inlineStr">
        <is>
          <t>🔴 Tier 4: Robotics / Controls / Autonomy</t>
        </is>
      </c>
      <c r="K94" s="2" t="n">
        <v>2</v>
      </c>
      <c r="L94" s="2" t="inlineStr">
        <is>
          <t>robot, robotics</t>
        </is>
      </c>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is>
          <t>Surgical and medical robotics; AI-enabled human-centric modeling and control design; Teleoperation; Haptics; Medical education technology</t>
        </is>
      </c>
      <c r="AI94" s="2" t="inlineStr"/>
      <c r="AJ94" s="2" t="inlineStr">
        <is>
          <t>Surgical and medical robotics; AI-enabled human-centric modeling and control design; Teleoperation; Haptics; Medical education technology</t>
        </is>
      </c>
      <c r="AK94" s="2" t="inlineStr"/>
      <c r="AL94" s="2" t="inlineStr"/>
      <c r="AM94" s="2" t="inlineStr"/>
      <c r="AN94" s="2" t="inlineStr"/>
      <c r="AO94" s="2" t="inlineStr"/>
      <c r="AP94" s="2" t="inlineStr"/>
      <c r="AQ94" s="2" t="inlineStr"/>
      <c r="AR94" s="2" t="inlineStr"/>
      <c r="AS94" s="2" t="inlineStr"/>
      <c r="AT94" s="2" t="inlineStr">
        <is>
          <t>AGH 2.202MD</t>
        </is>
      </c>
      <c r="AU94" s="2" t="b">
        <v>1</v>
      </c>
      <c r="AV94" s="3">
        <f>HYPERLINK("https://me.utexas.edu/people/faculty", "https://me.utexas.edu/people/faculty")</f>
        <v/>
      </c>
    </row>
    <row r="95">
      <c r="A95" s="2" t="inlineStr">
        <is>
          <t>Dongmei "Maggie" Chen</t>
        </is>
      </c>
      <c r="B95" s="2" t="inlineStr">
        <is>
          <t>The University of Texas at Austin</t>
        </is>
      </c>
      <c r="C95" s="3">
        <f>HYPERLINK("https://me.utexas.edu/person/dongmei-maggie-chen/", "https://me.utexas.edu/person/dongmei-maggie-chen/")</f>
        <v/>
      </c>
      <c r="D95" s="3">
        <f>HYPERLINK("https://scholar.google.com/citations?view_op=search_authors&amp;mauthors=Dongmei%20%22Maggie%22%20Chen%20University%20of%20Texas%20at%20Austin", "Google Scholar Search")</f>
        <v/>
      </c>
      <c r="E95" s="2" t="inlineStr">
        <is>
          <t>Professor</t>
        </is>
      </c>
      <c r="F95" s="2" t="inlineStr">
        <is>
          <t>Walker Department of Mechanical Engineering</t>
        </is>
      </c>
      <c r="G95" s="2" t="inlineStr"/>
      <c r="H95" s="3">
        <f>HYPERLINK("mailto:dmchen@me.utexas.edu", "dmchen@me.utexas.edu")</f>
        <v/>
      </c>
      <c r="I95" s="2" t="n">
        <v>4</v>
      </c>
      <c r="J95" s="2" t="inlineStr">
        <is>
          <t>🔴 Tier 4: Robotics / Controls / Autonomy</t>
        </is>
      </c>
      <c r="K95" s="2" t="n">
        <v>2</v>
      </c>
      <c r="L95" s="2" t="inlineStr">
        <is>
          <t>optimal control, propulsion</t>
        </is>
      </c>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is>
          <t>Fuel cell systems and control; Nonlinear systems and optimal control; Hybrid propulsion system architectures and control; Wind turbine systems</t>
        </is>
      </c>
      <c r="AI95" s="2" t="inlineStr"/>
      <c r="AJ95" s="2" t="inlineStr">
        <is>
          <t>Fuel cell systems and control; Nonlinear systems and optimal control; Hybrid propulsion system architectures and control; Wind turbine systems</t>
        </is>
      </c>
      <c r="AK95" s="2" t="inlineStr"/>
      <c r="AL95" s="2" t="inlineStr"/>
      <c r="AM95" s="2" t="inlineStr"/>
      <c r="AN95" s="2" t="inlineStr"/>
      <c r="AO95" s="2" t="inlineStr"/>
      <c r="AP95" s="2" t="inlineStr"/>
      <c r="AQ95" s="2" t="inlineStr"/>
      <c r="AR95" s="2" t="inlineStr"/>
      <c r="AS95" s="2" t="inlineStr"/>
      <c r="AT95" s="2" t="inlineStr">
        <is>
          <t>ETC 4.166</t>
        </is>
      </c>
      <c r="AU95" s="2" t="b">
        <v>1</v>
      </c>
      <c r="AV95" s="3">
        <f>HYPERLINK("https://me.utexas.edu/people/faculty", "https://me.utexas.edu/people/faculty")</f>
        <v/>
      </c>
    </row>
    <row r="96">
      <c r="A96" s="2" t="inlineStr">
        <is>
          <t>Jingyi “Ann” Chen</t>
        </is>
      </c>
      <c r="B96" s="2" t="inlineStr">
        <is>
          <t>The University of Texas at Austin</t>
        </is>
      </c>
      <c r="C96" s="3">
        <f>HYPERLINK("https://ae.utexas.edu/person/jingyi-ann-chen/", "https://ae.utexas.edu/person/jingyi-ann-chen/")</f>
        <v/>
      </c>
      <c r="D96" s="3">
        <f>HYPERLINK("https://scholar.google.com/citations?view_op=search_authors&amp;mauthors=Jingyi%20%E2%80%9CAnn%E2%80%9D%20Chen%20University%20of%20Texas%20at%20Austin", "Google Scholar Search")</f>
        <v/>
      </c>
      <c r="E96" s="2" t="inlineStr">
        <is>
          <t>Associate Professor</t>
        </is>
      </c>
      <c r="F96" s="2" t="inlineStr">
        <is>
          <t>Aerospace Engineering and Engineering Mechanics</t>
        </is>
      </c>
      <c r="G96" s="2" t="inlineStr"/>
      <c r="H96" s="3">
        <f>HYPERLINK("mailto:jingyi.ann.chen@utexas.edu", "jingyi.ann.chen@utexas.edu")</f>
        <v/>
      </c>
      <c r="I96" s="2" t="n">
        <v>4</v>
      </c>
      <c r="J96" s="2" t="inlineStr">
        <is>
          <t>🔴 Tier 4: Robotics / Controls / Autonomy</t>
        </is>
      </c>
      <c r="K96" s="2" t="n">
        <v>2</v>
      </c>
      <c r="L96" s="2" t="inlineStr">
        <is>
          <t>aerospace, satellite</t>
        </is>
      </c>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is>
          <t>Satellite geodesy and remote sensing; Interferometric Synthetic Aperture Radar (InSAR) image processing algorithms; InSAR-based earth observation applications</t>
        </is>
      </c>
      <c r="AI96" s="2" t="inlineStr"/>
      <c r="AJ96" s="2" t="inlineStr">
        <is>
          <t>Satellite geodesy and remote sensing; Interferometric Synthetic Aperture Radar (InSAR) image processing algorithms; InSAR-based earth observation applications</t>
        </is>
      </c>
      <c r="AK96" s="2" t="inlineStr"/>
      <c r="AL96" s="2" t="inlineStr"/>
      <c r="AM96" s="2" t="inlineStr"/>
      <c r="AN96" s="2" t="inlineStr"/>
      <c r="AO96" s="2" t="inlineStr"/>
      <c r="AP96" s="2" t="inlineStr"/>
      <c r="AQ96" s="2" t="inlineStr"/>
      <c r="AR96" s="2" t="inlineStr"/>
      <c r="AS96" s="2" t="inlineStr"/>
      <c r="AT96" s="2" t="inlineStr">
        <is>
          <t>ASE 3.214</t>
        </is>
      </c>
      <c r="AU96" s="2" t="b">
        <v>1</v>
      </c>
      <c r="AV96" s="3">
        <f>HYPERLINK("https://ae.utexas.edu/people/faculty", "https://ae.utexas.edu/people/faculty")</f>
        <v/>
      </c>
    </row>
    <row r="97">
      <c r="A97" s="2" t="inlineStr">
        <is>
          <t>John-Paul Clarke</t>
        </is>
      </c>
      <c r="B97" s="2" t="inlineStr">
        <is>
          <t>The University of Texas at Austin</t>
        </is>
      </c>
      <c r="C97" s="3">
        <f>HYPERLINK("https://ae.utexas.edu/person/john-paul-clarke/", "https://ae.utexas.edu/person/john-paul-clarke/")</f>
        <v/>
      </c>
      <c r="D97" s="3">
        <f>HYPERLINK("https://scholar.google.com/citations?view_op=search_authors&amp;mauthors=John-Paul%20Clarke%20University%20of%20Texas%20at%20Austin", "Google Scholar Search")</f>
        <v/>
      </c>
      <c r="E97" s="2" t="inlineStr">
        <is>
          <t>Professor</t>
        </is>
      </c>
      <c r="F97" s="2" t="inlineStr">
        <is>
          <t>Aerospace Engineering and Engineering Mechanics</t>
        </is>
      </c>
      <c r="G97" s="2" t="inlineStr"/>
      <c r="H97" s="3">
        <f>HYPERLINK("mailto:johnpaul@utexas.edu", "johnpaul@utexas.edu")</f>
        <v/>
      </c>
      <c r="I97" s="2" t="n">
        <v>4</v>
      </c>
      <c r="J97" s="2" t="inlineStr">
        <is>
          <t>🔴 Tier 4: Robotics / Controls / Autonomy</t>
        </is>
      </c>
      <c r="K97" s="2" t="n">
        <v>2</v>
      </c>
      <c r="L97" s="2" t="inlineStr">
        <is>
          <t>aerospace, autonomous</t>
        </is>
      </c>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is>
          <t>Environmental impact of aviation; Trajectory prediction and optimization; Stochastic models and optimization algorithms; Increasingly autonomous aircraft-enabled mobility; Human-machine teaming; Airline and airport planning operations</t>
        </is>
      </c>
      <c r="AI97" s="2" t="inlineStr"/>
      <c r="AJ97" s="2" t="inlineStr">
        <is>
          <t>Environmental impact of aviation; Trajectory prediction and optimization; Stochastic models and optimization algorithms; Increasingly autonomous aircraft-enabled mobility; Human-machine teaming; Airline and airport planning operations</t>
        </is>
      </c>
      <c r="AK97" s="2" t="inlineStr"/>
      <c r="AL97" s="2" t="inlineStr"/>
      <c r="AM97" s="2" t="inlineStr"/>
      <c r="AN97" s="2" t="inlineStr"/>
      <c r="AO97" s="2" t="inlineStr"/>
      <c r="AP97" s="2" t="inlineStr"/>
      <c r="AQ97" s="2" t="inlineStr"/>
      <c r="AR97" s="2" t="inlineStr"/>
      <c r="AS97" s="2" t="inlineStr"/>
      <c r="AT97" s="2" t="inlineStr">
        <is>
          <t>ASE 3.222</t>
        </is>
      </c>
      <c r="AU97" s="2" t="b">
        <v>1</v>
      </c>
      <c r="AV97" s="3">
        <f>HYPERLINK("https://ae.utexas.edu/people/faculty", "https://ae.utexas.edu/people/faculty")</f>
        <v/>
      </c>
    </row>
    <row r="98">
      <c r="A98" s="2" t="inlineStr">
        <is>
          <t>Kevin Sagis</t>
        </is>
      </c>
      <c r="B98" s="2" t="inlineStr">
        <is>
          <t>The University of Texas at Austin</t>
        </is>
      </c>
      <c r="C98" s="3">
        <f>HYPERLINK("https://ae.utexas.edu/person/kevin-sagis/", "https://ae.utexas.edu/person/kevin-sagis/")</f>
        <v/>
      </c>
      <c r="D98" s="3">
        <f>HYPERLINK("https://scholar.google.com/citations?view_op=search_authors&amp;mauthors=Kevin%20Sagis%20University%20of%20Texas%20at%20Austin", "Google Scholar Search")</f>
        <v/>
      </c>
      <c r="E98" s="2" t="inlineStr">
        <is>
          <t>Professor of Practice; Program Director, Texas Rocket Engineering Laboratory (TREL)</t>
        </is>
      </c>
      <c r="F98" s="2" t="inlineStr">
        <is>
          <t>Aerospace Engineering and Engineering Mechanics</t>
        </is>
      </c>
      <c r="G98" s="2" t="inlineStr"/>
      <c r="H98" s="3">
        <f>HYPERLINK("mailto:kevin.sagis@austin.utexas.edu", "kevin.sagis@austin.utexas.edu")</f>
        <v/>
      </c>
      <c r="I98" s="2" t="n">
        <v>4</v>
      </c>
      <c r="J98" s="2" t="inlineStr">
        <is>
          <t>🔴 Tier 4: Robotics / Controls / Autonomy</t>
        </is>
      </c>
      <c r="K98" s="2" t="n">
        <v>2</v>
      </c>
      <c r="L98" s="2" t="inlineStr">
        <is>
          <t>aerospace, autonomous</t>
        </is>
      </c>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is>
          <t xml:space="preserve"> &lt;br&gt;Launch vehicle design; Space systems engineering; Autonomous aerospace systems; Flight dynamics; Aerospace vehicle integration and systems engineering</t>
        </is>
      </c>
      <c r="AI98" s="2" t="inlineStr"/>
      <c r="AJ98" s="2" t="inlineStr">
        <is>
          <t xml:space="preserve"> &lt;br&gt;Launch vehicle design; Space systems engineering; Autonomous aerospace systems; Flight dynamics; Aerospace vehicle integration and systems engineering</t>
        </is>
      </c>
      <c r="AK98" s="2" t="inlineStr"/>
      <c r="AL98" s="2" t="inlineStr"/>
      <c r="AM98" s="2" t="inlineStr"/>
      <c r="AN98" s="2" t="inlineStr"/>
      <c r="AO98" s="2" t="inlineStr"/>
      <c r="AP98" s="2" t="inlineStr"/>
      <c r="AQ98" s="2" t="inlineStr"/>
      <c r="AR98" s="2" t="inlineStr"/>
      <c r="AS98" s="2" t="inlineStr"/>
      <c r="AT98" s="2" t="inlineStr">
        <is>
          <t>ASE 3.236</t>
        </is>
      </c>
      <c r="AU98" s="2" t="b">
        <v>1</v>
      </c>
      <c r="AV98" s="3">
        <f>HYPERLINK("https://ae.utexas.edu/people/faculty", "https://ae.utexas.edu/people/faculty")</f>
        <v/>
      </c>
    </row>
    <row r="99">
      <c r="A99" s="2" t="inlineStr">
        <is>
          <t>Luke Peterson</t>
        </is>
      </c>
      <c r="B99" s="2" t="inlineStr">
        <is>
          <t>The University of Texas at Austin</t>
        </is>
      </c>
      <c r="C99" s="3">
        <f>HYPERLINK("https://ae.utexas.edu/person/luke-peterson/", "https://ae.utexas.edu/person/luke-peterson/")</f>
        <v/>
      </c>
      <c r="D99" s="3">
        <f>HYPERLINK("https://scholar.google.com/citations?view_op=search_authors&amp;mauthors=Luke%20Peterson%20University%20of%20Texas%20at%20Austin", "Google Scholar Search")</f>
        <v/>
      </c>
      <c r="E99" s="2" t="inlineStr">
        <is>
          <t>Assistant Professor</t>
        </is>
      </c>
      <c r="F99" s="2" t="inlineStr">
        <is>
          <t>Aerospace Engineering and Engineering Mechanics</t>
        </is>
      </c>
      <c r="G99" s="2" t="inlineStr"/>
      <c r="H99" s="3">
        <f>HYPERLINK("mailto:ltp@utexas.edu ", "ltp@utexas.edu ")</f>
        <v/>
      </c>
      <c r="I99" s="2" t="n">
        <v>4</v>
      </c>
      <c r="J99" s="2" t="inlineStr">
        <is>
          <t>🔴 Tier 4: Robotics / Controls / Autonomy</t>
        </is>
      </c>
      <c r="K99" s="2" t="n">
        <v>2</v>
      </c>
      <c r="L99" s="2" t="inlineStr">
        <is>
          <t>aerospace, astrodynamics</t>
        </is>
      </c>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is>
          <t>Celestial Mechanics, Dynamical Systems, and Astrodynamics</t>
        </is>
      </c>
      <c r="AI99" s="2" t="inlineStr"/>
      <c r="AJ99" s="2" t="inlineStr">
        <is>
          <t>Celestial Mechanics, Dynamical Systems, and Astrodynamics</t>
        </is>
      </c>
      <c r="AK99" s="2" t="inlineStr"/>
      <c r="AL99" s="2" t="inlineStr"/>
      <c r="AM99" s="2" t="inlineStr"/>
      <c r="AN99" s="2" t="inlineStr"/>
      <c r="AO99" s="2" t="inlineStr"/>
      <c r="AP99" s="2" t="inlineStr"/>
      <c r="AQ99" s="2" t="inlineStr"/>
      <c r="AR99" s="2" t="inlineStr"/>
      <c r="AS99" s="2" t="inlineStr"/>
      <c r="AT99" s="2" t="inlineStr">
        <is>
          <t>ASE 4.216</t>
        </is>
      </c>
      <c r="AU99" s="2" t="b">
        <v>1</v>
      </c>
      <c r="AV99" s="3">
        <f>HYPERLINK("https://ae.utexas.edu/people/faculty", "https://ae.utexas.edu/people/faculty")</f>
        <v/>
      </c>
    </row>
    <row r="100">
      <c r="A100" s="2" t="inlineStr">
        <is>
          <t>Manuel Rausch</t>
        </is>
      </c>
      <c r="B100" s="2" t="inlineStr">
        <is>
          <t>The University of Texas at Austin</t>
        </is>
      </c>
      <c r="C100" s="3">
        <f>HYPERLINK("https://ae.utexas.edu/person/manuel-rausch/", "https://ae.utexas.edu/person/manuel-rausch/")</f>
        <v/>
      </c>
      <c r="D100" s="3">
        <f>HYPERLINK("https://scholar.google.com/citations?view_op=search_authors&amp;mauthors=Manuel%20Rausch%20University%20of%20Texas%20at%20Austin", "Google Scholar Search")</f>
        <v/>
      </c>
      <c r="E100" s="2" t="inlineStr">
        <is>
          <t>Associate Professor; Associate Chair for Faculty Development</t>
        </is>
      </c>
      <c r="F100" s="2" t="inlineStr">
        <is>
          <t>Aerospace Engineering and Engineering Mechanics</t>
        </is>
      </c>
      <c r="G100" s="2" t="inlineStr"/>
      <c r="H100" s="3">
        <f>HYPERLINK("mailto:manuel.rausch@utexas.edu", "manuel.rausch@utexas.edu")</f>
        <v/>
      </c>
      <c r="I100" s="2" t="n">
        <v>4</v>
      </c>
      <c r="J100" s="2" t="inlineStr">
        <is>
          <t>🔴 Tier 4: Robotics / Controls / Autonomy</t>
        </is>
      </c>
      <c r="K100" s="2" t="n">
        <v>2</v>
      </c>
      <c r="L100" s="2" t="inlineStr">
        <is>
          <t>aerospace, continuum mechanics</t>
        </is>
      </c>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is>
          <t>Soft tissue biomechanics; Nonlinear continuum mechanics; Numerical modeling; Material characterization and constitutive modeling</t>
        </is>
      </c>
      <c r="AI100" s="2" t="inlineStr"/>
      <c r="AJ100" s="2" t="inlineStr">
        <is>
          <t>Soft tissue biomechanics; Nonlinear continuum mechanics; Numerical modeling; Material characterization and constitutive modeling</t>
        </is>
      </c>
      <c r="AK100" s="2" t="inlineStr"/>
      <c r="AL100" s="2" t="inlineStr"/>
      <c r="AM100" s="2" t="inlineStr"/>
      <c r="AN100" s="2" t="inlineStr"/>
      <c r="AO100" s="2" t="inlineStr"/>
      <c r="AP100" s="2" t="inlineStr"/>
      <c r="AQ100" s="2" t="inlineStr"/>
      <c r="AR100" s="2" t="inlineStr"/>
      <c r="AS100" s="2" t="inlineStr"/>
      <c r="AT100" s="2" t="inlineStr">
        <is>
          <t>EER 7.620</t>
        </is>
      </c>
      <c r="AU100" s="2" t="b">
        <v>1</v>
      </c>
      <c r="AV100" s="3">
        <f>HYPERLINK("https://ae.utexas.edu/people/faculty", "https://ae.utexas.edu/people/faculty")</f>
        <v/>
      </c>
    </row>
    <row r="101">
      <c r="A101" s="2" t="inlineStr">
        <is>
          <t>Maruthi R. Akella</t>
        </is>
      </c>
      <c r="B101" s="2" t="inlineStr">
        <is>
          <t>The University of Texas at Austin</t>
        </is>
      </c>
      <c r="C101" s="3">
        <f>HYPERLINK("https://ae.utexas.edu/person/maruthi-r-akella/", "https://ae.utexas.edu/person/maruthi-r-akella/")</f>
        <v/>
      </c>
      <c r="D101" s="3">
        <f>HYPERLINK("https://scholar.google.com/citations?view_op=search_authors&amp;mauthors=Maruthi%20R.%20Akella%20University%20of%20Texas%20at%20Austin", "Google Scholar Search")</f>
        <v/>
      </c>
      <c r="E101" s="2" t="inlineStr">
        <is>
          <t>Professor</t>
        </is>
      </c>
      <c r="F101" s="2" t="inlineStr">
        <is>
          <t>Aerospace Engineering and Engineering Mechanics</t>
        </is>
      </c>
      <c r="G101" s="2" t="inlineStr"/>
      <c r="H101" s="3">
        <f>HYPERLINK("mailto:makella@mail.utexas.edu", "makella@mail.utexas.edu")</f>
        <v/>
      </c>
      <c r="I101" s="2" t="n">
        <v>4</v>
      </c>
      <c r="J101" s="2" t="inlineStr">
        <is>
          <t>🔴 Tier 4: Robotics / Controls / Autonomy</t>
        </is>
      </c>
      <c r="K101" s="2" t="n">
        <v>2</v>
      </c>
      <c r="L101" s="2" t="inlineStr">
        <is>
          <t>aerospace, astrodynamics</t>
        </is>
      </c>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is>
          <t>Learning and Adaptive Systems; Astrodynamics; Dynamics and Control of Coordinated Systems</t>
        </is>
      </c>
      <c r="AI101" s="2" t="inlineStr"/>
      <c r="AJ101" s="2" t="inlineStr">
        <is>
          <t>Learning and Adaptive Systems; Astrodynamics; Dynamics and Control of Coordinated Systems</t>
        </is>
      </c>
      <c r="AK101" s="2" t="inlineStr"/>
      <c r="AL101" s="2" t="inlineStr"/>
      <c r="AM101" s="2" t="inlineStr"/>
      <c r="AN101" s="2" t="inlineStr"/>
      <c r="AO101" s="2" t="inlineStr"/>
      <c r="AP101" s="2" t="inlineStr"/>
      <c r="AQ101" s="2" t="inlineStr"/>
      <c r="AR101" s="2" t="inlineStr"/>
      <c r="AS101" s="2" t="inlineStr"/>
      <c r="AT101" s="2" t="inlineStr">
        <is>
          <t>ASE 3.224</t>
        </is>
      </c>
      <c r="AU101" s="2" t="b">
        <v>1</v>
      </c>
      <c r="AV101" s="3">
        <f>HYPERLINK("https://ae.utexas.edu/people/faculty", "https://ae.utexas.edu/people/faculty")</f>
        <v/>
      </c>
    </row>
    <row r="102">
      <c r="A102" s="2" t="inlineStr">
        <is>
          <t>Mitchell Pryor</t>
        </is>
      </c>
      <c r="B102" s="2" t="inlineStr">
        <is>
          <t>The University of Texas at Austin</t>
        </is>
      </c>
      <c r="C102" s="3">
        <f>HYPERLINK("https://me.utexas.edu/person/mitchell-pryor/", "https://me.utexas.edu/person/mitchell-pryor/")</f>
        <v/>
      </c>
      <c r="D102" s="3">
        <f>HYPERLINK("https://scholar.google.com/citations?view_op=search_authors&amp;mauthors=Mitchell%20Pryor%20University%20of%20Texas%20at%20Austin", "Google Scholar Search")</f>
        <v/>
      </c>
      <c r="E102" s="2" t="inlineStr">
        <is>
          <t>Research Professor</t>
        </is>
      </c>
      <c r="F102" s="2" t="inlineStr">
        <is>
          <t>Walker Department of Mechanical Engineering</t>
        </is>
      </c>
      <c r="G102" s="2" t="inlineStr"/>
      <c r="H102" s="3">
        <f>HYPERLINK("mailto:mpryor@utexas.edu", "mpryor@utexas.edu")</f>
        <v/>
      </c>
      <c r="I102" s="2" t="n">
        <v>4</v>
      </c>
      <c r="J102" s="2" t="inlineStr">
        <is>
          <t>🔴 Tier 4: Robotics / Controls / Autonomy</t>
        </is>
      </c>
      <c r="K102" s="2" t="n">
        <v>2</v>
      </c>
      <c r="L102" s="2" t="inlineStr">
        <is>
          <t>robot, robotics</t>
        </is>
      </c>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is>
          <t>Applied robotics and automation; Robotics in hazardous environments, including nuclear, energy and defense</t>
        </is>
      </c>
      <c r="AI102" s="2" t="inlineStr"/>
      <c r="AJ102" s="2" t="inlineStr">
        <is>
          <t>Applied robotics and automation; Robotics in hazardous environments, including nuclear, energy and defense</t>
        </is>
      </c>
      <c r="AK102" s="2" t="inlineStr"/>
      <c r="AL102" s="2" t="inlineStr"/>
      <c r="AM102" s="2" t="inlineStr"/>
      <c r="AN102" s="2" t="inlineStr"/>
      <c r="AO102" s="2" t="inlineStr"/>
      <c r="AP102" s="2" t="inlineStr"/>
      <c r="AQ102" s="2" t="inlineStr"/>
      <c r="AR102" s="2" t="inlineStr"/>
      <c r="AS102" s="2" t="inlineStr"/>
      <c r="AT102" s="2" t="inlineStr">
        <is>
          <t>AHG 2.202MA</t>
        </is>
      </c>
      <c r="AU102" s="2" t="b">
        <v>1</v>
      </c>
      <c r="AV102" s="3">
        <f>HYPERLINK("https://me.utexas.edu/people/faculty", "https://me.utexas.edu/people/faculty")</f>
        <v/>
      </c>
    </row>
    <row r="103">
      <c r="A103" s="2" t="inlineStr">
        <is>
          <t>Nick Fey</t>
        </is>
      </c>
      <c r="B103" s="2" t="inlineStr">
        <is>
          <t>The University of Texas at Austin</t>
        </is>
      </c>
      <c r="C103" s="3">
        <f>HYPERLINK("https://me.utexas.edu/person/nick-fey/", "https://me.utexas.edu/person/nick-fey/")</f>
        <v/>
      </c>
      <c r="D103" s="3">
        <f>HYPERLINK("https://scholar.google.com/citations?view_op=search_authors&amp;mauthors=Nick%20Fey%20University%20of%20Texas%20at%20Austin", "Google Scholar Search")</f>
        <v/>
      </c>
      <c r="E103" s="2" t="inlineStr">
        <is>
          <t>Associate Professor</t>
        </is>
      </c>
      <c r="F103" s="2" t="inlineStr">
        <is>
          <t>Walker Department of Mechanical Engineering</t>
        </is>
      </c>
      <c r="G103" s="2" t="inlineStr"/>
      <c r="H103" s="3">
        <f>HYPERLINK("mailto:nfey@utexas.edu", "nfey@utexas.edu")</f>
        <v/>
      </c>
      <c r="I103" s="2" t="n">
        <v>4</v>
      </c>
      <c r="J103" s="2" t="inlineStr">
        <is>
          <t>🔴 Tier 4: Robotics / Controls / Autonomy</t>
        </is>
      </c>
      <c r="K103" s="2" t="n">
        <v>2</v>
      </c>
      <c r="L103" s="2" t="inlineStr">
        <is>
          <t>robot, robotics</t>
        </is>
      </c>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is>
          <t>Neuromuscular biomechanics; Rehabilitation robotics; Prosthetics and orthotics; Biomechanical and biomedicine engineering; Robotics and intelligent mechanical systems</t>
        </is>
      </c>
      <c r="AI103" s="2" t="inlineStr"/>
      <c r="AJ103" s="2" t="inlineStr">
        <is>
          <t>Neuromuscular biomechanics; Rehabilitation robotics; Prosthetics and orthotics; Biomechanical and biomedicine engineering; Robotics and intelligent mechanical systems</t>
        </is>
      </c>
      <c r="AK103" s="2" t="inlineStr"/>
      <c r="AL103" s="2" t="inlineStr"/>
      <c r="AM103" s="2" t="inlineStr"/>
      <c r="AN103" s="2" t="inlineStr"/>
      <c r="AO103" s="2" t="inlineStr"/>
      <c r="AP103" s="2" t="inlineStr"/>
      <c r="AQ103" s="2" t="inlineStr"/>
      <c r="AR103" s="2" t="inlineStr"/>
      <c r="AS103" s="2" t="inlineStr"/>
      <c r="AT103" s="2" t="inlineStr">
        <is>
          <t>AHG 2.304MB</t>
        </is>
      </c>
      <c r="AU103" s="2" t="b">
        <v>1</v>
      </c>
      <c r="AV103" s="3">
        <f>HYPERLINK("https://me.utexas.edu/people/faculty", "https://me.utexas.edu/people/faculty")</f>
        <v/>
      </c>
    </row>
    <row r="104">
      <c r="A104" s="2" t="inlineStr">
        <is>
          <t>Puneet Singh</t>
        </is>
      </c>
      <c r="B104" s="2" t="inlineStr">
        <is>
          <t>The University of Texas at Austin</t>
        </is>
      </c>
      <c r="C104" s="3">
        <f>HYPERLINK("https://ae.utexas.edu/person/puneet-singh/", "https://ae.utexas.edu/person/puneet-singh/")</f>
        <v/>
      </c>
      <c r="D104" s="3">
        <f>HYPERLINK("https://scholar.google.com/citations?view_op=search_authors&amp;mauthors=Puneet%20Singh%20University%20of%20Texas%20at%20Austin", "Google Scholar Search")</f>
        <v/>
      </c>
      <c r="E104" s="2" t="inlineStr">
        <is>
          <t>Assistant Professor</t>
        </is>
      </c>
      <c r="F104" s="2" t="inlineStr">
        <is>
          <t>Aerospace Engineering and Engineering Mechanics</t>
        </is>
      </c>
      <c r="G104" s="2" t="inlineStr"/>
      <c r="H104" s="3">
        <f>HYPERLINK("mailto:punsingh@utexas.edu", "punsingh@utexas.edu")</f>
        <v/>
      </c>
      <c r="I104" s="2" t="n">
        <v>4</v>
      </c>
      <c r="J104" s="2" t="inlineStr">
        <is>
          <t>🔴 Tier 4: Robotics / Controls / Autonomy</t>
        </is>
      </c>
      <c r="K104" s="2" t="n">
        <v>2</v>
      </c>
      <c r="L104" s="2" t="inlineStr">
        <is>
          <t>aerospace, elasticity</t>
        </is>
      </c>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is>
          <t xml:space="preserve">Computational aero-servo-elasticity, modeling and simulation; Multidisciplinary design optimization of advanced air mobility systems; System identification, control, flying and handling qualities of highly flexible aircraft </t>
        </is>
      </c>
      <c r="AI104" s="2" t="inlineStr"/>
      <c r="AJ104" s="2" t="inlineStr">
        <is>
          <t xml:space="preserve">Computational aero-servo-elasticity, modeling and simulation; Multidisciplinary design optimization of advanced air mobility systems; System identification, control, flying and handling qualities of highly flexible aircraft </t>
        </is>
      </c>
      <c r="AK104" s="2" t="inlineStr"/>
      <c r="AL104" s="2" t="inlineStr"/>
      <c r="AM104" s="2" t="inlineStr"/>
      <c r="AN104" s="2" t="inlineStr"/>
      <c r="AO104" s="2" t="inlineStr"/>
      <c r="AP104" s="2" t="inlineStr"/>
      <c r="AQ104" s="2" t="inlineStr"/>
      <c r="AR104" s="2" t="inlineStr"/>
      <c r="AS104" s="2" t="inlineStr"/>
      <c r="AT104" s="2" t="inlineStr">
        <is>
          <t>ASE 5.208</t>
        </is>
      </c>
      <c r="AU104" s="2" t="b">
        <v>1</v>
      </c>
      <c r="AV104" s="3">
        <f>HYPERLINK("https://ae.utexas.edu/people/faculty", "https://ae.utexas.edu/people/faculty")</f>
        <v/>
      </c>
    </row>
    <row r="105">
      <c r="A105" s="2" t="inlineStr">
        <is>
          <t>Tan Bui-Thanh</t>
        </is>
      </c>
      <c r="B105" s="2" t="inlineStr">
        <is>
          <t>The University of Texas at Austin</t>
        </is>
      </c>
      <c r="C105" s="3">
        <f>HYPERLINK("https://ae.utexas.edu/person/tan-bui-thanh/", "https://ae.utexas.edu/person/tan-bui-thanh/")</f>
        <v/>
      </c>
      <c r="D105" s="3">
        <f>HYPERLINK("https://scholar.google.com/citations?view_op=search_authors&amp;mauthors=Tan%20Bui-Thanh%20University%20of%20Texas%20at%20Austin", "Google Scholar Search")</f>
        <v/>
      </c>
      <c r="E105" s="2" t="inlineStr">
        <is>
          <t>Professor</t>
        </is>
      </c>
      <c r="F105" s="2" t="inlineStr">
        <is>
          <t>Aerospace Engineering and Engineering Mechanics</t>
        </is>
      </c>
      <c r="G105" s="2" t="inlineStr"/>
      <c r="H105" s="3">
        <f>HYPERLINK("mailto:tanbui@oden.utexas.edu", "tanbui@oden.utexas.edu")</f>
        <v/>
      </c>
      <c r="I105" s="2" t="n">
        <v>4</v>
      </c>
      <c r="J105" s="2" t="inlineStr">
        <is>
          <t>🔴 Tier 4: Robotics / Controls / Autonomy</t>
        </is>
      </c>
      <c r="K105" s="2" t="n">
        <v>2</v>
      </c>
      <c r="L105" s="2" t="inlineStr">
        <is>
          <t>aerospace, reduced-order model</t>
        </is>
      </c>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is>
          <t>Quantum-accelerated SciML algorithms for digital twins; Model-constrained Scientific Deep Learning (SciDL) algorithms; Inverse problems and uncertainty quantification; Numerical analysis, numerical optimization and reduced-order modeling (model order reduction)</t>
        </is>
      </c>
      <c r="AI105" s="2" t="inlineStr"/>
      <c r="AJ105" s="2" t="inlineStr">
        <is>
          <t>Quantum-accelerated SciML algorithms for digital twins; Model-constrained Scientific Deep Learning (SciDL) algorithms; Inverse problems and uncertainty quantification; Numerical analysis, numerical optimization and reduced-order modeling (model order reduction)</t>
        </is>
      </c>
      <c r="AK105" s="2" t="inlineStr"/>
      <c r="AL105" s="2" t="inlineStr"/>
      <c r="AM105" s="2" t="inlineStr"/>
      <c r="AN105" s="2" t="inlineStr"/>
      <c r="AO105" s="2" t="inlineStr"/>
      <c r="AP105" s="2" t="inlineStr"/>
      <c r="AQ105" s="2" t="inlineStr"/>
      <c r="AR105" s="2" t="inlineStr"/>
      <c r="AS105" s="2" t="inlineStr"/>
      <c r="AT105" s="2" t="inlineStr">
        <is>
          <t>POB 3.118, ASE 4.220</t>
        </is>
      </c>
      <c r="AU105" s="2" t="b">
        <v>1</v>
      </c>
      <c r="AV105" s="3">
        <f>HYPERLINK("https://ae.utexas.edu/people/faculty", "https://ae.utexas.edu/people/faculty")</f>
        <v/>
      </c>
    </row>
    <row r="106">
      <c r="A106" s="2" t="inlineStr">
        <is>
          <t>Thinh Doan</t>
        </is>
      </c>
      <c r="B106" s="2" t="inlineStr">
        <is>
          <t>The University of Texas at Austin</t>
        </is>
      </c>
      <c r="C106" s="3">
        <f>HYPERLINK("https://ae.utexas.edu/person/thinh-doan/", "https://ae.utexas.edu/person/thinh-doan/")</f>
        <v/>
      </c>
      <c r="D106" s="3">
        <f>HYPERLINK("https://scholar.google.com/citations?view_op=search_authors&amp;mauthors=Thinh%20Doan%20University%20of%20Texas%20at%20Austin", "Google Scholar Search")</f>
        <v/>
      </c>
      <c r="E106" s="2" t="inlineStr">
        <is>
          <t>Assistant Professor</t>
        </is>
      </c>
      <c r="F106" s="2" t="inlineStr">
        <is>
          <t>Aerospace Engineering and Engineering Mechanics</t>
        </is>
      </c>
      <c r="G106" s="2" t="inlineStr"/>
      <c r="H106" s="3">
        <f>HYPERLINK("mailto:thinhdoan@utexas.edu", "thinhdoan@utexas.edu")</f>
        <v/>
      </c>
      <c r="I106" s="2" t="n">
        <v>4</v>
      </c>
      <c r="J106" s="2" t="inlineStr">
        <is>
          <t>🔴 Tier 4: Robotics / Controls / Autonomy</t>
        </is>
      </c>
      <c r="K106" s="2" t="n">
        <v>2</v>
      </c>
      <c r="L106" s="2" t="inlineStr">
        <is>
          <t>aerospace, control theory</t>
        </is>
      </c>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is>
          <t>Real-time decision making for autonomy; Control theory; Optimization and applied probability theory; Reinforcement learning, generative AI and distributed learning</t>
        </is>
      </c>
      <c r="AI106" s="2" t="inlineStr"/>
      <c r="AJ106" s="2" t="inlineStr">
        <is>
          <t>Real-time decision making for autonomy; Control theory; Optimization and applied probability theory; Reinforcement learning, generative AI and distributed learning</t>
        </is>
      </c>
      <c r="AK106" s="2" t="inlineStr"/>
      <c r="AL106" s="2" t="inlineStr"/>
      <c r="AM106" s="2" t="inlineStr"/>
      <c r="AN106" s="2" t="inlineStr"/>
      <c r="AO106" s="2" t="inlineStr"/>
      <c r="AP106" s="2" t="inlineStr"/>
      <c r="AQ106" s="2" t="inlineStr"/>
      <c r="AR106" s="2" t="inlineStr"/>
      <c r="AS106" s="2" t="inlineStr"/>
      <c r="AT106" s="2" t="inlineStr">
        <is>
          <t>ASE 3.206</t>
        </is>
      </c>
      <c r="AU106" s="2" t="b">
        <v>1</v>
      </c>
      <c r="AV106" s="3">
        <f>HYPERLINK("https://ae.utexas.edu/people/faculty", "https://ae.utexas.edu/people/faculty")</f>
        <v/>
      </c>
    </row>
    <row r="107">
      <c r="A107" s="2" t="inlineStr">
        <is>
          <t>Ufuk Topcu</t>
        </is>
      </c>
      <c r="B107" s="2" t="inlineStr">
        <is>
          <t>The University of Texas at Austin</t>
        </is>
      </c>
      <c r="C107" s="3">
        <f>HYPERLINK("https://ae.utexas.edu/person/ufuk-topcu/", "https://ae.utexas.edu/person/ufuk-topcu/")</f>
        <v/>
      </c>
      <c r="D107" s="3">
        <f>HYPERLINK("https://scholar.google.com/citations?view_op=search_authors&amp;mauthors=Ufuk%20Topcu%20University%20of%20Texas%20at%20Austin", "Google Scholar Search")</f>
        <v/>
      </c>
      <c r="E107" s="2" t="inlineStr">
        <is>
          <t>Professor</t>
        </is>
      </c>
      <c r="F107" s="2" t="inlineStr">
        <is>
          <t>Aerospace Engineering and Engineering Mechanics</t>
        </is>
      </c>
      <c r="G107" s="2" t="inlineStr"/>
      <c r="H107" s="3">
        <f>HYPERLINK("mailto:utopcu@utexas.edu", "utopcu@utexas.edu")</f>
        <v/>
      </c>
      <c r="I107" s="2" t="n">
        <v>4</v>
      </c>
      <c r="J107" s="2" t="inlineStr">
        <is>
          <t>🔴 Tier 4: Robotics / Controls / Autonomy</t>
        </is>
      </c>
      <c r="K107" s="2" t="n">
        <v>2</v>
      </c>
      <c r="L107" s="2" t="inlineStr">
        <is>
          <t>aerospace, autonomous</t>
        </is>
      </c>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is>
          <t>Design, controls and verification of autonomous networked systems</t>
        </is>
      </c>
      <c r="AI107" s="2" t="inlineStr"/>
      <c r="AJ107" s="2" t="inlineStr">
        <is>
          <t>Design, controls and verification of autonomous networked systems</t>
        </is>
      </c>
      <c r="AK107" s="2" t="inlineStr"/>
      <c r="AL107" s="2" t="inlineStr"/>
      <c r="AM107" s="2" t="inlineStr"/>
      <c r="AN107" s="2" t="inlineStr"/>
      <c r="AO107" s="2" t="inlineStr"/>
      <c r="AP107" s="2" t="inlineStr"/>
      <c r="AQ107" s="2" t="inlineStr"/>
      <c r="AR107" s="2" t="inlineStr"/>
      <c r="AS107" s="2" t="inlineStr"/>
      <c r="AT107" s="2" t="inlineStr">
        <is>
          <t>POB 5.436</t>
        </is>
      </c>
      <c r="AU107" s="2" t="b">
        <v>1</v>
      </c>
      <c r="AV107" s="3">
        <f>HYPERLINK("https://ae.utexas.edu/people/faculty", "https://ae.utexas.edu/people/faculty")</f>
        <v/>
      </c>
    </row>
    <row r="108">
      <c r="A108" s="2" t="inlineStr">
        <is>
          <t>Ashish  Deshpande</t>
        </is>
      </c>
      <c r="B108" s="2" t="inlineStr">
        <is>
          <t>The University of Texas at Austin</t>
        </is>
      </c>
      <c r="C108" s="3">
        <f>HYPERLINK("https://me.utexas.edu/person/ashish-deshpande/", "https://me.utexas.edu/person/ashish-deshpande/")</f>
        <v/>
      </c>
      <c r="D108" s="3">
        <f>HYPERLINK("https://scholar.google.com/citations?view_op=search_authors&amp;mauthors=Ashish%20%20Deshpande%20University%20of%20Texas%20at%20Austin", "Google Scholar Search")</f>
        <v/>
      </c>
      <c r="E108" s="2" t="inlineStr">
        <is>
          <t>Professor</t>
        </is>
      </c>
      <c r="F108" s="2" t="inlineStr">
        <is>
          <t>Walker Department of Mechanical Engineering</t>
        </is>
      </c>
      <c r="G108" s="2" t="inlineStr"/>
      <c r="H108" s="3">
        <f>HYPERLINK("mailto:ashish@austin.utexas.edu", "ashish@austin.utexas.edu")</f>
        <v/>
      </c>
      <c r="I108" s="2" t="n">
        <v>4</v>
      </c>
      <c r="J108" s="2" t="inlineStr">
        <is>
          <t>🔴 Tier 4: Robotics / Controls / Autonomy</t>
        </is>
      </c>
      <c r="K108" s="2" t="n">
        <v>1</v>
      </c>
      <c r="L108" s="2" t="inlineStr">
        <is>
          <t>robot</t>
        </is>
      </c>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is>
          <t>Development of robotic devices based on biomechanical analyses to assist in rehabilitation, improve prostheses design and provide fitness opportunities for the severely disabled</t>
        </is>
      </c>
      <c r="AI108" s="2" t="inlineStr"/>
      <c r="AJ108" s="2" t="inlineStr">
        <is>
          <t>Development of robotic devices based on biomechanical analyses to assist in rehabilitation, improve prostheses design and provide fitness opportunities for the severely disabled</t>
        </is>
      </c>
      <c r="AK108" s="2" t="inlineStr"/>
      <c r="AL108" s="2" t="inlineStr"/>
      <c r="AM108" s="2" t="inlineStr"/>
      <c r="AN108" s="2" t="inlineStr"/>
      <c r="AO108" s="2" t="inlineStr"/>
      <c r="AP108" s="2" t="inlineStr"/>
      <c r="AQ108" s="2" t="inlineStr"/>
      <c r="AR108" s="2" t="inlineStr"/>
      <c r="AS108" s="2" t="inlineStr"/>
      <c r="AT108" s="2" t="inlineStr">
        <is>
          <t>AHG 2.324</t>
        </is>
      </c>
      <c r="AU108" s="2" t="b">
        <v>1</v>
      </c>
      <c r="AV108" s="3">
        <f>HYPERLINK("https://me.utexas.edu/people/faculty", "https://me.utexas.edu/people/faculty")</f>
        <v/>
      </c>
    </row>
    <row r="109">
      <c r="A109" s="2" t="inlineStr">
        <is>
          <t>Fangzhou Xia</t>
        </is>
      </c>
      <c r="B109" s="2" t="inlineStr">
        <is>
          <t>The University of Texas at Austin</t>
        </is>
      </c>
      <c r="C109" s="3">
        <f>HYPERLINK("https://me.utexas.edu/person/fangzhou-xia/", "https://me.utexas.edu/person/fangzhou-xia/")</f>
        <v/>
      </c>
      <c r="D109" s="3">
        <f>HYPERLINK("https://scholar.google.com/citations?view_op=search_authors&amp;mauthors=Fangzhou%20Xia%20University%20of%20Texas%20at%20Austin", "Google Scholar Search")</f>
        <v/>
      </c>
      <c r="E109" s="2" t="inlineStr">
        <is>
          <t>Assistant Professor</t>
        </is>
      </c>
      <c r="F109" s="2" t="inlineStr">
        <is>
          <t>Walker Department of Mechanical Engineering</t>
        </is>
      </c>
      <c r="G109" s="2" t="inlineStr"/>
      <c r="H109" s="3">
        <f>HYPERLINK("mailto:fangzhou.xia@austin.utexas.edu", "fangzhou.xia@austin.utexas.edu")</f>
        <v/>
      </c>
      <c r="I109" s="2" t="n">
        <v>4</v>
      </c>
      <c r="J109" s="2" t="inlineStr">
        <is>
          <t>🔴 Tier 4: Robotics / Controls / Autonomy</t>
        </is>
      </c>
      <c r="K109" s="2" t="n">
        <v>1</v>
      </c>
      <c r="L109" s="2" t="inlineStr">
        <is>
          <t>robot</t>
        </is>
      </c>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is>
          <t>Precision mechatronics; Instrumentation; Dynamic systems and control; Nanotechnology; Scanning probe microscopy; Miniaturized robots; Medical devices</t>
        </is>
      </c>
      <c r="AI109" s="2" t="inlineStr"/>
      <c r="AJ109" s="2" t="inlineStr">
        <is>
          <t>Precision mechatronics; Instrumentation; Dynamic systems and control; Nanotechnology; Scanning probe microscopy; Miniaturized robots; Medical devices</t>
        </is>
      </c>
      <c r="AK109" s="2" t="inlineStr"/>
      <c r="AL109" s="2" t="inlineStr"/>
      <c r="AM109" s="2" t="inlineStr"/>
      <c r="AN109" s="2" t="inlineStr"/>
      <c r="AO109" s="2" t="inlineStr"/>
      <c r="AP109" s="2" t="inlineStr"/>
      <c r="AQ109" s="2" t="inlineStr"/>
      <c r="AR109" s="2" t="inlineStr"/>
      <c r="AS109" s="2" t="inlineStr"/>
      <c r="AT109" s="2" t="inlineStr">
        <is>
          <t>ETC 4.158</t>
        </is>
      </c>
      <c r="AU109" s="2" t="b">
        <v>1</v>
      </c>
      <c r="AV109" s="3">
        <f>HYPERLINK("https://me.utexas.edu/people/faculty", "https://me.utexas.edu/people/faculty")</f>
        <v/>
      </c>
    </row>
    <row r="110">
      <c r="A110" s="2" t="inlineStr">
        <is>
          <t>Jeffrey K. Bennighof</t>
        </is>
      </c>
      <c r="B110" s="2" t="inlineStr">
        <is>
          <t>The University of Texas at Austin</t>
        </is>
      </c>
      <c r="C110" s="3">
        <f>HYPERLINK("https://ae.utexas.edu/person/jeffrey-k-bennighof/", "https://ae.utexas.edu/person/jeffrey-k-bennighof/")</f>
        <v/>
      </c>
      <c r="D110" s="3">
        <f>HYPERLINK("https://scholar.google.com/citations?view_op=search_authors&amp;mauthors=Jeffrey%20K.%20Bennighof%20University%20of%20Texas%20at%20Austin", "Google Scholar Search")</f>
        <v/>
      </c>
      <c r="E110" s="2" t="inlineStr">
        <is>
          <t>Research Professor</t>
        </is>
      </c>
      <c r="F110" s="2" t="inlineStr">
        <is>
          <t>Aerospace Engineering and Engineering Mechanics</t>
        </is>
      </c>
      <c r="G110" s="2" t="inlineStr"/>
      <c r="H110" s="3">
        <f>HYPERLINK("mailto:bennighof@mail.utexas.edu", "bennighof@mail.utexas.edu")</f>
        <v/>
      </c>
      <c r="I110" s="2" t="n">
        <v>4</v>
      </c>
      <c r="J110" s="2" t="inlineStr">
        <is>
          <t>🔴 Tier 4: Robotics / Controls / Autonomy</t>
        </is>
      </c>
      <c r="K110" s="2" t="n">
        <v>1</v>
      </c>
      <c r="L110" s="2" t="inlineStr">
        <is>
          <t>aerospace</t>
        </is>
      </c>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is>
          <t>Computation in structural dynamics; Noise and vibration analysis of vehicles; Minimum time control of structures</t>
        </is>
      </c>
      <c r="AI110" s="2" t="inlineStr"/>
      <c r="AJ110" s="2" t="inlineStr">
        <is>
          <t>Computation in structural dynamics; Noise and vibration analysis of vehicles; Minimum time control of structures</t>
        </is>
      </c>
      <c r="AK110" s="2" t="inlineStr"/>
      <c r="AL110" s="2" t="inlineStr"/>
      <c r="AM110" s="2" t="inlineStr"/>
      <c r="AN110" s="2" t="inlineStr"/>
      <c r="AO110" s="2" t="inlineStr"/>
      <c r="AP110" s="2" t="inlineStr"/>
      <c r="AQ110" s="2" t="inlineStr"/>
      <c r="AR110" s="2" t="inlineStr"/>
      <c r="AS110" s="2" t="inlineStr"/>
      <c r="AT110" s="2" t="inlineStr">
        <is>
          <t>ASE 5.208</t>
        </is>
      </c>
      <c r="AU110" s="2" t="b">
        <v>1</v>
      </c>
      <c r="AV110" s="3">
        <f>HYPERLINK("https://ae.utexas.edu/people/faculty", "https://ae.utexas.edu/people/faculty")</f>
        <v/>
      </c>
    </row>
    <row r="111">
      <c r="A111" s="2" t="inlineStr">
        <is>
          <t>Matthew Hall</t>
        </is>
      </c>
      <c r="B111" s="2" t="inlineStr">
        <is>
          <t>The University of Texas at Austin</t>
        </is>
      </c>
      <c r="C111" s="3">
        <f>HYPERLINK("https://me.utexas.edu/person/matthew-hall/", "https://me.utexas.edu/person/matthew-hall/")</f>
        <v/>
      </c>
      <c r="D111" s="3">
        <f>HYPERLINK("https://scholar.google.com/citations?view_op=search_authors&amp;mauthors=Matthew%20Hall%20University%20of%20Texas%20at%20Austin", "Google Scholar Search")</f>
        <v/>
      </c>
      <c r="E111" s="2" t="inlineStr">
        <is>
          <t>Professor</t>
        </is>
      </c>
      <c r="F111" s="2" t="inlineStr">
        <is>
          <t>Walker Department of Mechanical Engineering</t>
        </is>
      </c>
      <c r="G111" s="2" t="inlineStr"/>
      <c r="H111" s="3">
        <f>HYPERLINK("mailto:mjhall@mail.utexas.edu", "mjhall@mail.utexas.edu")</f>
        <v/>
      </c>
      <c r="I111" s="2" t="n">
        <v>4</v>
      </c>
      <c r="J111" s="2" t="inlineStr">
        <is>
          <t>🔴 Tier 4: Robotics / Controls / Autonomy</t>
        </is>
      </c>
      <c r="K111" s="2" t="n">
        <v>1</v>
      </c>
      <c r="L111" s="2" t="inlineStr">
        <is>
          <t>combustion</t>
        </is>
      </c>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is>
          <t>Engine combustion processes; Engine controls; Optical measurement techniques; Engine sensor development; Gasoline engine cold-start emissions; Spark ignition characterization; Engine friction; Diesel engine waste heat recovery; Alternative fuels</t>
        </is>
      </c>
      <c r="AI111" s="2" t="inlineStr"/>
      <c r="AJ111" s="2" t="inlineStr">
        <is>
          <t>Engine combustion processes; Engine controls; Optical measurement techniques; Engine sensor development; Gasoline engine cold-start emissions; Spark ignition characterization; Engine friction; Diesel engine waste heat recovery; Alternative fuels</t>
        </is>
      </c>
      <c r="AK111" s="2" t="inlineStr"/>
      <c r="AL111" s="2" t="inlineStr"/>
      <c r="AM111" s="2" t="inlineStr"/>
      <c r="AN111" s="2" t="inlineStr"/>
      <c r="AO111" s="2" t="inlineStr"/>
      <c r="AP111" s="2" t="inlineStr"/>
      <c r="AQ111" s="2" t="inlineStr"/>
      <c r="AR111" s="2" t="inlineStr"/>
      <c r="AS111" s="2" t="inlineStr"/>
      <c r="AT111" s="2" t="inlineStr">
        <is>
          <t>ETC 7.142C</t>
        </is>
      </c>
      <c r="AU111" s="2" t="b">
        <v>1</v>
      </c>
      <c r="AV111" s="3">
        <f>HYPERLINK("https://me.utexas.edu/people/faculty", "https://me.utexas.edu/people/faculty")</f>
        <v/>
      </c>
    </row>
    <row r="112">
      <c r="A112" s="2" t="inlineStr">
        <is>
          <t>Narayana Aluru</t>
        </is>
      </c>
      <c r="B112" s="2" t="inlineStr">
        <is>
          <t>The University of Texas at Austin</t>
        </is>
      </c>
      <c r="C112" s="3">
        <f>HYPERLINK("https://me.utexas.edu/person/narayana-aluru/", "https://me.utexas.edu/person/narayana-aluru/")</f>
        <v/>
      </c>
      <c r="D112" s="3">
        <f>HYPERLINK("https://scholar.google.com/citations?view_op=search_authors&amp;mauthors=Narayana%20Aluru%20University%20of%20Texas%20at%20Austin", "Google Scholar Search")</f>
        <v/>
      </c>
      <c r="E112" s="2" t="inlineStr">
        <is>
          <t>Professor</t>
        </is>
      </c>
      <c r="F112" s="2" t="inlineStr">
        <is>
          <t>Walker Department of Mechanical Engineering</t>
        </is>
      </c>
      <c r="G112" s="2" t="inlineStr"/>
      <c r="H112" s="3">
        <f>HYPERLINK("mailto:aluru@utexas.edu", "aluru@utexas.edu")</f>
        <v/>
      </c>
      <c r="I112" s="2" t="n">
        <v>4</v>
      </c>
      <c r="J112" s="2" t="inlineStr">
        <is>
          <t>🔴 Tier 4: Robotics / Controls / Autonomy</t>
        </is>
      </c>
      <c r="K112" s="2" t="n">
        <v>1</v>
      </c>
      <c r="L112" s="2" t="inlineStr">
        <is>
          <t>multiscale</t>
        </is>
      </c>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is>
          <t>Multiscale methods; Nanofluidics; Nanomechanics; Neuromorphic ionic computing; Quantum computing; Energy-water nexus; Solid-liquid interfaces</t>
        </is>
      </c>
      <c r="AI112" s="2" t="inlineStr"/>
      <c r="AJ112" s="2" t="inlineStr">
        <is>
          <t>Multiscale methods; Nanofluidics; Nanomechanics; Neuromorphic ionic computing; Quantum computing; Energy-water nexus; Solid-liquid interfaces</t>
        </is>
      </c>
      <c r="AK112" s="2" t="inlineStr"/>
      <c r="AL112" s="2" t="inlineStr"/>
      <c r="AM112" s="2" t="inlineStr"/>
      <c r="AN112" s="2" t="inlineStr"/>
      <c r="AO112" s="2" t="inlineStr"/>
      <c r="AP112" s="2" t="inlineStr"/>
      <c r="AQ112" s="2" t="inlineStr"/>
      <c r="AR112" s="2" t="inlineStr"/>
      <c r="AS112" s="2" t="inlineStr"/>
      <c r="AT112" s="2" t="inlineStr">
        <is>
          <t>POB 3.340</t>
        </is>
      </c>
      <c r="AU112" s="2" t="b">
        <v>1</v>
      </c>
      <c r="AV112" s="3">
        <f>HYPERLINK("https://me.utexas.edu/people/faculty", "https://me.utexas.edu/people/faculty")</f>
        <v/>
      </c>
    </row>
    <row r="113">
      <c r="A113" s="2" t="inlineStr">
        <is>
          <t>Nicholas H. Nelsen</t>
        </is>
      </c>
      <c r="B113" s="2" t="inlineStr">
        <is>
          <t>The University of Texas at Austin</t>
        </is>
      </c>
      <c r="C113" s="3">
        <f>HYPERLINK("https://ae.utexas.edu/person/nicholas-h-nelsen/", "https://ae.utexas.edu/person/nicholas-h-nelsen/")</f>
        <v/>
      </c>
      <c r="D113" s="3">
        <f>HYPERLINK("https://scholar.google.com/citations?view_op=search_authors&amp;mauthors=Nicholas%20H.%20Nelsen%20University%20of%20Texas%20at%20Austin", "Google Scholar Search")</f>
        <v/>
      </c>
      <c r="E113" s="2" t="inlineStr">
        <is>
          <t>Assistant Professor</t>
        </is>
      </c>
      <c r="F113" s="2" t="inlineStr">
        <is>
          <t>Aerospace Engineering and Engineering Mechanics</t>
        </is>
      </c>
      <c r="G113" s="2" t="inlineStr"/>
      <c r="H113" s="3">
        <f>HYPERLINK("mailto:nnelsen@oden.utexas.edu", "nnelsen@oden.utexas.edu")</f>
        <v/>
      </c>
      <c r="I113" s="2" t="n">
        <v>4</v>
      </c>
      <c r="J113" s="2" t="inlineStr">
        <is>
          <t>🔴 Tier 4: Robotics / Controls / Autonomy</t>
        </is>
      </c>
      <c r="K113" s="2" t="n">
        <v>1</v>
      </c>
      <c r="L113" s="2" t="inlineStr">
        <is>
          <t>aerospace</t>
        </is>
      </c>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is>
          <t>Uncertainty quantification; Statistics; Applied probability; Inverse problems; Scientific machine learning</t>
        </is>
      </c>
      <c r="AI113" s="2" t="inlineStr"/>
      <c r="AJ113" s="2" t="inlineStr">
        <is>
          <t>Uncertainty quantification; Statistics; Applied probability; Inverse problems; Scientific machine learning</t>
        </is>
      </c>
      <c r="AK113" s="2" t="inlineStr"/>
      <c r="AL113" s="2" t="inlineStr"/>
      <c r="AM113" s="2" t="inlineStr"/>
      <c r="AN113" s="2" t="inlineStr"/>
      <c r="AO113" s="2" t="inlineStr"/>
      <c r="AP113" s="2" t="inlineStr"/>
      <c r="AQ113" s="2" t="inlineStr"/>
      <c r="AR113" s="2" t="inlineStr"/>
      <c r="AS113" s="2" t="inlineStr"/>
      <c r="AT113" s="2" t="inlineStr">
        <is>
          <t>POB 6.334</t>
        </is>
      </c>
      <c r="AU113" s="2" t="b">
        <v>1</v>
      </c>
      <c r="AV113" s="3">
        <f>HYPERLINK("https://ae.utexas.edu/people/faculty", "https://ae.utexas.edu/people/faculty")</f>
        <v/>
      </c>
    </row>
    <row r="114">
      <c r="A114" s="2" t="inlineStr">
        <is>
          <t>Raul Longoria</t>
        </is>
      </c>
      <c r="B114" s="2" t="inlineStr">
        <is>
          <t>The University of Texas at Austin</t>
        </is>
      </c>
      <c r="C114" s="3">
        <f>HYPERLINK("https://me.utexas.edu/person/raul-longoria/", "https://me.utexas.edu/person/raul-longoria/")</f>
        <v/>
      </c>
      <c r="D114" s="3">
        <f>HYPERLINK("https://scholar.google.com/citations?view_op=search_authors&amp;mauthors=Raul%20Longoria%20University%20of%20Texas%20at%20Austin", "Google Scholar Search")</f>
        <v/>
      </c>
      <c r="E114" s="2" t="inlineStr">
        <is>
          <t>Professor</t>
        </is>
      </c>
      <c r="F114" s="2" t="inlineStr">
        <is>
          <t>Walker Department of Mechanical Engineering</t>
        </is>
      </c>
      <c r="G114" s="2" t="inlineStr"/>
      <c r="H114" s="3">
        <f>HYPERLINK("mailto:r.longoria@mail.utexas.edu", "r.longoria@mail.utexas.edu")</f>
        <v/>
      </c>
      <c r="I114" s="2" t="n">
        <v>4</v>
      </c>
      <c r="J114" s="2" t="inlineStr">
        <is>
          <t>🔴 Tier 4: Robotics / Controls / Autonomy</t>
        </is>
      </c>
      <c r="K114" s="2" t="n">
        <v>1</v>
      </c>
      <c r="L114" s="2" t="inlineStr">
        <is>
          <t>system dynamics</t>
        </is>
      </c>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is>
          <t>Multi-disciplinary dynamic system modeling; Bond graphs; Vehicle system dynamics and controls; Electromechanical system modeling and simulation; Applications of machine learning and AI</t>
        </is>
      </c>
      <c r="AI114" s="2" t="inlineStr"/>
      <c r="AJ114" s="2" t="inlineStr">
        <is>
          <t>Multi-disciplinary dynamic system modeling; Bond graphs; Vehicle system dynamics and controls; Electromechanical system modeling and simulation; Applications of machine learning and AI</t>
        </is>
      </c>
      <c r="AK114" s="2" t="inlineStr"/>
      <c r="AL114" s="2" t="inlineStr"/>
      <c r="AM114" s="2" t="inlineStr"/>
      <c r="AN114" s="2" t="inlineStr"/>
      <c r="AO114" s="2" t="inlineStr"/>
      <c r="AP114" s="2" t="inlineStr"/>
      <c r="AQ114" s="2" t="inlineStr"/>
      <c r="AR114" s="2" t="inlineStr"/>
      <c r="AS114" s="2" t="inlineStr"/>
      <c r="AT114" s="2" t="inlineStr">
        <is>
          <t>ETC 4.170</t>
        </is>
      </c>
      <c r="AU114" s="2" t="b">
        <v>1</v>
      </c>
      <c r="AV114" s="3">
        <f>HYPERLINK("https://me.utexas.edu/people/faculty", "https://me.utexas.edu/people/faculty")</f>
        <v/>
      </c>
    </row>
    <row r="115">
      <c r="A115" s="2" t="inlineStr">
        <is>
          <t>Tom Connolly</t>
        </is>
      </c>
      <c r="B115" s="2" t="inlineStr">
        <is>
          <t>The University of Texas at Austin</t>
        </is>
      </c>
      <c r="C115" s="3">
        <f>HYPERLINK("https://ae.utexas.edu/person/tom-connolly/", "https://ae.utexas.edu/person/tom-connolly/")</f>
        <v/>
      </c>
      <c r="D115" s="3">
        <f>HYPERLINK("https://scholar.google.com/citations?view_op=search_authors&amp;mauthors=Tom%20Connolly%20University%20of%20Texas%20at%20Austin", "Google Scholar Search")</f>
        <v/>
      </c>
      <c r="E115" s="2" t="inlineStr">
        <is>
          <t>Assistant Professor of Instruction</t>
        </is>
      </c>
      <c r="F115" s="2" t="inlineStr">
        <is>
          <t>Aerospace Engineering and Engineering Mechanics</t>
        </is>
      </c>
      <c r="G115" s="2" t="inlineStr"/>
      <c r="H115" s="3">
        <f>HYPERLINK("mailto:tjconn@austin.utexas.edu", "tjconn@austin.utexas.edu")</f>
        <v/>
      </c>
      <c r="I115" s="2" t="n">
        <v>4</v>
      </c>
      <c r="J115" s="2" t="inlineStr">
        <is>
          <t>🔴 Tier 4: Robotics / Controls / Autonomy</t>
        </is>
      </c>
      <c r="K115" s="2" t="n">
        <v>1</v>
      </c>
      <c r="L115" s="2" t="inlineStr">
        <is>
          <t>aerospace</t>
        </is>
      </c>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is>
          <t>Engineering education; Teaching assistant development; Evidence-based instructional practices, Faculty development, STEM student success; International engineering education</t>
        </is>
      </c>
      <c r="AI115" s="2" t="inlineStr"/>
      <c r="AJ115" s="2" t="inlineStr">
        <is>
          <t>Engineering education; Teaching assistant development; Evidence-based instructional practices, Faculty development, STEM student success; International engineering education</t>
        </is>
      </c>
      <c r="AK115" s="2" t="inlineStr"/>
      <c r="AL115" s="2" t="inlineStr"/>
      <c r="AM115" s="2" t="inlineStr"/>
      <c r="AN115" s="2" t="inlineStr"/>
      <c r="AO115" s="2" t="inlineStr"/>
      <c r="AP115" s="2" t="inlineStr"/>
      <c r="AQ115" s="2" t="inlineStr"/>
      <c r="AR115" s="2" t="inlineStr"/>
      <c r="AS115" s="2" t="inlineStr"/>
      <c r="AT115" s="2" t="inlineStr">
        <is>
          <t>GLT 3.220</t>
        </is>
      </c>
      <c r="AU115" s="2" t="b">
        <v>1</v>
      </c>
      <c r="AV115" s="3">
        <f>HYPERLINK("https://ae.utexas.edu/people/faculty", "https://ae.utexas.edu/people/faculty")</f>
        <v/>
      </c>
    </row>
    <row r="116">
      <c r="A116" s="2" t="inlineStr">
        <is>
          <t>Yuebing Zheng</t>
        </is>
      </c>
      <c r="B116" s="2" t="inlineStr">
        <is>
          <t>The University of Texas at Austin</t>
        </is>
      </c>
      <c r="C116" s="3">
        <f>HYPERLINK("https://me.utexas.edu/person/yuebing-zheng/", "https://me.utexas.edu/person/yuebing-zheng/")</f>
        <v/>
      </c>
      <c r="D116" s="3">
        <f>HYPERLINK("https://scholar.google.com/citations?view_op=search_authors&amp;mauthors=Yuebing%20Zheng%20University%20of%20Texas%20at%20Austin", "Google Scholar Search")</f>
        <v/>
      </c>
      <c r="E116" s="2" t="inlineStr">
        <is>
          <t>Professor</t>
        </is>
      </c>
      <c r="F116" s="2" t="inlineStr">
        <is>
          <t>Walker Department of Mechanical Engineering</t>
        </is>
      </c>
      <c r="G116" s="2" t="inlineStr"/>
      <c r="H116" s="3">
        <f>HYPERLINK("mailto:zheng@austin.utexas.edu", "zheng@austin.utexas.edu")</f>
        <v/>
      </c>
      <c r="I116" s="2" t="n">
        <v>4</v>
      </c>
      <c r="J116" s="2" t="inlineStr">
        <is>
          <t>🔴 Tier 4: Robotics / Controls / Autonomy</t>
        </is>
      </c>
      <c r="K116" s="2" t="n">
        <v>1</v>
      </c>
      <c r="L116" s="2" t="inlineStr">
        <is>
          <t>thermal</t>
        </is>
      </c>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is>
          <t>Optical manipulation and measurement; Thermal photonics; Nano/biophotonics; Machine learning</t>
        </is>
      </c>
      <c r="AI116" s="2" t="inlineStr"/>
      <c r="AJ116" s="2" t="inlineStr">
        <is>
          <t>Optical manipulation and measurement; Thermal photonics; Nano/biophotonics; Machine learning</t>
        </is>
      </c>
      <c r="AK116" s="2" t="inlineStr"/>
      <c r="AL116" s="2" t="inlineStr"/>
      <c r="AM116" s="2" t="inlineStr"/>
      <c r="AN116" s="2" t="inlineStr"/>
      <c r="AO116" s="2" t="inlineStr"/>
      <c r="AP116" s="2" t="inlineStr"/>
      <c r="AQ116" s="2" t="inlineStr"/>
      <c r="AR116" s="2" t="inlineStr"/>
      <c r="AS116" s="2" t="inlineStr"/>
      <c r="AT116" s="2" t="inlineStr">
        <is>
          <t>ETC 9.104</t>
        </is>
      </c>
      <c r="AU116" s="2" t="b">
        <v>1</v>
      </c>
      <c r="AV116" s="3">
        <f>HYPERLINK("https://me.utexas.edu/people/faculty", "https://me.utexas.edu/people/faculty")</f>
        <v/>
      </c>
    </row>
    <row r="117">
      <c r="A117" s="2" t="inlineStr">
        <is>
          <t>Adela Ben-Yakar</t>
        </is>
      </c>
      <c r="B117" s="2" t="inlineStr">
        <is>
          <t>The University of Texas at Austin</t>
        </is>
      </c>
      <c r="C117" s="3">
        <f>HYPERLINK("https://me.utexas.edu/person/adela-ben-yakar/", "https://me.utexas.edu/person/adela-ben-yakar/")</f>
        <v/>
      </c>
      <c r="D117" s="3">
        <f>HYPERLINK("https://scholar.google.com/citations?view_op=search_authors&amp;mauthors=Adela%20Ben-Yakar%20University%20of%20Texas%20at%20Austin", "Google Scholar Search")</f>
        <v/>
      </c>
      <c r="E117" s="2" t="inlineStr">
        <is>
          <t>Professor</t>
        </is>
      </c>
      <c r="F117" s="2" t="inlineStr">
        <is>
          <t>Walker Department of Mechanical Engineering</t>
        </is>
      </c>
      <c r="G117" s="2" t="inlineStr"/>
      <c r="H117" s="3">
        <f>HYPERLINK("mailto:ben-yakar@mail.utexas.edu", "ben-yakar@mail.utexas.edu")</f>
        <v/>
      </c>
      <c r="I117" s="2" t="n">
        <v>4</v>
      </c>
      <c r="J117" s="2" t="inlineStr">
        <is>
          <t>🔴 Tier 4: Robotics / Controls / Autonomy</t>
        </is>
      </c>
      <c r="K117" s="2" t="n">
        <v>0</v>
      </c>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is>
          <t>Biomechanical and biomedicine engineering; Femtosecond laser nanosurgery techniques for manipulation of biological systems; Two-photon fluorescence laser scanning microscopy; Applications for nerve regeneration processes and early cancer detection and treatment</t>
        </is>
      </c>
      <c r="AI117" s="2" t="inlineStr"/>
      <c r="AJ117" s="2" t="inlineStr">
        <is>
          <t>Biomechanical and biomedicine engineering; Femtosecond laser nanosurgery techniques for manipulation of biological systems; Two-photon fluorescence laser scanning microscopy; Applications for nerve regeneration processes and early cancer detection and treatment</t>
        </is>
      </c>
      <c r="AK117" s="2" t="inlineStr"/>
      <c r="AL117" s="2" t="inlineStr"/>
      <c r="AM117" s="2" t="inlineStr"/>
      <c r="AN117" s="2" t="inlineStr"/>
      <c r="AO117" s="2" t="inlineStr"/>
      <c r="AP117" s="2" t="inlineStr"/>
      <c r="AQ117" s="2" t="inlineStr"/>
      <c r="AR117" s="2" t="inlineStr"/>
      <c r="AS117" s="2" t="inlineStr"/>
      <c r="AT117" s="2" t="inlineStr">
        <is>
          <t>ETC 7.132</t>
        </is>
      </c>
      <c r="AU117" s="2" t="b">
        <v>0</v>
      </c>
      <c r="AV117" s="3">
        <f>HYPERLINK("https://me.utexas.edu/people/faculty", "https://me.utexas.edu/people/faculty")</f>
        <v/>
      </c>
    </row>
    <row r="118">
      <c r="A118" s="2" t="inlineStr">
        <is>
          <t>Alexander Marras</t>
        </is>
      </c>
      <c r="B118" s="2" t="inlineStr">
        <is>
          <t>The University of Texas at Austin</t>
        </is>
      </c>
      <c r="C118" s="3">
        <f>HYPERLINK("https://me.utexas.edu/person/alexander-marras/", "https://me.utexas.edu/person/alexander-marras/")</f>
        <v/>
      </c>
      <c r="D118" s="3">
        <f>HYPERLINK("https://scholar.google.com/citations?view_op=search_authors&amp;mauthors=Alexander%20Marras%20University%20of%20Texas%20at%20Austin", "Google Scholar Search")</f>
        <v/>
      </c>
      <c r="E118" s="2" t="inlineStr">
        <is>
          <t>Assistant Professor</t>
        </is>
      </c>
      <c r="F118" s="2" t="inlineStr">
        <is>
          <t>Walker Department of Mechanical Engineering</t>
        </is>
      </c>
      <c r="G118" s="2" t="inlineStr"/>
      <c r="H118" s="3">
        <f>HYPERLINK("mailto:amarras@utexas.edu", "amarras@utexas.edu")</f>
        <v/>
      </c>
      <c r="I118" s="2" t="n">
        <v>4</v>
      </c>
      <c r="J118" s="2" t="inlineStr">
        <is>
          <t>🔴 Tier 4: Robotics / Controls / Autonomy</t>
        </is>
      </c>
      <c r="K118" s="2" t="n">
        <v>0</v>
      </c>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is>
          <t>Soft material assembly, characterization and implementation for biological applications; Polymer and lipid nanoparticles for drug delivery; DNA-based nanoscale mechanisms for studying and manipulating biology</t>
        </is>
      </c>
      <c r="AI118" s="2" t="inlineStr"/>
      <c r="AJ118" s="2" t="inlineStr">
        <is>
          <t>Soft material assembly, characterization and implementation for biological applications; Polymer and lipid nanoparticles for drug delivery; DNA-based nanoscale mechanisms for studying and manipulating biology</t>
        </is>
      </c>
      <c r="AK118" s="2" t="inlineStr"/>
      <c r="AL118" s="2" t="inlineStr"/>
      <c r="AM118" s="2" t="inlineStr"/>
      <c r="AN118" s="2" t="inlineStr"/>
      <c r="AO118" s="2" t="inlineStr"/>
      <c r="AP118" s="2" t="inlineStr"/>
      <c r="AQ118" s="2" t="inlineStr"/>
      <c r="AR118" s="2" t="inlineStr"/>
      <c r="AS118" s="2" t="inlineStr"/>
      <c r="AT118" s="2" t="inlineStr">
        <is>
          <t>ETC 7.140</t>
        </is>
      </c>
      <c r="AU118" s="2" t="b">
        <v>0</v>
      </c>
      <c r="AV118" s="3">
        <f>HYPERLINK("https://me.utexas.edu/people/faculty", "https://me.utexas.edu/people/faculty")</f>
        <v/>
      </c>
    </row>
    <row r="119">
      <c r="A119" s="2" t="inlineStr">
        <is>
          <t>Alexis Vasseur</t>
        </is>
      </c>
      <c r="B119" s="2" t="inlineStr">
        <is>
          <t>The University of Texas at Austin</t>
        </is>
      </c>
      <c r="C119" s="3">
        <f>HYPERLINK("https://math.utexas.edu/directory/alexis-vasseur", "https://math.utexas.edu/directory/alexis-vasseur")</f>
        <v/>
      </c>
      <c r="D119" s="3">
        <f>HYPERLINK("https://scholar.google.com/citations?view_op=search_authors&amp;mauthors=Alexis%20Vasseur%20University%20of%20Texas%20at%20Austin", "Google Scholar Search")</f>
        <v/>
      </c>
      <c r="E119" s="2" t="inlineStr">
        <is>
          <t>Professor</t>
        </is>
      </c>
      <c r="F119" s="2" t="inlineStr">
        <is>
          <t>Department of Mathematics</t>
        </is>
      </c>
      <c r="G119" s="2" t="inlineStr"/>
      <c r="H119" s="3">
        <f>HYPERLINK("mailto:vasseur@math.utexas.edu", "vasseur@math.utexas.edu")</f>
        <v/>
      </c>
      <c r="I119" s="2" t="n">
        <v>4</v>
      </c>
      <c r="J119" s="2" t="inlineStr">
        <is>
          <t>🔴 Tier 4: Robotics / Controls / Autonomy</t>
        </is>
      </c>
      <c r="K119" s="2" t="n">
        <v>0</v>
      </c>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is>
          <t>Analysis</t>
        </is>
      </c>
      <c r="AI119" s="2" t="inlineStr"/>
      <c r="AJ119" s="2" t="inlineStr">
        <is>
          <t>Analysis</t>
        </is>
      </c>
      <c r="AK119" s="2" t="inlineStr"/>
      <c r="AL119" s="2" t="inlineStr"/>
      <c r="AM119" s="2" t="inlineStr"/>
      <c r="AN119" s="2" t="inlineStr"/>
      <c r="AO119" s="2" t="inlineStr"/>
      <c r="AP119" s="2" t="inlineStr"/>
      <c r="AQ119" s="2" t="inlineStr"/>
      <c r="AR119" s="2" t="inlineStr"/>
      <c r="AS119" s="2" t="inlineStr"/>
      <c r="AT119" s="2" t="inlineStr">
        <is>
          <t>PMA 11.172</t>
        </is>
      </c>
      <c r="AU119" s="2" t="b">
        <v>0</v>
      </c>
      <c r="AV119" s="3">
        <f>HYPERLINK("https://math.utexas.edu/directory/faculty", "https://math.utexas.edu/directory/faculty")</f>
        <v/>
      </c>
    </row>
    <row r="120">
      <c r="A120" s="2" t="inlineStr">
        <is>
          <t>Anthony Conway</t>
        </is>
      </c>
      <c r="B120" s="2" t="inlineStr">
        <is>
          <t>The University of Texas at Austin</t>
        </is>
      </c>
      <c r="C120" s="3">
        <f>HYPERLINK("https://math.utexas.edu/directory/anthony-conway", "https://math.utexas.edu/directory/anthony-conway")</f>
        <v/>
      </c>
      <c r="D120" s="3">
        <f>HYPERLINK("https://scholar.google.com/citations?view_op=search_authors&amp;mauthors=Anthony%20Conway%20University%20of%20Texas%20at%20Austin", "Google Scholar Search")</f>
        <v/>
      </c>
      <c r="E120" s="2" t="inlineStr">
        <is>
          <t>Assistant Professor</t>
        </is>
      </c>
      <c r="F120" s="2" t="inlineStr">
        <is>
          <t>Department of Mathematics</t>
        </is>
      </c>
      <c r="G120" s="2" t="inlineStr"/>
      <c r="H120" s="3">
        <f>HYPERLINK("mailto:anthony.conway@austin.utexas.edu", "anthony.conway@austin.utexas.edu")</f>
        <v/>
      </c>
      <c r="I120" s="2" t="n">
        <v>4</v>
      </c>
      <c r="J120" s="2" t="inlineStr">
        <is>
          <t>🔴 Tier 4: Robotics / Controls / Autonomy</t>
        </is>
      </c>
      <c r="K120" s="2" t="n">
        <v>0</v>
      </c>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is>
          <t>Topology</t>
        </is>
      </c>
      <c r="AI120" s="2" t="inlineStr"/>
      <c r="AJ120" s="2" t="inlineStr">
        <is>
          <t>Topology</t>
        </is>
      </c>
      <c r="AK120" s="2" t="inlineStr"/>
      <c r="AL120" s="2" t="inlineStr"/>
      <c r="AM120" s="2" t="inlineStr"/>
      <c r="AN120" s="2" t="inlineStr"/>
      <c r="AO120" s="2" t="inlineStr"/>
      <c r="AP120" s="2" t="inlineStr"/>
      <c r="AQ120" s="2" t="inlineStr"/>
      <c r="AR120" s="2" t="inlineStr"/>
      <c r="AS120" s="2" t="inlineStr"/>
      <c r="AT120" s="2" t="inlineStr">
        <is>
          <t>PMA 10.164</t>
        </is>
      </c>
      <c r="AU120" s="2" t="b">
        <v>0</v>
      </c>
      <c r="AV120" s="3">
        <f>HYPERLINK("https://math.utexas.edu/directory/faculty", "https://math.utexas.edu/directory/faculty")</f>
        <v/>
      </c>
    </row>
    <row r="121">
      <c r="A121" s="2" t="inlineStr">
        <is>
          <t>Arie Israel</t>
        </is>
      </c>
      <c r="B121" s="2" t="inlineStr">
        <is>
          <t>The University of Texas at Austin</t>
        </is>
      </c>
      <c r="C121" s="3">
        <f>HYPERLINK("https://math.utexas.edu/directory/arie-israel", "https://math.utexas.edu/directory/arie-israel")</f>
        <v/>
      </c>
      <c r="D121" s="3">
        <f>HYPERLINK("https://scholar.google.com/citations?view_op=search_authors&amp;mauthors=Arie%20Israel%20University%20of%20Texas%20at%20Austin", "Google Scholar Search")</f>
        <v/>
      </c>
      <c r="E121" s="2" t="inlineStr">
        <is>
          <t>Associate Professor</t>
        </is>
      </c>
      <c r="F121" s="2" t="inlineStr">
        <is>
          <t>Department of Mathematics</t>
        </is>
      </c>
      <c r="G121" s="2" t="inlineStr"/>
      <c r="H121" s="3">
        <f>HYPERLINK("mailto:arie@math.utexas.edu", "arie@math.utexas.edu")</f>
        <v/>
      </c>
      <c r="I121" s="2" t="n">
        <v>4</v>
      </c>
      <c r="J121" s="2" t="inlineStr">
        <is>
          <t>🔴 Tier 4: Robotics / Controls / Autonomy</t>
        </is>
      </c>
      <c r="K121" s="2" t="n">
        <v>0</v>
      </c>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is>
          <t>Analysis</t>
        </is>
      </c>
      <c r="AI121" s="2" t="inlineStr"/>
      <c r="AJ121" s="2" t="inlineStr">
        <is>
          <t>Analysis</t>
        </is>
      </c>
      <c r="AK121" s="2" t="inlineStr"/>
      <c r="AL121" s="2" t="inlineStr"/>
      <c r="AM121" s="2" t="inlineStr"/>
      <c r="AN121" s="2" t="inlineStr"/>
      <c r="AO121" s="2" t="inlineStr"/>
      <c r="AP121" s="2" t="inlineStr"/>
      <c r="AQ121" s="2" t="inlineStr"/>
      <c r="AR121" s="2" t="inlineStr"/>
      <c r="AS121" s="2" t="inlineStr"/>
      <c r="AT121" s="2" t="inlineStr">
        <is>
          <t>PMA 12.126</t>
        </is>
      </c>
      <c r="AU121" s="2" t="b">
        <v>0</v>
      </c>
      <c r="AV121" s="3">
        <f>HYPERLINK("https://math.utexas.edu/directory/faculty", "https://math.utexas.edu/directory/faculty")</f>
        <v/>
      </c>
    </row>
    <row r="122">
      <c r="A122" s="2" t="inlineStr">
        <is>
          <t>Ashay Burungale</t>
        </is>
      </c>
      <c r="B122" s="2" t="inlineStr">
        <is>
          <t>The University of Texas at Austin</t>
        </is>
      </c>
      <c r="C122" s="3">
        <f>HYPERLINK("https://math.utexas.edu/directory/ashay-burungale", "https://math.utexas.edu/directory/ashay-burungale")</f>
        <v/>
      </c>
      <c r="D122" s="3">
        <f>HYPERLINK("https://scholar.google.com/citations?view_op=search_authors&amp;mauthors=Ashay%20Burungale%20University%20of%20Texas%20at%20Austin", "Google Scholar Search")</f>
        <v/>
      </c>
      <c r="E122" s="2" t="inlineStr">
        <is>
          <t>Assistant Professor</t>
        </is>
      </c>
      <c r="F122" s="2" t="inlineStr">
        <is>
          <t>Department of Mathematics</t>
        </is>
      </c>
      <c r="G122" s="2" t="inlineStr"/>
      <c r="H122" s="3">
        <f>HYPERLINK("mailto:ashayk@utexas.edu", "ashayk@utexas.edu")</f>
        <v/>
      </c>
      <c r="I122" s="2" t="n">
        <v>4</v>
      </c>
      <c r="J122" s="2" t="inlineStr">
        <is>
          <t>🔴 Tier 4: Robotics / Controls / Autonomy</t>
        </is>
      </c>
      <c r="K122" s="2" t="n">
        <v>0</v>
      </c>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is>
          <t>Number Theory, Algebra</t>
        </is>
      </c>
      <c r="AI122" s="2" t="inlineStr"/>
      <c r="AJ122" s="2" t="inlineStr">
        <is>
          <t>Number Theory, Algebra</t>
        </is>
      </c>
      <c r="AK122" s="2" t="inlineStr"/>
      <c r="AL122" s="2" t="inlineStr"/>
      <c r="AM122" s="2" t="inlineStr"/>
      <c r="AN122" s="2" t="inlineStr"/>
      <c r="AO122" s="2" t="inlineStr"/>
      <c r="AP122" s="2" t="inlineStr"/>
      <c r="AQ122" s="2" t="inlineStr"/>
      <c r="AR122" s="2" t="inlineStr"/>
      <c r="AS122" s="2" t="inlineStr"/>
      <c r="AT122" s="2" t="inlineStr">
        <is>
          <t>PMA 12.150</t>
        </is>
      </c>
      <c r="AU122" s="2" t="b">
        <v>0</v>
      </c>
      <c r="AV122" s="3">
        <f>HYPERLINK("https://math.utexas.edu/directory/faculty", "https://math.utexas.edu/directory/faculty")</f>
        <v/>
      </c>
    </row>
    <row r="123">
      <c r="A123" s="2" t="inlineStr">
        <is>
          <t>Benjamin Leibowicz</t>
        </is>
      </c>
      <c r="B123" s="2" t="inlineStr">
        <is>
          <t>The University of Texas at Austin</t>
        </is>
      </c>
      <c r="C123" s="3">
        <f>HYPERLINK("https://me.utexas.edu/person/benjamin-leibowicz/", "https://me.utexas.edu/person/benjamin-leibowicz/")</f>
        <v/>
      </c>
      <c r="D123" s="3">
        <f>HYPERLINK("https://scholar.google.com/citations?view_op=search_authors&amp;mauthors=Benjamin%20Leibowicz%20University%20of%20Texas%20at%20Austin", "Google Scholar Search")</f>
        <v/>
      </c>
      <c r="E123" s="2" t="inlineStr">
        <is>
          <t>Associate Professor</t>
        </is>
      </c>
      <c r="F123" s="2" t="inlineStr">
        <is>
          <t>Walker Department of Mechanical Engineering</t>
        </is>
      </c>
      <c r="G123" s="2" t="inlineStr"/>
      <c r="H123" s="3">
        <f>HYPERLINK("mailto:bleibowicz@utexas.edu", "bleibowicz@utexas.edu")</f>
        <v/>
      </c>
      <c r="I123" s="2" t="n">
        <v>4</v>
      </c>
      <c r="J123" s="2" t="inlineStr">
        <is>
          <t>🔴 Tier 4: Robotics / Controls / Autonomy</t>
        </is>
      </c>
      <c r="K123" s="2" t="n">
        <v>0</v>
      </c>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is>
          <t>Operations research; Systems analysis; Economics, energy and environment; Energy and environmental policy analysis; Energy markets; Energy sector planning; Electricity reliability and resilience; Carbon capture and storage</t>
        </is>
      </c>
      <c r="AI123" s="2" t="inlineStr"/>
      <c r="AJ123" s="2" t="inlineStr">
        <is>
          <t>Operations research; Systems analysis; Economics, energy and environment; Energy and environmental policy analysis; Energy markets; Energy sector planning; Electricity reliability and resilience; Carbon capture and storage</t>
        </is>
      </c>
      <c r="AK123" s="2" t="inlineStr"/>
      <c r="AL123" s="2" t="inlineStr"/>
      <c r="AM123" s="2" t="inlineStr"/>
      <c r="AN123" s="2" t="inlineStr"/>
      <c r="AO123" s="2" t="inlineStr"/>
      <c r="AP123" s="2" t="inlineStr"/>
      <c r="AQ123" s="2" t="inlineStr"/>
      <c r="AR123" s="2" t="inlineStr"/>
      <c r="AS123" s="2" t="inlineStr"/>
      <c r="AT123" s="2" t="inlineStr">
        <is>
          <t>ETC 5.128D</t>
        </is>
      </c>
      <c r="AU123" s="2" t="b">
        <v>0</v>
      </c>
      <c r="AV123" s="3">
        <f>HYPERLINK("https://me.utexas.edu/people/faculty", "https://me.utexas.edu/people/faculty")</f>
        <v/>
      </c>
    </row>
    <row r="124">
      <c r="A124" s="2" t="inlineStr">
        <is>
          <t>Bernd Siebert</t>
        </is>
      </c>
      <c r="B124" s="2" t="inlineStr">
        <is>
          <t>The University of Texas at Austin</t>
        </is>
      </c>
      <c r="C124" s="3">
        <f>HYPERLINK("https://math.utexas.edu/directory/bernd-siebert", "https://math.utexas.edu/directory/bernd-siebert")</f>
        <v/>
      </c>
      <c r="D124" s="3">
        <f>HYPERLINK("https://scholar.google.com/citations?view_op=search_authors&amp;mauthors=Bernd%20Siebert%20University%20of%20Texas%20at%20Austin", "Google Scholar Search")</f>
        <v/>
      </c>
      <c r="E124" s="2" t="inlineStr">
        <is>
          <t>Professor</t>
        </is>
      </c>
      <c r="F124" s="2" t="inlineStr">
        <is>
          <t>Department of Mathematics</t>
        </is>
      </c>
      <c r="G124" s="2" t="inlineStr"/>
      <c r="H124" s="3">
        <f>HYPERLINK("mailto:siebert@math.utexas.edu", "siebert@math.utexas.edu")</f>
        <v/>
      </c>
      <c r="I124" s="2" t="n">
        <v>4</v>
      </c>
      <c r="J124" s="2" t="inlineStr">
        <is>
          <t>🔴 Tier 4: Robotics / Controls / Autonomy</t>
        </is>
      </c>
      <c r="K124" s="2" t="n">
        <v>0</v>
      </c>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is>
          <t>Algebra, Geometry</t>
        </is>
      </c>
      <c r="AI124" s="2" t="inlineStr"/>
      <c r="AJ124" s="2" t="inlineStr">
        <is>
          <t>Algebra, Geometry</t>
        </is>
      </c>
      <c r="AK124" s="2" t="inlineStr"/>
      <c r="AL124" s="2" t="inlineStr"/>
      <c r="AM124" s="2" t="inlineStr"/>
      <c r="AN124" s="2" t="inlineStr"/>
      <c r="AO124" s="2" t="inlineStr"/>
      <c r="AP124" s="2" t="inlineStr"/>
      <c r="AQ124" s="2" t="inlineStr"/>
      <c r="AR124" s="2" t="inlineStr"/>
      <c r="AS124" s="2" t="inlineStr"/>
      <c r="AT124" s="2" t="inlineStr">
        <is>
          <t>PMA 9.160</t>
        </is>
      </c>
      <c r="AU124" s="2" t="b">
        <v>0</v>
      </c>
      <c r="AV124" s="3">
        <f>HYPERLINK("https://math.utexas.edu/directory/faculty", "https://math.utexas.edu/directory/faculty")</f>
        <v/>
      </c>
    </row>
    <row r="125">
      <c r="A125" s="2" t="inlineStr">
        <is>
          <t>Charles Radin</t>
        </is>
      </c>
      <c r="B125" s="2" t="inlineStr">
        <is>
          <t>The University of Texas at Austin</t>
        </is>
      </c>
      <c r="C125" s="3">
        <f>HYPERLINK("https://math.utexas.edu/directory/charles-radin", "https://math.utexas.edu/directory/charles-radin")</f>
        <v/>
      </c>
      <c r="D125" s="3">
        <f>HYPERLINK("https://scholar.google.com/citations?view_op=search_authors&amp;mauthors=Charles%20Radin%20University%20of%20Texas%20at%20Austin", "Google Scholar Search")</f>
        <v/>
      </c>
      <c r="E125" s="2" t="inlineStr">
        <is>
          <t>Professor</t>
        </is>
      </c>
      <c r="F125" s="2" t="inlineStr">
        <is>
          <t>Department of Mathematics</t>
        </is>
      </c>
      <c r="G125" s="2" t="inlineStr"/>
      <c r="H125" s="3">
        <f>HYPERLINK("mailto:radin@math.utexas.edu", "radin@math.utexas.edu")</f>
        <v/>
      </c>
      <c r="I125" s="2" t="n">
        <v>4</v>
      </c>
      <c r="J125" s="2" t="inlineStr">
        <is>
          <t>🔴 Tier 4: Robotics / Controls / Autonomy</t>
        </is>
      </c>
      <c r="K125" s="2" t="n">
        <v>0</v>
      </c>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is>
          <t>Mathematical Physics, Applied and Computational Mathematics, Analysis</t>
        </is>
      </c>
      <c r="AI125" s="2" t="inlineStr"/>
      <c r="AJ125" s="2" t="inlineStr">
        <is>
          <t>Mathematical Physics, Applied and Computational Mathematics, Analysis</t>
        </is>
      </c>
      <c r="AK125" s="2" t="inlineStr"/>
      <c r="AL125" s="2" t="inlineStr"/>
      <c r="AM125" s="2" t="inlineStr"/>
      <c r="AN125" s="2" t="inlineStr"/>
      <c r="AO125" s="2" t="inlineStr"/>
      <c r="AP125" s="2" t="inlineStr"/>
      <c r="AQ125" s="2" t="inlineStr"/>
      <c r="AR125" s="2" t="inlineStr"/>
      <c r="AS125" s="2" t="inlineStr"/>
      <c r="AT125" s="2" t="inlineStr">
        <is>
          <t>PMA 12.114</t>
        </is>
      </c>
      <c r="AU125" s="2" t="b">
        <v>0</v>
      </c>
      <c r="AV125" s="3">
        <f>HYPERLINK("https://math.utexas.edu/directory/faculty", "https://math.utexas.edu/directory/faculty")</f>
        <v/>
      </c>
    </row>
    <row r="126">
      <c r="A126" s="2" t="inlineStr">
        <is>
          <t>Chiara Damiolini</t>
        </is>
      </c>
      <c r="B126" s="2" t="inlineStr">
        <is>
          <t>The University of Texas at Austin</t>
        </is>
      </c>
      <c r="C126" s="3">
        <f>HYPERLINK("https://math.utexas.edu/directory/chiara-damiolini", "https://math.utexas.edu/directory/chiara-damiolini")</f>
        <v/>
      </c>
      <c r="D126" s="3">
        <f>HYPERLINK("https://scholar.google.com/citations?view_op=search_authors&amp;mauthors=Chiara%20Damiolini%20University%20of%20Texas%20at%20Austin", "Google Scholar Search")</f>
        <v/>
      </c>
      <c r="E126" s="2" t="inlineStr">
        <is>
          <t>Assistant Professor</t>
        </is>
      </c>
      <c r="F126" s="2" t="inlineStr">
        <is>
          <t>Department of Mathematics</t>
        </is>
      </c>
      <c r="G126" s="2" t="inlineStr"/>
      <c r="H126" s="3">
        <f>HYPERLINK("mailto:chiara.damiolini@austin.utexas.edu", "chiara.damiolini@austin.utexas.edu")</f>
        <v/>
      </c>
      <c r="I126" s="2" t="n">
        <v>4</v>
      </c>
      <c r="J126" s="2" t="inlineStr">
        <is>
          <t>🔴 Tier 4: Robotics / Controls / Autonomy</t>
        </is>
      </c>
      <c r="K126" s="2" t="n">
        <v>0</v>
      </c>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is>
          <t>Algebra, Geometry</t>
        </is>
      </c>
      <c r="AI126" s="2" t="inlineStr"/>
      <c r="AJ126" s="2" t="inlineStr">
        <is>
          <t>Algebra, Geometry</t>
        </is>
      </c>
      <c r="AK126" s="2" t="inlineStr"/>
      <c r="AL126" s="2" t="inlineStr"/>
      <c r="AM126" s="2" t="inlineStr"/>
      <c r="AN126" s="2" t="inlineStr"/>
      <c r="AO126" s="2" t="inlineStr"/>
      <c r="AP126" s="2" t="inlineStr"/>
      <c r="AQ126" s="2" t="inlineStr"/>
      <c r="AR126" s="2" t="inlineStr"/>
      <c r="AS126" s="2" t="inlineStr"/>
      <c r="AT126" s="2" t="inlineStr">
        <is>
          <t>PMA 12.130</t>
        </is>
      </c>
      <c r="AU126" s="2" t="b">
        <v>0</v>
      </c>
      <c r="AV126" s="3">
        <f>HYPERLINK("https://math.utexas.edu/directory/faculty", "https://math.utexas.edu/directory/faculty")</f>
        <v/>
      </c>
    </row>
    <row r="127">
      <c r="A127" s="2" t="inlineStr">
        <is>
          <t>D'Arcy Randall</t>
        </is>
      </c>
      <c r="B127" s="2" t="inlineStr">
        <is>
          <t>The University of Texas at Austin</t>
        </is>
      </c>
      <c r="C127" s="3">
        <f>HYPERLINK("https://me.utexas.edu/person/darcy-randall/", "https://me.utexas.edu/person/darcy-randall/")</f>
        <v/>
      </c>
      <c r="D127" s="3">
        <f>HYPERLINK("https://scholar.google.com/citations?view_op=search_authors&amp;mauthors=D%27Arcy%20Randall%20University%20of%20Texas%20at%20Austin", "Google Scholar Search")</f>
        <v/>
      </c>
      <c r="E127" s="2" t="inlineStr">
        <is>
          <t>Professor of Instruction</t>
        </is>
      </c>
      <c r="F127" s="2" t="inlineStr">
        <is>
          <t>Walker Department of Mechanical Engineering</t>
        </is>
      </c>
      <c r="G127" s="2" t="inlineStr"/>
      <c r="H127" s="3">
        <f>HYPERLINK("mailto:darcyr@utexas.edu", "darcyr@utexas.edu")</f>
        <v/>
      </c>
      <c r="I127" s="2" t="n">
        <v>4</v>
      </c>
      <c r="J127" s="2" t="inlineStr">
        <is>
          <t>🔴 Tier 4: Robotics / Controls / Autonomy</t>
        </is>
      </c>
      <c r="K127" s="2" t="n">
        <v>0</v>
      </c>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is>
          <t>Engineering education; engineering ethics</t>
        </is>
      </c>
      <c r="AI127" s="2" t="inlineStr"/>
      <c r="AJ127" s="2" t="inlineStr">
        <is>
          <t>Engineering education; engineering ethics</t>
        </is>
      </c>
      <c r="AK127" s="2" t="inlineStr"/>
      <c r="AL127" s="2" t="inlineStr"/>
      <c r="AM127" s="2" t="inlineStr"/>
      <c r="AN127" s="2" t="inlineStr"/>
      <c r="AO127" s="2" t="inlineStr"/>
      <c r="AP127" s="2" t="inlineStr"/>
      <c r="AQ127" s="2" t="inlineStr"/>
      <c r="AR127" s="2" t="inlineStr"/>
      <c r="AS127" s="2" t="inlineStr"/>
      <c r="AT127" s="2" t="inlineStr"/>
      <c r="AU127" s="2" t="b">
        <v>0</v>
      </c>
      <c r="AV127" s="3">
        <f>HYPERLINK("https://me.utexas.edu/people/faculty", "https://me.utexas.edu/people/faculty")</f>
        <v/>
      </c>
    </row>
    <row r="128">
      <c r="A128" s="2" t="inlineStr">
        <is>
          <t>David Ben-Zvi</t>
        </is>
      </c>
      <c r="B128" s="2" t="inlineStr">
        <is>
          <t>The University of Texas at Austin</t>
        </is>
      </c>
      <c r="C128" s="3">
        <f>HYPERLINK("https://math.utexas.edu/directory/david-ben-zvi", "https://math.utexas.edu/directory/david-ben-zvi")</f>
        <v/>
      </c>
      <c r="D128" s="3">
        <f>HYPERLINK("https://scholar.google.com/citations?view_op=search_authors&amp;mauthors=David%20Ben-Zvi%20University%20of%20Texas%20at%20Austin", "Google Scholar Search")</f>
        <v/>
      </c>
      <c r="E128" s="2" t="inlineStr">
        <is>
          <t>Professor</t>
        </is>
      </c>
      <c r="F128" s="2" t="inlineStr">
        <is>
          <t>Department of Mathematics</t>
        </is>
      </c>
      <c r="G128" s="2" t="inlineStr"/>
      <c r="H128" s="3">
        <f>HYPERLINK("mailto:benzvi@utexas.edu", "benzvi@utexas.edu")</f>
        <v/>
      </c>
      <c r="I128" s="2" t="n">
        <v>4</v>
      </c>
      <c r="J128" s="2" t="inlineStr">
        <is>
          <t>🔴 Tier 4: Robotics / Controls / Autonomy</t>
        </is>
      </c>
      <c r="K128" s="2" t="n">
        <v>0</v>
      </c>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is>
          <t>Algebra, Geometry</t>
        </is>
      </c>
      <c r="AI128" s="2" t="inlineStr"/>
      <c r="AJ128" s="2" t="inlineStr">
        <is>
          <t>Algebra, Geometry</t>
        </is>
      </c>
      <c r="AK128" s="2" t="inlineStr"/>
      <c r="AL128" s="2" t="inlineStr"/>
      <c r="AM128" s="2" t="inlineStr"/>
      <c r="AN128" s="2" t="inlineStr"/>
      <c r="AO128" s="2" t="inlineStr"/>
      <c r="AP128" s="2" t="inlineStr"/>
      <c r="AQ128" s="2" t="inlineStr"/>
      <c r="AR128" s="2" t="inlineStr"/>
      <c r="AS128" s="2" t="inlineStr"/>
      <c r="AT128" s="2" t="inlineStr">
        <is>
          <t>PMA 10.168</t>
        </is>
      </c>
      <c r="AU128" s="2" t="b">
        <v>0</v>
      </c>
      <c r="AV128" s="3">
        <f>HYPERLINK("https://math.utexas.edu/directory/faculty", "https://math.utexas.edu/directory/faculty")</f>
        <v/>
      </c>
    </row>
    <row r="129">
      <c r="A129" s="2" t="inlineStr">
        <is>
          <t>Derek Haas</t>
        </is>
      </c>
      <c r="B129" s="2" t="inlineStr">
        <is>
          <t>The University of Texas at Austin</t>
        </is>
      </c>
      <c r="C129" s="3">
        <f>HYPERLINK("https://me.utexas.edu/person/derek-haas/", "https://me.utexas.edu/person/derek-haas/")</f>
        <v/>
      </c>
      <c r="D129" s="3">
        <f>HYPERLINK("https://scholar.google.com/citations?view_op=search_authors&amp;mauthors=Derek%20Haas%20University%20of%20Texas%20at%20Austin", "Google Scholar Search")</f>
        <v/>
      </c>
      <c r="E129" s="2" t="inlineStr">
        <is>
          <t>Associate Professor</t>
        </is>
      </c>
      <c r="F129" s="2" t="inlineStr">
        <is>
          <t>Walker Department of Mechanical Engineering</t>
        </is>
      </c>
      <c r="G129" s="2" t="inlineStr"/>
      <c r="H129" s="3">
        <f>HYPERLINK("mailto:derekhaas@utexas.edu", "derekhaas@utexas.edu")</f>
        <v/>
      </c>
      <c r="I129" s="2" t="n">
        <v>4</v>
      </c>
      <c r="J129" s="2" t="inlineStr">
        <is>
          <t>🔴 Tier 4: Robotics / Controls / Autonomy</t>
        </is>
      </c>
      <c r="K129" s="2" t="n">
        <v>0</v>
      </c>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is>
          <t>Technology development, data analysis and policy support related to environmental monitoring for nuclear proliferation and arms control; Radioactive decay processes; Fission yields; Environmental transport of radionuclides</t>
        </is>
      </c>
      <c r="AI129" s="2" t="inlineStr"/>
      <c r="AJ129" s="2" t="inlineStr">
        <is>
          <t>Technology development, data analysis and policy support related to environmental monitoring for nuclear proliferation and arms control; Radioactive decay processes; Fission yields; Environmental transport of radionuclides</t>
        </is>
      </c>
      <c r="AK129" s="2" t="inlineStr"/>
      <c r="AL129" s="2" t="inlineStr"/>
      <c r="AM129" s="2" t="inlineStr"/>
      <c r="AN129" s="2" t="inlineStr"/>
      <c r="AO129" s="2" t="inlineStr"/>
      <c r="AP129" s="2" t="inlineStr"/>
      <c r="AQ129" s="2" t="inlineStr"/>
      <c r="AR129" s="2" t="inlineStr"/>
      <c r="AS129" s="2" t="inlineStr"/>
      <c r="AT129" s="2" t="inlineStr">
        <is>
          <t>ETC 7.136</t>
        </is>
      </c>
      <c r="AU129" s="2" t="b">
        <v>0</v>
      </c>
      <c r="AV129" s="3">
        <f>HYPERLINK("https://me.utexas.edu/people/faculty", "https://me.utexas.edu/people/faculty")</f>
        <v/>
      </c>
    </row>
    <row r="130">
      <c r="A130" s="2" t="inlineStr">
        <is>
          <t>Dylan Altschuler</t>
        </is>
      </c>
      <c r="B130" s="2" t="inlineStr">
        <is>
          <t>The University of Texas at Austin</t>
        </is>
      </c>
      <c r="C130" s="3">
        <f>HYPERLINK("https://math.utexas.edu/directory/dylan-altschuler", "https://math.utexas.edu/directory/dylan-altschuler")</f>
        <v/>
      </c>
      <c r="D130" s="3">
        <f>HYPERLINK("https://scholar.google.com/citations?view_op=search_authors&amp;mauthors=Dylan%20Altschuler%20University%20of%20Texas%20at%20Austin", "Google Scholar Search")</f>
        <v/>
      </c>
      <c r="E130" s="2" t="inlineStr">
        <is>
          <t>Assistant Professor</t>
        </is>
      </c>
      <c r="F130" s="2" t="inlineStr">
        <is>
          <t>Department of Mathematics</t>
        </is>
      </c>
      <c r="G130" s="2" t="inlineStr"/>
      <c r="H130" s="3">
        <f>HYPERLINK("mailto:dylan.altschuler@austin.utexas.edu", "dylan.altschuler@austin.utexas.edu")</f>
        <v/>
      </c>
      <c r="I130" s="2" t="n">
        <v>4</v>
      </c>
      <c r="J130" s="2" t="inlineStr">
        <is>
          <t>🔴 Tier 4: Robotics / Controls / Autonomy</t>
        </is>
      </c>
      <c r="K130" s="2" t="n">
        <v>0</v>
      </c>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is>
          <t>Probability and Statistics</t>
        </is>
      </c>
      <c r="AI130" s="2" t="inlineStr"/>
      <c r="AJ130" s="2" t="inlineStr">
        <is>
          <t>Probability and Statistics</t>
        </is>
      </c>
      <c r="AK130" s="2" t="inlineStr"/>
      <c r="AL130" s="2" t="inlineStr"/>
      <c r="AM130" s="2" t="inlineStr"/>
      <c r="AN130" s="2" t="inlineStr"/>
      <c r="AO130" s="2" t="inlineStr"/>
      <c r="AP130" s="2" t="inlineStr"/>
      <c r="AQ130" s="2" t="inlineStr"/>
      <c r="AR130" s="2" t="inlineStr"/>
      <c r="AS130" s="2" t="inlineStr"/>
      <c r="AT130" s="2" t="inlineStr">
        <is>
          <t>PMA 9.112</t>
        </is>
      </c>
      <c r="AU130" s="2" t="b">
        <v>0</v>
      </c>
      <c r="AV130" s="3">
        <f>HYPERLINK("https://math.utexas.edu/directory/faculty", "https://math.utexas.edu/directory/faculty")</f>
        <v/>
      </c>
    </row>
    <row r="131">
      <c r="A131" s="2" t="inlineStr">
        <is>
          <t>Eric Taleff</t>
        </is>
      </c>
      <c r="B131" s="2" t="inlineStr">
        <is>
          <t>The University of Texas at Austin</t>
        </is>
      </c>
      <c r="C131" s="3">
        <f>HYPERLINK("https://me.utexas.edu/person/eric-taleff/", "https://me.utexas.edu/person/eric-taleff/")</f>
        <v/>
      </c>
      <c r="D131" s="3">
        <f>HYPERLINK("https://scholar.google.com/citations?view_op=search_authors&amp;mauthors=Eric%20Taleff%20University%20of%20Texas%20at%20Austin", "Google Scholar Search")</f>
        <v/>
      </c>
      <c r="E131" s="2" t="inlineStr">
        <is>
          <t>Professor</t>
        </is>
      </c>
      <c r="F131" s="2" t="inlineStr">
        <is>
          <t>Walker Department of Mechanical Engineering</t>
        </is>
      </c>
      <c r="G131" s="2" t="inlineStr"/>
      <c r="H131" s="3">
        <f>HYPERLINK("mailto:taleff@mail.utexas.edu", "taleff@mail.utexas.edu")</f>
        <v/>
      </c>
      <c r="I131" s="2" t="n">
        <v>4</v>
      </c>
      <c r="J131" s="2" t="inlineStr">
        <is>
          <t>🔴 Tier 4: Robotics / Controls / Autonomy</t>
        </is>
      </c>
      <c r="K131" s="2" t="n">
        <v>0</v>
      </c>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is>
          <t>Processing, microstructure and property relationships in structural metals and alloys; Mechanical testing at room and elevated temperatures; Microstructure/microtexture characterization</t>
        </is>
      </c>
      <c r="AI131" s="2" t="inlineStr"/>
      <c r="AJ131" s="2" t="inlineStr">
        <is>
          <t>Processing, microstructure and property relationships in structural metals and alloys; Mechanical testing at room and elevated temperatures; Microstructure/microtexture characterization</t>
        </is>
      </c>
      <c r="AK131" s="2" t="inlineStr"/>
      <c r="AL131" s="2" t="inlineStr"/>
      <c r="AM131" s="2" t="inlineStr"/>
      <c r="AN131" s="2" t="inlineStr"/>
      <c r="AO131" s="2" t="inlineStr"/>
      <c r="AP131" s="2" t="inlineStr"/>
      <c r="AQ131" s="2" t="inlineStr"/>
      <c r="AR131" s="2" t="inlineStr"/>
      <c r="AS131" s="2" t="inlineStr"/>
      <c r="AT131" s="2" t="inlineStr">
        <is>
          <t>ETC 9.150</t>
        </is>
      </c>
      <c r="AU131" s="2" t="b">
        <v>0</v>
      </c>
      <c r="AV131" s="3">
        <f>HYPERLINK("https://me.utexas.edu/people/faculty", "https://me.utexas.edu/people/faculty")</f>
        <v/>
      </c>
    </row>
    <row r="132">
      <c r="A132" s="2" t="inlineStr">
        <is>
          <t>Francesco Maggi</t>
        </is>
      </c>
      <c r="B132" s="2" t="inlineStr">
        <is>
          <t>The University of Texas at Austin</t>
        </is>
      </c>
      <c r="C132" s="3">
        <f>HYPERLINK("https://math.utexas.edu/directory/francesco-maggi", "https://math.utexas.edu/directory/francesco-maggi")</f>
        <v/>
      </c>
      <c r="D132" s="3">
        <f>HYPERLINK("https://scholar.google.com/citations?view_op=search_authors&amp;mauthors=Francesco%20Maggi%20University%20of%20Texas%20at%20Austin", "Google Scholar Search")</f>
        <v/>
      </c>
      <c r="E132" s="2" t="inlineStr">
        <is>
          <t>Professor</t>
        </is>
      </c>
      <c r="F132" s="2" t="inlineStr">
        <is>
          <t>Department of Mathematics</t>
        </is>
      </c>
      <c r="G132" s="2" t="inlineStr"/>
      <c r="H132" s="3">
        <f>HYPERLINK("mailto:maggi@math.utexas.edu", "maggi@math.utexas.edu")</f>
        <v/>
      </c>
      <c r="I132" s="2" t="n">
        <v>4</v>
      </c>
      <c r="J132" s="2" t="inlineStr">
        <is>
          <t>🔴 Tier 4: Robotics / Controls / Autonomy</t>
        </is>
      </c>
      <c r="K132" s="2" t="n">
        <v>0</v>
      </c>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is>
          <t>Analysis</t>
        </is>
      </c>
      <c r="AI132" s="2" t="inlineStr"/>
      <c r="AJ132" s="2" t="inlineStr">
        <is>
          <t>Analysis</t>
        </is>
      </c>
      <c r="AK132" s="2" t="inlineStr"/>
      <c r="AL132" s="2" t="inlineStr"/>
      <c r="AM132" s="2" t="inlineStr"/>
      <c r="AN132" s="2" t="inlineStr"/>
      <c r="AO132" s="2" t="inlineStr"/>
      <c r="AP132" s="2" t="inlineStr"/>
      <c r="AQ132" s="2" t="inlineStr"/>
      <c r="AR132" s="2" t="inlineStr"/>
      <c r="AS132" s="2" t="inlineStr"/>
      <c r="AT132" s="2" t="inlineStr">
        <is>
          <t>PMA 10.124</t>
        </is>
      </c>
      <c r="AU132" s="2" t="b">
        <v>0</v>
      </c>
      <c r="AV132" s="3">
        <f>HYPERLINK("https://math.utexas.edu/directory/faculty", "https://math.utexas.edu/directory/faculty")</f>
        <v/>
      </c>
    </row>
    <row r="133">
      <c r="A133" s="2" t="inlineStr">
        <is>
          <t>Gordan Zitkovic</t>
        </is>
      </c>
      <c r="B133" s="2" t="inlineStr">
        <is>
          <t>The University of Texas at Austin</t>
        </is>
      </c>
      <c r="C133" s="3">
        <f>HYPERLINK("https://math.utexas.edu/directory/gordan-zitkovic", "https://math.utexas.edu/directory/gordan-zitkovic")</f>
        <v/>
      </c>
      <c r="D133" s="3">
        <f>HYPERLINK("https://scholar.google.com/citations?view_op=search_authors&amp;mauthors=Gordan%20Zitkovic%20University%20of%20Texas%20at%20Austin", "Google Scholar Search")</f>
        <v/>
      </c>
      <c r="E133" s="2" t="inlineStr">
        <is>
          <t>Professor</t>
        </is>
      </c>
      <c r="F133" s="2" t="inlineStr">
        <is>
          <t>Department of Mathematics</t>
        </is>
      </c>
      <c r="G133" s="2" t="inlineStr"/>
      <c r="H133" s="3">
        <f>HYPERLINK("mailto:gordanz@math.utexas.edu", "gordanz@math.utexas.edu")</f>
        <v/>
      </c>
      <c r="I133" s="2" t="n">
        <v>4</v>
      </c>
      <c r="J133" s="2" t="inlineStr">
        <is>
          <t>🔴 Tier 4: Robotics / Controls / Autonomy</t>
        </is>
      </c>
      <c r="K133" s="2" t="n">
        <v>0</v>
      </c>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is>
          <t>Probability and Statistics</t>
        </is>
      </c>
      <c r="AI133" s="2" t="inlineStr"/>
      <c r="AJ133" s="2" t="inlineStr">
        <is>
          <t>Probability and Statistics</t>
        </is>
      </c>
      <c r="AK133" s="2" t="inlineStr"/>
      <c r="AL133" s="2" t="inlineStr"/>
      <c r="AM133" s="2" t="inlineStr"/>
      <c r="AN133" s="2" t="inlineStr"/>
      <c r="AO133" s="2" t="inlineStr"/>
      <c r="AP133" s="2" t="inlineStr"/>
      <c r="AQ133" s="2" t="inlineStr"/>
      <c r="AR133" s="2" t="inlineStr"/>
      <c r="AS133" s="2" t="inlineStr"/>
      <c r="AT133" s="2" t="inlineStr">
        <is>
          <t>PMA 11.132</t>
        </is>
      </c>
      <c r="AU133" s="2" t="b">
        <v>0</v>
      </c>
      <c r="AV133" s="3">
        <f>HYPERLINK("https://math.utexas.edu/directory/faculty", "https://math.utexas.edu/directory/faculty")</f>
        <v/>
      </c>
    </row>
    <row r="134">
      <c r="A134" s="2" t="inlineStr">
        <is>
          <t>Gregory Rulifson</t>
        </is>
      </c>
      <c r="B134" s="2" t="inlineStr">
        <is>
          <t>The University of Texas at Austin</t>
        </is>
      </c>
      <c r="C134" s="3">
        <f>HYPERLINK("https://me.utexas.edu/person/gregory-rulifson/", "https://me.utexas.edu/person/gregory-rulifson/")</f>
        <v/>
      </c>
      <c r="D134" s="3">
        <f>HYPERLINK("https://scholar.google.com/citations?view_op=search_authors&amp;mauthors=Gregory%20Rulifson%20University%20of%20Texas%20at%20Austin", "Google Scholar Search")</f>
        <v/>
      </c>
      <c r="E134" s="2" t="inlineStr">
        <is>
          <t xml:space="preserve">Associate Professor of Practice </t>
        </is>
      </c>
      <c r="F134" s="2" t="inlineStr">
        <is>
          <t>Walker Department of Mechanical Engineering</t>
        </is>
      </c>
      <c r="G134" s="2" t="inlineStr"/>
      <c r="H134" s="3">
        <f>HYPERLINK("mailto:gregory.rulifson@austin.utexas.edu", "gregory.rulifson@austin.utexas.edu")</f>
        <v/>
      </c>
      <c r="I134" s="2" t="n">
        <v>4</v>
      </c>
      <c r="J134" s="2" t="inlineStr">
        <is>
          <t>🔴 Tier 4: Robotics / Controls / Autonomy</t>
        </is>
      </c>
      <c r="K134" s="2" t="n">
        <v>0</v>
      </c>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is>
          <t>Humanitarian Engineering; sustainability; disaster risk reduction</t>
        </is>
      </c>
      <c r="AI134" s="2" t="inlineStr"/>
      <c r="AJ134" s="2" t="inlineStr">
        <is>
          <t>Humanitarian Engineering; sustainability; disaster risk reduction</t>
        </is>
      </c>
      <c r="AK134" s="2" t="inlineStr"/>
      <c r="AL134" s="2" t="inlineStr"/>
      <c r="AM134" s="2" t="inlineStr"/>
      <c r="AN134" s="2" t="inlineStr"/>
      <c r="AO134" s="2" t="inlineStr"/>
      <c r="AP134" s="2" t="inlineStr"/>
      <c r="AQ134" s="2" t="inlineStr"/>
      <c r="AR134" s="2" t="inlineStr"/>
      <c r="AS134" s="2" t="inlineStr"/>
      <c r="AT134" s="2" t="inlineStr">
        <is>
          <t>ETC 3.156</t>
        </is>
      </c>
      <c r="AU134" s="2" t="b">
        <v>0</v>
      </c>
      <c r="AV134" s="3">
        <f>HYPERLINK("https://me.utexas.edu/people/faculty", "https://me.utexas.edu/people/faculty")</f>
        <v/>
      </c>
    </row>
    <row r="135">
      <c r="A135" s="2" t="inlineStr">
        <is>
          <t>Griffin Wang</t>
        </is>
      </c>
      <c r="B135" s="2" t="inlineStr">
        <is>
          <t>The University of Texas at Austin</t>
        </is>
      </c>
      <c r="C135" s="3">
        <f>HYPERLINK("https://math.utexas.edu/directory/griffin-wang", "https://math.utexas.edu/directory/griffin-wang")</f>
        <v/>
      </c>
      <c r="D135" s="3">
        <f>HYPERLINK("https://scholar.google.com/citations?view_op=search_authors&amp;mauthors=Griffin%20Wang%20University%20of%20Texas%20at%20Austin", "Google Scholar Search")</f>
        <v/>
      </c>
      <c r="E135" s="2" t="inlineStr">
        <is>
          <t>Assistant Professor</t>
        </is>
      </c>
      <c r="F135" s="2" t="inlineStr">
        <is>
          <t>Department of Mathematics</t>
        </is>
      </c>
      <c r="G135" s="2" t="inlineStr"/>
      <c r="H135" s="3">
        <f>HYPERLINK("mailto:xw.griff@utexas.edu", "xw.griff@utexas.edu")</f>
        <v/>
      </c>
      <c r="I135" s="2" t="n">
        <v>4</v>
      </c>
      <c r="J135" s="2" t="inlineStr">
        <is>
          <t>🔴 Tier 4: Robotics / Controls / Autonomy</t>
        </is>
      </c>
      <c r="K135" s="2" t="n">
        <v>0</v>
      </c>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is>
          <t>Number Theory</t>
        </is>
      </c>
      <c r="AI135" s="2" t="inlineStr"/>
      <c r="AJ135" s="2" t="inlineStr">
        <is>
          <t>Number Theory</t>
        </is>
      </c>
      <c r="AK135" s="2" t="inlineStr"/>
      <c r="AL135" s="2" t="inlineStr"/>
      <c r="AM135" s="2" t="inlineStr"/>
      <c r="AN135" s="2" t="inlineStr"/>
      <c r="AO135" s="2" t="inlineStr"/>
      <c r="AP135" s="2" t="inlineStr"/>
      <c r="AQ135" s="2" t="inlineStr"/>
      <c r="AR135" s="2" t="inlineStr"/>
      <c r="AS135" s="2" t="inlineStr"/>
      <c r="AT135" s="2" t="inlineStr">
        <is>
          <t>PMA 10.174</t>
        </is>
      </c>
      <c r="AU135" s="2" t="b">
        <v>0</v>
      </c>
      <c r="AV135" s="3">
        <f>HYPERLINK("https://math.utexas.edu/directory/faculty", "https://math.utexas.edu/directory/faculty")</f>
        <v/>
      </c>
    </row>
    <row r="136">
      <c r="A136" s="2" t="inlineStr">
        <is>
          <t>Hairong Wang</t>
        </is>
      </c>
      <c r="B136" s="2" t="inlineStr">
        <is>
          <t>The University of Texas at Austin</t>
        </is>
      </c>
      <c r="C136" s="3">
        <f>HYPERLINK("https://me.utexas.edu/person/hairong-wang/", "https://me.utexas.edu/person/hairong-wang/")</f>
        <v/>
      </c>
      <c r="D136" s="3">
        <f>HYPERLINK("https://scholar.google.com/citations?view_op=search_authors&amp;mauthors=Hairong%20Wang%20University%20of%20Texas%20at%20Austin", "Google Scholar Search")</f>
        <v/>
      </c>
      <c r="E136" s="2" t="inlineStr">
        <is>
          <t xml:space="preserve">Assistant Professor </t>
        </is>
      </c>
      <c r="F136" s="2" t="inlineStr">
        <is>
          <t>Walker Department of Mechanical Engineering</t>
        </is>
      </c>
      <c r="G136" s="2" t="inlineStr"/>
      <c r="H136" s="3">
        <f>HYPERLINK("mailto:hairong.wang@austin.utexas.edu", "hairong.wang@austin.utexas.edu")</f>
        <v/>
      </c>
      <c r="I136" s="2" t="n">
        <v>4</v>
      </c>
      <c r="J136" s="2" t="inlineStr">
        <is>
          <t>🔴 Tier 4: Robotics / Controls / Autonomy</t>
        </is>
      </c>
      <c r="K136" s="2" t="n">
        <v>0</v>
      </c>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is>
          <t>Development of machine learning models and algorithms for high-dimensional, multi-modal data with complex, heterogeneous structures; Model design for supporting clinical diagnosis and optimal treatment in high-stake scenarios</t>
        </is>
      </c>
      <c r="AI136" s="2" t="inlineStr"/>
      <c r="AJ136" s="2" t="inlineStr">
        <is>
          <t>Development of machine learning models and algorithms for high-dimensional, multi-modal data with complex, heterogeneous structures; Model design for supporting clinical diagnosis and optimal treatment in high-stake scenarios</t>
        </is>
      </c>
      <c r="AK136" s="2" t="inlineStr"/>
      <c r="AL136" s="2" t="inlineStr"/>
      <c r="AM136" s="2" t="inlineStr"/>
      <c r="AN136" s="2" t="inlineStr"/>
      <c r="AO136" s="2" t="inlineStr"/>
      <c r="AP136" s="2" t="inlineStr"/>
      <c r="AQ136" s="2" t="inlineStr"/>
      <c r="AR136" s="2" t="inlineStr"/>
      <c r="AS136" s="2" t="inlineStr"/>
      <c r="AT136" s="2" t="inlineStr">
        <is>
          <t>ETC 5.120</t>
        </is>
      </c>
      <c r="AU136" s="2" t="b">
        <v>0</v>
      </c>
      <c r="AV136" s="3">
        <f>HYPERLINK("https://me.utexas.edu/people/faculty", "https://me.utexas.edu/people/faculty")</f>
        <v/>
      </c>
    </row>
    <row r="137">
      <c r="A137" s="2" t="inlineStr">
        <is>
          <t>Irving Dai</t>
        </is>
      </c>
      <c r="B137" s="2" t="inlineStr">
        <is>
          <t>The University of Texas at Austin</t>
        </is>
      </c>
      <c r="C137" s="3">
        <f>HYPERLINK("https://www.ma.utexas.edu", "https://www.ma.utexas.edu")</f>
        <v/>
      </c>
      <c r="D137" s="3">
        <f>HYPERLINK("https://scholar.google.com/citations?view_op=search_authors&amp;mauthors=Irving%20Dai%20University%20of%20Texas%20at%20Austin", "Google Scholar Search")</f>
        <v/>
      </c>
      <c r="E137" s="2" t="inlineStr">
        <is>
          <t>Assistant Professor</t>
        </is>
      </c>
      <c r="F137" s="2" t="inlineStr">
        <is>
          <t>Department of Mathematics</t>
        </is>
      </c>
      <c r="G137" s="2" t="inlineStr"/>
      <c r="H137" s="3">
        <f>HYPERLINK("mailto:irving.dai@math.utexas.edu", "irving.dai@math.utexas.edu")</f>
        <v/>
      </c>
      <c r="I137" s="2" t="n">
        <v>4</v>
      </c>
      <c r="J137" s="2" t="inlineStr">
        <is>
          <t>🔴 Tier 4: Robotics / Controls / Autonomy</t>
        </is>
      </c>
      <c r="K137" s="2" t="n">
        <v>0</v>
      </c>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is>
          <t>Topology</t>
        </is>
      </c>
      <c r="AI137" s="2" t="inlineStr"/>
      <c r="AJ137" s="2" t="inlineStr">
        <is>
          <t>Topology</t>
        </is>
      </c>
      <c r="AK137" s="2" t="inlineStr"/>
      <c r="AL137" s="2" t="inlineStr"/>
      <c r="AM137" s="2" t="inlineStr"/>
      <c r="AN137" s="2" t="inlineStr"/>
      <c r="AO137" s="2" t="inlineStr"/>
      <c r="AP137" s="2" t="inlineStr"/>
      <c r="AQ137" s="2" t="inlineStr"/>
      <c r="AR137" s="2" t="inlineStr"/>
      <c r="AS137" s="2" t="inlineStr"/>
      <c r="AT137" s="2" t="inlineStr">
        <is>
          <t>PMA 12.160</t>
        </is>
      </c>
      <c r="AU137" s="2" t="b">
        <v>0</v>
      </c>
      <c r="AV137" s="3">
        <f>HYPERLINK("https://math.utexas.edu/directory/faculty", "https://math.utexas.edu/directory/faculty")</f>
        <v/>
      </c>
    </row>
    <row r="138">
      <c r="A138" s="2" t="inlineStr">
        <is>
          <t>J. Eric Bickel</t>
        </is>
      </c>
      <c r="B138" s="2" t="inlineStr">
        <is>
          <t>The University of Texas at Austin</t>
        </is>
      </c>
      <c r="C138" s="3">
        <f>HYPERLINK("https://me.utexas.edu/person/j-eric-bickel/", "https://me.utexas.edu/person/j-eric-bickel/")</f>
        <v/>
      </c>
      <c r="D138" s="3">
        <f>HYPERLINK("https://scholar.google.com/citations?view_op=search_authors&amp;mauthors=J.%20Eric%20Bickel%20University%20of%20Texas%20at%20Austin", "Google Scholar Search")</f>
        <v/>
      </c>
      <c r="E138" s="2" t="inlineStr">
        <is>
          <t>Professor</t>
        </is>
      </c>
      <c r="F138" s="2" t="inlineStr">
        <is>
          <t>Walker Department of Mechanical Engineering</t>
        </is>
      </c>
      <c r="G138" s="2" t="inlineStr"/>
      <c r="H138" s="3">
        <f>HYPERLINK("mailto:ebickel@mail.utexas.edu", "ebickel@mail.utexas.edu")</f>
        <v/>
      </c>
      <c r="I138" s="2" t="n">
        <v>4</v>
      </c>
      <c r="J138" s="2" t="inlineStr">
        <is>
          <t>🔴 Tier 4: Robotics / Controls / Autonomy</t>
        </is>
      </c>
      <c r="K138" s="2" t="n">
        <v>0</v>
      </c>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is>
          <t>Decision analytics; Big data; Optimal decision making uncertainty; Energy</t>
        </is>
      </c>
      <c r="AI138" s="2" t="inlineStr"/>
      <c r="AJ138" s="2" t="inlineStr">
        <is>
          <t>Decision analytics; Big data; Optimal decision making uncertainty; Energy</t>
        </is>
      </c>
      <c r="AK138" s="2" t="inlineStr"/>
      <c r="AL138" s="2" t="inlineStr"/>
      <c r="AM138" s="2" t="inlineStr"/>
      <c r="AN138" s="2" t="inlineStr"/>
      <c r="AO138" s="2" t="inlineStr"/>
      <c r="AP138" s="2" t="inlineStr"/>
      <c r="AQ138" s="2" t="inlineStr"/>
      <c r="AR138" s="2" t="inlineStr"/>
      <c r="AS138" s="2" t="inlineStr"/>
      <c r="AT138" s="2" t="inlineStr">
        <is>
          <t>ETC 5.128C</t>
        </is>
      </c>
      <c r="AU138" s="2" t="b">
        <v>0</v>
      </c>
      <c r="AV138" s="3">
        <f>HYPERLINK("https://me.utexas.edu/people/faculty", "https://me.utexas.edu/people/faculty")</f>
        <v/>
      </c>
    </row>
    <row r="139">
      <c r="A139" s="2" t="inlineStr">
        <is>
          <t>James A. M. Álvarez</t>
        </is>
      </c>
      <c r="B139" s="2" t="inlineStr">
        <is>
          <t>The University of Texas at Austin</t>
        </is>
      </c>
      <c r="C139" s="3">
        <f>HYPERLINK("https://math.utexas.edu/directory/james-a-m-alvarez", "https://math.utexas.edu/directory/james-a-m-alvarez")</f>
        <v/>
      </c>
      <c r="D139" s="3">
        <f>HYPERLINK("https://scholar.google.com/citations?view_op=search_authors&amp;mauthors=James%20A.%20M.%20%C3%81lvarez%20University%20of%20Texas%20at%20Austin", "Google Scholar Search")</f>
        <v/>
      </c>
      <c r="E139" s="2" t="inlineStr">
        <is>
          <t>Professor</t>
        </is>
      </c>
      <c r="F139" s="2" t="inlineStr">
        <is>
          <t>Department of Mathematics</t>
        </is>
      </c>
      <c r="G139" s="2" t="inlineStr"/>
      <c r="H139" s="3">
        <f>HYPERLINK("mailto:james.alvarez@austin.utexas.edu", "james.alvarez@austin.utexas.edu")</f>
        <v/>
      </c>
      <c r="I139" s="2" t="n">
        <v>4</v>
      </c>
      <c r="J139" s="2" t="inlineStr">
        <is>
          <t>🔴 Tier 4: Robotics / Controls / Autonomy</t>
        </is>
      </c>
      <c r="K139" s="2" t="n">
        <v>0</v>
      </c>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is>
          <t>Math Education and Policy</t>
        </is>
      </c>
      <c r="AI139" s="2" t="inlineStr"/>
      <c r="AJ139" s="2" t="inlineStr">
        <is>
          <t>Math Education and Policy</t>
        </is>
      </c>
      <c r="AK139" s="2" t="inlineStr"/>
      <c r="AL139" s="2" t="inlineStr"/>
      <c r="AM139" s="2" t="inlineStr"/>
      <c r="AN139" s="2" t="inlineStr"/>
      <c r="AO139" s="2" t="inlineStr"/>
      <c r="AP139" s="2" t="inlineStr"/>
      <c r="AQ139" s="2" t="inlineStr"/>
      <c r="AR139" s="2" t="inlineStr"/>
      <c r="AS139" s="2" t="inlineStr"/>
      <c r="AT139" s="2" t="inlineStr">
        <is>
          <t>PMA 11.136</t>
        </is>
      </c>
      <c r="AU139" s="2" t="b">
        <v>0</v>
      </c>
      <c r="AV139" s="3">
        <f>HYPERLINK("https://math.utexas.edu/directory/faculty", "https://math.utexas.edu/directory/faculty")</f>
        <v/>
      </c>
    </row>
    <row r="140">
      <c r="A140" s="2" t="inlineStr">
        <is>
          <t>Jeffrey Danciger</t>
        </is>
      </c>
      <c r="B140" s="2" t="inlineStr">
        <is>
          <t>The University of Texas at Austin</t>
        </is>
      </c>
      <c r="C140" s="3">
        <f>HYPERLINK("https://math.utexas.edu/directory/jeffrey-danciger", "https://math.utexas.edu/directory/jeffrey-danciger")</f>
        <v/>
      </c>
      <c r="D140" s="3">
        <f>HYPERLINK("https://scholar.google.com/citations?view_op=search_authors&amp;mauthors=Jeffrey%20Danciger%20University%20of%20Texas%20at%20Austin", "Google Scholar Search")</f>
        <v/>
      </c>
      <c r="E140" s="2" t="inlineStr">
        <is>
          <t>Professor</t>
        </is>
      </c>
      <c r="F140" s="2" t="inlineStr">
        <is>
          <t>Department of Mathematics</t>
        </is>
      </c>
      <c r="G140" s="2" t="inlineStr"/>
      <c r="H140" s="3">
        <f>HYPERLINK("mailto:jdanciger@math.utexas.edu", "jdanciger@math.utexas.edu")</f>
        <v/>
      </c>
      <c r="I140" s="2" t="n">
        <v>4</v>
      </c>
      <c r="J140" s="2" t="inlineStr">
        <is>
          <t>🔴 Tier 4: Robotics / Controls / Autonomy</t>
        </is>
      </c>
      <c r="K140" s="2" t="n">
        <v>0</v>
      </c>
      <c r="L140" s="2" t="inlineStr"/>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is>
          <t>Topology, Dynamical Systems</t>
        </is>
      </c>
      <c r="AI140" s="2" t="inlineStr"/>
      <c r="AJ140" s="2" t="inlineStr">
        <is>
          <t>Topology, Dynamical Systems</t>
        </is>
      </c>
      <c r="AK140" s="2" t="inlineStr"/>
      <c r="AL140" s="2" t="inlineStr"/>
      <c r="AM140" s="2" t="inlineStr"/>
      <c r="AN140" s="2" t="inlineStr"/>
      <c r="AO140" s="2" t="inlineStr"/>
      <c r="AP140" s="2" t="inlineStr"/>
      <c r="AQ140" s="2" t="inlineStr"/>
      <c r="AR140" s="2" t="inlineStr"/>
      <c r="AS140" s="2" t="inlineStr"/>
      <c r="AT140" s="2" t="inlineStr">
        <is>
          <t>PMA 10.128</t>
        </is>
      </c>
      <c r="AU140" s="2" t="b">
        <v>0</v>
      </c>
      <c r="AV140" s="3">
        <f>HYPERLINK("https://math.utexas.edu/directory/faculty", "https://math.utexas.edu/directory/faculty")</f>
        <v/>
      </c>
    </row>
    <row r="141">
      <c r="A141" s="2" t="inlineStr">
        <is>
          <t>Jisun Lee</t>
        </is>
      </c>
      <c r="B141" s="2" t="inlineStr">
        <is>
          <t>The University of Texas at Austin</t>
        </is>
      </c>
      <c r="C141" s="3">
        <f>HYPERLINK("https://me.utexas.edu/person/jisun-lee/", "https://me.utexas.edu/person/jisun-lee/")</f>
        <v/>
      </c>
      <c r="D141" s="3">
        <f>HYPERLINK("https://scholar.google.com/citations?view_op=search_authors&amp;mauthors=Jisun%20Lee%20University%20of%20Texas%20at%20Austin", "Google Scholar Search")</f>
        <v/>
      </c>
      <c r="E141" s="2" t="inlineStr">
        <is>
          <t>Assistant Professor</t>
        </is>
      </c>
      <c r="F141" s="2" t="inlineStr">
        <is>
          <t>Walker Department of Mechanical Engineering</t>
        </is>
      </c>
      <c r="G141" s="2" t="inlineStr"/>
      <c r="H141" s="3">
        <f>HYPERLINK("mailto:jisun.lee@austin.utexas.edu", "jisun.lee@austin.utexas.edu")</f>
        <v/>
      </c>
      <c r="I141" s="2" t="n">
        <v>4</v>
      </c>
      <c r="J141" s="2" t="inlineStr">
        <is>
          <t>🔴 Tier 4: Robotics / Controls / Autonomy</t>
        </is>
      </c>
      <c r="K141" s="2" t="n">
        <v>0</v>
      </c>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is>
          <t>Convexification of mixed-integer convex optimization, tractable distributed MIP algorithms, combined frameworks of optimization and machine learning, and optimization under uncertainty&lt;br&gt;</t>
        </is>
      </c>
      <c r="AI141" s="2" t="inlineStr"/>
      <c r="AJ141" s="2" t="inlineStr">
        <is>
          <t>Convexification of mixed-integer convex optimization, tractable distributed MIP algorithms, combined frameworks of optimization and machine learning, and optimization under uncertainty&lt;br&gt;</t>
        </is>
      </c>
      <c r="AK141" s="2" t="inlineStr"/>
      <c r="AL141" s="2" t="inlineStr"/>
      <c r="AM141" s="2" t="inlineStr"/>
      <c r="AN141" s="2" t="inlineStr"/>
      <c r="AO141" s="2" t="inlineStr"/>
      <c r="AP141" s="2" t="inlineStr"/>
      <c r="AQ141" s="2" t="inlineStr"/>
      <c r="AR141" s="2" t="inlineStr"/>
      <c r="AS141" s="2" t="inlineStr"/>
      <c r="AT141" s="2" t="inlineStr"/>
      <c r="AU141" s="2" t="b">
        <v>0</v>
      </c>
      <c r="AV141" s="3">
        <f>HYPERLINK("https://me.utexas.edu/people/faculty", "https://me.utexas.edu/people/faculty")</f>
        <v/>
      </c>
    </row>
    <row r="142">
      <c r="A142" s="2" t="inlineStr">
        <is>
          <t>John Luecke</t>
        </is>
      </c>
      <c r="B142" s="2" t="inlineStr">
        <is>
          <t>The University of Texas at Austin</t>
        </is>
      </c>
      <c r="C142" s="3">
        <f>HYPERLINK("https://math.utexas.edu/directory/john-luecke", "https://math.utexas.edu/directory/john-luecke")</f>
        <v/>
      </c>
      <c r="D142" s="3">
        <f>HYPERLINK("https://scholar.google.com/citations?view_op=search_authors&amp;mauthors=John%20Luecke%20University%20of%20Texas%20at%20Austin", "Google Scholar Search")</f>
        <v/>
      </c>
      <c r="E142" s="2" t="inlineStr">
        <is>
          <t>Professor</t>
        </is>
      </c>
      <c r="F142" s="2" t="inlineStr">
        <is>
          <t>Department of Mathematics</t>
        </is>
      </c>
      <c r="G142" s="2" t="inlineStr"/>
      <c r="H142" s="3">
        <f>HYPERLINK("mailto:luecke@math.utexas.edu", "luecke@math.utexas.edu")</f>
        <v/>
      </c>
      <c r="I142" s="2" t="n">
        <v>4</v>
      </c>
      <c r="J142" s="2" t="inlineStr">
        <is>
          <t>🔴 Tier 4: Robotics / Controls / Autonomy</t>
        </is>
      </c>
      <c r="K142" s="2" t="n">
        <v>0</v>
      </c>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is>
          <t>Topology</t>
        </is>
      </c>
      <c r="AI142" s="2" t="inlineStr"/>
      <c r="AJ142" s="2" t="inlineStr">
        <is>
          <t>Topology</t>
        </is>
      </c>
      <c r="AK142" s="2" t="inlineStr"/>
      <c r="AL142" s="2" t="inlineStr"/>
      <c r="AM142" s="2" t="inlineStr"/>
      <c r="AN142" s="2" t="inlineStr"/>
      <c r="AO142" s="2" t="inlineStr"/>
      <c r="AP142" s="2" t="inlineStr"/>
      <c r="AQ142" s="2" t="inlineStr"/>
      <c r="AR142" s="2" t="inlineStr"/>
      <c r="AS142" s="2" t="inlineStr"/>
      <c r="AT142" s="2" t="inlineStr">
        <is>
          <t>PMA 12.122</t>
        </is>
      </c>
      <c r="AU142" s="2" t="b">
        <v>0</v>
      </c>
      <c r="AV142" s="3">
        <f>HYPERLINK("https://math.utexas.edu/directory/faculty", "https://math.utexas.edu/directory/faculty")</f>
        <v/>
      </c>
    </row>
    <row r="143">
      <c r="A143" s="2" t="inlineStr">
        <is>
          <t>Joseph Kileel</t>
        </is>
      </c>
      <c r="B143" s="2" t="inlineStr">
        <is>
          <t>The University of Texas at Austin</t>
        </is>
      </c>
      <c r="C143" s="3">
        <f>HYPERLINK("https://math.utexas.edu/directory/joseph-kileel", "https://math.utexas.edu/directory/joseph-kileel")</f>
        <v/>
      </c>
      <c r="D143" s="3">
        <f>HYPERLINK("https://scholar.google.com/citations?view_op=search_authors&amp;mauthors=Joseph%20Kileel%20University%20of%20Texas%20at%20Austin", "Google Scholar Search")</f>
        <v/>
      </c>
      <c r="E143" s="2" t="inlineStr">
        <is>
          <t>Associate Professor</t>
        </is>
      </c>
      <c r="F143" s="2" t="inlineStr">
        <is>
          <t>Department of Mathematics</t>
        </is>
      </c>
      <c r="G143" s="2" t="inlineStr"/>
      <c r="H143" s="3">
        <f>HYPERLINK("mailto:jkileel@math.utexas.edu", "jkileel@math.utexas.edu")</f>
        <v/>
      </c>
      <c r="I143" s="2" t="n">
        <v>4</v>
      </c>
      <c r="J143" s="2" t="inlineStr">
        <is>
          <t>🔴 Tier 4: Robotics / Controls / Autonomy</t>
        </is>
      </c>
      <c r="K143" s="2" t="n">
        <v>0</v>
      </c>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is>
          <t>Applied and Computational Mathematics</t>
        </is>
      </c>
      <c r="AI143" s="2" t="inlineStr"/>
      <c r="AJ143" s="2" t="inlineStr">
        <is>
          <t>Applied and Computational Mathematics</t>
        </is>
      </c>
      <c r="AK143" s="2" t="inlineStr"/>
      <c r="AL143" s="2" t="inlineStr"/>
      <c r="AM143" s="2" t="inlineStr"/>
      <c r="AN143" s="2" t="inlineStr"/>
      <c r="AO143" s="2" t="inlineStr"/>
      <c r="AP143" s="2" t="inlineStr"/>
      <c r="AQ143" s="2" t="inlineStr"/>
      <c r="AR143" s="2" t="inlineStr"/>
      <c r="AS143" s="2" t="inlineStr"/>
      <c r="AT143" s="2" t="inlineStr">
        <is>
          <t>PMA 12.154</t>
        </is>
      </c>
      <c r="AU143" s="2" t="b">
        <v>0</v>
      </c>
      <c r="AV143" s="3">
        <f>HYPERLINK("https://math.utexas.edu/directory/faculty", "https://math.utexas.edu/directory/faculty")</f>
        <v/>
      </c>
    </row>
    <row r="144">
      <c r="A144" s="2" t="inlineStr">
        <is>
          <t>Joshua Keena</t>
        </is>
      </c>
      <c r="B144" s="2" t="inlineStr">
        <is>
          <t>The University of Texas at Austin</t>
        </is>
      </c>
      <c r="C144" s="3">
        <f>HYPERLINK("https://me.utexas.edu/person/joshua-keena/", "https://me.utexas.edu/person/joshua-keena/")</f>
        <v/>
      </c>
      <c r="D144" s="3">
        <f>HYPERLINK("https://scholar.google.com/citations?view_op=search_authors&amp;mauthors=Joshua%20Keena%20University%20of%20Texas%20at%20Austin", "Google Scholar Search")</f>
        <v/>
      </c>
      <c r="E144" s="2" t="inlineStr">
        <is>
          <t>Professor of Practice</t>
        </is>
      </c>
      <c r="F144" s="2" t="inlineStr">
        <is>
          <t>Walker Department of Mechanical Engineering</t>
        </is>
      </c>
      <c r="G144" s="2" t="inlineStr"/>
      <c r="H144" s="3">
        <f>HYPERLINK("mailto:joshua.keena@austin.utexas.edu", "joshua.keena@austin.utexas.edu")</f>
        <v/>
      </c>
      <c r="I144" s="2" t="n">
        <v>4</v>
      </c>
      <c r="J144" s="2" t="inlineStr">
        <is>
          <t>🔴 Tier 4: Robotics / Controls / Autonomy</t>
        </is>
      </c>
      <c r="K144" s="2" t="n">
        <v>0</v>
      </c>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b">
        <v>0</v>
      </c>
      <c r="AV144" s="3">
        <f>HYPERLINK("https://me.utexas.edu/people/faculty", "https://me.utexas.edu/people/faculty")</f>
        <v/>
      </c>
    </row>
    <row r="145">
      <c r="A145" s="2" t="inlineStr">
        <is>
          <t>Kate Juschenko</t>
        </is>
      </c>
      <c r="B145" s="2" t="inlineStr">
        <is>
          <t>The University of Texas at Austin</t>
        </is>
      </c>
      <c r="C145" s="3">
        <f>HYPERLINK("https://math.utexas.edu/directory/kate-juschenko", "https://math.utexas.edu/directory/kate-juschenko")</f>
        <v/>
      </c>
      <c r="D145" s="3">
        <f>HYPERLINK("https://scholar.google.com/citations?view_op=search_authors&amp;mauthors=Kate%20Juschenko%20University%20of%20Texas%20at%20Austin", "Google Scholar Search")</f>
        <v/>
      </c>
      <c r="E145" s="2" t="inlineStr">
        <is>
          <t>Professor</t>
        </is>
      </c>
      <c r="F145" s="2" t="inlineStr">
        <is>
          <t>Department of Mathematics</t>
        </is>
      </c>
      <c r="G145" s="2" t="inlineStr"/>
      <c r="H145" s="3">
        <f>HYPERLINK("mailto:kate.juschenko@math.utexas.edu", "kate.juschenko@math.utexas.edu")</f>
        <v/>
      </c>
      <c r="I145" s="2" t="n">
        <v>4</v>
      </c>
      <c r="J145" s="2" t="inlineStr">
        <is>
          <t>🔴 Tier 4: Robotics / Controls / Autonomy</t>
        </is>
      </c>
      <c r="K145" s="2" t="n">
        <v>0</v>
      </c>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is>
          <t>Analysis, Dynamical Systems</t>
        </is>
      </c>
      <c r="AI145" s="2" t="inlineStr"/>
      <c r="AJ145" s="2" t="inlineStr">
        <is>
          <t>Analysis, Dynamical Systems</t>
        </is>
      </c>
      <c r="AK145" s="2" t="inlineStr"/>
      <c r="AL145" s="2" t="inlineStr"/>
      <c r="AM145" s="2" t="inlineStr"/>
      <c r="AN145" s="2" t="inlineStr"/>
      <c r="AO145" s="2" t="inlineStr"/>
      <c r="AP145" s="2" t="inlineStr"/>
      <c r="AQ145" s="2" t="inlineStr"/>
      <c r="AR145" s="2" t="inlineStr"/>
      <c r="AS145" s="2" t="inlineStr"/>
      <c r="AT145" s="2" t="inlineStr">
        <is>
          <t>PMA 9.122</t>
        </is>
      </c>
      <c r="AU145" s="2" t="b">
        <v>0</v>
      </c>
      <c r="AV145" s="3">
        <f>HYPERLINK("https://math.utexas.edu/directory/faculty", "https://math.utexas.edu/directory/faculty")</f>
        <v/>
      </c>
    </row>
    <row r="146">
      <c r="A146" s="2" t="inlineStr">
        <is>
          <t>Kevin Clarno</t>
        </is>
      </c>
      <c r="B146" s="2" t="inlineStr">
        <is>
          <t>The University of Texas at Austin</t>
        </is>
      </c>
      <c r="C146" s="3">
        <f>HYPERLINK("https://me.utexas.edu/person/kevin-clarno/", "https://me.utexas.edu/person/kevin-clarno/")</f>
        <v/>
      </c>
      <c r="D146" s="3">
        <f>HYPERLINK("https://scholar.google.com/citations?view_op=search_authors&amp;mauthors=Kevin%20Clarno%20University%20of%20Texas%20at%20Austin", "Google Scholar Search")</f>
        <v/>
      </c>
      <c r="E146" s="2" t="inlineStr">
        <is>
          <t>Associate Professor</t>
        </is>
      </c>
      <c r="F146" s="2" t="inlineStr">
        <is>
          <t>Walker Department of Mechanical Engineering</t>
        </is>
      </c>
      <c r="G146" s="2" t="inlineStr"/>
      <c r="H146" s="3">
        <f>HYPERLINK("mailto:kevin.clarno@austin.utexas.edu", "kevin.clarno@austin.utexas.edu")</f>
        <v/>
      </c>
      <c r="I146" s="2" t="n">
        <v>4</v>
      </c>
      <c r="J146" s="2" t="inlineStr">
        <is>
          <t>🔴 Tier 4: Robotics / Controls / Autonomy</t>
        </is>
      </c>
      <c r="K146" s="2" t="n">
        <v>0</v>
      </c>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is>
          <t>Computational research on nuclear reactors; Advanced reactor analysis software; Nuclear data; Deterministic and Monte Carlos transport; Isotopic depletion and decay; Nuclear fuel performance; Nuclear core analysis</t>
        </is>
      </c>
      <c r="AI146" s="2" t="inlineStr"/>
      <c r="AJ146" s="2" t="inlineStr">
        <is>
          <t>Computational research on nuclear reactors; Advanced reactor analysis software; Nuclear data; Deterministic and Monte Carlos transport; Isotopic depletion and decay; Nuclear fuel performance; Nuclear core analysis</t>
        </is>
      </c>
      <c r="AK146" s="2" t="inlineStr"/>
      <c r="AL146" s="2" t="inlineStr"/>
      <c r="AM146" s="2" t="inlineStr"/>
      <c r="AN146" s="2" t="inlineStr"/>
      <c r="AO146" s="2" t="inlineStr"/>
      <c r="AP146" s="2" t="inlineStr"/>
      <c r="AQ146" s="2" t="inlineStr"/>
      <c r="AR146" s="2" t="inlineStr"/>
      <c r="AS146" s="2" t="inlineStr"/>
      <c r="AT146" s="2" t="inlineStr">
        <is>
          <t>ETC 7.150</t>
        </is>
      </c>
      <c r="AU146" s="2" t="b">
        <v>0</v>
      </c>
      <c r="AV146" s="3">
        <f>HYPERLINK("https://me.utexas.edu/people/faculty", "https://me.utexas.edu/people/faculty")</f>
        <v/>
      </c>
    </row>
    <row r="147">
      <c r="A147" s="2" t="inlineStr">
        <is>
          <t>Leah Chong</t>
        </is>
      </c>
      <c r="B147" s="2" t="inlineStr">
        <is>
          <t>The University of Texas at Austin</t>
        </is>
      </c>
      <c r="C147" s="3">
        <f>HYPERLINK("https://me.utexas.edu/person/leah-chong/", "https://me.utexas.edu/person/leah-chong/")</f>
        <v/>
      </c>
      <c r="D147" s="3">
        <f>HYPERLINK("https://scholar.google.com/citations?view_op=search_authors&amp;mauthors=Leah%20Chong%20University%20of%20Texas%20at%20Austin", "Google Scholar Search")</f>
        <v/>
      </c>
      <c r="E147" s="2" t="inlineStr">
        <is>
          <t>Assistant Professor</t>
        </is>
      </c>
      <c r="F147" s="2" t="inlineStr">
        <is>
          <t>Walker Department of Mechanical Engineering</t>
        </is>
      </c>
      <c r="G147" s="2" t="inlineStr"/>
      <c r="H147" s="3">
        <f>HYPERLINK("mailto:leah.chong@austin.utexas.edu", "leah.chong@austin.utexas.edu")</f>
        <v/>
      </c>
      <c r="I147" s="2" t="n">
        <v>4</v>
      </c>
      <c r="J147" s="2" t="inlineStr">
        <is>
          <t>🔴 Tier 4: Robotics / Controls / Autonomy</t>
        </is>
      </c>
      <c r="K147" s="2" t="n">
        <v>0</v>
      </c>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is>
          <t>Human-AI collaboration; Human-centered engineering design; Computational design methods; Cognition and decision-making; Design theory and methodology</t>
        </is>
      </c>
      <c r="AI147" s="2" t="inlineStr"/>
      <c r="AJ147" s="2" t="inlineStr">
        <is>
          <t>Human-AI collaboration; Human-centered engineering design; Computational design methods; Cognition and decision-making; Design theory and methodology</t>
        </is>
      </c>
      <c r="AK147" s="2" t="inlineStr"/>
      <c r="AL147" s="2" t="inlineStr"/>
      <c r="AM147" s="2" t="inlineStr"/>
      <c r="AN147" s="2" t="inlineStr"/>
      <c r="AO147" s="2" t="inlineStr"/>
      <c r="AP147" s="2" t="inlineStr"/>
      <c r="AQ147" s="2" t="inlineStr"/>
      <c r="AR147" s="2" t="inlineStr"/>
      <c r="AS147" s="2" t="inlineStr"/>
      <c r="AT147" s="2" t="inlineStr">
        <is>
          <t>ETC 4.116A</t>
        </is>
      </c>
      <c r="AU147" s="2" t="b">
        <v>0</v>
      </c>
      <c r="AV147" s="3">
        <f>HYPERLINK("https://me.utexas.edu/people/faculty", "https://me.utexas.edu/people/faculty")</f>
        <v/>
      </c>
    </row>
    <row r="148">
      <c r="A148" s="2" t="inlineStr">
        <is>
          <t>Lewis Bowen</t>
        </is>
      </c>
      <c r="B148" s="2" t="inlineStr">
        <is>
          <t>The University of Texas at Austin</t>
        </is>
      </c>
      <c r="C148" s="3">
        <f>HYPERLINK("https://math.utexas.edu/directory/lewis-bowen", "https://math.utexas.edu/directory/lewis-bowen")</f>
        <v/>
      </c>
      <c r="D148" s="3">
        <f>HYPERLINK("https://scholar.google.com/citations?view_op=search_authors&amp;mauthors=Lewis%20Bowen%20University%20of%20Texas%20at%20Austin", "Google Scholar Search")</f>
        <v/>
      </c>
      <c r="E148" s="2" t="inlineStr">
        <is>
          <t>Professor</t>
        </is>
      </c>
      <c r="F148" s="2" t="inlineStr">
        <is>
          <t>Department of Mathematics</t>
        </is>
      </c>
      <c r="G148" s="2" t="inlineStr"/>
      <c r="H148" s="3">
        <f>HYPERLINK("mailto:lpbowen@math.utexas.edu", "lpbowen@math.utexas.edu")</f>
        <v/>
      </c>
      <c r="I148" s="2" t="n">
        <v>4</v>
      </c>
      <c r="J148" s="2" t="inlineStr">
        <is>
          <t>🔴 Tier 4: Robotics / Controls / Autonomy</t>
        </is>
      </c>
      <c r="K148" s="2" t="n">
        <v>0</v>
      </c>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is>
          <t>Dynamical Systems</t>
        </is>
      </c>
      <c r="AI148" s="2" t="inlineStr"/>
      <c r="AJ148" s="2" t="inlineStr">
        <is>
          <t>Dynamical Systems</t>
        </is>
      </c>
      <c r="AK148" s="2" t="inlineStr"/>
      <c r="AL148" s="2" t="inlineStr"/>
      <c r="AM148" s="2" t="inlineStr"/>
      <c r="AN148" s="2" t="inlineStr"/>
      <c r="AO148" s="2" t="inlineStr"/>
      <c r="AP148" s="2" t="inlineStr"/>
      <c r="AQ148" s="2" t="inlineStr"/>
      <c r="AR148" s="2" t="inlineStr"/>
      <c r="AS148" s="2" t="inlineStr"/>
      <c r="AT148" s="2" t="inlineStr">
        <is>
          <t>PMA 9.154</t>
        </is>
      </c>
      <c r="AU148" s="2" t="b">
        <v>0</v>
      </c>
      <c r="AV148" s="3">
        <f>HYPERLINK("https://math.utexas.edu/directory/faculty", "https://math.utexas.edu/directory/faculty")</f>
        <v/>
      </c>
    </row>
    <row r="149">
      <c r="A149" s="2" t="inlineStr">
        <is>
          <t>Lisa Piccirillo</t>
        </is>
      </c>
      <c r="B149" s="2" t="inlineStr">
        <is>
          <t>The University of Texas at Austin</t>
        </is>
      </c>
      <c r="C149" s="3">
        <f>HYPERLINK("https://math.utexas.edu/directory/lisa-piccirillo", "https://math.utexas.edu/directory/lisa-piccirillo")</f>
        <v/>
      </c>
      <c r="D149" s="3">
        <f>HYPERLINK("https://scholar.google.com/citations?view_op=search_authors&amp;mauthors=Lisa%20Piccirillo%20University%20of%20Texas%20at%20Austin", "Google Scholar Search")</f>
        <v/>
      </c>
      <c r="E149" s="2" t="inlineStr">
        <is>
          <t>Professor</t>
        </is>
      </c>
      <c r="F149" s="2" t="inlineStr">
        <is>
          <t>Department of Mathematics</t>
        </is>
      </c>
      <c r="G149" s="2" t="inlineStr"/>
      <c r="H149" s="3">
        <f>HYPERLINK("mailto:lisa.piccirillo@austin.utexas.edu", "lisa.piccirillo@austin.utexas.edu")</f>
        <v/>
      </c>
      <c r="I149" s="2" t="n">
        <v>4</v>
      </c>
      <c r="J149" s="2" t="inlineStr">
        <is>
          <t>🔴 Tier 4: Robotics / Controls / Autonomy</t>
        </is>
      </c>
      <c r="K149" s="2" t="n">
        <v>0</v>
      </c>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is>
          <t>Topology</t>
        </is>
      </c>
      <c r="AI149" s="2" t="inlineStr"/>
      <c r="AJ149" s="2" t="inlineStr">
        <is>
          <t>Topology</t>
        </is>
      </c>
      <c r="AK149" s="2" t="inlineStr"/>
      <c r="AL149" s="2" t="inlineStr"/>
      <c r="AM149" s="2" t="inlineStr"/>
      <c r="AN149" s="2" t="inlineStr"/>
      <c r="AO149" s="2" t="inlineStr"/>
      <c r="AP149" s="2" t="inlineStr"/>
      <c r="AQ149" s="2" t="inlineStr"/>
      <c r="AR149" s="2" t="inlineStr"/>
      <c r="AS149" s="2" t="inlineStr"/>
      <c r="AT149" s="2" t="inlineStr">
        <is>
          <t>PMA 10.172</t>
        </is>
      </c>
      <c r="AU149" s="2" t="b">
        <v>0</v>
      </c>
      <c r="AV149" s="3">
        <f>HYPERLINK("https://math.utexas.edu/directory/faculty", "https://math.utexas.edu/directory/faculty")</f>
        <v/>
      </c>
    </row>
    <row r="150">
      <c r="A150" s="2" t="inlineStr">
        <is>
          <t>Lorenzo Sadun</t>
        </is>
      </c>
      <c r="B150" s="2" t="inlineStr">
        <is>
          <t>The University of Texas at Austin</t>
        </is>
      </c>
      <c r="C150" s="3">
        <f>HYPERLINK("https://math.utexas.edu/directory/lorenzo-sadun", "https://math.utexas.edu/directory/lorenzo-sadun")</f>
        <v/>
      </c>
      <c r="D150" s="3">
        <f>HYPERLINK("https://scholar.google.com/citations?view_op=search_authors&amp;mauthors=Lorenzo%20Sadun%20University%20of%20Texas%20at%20Austin", "Google Scholar Search")</f>
        <v/>
      </c>
      <c r="E150" s="2" t="inlineStr">
        <is>
          <t>Professor</t>
        </is>
      </c>
      <c r="F150" s="2" t="inlineStr">
        <is>
          <t>Department of Mathematics</t>
        </is>
      </c>
      <c r="G150" s="2" t="inlineStr"/>
      <c r="H150" s="3">
        <f>HYPERLINK("mailto:sadun@math.utexas.edu", "sadun@math.utexas.edu")</f>
        <v/>
      </c>
      <c r="I150" s="2" t="n">
        <v>4</v>
      </c>
      <c r="J150" s="2" t="inlineStr">
        <is>
          <t>🔴 Tier 4: Robotics / Controls / Autonomy</t>
        </is>
      </c>
      <c r="K150" s="2" t="n">
        <v>0</v>
      </c>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is>
          <t>Dynamical Systems, Mathematical Physics, Topology</t>
        </is>
      </c>
      <c r="AI150" s="2" t="inlineStr"/>
      <c r="AJ150" s="2" t="inlineStr">
        <is>
          <t>Dynamical Systems, Mathematical Physics, Topology</t>
        </is>
      </c>
      <c r="AK150" s="2" t="inlineStr"/>
      <c r="AL150" s="2" t="inlineStr"/>
      <c r="AM150" s="2" t="inlineStr"/>
      <c r="AN150" s="2" t="inlineStr"/>
      <c r="AO150" s="2" t="inlineStr"/>
      <c r="AP150" s="2" t="inlineStr"/>
      <c r="AQ150" s="2" t="inlineStr"/>
      <c r="AR150" s="2" t="inlineStr"/>
      <c r="AS150" s="2" t="inlineStr"/>
      <c r="AT150" s="2" t="inlineStr">
        <is>
          <t>PMA 9.114</t>
        </is>
      </c>
      <c r="AU150" s="2" t="b">
        <v>0</v>
      </c>
      <c r="AV150" s="3">
        <f>HYPERLINK("https://math.utexas.edu/directory/faculty", "https://math.utexas.edu/directory/faculty")</f>
        <v/>
      </c>
    </row>
    <row r="151">
      <c r="A151" s="2" t="inlineStr">
        <is>
          <t>Maggie Miller</t>
        </is>
      </c>
      <c r="B151" s="2" t="inlineStr">
        <is>
          <t>The University of Texas at Austin</t>
        </is>
      </c>
      <c r="C151" s="3">
        <f>HYPERLINK("https://math.utexas.edu/directory/maggie-miller", "https://math.utexas.edu/directory/maggie-miller")</f>
        <v/>
      </c>
      <c r="D151" s="3">
        <f>HYPERLINK("https://scholar.google.com/citations?view_op=search_authors&amp;mauthors=Maggie%20Miller%20University%20of%20Texas%20at%20Austin", "Google Scholar Search")</f>
        <v/>
      </c>
      <c r="E151" s="2" t="inlineStr">
        <is>
          <t>Assistant Professor</t>
        </is>
      </c>
      <c r="F151" s="2" t="inlineStr">
        <is>
          <t>Department of Mathematics</t>
        </is>
      </c>
      <c r="G151" s="2" t="inlineStr"/>
      <c r="H151" s="3">
        <f>HYPERLINK("mailto:maggie.miller@austin.utexas.edu", "maggie.miller@austin.utexas.edu")</f>
        <v/>
      </c>
      <c r="I151" s="2" t="n">
        <v>4</v>
      </c>
      <c r="J151" s="2" t="inlineStr">
        <is>
          <t>🔴 Tier 4: Robotics / Controls / Autonomy</t>
        </is>
      </c>
      <c r="K151" s="2" t="n">
        <v>0</v>
      </c>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is>
          <t>Topology</t>
        </is>
      </c>
      <c r="AI151" s="2" t="inlineStr"/>
      <c r="AJ151" s="2" t="inlineStr">
        <is>
          <t>Topology</t>
        </is>
      </c>
      <c r="AK151" s="2" t="inlineStr"/>
      <c r="AL151" s="2" t="inlineStr"/>
      <c r="AM151" s="2" t="inlineStr"/>
      <c r="AN151" s="2" t="inlineStr"/>
      <c r="AO151" s="2" t="inlineStr"/>
      <c r="AP151" s="2" t="inlineStr"/>
      <c r="AQ151" s="2" t="inlineStr"/>
      <c r="AR151" s="2" t="inlineStr"/>
      <c r="AS151" s="2" t="inlineStr"/>
      <c r="AT151" s="2" t="inlineStr">
        <is>
          <t>PMA 10.132</t>
        </is>
      </c>
      <c r="AU151" s="2" t="b">
        <v>0</v>
      </c>
      <c r="AV151" s="3">
        <f>HYPERLINK("https://math.utexas.edu/directory/faculty", "https://math.utexas.edu/directory/faculty")</f>
        <v/>
      </c>
    </row>
    <row r="152">
      <c r="A152" s="2" t="inlineStr">
        <is>
          <t>Maria Pia Gualdani</t>
        </is>
      </c>
      <c r="B152" s="2" t="inlineStr">
        <is>
          <t>The University of Texas at Austin</t>
        </is>
      </c>
      <c r="C152" s="3">
        <f>HYPERLINK("https://math.utexas.edu/directory/maria-pia-gualdani", "https://math.utexas.edu/directory/maria-pia-gualdani")</f>
        <v/>
      </c>
      <c r="D152" s="3">
        <f>HYPERLINK("https://scholar.google.com/citations?view_op=search_authors&amp;mauthors=Maria%20Pia%20Gualdani%20University%20of%20Texas%20at%20Austin", "Google Scholar Search")</f>
        <v/>
      </c>
      <c r="E152" s="2" t="inlineStr">
        <is>
          <t>Professor</t>
        </is>
      </c>
      <c r="F152" s="2" t="inlineStr">
        <is>
          <t>Department of Mathematics</t>
        </is>
      </c>
      <c r="G152" s="2" t="inlineStr"/>
      <c r="H152" s="3">
        <f>HYPERLINK("mailto:gualdani@math.utexas.edu", "gualdani@math.utexas.edu")</f>
        <v/>
      </c>
      <c r="I152" s="2" t="n">
        <v>4</v>
      </c>
      <c r="J152" s="2" t="inlineStr">
        <is>
          <t>🔴 Tier 4: Robotics / Controls / Autonomy</t>
        </is>
      </c>
      <c r="K152" s="2" t="n">
        <v>0</v>
      </c>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is>
          <t>Analysis</t>
        </is>
      </c>
      <c r="AI152" s="2" t="inlineStr"/>
      <c r="AJ152" s="2" t="inlineStr">
        <is>
          <t>Analysis</t>
        </is>
      </c>
      <c r="AK152" s="2" t="inlineStr"/>
      <c r="AL152" s="2" t="inlineStr"/>
      <c r="AM152" s="2" t="inlineStr"/>
      <c r="AN152" s="2" t="inlineStr"/>
      <c r="AO152" s="2" t="inlineStr"/>
      <c r="AP152" s="2" t="inlineStr"/>
      <c r="AQ152" s="2" t="inlineStr"/>
      <c r="AR152" s="2" t="inlineStr"/>
      <c r="AS152" s="2" t="inlineStr"/>
      <c r="AT152" s="2" t="inlineStr">
        <is>
          <t>PMA 11.166</t>
        </is>
      </c>
      <c r="AU152" s="2" t="b">
        <v>0</v>
      </c>
      <c r="AV152" s="3">
        <f>HYPERLINK("https://math.utexas.edu/directory/faculty", "https://math.utexas.edu/directory/faculty")</f>
        <v/>
      </c>
    </row>
    <row r="153">
      <c r="A153" s="2" t="inlineStr">
        <is>
          <t>Maryam Tilton</t>
        </is>
      </c>
      <c r="B153" s="2" t="inlineStr">
        <is>
          <t>The University of Texas at Austin</t>
        </is>
      </c>
      <c r="C153" s="3">
        <f>HYPERLINK("https://me.utexas.edu/person/maryam-tilton/", "https://me.utexas.edu/person/maryam-tilton/")</f>
        <v/>
      </c>
      <c r="D153" s="3">
        <f>HYPERLINK("https://scholar.google.com/citations?view_op=search_authors&amp;mauthors=Maryam%20Tilton%20University%20of%20Texas%20at%20Austin", "Google Scholar Search")</f>
        <v/>
      </c>
      <c r="E153" s="2" t="inlineStr">
        <is>
          <t>Assistant Professor</t>
        </is>
      </c>
      <c r="F153" s="2" t="inlineStr">
        <is>
          <t>Walker Department of Mechanical Engineering</t>
        </is>
      </c>
      <c r="G153" s="2" t="inlineStr"/>
      <c r="H153" s="3">
        <f>HYPERLINK("mailto:maryam.tilton@austin.utexas.edu", "maryam.tilton@austin.utexas.edu")</f>
        <v/>
      </c>
      <c r="I153" s="2" t="n">
        <v>4</v>
      </c>
      <c r="J153" s="2" t="inlineStr">
        <is>
          <t>🔴 Tier 4: Robotics / Controls / Autonomy</t>
        </is>
      </c>
      <c r="K153" s="2" t="n">
        <v>0</v>
      </c>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is>
          <t>Skeletal aging and osteocyte mechanobiology; Cellular senescence in bone; Engineered 3D skeletal microenvironments; Single-cell and matrix mechanophenotyping; Visible-light 3D bioprinting and orthopedic biomechanics</t>
        </is>
      </c>
      <c r="AI153" s="2" t="inlineStr"/>
      <c r="AJ153" s="2" t="inlineStr">
        <is>
          <t>Skeletal aging and osteocyte mechanobiology; Cellular senescence in bone; Engineered 3D skeletal microenvironments; Single-cell and matrix mechanophenotyping; Visible-light 3D bioprinting and orthopedic biomechanics</t>
        </is>
      </c>
      <c r="AK153" s="2" t="inlineStr"/>
      <c r="AL153" s="2" t="inlineStr"/>
      <c r="AM153" s="2" t="inlineStr"/>
      <c r="AN153" s="2" t="inlineStr"/>
      <c r="AO153" s="2" t="inlineStr"/>
      <c r="AP153" s="2" t="inlineStr"/>
      <c r="AQ153" s="2" t="inlineStr"/>
      <c r="AR153" s="2" t="inlineStr"/>
      <c r="AS153" s="2" t="inlineStr"/>
      <c r="AT153" s="2" t="inlineStr">
        <is>
          <t>ETC 4.138</t>
        </is>
      </c>
      <c r="AU153" s="2" t="b">
        <v>0</v>
      </c>
      <c r="AV153" s="3">
        <f>HYPERLINK("https://me.utexas.edu/people/faculty", "https://me.utexas.edu/people/faculty")</f>
        <v/>
      </c>
    </row>
    <row r="154">
      <c r="A154" s="2" t="inlineStr">
        <is>
          <t>Matias Delgadino</t>
        </is>
      </c>
      <c r="B154" s="2" t="inlineStr">
        <is>
          <t>The University of Texas at Austin</t>
        </is>
      </c>
      <c r="C154" s="3">
        <f>HYPERLINK("https://math.utexas.edu/directory/matias-delgadino", "https://math.utexas.edu/directory/matias-delgadino")</f>
        <v/>
      </c>
      <c r="D154" s="3">
        <f>HYPERLINK("https://scholar.google.com/citations?view_op=search_authors&amp;mauthors=Matias%20Delgadino%20University%20of%20Texas%20at%20Austin", "Google Scholar Search")</f>
        <v/>
      </c>
      <c r="E154" s="2" t="inlineStr">
        <is>
          <t>Assistant Professor</t>
        </is>
      </c>
      <c r="F154" s="2" t="inlineStr">
        <is>
          <t>Department of Mathematics</t>
        </is>
      </c>
      <c r="G154" s="2" t="inlineStr"/>
      <c r="H154" s="3">
        <f>HYPERLINK("mailto:matias.delgadino@math.utexas.edu", "matias.delgadino@math.utexas.edu")</f>
        <v/>
      </c>
      <c r="I154" s="2" t="n">
        <v>4</v>
      </c>
      <c r="J154" s="2" t="inlineStr">
        <is>
          <t>🔴 Tier 4: Robotics / Controls / Autonomy</t>
        </is>
      </c>
      <c r="K154" s="2" t="n">
        <v>0</v>
      </c>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is>
          <t>Analysis</t>
        </is>
      </c>
      <c r="AI154" s="2" t="inlineStr"/>
      <c r="AJ154" s="2" t="inlineStr">
        <is>
          <t>Analysis</t>
        </is>
      </c>
      <c r="AK154" s="2" t="inlineStr"/>
      <c r="AL154" s="2" t="inlineStr"/>
      <c r="AM154" s="2" t="inlineStr"/>
      <c r="AN154" s="2" t="inlineStr"/>
      <c r="AO154" s="2" t="inlineStr"/>
      <c r="AP154" s="2" t="inlineStr"/>
      <c r="AQ154" s="2" t="inlineStr"/>
      <c r="AR154" s="2" t="inlineStr"/>
      <c r="AS154" s="2" t="inlineStr"/>
      <c r="AT154" s="2" t="inlineStr">
        <is>
          <t>PMA 9.156</t>
        </is>
      </c>
      <c r="AU154" s="2" t="b">
        <v>0</v>
      </c>
      <c r="AV154" s="3">
        <f>HYPERLINK("https://math.utexas.edu/directory/faculty", "https://math.utexas.edu/directory/faculty")</f>
        <v/>
      </c>
    </row>
    <row r="155">
      <c r="A155" s="2" t="inlineStr">
        <is>
          <t>Maura Borrego</t>
        </is>
      </c>
      <c r="B155" s="2" t="inlineStr">
        <is>
          <t>The University of Texas at Austin</t>
        </is>
      </c>
      <c r="C155" s="3">
        <f>HYPERLINK("https://me.utexas.edu/person/maura-borrego/", "https://me.utexas.edu/person/maura-borrego/")</f>
        <v/>
      </c>
      <c r="D155" s="3">
        <f>HYPERLINK("https://scholar.google.com/citations?view_op=search_authors&amp;mauthors=Maura%20Borrego%20University%20of%20Texas%20at%20Austin", "Google Scholar Search")</f>
        <v/>
      </c>
      <c r="E155" s="2" t="inlineStr">
        <is>
          <t>Professor</t>
        </is>
      </c>
      <c r="F155" s="2" t="inlineStr">
        <is>
          <t>Walker Department of Mechanical Engineering</t>
        </is>
      </c>
      <c r="G155" s="2" t="inlineStr"/>
      <c r="H155" s="3">
        <f>HYPERLINK("mailto:maura.borrego@austin.utexas.edu", "maura.borrego@austin.utexas.edu")</f>
        <v/>
      </c>
      <c r="I155" s="2" t="n">
        <v>4</v>
      </c>
      <c r="J155" s="2" t="inlineStr">
        <is>
          <t>🔴 Tier 4: Robotics / Controls / Autonomy</t>
        </is>
      </c>
      <c r="K155" s="2" t="n">
        <v>0</v>
      </c>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is>
          <t>Engineering education research; Engineering undergraduate student resistance to active learning; Graduate engineering research groups; Interdisciplinary education and teamwork</t>
        </is>
      </c>
      <c r="AI155" s="2" t="inlineStr"/>
      <c r="AJ155" s="2" t="inlineStr">
        <is>
          <t>Engineering education research; Engineering undergraduate student resistance to active learning; Graduate engineering research groups; Interdisciplinary education and teamwork</t>
        </is>
      </c>
      <c r="AK155" s="2" t="inlineStr"/>
      <c r="AL155" s="2" t="inlineStr"/>
      <c r="AM155" s="2" t="inlineStr"/>
      <c r="AN155" s="2" t="inlineStr"/>
      <c r="AO155" s="2" t="inlineStr"/>
      <c r="AP155" s="2" t="inlineStr"/>
      <c r="AQ155" s="2" t="inlineStr"/>
      <c r="AR155" s="2" t="inlineStr"/>
      <c r="AS155" s="2" t="inlineStr"/>
      <c r="AT155" s="2" t="inlineStr">
        <is>
          <t>EER 3.608</t>
        </is>
      </c>
      <c r="AU155" s="2" t="b">
        <v>0</v>
      </c>
      <c r="AV155" s="3">
        <f>HYPERLINK("https://me.utexas.edu/people/faculty", "https://me.utexas.edu/people/faculty")</f>
        <v/>
      </c>
    </row>
    <row r="156">
      <c r="A156" s="2" t="inlineStr">
        <is>
          <t>Michael Sacks</t>
        </is>
      </c>
      <c r="B156" s="2" t="inlineStr">
        <is>
          <t>The University of Texas at Austin</t>
        </is>
      </c>
      <c r="C156" s="3">
        <f>HYPERLINK("https://bme.utexas.edu/person/michael-s-sacks/", "https://bme.utexas.edu/person/michael-s-sacks/")</f>
        <v/>
      </c>
      <c r="D156" s="3">
        <f>HYPERLINK("https://scholar.google.com/citations?view_op=search_authors&amp;mauthors=Michael%20Sacks%20University%20of%20Texas%20at%20Austin", "Google Scholar Search")</f>
        <v/>
      </c>
      <c r="E156" s="2" t="inlineStr">
        <is>
          <t>Professor</t>
        </is>
      </c>
      <c r="F156" s="2" t="inlineStr">
        <is>
          <t>Walker Department of Mechanical Engineering</t>
        </is>
      </c>
      <c r="G156" s="2" t="inlineStr"/>
      <c r="H156" s="3">
        <f>HYPERLINK("mailto:msacks@oden.utexas.edu", "msacks@oden.utexas.edu")</f>
        <v/>
      </c>
      <c r="I156" s="2" t="n">
        <v>4</v>
      </c>
      <c r="J156" s="2" t="inlineStr">
        <is>
          <t>🔴 Tier 4: Robotics / Controls / Autonomy</t>
        </is>
      </c>
      <c r="K156" s="2" t="n">
        <v>0</v>
      </c>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is>
          <t>Cardiovascular biomechanics; Computational simulation of the behavior of the cardiovascular system; Advanced constitutive models; Biomechanical interactions of cells, tissues and organs in native and engineered heart valves and myocardium</t>
        </is>
      </c>
      <c r="AI156" s="2" t="inlineStr"/>
      <c r="AJ156" s="2" t="inlineStr">
        <is>
          <t>Cardiovascular biomechanics; Computational simulation of the behavior of the cardiovascular system; Advanced constitutive models; Biomechanical interactions of cells, tissues and organs in native and engineered heart valves and myocardium</t>
        </is>
      </c>
      <c r="AK156" s="2" t="inlineStr"/>
      <c r="AL156" s="2" t="inlineStr"/>
      <c r="AM156" s="2" t="inlineStr"/>
      <c r="AN156" s="2" t="inlineStr"/>
      <c r="AO156" s="2" t="inlineStr"/>
      <c r="AP156" s="2" t="inlineStr"/>
      <c r="AQ156" s="2" t="inlineStr"/>
      <c r="AR156" s="2" t="inlineStr"/>
      <c r="AS156" s="2" t="inlineStr"/>
      <c r="AT156" s="2" t="inlineStr">
        <is>
          <t>ACE 5.428, BME 5.202J</t>
        </is>
      </c>
      <c r="AU156" s="2" t="b">
        <v>0</v>
      </c>
      <c r="AV156" s="3">
        <f>HYPERLINK("https://me.utexas.edu/people/faculty", "https://me.utexas.edu/people/faculty")</f>
        <v/>
      </c>
    </row>
    <row r="157">
      <c r="A157" s="2" t="inlineStr">
        <is>
          <t>Michael Starbird</t>
        </is>
      </c>
      <c r="B157" s="2" t="inlineStr">
        <is>
          <t>The University of Texas at Austin</t>
        </is>
      </c>
      <c r="C157" s="3">
        <f>HYPERLINK("https://math.utexas.edu/directory/michael-starbird", "https://math.utexas.edu/directory/michael-starbird")</f>
        <v/>
      </c>
      <c r="D157" s="3">
        <f>HYPERLINK("https://scholar.google.com/citations?view_op=search_authors&amp;mauthors=Michael%20Starbird%20University%20of%20Texas%20at%20Austin", "Google Scholar Search")</f>
        <v/>
      </c>
      <c r="E157" s="2" t="inlineStr">
        <is>
          <t>Professor</t>
        </is>
      </c>
      <c r="F157" s="2" t="inlineStr">
        <is>
          <t>Department of Mathematics</t>
        </is>
      </c>
      <c r="G157" s="2" t="inlineStr"/>
      <c r="H157" s="3">
        <f>HYPERLINK("mailto:starbird@mail.utexas.edu", "starbird@mail.utexas.edu")</f>
        <v/>
      </c>
      <c r="I157" s="2" t="n">
        <v>4</v>
      </c>
      <c r="J157" s="2" t="inlineStr">
        <is>
          <t>🔴 Tier 4: Robotics / Controls / Autonomy</t>
        </is>
      </c>
      <c r="K157" s="2" t="n">
        <v>0</v>
      </c>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is>
          <t>Math Education and Policy, Topology</t>
        </is>
      </c>
      <c r="AI157" s="2" t="inlineStr"/>
      <c r="AJ157" s="2" t="inlineStr">
        <is>
          <t>Math Education and Policy, Topology</t>
        </is>
      </c>
      <c r="AK157" s="2" t="inlineStr"/>
      <c r="AL157" s="2" t="inlineStr"/>
      <c r="AM157" s="2" t="inlineStr"/>
      <c r="AN157" s="2" t="inlineStr"/>
      <c r="AO157" s="2" t="inlineStr"/>
      <c r="AP157" s="2" t="inlineStr"/>
      <c r="AQ157" s="2" t="inlineStr"/>
      <c r="AR157" s="2" t="inlineStr"/>
      <c r="AS157" s="2" t="inlineStr"/>
      <c r="AT157" s="2" t="inlineStr">
        <is>
          <t>PMA 11.122</t>
        </is>
      </c>
      <c r="AU157" s="2" t="b">
        <v>0</v>
      </c>
      <c r="AV157" s="3">
        <f>HYPERLINK("https://math.utexas.edu/directory/faculty", "https://math.utexas.edu/directory/faculty")</f>
        <v/>
      </c>
    </row>
    <row r="158">
      <c r="A158" s="2" t="inlineStr">
        <is>
          <t>Mihai Sirbu</t>
        </is>
      </c>
      <c r="B158" s="2" t="inlineStr">
        <is>
          <t>The University of Texas at Austin</t>
        </is>
      </c>
      <c r="C158" s="3">
        <f>HYPERLINK("https://math.utexas.edu/directory/mihai-sirbu", "https://math.utexas.edu/directory/mihai-sirbu")</f>
        <v/>
      </c>
      <c r="D158" s="3">
        <f>HYPERLINK("https://scholar.google.com/citations?view_op=search_authors&amp;mauthors=Mihai%20Sirbu%20University%20of%20Texas%20at%20Austin", "Google Scholar Search")</f>
        <v/>
      </c>
      <c r="E158" s="2" t="inlineStr">
        <is>
          <t>Professor</t>
        </is>
      </c>
      <c r="F158" s="2" t="inlineStr">
        <is>
          <t>Department of Mathematics</t>
        </is>
      </c>
      <c r="G158" s="2" t="inlineStr"/>
      <c r="H158" s="3">
        <f>HYPERLINK("mailto:sirbu@math.utexas.edu", "sirbu@math.utexas.edu")</f>
        <v/>
      </c>
      <c r="I158" s="2" t="n">
        <v>4</v>
      </c>
      <c r="J158" s="2" t="inlineStr">
        <is>
          <t>🔴 Tier 4: Robotics / Controls / Autonomy</t>
        </is>
      </c>
      <c r="K158" s="2" t="n">
        <v>0</v>
      </c>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is>
          <t>Probability and Statistics</t>
        </is>
      </c>
      <c r="AI158" s="2" t="inlineStr"/>
      <c r="AJ158" s="2" t="inlineStr">
        <is>
          <t>Probability and Statistics</t>
        </is>
      </c>
      <c r="AK158" s="2" t="inlineStr"/>
      <c r="AL158" s="2" t="inlineStr"/>
      <c r="AM158" s="2" t="inlineStr"/>
      <c r="AN158" s="2" t="inlineStr"/>
      <c r="AO158" s="2" t="inlineStr"/>
      <c r="AP158" s="2" t="inlineStr"/>
      <c r="AQ158" s="2" t="inlineStr"/>
      <c r="AR158" s="2" t="inlineStr"/>
      <c r="AS158" s="2" t="inlineStr"/>
      <c r="AT158" s="2" t="inlineStr">
        <is>
          <t>PMA 11.140</t>
        </is>
      </c>
      <c r="AU158" s="2" t="b">
        <v>0</v>
      </c>
      <c r="AV158" s="3">
        <f>HYPERLINK("https://math.utexas.edu/directory/faculty", "https://math.utexas.edu/directory/faculty")</f>
        <v/>
      </c>
    </row>
    <row r="159">
      <c r="A159" s="2" t="inlineStr">
        <is>
          <t>Mikhail Vishik</t>
        </is>
      </c>
      <c r="B159" s="2" t="inlineStr">
        <is>
          <t>The University of Texas at Austin</t>
        </is>
      </c>
      <c r="C159" s="3">
        <f>HYPERLINK("https://math.utexas.edu/directory/mikhail-vishik", "https://math.utexas.edu/directory/mikhail-vishik")</f>
        <v/>
      </c>
      <c r="D159" s="3">
        <f>HYPERLINK("https://scholar.google.com/citations?view_op=search_authors&amp;mauthors=Mikhail%20Vishik%20University%20of%20Texas%20at%20Austin", "Google Scholar Search")</f>
        <v/>
      </c>
      <c r="E159" s="2" t="inlineStr">
        <is>
          <t>Professor</t>
        </is>
      </c>
      <c r="F159" s="2" t="inlineStr">
        <is>
          <t>Department of Mathematics</t>
        </is>
      </c>
      <c r="G159" s="2" t="inlineStr"/>
      <c r="H159" s="3">
        <f>HYPERLINK("mailto:vishik@math.utexas.edu", "vishik@math.utexas.edu")</f>
        <v/>
      </c>
      <c r="I159" s="2" t="n">
        <v>4</v>
      </c>
      <c r="J159" s="2" t="inlineStr">
        <is>
          <t>🔴 Tier 4: Robotics / Controls / Autonomy</t>
        </is>
      </c>
      <c r="K159" s="2" t="n">
        <v>0</v>
      </c>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is>
          <t>Analysis</t>
        </is>
      </c>
      <c r="AI159" s="2" t="inlineStr"/>
      <c r="AJ159" s="2" t="inlineStr">
        <is>
          <t>Analysis</t>
        </is>
      </c>
      <c r="AK159" s="2" t="inlineStr"/>
      <c r="AL159" s="2" t="inlineStr"/>
      <c r="AM159" s="2" t="inlineStr"/>
      <c r="AN159" s="2" t="inlineStr"/>
      <c r="AO159" s="2" t="inlineStr"/>
      <c r="AP159" s="2" t="inlineStr"/>
      <c r="AQ159" s="2" t="inlineStr"/>
      <c r="AR159" s="2" t="inlineStr"/>
      <c r="AS159" s="2" t="inlineStr"/>
      <c r="AT159" s="2" t="inlineStr">
        <is>
          <t>PMA 11.128</t>
        </is>
      </c>
      <c r="AU159" s="2" t="b">
        <v>0</v>
      </c>
      <c r="AV159" s="3">
        <f>HYPERLINK("https://math.utexas.edu/directory/faculty", "https://math.utexas.edu/directory/faculty")</f>
        <v/>
      </c>
    </row>
    <row r="160">
      <c r="A160" s="2" t="inlineStr">
        <is>
          <t>Mirela Ciperiani</t>
        </is>
      </c>
      <c r="B160" s="2" t="inlineStr">
        <is>
          <t>The University of Texas at Austin</t>
        </is>
      </c>
      <c r="C160" s="3">
        <f>HYPERLINK("https://math.utexas.edu/directory/mirela-ciperiani", "https://math.utexas.edu/directory/mirela-ciperiani")</f>
        <v/>
      </c>
      <c r="D160" s="3">
        <f>HYPERLINK("https://scholar.google.com/citations?view_op=search_authors&amp;mauthors=Mirela%20Ciperiani%20University%20of%20Texas%20at%20Austin", "Google Scholar Search")</f>
        <v/>
      </c>
      <c r="E160" s="2" t="inlineStr">
        <is>
          <t>Associate Professor</t>
        </is>
      </c>
      <c r="F160" s="2" t="inlineStr">
        <is>
          <t>Department of Mathematics</t>
        </is>
      </c>
      <c r="G160" s="2" t="inlineStr"/>
      <c r="H160" s="3">
        <f>HYPERLINK("mailto:mirela@math.utexas.edu", "mirela@math.utexas.edu")</f>
        <v/>
      </c>
      <c r="I160" s="2" t="n">
        <v>4</v>
      </c>
      <c r="J160" s="2" t="inlineStr">
        <is>
          <t>🔴 Tier 4: Robotics / Controls / Autonomy</t>
        </is>
      </c>
      <c r="K160" s="2" t="n">
        <v>0</v>
      </c>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is>
          <t>Number Theory, Algebra</t>
        </is>
      </c>
      <c r="AI160" s="2" t="inlineStr"/>
      <c r="AJ160" s="2" t="inlineStr">
        <is>
          <t>Number Theory, Algebra</t>
        </is>
      </c>
      <c r="AK160" s="2" t="inlineStr"/>
      <c r="AL160" s="2" t="inlineStr"/>
      <c r="AM160" s="2" t="inlineStr"/>
      <c r="AN160" s="2" t="inlineStr"/>
      <c r="AO160" s="2" t="inlineStr"/>
      <c r="AP160" s="2" t="inlineStr"/>
      <c r="AQ160" s="2" t="inlineStr"/>
      <c r="AR160" s="2" t="inlineStr"/>
      <c r="AS160" s="2" t="inlineStr"/>
      <c r="AT160" s="2" t="inlineStr">
        <is>
          <t>PMA 12.164</t>
        </is>
      </c>
      <c r="AU160" s="2" t="b">
        <v>0</v>
      </c>
      <c r="AV160" s="3">
        <f>HYPERLINK("https://math.utexas.edu/directory/faculty", "https://math.utexas.edu/directory/faculty")</f>
        <v/>
      </c>
    </row>
    <row r="161">
      <c r="A161" s="2" t="inlineStr">
        <is>
          <t>Natasa Pavlovic</t>
        </is>
      </c>
      <c r="B161" s="2" t="inlineStr">
        <is>
          <t>The University of Texas at Austin</t>
        </is>
      </c>
      <c r="C161" s="3">
        <f>HYPERLINK("https://math.utexas.edu/directory/natasa-pavlovic", "https://math.utexas.edu/directory/natasa-pavlovic")</f>
        <v/>
      </c>
      <c r="D161" s="3">
        <f>HYPERLINK("https://scholar.google.com/citations?view_op=search_authors&amp;mauthors=Natasa%20Pavlovic%20University%20of%20Texas%20at%20Austin", "Google Scholar Search")</f>
        <v/>
      </c>
      <c r="E161" s="2" t="inlineStr">
        <is>
          <t>Professor</t>
        </is>
      </c>
      <c r="F161" s="2" t="inlineStr">
        <is>
          <t>Department of Mathematics</t>
        </is>
      </c>
      <c r="G161" s="2" t="inlineStr"/>
      <c r="H161" s="3">
        <f>HYPERLINK("mailto:natasa@math.utexas.edu", "natasa@math.utexas.edu")</f>
        <v/>
      </c>
      <c r="I161" s="2" t="n">
        <v>4</v>
      </c>
      <c r="J161" s="2" t="inlineStr">
        <is>
          <t>🔴 Tier 4: Robotics / Controls / Autonomy</t>
        </is>
      </c>
      <c r="K161" s="2" t="n">
        <v>0</v>
      </c>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is>
          <t>Analysis</t>
        </is>
      </c>
      <c r="AI161" s="2" t="inlineStr"/>
      <c r="AJ161" s="2" t="inlineStr">
        <is>
          <t>Analysis</t>
        </is>
      </c>
      <c r="AK161" s="2" t="inlineStr"/>
      <c r="AL161" s="2" t="inlineStr"/>
      <c r="AM161" s="2" t="inlineStr"/>
      <c r="AN161" s="2" t="inlineStr"/>
      <c r="AO161" s="2" t="inlineStr"/>
      <c r="AP161" s="2" t="inlineStr"/>
      <c r="AQ161" s="2" t="inlineStr"/>
      <c r="AR161" s="2" t="inlineStr"/>
      <c r="AS161" s="2" t="inlineStr"/>
      <c r="AT161" s="2" t="inlineStr">
        <is>
          <t>PMA 12.162</t>
        </is>
      </c>
      <c r="AU161" s="2" t="b">
        <v>0</v>
      </c>
      <c r="AV161" s="3">
        <f>HYPERLINK("https://math.utexas.edu/directory/faculty", "https://math.utexas.edu/directory/faculty")</f>
        <v/>
      </c>
    </row>
    <row r="162">
      <c r="A162" s="2" t="inlineStr">
        <is>
          <t>Neal Hall</t>
        </is>
      </c>
      <c r="B162" s="2" t="inlineStr">
        <is>
          <t>The University of Texas at Austin</t>
        </is>
      </c>
      <c r="C162" s="3">
        <f>HYPERLINK("https://ece.utexas.edu/people/faculty/neal-hall", "https://ece.utexas.edu/people/faculty/neal-hall")</f>
        <v/>
      </c>
      <c r="D162" s="3">
        <f>HYPERLINK("https://scholar.google.com/citations?view_op=search_authors&amp;mauthors=Neal%20Hall%20University%20of%20Texas%20at%20Austin", "Google Scholar Search")</f>
        <v/>
      </c>
      <c r="E162" s="2" t="inlineStr">
        <is>
          <t>Associate Professor</t>
        </is>
      </c>
      <c r="F162" s="2" t="inlineStr">
        <is>
          <t>Walker Department of Mechanical Engineering</t>
        </is>
      </c>
      <c r="G162" s="2" t="inlineStr"/>
      <c r="H162" s="3">
        <f>HYPERLINK("mailto:nahall@mail.utexas.edu", "nahall@mail.utexas.edu")</f>
        <v/>
      </c>
      <c r="I162" s="2" t="n">
        <v>4</v>
      </c>
      <c r="J162" s="2" t="inlineStr">
        <is>
          <t>🔴 Tier 4: Robotics / Controls / Autonomy</t>
        </is>
      </c>
      <c r="K162" s="2" t="n">
        <v>0</v>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is>
          <t>Silicon micromachining / MEMS; Acoustics and dynamics; Optics and photonics; Advanced transducer development; Technology transfer</t>
        </is>
      </c>
      <c r="AI162" s="2" t="inlineStr"/>
      <c r="AJ162" s="2" t="inlineStr">
        <is>
          <t>Silicon micromachining / MEMS; Acoustics and dynamics; Optics and photonics; Advanced transducer development; Technology transfer</t>
        </is>
      </c>
      <c r="AK162" s="2" t="inlineStr"/>
      <c r="AL162" s="2" t="inlineStr"/>
      <c r="AM162" s="2" t="inlineStr"/>
      <c r="AN162" s="2" t="inlineStr"/>
      <c r="AO162" s="2" t="inlineStr"/>
      <c r="AP162" s="2" t="inlineStr"/>
      <c r="AQ162" s="2" t="inlineStr"/>
      <c r="AR162" s="2" t="inlineStr"/>
      <c r="AS162" s="2" t="inlineStr"/>
      <c r="AT162" s="2" t="inlineStr">
        <is>
          <t>EER 4.802</t>
        </is>
      </c>
      <c r="AU162" s="2" t="b">
        <v>0</v>
      </c>
      <c r="AV162" s="3">
        <f>HYPERLINK("https://me.utexas.edu/people/faculty", "https://me.utexas.edu/people/faculty")</f>
        <v/>
      </c>
    </row>
    <row r="163">
      <c r="A163" s="2" t="inlineStr">
        <is>
          <t>Oscar Gonzalez</t>
        </is>
      </c>
      <c r="B163" s="2" t="inlineStr">
        <is>
          <t>The University of Texas at Austin</t>
        </is>
      </c>
      <c r="C163" s="3">
        <f>HYPERLINK("https://math.utexas.edu/directory/oscar-gonzalez", "https://math.utexas.edu/directory/oscar-gonzalez")</f>
        <v/>
      </c>
      <c r="D163" s="3">
        <f>HYPERLINK("https://scholar.google.com/citations?view_op=search_authors&amp;mauthors=Oscar%20Gonzalez%20University%20of%20Texas%20at%20Austin", "Google Scholar Search")</f>
        <v/>
      </c>
      <c r="E163" s="2" t="inlineStr">
        <is>
          <t>Professor</t>
        </is>
      </c>
      <c r="F163" s="2" t="inlineStr">
        <is>
          <t>Department of Mathematics</t>
        </is>
      </c>
      <c r="G163" s="2" t="inlineStr"/>
      <c r="H163" s="3">
        <f>HYPERLINK("mailto:og@math.utexas.edu", "og@math.utexas.edu")</f>
        <v/>
      </c>
      <c r="I163" s="2" t="n">
        <v>4</v>
      </c>
      <c r="J163" s="2" t="inlineStr">
        <is>
          <t>🔴 Tier 4: Robotics / Controls / Autonomy</t>
        </is>
      </c>
      <c r="K163" s="2" t="n">
        <v>0</v>
      </c>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is>
          <t>Applied and Computational Mathematics</t>
        </is>
      </c>
      <c r="AI163" s="2" t="inlineStr"/>
      <c r="AJ163" s="2" t="inlineStr">
        <is>
          <t>Applied and Computational Mathematics</t>
        </is>
      </c>
      <c r="AK163" s="2" t="inlineStr"/>
      <c r="AL163" s="2" t="inlineStr"/>
      <c r="AM163" s="2" t="inlineStr"/>
      <c r="AN163" s="2" t="inlineStr"/>
      <c r="AO163" s="2" t="inlineStr"/>
      <c r="AP163" s="2" t="inlineStr"/>
      <c r="AQ163" s="2" t="inlineStr"/>
      <c r="AR163" s="2" t="inlineStr"/>
      <c r="AS163" s="2" t="inlineStr"/>
      <c r="AT163" s="2" t="inlineStr">
        <is>
          <t>PMA 10.122</t>
        </is>
      </c>
      <c r="AU163" s="2" t="b">
        <v>0</v>
      </c>
      <c r="AV163" s="3">
        <f>HYPERLINK("https://math.utexas.edu/directory/faculty", "https://math.utexas.edu/directory/faculty")</f>
        <v/>
      </c>
    </row>
    <row r="164">
      <c r="A164" s="2" t="inlineStr">
        <is>
          <t>Peter Mueller</t>
        </is>
      </c>
      <c r="B164" s="2" t="inlineStr">
        <is>
          <t>The University of Texas at Austin</t>
        </is>
      </c>
      <c r="C164" s="3">
        <f>HYPERLINK("https://math.utexas.edu/directory/peter-mueller", "https://math.utexas.edu/directory/peter-mueller")</f>
        <v/>
      </c>
      <c r="D164" s="3">
        <f>HYPERLINK("https://scholar.google.com/citations?view_op=search_authors&amp;mauthors=Peter%20Mueller%20University%20of%20Texas%20at%20Austin", "Google Scholar Search")</f>
        <v/>
      </c>
      <c r="E164" s="2" t="inlineStr">
        <is>
          <t>Professor</t>
        </is>
      </c>
      <c r="F164" s="2" t="inlineStr">
        <is>
          <t>Department of Mathematics</t>
        </is>
      </c>
      <c r="G164" s="2" t="inlineStr"/>
      <c r="H164" s="3">
        <f>HYPERLINK("mailto:pmueller@math.utexas.edu", "pmueller@math.utexas.edu")</f>
        <v/>
      </c>
      <c r="I164" s="2" t="n">
        <v>4</v>
      </c>
      <c r="J164" s="2" t="inlineStr">
        <is>
          <t>🔴 Tier 4: Robotics / Controls / Autonomy</t>
        </is>
      </c>
      <c r="K164" s="2" t="n">
        <v>0</v>
      </c>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is>
          <t>Probability and Statistics</t>
        </is>
      </c>
      <c r="AI164" s="2" t="inlineStr"/>
      <c r="AJ164" s="2" t="inlineStr">
        <is>
          <t>Probability and Statistics</t>
        </is>
      </c>
      <c r="AK164" s="2" t="inlineStr"/>
      <c r="AL164" s="2" t="inlineStr"/>
      <c r="AM164" s="2" t="inlineStr"/>
      <c r="AN164" s="2" t="inlineStr"/>
      <c r="AO164" s="2" t="inlineStr"/>
      <c r="AP164" s="2" t="inlineStr"/>
      <c r="AQ164" s="2" t="inlineStr"/>
      <c r="AR164" s="2" t="inlineStr"/>
      <c r="AS164" s="2" t="inlineStr"/>
      <c r="AT164" s="2" t="inlineStr">
        <is>
          <t>PMA 11.174</t>
        </is>
      </c>
      <c r="AU164" s="2" t="b">
        <v>0</v>
      </c>
      <c r="AV164" s="3">
        <f>HYPERLINK("https://math.utexas.edu/directory/faculty", "https://math.utexas.edu/directory/faculty")</f>
        <v/>
      </c>
    </row>
    <row r="165">
      <c r="A165" s="2" t="inlineStr">
        <is>
          <t>Preston Wilson</t>
        </is>
      </c>
      <c r="B165" s="2" t="inlineStr">
        <is>
          <t>The University of Texas at Austin</t>
        </is>
      </c>
      <c r="C165" s="3">
        <f>HYPERLINK("https://me.utexas.edu/person/preston-wilson/", "https://me.utexas.edu/person/preston-wilson/")</f>
        <v/>
      </c>
      <c r="D165" s="3">
        <f>HYPERLINK("https://scholar.google.com/citations?view_op=search_authors&amp;mauthors=Preston%20Wilson%20University%20of%20Texas%20at%20Austin", "Google Scholar Search")</f>
        <v/>
      </c>
      <c r="E165" s="2" t="inlineStr">
        <is>
          <t>Professor</t>
        </is>
      </c>
      <c r="F165" s="2" t="inlineStr">
        <is>
          <t>Walker Department of Mechanical Engineering</t>
        </is>
      </c>
      <c r="G165" s="2" t="inlineStr"/>
      <c r="H165" s="3">
        <f>HYPERLINK("mailto:pswilson@mail.utexas.edu", "pswilson@mail.utexas.edu")</f>
        <v/>
      </c>
      <c r="I165" s="2" t="n">
        <v>4</v>
      </c>
      <c r="J165" s="2" t="inlineStr">
        <is>
          <t>🔴 Tier 4: Robotics / Controls / Autonomy</t>
        </is>
      </c>
      <c r="K165" s="2" t="n">
        <v>0</v>
      </c>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is>
          <t>Ocean acoustics; Acoustical oceanography; Physical acoustics and engineering acoustics, with concentrations on sound propagation and scattering in the ocean and in multiphase media</t>
        </is>
      </c>
      <c r="AI165" s="2" t="inlineStr"/>
      <c r="AJ165" s="2" t="inlineStr">
        <is>
          <t>Ocean acoustics; Acoustical oceanography; Physical acoustics and engineering acoustics, with concentrations on sound propagation and scattering in the ocean and in multiphase media</t>
        </is>
      </c>
      <c r="AK165" s="2" t="inlineStr"/>
      <c r="AL165" s="2" t="inlineStr"/>
      <c r="AM165" s="2" t="inlineStr"/>
      <c r="AN165" s="2" t="inlineStr"/>
      <c r="AO165" s="2" t="inlineStr"/>
      <c r="AP165" s="2" t="inlineStr"/>
      <c r="AQ165" s="2" t="inlineStr"/>
      <c r="AR165" s="2" t="inlineStr"/>
      <c r="AS165" s="2" t="inlineStr"/>
      <c r="AT165" s="2" t="inlineStr">
        <is>
          <t>ETC 4.152B</t>
        </is>
      </c>
      <c r="AU165" s="2" t="b">
        <v>0</v>
      </c>
      <c r="AV165" s="3">
        <f>HYPERLINK("https://me.utexas.edu/people/faculty", "https://me.utexas.edu/people/faculty")</f>
        <v/>
      </c>
    </row>
    <row r="166">
      <c r="A166" s="2" t="inlineStr">
        <is>
          <t>Raghavendra Bollapragada</t>
        </is>
      </c>
      <c r="B166" s="2" t="inlineStr">
        <is>
          <t>The University of Texas at Austin</t>
        </is>
      </c>
      <c r="C166" s="3">
        <f>HYPERLINK("https://me.utexas.edu/person/raghavendra-bollapragada/", "https://me.utexas.edu/person/raghavendra-bollapragada/")</f>
        <v/>
      </c>
      <c r="D166" s="3">
        <f>HYPERLINK("https://scholar.google.com/citations?view_op=search_authors&amp;mauthors=Raghavendra%20Bollapragada%20University%20of%20Texas%20at%20Austin", "Google Scholar Search")</f>
        <v/>
      </c>
      <c r="E166" s="2" t="inlineStr">
        <is>
          <t>Assistant Professor</t>
        </is>
      </c>
      <c r="F166" s="2" t="inlineStr">
        <is>
          <t>Walker Department of Mechanical Engineering</t>
        </is>
      </c>
      <c r="G166" s="2" t="inlineStr"/>
      <c r="H166" s="3">
        <f>HYPERLINK("mailto:raghu.bollapragada@utexas.edu", "raghu.bollapragada@utexas.edu")</f>
        <v/>
      </c>
      <c r="I166" s="2" t="n">
        <v>4</v>
      </c>
      <c r="J166" s="2" t="inlineStr">
        <is>
          <t>🔴 Tier 4: Robotics / Controls / Autonomy</t>
        </is>
      </c>
      <c r="K166" s="2" t="n">
        <v>0</v>
      </c>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is>
          <t xml:space="preserve">Design and analysis of scalable, robust, and efficient nonlinear optimization algorithms for problems arising in machine learning applications. </t>
        </is>
      </c>
      <c r="AI166" s="2" t="inlineStr"/>
      <c r="AJ166" s="2" t="inlineStr">
        <is>
          <t xml:space="preserve">Design and analysis of scalable, robust, and efficient nonlinear optimization algorithms for problems arising in machine learning applications. </t>
        </is>
      </c>
      <c r="AK166" s="2" t="inlineStr"/>
      <c r="AL166" s="2" t="inlineStr"/>
      <c r="AM166" s="2" t="inlineStr"/>
      <c r="AN166" s="2" t="inlineStr"/>
      <c r="AO166" s="2" t="inlineStr"/>
      <c r="AP166" s="2" t="inlineStr"/>
      <c r="AQ166" s="2" t="inlineStr"/>
      <c r="AR166" s="2" t="inlineStr"/>
      <c r="AS166" s="2" t="inlineStr"/>
      <c r="AT166" s="2" t="inlineStr">
        <is>
          <t>ETC 5.118</t>
        </is>
      </c>
      <c r="AU166" s="2" t="b">
        <v>0</v>
      </c>
      <c r="AV166" s="3">
        <f>HYPERLINK("https://me.utexas.edu/people/faculty", "https://me.utexas.edu/people/faculty")</f>
        <v/>
      </c>
    </row>
    <row r="167">
      <c r="A167" s="2" t="inlineStr">
        <is>
          <t>Richard Neptune</t>
        </is>
      </c>
      <c r="B167" s="2" t="inlineStr">
        <is>
          <t>The University of Texas at Austin</t>
        </is>
      </c>
      <c r="C167" s="3">
        <f>HYPERLINK("https://me.utexas.edu/person/richard-neptune/", "https://me.utexas.edu/person/richard-neptune/")</f>
        <v/>
      </c>
      <c r="D167" s="3">
        <f>HYPERLINK("https://scholar.google.com/citations?view_op=search_authors&amp;mauthors=Richard%20Neptune%20University%20of%20Texas%20at%20Austin", "Google Scholar Search")</f>
        <v/>
      </c>
      <c r="E167" s="2" t="inlineStr">
        <is>
          <t>Professor</t>
        </is>
      </c>
      <c r="F167" s="2" t="inlineStr">
        <is>
          <t>Walker Department of Mechanical Engineering</t>
        </is>
      </c>
      <c r="G167" s="2" t="inlineStr"/>
      <c r="H167" s="3">
        <f>HYPERLINK("mailto:rneptune@mail.utexas.edu", "rneptune@mail.utexas.edu")</f>
        <v/>
      </c>
      <c r="I167" s="2" t="n">
        <v>4</v>
      </c>
      <c r="J167" s="2" t="inlineStr">
        <is>
          <t>🔴 Tier 4: Robotics / Controls / Autonomy</t>
        </is>
      </c>
      <c r="K167" s="2" t="n">
        <v>0</v>
      </c>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is>
          <t>Biomechanics and neuromotor control of human movement; Sport biomechanics; Rehabilitation engineering; Musculoskeletal modeling, computer simulation and experimental analyses; Optimization of orthotic, exoskeleton and prosthetic designs</t>
        </is>
      </c>
      <c r="AI167" s="2" t="inlineStr"/>
      <c r="AJ167" s="2" t="inlineStr">
        <is>
          <t>Biomechanics and neuromotor control of human movement; Sport biomechanics; Rehabilitation engineering; Musculoskeletal modeling, computer simulation and experimental analyses; Optimization of orthotic, exoskeleton and prosthetic designs</t>
        </is>
      </c>
      <c r="AK167" s="2" t="inlineStr"/>
      <c r="AL167" s="2" t="inlineStr"/>
      <c r="AM167" s="2" t="inlineStr"/>
      <c r="AN167" s="2" t="inlineStr"/>
      <c r="AO167" s="2" t="inlineStr"/>
      <c r="AP167" s="2" t="inlineStr"/>
      <c r="AQ167" s="2" t="inlineStr"/>
      <c r="AR167" s="2" t="inlineStr"/>
      <c r="AS167" s="2" t="inlineStr"/>
      <c r="AT167" s="2" t="inlineStr">
        <is>
          <t>ETC 4.132</t>
        </is>
      </c>
      <c r="AU167" s="2" t="b">
        <v>0</v>
      </c>
      <c r="AV167" s="3">
        <f>HYPERLINK("https://me.utexas.edu/people/faculty", "https://me.utexas.edu/people/faculty")</f>
        <v/>
      </c>
    </row>
    <row r="168">
      <c r="A168" s="2" t="inlineStr">
        <is>
          <t>Ronny Hadani</t>
        </is>
      </c>
      <c r="B168" s="2" t="inlineStr">
        <is>
          <t>The University of Texas at Austin</t>
        </is>
      </c>
      <c r="C168" s="3">
        <f>HYPERLINK("https://math.utexas.edu/directory/ronny-hadani", "https://math.utexas.edu/directory/ronny-hadani")</f>
        <v/>
      </c>
      <c r="D168" s="3">
        <f>HYPERLINK("https://scholar.google.com/citations?view_op=search_authors&amp;mauthors=Ronny%20Hadani%20University%20of%20Texas%20at%20Austin", "Google Scholar Search")</f>
        <v/>
      </c>
      <c r="E168" s="2" t="inlineStr">
        <is>
          <t>Associate Professor</t>
        </is>
      </c>
      <c r="F168" s="2" t="inlineStr">
        <is>
          <t>Department of Mathematics</t>
        </is>
      </c>
      <c r="G168" s="2" t="inlineStr"/>
      <c r="H168" s="3">
        <f>HYPERLINK("mailto:hadani@math.utexas.edu", "hadani@math.utexas.edu")</f>
        <v/>
      </c>
      <c r="I168" s="2" t="n">
        <v>4</v>
      </c>
      <c r="J168" s="2" t="inlineStr">
        <is>
          <t>🔴 Tier 4: Robotics / Controls / Autonomy</t>
        </is>
      </c>
      <c r="K168" s="2" t="n">
        <v>0</v>
      </c>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is>
          <t>Algebra, Applied and Computational Mathematics, Probability and Statistics</t>
        </is>
      </c>
      <c r="AI168" s="2" t="inlineStr"/>
      <c r="AJ168" s="2" t="inlineStr">
        <is>
          <t>Algebra, Applied and Computational Mathematics, Probability and Statistics</t>
        </is>
      </c>
      <c r="AK168" s="2" t="inlineStr"/>
      <c r="AL168" s="2" t="inlineStr"/>
      <c r="AM168" s="2" t="inlineStr"/>
      <c r="AN168" s="2" t="inlineStr"/>
      <c r="AO168" s="2" t="inlineStr"/>
      <c r="AP168" s="2" t="inlineStr"/>
      <c r="AQ168" s="2" t="inlineStr"/>
      <c r="AR168" s="2" t="inlineStr"/>
      <c r="AS168" s="2" t="inlineStr"/>
      <c r="AT168" s="2" t="inlineStr">
        <is>
          <t>PMA 12.118</t>
        </is>
      </c>
      <c r="AU168" s="2" t="b">
        <v>0</v>
      </c>
      <c r="AV168" s="3">
        <f>HYPERLINK("https://math.utexas.edu/directory/faculty", "https://math.utexas.edu/directory/faculty")</f>
        <v/>
      </c>
    </row>
    <row r="169">
      <c r="A169" s="2" t="inlineStr">
        <is>
          <t>Sean Keel</t>
        </is>
      </c>
      <c r="B169" s="2" t="inlineStr">
        <is>
          <t>The University of Texas at Austin</t>
        </is>
      </c>
      <c r="C169" s="3">
        <f>HYPERLINK("https://math.utexas.edu/directory/sean-keel", "https://math.utexas.edu/directory/sean-keel")</f>
        <v/>
      </c>
      <c r="D169" s="3">
        <f>HYPERLINK("https://scholar.google.com/citations?view_op=search_authors&amp;mauthors=Sean%20Keel%20University%20of%20Texas%20at%20Austin", "Google Scholar Search")</f>
        <v/>
      </c>
      <c r="E169" s="2" t="inlineStr">
        <is>
          <t>Professor</t>
        </is>
      </c>
      <c r="F169" s="2" t="inlineStr">
        <is>
          <t>Department of Mathematics</t>
        </is>
      </c>
      <c r="G169" s="2" t="inlineStr"/>
      <c r="H169" s="3">
        <f>HYPERLINK("mailto:keel@math.utexas.edu", "keel@math.utexas.edu")</f>
        <v/>
      </c>
      <c r="I169" s="2" t="n">
        <v>4</v>
      </c>
      <c r="J169" s="2" t="inlineStr">
        <is>
          <t>🔴 Tier 4: Robotics / Controls / Autonomy</t>
        </is>
      </c>
      <c r="K169" s="2" t="n">
        <v>0</v>
      </c>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is>
          <t>Algebra, Geometry</t>
        </is>
      </c>
      <c r="AI169" s="2" t="inlineStr"/>
      <c r="AJ169" s="2" t="inlineStr">
        <is>
          <t>Algebra, Geometry</t>
        </is>
      </c>
      <c r="AK169" s="2" t="inlineStr"/>
      <c r="AL169" s="2" t="inlineStr"/>
      <c r="AM169" s="2" t="inlineStr"/>
      <c r="AN169" s="2" t="inlineStr"/>
      <c r="AO169" s="2" t="inlineStr"/>
      <c r="AP169" s="2" t="inlineStr"/>
      <c r="AQ169" s="2" t="inlineStr"/>
      <c r="AR169" s="2" t="inlineStr"/>
      <c r="AS169" s="2" t="inlineStr"/>
      <c r="AT169" s="2" t="inlineStr">
        <is>
          <t>PMA 9.134</t>
        </is>
      </c>
      <c r="AU169" s="2" t="b">
        <v>0</v>
      </c>
      <c r="AV169" s="3">
        <f>HYPERLINK("https://math.utexas.edu/directory/faculty", "https://math.utexas.edu/directory/faculty")</f>
        <v/>
      </c>
    </row>
    <row r="170">
      <c r="A170" s="2" t="inlineStr">
        <is>
          <t>Stefania Patrizi</t>
        </is>
      </c>
      <c r="B170" s="2" t="inlineStr">
        <is>
          <t>The University of Texas at Austin</t>
        </is>
      </c>
      <c r="C170" s="3">
        <f>HYPERLINK("https://math.utexas.edu/directory/stefania-patrizi", "https://math.utexas.edu/directory/stefania-patrizi")</f>
        <v/>
      </c>
      <c r="D170" s="3">
        <f>HYPERLINK("https://scholar.google.com/citations?view_op=search_authors&amp;mauthors=Stefania%20Patrizi%20University%20of%20Texas%20at%20Austin", "Google Scholar Search")</f>
        <v/>
      </c>
      <c r="E170" s="2" t="inlineStr">
        <is>
          <t>Associate Professor</t>
        </is>
      </c>
      <c r="F170" s="2" t="inlineStr">
        <is>
          <t>Department of Mathematics</t>
        </is>
      </c>
      <c r="G170" s="2" t="inlineStr"/>
      <c r="H170" s="3">
        <f>HYPERLINK("mailto:spatrizi@math.utexas.edu", "spatrizi@math.utexas.edu")</f>
        <v/>
      </c>
      <c r="I170" s="2" t="n">
        <v>4</v>
      </c>
      <c r="J170" s="2" t="inlineStr">
        <is>
          <t>🔴 Tier 4: Robotics / Controls / Autonomy</t>
        </is>
      </c>
      <c r="K170" s="2" t="n">
        <v>0</v>
      </c>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is>
          <t>Analysis</t>
        </is>
      </c>
      <c r="AI170" s="2" t="inlineStr"/>
      <c r="AJ170" s="2" t="inlineStr">
        <is>
          <t>Analysis</t>
        </is>
      </c>
      <c r="AK170" s="2" t="inlineStr"/>
      <c r="AL170" s="2" t="inlineStr"/>
      <c r="AM170" s="2" t="inlineStr"/>
      <c r="AN170" s="2" t="inlineStr"/>
      <c r="AO170" s="2" t="inlineStr"/>
      <c r="AP170" s="2" t="inlineStr"/>
      <c r="AQ170" s="2" t="inlineStr"/>
      <c r="AR170" s="2" t="inlineStr"/>
      <c r="AS170" s="2" t="inlineStr"/>
      <c r="AT170" s="2" t="inlineStr">
        <is>
          <t>PMA 12.156</t>
        </is>
      </c>
      <c r="AU170" s="2" t="b">
        <v>0</v>
      </c>
      <c r="AV170" s="3">
        <f>HYPERLINK("https://math.utexas.edu/directory/faculty", "https://math.utexas.edu/directory/faculty")</f>
        <v/>
      </c>
    </row>
    <row r="171">
      <c r="A171" s="2" t="inlineStr">
        <is>
          <t>Thaleia Zariphopoulou</t>
        </is>
      </c>
      <c r="B171" s="2" t="inlineStr">
        <is>
          <t>The University of Texas at Austin</t>
        </is>
      </c>
      <c r="C171" s="3">
        <f>HYPERLINK("https://math.utexas.edu/directory/thaleia-zariphopoulou", "https://math.utexas.edu/directory/thaleia-zariphopoulou")</f>
        <v/>
      </c>
      <c r="D171" s="3">
        <f>HYPERLINK("https://scholar.google.com/citations?view_op=search_authors&amp;mauthors=Thaleia%20Zariphopoulou%20University%20of%20Texas%20at%20Austin", "Google Scholar Search")</f>
        <v/>
      </c>
      <c r="E171" s="2" t="inlineStr">
        <is>
          <t>Professor</t>
        </is>
      </c>
      <c r="F171" s="2" t="inlineStr">
        <is>
          <t>Department of Mathematics</t>
        </is>
      </c>
      <c r="G171" s="2" t="inlineStr"/>
      <c r="H171" s="3">
        <f>HYPERLINK("mailto:zariphop@math.utexas.edu", "zariphop@math.utexas.edu")</f>
        <v/>
      </c>
      <c r="I171" s="2" t="n">
        <v>4</v>
      </c>
      <c r="J171" s="2" t="inlineStr">
        <is>
          <t>🔴 Tier 4: Robotics / Controls / Autonomy</t>
        </is>
      </c>
      <c r="K171" s="2" t="n">
        <v>0</v>
      </c>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is>
          <t>Probability and Statistics</t>
        </is>
      </c>
      <c r="AI171" s="2" t="inlineStr"/>
      <c r="AJ171" s="2" t="inlineStr">
        <is>
          <t>Probability and Statistics</t>
        </is>
      </c>
      <c r="AK171" s="2" t="inlineStr"/>
      <c r="AL171" s="2" t="inlineStr"/>
      <c r="AM171" s="2" t="inlineStr"/>
      <c r="AN171" s="2" t="inlineStr"/>
      <c r="AO171" s="2" t="inlineStr"/>
      <c r="AP171" s="2" t="inlineStr"/>
      <c r="AQ171" s="2" t="inlineStr"/>
      <c r="AR171" s="2" t="inlineStr"/>
      <c r="AS171" s="2" t="inlineStr"/>
      <c r="AT171" s="2" t="inlineStr">
        <is>
          <t>PMA 11.170</t>
        </is>
      </c>
      <c r="AU171" s="2" t="b">
        <v>0</v>
      </c>
      <c r="AV171" s="3">
        <f>HYPERLINK("https://math.utexas.edu/directory/faculty", "https://math.utexas.edu/directory/faculty")</f>
        <v/>
      </c>
    </row>
    <row r="172">
      <c r="A172" s="2" t="inlineStr">
        <is>
          <t>Thibaud Taillefumier</t>
        </is>
      </c>
      <c r="B172" s="2" t="inlineStr">
        <is>
          <t>The University of Texas at Austin</t>
        </is>
      </c>
      <c r="C172" s="3">
        <f>HYPERLINK("https://neuroscience.utexas.edu/directory/thibaud-taillefumier", "https://neuroscience.utexas.edu/directory/thibaud-taillefumier")</f>
        <v/>
      </c>
      <c r="D172" s="3">
        <f>HYPERLINK("https://scholar.google.com/citations?view_op=search_authors&amp;mauthors=Thibaud%20Taillefumier%20University%20of%20Texas%20at%20Austin", "Google Scholar Search")</f>
        <v/>
      </c>
      <c r="E172" s="2" t="inlineStr">
        <is>
          <t>Associate Professor</t>
        </is>
      </c>
      <c r="F172" s="2" t="inlineStr">
        <is>
          <t>Department of Mathematics</t>
        </is>
      </c>
      <c r="G172" s="2" t="inlineStr"/>
      <c r="H172" s="3">
        <f>HYPERLINK("mailto:thibaud@utexas.edu", "thibaud@utexas.edu")</f>
        <v/>
      </c>
      <c r="I172" s="2" t="n">
        <v>4</v>
      </c>
      <c r="J172" s="2" t="inlineStr">
        <is>
          <t>🔴 Tier 4: Robotics / Controls / Autonomy</t>
        </is>
      </c>
      <c r="K172" s="2" t="n">
        <v>0</v>
      </c>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is>
          <t>Probability and Statistics, Applied and Computational Mathematics</t>
        </is>
      </c>
      <c r="AI172" s="2" t="inlineStr"/>
      <c r="AJ172" s="2" t="inlineStr">
        <is>
          <t>Probability and Statistics, Applied and Computational Mathematics</t>
        </is>
      </c>
      <c r="AK172" s="2" t="inlineStr"/>
      <c r="AL172" s="2" t="inlineStr"/>
      <c r="AM172" s="2" t="inlineStr"/>
      <c r="AN172" s="2" t="inlineStr"/>
      <c r="AO172" s="2" t="inlineStr"/>
      <c r="AP172" s="2" t="inlineStr"/>
      <c r="AQ172" s="2" t="inlineStr"/>
      <c r="AR172" s="2" t="inlineStr"/>
      <c r="AS172" s="2" t="inlineStr"/>
      <c r="AT172" s="2" t="inlineStr">
        <is>
          <t>PMA 10.148</t>
        </is>
      </c>
      <c r="AU172" s="2" t="b">
        <v>0</v>
      </c>
      <c r="AV172" s="3">
        <f>HYPERLINK("https://math.utexas.edu/directory/faculty", "https://math.utexas.edu/directory/faculty")</f>
        <v/>
      </c>
    </row>
    <row r="173">
      <c r="A173" s="2" t="inlineStr">
        <is>
          <t>Thomas Chen</t>
        </is>
      </c>
      <c r="B173" s="2" t="inlineStr">
        <is>
          <t>The University of Texas at Austin</t>
        </is>
      </c>
      <c r="C173" s="3">
        <f>HYPERLINK("https://math.utexas.edu/directory/thomas-chen", "https://math.utexas.edu/directory/thomas-chen")</f>
        <v/>
      </c>
      <c r="D173" s="3">
        <f>HYPERLINK("https://scholar.google.com/citations?view_op=search_authors&amp;mauthors=Thomas%20Chen%20University%20of%20Texas%20at%20Austin", "Google Scholar Search")</f>
        <v/>
      </c>
      <c r="E173" s="2" t="inlineStr">
        <is>
          <t>Professor</t>
        </is>
      </c>
      <c r="F173" s="2" t="inlineStr">
        <is>
          <t>Department of Mathematics</t>
        </is>
      </c>
      <c r="G173" s="2" t="inlineStr"/>
      <c r="H173" s="3">
        <f>HYPERLINK("mailto:tc@math.utexas.edu", "tc@math.utexas.edu")</f>
        <v/>
      </c>
      <c r="I173" s="2" t="n">
        <v>4</v>
      </c>
      <c r="J173" s="2" t="inlineStr">
        <is>
          <t>🔴 Tier 4: Robotics / Controls / Autonomy</t>
        </is>
      </c>
      <c r="K173" s="2" t="n">
        <v>0</v>
      </c>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is>
          <t>Analysis, Mathematical Physics, Artificial Intelligence &amp; Machine Learning</t>
        </is>
      </c>
      <c r="AI173" s="2" t="inlineStr"/>
      <c r="AJ173" s="2" t="inlineStr">
        <is>
          <t>Analysis, Mathematical Physics, Artificial Intelligence &amp; Machine Learning</t>
        </is>
      </c>
      <c r="AK173" s="2" t="inlineStr"/>
      <c r="AL173" s="2" t="inlineStr"/>
      <c r="AM173" s="2" t="inlineStr"/>
      <c r="AN173" s="2" t="inlineStr"/>
      <c r="AO173" s="2" t="inlineStr"/>
      <c r="AP173" s="2" t="inlineStr"/>
      <c r="AQ173" s="2" t="inlineStr"/>
      <c r="AR173" s="2" t="inlineStr"/>
      <c r="AS173" s="2" t="inlineStr"/>
      <c r="AT173" s="2" t="inlineStr">
        <is>
          <t>PMA 12.138</t>
        </is>
      </c>
      <c r="AU173" s="2" t="b">
        <v>0</v>
      </c>
      <c r="AV173" s="3">
        <f>HYPERLINK("https://math.utexas.edu/directory/faculty", "https://math.utexas.edu/directory/faculty")</f>
        <v/>
      </c>
    </row>
    <row r="174">
      <c r="A174" s="2" t="inlineStr">
        <is>
          <t>Timothy Perutz</t>
        </is>
      </c>
      <c r="B174" s="2" t="inlineStr">
        <is>
          <t>The University of Texas at Austin</t>
        </is>
      </c>
      <c r="C174" s="3">
        <f>HYPERLINK("https://math.utexas.edu/directory/timothy-perutz", "https://math.utexas.edu/directory/timothy-perutz")</f>
        <v/>
      </c>
      <c r="D174" s="3">
        <f>HYPERLINK("https://scholar.google.com/citations?view_op=search_authors&amp;mauthors=Timothy%20Perutz%20University%20of%20Texas%20at%20Austin", "Google Scholar Search")</f>
        <v/>
      </c>
      <c r="E174" s="2" t="inlineStr">
        <is>
          <t>Associate Professor</t>
        </is>
      </c>
      <c r="F174" s="2" t="inlineStr">
        <is>
          <t>Department of Mathematics</t>
        </is>
      </c>
      <c r="G174" s="2" t="inlineStr"/>
      <c r="H174" s="3">
        <f>HYPERLINK("mailto:perutz@math.utexas.edu", "perutz@math.utexas.edu")</f>
        <v/>
      </c>
      <c r="I174" s="2" t="n">
        <v>4</v>
      </c>
      <c r="J174" s="2" t="inlineStr">
        <is>
          <t>🔴 Tier 4: Robotics / Controls / Autonomy</t>
        </is>
      </c>
      <c r="K174" s="2" t="n">
        <v>0</v>
      </c>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is>
          <t>Geometry, Topology</t>
        </is>
      </c>
      <c r="AI174" s="2" t="inlineStr"/>
      <c r="AJ174" s="2" t="inlineStr">
        <is>
          <t>Geometry, Topology</t>
        </is>
      </c>
      <c r="AK174" s="2" t="inlineStr"/>
      <c r="AL174" s="2" t="inlineStr"/>
      <c r="AM174" s="2" t="inlineStr"/>
      <c r="AN174" s="2" t="inlineStr"/>
      <c r="AO174" s="2" t="inlineStr"/>
      <c r="AP174" s="2" t="inlineStr"/>
      <c r="AQ174" s="2" t="inlineStr"/>
      <c r="AR174" s="2" t="inlineStr"/>
      <c r="AS174" s="2" t="inlineStr"/>
      <c r="AT174" s="2" t="inlineStr">
        <is>
          <t>PMA 10.136</t>
        </is>
      </c>
      <c r="AU174" s="2" t="b">
        <v>0</v>
      </c>
      <c r="AV174" s="3">
        <f>HYPERLINK("https://math.utexas.edu/directory/faculty", "https://math.utexas.edu/directory/faculty")</f>
        <v/>
      </c>
    </row>
    <row r="175">
      <c r="A175" s="2" t="inlineStr">
        <is>
          <t>William Beckner</t>
        </is>
      </c>
      <c r="B175" s="2" t="inlineStr">
        <is>
          <t>The University of Texas at Austin</t>
        </is>
      </c>
      <c r="C175" s="3">
        <f>HYPERLINK("https://math.utexas.edu/directory/william-beckner", "https://math.utexas.edu/directory/william-beckner")</f>
        <v/>
      </c>
      <c r="D175" s="3">
        <f>HYPERLINK("https://scholar.google.com/citations?view_op=search_authors&amp;mauthors=William%20Beckner%20University%20of%20Texas%20at%20Austin", "Google Scholar Search")</f>
        <v/>
      </c>
      <c r="E175" s="2" t="inlineStr">
        <is>
          <t>Professor</t>
        </is>
      </c>
      <c r="F175" s="2" t="inlineStr">
        <is>
          <t>Department of Mathematics</t>
        </is>
      </c>
      <c r="G175" s="2" t="inlineStr"/>
      <c r="H175" s="3">
        <f>HYPERLINK("mailto:beckner@math.utexas.edu", "beckner@math.utexas.edu")</f>
        <v/>
      </c>
      <c r="I175" s="2" t="n">
        <v>4</v>
      </c>
      <c r="J175" s="2" t="inlineStr">
        <is>
          <t>🔴 Tier 4: Robotics / Controls / Autonomy</t>
        </is>
      </c>
      <c r="K175" s="2" t="n">
        <v>0</v>
      </c>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is>
          <t>Analysis</t>
        </is>
      </c>
      <c r="AI175" s="2" t="inlineStr"/>
      <c r="AJ175" s="2" t="inlineStr">
        <is>
          <t>Analysis</t>
        </is>
      </c>
      <c r="AK175" s="2" t="inlineStr"/>
      <c r="AL175" s="2" t="inlineStr"/>
      <c r="AM175" s="2" t="inlineStr"/>
      <c r="AN175" s="2" t="inlineStr"/>
      <c r="AO175" s="2" t="inlineStr"/>
      <c r="AP175" s="2" t="inlineStr"/>
      <c r="AQ175" s="2" t="inlineStr"/>
      <c r="AR175" s="2" t="inlineStr"/>
      <c r="AS175" s="2" t="inlineStr"/>
      <c r="AT175" s="2" t="inlineStr">
        <is>
          <t>PMA 10.140</t>
        </is>
      </c>
      <c r="AU175" s="2" t="b">
        <v>0</v>
      </c>
      <c r="AV175" s="3">
        <f>HYPERLINK("https://math.utexas.edu/directory/faculty", "https://math.utexas.edu/directory/faculty")</f>
        <v/>
      </c>
    </row>
    <row r="176">
      <c r="A176" s="2" t="inlineStr">
        <is>
          <t>William Charlton</t>
        </is>
      </c>
      <c r="B176" s="2" t="inlineStr">
        <is>
          <t>The University of Texas at Austin</t>
        </is>
      </c>
      <c r="C176" s="3">
        <f>HYPERLINK("https://me.utexas.edu/person/william-charlton/", "https://me.utexas.edu/person/william-charlton/")</f>
        <v/>
      </c>
      <c r="D176" s="3">
        <f>HYPERLINK("https://scholar.google.com/citations?view_op=search_authors&amp;mauthors=William%20Charlton%20University%20of%20Texas%20at%20Austin", "Google Scholar Search")</f>
        <v/>
      </c>
      <c r="E176" s="2" t="inlineStr">
        <is>
          <t>Professor &amp;amp; Director, Nuclear Engineering Teaching Laboratory</t>
        </is>
      </c>
      <c r="F176" s="2" t="inlineStr">
        <is>
          <t>Walker Department of Mechanical Engineering</t>
        </is>
      </c>
      <c r="G176" s="2" t="inlineStr"/>
      <c r="H176" s="3">
        <f>HYPERLINK("mailto:wcharlton@austin.utexas.edu", "wcharlton@austin.utexas.edu")</f>
        <v/>
      </c>
      <c r="I176" s="2" t="n">
        <v>4</v>
      </c>
      <c r="J176" s="2" t="inlineStr">
        <is>
          <t>🔴 Tier 4: Robotics / Controls / Autonomy</t>
        </is>
      </c>
      <c r="K176" s="2" t="n">
        <v>0</v>
      </c>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is>
          <t>Technological solutions to counter nuclear threats; Nuclear nonproliferation and counter-proliferation; Detector development and testing; Interpretation of technical nuclear forensics data; Reactor physics calculations for analysis of nuclear systems</t>
        </is>
      </c>
      <c r="AI176" s="2" t="inlineStr"/>
      <c r="AJ176" s="2" t="inlineStr">
        <is>
          <t>Technological solutions to counter nuclear threats; Nuclear nonproliferation and counter-proliferation; Detector development and testing; Interpretation of technical nuclear forensics data; Reactor physics calculations for analysis of nuclear systems</t>
        </is>
      </c>
      <c r="AK176" s="2" t="inlineStr"/>
      <c r="AL176" s="2" t="inlineStr"/>
      <c r="AM176" s="2" t="inlineStr"/>
      <c r="AN176" s="2" t="inlineStr"/>
      <c r="AO176" s="2" t="inlineStr"/>
      <c r="AP176" s="2" t="inlineStr"/>
      <c r="AQ176" s="2" t="inlineStr"/>
      <c r="AR176" s="2" t="inlineStr"/>
      <c r="AS176" s="2" t="inlineStr"/>
      <c r="AT176" s="2" t="inlineStr">
        <is>
          <t>ETC 7.114</t>
        </is>
      </c>
      <c r="AU176" s="2" t="b">
        <v>0</v>
      </c>
      <c r="AV176" s="3">
        <f>HYPERLINK("https://me.utexas.edu/people/faculty", "https://me.utexas.edu/people/faculty")</f>
        <v/>
      </c>
    </row>
    <row r="177">
      <c r="A177" s="2" t="inlineStr">
        <is>
          <t>Yashaswini Murthy</t>
        </is>
      </c>
      <c r="B177" s="2" t="inlineStr">
        <is>
          <t>The University of Texas at Austin</t>
        </is>
      </c>
      <c r="C177" s="3">
        <f>HYPERLINK("https://me.utexas.edu/person/yashaswini-murthy/", "https://me.utexas.edu/person/yashaswini-murthy/")</f>
        <v/>
      </c>
      <c r="D177" s="3">
        <f>HYPERLINK("https://scholar.google.com/citations?view_op=search_authors&amp;mauthors=Yashaswini%20Murthy%20University%20of%20Texas%20at%20Austin", "Google Scholar Search")</f>
        <v/>
      </c>
      <c r="E177" s="2" t="inlineStr">
        <is>
          <t>Assistant Professor</t>
        </is>
      </c>
      <c r="F177" s="2" t="inlineStr">
        <is>
          <t>Walker Department of Mechanical Engineering</t>
        </is>
      </c>
      <c r="G177" s="2" t="inlineStr"/>
      <c r="H177" s="3">
        <f>HYPERLINK("mailto:yashaswini.murthy@austin.utexas.edu", "yashaswini.murthy@austin.utexas.edu")</f>
        <v/>
      </c>
      <c r="I177" s="2" t="n">
        <v>4</v>
      </c>
      <c r="J177" s="2" t="inlineStr">
        <is>
          <t>🔴 Tier 4: Robotics / Controls / Autonomy</t>
        </is>
      </c>
      <c r="K177" s="2" t="n">
        <v>0</v>
      </c>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is>
          <t>Developing and analyzing reinforcement learning algorithms for long-term decision-making under uncertainty, with an emphasis on average-reward and robust formulations</t>
        </is>
      </c>
      <c r="AI177" s="2" t="inlineStr"/>
      <c r="AJ177" s="2" t="inlineStr">
        <is>
          <t>Developing and analyzing reinforcement learning algorithms for long-term decision-making under uncertainty, with an emphasis on average-reward and robust formulations</t>
        </is>
      </c>
      <c r="AK177" s="2" t="inlineStr"/>
      <c r="AL177" s="2" t="inlineStr"/>
      <c r="AM177" s="2" t="inlineStr"/>
      <c r="AN177" s="2" t="inlineStr"/>
      <c r="AO177" s="2" t="inlineStr"/>
      <c r="AP177" s="2" t="inlineStr"/>
      <c r="AQ177" s="2" t="inlineStr"/>
      <c r="AR177" s="2" t="inlineStr"/>
      <c r="AS177" s="2" t="inlineStr"/>
      <c r="AT177" s="2" t="inlineStr"/>
      <c r="AU177" s="2" t="b">
        <v>0</v>
      </c>
      <c r="AV177" s="3">
        <f>HYPERLINK("https://me.utexas.edu/people/faculty", "https://me.utexas.edu/people/faculty")</f>
        <v/>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H2" r:id="rId3"/>
    <hyperlink xmlns:r="http://schemas.openxmlformats.org/officeDocument/2006/relationships" ref="P2" r:id="rId4"/>
    <hyperlink xmlns:r="http://schemas.openxmlformats.org/officeDocument/2006/relationships" ref="T2" r:id="rId5"/>
    <hyperlink xmlns:r="http://schemas.openxmlformats.org/officeDocument/2006/relationships" ref="X2" r:id="rId6"/>
    <hyperlink xmlns:r="http://schemas.openxmlformats.org/officeDocument/2006/relationships" ref="AV2" r:id="rId7"/>
    <hyperlink xmlns:r="http://schemas.openxmlformats.org/officeDocument/2006/relationships" ref="C3" r:id="rId8"/>
    <hyperlink xmlns:r="http://schemas.openxmlformats.org/officeDocument/2006/relationships" ref="D3" r:id="rId9"/>
    <hyperlink xmlns:r="http://schemas.openxmlformats.org/officeDocument/2006/relationships" ref="H3" r:id="rId10"/>
    <hyperlink xmlns:r="http://schemas.openxmlformats.org/officeDocument/2006/relationships" ref="P3" r:id="rId11"/>
    <hyperlink xmlns:r="http://schemas.openxmlformats.org/officeDocument/2006/relationships" ref="T3" r:id="rId12"/>
    <hyperlink xmlns:r="http://schemas.openxmlformats.org/officeDocument/2006/relationships" ref="X3" r:id="rId13"/>
    <hyperlink xmlns:r="http://schemas.openxmlformats.org/officeDocument/2006/relationships" ref="AV3" r:id="rId14"/>
    <hyperlink xmlns:r="http://schemas.openxmlformats.org/officeDocument/2006/relationships" ref="C4" r:id="rId15"/>
    <hyperlink xmlns:r="http://schemas.openxmlformats.org/officeDocument/2006/relationships" ref="D4" r:id="rId16"/>
    <hyperlink xmlns:r="http://schemas.openxmlformats.org/officeDocument/2006/relationships" ref="H4" r:id="rId17"/>
    <hyperlink xmlns:r="http://schemas.openxmlformats.org/officeDocument/2006/relationships" ref="P4" r:id="rId18"/>
    <hyperlink xmlns:r="http://schemas.openxmlformats.org/officeDocument/2006/relationships" ref="T4" r:id="rId19"/>
    <hyperlink xmlns:r="http://schemas.openxmlformats.org/officeDocument/2006/relationships" ref="X4" r:id="rId20"/>
    <hyperlink xmlns:r="http://schemas.openxmlformats.org/officeDocument/2006/relationships" ref="AV4" r:id="rId21"/>
    <hyperlink xmlns:r="http://schemas.openxmlformats.org/officeDocument/2006/relationships" ref="C5" r:id="rId22"/>
    <hyperlink xmlns:r="http://schemas.openxmlformats.org/officeDocument/2006/relationships" ref="D5" r:id="rId23"/>
    <hyperlink xmlns:r="http://schemas.openxmlformats.org/officeDocument/2006/relationships" ref="H5" r:id="rId24"/>
    <hyperlink xmlns:r="http://schemas.openxmlformats.org/officeDocument/2006/relationships" ref="P5" r:id="rId25"/>
    <hyperlink xmlns:r="http://schemas.openxmlformats.org/officeDocument/2006/relationships" ref="T5" r:id="rId26"/>
    <hyperlink xmlns:r="http://schemas.openxmlformats.org/officeDocument/2006/relationships" ref="X5" r:id="rId27"/>
    <hyperlink xmlns:r="http://schemas.openxmlformats.org/officeDocument/2006/relationships" ref="AV5" r:id="rId28"/>
    <hyperlink xmlns:r="http://schemas.openxmlformats.org/officeDocument/2006/relationships" ref="C6" r:id="rId29"/>
    <hyperlink xmlns:r="http://schemas.openxmlformats.org/officeDocument/2006/relationships" ref="D6" r:id="rId30"/>
    <hyperlink xmlns:r="http://schemas.openxmlformats.org/officeDocument/2006/relationships" ref="H6" r:id="rId31"/>
    <hyperlink xmlns:r="http://schemas.openxmlformats.org/officeDocument/2006/relationships" ref="P6" r:id="rId32"/>
    <hyperlink xmlns:r="http://schemas.openxmlformats.org/officeDocument/2006/relationships" ref="T6" r:id="rId33"/>
    <hyperlink xmlns:r="http://schemas.openxmlformats.org/officeDocument/2006/relationships" ref="X6" r:id="rId34"/>
    <hyperlink xmlns:r="http://schemas.openxmlformats.org/officeDocument/2006/relationships" ref="AV6" r:id="rId35"/>
    <hyperlink xmlns:r="http://schemas.openxmlformats.org/officeDocument/2006/relationships" ref="C7" r:id="rId36"/>
    <hyperlink xmlns:r="http://schemas.openxmlformats.org/officeDocument/2006/relationships" ref="D7" r:id="rId37"/>
    <hyperlink xmlns:r="http://schemas.openxmlformats.org/officeDocument/2006/relationships" ref="H7" r:id="rId38"/>
    <hyperlink xmlns:r="http://schemas.openxmlformats.org/officeDocument/2006/relationships" ref="P7" r:id="rId39"/>
    <hyperlink xmlns:r="http://schemas.openxmlformats.org/officeDocument/2006/relationships" ref="T7" r:id="rId40"/>
    <hyperlink xmlns:r="http://schemas.openxmlformats.org/officeDocument/2006/relationships" ref="X7" r:id="rId41"/>
    <hyperlink xmlns:r="http://schemas.openxmlformats.org/officeDocument/2006/relationships" ref="AV7" r:id="rId42"/>
    <hyperlink xmlns:r="http://schemas.openxmlformats.org/officeDocument/2006/relationships" ref="C8" r:id="rId43"/>
    <hyperlink xmlns:r="http://schemas.openxmlformats.org/officeDocument/2006/relationships" ref="D8" r:id="rId44"/>
    <hyperlink xmlns:r="http://schemas.openxmlformats.org/officeDocument/2006/relationships" ref="H8" r:id="rId45"/>
    <hyperlink xmlns:r="http://schemas.openxmlformats.org/officeDocument/2006/relationships" ref="P8" r:id="rId46"/>
    <hyperlink xmlns:r="http://schemas.openxmlformats.org/officeDocument/2006/relationships" ref="T8" r:id="rId47"/>
    <hyperlink xmlns:r="http://schemas.openxmlformats.org/officeDocument/2006/relationships" ref="X8" r:id="rId48"/>
    <hyperlink xmlns:r="http://schemas.openxmlformats.org/officeDocument/2006/relationships" ref="AV8" r:id="rId49"/>
    <hyperlink xmlns:r="http://schemas.openxmlformats.org/officeDocument/2006/relationships" ref="C9" r:id="rId50"/>
    <hyperlink xmlns:r="http://schemas.openxmlformats.org/officeDocument/2006/relationships" ref="D9" r:id="rId51"/>
    <hyperlink xmlns:r="http://schemas.openxmlformats.org/officeDocument/2006/relationships" ref="H9" r:id="rId52"/>
    <hyperlink xmlns:r="http://schemas.openxmlformats.org/officeDocument/2006/relationships" ref="P9" r:id="rId53"/>
    <hyperlink xmlns:r="http://schemas.openxmlformats.org/officeDocument/2006/relationships" ref="T9" r:id="rId54"/>
    <hyperlink xmlns:r="http://schemas.openxmlformats.org/officeDocument/2006/relationships" ref="X9" r:id="rId55"/>
    <hyperlink xmlns:r="http://schemas.openxmlformats.org/officeDocument/2006/relationships" ref="AV9" r:id="rId56"/>
    <hyperlink xmlns:r="http://schemas.openxmlformats.org/officeDocument/2006/relationships" ref="C10" r:id="rId57"/>
    <hyperlink xmlns:r="http://schemas.openxmlformats.org/officeDocument/2006/relationships" ref="D10" r:id="rId58"/>
    <hyperlink xmlns:r="http://schemas.openxmlformats.org/officeDocument/2006/relationships" ref="H10" r:id="rId59"/>
    <hyperlink xmlns:r="http://schemas.openxmlformats.org/officeDocument/2006/relationships" ref="P10" r:id="rId60"/>
    <hyperlink xmlns:r="http://schemas.openxmlformats.org/officeDocument/2006/relationships" ref="T10" r:id="rId61"/>
    <hyperlink xmlns:r="http://schemas.openxmlformats.org/officeDocument/2006/relationships" ref="X10" r:id="rId62"/>
    <hyperlink xmlns:r="http://schemas.openxmlformats.org/officeDocument/2006/relationships" ref="AV10" r:id="rId63"/>
    <hyperlink xmlns:r="http://schemas.openxmlformats.org/officeDocument/2006/relationships" ref="C11" r:id="rId64"/>
    <hyperlink xmlns:r="http://schemas.openxmlformats.org/officeDocument/2006/relationships" ref="D11" r:id="rId65"/>
    <hyperlink xmlns:r="http://schemas.openxmlformats.org/officeDocument/2006/relationships" ref="H11" r:id="rId66"/>
    <hyperlink xmlns:r="http://schemas.openxmlformats.org/officeDocument/2006/relationships" ref="AV11" r:id="rId67"/>
    <hyperlink xmlns:r="http://schemas.openxmlformats.org/officeDocument/2006/relationships" ref="C12" r:id="rId68"/>
    <hyperlink xmlns:r="http://schemas.openxmlformats.org/officeDocument/2006/relationships" ref="D12" r:id="rId69"/>
    <hyperlink xmlns:r="http://schemas.openxmlformats.org/officeDocument/2006/relationships" ref="H12" r:id="rId70"/>
    <hyperlink xmlns:r="http://schemas.openxmlformats.org/officeDocument/2006/relationships" ref="P12" r:id="rId71"/>
    <hyperlink xmlns:r="http://schemas.openxmlformats.org/officeDocument/2006/relationships" ref="T12" r:id="rId72"/>
    <hyperlink xmlns:r="http://schemas.openxmlformats.org/officeDocument/2006/relationships" ref="X12" r:id="rId73"/>
    <hyperlink xmlns:r="http://schemas.openxmlformats.org/officeDocument/2006/relationships" ref="AV12" r:id="rId74"/>
    <hyperlink xmlns:r="http://schemas.openxmlformats.org/officeDocument/2006/relationships" ref="C13" r:id="rId75"/>
    <hyperlink xmlns:r="http://schemas.openxmlformats.org/officeDocument/2006/relationships" ref="D13" r:id="rId76"/>
    <hyperlink xmlns:r="http://schemas.openxmlformats.org/officeDocument/2006/relationships" ref="H13" r:id="rId77"/>
    <hyperlink xmlns:r="http://schemas.openxmlformats.org/officeDocument/2006/relationships" ref="AV13" r:id="rId78"/>
    <hyperlink xmlns:r="http://schemas.openxmlformats.org/officeDocument/2006/relationships" ref="C14" r:id="rId79"/>
    <hyperlink xmlns:r="http://schemas.openxmlformats.org/officeDocument/2006/relationships" ref="D14" r:id="rId80"/>
    <hyperlink xmlns:r="http://schemas.openxmlformats.org/officeDocument/2006/relationships" ref="H14" r:id="rId81"/>
    <hyperlink xmlns:r="http://schemas.openxmlformats.org/officeDocument/2006/relationships" ref="P14" r:id="rId82"/>
    <hyperlink xmlns:r="http://schemas.openxmlformats.org/officeDocument/2006/relationships" ref="T14" r:id="rId83"/>
    <hyperlink xmlns:r="http://schemas.openxmlformats.org/officeDocument/2006/relationships" ref="X14" r:id="rId84"/>
    <hyperlink xmlns:r="http://schemas.openxmlformats.org/officeDocument/2006/relationships" ref="AV14" r:id="rId85"/>
    <hyperlink xmlns:r="http://schemas.openxmlformats.org/officeDocument/2006/relationships" ref="C15" r:id="rId86"/>
    <hyperlink xmlns:r="http://schemas.openxmlformats.org/officeDocument/2006/relationships" ref="D15" r:id="rId87"/>
    <hyperlink xmlns:r="http://schemas.openxmlformats.org/officeDocument/2006/relationships" ref="H15" r:id="rId88"/>
    <hyperlink xmlns:r="http://schemas.openxmlformats.org/officeDocument/2006/relationships" ref="P15" r:id="rId89"/>
    <hyperlink xmlns:r="http://schemas.openxmlformats.org/officeDocument/2006/relationships" ref="T15" r:id="rId90"/>
    <hyperlink xmlns:r="http://schemas.openxmlformats.org/officeDocument/2006/relationships" ref="X15" r:id="rId91"/>
    <hyperlink xmlns:r="http://schemas.openxmlformats.org/officeDocument/2006/relationships" ref="AV15" r:id="rId92"/>
    <hyperlink xmlns:r="http://schemas.openxmlformats.org/officeDocument/2006/relationships" ref="C16" r:id="rId93"/>
    <hyperlink xmlns:r="http://schemas.openxmlformats.org/officeDocument/2006/relationships" ref="D16" r:id="rId94"/>
    <hyperlink xmlns:r="http://schemas.openxmlformats.org/officeDocument/2006/relationships" ref="H16" r:id="rId95"/>
    <hyperlink xmlns:r="http://schemas.openxmlformats.org/officeDocument/2006/relationships" ref="P16" r:id="rId96"/>
    <hyperlink xmlns:r="http://schemas.openxmlformats.org/officeDocument/2006/relationships" ref="T16" r:id="rId97"/>
    <hyperlink xmlns:r="http://schemas.openxmlformats.org/officeDocument/2006/relationships" ref="X16" r:id="rId98"/>
    <hyperlink xmlns:r="http://schemas.openxmlformats.org/officeDocument/2006/relationships" ref="AV16" r:id="rId99"/>
    <hyperlink xmlns:r="http://schemas.openxmlformats.org/officeDocument/2006/relationships" ref="C17" r:id="rId100"/>
    <hyperlink xmlns:r="http://schemas.openxmlformats.org/officeDocument/2006/relationships" ref="D17" r:id="rId101"/>
    <hyperlink xmlns:r="http://schemas.openxmlformats.org/officeDocument/2006/relationships" ref="H17" r:id="rId102"/>
    <hyperlink xmlns:r="http://schemas.openxmlformats.org/officeDocument/2006/relationships" ref="P17" r:id="rId103"/>
    <hyperlink xmlns:r="http://schemas.openxmlformats.org/officeDocument/2006/relationships" ref="T17" r:id="rId104"/>
    <hyperlink xmlns:r="http://schemas.openxmlformats.org/officeDocument/2006/relationships" ref="X17" r:id="rId105"/>
    <hyperlink xmlns:r="http://schemas.openxmlformats.org/officeDocument/2006/relationships" ref="AV17" r:id="rId106"/>
    <hyperlink xmlns:r="http://schemas.openxmlformats.org/officeDocument/2006/relationships" ref="C18" r:id="rId107"/>
    <hyperlink xmlns:r="http://schemas.openxmlformats.org/officeDocument/2006/relationships" ref="D18" r:id="rId108"/>
    <hyperlink xmlns:r="http://schemas.openxmlformats.org/officeDocument/2006/relationships" ref="H18" r:id="rId109"/>
    <hyperlink xmlns:r="http://schemas.openxmlformats.org/officeDocument/2006/relationships" ref="P18" r:id="rId110"/>
    <hyperlink xmlns:r="http://schemas.openxmlformats.org/officeDocument/2006/relationships" ref="T18" r:id="rId111"/>
    <hyperlink xmlns:r="http://schemas.openxmlformats.org/officeDocument/2006/relationships" ref="X18" r:id="rId112"/>
    <hyperlink xmlns:r="http://schemas.openxmlformats.org/officeDocument/2006/relationships" ref="AV18" r:id="rId113"/>
    <hyperlink xmlns:r="http://schemas.openxmlformats.org/officeDocument/2006/relationships" ref="C19" r:id="rId114"/>
    <hyperlink xmlns:r="http://schemas.openxmlformats.org/officeDocument/2006/relationships" ref="D19" r:id="rId115"/>
    <hyperlink xmlns:r="http://schemas.openxmlformats.org/officeDocument/2006/relationships" ref="H19" r:id="rId116"/>
    <hyperlink xmlns:r="http://schemas.openxmlformats.org/officeDocument/2006/relationships" ref="AV19" r:id="rId117"/>
    <hyperlink xmlns:r="http://schemas.openxmlformats.org/officeDocument/2006/relationships" ref="C20" r:id="rId118"/>
    <hyperlink xmlns:r="http://schemas.openxmlformats.org/officeDocument/2006/relationships" ref="D20" r:id="rId119"/>
    <hyperlink xmlns:r="http://schemas.openxmlformats.org/officeDocument/2006/relationships" ref="H20" r:id="rId120"/>
    <hyperlink xmlns:r="http://schemas.openxmlformats.org/officeDocument/2006/relationships" ref="P20" r:id="rId121"/>
    <hyperlink xmlns:r="http://schemas.openxmlformats.org/officeDocument/2006/relationships" ref="T20" r:id="rId122"/>
    <hyperlink xmlns:r="http://schemas.openxmlformats.org/officeDocument/2006/relationships" ref="X20" r:id="rId123"/>
    <hyperlink xmlns:r="http://schemas.openxmlformats.org/officeDocument/2006/relationships" ref="AV20" r:id="rId124"/>
    <hyperlink xmlns:r="http://schemas.openxmlformats.org/officeDocument/2006/relationships" ref="C21" r:id="rId125"/>
    <hyperlink xmlns:r="http://schemas.openxmlformats.org/officeDocument/2006/relationships" ref="D21" r:id="rId126"/>
    <hyperlink xmlns:r="http://schemas.openxmlformats.org/officeDocument/2006/relationships" ref="H21" r:id="rId127"/>
    <hyperlink xmlns:r="http://schemas.openxmlformats.org/officeDocument/2006/relationships" ref="P21" r:id="rId128"/>
    <hyperlink xmlns:r="http://schemas.openxmlformats.org/officeDocument/2006/relationships" ref="T21" r:id="rId129"/>
    <hyperlink xmlns:r="http://schemas.openxmlformats.org/officeDocument/2006/relationships" ref="X21" r:id="rId130"/>
    <hyperlink xmlns:r="http://schemas.openxmlformats.org/officeDocument/2006/relationships" ref="AV21" r:id="rId131"/>
    <hyperlink xmlns:r="http://schemas.openxmlformats.org/officeDocument/2006/relationships" ref="C22" r:id="rId132"/>
    <hyperlink xmlns:r="http://schemas.openxmlformats.org/officeDocument/2006/relationships" ref="D22" r:id="rId133"/>
    <hyperlink xmlns:r="http://schemas.openxmlformats.org/officeDocument/2006/relationships" ref="H22" r:id="rId134"/>
    <hyperlink xmlns:r="http://schemas.openxmlformats.org/officeDocument/2006/relationships" ref="P22" r:id="rId135"/>
    <hyperlink xmlns:r="http://schemas.openxmlformats.org/officeDocument/2006/relationships" ref="T22" r:id="rId136"/>
    <hyperlink xmlns:r="http://schemas.openxmlformats.org/officeDocument/2006/relationships" ref="X22" r:id="rId137"/>
    <hyperlink xmlns:r="http://schemas.openxmlformats.org/officeDocument/2006/relationships" ref="AV22" r:id="rId138"/>
    <hyperlink xmlns:r="http://schemas.openxmlformats.org/officeDocument/2006/relationships" ref="C23" r:id="rId139"/>
    <hyperlink xmlns:r="http://schemas.openxmlformats.org/officeDocument/2006/relationships" ref="D23" r:id="rId140"/>
    <hyperlink xmlns:r="http://schemas.openxmlformats.org/officeDocument/2006/relationships" ref="H23" r:id="rId141"/>
    <hyperlink xmlns:r="http://schemas.openxmlformats.org/officeDocument/2006/relationships" ref="P23" r:id="rId142"/>
    <hyperlink xmlns:r="http://schemas.openxmlformats.org/officeDocument/2006/relationships" ref="T23" r:id="rId143"/>
    <hyperlink xmlns:r="http://schemas.openxmlformats.org/officeDocument/2006/relationships" ref="X23" r:id="rId144"/>
    <hyperlink xmlns:r="http://schemas.openxmlformats.org/officeDocument/2006/relationships" ref="AV23" r:id="rId145"/>
    <hyperlink xmlns:r="http://schemas.openxmlformats.org/officeDocument/2006/relationships" ref="C24" r:id="rId146"/>
    <hyperlink xmlns:r="http://schemas.openxmlformats.org/officeDocument/2006/relationships" ref="D24" r:id="rId147"/>
    <hyperlink xmlns:r="http://schemas.openxmlformats.org/officeDocument/2006/relationships" ref="H24" r:id="rId148"/>
    <hyperlink xmlns:r="http://schemas.openxmlformats.org/officeDocument/2006/relationships" ref="P24" r:id="rId149"/>
    <hyperlink xmlns:r="http://schemas.openxmlformats.org/officeDocument/2006/relationships" ref="T24" r:id="rId150"/>
    <hyperlink xmlns:r="http://schemas.openxmlformats.org/officeDocument/2006/relationships" ref="X24" r:id="rId151"/>
    <hyperlink xmlns:r="http://schemas.openxmlformats.org/officeDocument/2006/relationships" ref="AV24" r:id="rId152"/>
    <hyperlink xmlns:r="http://schemas.openxmlformats.org/officeDocument/2006/relationships" ref="C25" r:id="rId153"/>
    <hyperlink xmlns:r="http://schemas.openxmlformats.org/officeDocument/2006/relationships" ref="D25" r:id="rId154"/>
    <hyperlink xmlns:r="http://schemas.openxmlformats.org/officeDocument/2006/relationships" ref="H25" r:id="rId155"/>
    <hyperlink xmlns:r="http://schemas.openxmlformats.org/officeDocument/2006/relationships" ref="P25" r:id="rId156"/>
    <hyperlink xmlns:r="http://schemas.openxmlformats.org/officeDocument/2006/relationships" ref="T25" r:id="rId157"/>
    <hyperlink xmlns:r="http://schemas.openxmlformats.org/officeDocument/2006/relationships" ref="X25" r:id="rId158"/>
    <hyperlink xmlns:r="http://schemas.openxmlformats.org/officeDocument/2006/relationships" ref="AV25" r:id="rId159"/>
    <hyperlink xmlns:r="http://schemas.openxmlformats.org/officeDocument/2006/relationships" ref="C26" r:id="rId160"/>
    <hyperlink xmlns:r="http://schemas.openxmlformats.org/officeDocument/2006/relationships" ref="D26" r:id="rId161"/>
    <hyperlink xmlns:r="http://schemas.openxmlformats.org/officeDocument/2006/relationships" ref="H26" r:id="rId162"/>
    <hyperlink xmlns:r="http://schemas.openxmlformats.org/officeDocument/2006/relationships" ref="P26" r:id="rId163"/>
    <hyperlink xmlns:r="http://schemas.openxmlformats.org/officeDocument/2006/relationships" ref="T26" r:id="rId164"/>
    <hyperlink xmlns:r="http://schemas.openxmlformats.org/officeDocument/2006/relationships" ref="X26" r:id="rId165"/>
    <hyperlink xmlns:r="http://schemas.openxmlformats.org/officeDocument/2006/relationships" ref="AV26" r:id="rId166"/>
    <hyperlink xmlns:r="http://schemas.openxmlformats.org/officeDocument/2006/relationships" ref="C27" r:id="rId167"/>
    <hyperlink xmlns:r="http://schemas.openxmlformats.org/officeDocument/2006/relationships" ref="D27" r:id="rId168"/>
    <hyperlink xmlns:r="http://schemas.openxmlformats.org/officeDocument/2006/relationships" ref="H27" r:id="rId169"/>
    <hyperlink xmlns:r="http://schemas.openxmlformats.org/officeDocument/2006/relationships" ref="P27" r:id="rId170"/>
    <hyperlink xmlns:r="http://schemas.openxmlformats.org/officeDocument/2006/relationships" ref="T27" r:id="rId171"/>
    <hyperlink xmlns:r="http://schemas.openxmlformats.org/officeDocument/2006/relationships" ref="X27" r:id="rId172"/>
    <hyperlink xmlns:r="http://schemas.openxmlformats.org/officeDocument/2006/relationships" ref="AV27" r:id="rId173"/>
    <hyperlink xmlns:r="http://schemas.openxmlformats.org/officeDocument/2006/relationships" ref="C28" r:id="rId174"/>
    <hyperlink xmlns:r="http://schemas.openxmlformats.org/officeDocument/2006/relationships" ref="D28" r:id="rId175"/>
    <hyperlink xmlns:r="http://schemas.openxmlformats.org/officeDocument/2006/relationships" ref="H28" r:id="rId176"/>
    <hyperlink xmlns:r="http://schemas.openxmlformats.org/officeDocument/2006/relationships" ref="AV28" r:id="rId177"/>
    <hyperlink xmlns:r="http://schemas.openxmlformats.org/officeDocument/2006/relationships" ref="C29" r:id="rId178"/>
    <hyperlink xmlns:r="http://schemas.openxmlformats.org/officeDocument/2006/relationships" ref="D29" r:id="rId179"/>
    <hyperlink xmlns:r="http://schemas.openxmlformats.org/officeDocument/2006/relationships" ref="H29" r:id="rId180"/>
    <hyperlink xmlns:r="http://schemas.openxmlformats.org/officeDocument/2006/relationships" ref="AV29" r:id="rId181"/>
    <hyperlink xmlns:r="http://schemas.openxmlformats.org/officeDocument/2006/relationships" ref="C30" r:id="rId182"/>
    <hyperlink xmlns:r="http://schemas.openxmlformats.org/officeDocument/2006/relationships" ref="D30" r:id="rId183"/>
    <hyperlink xmlns:r="http://schemas.openxmlformats.org/officeDocument/2006/relationships" ref="H30" r:id="rId184"/>
    <hyperlink xmlns:r="http://schemas.openxmlformats.org/officeDocument/2006/relationships" ref="AV30" r:id="rId185"/>
    <hyperlink xmlns:r="http://schemas.openxmlformats.org/officeDocument/2006/relationships" ref="C31" r:id="rId186"/>
    <hyperlink xmlns:r="http://schemas.openxmlformats.org/officeDocument/2006/relationships" ref="D31" r:id="rId187"/>
    <hyperlink xmlns:r="http://schemas.openxmlformats.org/officeDocument/2006/relationships" ref="H31" r:id="rId188"/>
    <hyperlink xmlns:r="http://schemas.openxmlformats.org/officeDocument/2006/relationships" ref="AV31" r:id="rId189"/>
    <hyperlink xmlns:r="http://schemas.openxmlformats.org/officeDocument/2006/relationships" ref="C32" r:id="rId190"/>
    <hyperlink xmlns:r="http://schemas.openxmlformats.org/officeDocument/2006/relationships" ref="D32" r:id="rId191"/>
    <hyperlink xmlns:r="http://schemas.openxmlformats.org/officeDocument/2006/relationships" ref="H32" r:id="rId192"/>
    <hyperlink xmlns:r="http://schemas.openxmlformats.org/officeDocument/2006/relationships" ref="AV32" r:id="rId193"/>
    <hyperlink xmlns:r="http://schemas.openxmlformats.org/officeDocument/2006/relationships" ref="C33" r:id="rId194"/>
    <hyperlink xmlns:r="http://schemas.openxmlformats.org/officeDocument/2006/relationships" ref="D33" r:id="rId195"/>
    <hyperlink xmlns:r="http://schemas.openxmlformats.org/officeDocument/2006/relationships" ref="H33" r:id="rId196"/>
    <hyperlink xmlns:r="http://schemas.openxmlformats.org/officeDocument/2006/relationships" ref="AV33" r:id="rId197"/>
    <hyperlink xmlns:r="http://schemas.openxmlformats.org/officeDocument/2006/relationships" ref="C34" r:id="rId198"/>
    <hyperlink xmlns:r="http://schemas.openxmlformats.org/officeDocument/2006/relationships" ref="D34" r:id="rId199"/>
    <hyperlink xmlns:r="http://schemas.openxmlformats.org/officeDocument/2006/relationships" ref="H34" r:id="rId200"/>
    <hyperlink xmlns:r="http://schemas.openxmlformats.org/officeDocument/2006/relationships" ref="AV34" r:id="rId201"/>
    <hyperlink xmlns:r="http://schemas.openxmlformats.org/officeDocument/2006/relationships" ref="C35" r:id="rId202"/>
    <hyperlink xmlns:r="http://schemas.openxmlformats.org/officeDocument/2006/relationships" ref="D35" r:id="rId203"/>
    <hyperlink xmlns:r="http://schemas.openxmlformats.org/officeDocument/2006/relationships" ref="H35" r:id="rId204"/>
    <hyperlink xmlns:r="http://schemas.openxmlformats.org/officeDocument/2006/relationships" ref="AV35" r:id="rId205"/>
    <hyperlink xmlns:r="http://schemas.openxmlformats.org/officeDocument/2006/relationships" ref="C36" r:id="rId206"/>
    <hyperlink xmlns:r="http://schemas.openxmlformats.org/officeDocument/2006/relationships" ref="D36" r:id="rId207"/>
    <hyperlink xmlns:r="http://schemas.openxmlformats.org/officeDocument/2006/relationships" ref="H36" r:id="rId208"/>
    <hyperlink xmlns:r="http://schemas.openxmlformats.org/officeDocument/2006/relationships" ref="AV36" r:id="rId209"/>
    <hyperlink xmlns:r="http://schemas.openxmlformats.org/officeDocument/2006/relationships" ref="C37" r:id="rId210"/>
    <hyperlink xmlns:r="http://schemas.openxmlformats.org/officeDocument/2006/relationships" ref="D37" r:id="rId211"/>
    <hyperlink xmlns:r="http://schemas.openxmlformats.org/officeDocument/2006/relationships" ref="H37" r:id="rId212"/>
    <hyperlink xmlns:r="http://schemas.openxmlformats.org/officeDocument/2006/relationships" ref="AV37" r:id="rId213"/>
    <hyperlink xmlns:r="http://schemas.openxmlformats.org/officeDocument/2006/relationships" ref="C38" r:id="rId214"/>
    <hyperlink xmlns:r="http://schemas.openxmlformats.org/officeDocument/2006/relationships" ref="D38" r:id="rId215"/>
    <hyperlink xmlns:r="http://schemas.openxmlformats.org/officeDocument/2006/relationships" ref="H38" r:id="rId216"/>
    <hyperlink xmlns:r="http://schemas.openxmlformats.org/officeDocument/2006/relationships" ref="AV38" r:id="rId217"/>
    <hyperlink xmlns:r="http://schemas.openxmlformats.org/officeDocument/2006/relationships" ref="C39" r:id="rId218"/>
    <hyperlink xmlns:r="http://schemas.openxmlformats.org/officeDocument/2006/relationships" ref="D39" r:id="rId219"/>
    <hyperlink xmlns:r="http://schemas.openxmlformats.org/officeDocument/2006/relationships" ref="H39" r:id="rId220"/>
    <hyperlink xmlns:r="http://schemas.openxmlformats.org/officeDocument/2006/relationships" ref="AV39" r:id="rId221"/>
    <hyperlink xmlns:r="http://schemas.openxmlformats.org/officeDocument/2006/relationships" ref="C40" r:id="rId222"/>
    <hyperlink xmlns:r="http://schemas.openxmlformats.org/officeDocument/2006/relationships" ref="D40" r:id="rId223"/>
    <hyperlink xmlns:r="http://schemas.openxmlformats.org/officeDocument/2006/relationships" ref="H40" r:id="rId224"/>
    <hyperlink xmlns:r="http://schemas.openxmlformats.org/officeDocument/2006/relationships" ref="AV40" r:id="rId225"/>
    <hyperlink xmlns:r="http://schemas.openxmlformats.org/officeDocument/2006/relationships" ref="C41" r:id="rId226"/>
    <hyperlink xmlns:r="http://schemas.openxmlformats.org/officeDocument/2006/relationships" ref="D41" r:id="rId227"/>
    <hyperlink xmlns:r="http://schemas.openxmlformats.org/officeDocument/2006/relationships" ref="H41" r:id="rId228"/>
    <hyperlink xmlns:r="http://schemas.openxmlformats.org/officeDocument/2006/relationships" ref="AV41" r:id="rId229"/>
    <hyperlink xmlns:r="http://schemas.openxmlformats.org/officeDocument/2006/relationships" ref="C42" r:id="rId230"/>
    <hyperlink xmlns:r="http://schemas.openxmlformats.org/officeDocument/2006/relationships" ref="D42" r:id="rId231"/>
    <hyperlink xmlns:r="http://schemas.openxmlformats.org/officeDocument/2006/relationships" ref="H42" r:id="rId232"/>
    <hyperlink xmlns:r="http://schemas.openxmlformats.org/officeDocument/2006/relationships" ref="AV42" r:id="rId233"/>
    <hyperlink xmlns:r="http://schemas.openxmlformats.org/officeDocument/2006/relationships" ref="C43" r:id="rId234"/>
    <hyperlink xmlns:r="http://schemas.openxmlformats.org/officeDocument/2006/relationships" ref="D43" r:id="rId235"/>
    <hyperlink xmlns:r="http://schemas.openxmlformats.org/officeDocument/2006/relationships" ref="H43" r:id="rId236"/>
    <hyperlink xmlns:r="http://schemas.openxmlformats.org/officeDocument/2006/relationships" ref="AV43" r:id="rId237"/>
    <hyperlink xmlns:r="http://schemas.openxmlformats.org/officeDocument/2006/relationships" ref="C44" r:id="rId238"/>
    <hyperlink xmlns:r="http://schemas.openxmlformats.org/officeDocument/2006/relationships" ref="D44" r:id="rId239"/>
    <hyperlink xmlns:r="http://schemas.openxmlformats.org/officeDocument/2006/relationships" ref="H44" r:id="rId240"/>
    <hyperlink xmlns:r="http://schemas.openxmlformats.org/officeDocument/2006/relationships" ref="AV44" r:id="rId241"/>
    <hyperlink xmlns:r="http://schemas.openxmlformats.org/officeDocument/2006/relationships" ref="C45" r:id="rId242"/>
    <hyperlink xmlns:r="http://schemas.openxmlformats.org/officeDocument/2006/relationships" ref="D45" r:id="rId243"/>
    <hyperlink xmlns:r="http://schemas.openxmlformats.org/officeDocument/2006/relationships" ref="H45" r:id="rId244"/>
    <hyperlink xmlns:r="http://schemas.openxmlformats.org/officeDocument/2006/relationships" ref="AV45" r:id="rId245"/>
    <hyperlink xmlns:r="http://schemas.openxmlformats.org/officeDocument/2006/relationships" ref="C46" r:id="rId246"/>
    <hyperlink xmlns:r="http://schemas.openxmlformats.org/officeDocument/2006/relationships" ref="D46" r:id="rId247"/>
    <hyperlink xmlns:r="http://schemas.openxmlformats.org/officeDocument/2006/relationships" ref="H46" r:id="rId248"/>
    <hyperlink xmlns:r="http://schemas.openxmlformats.org/officeDocument/2006/relationships" ref="AV46" r:id="rId249"/>
    <hyperlink xmlns:r="http://schemas.openxmlformats.org/officeDocument/2006/relationships" ref="C47" r:id="rId250"/>
    <hyperlink xmlns:r="http://schemas.openxmlformats.org/officeDocument/2006/relationships" ref="D47" r:id="rId251"/>
    <hyperlink xmlns:r="http://schemas.openxmlformats.org/officeDocument/2006/relationships" ref="H47" r:id="rId252"/>
    <hyperlink xmlns:r="http://schemas.openxmlformats.org/officeDocument/2006/relationships" ref="AV47" r:id="rId253"/>
    <hyperlink xmlns:r="http://schemas.openxmlformats.org/officeDocument/2006/relationships" ref="C48" r:id="rId254"/>
    <hyperlink xmlns:r="http://schemas.openxmlformats.org/officeDocument/2006/relationships" ref="D48" r:id="rId255"/>
    <hyperlink xmlns:r="http://schemas.openxmlformats.org/officeDocument/2006/relationships" ref="H48" r:id="rId256"/>
    <hyperlink xmlns:r="http://schemas.openxmlformats.org/officeDocument/2006/relationships" ref="AV48" r:id="rId257"/>
    <hyperlink xmlns:r="http://schemas.openxmlformats.org/officeDocument/2006/relationships" ref="C49" r:id="rId258"/>
    <hyperlink xmlns:r="http://schemas.openxmlformats.org/officeDocument/2006/relationships" ref="D49" r:id="rId259"/>
    <hyperlink xmlns:r="http://schemas.openxmlformats.org/officeDocument/2006/relationships" ref="H49" r:id="rId260"/>
    <hyperlink xmlns:r="http://schemas.openxmlformats.org/officeDocument/2006/relationships" ref="AV49" r:id="rId261"/>
    <hyperlink xmlns:r="http://schemas.openxmlformats.org/officeDocument/2006/relationships" ref="C50" r:id="rId262"/>
    <hyperlink xmlns:r="http://schemas.openxmlformats.org/officeDocument/2006/relationships" ref="D50" r:id="rId263"/>
    <hyperlink xmlns:r="http://schemas.openxmlformats.org/officeDocument/2006/relationships" ref="H50" r:id="rId264"/>
    <hyperlink xmlns:r="http://schemas.openxmlformats.org/officeDocument/2006/relationships" ref="AV50" r:id="rId265"/>
    <hyperlink xmlns:r="http://schemas.openxmlformats.org/officeDocument/2006/relationships" ref="C51" r:id="rId266"/>
    <hyperlink xmlns:r="http://schemas.openxmlformats.org/officeDocument/2006/relationships" ref="D51" r:id="rId267"/>
    <hyperlink xmlns:r="http://schemas.openxmlformats.org/officeDocument/2006/relationships" ref="H51" r:id="rId268"/>
    <hyperlink xmlns:r="http://schemas.openxmlformats.org/officeDocument/2006/relationships" ref="AV51" r:id="rId269"/>
    <hyperlink xmlns:r="http://schemas.openxmlformats.org/officeDocument/2006/relationships" ref="C52" r:id="rId270"/>
    <hyperlink xmlns:r="http://schemas.openxmlformats.org/officeDocument/2006/relationships" ref="D52" r:id="rId271"/>
    <hyperlink xmlns:r="http://schemas.openxmlformats.org/officeDocument/2006/relationships" ref="H52" r:id="rId272"/>
    <hyperlink xmlns:r="http://schemas.openxmlformats.org/officeDocument/2006/relationships" ref="AV52" r:id="rId273"/>
    <hyperlink xmlns:r="http://schemas.openxmlformats.org/officeDocument/2006/relationships" ref="C53" r:id="rId274"/>
    <hyperlink xmlns:r="http://schemas.openxmlformats.org/officeDocument/2006/relationships" ref="D53" r:id="rId275"/>
    <hyperlink xmlns:r="http://schemas.openxmlformats.org/officeDocument/2006/relationships" ref="H53" r:id="rId276"/>
    <hyperlink xmlns:r="http://schemas.openxmlformats.org/officeDocument/2006/relationships" ref="AV53" r:id="rId277"/>
    <hyperlink xmlns:r="http://schemas.openxmlformats.org/officeDocument/2006/relationships" ref="C54" r:id="rId278"/>
    <hyperlink xmlns:r="http://schemas.openxmlformats.org/officeDocument/2006/relationships" ref="D54" r:id="rId279"/>
    <hyperlink xmlns:r="http://schemas.openxmlformats.org/officeDocument/2006/relationships" ref="H54" r:id="rId280"/>
    <hyperlink xmlns:r="http://schemas.openxmlformats.org/officeDocument/2006/relationships" ref="AV54" r:id="rId281"/>
    <hyperlink xmlns:r="http://schemas.openxmlformats.org/officeDocument/2006/relationships" ref="C55" r:id="rId282"/>
    <hyperlink xmlns:r="http://schemas.openxmlformats.org/officeDocument/2006/relationships" ref="D55" r:id="rId283"/>
    <hyperlink xmlns:r="http://schemas.openxmlformats.org/officeDocument/2006/relationships" ref="H55" r:id="rId284"/>
    <hyperlink xmlns:r="http://schemas.openxmlformats.org/officeDocument/2006/relationships" ref="AV55" r:id="rId285"/>
    <hyperlink xmlns:r="http://schemas.openxmlformats.org/officeDocument/2006/relationships" ref="C56" r:id="rId286"/>
    <hyperlink xmlns:r="http://schemas.openxmlformats.org/officeDocument/2006/relationships" ref="D56" r:id="rId287"/>
    <hyperlink xmlns:r="http://schemas.openxmlformats.org/officeDocument/2006/relationships" ref="H56" r:id="rId288"/>
    <hyperlink xmlns:r="http://schemas.openxmlformats.org/officeDocument/2006/relationships" ref="AV56" r:id="rId289"/>
    <hyperlink xmlns:r="http://schemas.openxmlformats.org/officeDocument/2006/relationships" ref="C57" r:id="rId290"/>
    <hyperlink xmlns:r="http://schemas.openxmlformats.org/officeDocument/2006/relationships" ref="D57" r:id="rId291"/>
    <hyperlink xmlns:r="http://schemas.openxmlformats.org/officeDocument/2006/relationships" ref="H57" r:id="rId292"/>
    <hyperlink xmlns:r="http://schemas.openxmlformats.org/officeDocument/2006/relationships" ref="AV57" r:id="rId293"/>
    <hyperlink xmlns:r="http://schemas.openxmlformats.org/officeDocument/2006/relationships" ref="C58" r:id="rId294"/>
    <hyperlink xmlns:r="http://schemas.openxmlformats.org/officeDocument/2006/relationships" ref="D58" r:id="rId295"/>
    <hyperlink xmlns:r="http://schemas.openxmlformats.org/officeDocument/2006/relationships" ref="H58" r:id="rId296"/>
    <hyperlink xmlns:r="http://schemas.openxmlformats.org/officeDocument/2006/relationships" ref="AV58" r:id="rId297"/>
    <hyperlink xmlns:r="http://schemas.openxmlformats.org/officeDocument/2006/relationships" ref="C59" r:id="rId298"/>
    <hyperlink xmlns:r="http://schemas.openxmlformats.org/officeDocument/2006/relationships" ref="D59" r:id="rId299"/>
    <hyperlink xmlns:r="http://schemas.openxmlformats.org/officeDocument/2006/relationships" ref="H59" r:id="rId300"/>
    <hyperlink xmlns:r="http://schemas.openxmlformats.org/officeDocument/2006/relationships" ref="AV59" r:id="rId301"/>
    <hyperlink xmlns:r="http://schemas.openxmlformats.org/officeDocument/2006/relationships" ref="C60" r:id="rId302"/>
    <hyperlink xmlns:r="http://schemas.openxmlformats.org/officeDocument/2006/relationships" ref="D60" r:id="rId303"/>
    <hyperlink xmlns:r="http://schemas.openxmlformats.org/officeDocument/2006/relationships" ref="H60" r:id="rId304"/>
    <hyperlink xmlns:r="http://schemas.openxmlformats.org/officeDocument/2006/relationships" ref="AV60" r:id="rId305"/>
    <hyperlink xmlns:r="http://schemas.openxmlformats.org/officeDocument/2006/relationships" ref="C61" r:id="rId306"/>
    <hyperlink xmlns:r="http://schemas.openxmlformats.org/officeDocument/2006/relationships" ref="D61" r:id="rId307"/>
    <hyperlink xmlns:r="http://schemas.openxmlformats.org/officeDocument/2006/relationships" ref="H61" r:id="rId308"/>
    <hyperlink xmlns:r="http://schemas.openxmlformats.org/officeDocument/2006/relationships" ref="AV61" r:id="rId309"/>
    <hyperlink xmlns:r="http://schemas.openxmlformats.org/officeDocument/2006/relationships" ref="C62" r:id="rId310"/>
    <hyperlink xmlns:r="http://schemas.openxmlformats.org/officeDocument/2006/relationships" ref="D62" r:id="rId311"/>
    <hyperlink xmlns:r="http://schemas.openxmlformats.org/officeDocument/2006/relationships" ref="H62" r:id="rId312"/>
    <hyperlink xmlns:r="http://schemas.openxmlformats.org/officeDocument/2006/relationships" ref="AV62" r:id="rId313"/>
    <hyperlink xmlns:r="http://schemas.openxmlformats.org/officeDocument/2006/relationships" ref="C63" r:id="rId314"/>
    <hyperlink xmlns:r="http://schemas.openxmlformats.org/officeDocument/2006/relationships" ref="D63" r:id="rId315"/>
    <hyperlink xmlns:r="http://schemas.openxmlformats.org/officeDocument/2006/relationships" ref="H63" r:id="rId316"/>
    <hyperlink xmlns:r="http://schemas.openxmlformats.org/officeDocument/2006/relationships" ref="AV63" r:id="rId317"/>
    <hyperlink xmlns:r="http://schemas.openxmlformats.org/officeDocument/2006/relationships" ref="C64" r:id="rId318"/>
    <hyperlink xmlns:r="http://schemas.openxmlformats.org/officeDocument/2006/relationships" ref="D64" r:id="rId319"/>
    <hyperlink xmlns:r="http://schemas.openxmlformats.org/officeDocument/2006/relationships" ref="H64" r:id="rId320"/>
    <hyperlink xmlns:r="http://schemas.openxmlformats.org/officeDocument/2006/relationships" ref="AV64" r:id="rId321"/>
    <hyperlink xmlns:r="http://schemas.openxmlformats.org/officeDocument/2006/relationships" ref="C65" r:id="rId322"/>
    <hyperlink xmlns:r="http://schemas.openxmlformats.org/officeDocument/2006/relationships" ref="D65" r:id="rId323"/>
    <hyperlink xmlns:r="http://schemas.openxmlformats.org/officeDocument/2006/relationships" ref="H65" r:id="rId324"/>
    <hyperlink xmlns:r="http://schemas.openxmlformats.org/officeDocument/2006/relationships" ref="AV65" r:id="rId325"/>
    <hyperlink xmlns:r="http://schemas.openxmlformats.org/officeDocument/2006/relationships" ref="C66" r:id="rId326"/>
    <hyperlink xmlns:r="http://schemas.openxmlformats.org/officeDocument/2006/relationships" ref="D66" r:id="rId327"/>
    <hyperlink xmlns:r="http://schemas.openxmlformats.org/officeDocument/2006/relationships" ref="H66" r:id="rId328"/>
    <hyperlink xmlns:r="http://schemas.openxmlformats.org/officeDocument/2006/relationships" ref="AV66" r:id="rId329"/>
    <hyperlink xmlns:r="http://schemas.openxmlformats.org/officeDocument/2006/relationships" ref="C67" r:id="rId330"/>
    <hyperlink xmlns:r="http://schemas.openxmlformats.org/officeDocument/2006/relationships" ref="D67" r:id="rId331"/>
    <hyperlink xmlns:r="http://schemas.openxmlformats.org/officeDocument/2006/relationships" ref="H67" r:id="rId332"/>
    <hyperlink xmlns:r="http://schemas.openxmlformats.org/officeDocument/2006/relationships" ref="AV67" r:id="rId333"/>
    <hyperlink xmlns:r="http://schemas.openxmlformats.org/officeDocument/2006/relationships" ref="C68" r:id="rId334"/>
    <hyperlink xmlns:r="http://schemas.openxmlformats.org/officeDocument/2006/relationships" ref="D68" r:id="rId335"/>
    <hyperlink xmlns:r="http://schemas.openxmlformats.org/officeDocument/2006/relationships" ref="H68" r:id="rId336"/>
    <hyperlink xmlns:r="http://schemas.openxmlformats.org/officeDocument/2006/relationships" ref="AV68" r:id="rId337"/>
    <hyperlink xmlns:r="http://schemas.openxmlformats.org/officeDocument/2006/relationships" ref="C69" r:id="rId338"/>
    <hyperlink xmlns:r="http://schemas.openxmlformats.org/officeDocument/2006/relationships" ref="D69" r:id="rId339"/>
    <hyperlink xmlns:r="http://schemas.openxmlformats.org/officeDocument/2006/relationships" ref="H69" r:id="rId340"/>
    <hyperlink xmlns:r="http://schemas.openxmlformats.org/officeDocument/2006/relationships" ref="AV69" r:id="rId341"/>
    <hyperlink xmlns:r="http://schemas.openxmlformats.org/officeDocument/2006/relationships" ref="C70" r:id="rId342"/>
    <hyperlink xmlns:r="http://schemas.openxmlformats.org/officeDocument/2006/relationships" ref="D70" r:id="rId343"/>
    <hyperlink xmlns:r="http://schemas.openxmlformats.org/officeDocument/2006/relationships" ref="H70" r:id="rId344"/>
    <hyperlink xmlns:r="http://schemas.openxmlformats.org/officeDocument/2006/relationships" ref="AV70" r:id="rId345"/>
    <hyperlink xmlns:r="http://schemas.openxmlformats.org/officeDocument/2006/relationships" ref="C71" r:id="rId346"/>
    <hyperlink xmlns:r="http://schemas.openxmlformats.org/officeDocument/2006/relationships" ref="D71" r:id="rId347"/>
    <hyperlink xmlns:r="http://schemas.openxmlformats.org/officeDocument/2006/relationships" ref="H71" r:id="rId348"/>
    <hyperlink xmlns:r="http://schemas.openxmlformats.org/officeDocument/2006/relationships" ref="AV71" r:id="rId349"/>
    <hyperlink xmlns:r="http://schemas.openxmlformats.org/officeDocument/2006/relationships" ref="C72" r:id="rId350"/>
    <hyperlink xmlns:r="http://schemas.openxmlformats.org/officeDocument/2006/relationships" ref="D72" r:id="rId351"/>
    <hyperlink xmlns:r="http://schemas.openxmlformats.org/officeDocument/2006/relationships" ref="H72" r:id="rId352"/>
    <hyperlink xmlns:r="http://schemas.openxmlformats.org/officeDocument/2006/relationships" ref="AV72" r:id="rId353"/>
    <hyperlink xmlns:r="http://schemas.openxmlformats.org/officeDocument/2006/relationships" ref="C73" r:id="rId354"/>
    <hyperlink xmlns:r="http://schemas.openxmlformats.org/officeDocument/2006/relationships" ref="D73" r:id="rId355"/>
    <hyperlink xmlns:r="http://schemas.openxmlformats.org/officeDocument/2006/relationships" ref="H73" r:id="rId356"/>
    <hyperlink xmlns:r="http://schemas.openxmlformats.org/officeDocument/2006/relationships" ref="AV73" r:id="rId357"/>
    <hyperlink xmlns:r="http://schemas.openxmlformats.org/officeDocument/2006/relationships" ref="C74" r:id="rId358"/>
    <hyperlink xmlns:r="http://schemas.openxmlformats.org/officeDocument/2006/relationships" ref="D74" r:id="rId359"/>
    <hyperlink xmlns:r="http://schemas.openxmlformats.org/officeDocument/2006/relationships" ref="H74" r:id="rId360"/>
    <hyperlink xmlns:r="http://schemas.openxmlformats.org/officeDocument/2006/relationships" ref="AV74" r:id="rId361"/>
    <hyperlink xmlns:r="http://schemas.openxmlformats.org/officeDocument/2006/relationships" ref="C75" r:id="rId362"/>
    <hyperlink xmlns:r="http://schemas.openxmlformats.org/officeDocument/2006/relationships" ref="D75" r:id="rId363"/>
    <hyperlink xmlns:r="http://schemas.openxmlformats.org/officeDocument/2006/relationships" ref="H75" r:id="rId364"/>
    <hyperlink xmlns:r="http://schemas.openxmlformats.org/officeDocument/2006/relationships" ref="AV75" r:id="rId365"/>
    <hyperlink xmlns:r="http://schemas.openxmlformats.org/officeDocument/2006/relationships" ref="C76" r:id="rId366"/>
    <hyperlink xmlns:r="http://schemas.openxmlformats.org/officeDocument/2006/relationships" ref="D76" r:id="rId367"/>
    <hyperlink xmlns:r="http://schemas.openxmlformats.org/officeDocument/2006/relationships" ref="H76" r:id="rId368"/>
    <hyperlink xmlns:r="http://schemas.openxmlformats.org/officeDocument/2006/relationships" ref="AV76" r:id="rId369"/>
    <hyperlink xmlns:r="http://schemas.openxmlformats.org/officeDocument/2006/relationships" ref="C77" r:id="rId370"/>
    <hyperlink xmlns:r="http://schemas.openxmlformats.org/officeDocument/2006/relationships" ref="D77" r:id="rId371"/>
    <hyperlink xmlns:r="http://schemas.openxmlformats.org/officeDocument/2006/relationships" ref="H77" r:id="rId372"/>
    <hyperlink xmlns:r="http://schemas.openxmlformats.org/officeDocument/2006/relationships" ref="AV77" r:id="rId373"/>
    <hyperlink xmlns:r="http://schemas.openxmlformats.org/officeDocument/2006/relationships" ref="C78" r:id="rId374"/>
    <hyperlink xmlns:r="http://schemas.openxmlformats.org/officeDocument/2006/relationships" ref="D78" r:id="rId375"/>
    <hyperlink xmlns:r="http://schemas.openxmlformats.org/officeDocument/2006/relationships" ref="H78" r:id="rId376"/>
    <hyperlink xmlns:r="http://schemas.openxmlformats.org/officeDocument/2006/relationships" ref="AV78" r:id="rId377"/>
    <hyperlink xmlns:r="http://schemas.openxmlformats.org/officeDocument/2006/relationships" ref="C79" r:id="rId378"/>
    <hyperlink xmlns:r="http://schemas.openxmlformats.org/officeDocument/2006/relationships" ref="D79" r:id="rId379"/>
    <hyperlink xmlns:r="http://schemas.openxmlformats.org/officeDocument/2006/relationships" ref="H79" r:id="rId380"/>
    <hyperlink xmlns:r="http://schemas.openxmlformats.org/officeDocument/2006/relationships" ref="AV79" r:id="rId381"/>
    <hyperlink xmlns:r="http://schemas.openxmlformats.org/officeDocument/2006/relationships" ref="C80" r:id="rId382"/>
    <hyperlink xmlns:r="http://schemas.openxmlformats.org/officeDocument/2006/relationships" ref="D80" r:id="rId383"/>
    <hyperlink xmlns:r="http://schemas.openxmlformats.org/officeDocument/2006/relationships" ref="H80" r:id="rId384"/>
    <hyperlink xmlns:r="http://schemas.openxmlformats.org/officeDocument/2006/relationships" ref="AV80" r:id="rId385"/>
    <hyperlink xmlns:r="http://schemas.openxmlformats.org/officeDocument/2006/relationships" ref="C81" r:id="rId386"/>
    <hyperlink xmlns:r="http://schemas.openxmlformats.org/officeDocument/2006/relationships" ref="D81" r:id="rId387"/>
    <hyperlink xmlns:r="http://schemas.openxmlformats.org/officeDocument/2006/relationships" ref="H81" r:id="rId388"/>
    <hyperlink xmlns:r="http://schemas.openxmlformats.org/officeDocument/2006/relationships" ref="AV81" r:id="rId389"/>
    <hyperlink xmlns:r="http://schemas.openxmlformats.org/officeDocument/2006/relationships" ref="C82" r:id="rId390"/>
    <hyperlink xmlns:r="http://schemas.openxmlformats.org/officeDocument/2006/relationships" ref="D82" r:id="rId391"/>
    <hyperlink xmlns:r="http://schemas.openxmlformats.org/officeDocument/2006/relationships" ref="H82" r:id="rId392"/>
    <hyperlink xmlns:r="http://schemas.openxmlformats.org/officeDocument/2006/relationships" ref="AV82" r:id="rId393"/>
    <hyperlink xmlns:r="http://schemas.openxmlformats.org/officeDocument/2006/relationships" ref="C83" r:id="rId394"/>
    <hyperlink xmlns:r="http://schemas.openxmlformats.org/officeDocument/2006/relationships" ref="D83" r:id="rId395"/>
    <hyperlink xmlns:r="http://schemas.openxmlformats.org/officeDocument/2006/relationships" ref="H83" r:id="rId396"/>
    <hyperlink xmlns:r="http://schemas.openxmlformats.org/officeDocument/2006/relationships" ref="AV83" r:id="rId397"/>
    <hyperlink xmlns:r="http://schemas.openxmlformats.org/officeDocument/2006/relationships" ref="C84" r:id="rId398"/>
    <hyperlink xmlns:r="http://schemas.openxmlformats.org/officeDocument/2006/relationships" ref="D84" r:id="rId399"/>
    <hyperlink xmlns:r="http://schemas.openxmlformats.org/officeDocument/2006/relationships" ref="H84" r:id="rId400"/>
    <hyperlink xmlns:r="http://schemas.openxmlformats.org/officeDocument/2006/relationships" ref="AV84" r:id="rId401"/>
    <hyperlink xmlns:r="http://schemas.openxmlformats.org/officeDocument/2006/relationships" ref="C85" r:id="rId402"/>
    <hyperlink xmlns:r="http://schemas.openxmlformats.org/officeDocument/2006/relationships" ref="D85" r:id="rId403"/>
    <hyperlink xmlns:r="http://schemas.openxmlformats.org/officeDocument/2006/relationships" ref="H85" r:id="rId404"/>
    <hyperlink xmlns:r="http://schemas.openxmlformats.org/officeDocument/2006/relationships" ref="AV85" r:id="rId405"/>
    <hyperlink xmlns:r="http://schemas.openxmlformats.org/officeDocument/2006/relationships" ref="C86" r:id="rId406"/>
    <hyperlink xmlns:r="http://schemas.openxmlformats.org/officeDocument/2006/relationships" ref="D86" r:id="rId407"/>
    <hyperlink xmlns:r="http://schemas.openxmlformats.org/officeDocument/2006/relationships" ref="H86" r:id="rId408"/>
    <hyperlink xmlns:r="http://schemas.openxmlformats.org/officeDocument/2006/relationships" ref="AV86" r:id="rId409"/>
    <hyperlink xmlns:r="http://schemas.openxmlformats.org/officeDocument/2006/relationships" ref="C87" r:id="rId410"/>
    <hyperlink xmlns:r="http://schemas.openxmlformats.org/officeDocument/2006/relationships" ref="D87" r:id="rId411"/>
    <hyperlink xmlns:r="http://schemas.openxmlformats.org/officeDocument/2006/relationships" ref="H87" r:id="rId412"/>
    <hyperlink xmlns:r="http://schemas.openxmlformats.org/officeDocument/2006/relationships" ref="AV87" r:id="rId413"/>
    <hyperlink xmlns:r="http://schemas.openxmlformats.org/officeDocument/2006/relationships" ref="C88" r:id="rId414"/>
    <hyperlink xmlns:r="http://schemas.openxmlformats.org/officeDocument/2006/relationships" ref="D88" r:id="rId415"/>
    <hyperlink xmlns:r="http://schemas.openxmlformats.org/officeDocument/2006/relationships" ref="H88" r:id="rId416"/>
    <hyperlink xmlns:r="http://schemas.openxmlformats.org/officeDocument/2006/relationships" ref="AV88" r:id="rId417"/>
    <hyperlink xmlns:r="http://schemas.openxmlformats.org/officeDocument/2006/relationships" ref="C89" r:id="rId418"/>
    <hyperlink xmlns:r="http://schemas.openxmlformats.org/officeDocument/2006/relationships" ref="D89" r:id="rId419"/>
    <hyperlink xmlns:r="http://schemas.openxmlformats.org/officeDocument/2006/relationships" ref="H89" r:id="rId420"/>
    <hyperlink xmlns:r="http://schemas.openxmlformats.org/officeDocument/2006/relationships" ref="AV89" r:id="rId421"/>
    <hyperlink xmlns:r="http://schemas.openxmlformats.org/officeDocument/2006/relationships" ref="C90" r:id="rId422"/>
    <hyperlink xmlns:r="http://schemas.openxmlformats.org/officeDocument/2006/relationships" ref="D90" r:id="rId423"/>
    <hyperlink xmlns:r="http://schemas.openxmlformats.org/officeDocument/2006/relationships" ref="H90" r:id="rId424"/>
    <hyperlink xmlns:r="http://schemas.openxmlformats.org/officeDocument/2006/relationships" ref="AV90" r:id="rId425"/>
    <hyperlink xmlns:r="http://schemas.openxmlformats.org/officeDocument/2006/relationships" ref="C91" r:id="rId426"/>
    <hyperlink xmlns:r="http://schemas.openxmlformats.org/officeDocument/2006/relationships" ref="D91" r:id="rId427"/>
    <hyperlink xmlns:r="http://schemas.openxmlformats.org/officeDocument/2006/relationships" ref="H91" r:id="rId428"/>
    <hyperlink xmlns:r="http://schemas.openxmlformats.org/officeDocument/2006/relationships" ref="AV91" r:id="rId429"/>
    <hyperlink xmlns:r="http://schemas.openxmlformats.org/officeDocument/2006/relationships" ref="C92" r:id="rId430"/>
    <hyperlink xmlns:r="http://schemas.openxmlformats.org/officeDocument/2006/relationships" ref="D92" r:id="rId431"/>
    <hyperlink xmlns:r="http://schemas.openxmlformats.org/officeDocument/2006/relationships" ref="H92" r:id="rId432"/>
    <hyperlink xmlns:r="http://schemas.openxmlformats.org/officeDocument/2006/relationships" ref="AV92" r:id="rId433"/>
    <hyperlink xmlns:r="http://schemas.openxmlformats.org/officeDocument/2006/relationships" ref="C93" r:id="rId434"/>
    <hyperlink xmlns:r="http://schemas.openxmlformats.org/officeDocument/2006/relationships" ref="D93" r:id="rId435"/>
    <hyperlink xmlns:r="http://schemas.openxmlformats.org/officeDocument/2006/relationships" ref="H93" r:id="rId436"/>
    <hyperlink xmlns:r="http://schemas.openxmlformats.org/officeDocument/2006/relationships" ref="AV93" r:id="rId437"/>
    <hyperlink xmlns:r="http://schemas.openxmlformats.org/officeDocument/2006/relationships" ref="C94" r:id="rId438"/>
    <hyperlink xmlns:r="http://schemas.openxmlformats.org/officeDocument/2006/relationships" ref="D94" r:id="rId439"/>
    <hyperlink xmlns:r="http://schemas.openxmlformats.org/officeDocument/2006/relationships" ref="H94" r:id="rId440"/>
    <hyperlink xmlns:r="http://schemas.openxmlformats.org/officeDocument/2006/relationships" ref="AV94" r:id="rId441"/>
    <hyperlink xmlns:r="http://schemas.openxmlformats.org/officeDocument/2006/relationships" ref="C95" r:id="rId442"/>
    <hyperlink xmlns:r="http://schemas.openxmlformats.org/officeDocument/2006/relationships" ref="D95" r:id="rId443"/>
    <hyperlink xmlns:r="http://schemas.openxmlformats.org/officeDocument/2006/relationships" ref="H95" r:id="rId444"/>
    <hyperlink xmlns:r="http://schemas.openxmlformats.org/officeDocument/2006/relationships" ref="AV95" r:id="rId445"/>
    <hyperlink xmlns:r="http://schemas.openxmlformats.org/officeDocument/2006/relationships" ref="C96" r:id="rId446"/>
    <hyperlink xmlns:r="http://schemas.openxmlformats.org/officeDocument/2006/relationships" ref="D96" r:id="rId447"/>
    <hyperlink xmlns:r="http://schemas.openxmlformats.org/officeDocument/2006/relationships" ref="H96" r:id="rId448"/>
    <hyperlink xmlns:r="http://schemas.openxmlformats.org/officeDocument/2006/relationships" ref="AV96" r:id="rId449"/>
    <hyperlink xmlns:r="http://schemas.openxmlformats.org/officeDocument/2006/relationships" ref="C97" r:id="rId450"/>
    <hyperlink xmlns:r="http://schemas.openxmlformats.org/officeDocument/2006/relationships" ref="D97" r:id="rId451"/>
    <hyperlink xmlns:r="http://schemas.openxmlformats.org/officeDocument/2006/relationships" ref="H97" r:id="rId452"/>
    <hyperlink xmlns:r="http://schemas.openxmlformats.org/officeDocument/2006/relationships" ref="AV97" r:id="rId453"/>
    <hyperlink xmlns:r="http://schemas.openxmlformats.org/officeDocument/2006/relationships" ref="C98" r:id="rId454"/>
    <hyperlink xmlns:r="http://schemas.openxmlformats.org/officeDocument/2006/relationships" ref="D98" r:id="rId455"/>
    <hyperlink xmlns:r="http://schemas.openxmlformats.org/officeDocument/2006/relationships" ref="H98" r:id="rId456"/>
    <hyperlink xmlns:r="http://schemas.openxmlformats.org/officeDocument/2006/relationships" ref="AV98" r:id="rId457"/>
    <hyperlink xmlns:r="http://schemas.openxmlformats.org/officeDocument/2006/relationships" ref="C99" r:id="rId458"/>
    <hyperlink xmlns:r="http://schemas.openxmlformats.org/officeDocument/2006/relationships" ref="D99" r:id="rId459"/>
    <hyperlink xmlns:r="http://schemas.openxmlformats.org/officeDocument/2006/relationships" ref="H99" r:id="rId460"/>
    <hyperlink xmlns:r="http://schemas.openxmlformats.org/officeDocument/2006/relationships" ref="AV99" r:id="rId461"/>
    <hyperlink xmlns:r="http://schemas.openxmlformats.org/officeDocument/2006/relationships" ref="C100" r:id="rId462"/>
    <hyperlink xmlns:r="http://schemas.openxmlformats.org/officeDocument/2006/relationships" ref="D100" r:id="rId463"/>
    <hyperlink xmlns:r="http://schemas.openxmlformats.org/officeDocument/2006/relationships" ref="H100" r:id="rId464"/>
    <hyperlink xmlns:r="http://schemas.openxmlformats.org/officeDocument/2006/relationships" ref="AV100" r:id="rId465"/>
    <hyperlink xmlns:r="http://schemas.openxmlformats.org/officeDocument/2006/relationships" ref="C101" r:id="rId466"/>
    <hyperlink xmlns:r="http://schemas.openxmlformats.org/officeDocument/2006/relationships" ref="D101" r:id="rId467"/>
    <hyperlink xmlns:r="http://schemas.openxmlformats.org/officeDocument/2006/relationships" ref="H101" r:id="rId468"/>
    <hyperlink xmlns:r="http://schemas.openxmlformats.org/officeDocument/2006/relationships" ref="AV101" r:id="rId469"/>
    <hyperlink xmlns:r="http://schemas.openxmlformats.org/officeDocument/2006/relationships" ref="C102" r:id="rId470"/>
    <hyperlink xmlns:r="http://schemas.openxmlformats.org/officeDocument/2006/relationships" ref="D102" r:id="rId471"/>
    <hyperlink xmlns:r="http://schemas.openxmlformats.org/officeDocument/2006/relationships" ref="H102" r:id="rId472"/>
    <hyperlink xmlns:r="http://schemas.openxmlformats.org/officeDocument/2006/relationships" ref="AV102" r:id="rId473"/>
    <hyperlink xmlns:r="http://schemas.openxmlformats.org/officeDocument/2006/relationships" ref="C103" r:id="rId474"/>
    <hyperlink xmlns:r="http://schemas.openxmlformats.org/officeDocument/2006/relationships" ref="D103" r:id="rId475"/>
    <hyperlink xmlns:r="http://schemas.openxmlformats.org/officeDocument/2006/relationships" ref="H103" r:id="rId476"/>
    <hyperlink xmlns:r="http://schemas.openxmlformats.org/officeDocument/2006/relationships" ref="AV103" r:id="rId477"/>
    <hyperlink xmlns:r="http://schemas.openxmlformats.org/officeDocument/2006/relationships" ref="C104" r:id="rId478"/>
    <hyperlink xmlns:r="http://schemas.openxmlformats.org/officeDocument/2006/relationships" ref="D104" r:id="rId479"/>
    <hyperlink xmlns:r="http://schemas.openxmlformats.org/officeDocument/2006/relationships" ref="H104" r:id="rId480"/>
    <hyperlink xmlns:r="http://schemas.openxmlformats.org/officeDocument/2006/relationships" ref="AV104" r:id="rId481"/>
    <hyperlink xmlns:r="http://schemas.openxmlformats.org/officeDocument/2006/relationships" ref="C105" r:id="rId482"/>
    <hyperlink xmlns:r="http://schemas.openxmlformats.org/officeDocument/2006/relationships" ref="D105" r:id="rId483"/>
    <hyperlink xmlns:r="http://schemas.openxmlformats.org/officeDocument/2006/relationships" ref="H105" r:id="rId484"/>
    <hyperlink xmlns:r="http://schemas.openxmlformats.org/officeDocument/2006/relationships" ref="AV105" r:id="rId485"/>
    <hyperlink xmlns:r="http://schemas.openxmlformats.org/officeDocument/2006/relationships" ref="C106" r:id="rId486"/>
    <hyperlink xmlns:r="http://schemas.openxmlformats.org/officeDocument/2006/relationships" ref="D106" r:id="rId487"/>
    <hyperlink xmlns:r="http://schemas.openxmlformats.org/officeDocument/2006/relationships" ref="H106" r:id="rId488"/>
    <hyperlink xmlns:r="http://schemas.openxmlformats.org/officeDocument/2006/relationships" ref="AV106" r:id="rId489"/>
    <hyperlink xmlns:r="http://schemas.openxmlformats.org/officeDocument/2006/relationships" ref="C107" r:id="rId490"/>
    <hyperlink xmlns:r="http://schemas.openxmlformats.org/officeDocument/2006/relationships" ref="D107" r:id="rId491"/>
    <hyperlink xmlns:r="http://schemas.openxmlformats.org/officeDocument/2006/relationships" ref="H107" r:id="rId492"/>
    <hyperlink xmlns:r="http://schemas.openxmlformats.org/officeDocument/2006/relationships" ref="AV107" r:id="rId493"/>
    <hyperlink xmlns:r="http://schemas.openxmlformats.org/officeDocument/2006/relationships" ref="C108" r:id="rId494"/>
    <hyperlink xmlns:r="http://schemas.openxmlformats.org/officeDocument/2006/relationships" ref="D108" r:id="rId495"/>
    <hyperlink xmlns:r="http://schemas.openxmlformats.org/officeDocument/2006/relationships" ref="H108" r:id="rId496"/>
    <hyperlink xmlns:r="http://schemas.openxmlformats.org/officeDocument/2006/relationships" ref="AV108" r:id="rId497"/>
    <hyperlink xmlns:r="http://schemas.openxmlformats.org/officeDocument/2006/relationships" ref="C109" r:id="rId498"/>
    <hyperlink xmlns:r="http://schemas.openxmlformats.org/officeDocument/2006/relationships" ref="D109" r:id="rId499"/>
    <hyperlink xmlns:r="http://schemas.openxmlformats.org/officeDocument/2006/relationships" ref="H109" r:id="rId500"/>
    <hyperlink xmlns:r="http://schemas.openxmlformats.org/officeDocument/2006/relationships" ref="AV109" r:id="rId501"/>
    <hyperlink xmlns:r="http://schemas.openxmlformats.org/officeDocument/2006/relationships" ref="C110" r:id="rId502"/>
    <hyperlink xmlns:r="http://schemas.openxmlformats.org/officeDocument/2006/relationships" ref="D110" r:id="rId503"/>
    <hyperlink xmlns:r="http://schemas.openxmlformats.org/officeDocument/2006/relationships" ref="H110" r:id="rId504"/>
    <hyperlink xmlns:r="http://schemas.openxmlformats.org/officeDocument/2006/relationships" ref="AV110" r:id="rId505"/>
    <hyperlink xmlns:r="http://schemas.openxmlformats.org/officeDocument/2006/relationships" ref="C111" r:id="rId506"/>
    <hyperlink xmlns:r="http://schemas.openxmlformats.org/officeDocument/2006/relationships" ref="D111" r:id="rId507"/>
    <hyperlink xmlns:r="http://schemas.openxmlformats.org/officeDocument/2006/relationships" ref="H111" r:id="rId508"/>
    <hyperlink xmlns:r="http://schemas.openxmlformats.org/officeDocument/2006/relationships" ref="AV111" r:id="rId509"/>
    <hyperlink xmlns:r="http://schemas.openxmlformats.org/officeDocument/2006/relationships" ref="C112" r:id="rId510"/>
    <hyperlink xmlns:r="http://schemas.openxmlformats.org/officeDocument/2006/relationships" ref="D112" r:id="rId511"/>
    <hyperlink xmlns:r="http://schemas.openxmlformats.org/officeDocument/2006/relationships" ref="H112" r:id="rId512"/>
    <hyperlink xmlns:r="http://schemas.openxmlformats.org/officeDocument/2006/relationships" ref="AV112" r:id="rId513"/>
    <hyperlink xmlns:r="http://schemas.openxmlformats.org/officeDocument/2006/relationships" ref="C113" r:id="rId514"/>
    <hyperlink xmlns:r="http://schemas.openxmlformats.org/officeDocument/2006/relationships" ref="D113" r:id="rId515"/>
    <hyperlink xmlns:r="http://schemas.openxmlformats.org/officeDocument/2006/relationships" ref="H113" r:id="rId516"/>
    <hyperlink xmlns:r="http://schemas.openxmlformats.org/officeDocument/2006/relationships" ref="AV113" r:id="rId517"/>
    <hyperlink xmlns:r="http://schemas.openxmlformats.org/officeDocument/2006/relationships" ref="C114" r:id="rId518"/>
    <hyperlink xmlns:r="http://schemas.openxmlformats.org/officeDocument/2006/relationships" ref="D114" r:id="rId519"/>
    <hyperlink xmlns:r="http://schemas.openxmlformats.org/officeDocument/2006/relationships" ref="H114" r:id="rId520"/>
    <hyperlink xmlns:r="http://schemas.openxmlformats.org/officeDocument/2006/relationships" ref="AV114" r:id="rId521"/>
    <hyperlink xmlns:r="http://schemas.openxmlformats.org/officeDocument/2006/relationships" ref="C115" r:id="rId522"/>
    <hyperlink xmlns:r="http://schemas.openxmlformats.org/officeDocument/2006/relationships" ref="D115" r:id="rId523"/>
    <hyperlink xmlns:r="http://schemas.openxmlformats.org/officeDocument/2006/relationships" ref="H115" r:id="rId524"/>
    <hyperlink xmlns:r="http://schemas.openxmlformats.org/officeDocument/2006/relationships" ref="AV115" r:id="rId525"/>
    <hyperlink xmlns:r="http://schemas.openxmlformats.org/officeDocument/2006/relationships" ref="C116" r:id="rId526"/>
    <hyperlink xmlns:r="http://schemas.openxmlformats.org/officeDocument/2006/relationships" ref="D116" r:id="rId527"/>
    <hyperlink xmlns:r="http://schemas.openxmlformats.org/officeDocument/2006/relationships" ref="H116" r:id="rId528"/>
    <hyperlink xmlns:r="http://schemas.openxmlformats.org/officeDocument/2006/relationships" ref="AV116" r:id="rId529"/>
    <hyperlink xmlns:r="http://schemas.openxmlformats.org/officeDocument/2006/relationships" ref="C117" r:id="rId530"/>
    <hyperlink xmlns:r="http://schemas.openxmlformats.org/officeDocument/2006/relationships" ref="D117" r:id="rId531"/>
    <hyperlink xmlns:r="http://schemas.openxmlformats.org/officeDocument/2006/relationships" ref="H117" r:id="rId532"/>
    <hyperlink xmlns:r="http://schemas.openxmlformats.org/officeDocument/2006/relationships" ref="AV117" r:id="rId533"/>
    <hyperlink xmlns:r="http://schemas.openxmlformats.org/officeDocument/2006/relationships" ref="C118" r:id="rId534"/>
    <hyperlink xmlns:r="http://schemas.openxmlformats.org/officeDocument/2006/relationships" ref="D118" r:id="rId535"/>
    <hyperlink xmlns:r="http://schemas.openxmlformats.org/officeDocument/2006/relationships" ref="H118" r:id="rId536"/>
    <hyperlink xmlns:r="http://schemas.openxmlformats.org/officeDocument/2006/relationships" ref="AV118" r:id="rId537"/>
    <hyperlink xmlns:r="http://schemas.openxmlformats.org/officeDocument/2006/relationships" ref="C119" r:id="rId538"/>
    <hyperlink xmlns:r="http://schemas.openxmlformats.org/officeDocument/2006/relationships" ref="D119" r:id="rId539"/>
    <hyperlink xmlns:r="http://schemas.openxmlformats.org/officeDocument/2006/relationships" ref="H119" r:id="rId540"/>
    <hyperlink xmlns:r="http://schemas.openxmlformats.org/officeDocument/2006/relationships" ref="AV119" r:id="rId541"/>
    <hyperlink xmlns:r="http://schemas.openxmlformats.org/officeDocument/2006/relationships" ref="C120" r:id="rId542"/>
    <hyperlink xmlns:r="http://schemas.openxmlformats.org/officeDocument/2006/relationships" ref="D120" r:id="rId543"/>
    <hyperlink xmlns:r="http://schemas.openxmlformats.org/officeDocument/2006/relationships" ref="H120" r:id="rId544"/>
    <hyperlink xmlns:r="http://schemas.openxmlformats.org/officeDocument/2006/relationships" ref="AV120" r:id="rId545"/>
    <hyperlink xmlns:r="http://schemas.openxmlformats.org/officeDocument/2006/relationships" ref="C121" r:id="rId546"/>
    <hyperlink xmlns:r="http://schemas.openxmlformats.org/officeDocument/2006/relationships" ref="D121" r:id="rId547"/>
    <hyperlink xmlns:r="http://schemas.openxmlformats.org/officeDocument/2006/relationships" ref="H121" r:id="rId548"/>
    <hyperlink xmlns:r="http://schemas.openxmlformats.org/officeDocument/2006/relationships" ref="AV121" r:id="rId549"/>
    <hyperlink xmlns:r="http://schemas.openxmlformats.org/officeDocument/2006/relationships" ref="C122" r:id="rId550"/>
    <hyperlink xmlns:r="http://schemas.openxmlformats.org/officeDocument/2006/relationships" ref="D122" r:id="rId551"/>
    <hyperlink xmlns:r="http://schemas.openxmlformats.org/officeDocument/2006/relationships" ref="H122" r:id="rId552"/>
    <hyperlink xmlns:r="http://schemas.openxmlformats.org/officeDocument/2006/relationships" ref="AV122" r:id="rId553"/>
    <hyperlink xmlns:r="http://schemas.openxmlformats.org/officeDocument/2006/relationships" ref="C123" r:id="rId554"/>
    <hyperlink xmlns:r="http://schemas.openxmlformats.org/officeDocument/2006/relationships" ref="D123" r:id="rId555"/>
    <hyperlink xmlns:r="http://schemas.openxmlformats.org/officeDocument/2006/relationships" ref="H123" r:id="rId556"/>
    <hyperlink xmlns:r="http://schemas.openxmlformats.org/officeDocument/2006/relationships" ref="AV123" r:id="rId557"/>
    <hyperlink xmlns:r="http://schemas.openxmlformats.org/officeDocument/2006/relationships" ref="C124" r:id="rId558"/>
    <hyperlink xmlns:r="http://schemas.openxmlformats.org/officeDocument/2006/relationships" ref="D124" r:id="rId559"/>
    <hyperlink xmlns:r="http://schemas.openxmlformats.org/officeDocument/2006/relationships" ref="H124" r:id="rId560"/>
    <hyperlink xmlns:r="http://schemas.openxmlformats.org/officeDocument/2006/relationships" ref="AV124" r:id="rId561"/>
    <hyperlink xmlns:r="http://schemas.openxmlformats.org/officeDocument/2006/relationships" ref="C125" r:id="rId562"/>
    <hyperlink xmlns:r="http://schemas.openxmlformats.org/officeDocument/2006/relationships" ref="D125" r:id="rId563"/>
    <hyperlink xmlns:r="http://schemas.openxmlformats.org/officeDocument/2006/relationships" ref="H125" r:id="rId564"/>
    <hyperlink xmlns:r="http://schemas.openxmlformats.org/officeDocument/2006/relationships" ref="AV125" r:id="rId565"/>
    <hyperlink xmlns:r="http://schemas.openxmlformats.org/officeDocument/2006/relationships" ref="C126" r:id="rId566"/>
    <hyperlink xmlns:r="http://schemas.openxmlformats.org/officeDocument/2006/relationships" ref="D126" r:id="rId567"/>
    <hyperlink xmlns:r="http://schemas.openxmlformats.org/officeDocument/2006/relationships" ref="H126" r:id="rId568"/>
    <hyperlink xmlns:r="http://schemas.openxmlformats.org/officeDocument/2006/relationships" ref="AV126" r:id="rId569"/>
    <hyperlink xmlns:r="http://schemas.openxmlformats.org/officeDocument/2006/relationships" ref="C127" r:id="rId570"/>
    <hyperlink xmlns:r="http://schemas.openxmlformats.org/officeDocument/2006/relationships" ref="D127" r:id="rId571"/>
    <hyperlink xmlns:r="http://schemas.openxmlformats.org/officeDocument/2006/relationships" ref="H127" r:id="rId572"/>
    <hyperlink xmlns:r="http://schemas.openxmlformats.org/officeDocument/2006/relationships" ref="AV127" r:id="rId573"/>
    <hyperlink xmlns:r="http://schemas.openxmlformats.org/officeDocument/2006/relationships" ref="C128" r:id="rId574"/>
    <hyperlink xmlns:r="http://schemas.openxmlformats.org/officeDocument/2006/relationships" ref="D128" r:id="rId575"/>
    <hyperlink xmlns:r="http://schemas.openxmlformats.org/officeDocument/2006/relationships" ref="H128" r:id="rId576"/>
    <hyperlink xmlns:r="http://schemas.openxmlformats.org/officeDocument/2006/relationships" ref="AV128" r:id="rId577"/>
    <hyperlink xmlns:r="http://schemas.openxmlformats.org/officeDocument/2006/relationships" ref="C129" r:id="rId578"/>
    <hyperlink xmlns:r="http://schemas.openxmlformats.org/officeDocument/2006/relationships" ref="D129" r:id="rId579"/>
    <hyperlink xmlns:r="http://schemas.openxmlformats.org/officeDocument/2006/relationships" ref="H129" r:id="rId580"/>
    <hyperlink xmlns:r="http://schemas.openxmlformats.org/officeDocument/2006/relationships" ref="AV129" r:id="rId581"/>
    <hyperlink xmlns:r="http://schemas.openxmlformats.org/officeDocument/2006/relationships" ref="C130" r:id="rId582"/>
    <hyperlink xmlns:r="http://schemas.openxmlformats.org/officeDocument/2006/relationships" ref="D130" r:id="rId583"/>
    <hyperlink xmlns:r="http://schemas.openxmlformats.org/officeDocument/2006/relationships" ref="H130" r:id="rId584"/>
    <hyperlink xmlns:r="http://schemas.openxmlformats.org/officeDocument/2006/relationships" ref="AV130" r:id="rId585"/>
    <hyperlink xmlns:r="http://schemas.openxmlformats.org/officeDocument/2006/relationships" ref="C131" r:id="rId586"/>
    <hyperlink xmlns:r="http://schemas.openxmlformats.org/officeDocument/2006/relationships" ref="D131" r:id="rId587"/>
    <hyperlink xmlns:r="http://schemas.openxmlformats.org/officeDocument/2006/relationships" ref="H131" r:id="rId588"/>
    <hyperlink xmlns:r="http://schemas.openxmlformats.org/officeDocument/2006/relationships" ref="AV131" r:id="rId589"/>
    <hyperlink xmlns:r="http://schemas.openxmlformats.org/officeDocument/2006/relationships" ref="C132" r:id="rId590"/>
    <hyperlink xmlns:r="http://schemas.openxmlformats.org/officeDocument/2006/relationships" ref="D132" r:id="rId591"/>
    <hyperlink xmlns:r="http://schemas.openxmlformats.org/officeDocument/2006/relationships" ref="H132" r:id="rId592"/>
    <hyperlink xmlns:r="http://schemas.openxmlformats.org/officeDocument/2006/relationships" ref="AV132" r:id="rId593"/>
    <hyperlink xmlns:r="http://schemas.openxmlformats.org/officeDocument/2006/relationships" ref="C133" r:id="rId594"/>
    <hyperlink xmlns:r="http://schemas.openxmlformats.org/officeDocument/2006/relationships" ref="D133" r:id="rId595"/>
    <hyperlink xmlns:r="http://schemas.openxmlformats.org/officeDocument/2006/relationships" ref="H133" r:id="rId596"/>
    <hyperlink xmlns:r="http://schemas.openxmlformats.org/officeDocument/2006/relationships" ref="AV133" r:id="rId597"/>
    <hyperlink xmlns:r="http://schemas.openxmlformats.org/officeDocument/2006/relationships" ref="C134" r:id="rId598"/>
    <hyperlink xmlns:r="http://schemas.openxmlformats.org/officeDocument/2006/relationships" ref="D134" r:id="rId599"/>
    <hyperlink xmlns:r="http://schemas.openxmlformats.org/officeDocument/2006/relationships" ref="H134" r:id="rId600"/>
    <hyperlink xmlns:r="http://schemas.openxmlformats.org/officeDocument/2006/relationships" ref="AV134" r:id="rId601"/>
    <hyperlink xmlns:r="http://schemas.openxmlformats.org/officeDocument/2006/relationships" ref="C135" r:id="rId602"/>
    <hyperlink xmlns:r="http://schemas.openxmlformats.org/officeDocument/2006/relationships" ref="D135" r:id="rId603"/>
    <hyperlink xmlns:r="http://schemas.openxmlformats.org/officeDocument/2006/relationships" ref="H135" r:id="rId604"/>
    <hyperlink xmlns:r="http://schemas.openxmlformats.org/officeDocument/2006/relationships" ref="AV135" r:id="rId605"/>
    <hyperlink xmlns:r="http://schemas.openxmlformats.org/officeDocument/2006/relationships" ref="C136" r:id="rId606"/>
    <hyperlink xmlns:r="http://schemas.openxmlformats.org/officeDocument/2006/relationships" ref="D136" r:id="rId607"/>
    <hyperlink xmlns:r="http://schemas.openxmlformats.org/officeDocument/2006/relationships" ref="H136" r:id="rId608"/>
    <hyperlink xmlns:r="http://schemas.openxmlformats.org/officeDocument/2006/relationships" ref="AV136" r:id="rId609"/>
    <hyperlink xmlns:r="http://schemas.openxmlformats.org/officeDocument/2006/relationships" ref="C137" r:id="rId610"/>
    <hyperlink xmlns:r="http://schemas.openxmlformats.org/officeDocument/2006/relationships" ref="D137" r:id="rId611"/>
    <hyperlink xmlns:r="http://schemas.openxmlformats.org/officeDocument/2006/relationships" ref="H137" r:id="rId612"/>
    <hyperlink xmlns:r="http://schemas.openxmlformats.org/officeDocument/2006/relationships" ref="AV137" r:id="rId613"/>
    <hyperlink xmlns:r="http://schemas.openxmlformats.org/officeDocument/2006/relationships" ref="C138" r:id="rId614"/>
    <hyperlink xmlns:r="http://schemas.openxmlformats.org/officeDocument/2006/relationships" ref="D138" r:id="rId615"/>
    <hyperlink xmlns:r="http://schemas.openxmlformats.org/officeDocument/2006/relationships" ref="H138" r:id="rId616"/>
    <hyperlink xmlns:r="http://schemas.openxmlformats.org/officeDocument/2006/relationships" ref="AV138" r:id="rId617"/>
    <hyperlink xmlns:r="http://schemas.openxmlformats.org/officeDocument/2006/relationships" ref="C139" r:id="rId618"/>
    <hyperlink xmlns:r="http://schemas.openxmlformats.org/officeDocument/2006/relationships" ref="D139" r:id="rId619"/>
    <hyperlink xmlns:r="http://schemas.openxmlformats.org/officeDocument/2006/relationships" ref="H139" r:id="rId620"/>
    <hyperlink xmlns:r="http://schemas.openxmlformats.org/officeDocument/2006/relationships" ref="AV139" r:id="rId621"/>
    <hyperlink xmlns:r="http://schemas.openxmlformats.org/officeDocument/2006/relationships" ref="C140" r:id="rId622"/>
    <hyperlink xmlns:r="http://schemas.openxmlformats.org/officeDocument/2006/relationships" ref="D140" r:id="rId623"/>
    <hyperlink xmlns:r="http://schemas.openxmlformats.org/officeDocument/2006/relationships" ref="H140" r:id="rId624"/>
    <hyperlink xmlns:r="http://schemas.openxmlformats.org/officeDocument/2006/relationships" ref="AV140" r:id="rId625"/>
    <hyperlink xmlns:r="http://schemas.openxmlformats.org/officeDocument/2006/relationships" ref="C141" r:id="rId626"/>
    <hyperlink xmlns:r="http://schemas.openxmlformats.org/officeDocument/2006/relationships" ref="D141" r:id="rId627"/>
    <hyperlink xmlns:r="http://schemas.openxmlformats.org/officeDocument/2006/relationships" ref="H141" r:id="rId628"/>
    <hyperlink xmlns:r="http://schemas.openxmlformats.org/officeDocument/2006/relationships" ref="AV141" r:id="rId629"/>
    <hyperlink xmlns:r="http://schemas.openxmlformats.org/officeDocument/2006/relationships" ref="C142" r:id="rId630"/>
    <hyperlink xmlns:r="http://schemas.openxmlformats.org/officeDocument/2006/relationships" ref="D142" r:id="rId631"/>
    <hyperlink xmlns:r="http://schemas.openxmlformats.org/officeDocument/2006/relationships" ref="H142" r:id="rId632"/>
    <hyperlink xmlns:r="http://schemas.openxmlformats.org/officeDocument/2006/relationships" ref="AV142" r:id="rId633"/>
    <hyperlink xmlns:r="http://schemas.openxmlformats.org/officeDocument/2006/relationships" ref="C143" r:id="rId634"/>
    <hyperlink xmlns:r="http://schemas.openxmlformats.org/officeDocument/2006/relationships" ref="D143" r:id="rId635"/>
    <hyperlink xmlns:r="http://schemas.openxmlformats.org/officeDocument/2006/relationships" ref="H143" r:id="rId636"/>
    <hyperlink xmlns:r="http://schemas.openxmlformats.org/officeDocument/2006/relationships" ref="AV143" r:id="rId637"/>
    <hyperlink xmlns:r="http://schemas.openxmlformats.org/officeDocument/2006/relationships" ref="C144" r:id="rId638"/>
    <hyperlink xmlns:r="http://schemas.openxmlformats.org/officeDocument/2006/relationships" ref="D144" r:id="rId639"/>
    <hyperlink xmlns:r="http://schemas.openxmlformats.org/officeDocument/2006/relationships" ref="H144" r:id="rId640"/>
    <hyperlink xmlns:r="http://schemas.openxmlformats.org/officeDocument/2006/relationships" ref="AV144" r:id="rId641"/>
    <hyperlink xmlns:r="http://schemas.openxmlformats.org/officeDocument/2006/relationships" ref="C145" r:id="rId642"/>
    <hyperlink xmlns:r="http://schemas.openxmlformats.org/officeDocument/2006/relationships" ref="D145" r:id="rId643"/>
    <hyperlink xmlns:r="http://schemas.openxmlformats.org/officeDocument/2006/relationships" ref="H145" r:id="rId644"/>
    <hyperlink xmlns:r="http://schemas.openxmlformats.org/officeDocument/2006/relationships" ref="AV145" r:id="rId645"/>
    <hyperlink xmlns:r="http://schemas.openxmlformats.org/officeDocument/2006/relationships" ref="C146" r:id="rId646"/>
    <hyperlink xmlns:r="http://schemas.openxmlformats.org/officeDocument/2006/relationships" ref="D146" r:id="rId647"/>
    <hyperlink xmlns:r="http://schemas.openxmlformats.org/officeDocument/2006/relationships" ref="H146" r:id="rId648"/>
    <hyperlink xmlns:r="http://schemas.openxmlformats.org/officeDocument/2006/relationships" ref="AV146" r:id="rId649"/>
    <hyperlink xmlns:r="http://schemas.openxmlformats.org/officeDocument/2006/relationships" ref="C147" r:id="rId650"/>
    <hyperlink xmlns:r="http://schemas.openxmlformats.org/officeDocument/2006/relationships" ref="D147" r:id="rId651"/>
    <hyperlink xmlns:r="http://schemas.openxmlformats.org/officeDocument/2006/relationships" ref="H147" r:id="rId652"/>
    <hyperlink xmlns:r="http://schemas.openxmlformats.org/officeDocument/2006/relationships" ref="AV147" r:id="rId653"/>
    <hyperlink xmlns:r="http://schemas.openxmlformats.org/officeDocument/2006/relationships" ref="C148" r:id="rId654"/>
    <hyperlink xmlns:r="http://schemas.openxmlformats.org/officeDocument/2006/relationships" ref="D148" r:id="rId655"/>
    <hyperlink xmlns:r="http://schemas.openxmlformats.org/officeDocument/2006/relationships" ref="H148" r:id="rId656"/>
    <hyperlink xmlns:r="http://schemas.openxmlformats.org/officeDocument/2006/relationships" ref="AV148" r:id="rId657"/>
    <hyperlink xmlns:r="http://schemas.openxmlformats.org/officeDocument/2006/relationships" ref="C149" r:id="rId658"/>
    <hyperlink xmlns:r="http://schemas.openxmlformats.org/officeDocument/2006/relationships" ref="D149" r:id="rId659"/>
    <hyperlink xmlns:r="http://schemas.openxmlformats.org/officeDocument/2006/relationships" ref="H149" r:id="rId660"/>
    <hyperlink xmlns:r="http://schemas.openxmlformats.org/officeDocument/2006/relationships" ref="AV149" r:id="rId661"/>
    <hyperlink xmlns:r="http://schemas.openxmlformats.org/officeDocument/2006/relationships" ref="C150" r:id="rId662"/>
    <hyperlink xmlns:r="http://schemas.openxmlformats.org/officeDocument/2006/relationships" ref="D150" r:id="rId663"/>
    <hyperlink xmlns:r="http://schemas.openxmlformats.org/officeDocument/2006/relationships" ref="H150" r:id="rId664"/>
    <hyperlink xmlns:r="http://schemas.openxmlformats.org/officeDocument/2006/relationships" ref="AV150" r:id="rId665"/>
    <hyperlink xmlns:r="http://schemas.openxmlformats.org/officeDocument/2006/relationships" ref="C151" r:id="rId666"/>
    <hyperlink xmlns:r="http://schemas.openxmlformats.org/officeDocument/2006/relationships" ref="D151" r:id="rId667"/>
    <hyperlink xmlns:r="http://schemas.openxmlformats.org/officeDocument/2006/relationships" ref="H151" r:id="rId668"/>
    <hyperlink xmlns:r="http://schemas.openxmlformats.org/officeDocument/2006/relationships" ref="AV151" r:id="rId669"/>
    <hyperlink xmlns:r="http://schemas.openxmlformats.org/officeDocument/2006/relationships" ref="C152" r:id="rId670"/>
    <hyperlink xmlns:r="http://schemas.openxmlformats.org/officeDocument/2006/relationships" ref="D152" r:id="rId671"/>
    <hyperlink xmlns:r="http://schemas.openxmlformats.org/officeDocument/2006/relationships" ref="H152" r:id="rId672"/>
    <hyperlink xmlns:r="http://schemas.openxmlformats.org/officeDocument/2006/relationships" ref="AV152" r:id="rId673"/>
    <hyperlink xmlns:r="http://schemas.openxmlformats.org/officeDocument/2006/relationships" ref="C153" r:id="rId674"/>
    <hyperlink xmlns:r="http://schemas.openxmlformats.org/officeDocument/2006/relationships" ref="D153" r:id="rId675"/>
    <hyperlink xmlns:r="http://schemas.openxmlformats.org/officeDocument/2006/relationships" ref="H153" r:id="rId676"/>
    <hyperlink xmlns:r="http://schemas.openxmlformats.org/officeDocument/2006/relationships" ref="AV153" r:id="rId677"/>
    <hyperlink xmlns:r="http://schemas.openxmlformats.org/officeDocument/2006/relationships" ref="C154" r:id="rId678"/>
    <hyperlink xmlns:r="http://schemas.openxmlformats.org/officeDocument/2006/relationships" ref="D154" r:id="rId679"/>
    <hyperlink xmlns:r="http://schemas.openxmlformats.org/officeDocument/2006/relationships" ref="H154" r:id="rId680"/>
    <hyperlink xmlns:r="http://schemas.openxmlformats.org/officeDocument/2006/relationships" ref="AV154" r:id="rId681"/>
    <hyperlink xmlns:r="http://schemas.openxmlformats.org/officeDocument/2006/relationships" ref="C155" r:id="rId682"/>
    <hyperlink xmlns:r="http://schemas.openxmlformats.org/officeDocument/2006/relationships" ref="D155" r:id="rId683"/>
    <hyperlink xmlns:r="http://schemas.openxmlformats.org/officeDocument/2006/relationships" ref="H155" r:id="rId684"/>
    <hyperlink xmlns:r="http://schemas.openxmlformats.org/officeDocument/2006/relationships" ref="AV155" r:id="rId685"/>
    <hyperlink xmlns:r="http://schemas.openxmlformats.org/officeDocument/2006/relationships" ref="C156" r:id="rId686"/>
    <hyperlink xmlns:r="http://schemas.openxmlformats.org/officeDocument/2006/relationships" ref="D156" r:id="rId687"/>
    <hyperlink xmlns:r="http://schemas.openxmlformats.org/officeDocument/2006/relationships" ref="H156" r:id="rId688"/>
    <hyperlink xmlns:r="http://schemas.openxmlformats.org/officeDocument/2006/relationships" ref="AV156" r:id="rId689"/>
    <hyperlink xmlns:r="http://schemas.openxmlformats.org/officeDocument/2006/relationships" ref="C157" r:id="rId690"/>
    <hyperlink xmlns:r="http://schemas.openxmlformats.org/officeDocument/2006/relationships" ref="D157" r:id="rId691"/>
    <hyperlink xmlns:r="http://schemas.openxmlformats.org/officeDocument/2006/relationships" ref="H157" r:id="rId692"/>
    <hyperlink xmlns:r="http://schemas.openxmlformats.org/officeDocument/2006/relationships" ref="AV157" r:id="rId693"/>
    <hyperlink xmlns:r="http://schemas.openxmlformats.org/officeDocument/2006/relationships" ref="C158" r:id="rId694"/>
    <hyperlink xmlns:r="http://schemas.openxmlformats.org/officeDocument/2006/relationships" ref="D158" r:id="rId695"/>
    <hyperlink xmlns:r="http://schemas.openxmlformats.org/officeDocument/2006/relationships" ref="H158" r:id="rId696"/>
    <hyperlink xmlns:r="http://schemas.openxmlformats.org/officeDocument/2006/relationships" ref="AV158" r:id="rId697"/>
    <hyperlink xmlns:r="http://schemas.openxmlformats.org/officeDocument/2006/relationships" ref="C159" r:id="rId698"/>
    <hyperlink xmlns:r="http://schemas.openxmlformats.org/officeDocument/2006/relationships" ref="D159" r:id="rId699"/>
    <hyperlink xmlns:r="http://schemas.openxmlformats.org/officeDocument/2006/relationships" ref="H159" r:id="rId700"/>
    <hyperlink xmlns:r="http://schemas.openxmlformats.org/officeDocument/2006/relationships" ref="AV159" r:id="rId701"/>
    <hyperlink xmlns:r="http://schemas.openxmlformats.org/officeDocument/2006/relationships" ref="C160" r:id="rId702"/>
    <hyperlink xmlns:r="http://schemas.openxmlformats.org/officeDocument/2006/relationships" ref="D160" r:id="rId703"/>
    <hyperlink xmlns:r="http://schemas.openxmlformats.org/officeDocument/2006/relationships" ref="H160" r:id="rId704"/>
    <hyperlink xmlns:r="http://schemas.openxmlformats.org/officeDocument/2006/relationships" ref="AV160" r:id="rId705"/>
    <hyperlink xmlns:r="http://schemas.openxmlformats.org/officeDocument/2006/relationships" ref="C161" r:id="rId706"/>
    <hyperlink xmlns:r="http://schemas.openxmlformats.org/officeDocument/2006/relationships" ref="D161" r:id="rId707"/>
    <hyperlink xmlns:r="http://schemas.openxmlformats.org/officeDocument/2006/relationships" ref="H161" r:id="rId708"/>
    <hyperlink xmlns:r="http://schemas.openxmlformats.org/officeDocument/2006/relationships" ref="AV161" r:id="rId709"/>
    <hyperlink xmlns:r="http://schemas.openxmlformats.org/officeDocument/2006/relationships" ref="C162" r:id="rId710"/>
    <hyperlink xmlns:r="http://schemas.openxmlformats.org/officeDocument/2006/relationships" ref="D162" r:id="rId711"/>
    <hyperlink xmlns:r="http://schemas.openxmlformats.org/officeDocument/2006/relationships" ref="H162" r:id="rId712"/>
    <hyperlink xmlns:r="http://schemas.openxmlformats.org/officeDocument/2006/relationships" ref="AV162" r:id="rId713"/>
    <hyperlink xmlns:r="http://schemas.openxmlformats.org/officeDocument/2006/relationships" ref="C163" r:id="rId714"/>
    <hyperlink xmlns:r="http://schemas.openxmlformats.org/officeDocument/2006/relationships" ref="D163" r:id="rId715"/>
    <hyperlink xmlns:r="http://schemas.openxmlformats.org/officeDocument/2006/relationships" ref="H163" r:id="rId716"/>
    <hyperlink xmlns:r="http://schemas.openxmlformats.org/officeDocument/2006/relationships" ref="AV163" r:id="rId717"/>
    <hyperlink xmlns:r="http://schemas.openxmlformats.org/officeDocument/2006/relationships" ref="C164" r:id="rId718"/>
    <hyperlink xmlns:r="http://schemas.openxmlformats.org/officeDocument/2006/relationships" ref="D164" r:id="rId719"/>
    <hyperlink xmlns:r="http://schemas.openxmlformats.org/officeDocument/2006/relationships" ref="H164" r:id="rId720"/>
    <hyperlink xmlns:r="http://schemas.openxmlformats.org/officeDocument/2006/relationships" ref="AV164" r:id="rId721"/>
    <hyperlink xmlns:r="http://schemas.openxmlformats.org/officeDocument/2006/relationships" ref="C165" r:id="rId722"/>
    <hyperlink xmlns:r="http://schemas.openxmlformats.org/officeDocument/2006/relationships" ref="D165" r:id="rId723"/>
    <hyperlink xmlns:r="http://schemas.openxmlformats.org/officeDocument/2006/relationships" ref="H165" r:id="rId724"/>
    <hyperlink xmlns:r="http://schemas.openxmlformats.org/officeDocument/2006/relationships" ref="AV165" r:id="rId725"/>
    <hyperlink xmlns:r="http://schemas.openxmlformats.org/officeDocument/2006/relationships" ref="C166" r:id="rId726"/>
    <hyperlink xmlns:r="http://schemas.openxmlformats.org/officeDocument/2006/relationships" ref="D166" r:id="rId727"/>
    <hyperlink xmlns:r="http://schemas.openxmlformats.org/officeDocument/2006/relationships" ref="H166" r:id="rId728"/>
    <hyperlink xmlns:r="http://schemas.openxmlformats.org/officeDocument/2006/relationships" ref="AV166" r:id="rId729"/>
    <hyperlink xmlns:r="http://schemas.openxmlformats.org/officeDocument/2006/relationships" ref="C167" r:id="rId730"/>
    <hyperlink xmlns:r="http://schemas.openxmlformats.org/officeDocument/2006/relationships" ref="D167" r:id="rId731"/>
    <hyperlink xmlns:r="http://schemas.openxmlformats.org/officeDocument/2006/relationships" ref="H167" r:id="rId732"/>
    <hyperlink xmlns:r="http://schemas.openxmlformats.org/officeDocument/2006/relationships" ref="AV167" r:id="rId733"/>
    <hyperlink xmlns:r="http://schemas.openxmlformats.org/officeDocument/2006/relationships" ref="C168" r:id="rId734"/>
    <hyperlink xmlns:r="http://schemas.openxmlformats.org/officeDocument/2006/relationships" ref="D168" r:id="rId735"/>
    <hyperlink xmlns:r="http://schemas.openxmlformats.org/officeDocument/2006/relationships" ref="H168" r:id="rId736"/>
    <hyperlink xmlns:r="http://schemas.openxmlformats.org/officeDocument/2006/relationships" ref="AV168" r:id="rId737"/>
    <hyperlink xmlns:r="http://schemas.openxmlformats.org/officeDocument/2006/relationships" ref="C169" r:id="rId738"/>
    <hyperlink xmlns:r="http://schemas.openxmlformats.org/officeDocument/2006/relationships" ref="D169" r:id="rId739"/>
    <hyperlink xmlns:r="http://schemas.openxmlformats.org/officeDocument/2006/relationships" ref="H169" r:id="rId740"/>
    <hyperlink xmlns:r="http://schemas.openxmlformats.org/officeDocument/2006/relationships" ref="AV169" r:id="rId741"/>
    <hyperlink xmlns:r="http://schemas.openxmlformats.org/officeDocument/2006/relationships" ref="C170" r:id="rId742"/>
    <hyperlink xmlns:r="http://schemas.openxmlformats.org/officeDocument/2006/relationships" ref="D170" r:id="rId743"/>
    <hyperlink xmlns:r="http://schemas.openxmlformats.org/officeDocument/2006/relationships" ref="H170" r:id="rId744"/>
    <hyperlink xmlns:r="http://schemas.openxmlformats.org/officeDocument/2006/relationships" ref="AV170" r:id="rId745"/>
    <hyperlink xmlns:r="http://schemas.openxmlformats.org/officeDocument/2006/relationships" ref="C171" r:id="rId746"/>
    <hyperlink xmlns:r="http://schemas.openxmlformats.org/officeDocument/2006/relationships" ref="D171" r:id="rId747"/>
    <hyperlink xmlns:r="http://schemas.openxmlformats.org/officeDocument/2006/relationships" ref="H171" r:id="rId748"/>
    <hyperlink xmlns:r="http://schemas.openxmlformats.org/officeDocument/2006/relationships" ref="AV171" r:id="rId749"/>
    <hyperlink xmlns:r="http://schemas.openxmlformats.org/officeDocument/2006/relationships" ref="C172" r:id="rId750"/>
    <hyperlink xmlns:r="http://schemas.openxmlformats.org/officeDocument/2006/relationships" ref="D172" r:id="rId751"/>
    <hyperlink xmlns:r="http://schemas.openxmlformats.org/officeDocument/2006/relationships" ref="H172" r:id="rId752"/>
    <hyperlink xmlns:r="http://schemas.openxmlformats.org/officeDocument/2006/relationships" ref="AV172" r:id="rId753"/>
    <hyperlink xmlns:r="http://schemas.openxmlformats.org/officeDocument/2006/relationships" ref="C173" r:id="rId754"/>
    <hyperlink xmlns:r="http://schemas.openxmlformats.org/officeDocument/2006/relationships" ref="D173" r:id="rId755"/>
    <hyperlink xmlns:r="http://schemas.openxmlformats.org/officeDocument/2006/relationships" ref="H173" r:id="rId756"/>
    <hyperlink xmlns:r="http://schemas.openxmlformats.org/officeDocument/2006/relationships" ref="AV173" r:id="rId757"/>
    <hyperlink xmlns:r="http://schemas.openxmlformats.org/officeDocument/2006/relationships" ref="C174" r:id="rId758"/>
    <hyperlink xmlns:r="http://schemas.openxmlformats.org/officeDocument/2006/relationships" ref="D174" r:id="rId759"/>
    <hyperlink xmlns:r="http://schemas.openxmlformats.org/officeDocument/2006/relationships" ref="H174" r:id="rId760"/>
    <hyperlink xmlns:r="http://schemas.openxmlformats.org/officeDocument/2006/relationships" ref="AV174" r:id="rId761"/>
    <hyperlink xmlns:r="http://schemas.openxmlformats.org/officeDocument/2006/relationships" ref="C175" r:id="rId762"/>
    <hyperlink xmlns:r="http://schemas.openxmlformats.org/officeDocument/2006/relationships" ref="D175" r:id="rId763"/>
    <hyperlink xmlns:r="http://schemas.openxmlformats.org/officeDocument/2006/relationships" ref="H175" r:id="rId764"/>
    <hyperlink xmlns:r="http://schemas.openxmlformats.org/officeDocument/2006/relationships" ref="AV175" r:id="rId765"/>
    <hyperlink xmlns:r="http://schemas.openxmlformats.org/officeDocument/2006/relationships" ref="C176" r:id="rId766"/>
    <hyperlink xmlns:r="http://schemas.openxmlformats.org/officeDocument/2006/relationships" ref="D176" r:id="rId767"/>
    <hyperlink xmlns:r="http://schemas.openxmlformats.org/officeDocument/2006/relationships" ref="H176" r:id="rId768"/>
    <hyperlink xmlns:r="http://schemas.openxmlformats.org/officeDocument/2006/relationships" ref="AV176" r:id="rId769"/>
    <hyperlink xmlns:r="http://schemas.openxmlformats.org/officeDocument/2006/relationships" ref="C177" r:id="rId770"/>
    <hyperlink xmlns:r="http://schemas.openxmlformats.org/officeDocument/2006/relationships" ref="D177" r:id="rId771"/>
    <hyperlink xmlns:r="http://schemas.openxmlformats.org/officeDocument/2006/relationships" ref="H177" r:id="rId772"/>
    <hyperlink xmlns:r="http://schemas.openxmlformats.org/officeDocument/2006/relationships" ref="AV177" r:id="rId7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2026-09-19T05:56:20Z</dcterms:created>
  <dcterms:modified xmlns:dcterms="http://purl.org/dc/terms/" xmlns:xsi="http://www.w3.org/2001/XMLSchema-instance" xsi:type="dcterms:W3CDTF">2026-09-19T05:56:22Z</dcterms:modified>
</cp:coreProperties>
</file>