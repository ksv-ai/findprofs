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ero Focus" sheetId="1" state="visible" r:id="rId1"/>
    <sheet xmlns:r="http://schemas.openxmlformats.org/officeDocument/2006/relationships" name="Field Matched" sheetId="2" state="visible" r:id="rId2"/>
    <sheet xmlns:r="http://schemas.openxmlformats.org/officeDocument/2006/relationships" name="All Facul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563C1"/>
      <sz val="11"/>
      <u val="single"/>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gineering.purdue.edu/AAE/people/ptProfile?resource_id=1377" TargetMode="External" Id="rId1"/><Relationship Type="http://schemas.openxmlformats.org/officeDocument/2006/relationships/hyperlink" Target="https://scholar.google.com/citations?view_op=search_authors&amp;mauthors=Gregory%20A.%20Blaisdell%20Purdue%20University" TargetMode="External" Id="rId2"/><Relationship Type="http://schemas.openxmlformats.org/officeDocument/2006/relationships/hyperlink" Target="mailto:blaisdel@purdue.edu" TargetMode="External" Id="rId3"/><Relationship Type="http://schemas.openxmlformats.org/officeDocument/2006/relationships/hyperlink" Target="https://doi.org/10.2514/6.2026-1976" TargetMode="External" Id="rId4"/><Relationship Type="http://schemas.openxmlformats.org/officeDocument/2006/relationships/hyperlink" Target="https://doi.org/10.1007/s00348-025-04031-y" TargetMode="External" Id="rId5"/><Relationship Type="http://schemas.openxmlformats.org/officeDocument/2006/relationships/hyperlink" Target="https://doi.org/10.2514/6.2026-1976" TargetMode="External" Id="rId6"/><Relationship Type="http://schemas.openxmlformats.org/officeDocument/2006/relationships/hyperlink" Target="https://insgc.spacegrant.org/" TargetMode="External" Id="rId7"/><Relationship Type="http://schemas.openxmlformats.org/officeDocument/2006/relationships/hyperlink" Target="https://engineering.purdue.edu/AAE/people/Faculty" TargetMode="External" Id="rId8"/><Relationship Type="http://schemas.openxmlformats.org/officeDocument/2006/relationships/hyperlink" Target="https://engineering.purdue.edu/AAE/people/ptProfile?resource_id=72424" TargetMode="External" Id="rId9"/><Relationship Type="http://schemas.openxmlformats.org/officeDocument/2006/relationships/hyperlink" Target="https://scholar.google.com/citations?user=fprhTwwAAAAJ&amp;hl=en" TargetMode="External" Id="rId10"/><Relationship Type="http://schemas.openxmlformats.org/officeDocument/2006/relationships/hyperlink" Target="mailto:sbane@purdue.edu" TargetMode="External" Id="rId11"/><Relationship Type="http://schemas.openxmlformats.org/officeDocument/2006/relationships/hyperlink" Target="https://doi.org/10.1063/5.0341587" TargetMode="External" Id="rId12"/><Relationship Type="http://schemas.openxmlformats.org/officeDocument/2006/relationships/hyperlink" Target="https://doi.org/10.1088/1361-6501/ae4f0a" TargetMode="External" Id="rId13"/><Relationship Type="http://schemas.openxmlformats.org/officeDocument/2006/relationships/hyperlink" Target="https://doi.org/10.1063/5.0341587" TargetMode="External" Id="rId14"/><Relationship Type="http://schemas.openxmlformats.org/officeDocument/2006/relationships/hyperlink" Target="https://insgc.spacegrant.org/" TargetMode="External" Id="rId15"/><Relationship Type="http://schemas.openxmlformats.org/officeDocument/2006/relationships/hyperlink" Target="https://engineering.purdue.edu/AAE/people/Faculty" TargetMode="External" Id="rId16"/><Relationship Type="http://schemas.openxmlformats.org/officeDocument/2006/relationships/hyperlink" Target="https://engineering.purdue.edu/AAE/people/ptProfile?resource_id=124958" TargetMode="External" Id="rId17"/><Relationship Type="http://schemas.openxmlformats.org/officeDocument/2006/relationships/hyperlink" Target="https://scholar.google.com/citations?view_op=search_authors&amp;mauthors=Carson%20Slabaugh%20Purdue%20University" TargetMode="External" Id="rId18"/><Relationship Type="http://schemas.openxmlformats.org/officeDocument/2006/relationships/hyperlink" Target="mailto:cslabau@purdue.edu" TargetMode="External" Id="rId19"/><Relationship Type="http://schemas.openxmlformats.org/officeDocument/2006/relationships/hyperlink" Target="https://doi.org/10.2514/1.b37740" TargetMode="External" Id="rId20"/><Relationship Type="http://schemas.openxmlformats.org/officeDocument/2006/relationships/hyperlink" Target="https://doi.org/10.2514/1.j067064" TargetMode="External" Id="rId21"/><Relationship Type="http://schemas.openxmlformats.org/officeDocument/2006/relationships/hyperlink" Target="https://doi.org/10.2514/1.b37740" TargetMode="External" Id="rId22"/><Relationship Type="http://schemas.openxmlformats.org/officeDocument/2006/relationships/hyperlink" Target="https://insgc.spacegrant.org/" TargetMode="External" Id="rId23"/><Relationship Type="http://schemas.openxmlformats.org/officeDocument/2006/relationships/hyperlink" Target="https://engineering.purdue.edu/AAE/people/Faculty" TargetMode="External" Id="rId24"/><Relationship Type="http://schemas.openxmlformats.org/officeDocument/2006/relationships/hyperlink" Target="https://engineering.purdue.edu/AAE/people/ptProfile?resource_id=1274" TargetMode="External" Id="rId25"/><Relationship Type="http://schemas.openxmlformats.org/officeDocument/2006/relationships/hyperlink" Target="https://scholar.google.com/citations?view_op=search_authors&amp;mauthors=Steven%20P.%20Schneider%20Purdue%20University" TargetMode="External" Id="rId26"/><Relationship Type="http://schemas.openxmlformats.org/officeDocument/2006/relationships/hyperlink" Target="mailto:steves@purdue.edu" TargetMode="External" Id="rId27"/><Relationship Type="http://schemas.openxmlformats.org/officeDocument/2006/relationships/hyperlink" Target="https://doi.org/10.2514/1.a36439" TargetMode="External" Id="rId28"/><Relationship Type="http://schemas.openxmlformats.org/officeDocument/2006/relationships/hyperlink" Target="https://doi.org/10.1103/physrevfluids.8.083903" TargetMode="External" Id="rId29"/><Relationship Type="http://schemas.openxmlformats.org/officeDocument/2006/relationships/hyperlink" Target="https://doi.org/10.2514/1.a36439" TargetMode="External" Id="rId30"/><Relationship Type="http://schemas.openxmlformats.org/officeDocument/2006/relationships/hyperlink" Target="https://insgc.spacegrant.org/" TargetMode="External" Id="rId31"/><Relationship Type="http://schemas.openxmlformats.org/officeDocument/2006/relationships/hyperlink" Target="https://engineering.purdue.edu/AAE/people/Faculty" TargetMode="External" Id="rId32"/><Relationship Type="http://schemas.openxmlformats.org/officeDocument/2006/relationships/hyperlink" Target="https://engineering.purdue.edu/AAE/people/ptProfile?resource_id=221718" TargetMode="External" Id="rId33"/><Relationship Type="http://schemas.openxmlformats.org/officeDocument/2006/relationships/hyperlink" Target="https://scholar.google.com/citations?hl=en&amp;user=NZ7cWNwAAAAJ" TargetMode="External" Id="rId34"/><Relationship Type="http://schemas.openxmlformats.org/officeDocument/2006/relationships/hyperlink" Target="mailto:jsjewell@purdue.edu" TargetMode="External" Id="rId35"/><Relationship Type="http://schemas.openxmlformats.org/officeDocument/2006/relationships/hyperlink" Target="https://doi.org/10.1364/ao.604902" TargetMode="External" Id="rId36"/><Relationship Type="http://schemas.openxmlformats.org/officeDocument/2006/relationships/hyperlink" Target="https://doi.org/10.1017/jfm.2026.11284" TargetMode="External" Id="rId37"/><Relationship Type="http://schemas.openxmlformats.org/officeDocument/2006/relationships/hyperlink" Target="https://doi.org/10.1364/ao.604902" TargetMode="External" Id="rId38"/><Relationship Type="http://schemas.openxmlformats.org/officeDocument/2006/relationships/hyperlink" Target="https://insgc.spacegrant.org/" TargetMode="External" Id="rId39"/><Relationship Type="http://schemas.openxmlformats.org/officeDocument/2006/relationships/hyperlink" Target="https://engineering.purdue.edu/AAE/people/Faculty" TargetMode="External" Id="rId40"/><Relationship Type="http://schemas.openxmlformats.org/officeDocument/2006/relationships/hyperlink" Target="https://engineering.purdue.edu/ME/People/ptProfile?resource_id=294620" TargetMode="External" Id="rId41"/><Relationship Type="http://schemas.openxmlformats.org/officeDocument/2006/relationships/hyperlink" Target="https://scholar.google.com/citations?view_op=search_authors&amp;mauthors=Huidan%20%28Whitney%29%20Yu%20Purdue%20University" TargetMode="External" Id="rId42"/><Relationship Type="http://schemas.openxmlformats.org/officeDocument/2006/relationships/hyperlink" Target="mailto:yu597@purdue.edu" TargetMode="External" Id="rId43"/><Relationship Type="http://schemas.openxmlformats.org/officeDocument/2006/relationships/hyperlink" Target="https://engineering.purdue.edu/YuLab/" TargetMode="External" Id="rId44"/><Relationship Type="http://schemas.openxmlformats.org/officeDocument/2006/relationships/hyperlink" Target="https://engineering.purdue.edu/ME/People/ptFaculty" TargetMode="External" Id="rId45"/><Relationship Type="http://schemas.openxmlformats.org/officeDocument/2006/relationships/hyperlink" Target="https://engineering.purdue.edu/ME/People/Areas/ptProfile?resource_id=9892&amp;group_id=11989" TargetMode="External" Id="rId46"/><Relationship Type="http://schemas.openxmlformats.org/officeDocument/2006/relationships/hyperlink" Target="https://scholar.google.com/citations?view_op=search_authors&amp;mauthors=Jay%20P.%20Gore%20Purdue%20University" TargetMode="External" Id="rId47"/><Relationship Type="http://schemas.openxmlformats.org/officeDocument/2006/relationships/hyperlink" Target="mailto:gore@purdue.edu" TargetMode="External" Id="rId48"/><Relationship Type="http://schemas.openxmlformats.org/officeDocument/2006/relationships/hyperlink" Target="https://doi.org/10.2514/6.2026-0595" TargetMode="External" Id="rId49"/><Relationship Type="http://schemas.openxmlformats.org/officeDocument/2006/relationships/hyperlink" Target="https://doi.org/10.1115/imece2025-159171" TargetMode="External" Id="rId50"/><Relationship Type="http://schemas.openxmlformats.org/officeDocument/2006/relationships/hyperlink" Target="https://doi.org/10.2514/6.2026-0595" TargetMode="External" Id="rId51"/><Relationship Type="http://schemas.openxmlformats.org/officeDocument/2006/relationships/hyperlink" Target="https://engineering.purdue.edu/GRG" TargetMode="External" Id="rId52"/><Relationship Type="http://schemas.openxmlformats.org/officeDocument/2006/relationships/hyperlink" Target="https://engineering.purdue.edu/AAE/people/Faculty" TargetMode="External" Id="rId53"/><Relationship Type="http://schemas.openxmlformats.org/officeDocument/2006/relationships/hyperlink" Target="https://engineering.purdue.edu/AAE/people/ptProfile?resource_id=255154" TargetMode="External" Id="rId54"/><Relationship Type="http://schemas.openxmlformats.org/officeDocument/2006/relationships/hyperlink" Target="https://scholar.google.com/citations?view_op=search_authors&amp;mauthors=Kenshiro%20Oguri%20Purdue%20University" TargetMode="External" Id="rId55"/><Relationship Type="http://schemas.openxmlformats.org/officeDocument/2006/relationships/hyperlink" Target="mailto:koguri@purdue.edu" TargetMode="External" Id="rId56"/><Relationship Type="http://schemas.openxmlformats.org/officeDocument/2006/relationships/hyperlink" Target="https://doi.org/10.48550/arxiv.2609.09515" TargetMode="External" Id="rId57"/><Relationship Type="http://schemas.openxmlformats.org/officeDocument/2006/relationships/hyperlink" Target="https://doi.org/10.2514/1.g005426" TargetMode="External" Id="rId58"/><Relationship Type="http://schemas.openxmlformats.org/officeDocument/2006/relationships/hyperlink" Target="https://doi.org/10.48550/arxiv.2609.09515" TargetMode="External" Id="rId59"/><Relationship Type="http://schemas.openxmlformats.org/officeDocument/2006/relationships/hyperlink" Target="https://insgc.spacegrant.org/" TargetMode="External" Id="rId60"/><Relationship Type="http://schemas.openxmlformats.org/officeDocument/2006/relationships/hyperlink" Target="https://engineering.purdue.edu/AAE/people/Faculty" TargetMode="External" Id="rId61"/><Relationship Type="http://schemas.openxmlformats.org/officeDocument/2006/relationships/hyperlink" Target="https://engineering.purdue.edu/ME/People/ptProfile?resource_id=113510" TargetMode="External" Id="rId62"/><Relationship Type="http://schemas.openxmlformats.org/officeDocument/2006/relationships/hyperlink" Target="https://scholar.google.com/citations?view_op=search_authors&amp;mauthors=Carlo%20Scalo%20Purdue%20University" TargetMode="External" Id="rId63"/><Relationship Type="http://schemas.openxmlformats.org/officeDocument/2006/relationships/hyperlink" Target="mailto:cscalo@purdue.edu" TargetMode="External" Id="rId64"/><Relationship Type="http://schemas.openxmlformats.org/officeDocument/2006/relationships/hyperlink" Target="https://doi.org/10.1017/jfm.2026.11334" TargetMode="External" Id="rId65"/><Relationship Type="http://schemas.openxmlformats.org/officeDocument/2006/relationships/hyperlink" Target="https://doi.org/10.1017/jfm.2025.11044" TargetMode="External" Id="rId66"/><Relationship Type="http://schemas.openxmlformats.org/officeDocument/2006/relationships/hyperlink" Target="https://doi.org/10.1017/jfm.2026.11334" TargetMode="External" Id="rId67"/><Relationship Type="http://schemas.openxmlformats.org/officeDocument/2006/relationships/hyperlink" Target="https://engineering.purdue.edu/~scalo/" TargetMode="External" Id="rId68"/><Relationship Type="http://schemas.openxmlformats.org/officeDocument/2006/relationships/hyperlink" Target="https://engineering.purdue.edu/AAE/people/Faculty" TargetMode="External" Id="rId69"/><Relationship Type="http://schemas.openxmlformats.org/officeDocument/2006/relationships/hyperlink" Target="https://engineering.purdue.edu/ME/People/ptProfile?resource_id=127038" TargetMode="External" Id="rId70"/><Relationship Type="http://schemas.openxmlformats.org/officeDocument/2006/relationships/hyperlink" Target="https://scholar.google.com/citations?view_op=search_authors&amp;mauthors=Christopher%20S.%20Goldenstein%20Purdue%20University" TargetMode="External" Id="rId71"/><Relationship Type="http://schemas.openxmlformats.org/officeDocument/2006/relationships/hyperlink" Target="mailto:csgoldenstein@purdue.edu" TargetMode="External" Id="rId72"/><Relationship Type="http://schemas.openxmlformats.org/officeDocument/2006/relationships/hyperlink" Target="https://doi.org/10.1063/5.0312755" TargetMode="External" Id="rId73"/><Relationship Type="http://schemas.openxmlformats.org/officeDocument/2006/relationships/hyperlink" Target="https://doi.org/10.2514/6.2026-0677" TargetMode="External" Id="rId74"/><Relationship Type="http://schemas.openxmlformats.org/officeDocument/2006/relationships/hyperlink" Target="https://doi.org/10.1063/5.0312755" TargetMode="External" Id="rId75"/><Relationship Type="http://schemas.openxmlformats.org/officeDocument/2006/relationships/hyperlink" Target="http://www.goldensteingroup.com" TargetMode="External" Id="rId76"/><Relationship Type="http://schemas.openxmlformats.org/officeDocument/2006/relationships/hyperlink" Target="https://engineering.purdue.edu/AAE/people/Faculty" TargetMode="External" Id="rId77"/><Relationship Type="http://schemas.openxmlformats.org/officeDocument/2006/relationships/hyperlink" Target="https://engineering.purdue.edu/AAE/people/ptProfile?resource_id=78657" TargetMode="External" Id="rId78"/><Relationship Type="http://schemas.openxmlformats.org/officeDocument/2006/relationships/hyperlink" Target="https://scholar.google.com/citations?view_op=search_authors&amp;mauthors=Haifeng%20Wang%20Purdue%20University" TargetMode="External" Id="rId79"/><Relationship Type="http://schemas.openxmlformats.org/officeDocument/2006/relationships/hyperlink" Target="mailto:haifeng@purdue.edu" TargetMode="External" Id="rId80"/><Relationship Type="http://schemas.openxmlformats.org/officeDocument/2006/relationships/hyperlink" Target="https://doi.org/10.1016/j.applthermaleng.2016.06.070" TargetMode="External" Id="rId81"/><Relationship Type="http://schemas.openxmlformats.org/officeDocument/2006/relationships/hyperlink" Target="https://doi.org/10.1016/j.proci.2026.106125" TargetMode="External" Id="rId82"/><Relationship Type="http://schemas.openxmlformats.org/officeDocument/2006/relationships/hyperlink" Target="https://doi.org/10.1016/j.applthermaleng.2016.06.070" TargetMode="External" Id="rId83"/><Relationship Type="http://schemas.openxmlformats.org/officeDocument/2006/relationships/hyperlink" Target="https://insgc.spacegrant.org/" TargetMode="External" Id="rId84"/><Relationship Type="http://schemas.openxmlformats.org/officeDocument/2006/relationships/hyperlink" Target="https://engineering.purdue.edu/AAE/people/Faculty" TargetMode="External" Id="rId85"/><Relationship Type="http://schemas.openxmlformats.org/officeDocument/2006/relationships/hyperlink" Target="https://engineering.purdue.edu/AAE/people/ptProfile?resource_id=124984" TargetMode="External" Id="rId86"/><Relationship Type="http://schemas.openxmlformats.org/officeDocument/2006/relationships/hyperlink" Target="https://scholar.google.com/citations?view_op=search_authors&amp;mauthors=Jonathan%20Poggie%20Purdue%20University" TargetMode="External" Id="rId87"/><Relationship Type="http://schemas.openxmlformats.org/officeDocument/2006/relationships/hyperlink" Target="mailto:jpoggie@purdue.edu" TargetMode="External" Id="rId88"/><Relationship Type="http://schemas.openxmlformats.org/officeDocument/2006/relationships/hyperlink" Target="https://doi.org/10.2514/6.2026-2519" TargetMode="External" Id="rId89"/><Relationship Type="http://schemas.openxmlformats.org/officeDocument/2006/relationships/hyperlink" Target="https://doi.org/10.2514/6.2026-2518" TargetMode="External" Id="rId90"/><Relationship Type="http://schemas.openxmlformats.org/officeDocument/2006/relationships/hyperlink" Target="https://doi.org/10.2514/6.2026-2519" TargetMode="External" Id="rId91"/><Relationship Type="http://schemas.openxmlformats.org/officeDocument/2006/relationships/hyperlink" Target="https://insgc.spacegrant.org/" TargetMode="External" Id="rId92"/><Relationship Type="http://schemas.openxmlformats.org/officeDocument/2006/relationships/hyperlink" Target="https://engineering.purdue.edu/AAE/people/Faculty" TargetMode="External" Id="rId93"/><Relationship Type="http://schemas.openxmlformats.org/officeDocument/2006/relationships/hyperlink" Target="https://engineering.purdue.edu/AAE/people/ptProfile?resource_id=1384" TargetMode="External" Id="rId94"/><Relationship Type="http://schemas.openxmlformats.org/officeDocument/2006/relationships/hyperlink" Target="https://scholar.google.com/citations?view_op=search_authors&amp;mauthors=Kathleen%20C.%20Howell%20Purdue%20University" TargetMode="External" Id="rId95"/><Relationship Type="http://schemas.openxmlformats.org/officeDocument/2006/relationships/hyperlink" Target="mailto:howell@purdue.edu" TargetMode="External" Id="rId96"/><Relationship Type="http://schemas.openxmlformats.org/officeDocument/2006/relationships/hyperlink" Target="https://doi.org/10.2514/1.g009176" TargetMode="External" Id="rId97"/><Relationship Type="http://schemas.openxmlformats.org/officeDocument/2006/relationships/hyperlink" Target="https://doi.org/10.1007/s40295-025-00551-1" TargetMode="External" Id="rId98"/><Relationship Type="http://schemas.openxmlformats.org/officeDocument/2006/relationships/hyperlink" Target="https://doi.org/10.2514/1.g009176" TargetMode="External" Id="rId99"/><Relationship Type="http://schemas.openxmlformats.org/officeDocument/2006/relationships/hyperlink" Target="https://insgc.spacegrant.org/" TargetMode="External" Id="rId100"/><Relationship Type="http://schemas.openxmlformats.org/officeDocument/2006/relationships/hyperlink" Target="https://engineering.purdue.edu/AAE/people/Faculty" TargetMode="External" Id="rId101"/><Relationship Type="http://schemas.openxmlformats.org/officeDocument/2006/relationships/hyperlink" Target="https://engineering.purdue.edu/AAE/people/ptProfile?resource_id=318748" TargetMode="External" Id="rId102"/><Relationship Type="http://schemas.openxmlformats.org/officeDocument/2006/relationships/hyperlink" Target="https://scholar.google.com/citations?view_op=search_authors&amp;mauthors=Kyle%20Hanquist%20Purdue%20University" TargetMode="External" Id="rId103"/><Relationship Type="http://schemas.openxmlformats.org/officeDocument/2006/relationships/hyperlink" Target="mailto:hanquist@purdue.edu" TargetMode="External" Id="rId104"/><Relationship Type="http://schemas.openxmlformats.org/officeDocument/2006/relationships/hyperlink" Target="https://doi.org/10.2514/1.t7189" TargetMode="External" Id="rId105"/><Relationship Type="http://schemas.openxmlformats.org/officeDocument/2006/relationships/hyperlink" Target="https://doi.org/10.1063/5.0012426" TargetMode="External" Id="rId106"/><Relationship Type="http://schemas.openxmlformats.org/officeDocument/2006/relationships/hyperlink" Target="https://doi.org/10.2514/1.t7189" TargetMode="External" Id="rId107"/><Relationship Type="http://schemas.openxmlformats.org/officeDocument/2006/relationships/hyperlink" Target="https://insgc.spacegrant.org/" TargetMode="External" Id="rId108"/><Relationship Type="http://schemas.openxmlformats.org/officeDocument/2006/relationships/hyperlink" Target="https://engineering.purdue.edu/AAE/people/Faculty" TargetMode="External" Id="rId109"/><Relationship Type="http://schemas.openxmlformats.org/officeDocument/2006/relationships/hyperlink" Target="https://engineering.purdue.edu/AAE/people/ptProfile?resource_id=1370" TargetMode="External" Id="rId110"/><Relationship Type="http://schemas.openxmlformats.org/officeDocument/2006/relationships/hyperlink" Target="https://scholar.google.com/citations?view_op=search_authors&amp;mauthors=Steven%20Collicott%20Purdue%20University" TargetMode="External" Id="rId111"/><Relationship Type="http://schemas.openxmlformats.org/officeDocument/2006/relationships/hyperlink" Target="mailto:collicott@purdue.edu" TargetMode="External" Id="rId112"/><Relationship Type="http://schemas.openxmlformats.org/officeDocument/2006/relationships/hyperlink" Target="https://doi.org/10.82217/spaceops2025_398" TargetMode="External" Id="rId113"/><Relationship Type="http://schemas.openxmlformats.org/officeDocument/2006/relationships/hyperlink" Target="https://doi.org/10.1016/b978-0-32-399544-3.00007-4" TargetMode="External" Id="rId114"/><Relationship Type="http://schemas.openxmlformats.org/officeDocument/2006/relationships/hyperlink" Target="https://doi.org/10.82217/spaceops2025_398" TargetMode="External" Id="rId115"/><Relationship Type="http://schemas.openxmlformats.org/officeDocument/2006/relationships/hyperlink" Target="https://insgc.spacegrant.org/" TargetMode="External" Id="rId116"/><Relationship Type="http://schemas.openxmlformats.org/officeDocument/2006/relationships/hyperlink" Target="https://engineering.purdue.edu/AAE/people/Faculty" TargetMode="External" Id="rId117"/><Relationship Type="http://schemas.openxmlformats.org/officeDocument/2006/relationships/hyperlink" Target="https://engineering.purdue.edu/AAE/people/ptProfile?resource_id=23887" TargetMode="External" Id="rId118"/><Relationship Type="http://schemas.openxmlformats.org/officeDocument/2006/relationships/hyperlink" Target="https://scholar.google.com/citations?user=vr5HyoMAAAAJ&amp;hl=en" TargetMode="External" Id="rId119"/><Relationship Type="http://schemas.openxmlformats.org/officeDocument/2006/relationships/hyperlink" Target="mailto:alexeenk@purdue.edu" TargetMode="External" Id="rId120"/><Relationship Type="http://schemas.openxmlformats.org/officeDocument/2006/relationships/hyperlink" Target="https://doi.org/10.1016/j.softx.2026.102544" TargetMode="External" Id="rId121"/><Relationship Type="http://schemas.openxmlformats.org/officeDocument/2006/relationships/hyperlink" Target="https://doi.org/10.26077/b7e2-qq36" TargetMode="External" Id="rId122"/><Relationship Type="http://schemas.openxmlformats.org/officeDocument/2006/relationships/hyperlink" Target="https://doi.org/10.1016/j.softx.2026.102544" TargetMode="External" Id="rId123"/><Relationship Type="http://schemas.openxmlformats.org/officeDocument/2006/relationships/hyperlink" Target="https://insgc.spacegrant.org/" TargetMode="External" Id="rId124"/><Relationship Type="http://schemas.openxmlformats.org/officeDocument/2006/relationships/hyperlink" Target="https://engineering.purdue.edu/AAE/people/Faculty" TargetMode="External" Id="rId125"/><Relationship Type="http://schemas.openxmlformats.org/officeDocument/2006/relationships/hyperlink" Target="https://engineering.purdue.edu/ME/People/ptProfile?resource_id=110641" TargetMode="External" Id="rId126"/><Relationship Type="http://schemas.openxmlformats.org/officeDocument/2006/relationships/hyperlink" Target="https://scholar.google.com/citations?view_op=search_authors&amp;mauthors=Arezoo%20Ardekani%20Purdue%20University" TargetMode="External" Id="rId127"/><Relationship Type="http://schemas.openxmlformats.org/officeDocument/2006/relationships/hyperlink" Target="mailto:ardekani@purdue.edu" TargetMode="External" Id="rId128"/><Relationship Type="http://schemas.openxmlformats.org/officeDocument/2006/relationships/hyperlink" Target="https://doi.org/10.48550/arxiv.2607.20841" TargetMode="External" Id="rId129"/><Relationship Type="http://schemas.openxmlformats.org/officeDocument/2006/relationships/hyperlink" Target="https://doi.org/10.64898/2026.09.09.750406" TargetMode="External" Id="rId130"/><Relationship Type="http://schemas.openxmlformats.org/officeDocument/2006/relationships/hyperlink" Target="https://doi.org/10.48550/arxiv.2607.20841" TargetMode="External" Id="rId131"/><Relationship Type="http://schemas.openxmlformats.org/officeDocument/2006/relationships/hyperlink" Target="https://engineering.purdue.edu/ComplexFlowLab" TargetMode="External" Id="rId132"/><Relationship Type="http://schemas.openxmlformats.org/officeDocument/2006/relationships/hyperlink" Target="https://engineering.purdue.edu/ME/People/ptFaculty" TargetMode="External" Id="rId133"/><Relationship Type="http://schemas.openxmlformats.org/officeDocument/2006/relationships/hyperlink" Target="https://engineering.purdue.edu/ME/People/ptProfile?resource_id=281457" TargetMode="External" Id="rId134"/><Relationship Type="http://schemas.openxmlformats.org/officeDocument/2006/relationships/hyperlink" Target="https://scholar.google.com/citations?view_op=search_authors&amp;mauthors=Daniel%20Guildenbecher%20Purdue%20University" TargetMode="External" Id="rId135"/><Relationship Type="http://schemas.openxmlformats.org/officeDocument/2006/relationships/hyperlink" Target="mailto:dguilden@purdue.edu" TargetMode="External" Id="rId136"/><Relationship Type="http://schemas.openxmlformats.org/officeDocument/2006/relationships/hyperlink" Target="https://doi.org/10.1016/j.combustflame.2026.115159" TargetMode="External" Id="rId137"/><Relationship Type="http://schemas.openxmlformats.org/officeDocument/2006/relationships/hyperlink" Target="https://doi.org/10.1364/oe.588303" TargetMode="External" Id="rId138"/><Relationship Type="http://schemas.openxmlformats.org/officeDocument/2006/relationships/hyperlink" Target="https://doi.org/10.1016/j.combustflame.2026.115159" TargetMode="External" Id="rId139"/><Relationship Type="http://schemas.openxmlformats.org/officeDocument/2006/relationships/hyperlink" Target="https://engineering.purdue.edu/GuildenbecherLab" TargetMode="External" Id="rId140"/><Relationship Type="http://schemas.openxmlformats.org/officeDocument/2006/relationships/hyperlink" Target="https://engineering.purdue.edu/ME/People/ptFaculty" TargetMode="External" Id="rId141"/><Relationship Type="http://schemas.openxmlformats.org/officeDocument/2006/relationships/hyperlink" Target="https://engineering.purdue.edu/AAE/people/ptProfile?resource_id=339087" TargetMode="External" Id="rId142"/><Relationship Type="http://schemas.openxmlformats.org/officeDocument/2006/relationships/hyperlink" Target="https://scholar.google.com/citations?view_op=search_authors&amp;mauthors=John%20Mullin%20Purdue%20University" TargetMode="External" Id="rId143"/><Relationship Type="http://schemas.openxmlformats.org/officeDocument/2006/relationships/hyperlink" Target="mailto:webmaster-eng@purdue.edu" TargetMode="External" Id="rId144"/><Relationship Type="http://schemas.openxmlformats.org/officeDocument/2006/relationships/hyperlink" Target="https://insgc.spacegrant.org/" TargetMode="External" Id="rId145"/><Relationship Type="http://schemas.openxmlformats.org/officeDocument/2006/relationships/hyperlink" Target="https://engineering.purdue.edu/AAE/people/Faculty" TargetMode="External" Id="rId146"/><Relationship Type="http://schemas.openxmlformats.org/officeDocument/2006/relationships/hyperlink" Target="https://engineering.purdue.edu/ME/People/ptProfile?resource_id=173054" TargetMode="External" Id="rId147"/><Relationship Type="http://schemas.openxmlformats.org/officeDocument/2006/relationships/hyperlink" Target="https://scholar.google.com/citations?view_op=search_authors&amp;mauthors=Luciano%20Castillo%20Purdue%20University" TargetMode="External" Id="rId148"/><Relationship Type="http://schemas.openxmlformats.org/officeDocument/2006/relationships/hyperlink" Target="mailto:lcastillo@purdue.edu" TargetMode="External" Id="rId149"/><Relationship Type="http://schemas.openxmlformats.org/officeDocument/2006/relationships/hyperlink" Target="https://doi.org/10.1016/j.desal.2025.118526" TargetMode="External" Id="rId150"/><Relationship Type="http://schemas.openxmlformats.org/officeDocument/2006/relationships/hyperlink" Target="https://doi.org/10.1007/978-3-032-07974-9_3" TargetMode="External" Id="rId151"/><Relationship Type="http://schemas.openxmlformats.org/officeDocument/2006/relationships/hyperlink" Target="https://doi.org/10.1016/j.desal.2025.118526" TargetMode="External" Id="rId152"/><Relationship Type="http://schemas.openxmlformats.org/officeDocument/2006/relationships/hyperlink" Target="https://blueintegratedpartners.org/" TargetMode="External" Id="rId153"/><Relationship Type="http://schemas.openxmlformats.org/officeDocument/2006/relationships/hyperlink" Target="https://engineering.purdue.edu/ME/People/ptFaculty" TargetMode="External" Id="rId154"/><Relationship Type="http://schemas.openxmlformats.org/officeDocument/2006/relationships/hyperlink" Target="https://engineering.purdue.edu/AAE/people/ptProfile?resource_id=28413" TargetMode="External" Id="rId155"/><Relationship Type="http://schemas.openxmlformats.org/officeDocument/2006/relationships/hyperlink" Target="https://scholar.google.com/citations?view_op=search_authors&amp;mauthors=Robert%20Lucht%20Purdue%20University" TargetMode="External" Id="rId156"/><Relationship Type="http://schemas.openxmlformats.org/officeDocument/2006/relationships/hyperlink" Target="mailto:lucht@purdue.edu" TargetMode="External" Id="rId157"/><Relationship Type="http://schemas.openxmlformats.org/officeDocument/2006/relationships/hyperlink" Target="https://doi.org/10.1364/ao.583207" TargetMode="External" Id="rId158"/><Relationship Type="http://schemas.openxmlformats.org/officeDocument/2006/relationships/hyperlink" Target="https://doi.org/10.1002/jrs.70176" TargetMode="External" Id="rId159"/><Relationship Type="http://schemas.openxmlformats.org/officeDocument/2006/relationships/hyperlink" Target="https://doi.org/10.1364/ao.583207" TargetMode="External" Id="rId160"/><Relationship Type="http://schemas.openxmlformats.org/officeDocument/2006/relationships/hyperlink" Target="https://insgc.spacegrant.org/" TargetMode="External" Id="rId161"/><Relationship Type="http://schemas.openxmlformats.org/officeDocument/2006/relationships/hyperlink" Target="https://engineering.purdue.edu/AAE/people/Faculty" TargetMode="External" Id="rId162"/><Relationship Type="http://schemas.openxmlformats.org/officeDocument/2006/relationships/hyperlink" Target="https://engineering.purdue.edu/ME/People/ptProfile?resource_id=105717" TargetMode="External" Id="rId163"/><Relationship Type="http://schemas.openxmlformats.org/officeDocument/2006/relationships/hyperlink" Target="https://scholar.google.com/citations?view_op=search_authors&amp;mauthors=Sadegh%20Dabiri%20Purdue%20University" TargetMode="External" Id="rId164"/><Relationship Type="http://schemas.openxmlformats.org/officeDocument/2006/relationships/hyperlink" Target="mailto:dabiri@purdue.edu" TargetMode="External" Id="rId165"/><Relationship Type="http://schemas.openxmlformats.org/officeDocument/2006/relationships/hyperlink" Target="https://doi.org/10.1186/s12987-025-00668-3" TargetMode="External" Id="rId166"/><Relationship Type="http://schemas.openxmlformats.org/officeDocument/2006/relationships/hyperlink" Target="https://doi.org/10.1016/j.ijmultiphaseflow.2020.103433" TargetMode="External" Id="rId167"/><Relationship Type="http://schemas.openxmlformats.org/officeDocument/2006/relationships/hyperlink" Target="https://doi.org/10.1186/s12987-025-00668-3" TargetMode="External" Id="rId168"/><Relationship Type="http://schemas.openxmlformats.org/officeDocument/2006/relationships/hyperlink" Target="http://web.ics.purdue.edu/~sdabiris/" TargetMode="External" Id="rId169"/><Relationship Type="http://schemas.openxmlformats.org/officeDocument/2006/relationships/hyperlink" Target="https://engineering.purdue.edu/ME/People/ptFaculty" TargetMode="External" Id="rId170"/><Relationship Type="http://schemas.openxmlformats.org/officeDocument/2006/relationships/hyperlink" Target="https://engineering.purdue.edu/AAE/people/ptProfile?resource_id=56893" TargetMode="External" Id="rId171"/><Relationship Type="http://schemas.openxmlformats.org/officeDocument/2006/relationships/hyperlink" Target="https://scholar.google.com/citations?view_op=search_authors&amp;mauthors=Tom%20Shih%20Purdue%20University" TargetMode="External" Id="rId172"/><Relationship Type="http://schemas.openxmlformats.org/officeDocument/2006/relationships/hyperlink" Target="mailto:tomshih@purdue.edu" TargetMode="External" Id="rId173"/><Relationship Type="http://schemas.openxmlformats.org/officeDocument/2006/relationships/hyperlink" Target="https://doi.org/10.3390/app152211922" TargetMode="External" Id="rId174"/><Relationship Type="http://schemas.openxmlformats.org/officeDocument/2006/relationships/hyperlink" Target="https://doi.org/10.1115/1.4067931" TargetMode="External" Id="rId175"/><Relationship Type="http://schemas.openxmlformats.org/officeDocument/2006/relationships/hyperlink" Target="https://doi.org/10.3390/app152211922" TargetMode="External" Id="rId176"/><Relationship Type="http://schemas.openxmlformats.org/officeDocument/2006/relationships/hyperlink" Target="https://insgc.spacegrant.org/" TargetMode="External" Id="rId177"/><Relationship Type="http://schemas.openxmlformats.org/officeDocument/2006/relationships/hyperlink" Target="https://engineering.purdue.edu/AAE/people/Faculty" TargetMode="External" Id="rId178"/><Relationship Type="http://schemas.openxmlformats.org/officeDocument/2006/relationships/hyperlink" Target="https://engineering.purdue.edu/AAE/people/ptProfile?resource_id=319705" TargetMode="External" Id="rId179"/><Relationship Type="http://schemas.openxmlformats.org/officeDocument/2006/relationships/hyperlink" Target="https://scholar.google.com/citations?view_op=search_authors&amp;mauthors=Kyle%20J.%20DeMars%20Purdue%20University" TargetMode="External" Id="rId180"/><Relationship Type="http://schemas.openxmlformats.org/officeDocument/2006/relationships/hyperlink" Target="mailto:kdemars@purdue.edu" TargetMode="External" Id="rId181"/><Relationship Type="http://schemas.openxmlformats.org/officeDocument/2006/relationships/hyperlink" Target="https://doi.org/10.48550/arxiv.2603.20110" TargetMode="External" Id="rId182"/><Relationship Type="http://schemas.openxmlformats.org/officeDocument/2006/relationships/hyperlink" Target="https://doi.org/10.1016/j.asr.2025.11.124" TargetMode="External" Id="rId183"/><Relationship Type="http://schemas.openxmlformats.org/officeDocument/2006/relationships/hyperlink" Target="https://doi.org/10.48550/arxiv.2603.20110" TargetMode="External" Id="rId184"/><Relationship Type="http://schemas.openxmlformats.org/officeDocument/2006/relationships/hyperlink" Target="https://insgc.spacegrant.org/" TargetMode="External" Id="rId185"/><Relationship Type="http://schemas.openxmlformats.org/officeDocument/2006/relationships/hyperlink" Target="https://engineering.purdue.edu/AAE/people/Faculty" TargetMode="External" Id="rId186"/><Relationship Type="http://schemas.openxmlformats.org/officeDocument/2006/relationships/hyperlink" Target="https://engineering.purdue.edu/AAE/people/ptProfile?resource_id=39640" TargetMode="External" Id="rId187"/><Relationship Type="http://schemas.openxmlformats.org/officeDocument/2006/relationships/hyperlink" Target="https://scholar.google.com/citations?user=yFXFQPYAAAAJ&amp;hl=en" TargetMode="External" Id="rId188"/><Relationship Type="http://schemas.openxmlformats.org/officeDocument/2006/relationships/hyperlink" Target="mailto:lqiao@purdue.edu" TargetMode="External" Id="rId189"/><Relationship Type="http://schemas.openxmlformats.org/officeDocument/2006/relationships/hyperlink" Target="https://doi.org/10.1016/j.applthermaleng.2016.06.070" TargetMode="External" Id="rId190"/><Relationship Type="http://schemas.openxmlformats.org/officeDocument/2006/relationships/hyperlink" Target="https://doi.org/10.1016/j.combustflame.2009.11.011" TargetMode="External" Id="rId191"/><Relationship Type="http://schemas.openxmlformats.org/officeDocument/2006/relationships/hyperlink" Target="https://doi.org/10.1016/j.applthermaleng.2016.06.070" TargetMode="External" Id="rId192"/><Relationship Type="http://schemas.openxmlformats.org/officeDocument/2006/relationships/hyperlink" Target="https://insgc.spacegrant.org/" TargetMode="External" Id="rId193"/><Relationship Type="http://schemas.openxmlformats.org/officeDocument/2006/relationships/hyperlink" Target="https://engineering.purdue.edu/AAE/people/Faculty" TargetMode="External" Id="rId194"/><Relationship Type="http://schemas.openxmlformats.org/officeDocument/2006/relationships/hyperlink" Target="https://engineering.purdue.edu/ME/People/ptProfile?resource_id=159298" TargetMode="External" Id="rId195"/><Relationship Type="http://schemas.openxmlformats.org/officeDocument/2006/relationships/hyperlink" Target="https://scholar.google.com/citations?view_op=search_authors&amp;mauthors=Aaron%20Morris%20Purdue%20University" TargetMode="External" Id="rId196"/><Relationship Type="http://schemas.openxmlformats.org/officeDocument/2006/relationships/hyperlink" Target="mailto:abmorris@purdue.edu" TargetMode="External" Id="rId197"/><Relationship Type="http://schemas.openxmlformats.org/officeDocument/2006/relationships/hyperlink" Target="https://doi.org/10.1002/aic.70212" TargetMode="External" Id="rId198"/><Relationship Type="http://schemas.openxmlformats.org/officeDocument/2006/relationships/hyperlink" Target="https://doi.org/10.1016/j.applthermaleng.2025.126427" TargetMode="External" Id="rId199"/><Relationship Type="http://schemas.openxmlformats.org/officeDocument/2006/relationships/hyperlink" Target="https://doi.org/10.1002/aic.70212" TargetMode="External" Id="rId200"/><Relationship Type="http://schemas.openxmlformats.org/officeDocument/2006/relationships/hyperlink" Target="https://engineering.purdue.edu/CP3/" TargetMode="External" Id="rId201"/><Relationship Type="http://schemas.openxmlformats.org/officeDocument/2006/relationships/hyperlink" Target="https://engineering.purdue.edu/ME/People/ptFaculty" TargetMode="External" Id="rId202"/><Relationship Type="http://schemas.openxmlformats.org/officeDocument/2006/relationships/hyperlink" Target="https://engineering.purdue.edu/AAE/people/ptProfile?resource_id=124987" TargetMode="External" Id="rId203"/><Relationship Type="http://schemas.openxmlformats.org/officeDocument/2006/relationships/hyperlink" Target="https://scholar.google.com/citations?view_op=search_authors&amp;mauthors=Alexey%20Shashurin%20Purdue%20University" TargetMode="External" Id="rId204"/><Relationship Type="http://schemas.openxmlformats.org/officeDocument/2006/relationships/hyperlink" Target="mailto:ashashur@purdue.edu" TargetMode="External" Id="rId205"/><Relationship Type="http://schemas.openxmlformats.org/officeDocument/2006/relationships/hyperlink" Target="https://doi.org/10.1063/5.0334090" TargetMode="External" Id="rId206"/><Relationship Type="http://schemas.openxmlformats.org/officeDocument/2006/relationships/hyperlink" Target="https://doi.org/10.1063/5.0294710" TargetMode="External" Id="rId207"/><Relationship Type="http://schemas.openxmlformats.org/officeDocument/2006/relationships/hyperlink" Target="https://doi.org/10.1063/5.0334090" TargetMode="External" Id="rId208"/><Relationship Type="http://schemas.openxmlformats.org/officeDocument/2006/relationships/hyperlink" Target="https://insgc.spacegrant.org/" TargetMode="External" Id="rId209"/><Relationship Type="http://schemas.openxmlformats.org/officeDocument/2006/relationships/hyperlink" Target="https://engineering.purdue.edu/AAE/people/Faculty" TargetMode="External" Id="rId210"/><Relationship Type="http://schemas.openxmlformats.org/officeDocument/2006/relationships/hyperlink" Target="https://engineering.purdue.edu/ME/People/ptProfile?resource_id=297468" TargetMode="External" Id="rId211"/><Relationship Type="http://schemas.openxmlformats.org/officeDocument/2006/relationships/hyperlink" Target="https://scholar.google.com/citations?view_op=search_authors&amp;mauthors=Carlos%20Larriba-Andaluz%20Purdue%20University" TargetMode="External" Id="rId212"/><Relationship Type="http://schemas.openxmlformats.org/officeDocument/2006/relationships/hyperlink" Target="mailto:clarriba@purdue.edu" TargetMode="External" Id="rId213"/><Relationship Type="http://schemas.openxmlformats.org/officeDocument/2006/relationships/hyperlink" Target="https://doi.org/10.1021/jasms.5c00347" TargetMode="External" Id="rId214"/><Relationship Type="http://schemas.openxmlformats.org/officeDocument/2006/relationships/hyperlink" Target="https://doi.org/10.1063/5.0337543" TargetMode="External" Id="rId215"/><Relationship Type="http://schemas.openxmlformats.org/officeDocument/2006/relationships/hyperlink" Target="https://doi.org/10.1021/jasms.5c00347" TargetMode="External" Id="rId216"/><Relationship Type="http://schemas.openxmlformats.org/officeDocument/2006/relationships/hyperlink" Target="http://www.imospedia.com" TargetMode="External" Id="rId217"/><Relationship Type="http://schemas.openxmlformats.org/officeDocument/2006/relationships/hyperlink" Target="https://engineering.purdue.edu/ME/People/ptFaculty" TargetMode="External" Id="rId218"/><Relationship Type="http://schemas.openxmlformats.org/officeDocument/2006/relationships/hyperlink" Target="https://engineering.purdue.edu/AAE/people/ptProfile?resource_id=111420" TargetMode="External" Id="rId219"/><Relationship Type="http://schemas.openxmlformats.org/officeDocument/2006/relationships/hyperlink" Target="https://scholar.google.com/citations?view_op=search_authors&amp;mauthors=Carolin%20E%20Frueh%20Purdue%20University" TargetMode="External" Id="rId220"/><Relationship Type="http://schemas.openxmlformats.org/officeDocument/2006/relationships/hyperlink" Target="mailto:cfrueh@purdue.edu" TargetMode="External" Id="rId221"/><Relationship Type="http://schemas.openxmlformats.org/officeDocument/2006/relationships/hyperlink" Target="https://doi.org/10.1029/2025ea004733" TargetMode="External" Id="rId222"/><Relationship Type="http://schemas.openxmlformats.org/officeDocument/2006/relationships/hyperlink" Target="https://doi.org/10.1007/s40295-025-00522-6" TargetMode="External" Id="rId223"/><Relationship Type="http://schemas.openxmlformats.org/officeDocument/2006/relationships/hyperlink" Target="https://doi.org/10.1029/2025ea004733" TargetMode="External" Id="rId224"/><Relationship Type="http://schemas.openxmlformats.org/officeDocument/2006/relationships/hyperlink" Target="https://insgc.spacegrant.org/" TargetMode="External" Id="rId225"/><Relationship Type="http://schemas.openxmlformats.org/officeDocument/2006/relationships/hyperlink" Target="https://engineering.purdue.edu/AAE/people/Faculty" TargetMode="External" Id="rId226"/><Relationship Type="http://schemas.openxmlformats.org/officeDocument/2006/relationships/hyperlink" Target="https://engineering.purdue.edu/ME/People/ptProfile?resource_id=117602" TargetMode="External" Id="rId227"/><Relationship Type="http://schemas.openxmlformats.org/officeDocument/2006/relationships/hyperlink" Target="https://scholar.google.com/citations?view_op=search_authors&amp;mauthors=Guang%20Lin%20Purdue%20University" TargetMode="External" Id="rId228"/><Relationship Type="http://schemas.openxmlformats.org/officeDocument/2006/relationships/hyperlink" Target="mailto:guanglin@purdue.edu" TargetMode="External" Id="rId229"/><Relationship Type="http://schemas.openxmlformats.org/officeDocument/2006/relationships/hyperlink" Target="https://doi.org/10.1088/2632-2153/ae7495" TargetMode="External" Id="rId230"/><Relationship Type="http://schemas.openxmlformats.org/officeDocument/2006/relationships/hyperlink" Target="https://doi.org/10.1016/j.camwa.2026.07.034" TargetMode="External" Id="rId231"/><Relationship Type="http://schemas.openxmlformats.org/officeDocument/2006/relationships/hyperlink" Target="https://doi.org/10.1088/2632-2153/ae7495" TargetMode="External" Id="rId232"/><Relationship Type="http://schemas.openxmlformats.org/officeDocument/2006/relationships/hyperlink" Target="http://www.math.purdue.edu/~lin491/" TargetMode="External" Id="rId233"/><Relationship Type="http://schemas.openxmlformats.org/officeDocument/2006/relationships/hyperlink" Target="https://engineering.purdue.edu/ME/People/ptFaculty" TargetMode="External" Id="rId234"/><Relationship Type="http://schemas.openxmlformats.org/officeDocument/2006/relationships/hyperlink" Target="https://engineering.purdue.edu/ME/People/ptProfile?resource_id=157698" TargetMode="External" Id="rId235"/><Relationship Type="http://schemas.openxmlformats.org/officeDocument/2006/relationships/hyperlink" Target="https://scholar.google.com/citations?view_op=search_authors&amp;mauthors=Hector%20Gomez%20Purdue%20University" TargetMode="External" Id="rId236"/><Relationship Type="http://schemas.openxmlformats.org/officeDocument/2006/relationships/hyperlink" Target="mailto:hectorgomez@purdue.edu" TargetMode="External" Id="rId237"/><Relationship Type="http://schemas.openxmlformats.org/officeDocument/2006/relationships/hyperlink" Target="https://engineering.purdue.edu/gomez/" TargetMode="External" Id="rId238"/><Relationship Type="http://schemas.openxmlformats.org/officeDocument/2006/relationships/hyperlink" Target="https://engineering.purdue.edu/ME/People/ptFaculty" TargetMode="External" Id="rId239"/><Relationship Type="http://schemas.openxmlformats.org/officeDocument/2006/relationships/hyperlink" Target="https://engineering.purdue.edu/AAE/people/ptProfile?resource_id=1319" TargetMode="External" Id="rId240"/><Relationship Type="http://schemas.openxmlformats.org/officeDocument/2006/relationships/hyperlink" Target="https://scholar.google.com/citations?view_op=search_authors&amp;mauthors=James%20M.%20Longuski%20Purdue%20University" TargetMode="External" Id="rId241"/><Relationship Type="http://schemas.openxmlformats.org/officeDocument/2006/relationships/hyperlink" Target="mailto:webmaster-eng@purdue.edu" TargetMode="External" Id="rId242"/><Relationship Type="http://schemas.openxmlformats.org/officeDocument/2006/relationships/hyperlink" Target="https://insgc.spacegrant.org/" TargetMode="External" Id="rId243"/><Relationship Type="http://schemas.openxmlformats.org/officeDocument/2006/relationships/hyperlink" Target="https://engineering.purdue.edu/AAE/people/Faculty" TargetMode="External" Id="rId244"/><Relationship Type="http://schemas.openxmlformats.org/officeDocument/2006/relationships/hyperlink" Target="https://engineering.purdue.edu/AAE/people/ptProfile?resource_id=284676" TargetMode="External" Id="rId245"/><Relationship Type="http://schemas.openxmlformats.org/officeDocument/2006/relationships/hyperlink" Target="https://scholar.google.com/citations?hl=en&amp;user=r7gLAy4AAAAJ&amp;view_op=list_works&amp;sortby=pubdate" TargetMode="External" Id="rId246"/><Relationship Type="http://schemas.openxmlformats.org/officeDocument/2006/relationships/hyperlink" Target="mailto:kmaeda@purdue.edu" TargetMode="External" Id="rId247"/><Relationship Type="http://schemas.openxmlformats.org/officeDocument/2006/relationships/hyperlink" Target="https://doi.org/10.2514/6.2026-1003" TargetMode="External" Id="rId248"/><Relationship Type="http://schemas.openxmlformats.org/officeDocument/2006/relationships/hyperlink" Target="https://doi.org/10.1103/y7lz-563m" TargetMode="External" Id="rId249"/><Relationship Type="http://schemas.openxmlformats.org/officeDocument/2006/relationships/hyperlink" Target="https://doi.org/10.2514/6.2026-1003" TargetMode="External" Id="rId250"/><Relationship Type="http://schemas.openxmlformats.org/officeDocument/2006/relationships/hyperlink" Target="https://insgc.spacegrant.org/" TargetMode="External" Id="rId251"/><Relationship Type="http://schemas.openxmlformats.org/officeDocument/2006/relationships/hyperlink" Target="https://engineering.purdue.edu/AAE/people/Faculty" TargetMode="External" Id="rId252"/><Relationship Type="http://schemas.openxmlformats.org/officeDocument/2006/relationships/hyperlink" Target="https://engineering.purdue.edu/ME/People/ptProfile?resource_id=297474" TargetMode="External" Id="rId253"/><Relationship Type="http://schemas.openxmlformats.org/officeDocument/2006/relationships/hyperlink" Target="https://scholar.google.com/citations?view_op=search_authors&amp;mauthors=Razi%20Nalim%20Purdue%20University" TargetMode="External" Id="rId254"/><Relationship Type="http://schemas.openxmlformats.org/officeDocument/2006/relationships/hyperlink" Target="mailto:mnalim@purdue.edu" TargetMode="External" Id="rId255"/><Relationship Type="http://schemas.openxmlformats.org/officeDocument/2006/relationships/hyperlink" Target="https://insgc.spacegrant.org/" TargetMode="External" Id="rId256"/><Relationship Type="http://schemas.openxmlformats.org/officeDocument/2006/relationships/hyperlink" Target="https://engineering.purdue.edu/ME/People/ptFaculty" TargetMode="External" Id="rId257"/><Relationship Type="http://schemas.openxmlformats.org/officeDocument/2006/relationships/hyperlink" Target="https://engineering.purdue.edu/ME/People/ptProfile?resource_id=328301" TargetMode="External" Id="rId258"/><Relationship Type="http://schemas.openxmlformats.org/officeDocument/2006/relationships/hyperlink" Target="https://scholar.google.com/citations?view_op=search_authors&amp;mauthors=Romit%20Maulik%20Purdue%20University" TargetMode="External" Id="rId259"/><Relationship Type="http://schemas.openxmlformats.org/officeDocument/2006/relationships/hyperlink" Target="mailto:rmaulik@purdue.edu" TargetMode="External" Id="rId260"/><Relationship Type="http://schemas.openxmlformats.org/officeDocument/2006/relationships/hyperlink" Target="https://doi.org/10.1016/j.compfluid.2026.107200" TargetMode="External" Id="rId261"/><Relationship Type="http://schemas.openxmlformats.org/officeDocument/2006/relationships/hyperlink" Target="https://doi.org/10.1063/5.0039986" TargetMode="External" Id="rId262"/><Relationship Type="http://schemas.openxmlformats.org/officeDocument/2006/relationships/hyperlink" Target="https://doi.org/10.1016/j.compfluid.2026.107200" TargetMode="External" Id="rId263"/><Relationship Type="http://schemas.openxmlformats.org/officeDocument/2006/relationships/hyperlink" Target="https://romit-maulik.github.io/" TargetMode="External" Id="rId264"/><Relationship Type="http://schemas.openxmlformats.org/officeDocument/2006/relationships/hyperlink" Target="https://github.com/Romit-Maulik" TargetMode="External" Id="rId265"/><Relationship Type="http://schemas.openxmlformats.org/officeDocument/2006/relationships/hyperlink" Target="https://engineering.purdue.edu/ME/People/ptFaculty" TargetMode="External" Id="rId266"/><Relationship Type="http://schemas.openxmlformats.org/officeDocument/2006/relationships/hyperlink" Target="https://engineering.purdue.edu/AAE/people/ptProfile?resource_id=1326" TargetMode="External" Id="rId267"/><Relationship Type="http://schemas.openxmlformats.org/officeDocument/2006/relationships/hyperlink" Target="https://scholar.google.com/citations?view_op=search_authors&amp;mauthors=Stephen%20D.%20Heister%20Purdue%20University" TargetMode="External" Id="rId268"/><Relationship Type="http://schemas.openxmlformats.org/officeDocument/2006/relationships/hyperlink" Target="mailto:webmaster-eng@purdue.edu" TargetMode="External" Id="rId269"/><Relationship Type="http://schemas.openxmlformats.org/officeDocument/2006/relationships/hyperlink" Target="https://insgc.spacegrant.org/" TargetMode="External" Id="rId270"/><Relationship Type="http://schemas.openxmlformats.org/officeDocument/2006/relationships/hyperlink" Target="https://engineering.purdue.edu/AAE/people/Faculty" TargetMode="External" Id="rId271"/><Relationship Type="http://schemas.openxmlformats.org/officeDocument/2006/relationships/hyperlink" Target="https://engineering.purdue.edu/ME/People/ptProfile?resource_id=29385" TargetMode="External" Id="rId272"/><Relationship Type="http://schemas.openxmlformats.org/officeDocument/2006/relationships/hyperlink" Target="https://scholar.google.com/citations?view_op=search_authors&amp;mauthors=Steven%20F.%20Son%20Purdue%20University" TargetMode="External" Id="rId273"/><Relationship Type="http://schemas.openxmlformats.org/officeDocument/2006/relationships/hyperlink" Target="mailto:sson@purdue.edu" TargetMode="External" Id="rId274"/><Relationship Type="http://schemas.openxmlformats.org/officeDocument/2006/relationships/hyperlink" Target="https://doi.org/10.1063/5.0312755" TargetMode="External" Id="rId275"/><Relationship Type="http://schemas.openxmlformats.org/officeDocument/2006/relationships/hyperlink" Target="https://doi.org/10.1016/j.proci.2020.06.163" TargetMode="External" Id="rId276"/><Relationship Type="http://schemas.openxmlformats.org/officeDocument/2006/relationships/hyperlink" Target="https://doi.org/10.1063/5.0312755" TargetMode="External" Id="rId277"/><Relationship Type="http://schemas.openxmlformats.org/officeDocument/2006/relationships/hyperlink" Target="https://web.ics.purdue.edu/~sson/Son_Webpage/SonWeb_index.html" TargetMode="External" Id="rId278"/><Relationship Type="http://schemas.openxmlformats.org/officeDocument/2006/relationships/hyperlink" Target="https://engineering.purdue.edu/AAE/people/Faculty" TargetMode="External" Id="rId279"/><Relationship Type="http://schemas.openxmlformats.org/officeDocument/2006/relationships/hyperlink" Target="https://engineering.purdue.edu/AAE/people/ptProfile?resource_id=23845" TargetMode="External" Id="rId280"/><Relationship Type="http://schemas.openxmlformats.org/officeDocument/2006/relationships/hyperlink" Target="https://scholar.google.com/citations?view_op=search_authors&amp;mauthors=Timoth%C3%A9e%20Pourpoint%20Purdue%20University" TargetMode="External" Id="rId281"/><Relationship Type="http://schemas.openxmlformats.org/officeDocument/2006/relationships/hyperlink" Target="mailto:timothee@purdue.edu" TargetMode="External" Id="rId282"/><Relationship Type="http://schemas.openxmlformats.org/officeDocument/2006/relationships/hyperlink" Target="https://doi.org/10.1021/acs.energyfuels.6c00475" TargetMode="External" Id="rId283"/><Relationship Type="http://schemas.openxmlformats.org/officeDocument/2006/relationships/hyperlink" Target="https://doi.org/10.2514/6.2026-1601" TargetMode="External" Id="rId284"/><Relationship Type="http://schemas.openxmlformats.org/officeDocument/2006/relationships/hyperlink" Target="https://doi.org/10.1021/acs.energyfuels.6c00475" TargetMode="External" Id="rId285"/><Relationship Type="http://schemas.openxmlformats.org/officeDocument/2006/relationships/hyperlink" Target="https://insgc.spacegrant.org/" TargetMode="External" Id="rId286"/><Relationship Type="http://schemas.openxmlformats.org/officeDocument/2006/relationships/hyperlink" Target="https://engineering.purdue.edu/AAE/people/Faculty" TargetMode="External" Id="rId287"/><Relationship Type="http://schemas.openxmlformats.org/officeDocument/2006/relationships/hyperlink" Target="https://engineering.purdue.edu/ME/People/ptProfile?resource_id=113506" TargetMode="External" Id="rId288"/><Relationship Type="http://schemas.openxmlformats.org/officeDocument/2006/relationships/hyperlink" Target="https://scholar.google.com/citations?user=KO7HNBsAAAAJ" TargetMode="External" Id="rId289"/><Relationship Type="http://schemas.openxmlformats.org/officeDocument/2006/relationships/hyperlink" Target="mailto:gpaniagua@purdue.edu" TargetMode="External" Id="rId290"/><Relationship Type="http://schemas.openxmlformats.org/officeDocument/2006/relationships/hyperlink" Target="https://doi.org/10.3390/ijtpp11030035" TargetMode="External" Id="rId291"/><Relationship Type="http://schemas.openxmlformats.org/officeDocument/2006/relationships/hyperlink" Target="https://doi.org/10.1115/1.4072530" TargetMode="External" Id="rId292"/><Relationship Type="http://schemas.openxmlformats.org/officeDocument/2006/relationships/hyperlink" Target="https://doi.org/10.3390/ijtpp11030035" TargetMode="External" Id="rId293"/><Relationship Type="http://schemas.openxmlformats.org/officeDocument/2006/relationships/hyperlink" Target="https://engineering.purdue.edu/PETAL" TargetMode="External" Id="rId294"/><Relationship Type="http://schemas.openxmlformats.org/officeDocument/2006/relationships/hyperlink" Target="https://engineering.purdue.edu/AAE/people/Faculty" TargetMode="External" Id="rId295"/><Relationship Type="http://schemas.openxmlformats.org/officeDocument/2006/relationships/hyperlink" Target="https://engineering.purdue.edu/ME/People/ptProfile?resource_id=134738" TargetMode="External" Id="rId296"/><Relationship Type="http://schemas.openxmlformats.org/officeDocument/2006/relationships/hyperlink" Target="https://scholar.google.com/citations?view_op=search_authors&amp;mauthors=Ivan%20C.%20Christov%20Purdue%20University" TargetMode="External" Id="rId297"/><Relationship Type="http://schemas.openxmlformats.org/officeDocument/2006/relationships/hyperlink" Target="mailto:christov@purdue.edu" TargetMode="External" Id="rId298"/><Relationship Type="http://schemas.openxmlformats.org/officeDocument/2006/relationships/hyperlink" Target="https://doi.org/10.1103/zk9v-13sn" TargetMode="External" Id="rId299"/><Relationship Type="http://schemas.openxmlformats.org/officeDocument/2006/relationships/hyperlink" Target="https://doi.org/10.48550/arxiv.2607.15239" TargetMode="External" Id="rId300"/><Relationship Type="http://schemas.openxmlformats.org/officeDocument/2006/relationships/hyperlink" Target="https://doi.org/10.1103/zk9v-13sn" TargetMode="External" Id="rId301"/><Relationship Type="http://schemas.openxmlformats.org/officeDocument/2006/relationships/hyperlink" Target="http://tmnt-lab.org" TargetMode="External" Id="rId302"/><Relationship Type="http://schemas.openxmlformats.org/officeDocument/2006/relationships/hyperlink" Target="https://engineering.purdue.edu/ME/People/ptFaculty" TargetMode="External" Id="rId303"/><Relationship Type="http://schemas.openxmlformats.org/officeDocument/2006/relationships/hyperlink" Target="https://engineering.purdue.edu/AAE/people/ptProfile?resource_id=1422" TargetMode="External" Id="rId304"/><Relationship Type="http://schemas.openxmlformats.org/officeDocument/2006/relationships/hyperlink" Target="https://scholar.google.com/citations?view_op=search_authors&amp;mauthors=James%20L.%20Garrison%20Purdue%20University" TargetMode="External" Id="rId305"/><Relationship Type="http://schemas.openxmlformats.org/officeDocument/2006/relationships/hyperlink" Target="mailto:jgarriso@purdue.edu" TargetMode="External" Id="rId306"/><Relationship Type="http://schemas.openxmlformats.org/officeDocument/2006/relationships/hyperlink" Target="https://insgc.spacegrant.org/" TargetMode="External" Id="rId307"/><Relationship Type="http://schemas.openxmlformats.org/officeDocument/2006/relationships/hyperlink" Target="https://engineering.purdue.edu/AAE/people/Faculty" TargetMode="External" Id="rId308"/><Relationship Type="http://schemas.openxmlformats.org/officeDocument/2006/relationships/hyperlink" Target="https://engineering.purdue.edu/ME/People/ptProfile?resource_id=44345" TargetMode="External" Id="rId309"/><Relationship Type="http://schemas.openxmlformats.org/officeDocument/2006/relationships/hyperlink" Target="https://scholar.google.com/citations?view_op=search_authors&amp;mauthors=Jun%20Chen%20Purdue%20University" TargetMode="External" Id="rId310"/><Relationship Type="http://schemas.openxmlformats.org/officeDocument/2006/relationships/hyperlink" Target="mailto:junchen@purdue.edu" TargetMode="External" Id="rId311"/><Relationship Type="http://schemas.openxmlformats.org/officeDocument/2006/relationships/hyperlink" Target="https://doi.org/10.1016/j.buildenv.2016.03.011" TargetMode="External" Id="rId312"/><Relationship Type="http://schemas.openxmlformats.org/officeDocument/2006/relationships/hyperlink" Target="https://doi.org/10.1016/j.triboint.2024.109852" TargetMode="External" Id="rId313"/><Relationship Type="http://schemas.openxmlformats.org/officeDocument/2006/relationships/hyperlink" Target="https://doi.org/10.1016/j.buildenv.2016.03.011" TargetMode="External" Id="rId314"/><Relationship Type="http://schemas.openxmlformats.org/officeDocument/2006/relationships/hyperlink" Target="https://engineering.purdue.edu/~chen220" TargetMode="External" Id="rId315"/><Relationship Type="http://schemas.openxmlformats.org/officeDocument/2006/relationships/hyperlink" Target="https://engineering.purdue.edu/AAE/people/Faculty" TargetMode="External" Id="rId316"/><Relationship Type="http://schemas.openxmlformats.org/officeDocument/2006/relationships/hyperlink" Target="https://engineering.purdue.edu/AAE/people/ptProfile?resource_id=255151" TargetMode="External" Id="rId317"/><Relationship Type="http://schemas.openxmlformats.org/officeDocument/2006/relationships/hyperlink" Target="https://scholar.google.com/citations?view_op=search_authors&amp;mauthors=Mark%20Lewis%20Purdue%20University" TargetMode="External" Id="rId318"/><Relationship Type="http://schemas.openxmlformats.org/officeDocument/2006/relationships/hyperlink" Target="mailto:lewis619@purdue.edu" TargetMode="External" Id="rId319"/><Relationship Type="http://schemas.openxmlformats.org/officeDocument/2006/relationships/hyperlink" Target="https://doi.org/10.2514/2.2612" TargetMode="External" Id="rId320"/><Relationship Type="http://schemas.openxmlformats.org/officeDocument/2006/relationships/hyperlink" Target="https://doi.org/10.2514/2.5855" TargetMode="External" Id="rId321"/><Relationship Type="http://schemas.openxmlformats.org/officeDocument/2006/relationships/hyperlink" Target="https://doi.org/10.2514/2.2612" TargetMode="External" Id="rId322"/><Relationship Type="http://schemas.openxmlformats.org/officeDocument/2006/relationships/hyperlink" Target="https://insgc.spacegrant.org/" TargetMode="External" Id="rId323"/><Relationship Type="http://schemas.openxmlformats.org/officeDocument/2006/relationships/hyperlink" Target="https://engineering.purdue.edu/AAE/people/Faculty" TargetMode="External" Id="rId324"/><Relationship Type="http://schemas.openxmlformats.org/officeDocument/2006/relationships/hyperlink" Target="https://engineering.purdue.edu/AAE/people/ptProfile?resource_id=55699" TargetMode="External" Id="rId325"/><Relationship Type="http://schemas.openxmlformats.org/officeDocument/2006/relationships/hyperlink" Target="https://scholar.google.com/citations?user=rI7TKPYAAAAJ&amp;hl=en&amp;oi=ao" TargetMode="External" Id="rId326"/><Relationship Type="http://schemas.openxmlformats.org/officeDocument/2006/relationships/hyperlink" Target="mailto:tomar@purdue.edu" TargetMode="External" Id="rId327"/><Relationship Type="http://schemas.openxmlformats.org/officeDocument/2006/relationships/hyperlink" Target="https://insgc.spacegrant.org/" TargetMode="External" Id="rId328"/><Relationship Type="http://schemas.openxmlformats.org/officeDocument/2006/relationships/hyperlink" Target="https://engineering.purdue.edu/AAE/people/Faculty" TargetMode="External" Id="rId329"/><Relationship Type="http://schemas.openxmlformats.org/officeDocument/2006/relationships/hyperlink" Target="https://engineering.purdue.edu/ME/People/ptProfile?resource_id=117606" TargetMode="External" Id="rId330"/><Relationship Type="http://schemas.openxmlformats.org/officeDocument/2006/relationships/hyperlink" Target="https://scholar.google.com/citations?view_op=search_authors&amp;mauthors=Benxin%20Wu%20Purdue%20University" TargetMode="External" Id="rId331"/><Relationship Type="http://schemas.openxmlformats.org/officeDocument/2006/relationships/hyperlink" Target="mailto:wu65@purdue.edu" TargetMode="External" Id="rId332"/><Relationship Type="http://schemas.openxmlformats.org/officeDocument/2006/relationships/hyperlink" Target="https://insgc.spacegrant.org/" TargetMode="External" Id="rId333"/><Relationship Type="http://schemas.openxmlformats.org/officeDocument/2006/relationships/hyperlink" Target="https://engineering.purdue.edu/ME/People/ptFaculty" TargetMode="External" Id="rId334"/><Relationship Type="http://schemas.openxmlformats.org/officeDocument/2006/relationships/hyperlink" Target="https://engineering.purdue.edu/ME/People/ptProfile?resource_id=29361" TargetMode="External" Id="rId335"/><Relationship Type="http://schemas.openxmlformats.org/officeDocument/2006/relationships/hyperlink" Target="https://scholar.google.com/citations?view_op=search_authors&amp;mauthors=Gregory%20M.%20Shaver%20Purdue%20University" TargetMode="External" Id="rId336"/><Relationship Type="http://schemas.openxmlformats.org/officeDocument/2006/relationships/hyperlink" Target="mailto:gshaver@purdue.edu" TargetMode="External" Id="rId337"/><Relationship Type="http://schemas.openxmlformats.org/officeDocument/2006/relationships/hyperlink" Target="http://www.gregshaver.com/" TargetMode="External" Id="rId338"/><Relationship Type="http://schemas.openxmlformats.org/officeDocument/2006/relationships/hyperlink" Target="https://engineering.purdue.edu/ME/People/ptFaculty" TargetMode="External" Id="rId339"/><Relationship Type="http://schemas.openxmlformats.org/officeDocument/2006/relationships/hyperlink" Target="https://engineering.purdue.edu/AAE/people/ptProfile?resource_id=285032" TargetMode="External" Id="rId340"/><Relationship Type="http://schemas.openxmlformats.org/officeDocument/2006/relationships/hyperlink" Target="https://scholar.google.com/citations?view_op=search_authors&amp;mauthors=Jamie%20Canino%20Purdue%20University" TargetMode="External" Id="rId341"/><Relationship Type="http://schemas.openxmlformats.org/officeDocument/2006/relationships/hyperlink" Target="mailto:canino@purdue.edu" TargetMode="External" Id="rId342"/><Relationship Type="http://schemas.openxmlformats.org/officeDocument/2006/relationships/hyperlink" Target="https://insgc.spacegrant.org/" TargetMode="External" Id="rId343"/><Relationship Type="http://schemas.openxmlformats.org/officeDocument/2006/relationships/hyperlink" Target="https://engineering.purdue.edu/AAE/people/Faculty" TargetMode="External" Id="rId344"/><Relationship Type="http://schemas.openxmlformats.org/officeDocument/2006/relationships/hyperlink" Target="https://engineering.purdue.edu/AAE/people/ptProfile?resource_id=256632" TargetMode="External" Id="rId345"/><Relationship Type="http://schemas.openxmlformats.org/officeDocument/2006/relationships/hyperlink" Target="https://scholar.google.com/citations?view_op=search_authors&amp;mauthors=Leifur%20Leifsson%20Purdue%20University" TargetMode="External" Id="rId346"/><Relationship Type="http://schemas.openxmlformats.org/officeDocument/2006/relationships/hyperlink" Target="mailto:leifur@purdue.edu" TargetMode="External" Id="rId347"/><Relationship Type="http://schemas.openxmlformats.org/officeDocument/2006/relationships/hyperlink" Target="https://doi.org/10.2514/6.2026-0148" TargetMode="External" Id="rId348"/><Relationship Type="http://schemas.openxmlformats.org/officeDocument/2006/relationships/hyperlink" Target="https://doi.org/10.1016/j.ast.2021.106555" TargetMode="External" Id="rId349"/><Relationship Type="http://schemas.openxmlformats.org/officeDocument/2006/relationships/hyperlink" Target="https://doi.org/10.2514/6.2026-0148" TargetMode="External" Id="rId350"/><Relationship Type="http://schemas.openxmlformats.org/officeDocument/2006/relationships/hyperlink" Target="https://insgc.spacegrant.org/" TargetMode="External" Id="rId351"/><Relationship Type="http://schemas.openxmlformats.org/officeDocument/2006/relationships/hyperlink" Target="https://engineering.purdue.edu/AAE/people/Faculty" TargetMode="External" Id="rId352"/><Relationship Type="http://schemas.openxmlformats.org/officeDocument/2006/relationships/hyperlink" Target="https://engineering.purdue.edu/ME/People/ptProfile?resource_id=34222" TargetMode="External" Id="rId353"/><Relationship Type="http://schemas.openxmlformats.org/officeDocument/2006/relationships/hyperlink" Target="https://scholar.google.com/citations?view_op=search_authors&amp;mauthors=Nicole%20Key%20Purdue%20University" TargetMode="External" Id="rId354"/><Relationship Type="http://schemas.openxmlformats.org/officeDocument/2006/relationships/hyperlink" Target="mailto:nkey@purdue.edu" TargetMode="External" Id="rId355"/><Relationship Type="http://schemas.openxmlformats.org/officeDocument/2006/relationships/hyperlink" Target="https://doi.org/10.2514/1.j066481" TargetMode="External" Id="rId356"/><Relationship Type="http://schemas.openxmlformats.org/officeDocument/2006/relationships/hyperlink" Target="https://doi.org/10.2514/1.b39968" TargetMode="External" Id="rId357"/><Relationship Type="http://schemas.openxmlformats.org/officeDocument/2006/relationships/hyperlink" Target="https://doi.org/10.2514/1.j066481" TargetMode="External" Id="rId358"/><Relationship Type="http://schemas.openxmlformats.org/officeDocument/2006/relationships/hyperlink" Target="http://engineering.purdue.edu/Turbo_Research/" TargetMode="External" Id="rId359"/><Relationship Type="http://schemas.openxmlformats.org/officeDocument/2006/relationships/hyperlink" Target="https://engineering.purdue.edu/AAE/people/Faculty" TargetMode="External" Id="rId360"/><Relationship Type="http://schemas.openxmlformats.org/officeDocument/2006/relationships/hyperlink" Target="https://engineering.purdue.edu/ME/People/ptProfile?resource_id=324341" TargetMode="External" Id="rId361"/><Relationship Type="http://schemas.openxmlformats.org/officeDocument/2006/relationships/hyperlink" Target="https://scholar.google.com/citations?user=IKgNChQAAAAJ" TargetMode="External" Id="rId362"/><Relationship Type="http://schemas.openxmlformats.org/officeDocument/2006/relationships/hyperlink" Target="mailto:sranftl@purdue.edu" TargetMode="External" Id="rId363"/><Relationship Type="http://schemas.openxmlformats.org/officeDocument/2006/relationships/hyperlink" Target="https://doi.org/10.5281/zenodo.20392037" TargetMode="External" Id="rId364"/><Relationship Type="http://schemas.openxmlformats.org/officeDocument/2006/relationships/hyperlink" Target="https://doi.org/10.1002/cnm.3576" TargetMode="External" Id="rId365"/><Relationship Type="http://schemas.openxmlformats.org/officeDocument/2006/relationships/hyperlink" Target="https://doi.org/10.5281/zenodo.20392037" TargetMode="External" Id="rId366"/><Relationship Type="http://schemas.openxmlformats.org/officeDocument/2006/relationships/hyperlink" Target="https://sites.google.com/view/sascha-ranftl" TargetMode="External" Id="rId367"/><Relationship Type="http://schemas.openxmlformats.org/officeDocument/2006/relationships/hyperlink" Target="https://engineering.purdue.edu/ME/People/ptFaculty" TargetMode="External" Id="rId368"/><Relationship Type="http://schemas.openxmlformats.org/officeDocument/2006/relationships/hyperlink" Target="https://engineering.purdue.edu/AAE/people/ptProfile?resource_id=1333" TargetMode="External" Id="rId369"/><Relationship Type="http://schemas.openxmlformats.org/officeDocument/2006/relationships/hyperlink" Target="https://scholar.google.com/citations?view_op=search_authors&amp;mauthors=William%20Anderson%20Purdue%20University" TargetMode="External" Id="rId370"/><Relationship Type="http://schemas.openxmlformats.org/officeDocument/2006/relationships/hyperlink" Target="mailto:webmaster-eng@purdue.edu" TargetMode="External" Id="rId371"/><Relationship Type="http://schemas.openxmlformats.org/officeDocument/2006/relationships/hyperlink" Target="https://insgc.spacegrant.org/" TargetMode="External" Id="rId372"/><Relationship Type="http://schemas.openxmlformats.org/officeDocument/2006/relationships/hyperlink" Target="https://engineering.purdue.edu/AAE/people/Faculty" TargetMode="External" Id="rId373"/><Relationship Type="http://schemas.openxmlformats.org/officeDocument/2006/relationships/hyperlink" Target="https://engineering.purdue.edu/AAE/people/ptProfile?resource_id=323130" TargetMode="External" Id="rId374"/><Relationship Type="http://schemas.openxmlformats.org/officeDocument/2006/relationships/hyperlink" Target="https://scholar.google.com/citations?view_op=search_authors&amp;mauthors=Ryan%20Houim%20Purdue%20University" TargetMode="External" Id="rId375"/><Relationship Type="http://schemas.openxmlformats.org/officeDocument/2006/relationships/hyperlink" Target="mailto:webmaster-eng@purdue.edu" TargetMode="External" Id="rId376"/><Relationship Type="http://schemas.openxmlformats.org/officeDocument/2006/relationships/hyperlink" Target="https://doi.org/10.48550/arxiv.2603.13697" TargetMode="External" Id="rId377"/><Relationship Type="http://schemas.openxmlformats.org/officeDocument/2006/relationships/hyperlink" Target="https://doi.org/10.1002/prep.70019" TargetMode="External" Id="rId378"/><Relationship Type="http://schemas.openxmlformats.org/officeDocument/2006/relationships/hyperlink" Target="https://doi.org/10.48550/arxiv.2603.13697" TargetMode="External" Id="rId379"/><Relationship Type="http://schemas.openxmlformats.org/officeDocument/2006/relationships/hyperlink" Target="https://insgc.spacegrant.org/" TargetMode="External" Id="rId380"/><Relationship Type="http://schemas.openxmlformats.org/officeDocument/2006/relationships/hyperlink" Target="https://engineering.purdue.edu/AAE/people/Faculty" TargetMode="External" Id="rId381"/></Relationships>
</file>

<file path=xl/worksheets/_rels/sheet2.xml.rels><Relationships xmlns="http://schemas.openxmlformats.org/package/2006/relationships"><Relationship Type="http://schemas.openxmlformats.org/officeDocument/2006/relationships/hyperlink" Target="https://engineering.purdue.edu/AAE/people/ptProfile?resource_id=1377" TargetMode="External" Id="rId1"/><Relationship Type="http://schemas.openxmlformats.org/officeDocument/2006/relationships/hyperlink" Target="https://scholar.google.com/citations?view_op=search_authors&amp;mauthors=Gregory%20A.%20Blaisdell%20Purdue%20University" TargetMode="External" Id="rId2"/><Relationship Type="http://schemas.openxmlformats.org/officeDocument/2006/relationships/hyperlink" Target="mailto:blaisdel@purdue.edu" TargetMode="External" Id="rId3"/><Relationship Type="http://schemas.openxmlformats.org/officeDocument/2006/relationships/hyperlink" Target="https://doi.org/10.2514/6.2026-1976" TargetMode="External" Id="rId4"/><Relationship Type="http://schemas.openxmlformats.org/officeDocument/2006/relationships/hyperlink" Target="https://doi.org/10.1007/s00348-025-04031-y" TargetMode="External" Id="rId5"/><Relationship Type="http://schemas.openxmlformats.org/officeDocument/2006/relationships/hyperlink" Target="https://doi.org/10.2514/6.2026-1976" TargetMode="External" Id="rId6"/><Relationship Type="http://schemas.openxmlformats.org/officeDocument/2006/relationships/hyperlink" Target="https://insgc.spacegrant.org/" TargetMode="External" Id="rId7"/><Relationship Type="http://schemas.openxmlformats.org/officeDocument/2006/relationships/hyperlink" Target="https://engineering.purdue.edu/AAE/people/Faculty" TargetMode="External" Id="rId8"/><Relationship Type="http://schemas.openxmlformats.org/officeDocument/2006/relationships/hyperlink" Target="https://engineering.purdue.edu/AAE/people/ptProfile?resource_id=72424" TargetMode="External" Id="rId9"/><Relationship Type="http://schemas.openxmlformats.org/officeDocument/2006/relationships/hyperlink" Target="https://scholar.google.com/citations?user=fprhTwwAAAAJ&amp;hl=en" TargetMode="External" Id="rId10"/><Relationship Type="http://schemas.openxmlformats.org/officeDocument/2006/relationships/hyperlink" Target="mailto:sbane@purdue.edu" TargetMode="External" Id="rId11"/><Relationship Type="http://schemas.openxmlformats.org/officeDocument/2006/relationships/hyperlink" Target="https://doi.org/10.1063/5.0341587" TargetMode="External" Id="rId12"/><Relationship Type="http://schemas.openxmlformats.org/officeDocument/2006/relationships/hyperlink" Target="https://doi.org/10.1088/1361-6501/ae4f0a" TargetMode="External" Id="rId13"/><Relationship Type="http://schemas.openxmlformats.org/officeDocument/2006/relationships/hyperlink" Target="https://doi.org/10.1063/5.0341587" TargetMode="External" Id="rId14"/><Relationship Type="http://schemas.openxmlformats.org/officeDocument/2006/relationships/hyperlink" Target="https://insgc.spacegrant.org/" TargetMode="External" Id="rId15"/><Relationship Type="http://schemas.openxmlformats.org/officeDocument/2006/relationships/hyperlink" Target="https://engineering.purdue.edu/AAE/people/Faculty" TargetMode="External" Id="rId16"/><Relationship Type="http://schemas.openxmlformats.org/officeDocument/2006/relationships/hyperlink" Target="https://engineering.purdue.edu/AAE/people/ptProfile?resource_id=124958" TargetMode="External" Id="rId17"/><Relationship Type="http://schemas.openxmlformats.org/officeDocument/2006/relationships/hyperlink" Target="https://scholar.google.com/citations?view_op=search_authors&amp;mauthors=Carson%20Slabaugh%20Purdue%20University" TargetMode="External" Id="rId18"/><Relationship Type="http://schemas.openxmlformats.org/officeDocument/2006/relationships/hyperlink" Target="mailto:cslabau@purdue.edu" TargetMode="External" Id="rId19"/><Relationship Type="http://schemas.openxmlformats.org/officeDocument/2006/relationships/hyperlink" Target="https://doi.org/10.2514/1.b37740" TargetMode="External" Id="rId20"/><Relationship Type="http://schemas.openxmlformats.org/officeDocument/2006/relationships/hyperlink" Target="https://doi.org/10.2514/1.j067064" TargetMode="External" Id="rId21"/><Relationship Type="http://schemas.openxmlformats.org/officeDocument/2006/relationships/hyperlink" Target="https://doi.org/10.2514/1.b37740" TargetMode="External" Id="rId22"/><Relationship Type="http://schemas.openxmlformats.org/officeDocument/2006/relationships/hyperlink" Target="https://insgc.spacegrant.org/" TargetMode="External" Id="rId23"/><Relationship Type="http://schemas.openxmlformats.org/officeDocument/2006/relationships/hyperlink" Target="https://engineering.purdue.edu/AAE/people/Faculty" TargetMode="External" Id="rId24"/><Relationship Type="http://schemas.openxmlformats.org/officeDocument/2006/relationships/hyperlink" Target="https://engineering.purdue.edu/AAE/people/ptProfile?resource_id=1274" TargetMode="External" Id="rId25"/><Relationship Type="http://schemas.openxmlformats.org/officeDocument/2006/relationships/hyperlink" Target="https://scholar.google.com/citations?view_op=search_authors&amp;mauthors=Steven%20P.%20Schneider%20Purdue%20University" TargetMode="External" Id="rId26"/><Relationship Type="http://schemas.openxmlformats.org/officeDocument/2006/relationships/hyperlink" Target="mailto:steves@purdue.edu" TargetMode="External" Id="rId27"/><Relationship Type="http://schemas.openxmlformats.org/officeDocument/2006/relationships/hyperlink" Target="https://doi.org/10.2514/1.a36439" TargetMode="External" Id="rId28"/><Relationship Type="http://schemas.openxmlformats.org/officeDocument/2006/relationships/hyperlink" Target="https://doi.org/10.1103/physrevfluids.8.083903" TargetMode="External" Id="rId29"/><Relationship Type="http://schemas.openxmlformats.org/officeDocument/2006/relationships/hyperlink" Target="https://doi.org/10.2514/1.a36439" TargetMode="External" Id="rId30"/><Relationship Type="http://schemas.openxmlformats.org/officeDocument/2006/relationships/hyperlink" Target="https://insgc.spacegrant.org/" TargetMode="External" Id="rId31"/><Relationship Type="http://schemas.openxmlformats.org/officeDocument/2006/relationships/hyperlink" Target="https://engineering.purdue.edu/AAE/people/Faculty" TargetMode="External" Id="rId32"/><Relationship Type="http://schemas.openxmlformats.org/officeDocument/2006/relationships/hyperlink" Target="https://engineering.purdue.edu/AAE/people/ptProfile?resource_id=221718" TargetMode="External" Id="rId33"/><Relationship Type="http://schemas.openxmlformats.org/officeDocument/2006/relationships/hyperlink" Target="https://scholar.google.com/citations?hl=en&amp;user=NZ7cWNwAAAAJ" TargetMode="External" Id="rId34"/><Relationship Type="http://schemas.openxmlformats.org/officeDocument/2006/relationships/hyperlink" Target="mailto:jsjewell@purdue.edu" TargetMode="External" Id="rId35"/><Relationship Type="http://schemas.openxmlformats.org/officeDocument/2006/relationships/hyperlink" Target="https://doi.org/10.1364/ao.604902" TargetMode="External" Id="rId36"/><Relationship Type="http://schemas.openxmlformats.org/officeDocument/2006/relationships/hyperlink" Target="https://doi.org/10.1017/jfm.2026.11284" TargetMode="External" Id="rId37"/><Relationship Type="http://schemas.openxmlformats.org/officeDocument/2006/relationships/hyperlink" Target="https://doi.org/10.1364/ao.604902" TargetMode="External" Id="rId38"/><Relationship Type="http://schemas.openxmlformats.org/officeDocument/2006/relationships/hyperlink" Target="https://insgc.spacegrant.org/" TargetMode="External" Id="rId39"/><Relationship Type="http://schemas.openxmlformats.org/officeDocument/2006/relationships/hyperlink" Target="https://engineering.purdue.edu/AAE/people/Faculty" TargetMode="External" Id="rId40"/><Relationship Type="http://schemas.openxmlformats.org/officeDocument/2006/relationships/hyperlink" Target="https://engineering.purdue.edu/ME/People/ptProfile?resource_id=294620" TargetMode="External" Id="rId41"/><Relationship Type="http://schemas.openxmlformats.org/officeDocument/2006/relationships/hyperlink" Target="https://scholar.google.com/citations?view_op=search_authors&amp;mauthors=Huidan%20%28Whitney%29%20Yu%20Purdue%20University" TargetMode="External" Id="rId42"/><Relationship Type="http://schemas.openxmlformats.org/officeDocument/2006/relationships/hyperlink" Target="mailto:yu597@purdue.edu" TargetMode="External" Id="rId43"/><Relationship Type="http://schemas.openxmlformats.org/officeDocument/2006/relationships/hyperlink" Target="https://engineering.purdue.edu/YuLab/" TargetMode="External" Id="rId44"/><Relationship Type="http://schemas.openxmlformats.org/officeDocument/2006/relationships/hyperlink" Target="https://engineering.purdue.edu/ME/People/ptFaculty" TargetMode="External" Id="rId45"/><Relationship Type="http://schemas.openxmlformats.org/officeDocument/2006/relationships/hyperlink" Target="https://engineering.purdue.edu/ME/People/Areas/ptProfile?resource_id=9892&amp;group_id=11989" TargetMode="External" Id="rId46"/><Relationship Type="http://schemas.openxmlformats.org/officeDocument/2006/relationships/hyperlink" Target="https://scholar.google.com/citations?view_op=search_authors&amp;mauthors=Jay%20P.%20Gore%20Purdue%20University" TargetMode="External" Id="rId47"/><Relationship Type="http://schemas.openxmlformats.org/officeDocument/2006/relationships/hyperlink" Target="mailto:gore@purdue.edu" TargetMode="External" Id="rId48"/><Relationship Type="http://schemas.openxmlformats.org/officeDocument/2006/relationships/hyperlink" Target="https://doi.org/10.2514/6.2026-0595" TargetMode="External" Id="rId49"/><Relationship Type="http://schemas.openxmlformats.org/officeDocument/2006/relationships/hyperlink" Target="https://doi.org/10.1115/imece2025-159171" TargetMode="External" Id="rId50"/><Relationship Type="http://schemas.openxmlformats.org/officeDocument/2006/relationships/hyperlink" Target="https://doi.org/10.2514/6.2026-0595" TargetMode="External" Id="rId51"/><Relationship Type="http://schemas.openxmlformats.org/officeDocument/2006/relationships/hyperlink" Target="https://engineering.purdue.edu/GRG" TargetMode="External" Id="rId52"/><Relationship Type="http://schemas.openxmlformats.org/officeDocument/2006/relationships/hyperlink" Target="https://engineering.purdue.edu/AAE/people/Faculty" TargetMode="External" Id="rId53"/><Relationship Type="http://schemas.openxmlformats.org/officeDocument/2006/relationships/hyperlink" Target="https://engineering.purdue.edu/AAE/people/ptProfile?resource_id=255154" TargetMode="External" Id="rId54"/><Relationship Type="http://schemas.openxmlformats.org/officeDocument/2006/relationships/hyperlink" Target="https://scholar.google.com/citations?view_op=search_authors&amp;mauthors=Kenshiro%20Oguri%20Purdue%20University" TargetMode="External" Id="rId55"/><Relationship Type="http://schemas.openxmlformats.org/officeDocument/2006/relationships/hyperlink" Target="mailto:koguri@purdue.edu" TargetMode="External" Id="rId56"/><Relationship Type="http://schemas.openxmlformats.org/officeDocument/2006/relationships/hyperlink" Target="https://doi.org/10.48550/arxiv.2609.09515" TargetMode="External" Id="rId57"/><Relationship Type="http://schemas.openxmlformats.org/officeDocument/2006/relationships/hyperlink" Target="https://doi.org/10.2514/1.g005426" TargetMode="External" Id="rId58"/><Relationship Type="http://schemas.openxmlformats.org/officeDocument/2006/relationships/hyperlink" Target="https://doi.org/10.48550/arxiv.2609.09515" TargetMode="External" Id="rId59"/><Relationship Type="http://schemas.openxmlformats.org/officeDocument/2006/relationships/hyperlink" Target="https://insgc.spacegrant.org/" TargetMode="External" Id="rId60"/><Relationship Type="http://schemas.openxmlformats.org/officeDocument/2006/relationships/hyperlink" Target="https://engineering.purdue.edu/AAE/people/Faculty" TargetMode="External" Id="rId61"/><Relationship Type="http://schemas.openxmlformats.org/officeDocument/2006/relationships/hyperlink" Target="https://engineering.purdue.edu/ME/People/ptProfile?resource_id=113510" TargetMode="External" Id="rId62"/><Relationship Type="http://schemas.openxmlformats.org/officeDocument/2006/relationships/hyperlink" Target="https://scholar.google.com/citations?view_op=search_authors&amp;mauthors=Carlo%20Scalo%20Purdue%20University" TargetMode="External" Id="rId63"/><Relationship Type="http://schemas.openxmlformats.org/officeDocument/2006/relationships/hyperlink" Target="mailto:cscalo@purdue.edu" TargetMode="External" Id="rId64"/><Relationship Type="http://schemas.openxmlformats.org/officeDocument/2006/relationships/hyperlink" Target="https://doi.org/10.1017/jfm.2026.11334" TargetMode="External" Id="rId65"/><Relationship Type="http://schemas.openxmlformats.org/officeDocument/2006/relationships/hyperlink" Target="https://doi.org/10.1017/jfm.2025.11044" TargetMode="External" Id="rId66"/><Relationship Type="http://schemas.openxmlformats.org/officeDocument/2006/relationships/hyperlink" Target="https://doi.org/10.1017/jfm.2026.11334" TargetMode="External" Id="rId67"/><Relationship Type="http://schemas.openxmlformats.org/officeDocument/2006/relationships/hyperlink" Target="https://engineering.purdue.edu/~scalo/" TargetMode="External" Id="rId68"/><Relationship Type="http://schemas.openxmlformats.org/officeDocument/2006/relationships/hyperlink" Target="https://engineering.purdue.edu/AAE/people/Faculty" TargetMode="External" Id="rId69"/><Relationship Type="http://schemas.openxmlformats.org/officeDocument/2006/relationships/hyperlink" Target="https://engineering.purdue.edu/ME/People/ptProfile?resource_id=127038" TargetMode="External" Id="rId70"/><Relationship Type="http://schemas.openxmlformats.org/officeDocument/2006/relationships/hyperlink" Target="https://scholar.google.com/citations?view_op=search_authors&amp;mauthors=Christopher%20S.%20Goldenstein%20Purdue%20University" TargetMode="External" Id="rId71"/><Relationship Type="http://schemas.openxmlformats.org/officeDocument/2006/relationships/hyperlink" Target="mailto:csgoldenstein@purdue.edu" TargetMode="External" Id="rId72"/><Relationship Type="http://schemas.openxmlformats.org/officeDocument/2006/relationships/hyperlink" Target="https://doi.org/10.1063/5.0312755" TargetMode="External" Id="rId73"/><Relationship Type="http://schemas.openxmlformats.org/officeDocument/2006/relationships/hyperlink" Target="https://doi.org/10.2514/6.2026-0677" TargetMode="External" Id="rId74"/><Relationship Type="http://schemas.openxmlformats.org/officeDocument/2006/relationships/hyperlink" Target="https://doi.org/10.1063/5.0312755" TargetMode="External" Id="rId75"/><Relationship Type="http://schemas.openxmlformats.org/officeDocument/2006/relationships/hyperlink" Target="http://www.goldensteingroup.com" TargetMode="External" Id="rId76"/><Relationship Type="http://schemas.openxmlformats.org/officeDocument/2006/relationships/hyperlink" Target="https://engineering.purdue.edu/AAE/people/Faculty" TargetMode="External" Id="rId77"/><Relationship Type="http://schemas.openxmlformats.org/officeDocument/2006/relationships/hyperlink" Target="https://engineering.purdue.edu/AAE/people/ptProfile?resource_id=78657" TargetMode="External" Id="rId78"/><Relationship Type="http://schemas.openxmlformats.org/officeDocument/2006/relationships/hyperlink" Target="https://scholar.google.com/citations?view_op=search_authors&amp;mauthors=Haifeng%20Wang%20Purdue%20University" TargetMode="External" Id="rId79"/><Relationship Type="http://schemas.openxmlformats.org/officeDocument/2006/relationships/hyperlink" Target="mailto:haifeng@purdue.edu" TargetMode="External" Id="rId80"/><Relationship Type="http://schemas.openxmlformats.org/officeDocument/2006/relationships/hyperlink" Target="https://doi.org/10.1016/j.applthermaleng.2016.06.070" TargetMode="External" Id="rId81"/><Relationship Type="http://schemas.openxmlformats.org/officeDocument/2006/relationships/hyperlink" Target="https://doi.org/10.1016/j.proci.2026.106125" TargetMode="External" Id="rId82"/><Relationship Type="http://schemas.openxmlformats.org/officeDocument/2006/relationships/hyperlink" Target="https://doi.org/10.1016/j.applthermaleng.2016.06.070" TargetMode="External" Id="rId83"/><Relationship Type="http://schemas.openxmlformats.org/officeDocument/2006/relationships/hyperlink" Target="https://insgc.spacegrant.org/" TargetMode="External" Id="rId84"/><Relationship Type="http://schemas.openxmlformats.org/officeDocument/2006/relationships/hyperlink" Target="https://engineering.purdue.edu/AAE/people/Faculty" TargetMode="External" Id="rId85"/><Relationship Type="http://schemas.openxmlformats.org/officeDocument/2006/relationships/hyperlink" Target="https://engineering.purdue.edu/AAE/people/ptProfile?resource_id=124984" TargetMode="External" Id="rId86"/><Relationship Type="http://schemas.openxmlformats.org/officeDocument/2006/relationships/hyperlink" Target="https://scholar.google.com/citations?view_op=search_authors&amp;mauthors=Jonathan%20Poggie%20Purdue%20University" TargetMode="External" Id="rId87"/><Relationship Type="http://schemas.openxmlformats.org/officeDocument/2006/relationships/hyperlink" Target="mailto:jpoggie@purdue.edu" TargetMode="External" Id="rId88"/><Relationship Type="http://schemas.openxmlformats.org/officeDocument/2006/relationships/hyperlink" Target="https://doi.org/10.2514/6.2026-2519" TargetMode="External" Id="rId89"/><Relationship Type="http://schemas.openxmlformats.org/officeDocument/2006/relationships/hyperlink" Target="https://doi.org/10.2514/6.2026-2518" TargetMode="External" Id="rId90"/><Relationship Type="http://schemas.openxmlformats.org/officeDocument/2006/relationships/hyperlink" Target="https://doi.org/10.2514/6.2026-2519" TargetMode="External" Id="rId91"/><Relationship Type="http://schemas.openxmlformats.org/officeDocument/2006/relationships/hyperlink" Target="https://insgc.spacegrant.org/" TargetMode="External" Id="rId92"/><Relationship Type="http://schemas.openxmlformats.org/officeDocument/2006/relationships/hyperlink" Target="https://engineering.purdue.edu/AAE/people/Faculty" TargetMode="External" Id="rId93"/><Relationship Type="http://schemas.openxmlformats.org/officeDocument/2006/relationships/hyperlink" Target="https://engineering.purdue.edu/AAE/people/ptProfile?resource_id=1384" TargetMode="External" Id="rId94"/><Relationship Type="http://schemas.openxmlformats.org/officeDocument/2006/relationships/hyperlink" Target="https://scholar.google.com/citations?view_op=search_authors&amp;mauthors=Kathleen%20C.%20Howell%20Purdue%20University" TargetMode="External" Id="rId95"/><Relationship Type="http://schemas.openxmlformats.org/officeDocument/2006/relationships/hyperlink" Target="mailto:howell@purdue.edu" TargetMode="External" Id="rId96"/><Relationship Type="http://schemas.openxmlformats.org/officeDocument/2006/relationships/hyperlink" Target="https://doi.org/10.2514/1.g009176" TargetMode="External" Id="rId97"/><Relationship Type="http://schemas.openxmlformats.org/officeDocument/2006/relationships/hyperlink" Target="https://doi.org/10.1007/s40295-025-00551-1" TargetMode="External" Id="rId98"/><Relationship Type="http://schemas.openxmlformats.org/officeDocument/2006/relationships/hyperlink" Target="https://doi.org/10.2514/1.g009176" TargetMode="External" Id="rId99"/><Relationship Type="http://schemas.openxmlformats.org/officeDocument/2006/relationships/hyperlink" Target="https://insgc.spacegrant.org/" TargetMode="External" Id="rId100"/><Relationship Type="http://schemas.openxmlformats.org/officeDocument/2006/relationships/hyperlink" Target="https://engineering.purdue.edu/AAE/people/Faculty" TargetMode="External" Id="rId101"/><Relationship Type="http://schemas.openxmlformats.org/officeDocument/2006/relationships/hyperlink" Target="https://engineering.purdue.edu/AAE/people/ptProfile?resource_id=318748" TargetMode="External" Id="rId102"/><Relationship Type="http://schemas.openxmlformats.org/officeDocument/2006/relationships/hyperlink" Target="https://scholar.google.com/citations?view_op=search_authors&amp;mauthors=Kyle%20Hanquist%20Purdue%20University" TargetMode="External" Id="rId103"/><Relationship Type="http://schemas.openxmlformats.org/officeDocument/2006/relationships/hyperlink" Target="mailto:hanquist@purdue.edu" TargetMode="External" Id="rId104"/><Relationship Type="http://schemas.openxmlformats.org/officeDocument/2006/relationships/hyperlink" Target="https://doi.org/10.2514/1.t7189" TargetMode="External" Id="rId105"/><Relationship Type="http://schemas.openxmlformats.org/officeDocument/2006/relationships/hyperlink" Target="https://doi.org/10.1063/5.0012426" TargetMode="External" Id="rId106"/><Relationship Type="http://schemas.openxmlformats.org/officeDocument/2006/relationships/hyperlink" Target="https://doi.org/10.2514/1.t7189" TargetMode="External" Id="rId107"/><Relationship Type="http://schemas.openxmlformats.org/officeDocument/2006/relationships/hyperlink" Target="https://insgc.spacegrant.org/" TargetMode="External" Id="rId108"/><Relationship Type="http://schemas.openxmlformats.org/officeDocument/2006/relationships/hyperlink" Target="https://engineering.purdue.edu/AAE/people/Faculty" TargetMode="External" Id="rId109"/><Relationship Type="http://schemas.openxmlformats.org/officeDocument/2006/relationships/hyperlink" Target="https://engineering.purdue.edu/AAE/people/ptProfile?resource_id=1370" TargetMode="External" Id="rId110"/><Relationship Type="http://schemas.openxmlformats.org/officeDocument/2006/relationships/hyperlink" Target="https://scholar.google.com/citations?view_op=search_authors&amp;mauthors=Steven%20Collicott%20Purdue%20University" TargetMode="External" Id="rId111"/><Relationship Type="http://schemas.openxmlformats.org/officeDocument/2006/relationships/hyperlink" Target="mailto:collicott@purdue.edu" TargetMode="External" Id="rId112"/><Relationship Type="http://schemas.openxmlformats.org/officeDocument/2006/relationships/hyperlink" Target="https://doi.org/10.82217/spaceops2025_398" TargetMode="External" Id="rId113"/><Relationship Type="http://schemas.openxmlformats.org/officeDocument/2006/relationships/hyperlink" Target="https://doi.org/10.1016/b978-0-32-399544-3.00007-4" TargetMode="External" Id="rId114"/><Relationship Type="http://schemas.openxmlformats.org/officeDocument/2006/relationships/hyperlink" Target="https://doi.org/10.82217/spaceops2025_398" TargetMode="External" Id="rId115"/><Relationship Type="http://schemas.openxmlformats.org/officeDocument/2006/relationships/hyperlink" Target="https://insgc.spacegrant.org/" TargetMode="External" Id="rId116"/><Relationship Type="http://schemas.openxmlformats.org/officeDocument/2006/relationships/hyperlink" Target="https://engineering.purdue.edu/AAE/people/Faculty" TargetMode="External" Id="rId117"/><Relationship Type="http://schemas.openxmlformats.org/officeDocument/2006/relationships/hyperlink" Target="https://engineering.purdue.edu/AAE/people/ptProfile?resource_id=23887" TargetMode="External" Id="rId118"/><Relationship Type="http://schemas.openxmlformats.org/officeDocument/2006/relationships/hyperlink" Target="https://scholar.google.com/citations?user=vr5HyoMAAAAJ&amp;hl=en" TargetMode="External" Id="rId119"/><Relationship Type="http://schemas.openxmlformats.org/officeDocument/2006/relationships/hyperlink" Target="mailto:alexeenk@purdue.edu" TargetMode="External" Id="rId120"/><Relationship Type="http://schemas.openxmlformats.org/officeDocument/2006/relationships/hyperlink" Target="https://doi.org/10.1016/j.softx.2026.102544" TargetMode="External" Id="rId121"/><Relationship Type="http://schemas.openxmlformats.org/officeDocument/2006/relationships/hyperlink" Target="https://doi.org/10.26077/b7e2-qq36" TargetMode="External" Id="rId122"/><Relationship Type="http://schemas.openxmlformats.org/officeDocument/2006/relationships/hyperlink" Target="https://doi.org/10.1016/j.softx.2026.102544" TargetMode="External" Id="rId123"/><Relationship Type="http://schemas.openxmlformats.org/officeDocument/2006/relationships/hyperlink" Target="https://insgc.spacegrant.org/" TargetMode="External" Id="rId124"/><Relationship Type="http://schemas.openxmlformats.org/officeDocument/2006/relationships/hyperlink" Target="https://engineering.purdue.edu/AAE/people/Faculty" TargetMode="External" Id="rId125"/><Relationship Type="http://schemas.openxmlformats.org/officeDocument/2006/relationships/hyperlink" Target="https://engineering.purdue.edu/ME/People/ptProfile?resource_id=110641" TargetMode="External" Id="rId126"/><Relationship Type="http://schemas.openxmlformats.org/officeDocument/2006/relationships/hyperlink" Target="https://scholar.google.com/citations?view_op=search_authors&amp;mauthors=Arezoo%20Ardekani%20Purdue%20University" TargetMode="External" Id="rId127"/><Relationship Type="http://schemas.openxmlformats.org/officeDocument/2006/relationships/hyperlink" Target="mailto:ardekani@purdue.edu" TargetMode="External" Id="rId128"/><Relationship Type="http://schemas.openxmlformats.org/officeDocument/2006/relationships/hyperlink" Target="https://doi.org/10.48550/arxiv.2607.20841" TargetMode="External" Id="rId129"/><Relationship Type="http://schemas.openxmlformats.org/officeDocument/2006/relationships/hyperlink" Target="https://doi.org/10.64898/2026.09.09.750406" TargetMode="External" Id="rId130"/><Relationship Type="http://schemas.openxmlformats.org/officeDocument/2006/relationships/hyperlink" Target="https://doi.org/10.48550/arxiv.2607.20841" TargetMode="External" Id="rId131"/><Relationship Type="http://schemas.openxmlformats.org/officeDocument/2006/relationships/hyperlink" Target="https://engineering.purdue.edu/ComplexFlowLab" TargetMode="External" Id="rId132"/><Relationship Type="http://schemas.openxmlformats.org/officeDocument/2006/relationships/hyperlink" Target="https://engineering.purdue.edu/ME/People/ptFaculty" TargetMode="External" Id="rId133"/><Relationship Type="http://schemas.openxmlformats.org/officeDocument/2006/relationships/hyperlink" Target="https://engineering.purdue.edu/ME/People/ptProfile?resource_id=281457" TargetMode="External" Id="rId134"/><Relationship Type="http://schemas.openxmlformats.org/officeDocument/2006/relationships/hyperlink" Target="https://scholar.google.com/citations?view_op=search_authors&amp;mauthors=Daniel%20Guildenbecher%20Purdue%20University" TargetMode="External" Id="rId135"/><Relationship Type="http://schemas.openxmlformats.org/officeDocument/2006/relationships/hyperlink" Target="mailto:dguilden@purdue.edu" TargetMode="External" Id="rId136"/><Relationship Type="http://schemas.openxmlformats.org/officeDocument/2006/relationships/hyperlink" Target="https://doi.org/10.1016/j.combustflame.2026.115159" TargetMode="External" Id="rId137"/><Relationship Type="http://schemas.openxmlformats.org/officeDocument/2006/relationships/hyperlink" Target="https://doi.org/10.1364/oe.588303" TargetMode="External" Id="rId138"/><Relationship Type="http://schemas.openxmlformats.org/officeDocument/2006/relationships/hyperlink" Target="https://doi.org/10.1016/j.combustflame.2026.115159" TargetMode="External" Id="rId139"/><Relationship Type="http://schemas.openxmlformats.org/officeDocument/2006/relationships/hyperlink" Target="https://engineering.purdue.edu/GuildenbecherLab" TargetMode="External" Id="rId140"/><Relationship Type="http://schemas.openxmlformats.org/officeDocument/2006/relationships/hyperlink" Target="https://engineering.purdue.edu/ME/People/ptFaculty" TargetMode="External" Id="rId141"/><Relationship Type="http://schemas.openxmlformats.org/officeDocument/2006/relationships/hyperlink" Target="https://engineering.purdue.edu/AAE/people/ptProfile?resource_id=339087" TargetMode="External" Id="rId142"/><Relationship Type="http://schemas.openxmlformats.org/officeDocument/2006/relationships/hyperlink" Target="https://scholar.google.com/citations?view_op=search_authors&amp;mauthors=John%20Mullin%20Purdue%20University" TargetMode="External" Id="rId143"/><Relationship Type="http://schemas.openxmlformats.org/officeDocument/2006/relationships/hyperlink" Target="mailto:webmaster-eng@purdue.edu" TargetMode="External" Id="rId144"/><Relationship Type="http://schemas.openxmlformats.org/officeDocument/2006/relationships/hyperlink" Target="https://insgc.spacegrant.org/" TargetMode="External" Id="rId145"/><Relationship Type="http://schemas.openxmlformats.org/officeDocument/2006/relationships/hyperlink" Target="https://engineering.purdue.edu/AAE/people/Faculty" TargetMode="External" Id="rId146"/><Relationship Type="http://schemas.openxmlformats.org/officeDocument/2006/relationships/hyperlink" Target="https://engineering.purdue.edu/ME/People/ptProfile?resource_id=173054" TargetMode="External" Id="rId147"/><Relationship Type="http://schemas.openxmlformats.org/officeDocument/2006/relationships/hyperlink" Target="https://scholar.google.com/citations?view_op=search_authors&amp;mauthors=Luciano%20Castillo%20Purdue%20University" TargetMode="External" Id="rId148"/><Relationship Type="http://schemas.openxmlformats.org/officeDocument/2006/relationships/hyperlink" Target="mailto:lcastillo@purdue.edu" TargetMode="External" Id="rId149"/><Relationship Type="http://schemas.openxmlformats.org/officeDocument/2006/relationships/hyperlink" Target="https://doi.org/10.1016/j.desal.2025.118526" TargetMode="External" Id="rId150"/><Relationship Type="http://schemas.openxmlformats.org/officeDocument/2006/relationships/hyperlink" Target="https://doi.org/10.1007/978-3-032-07974-9_3" TargetMode="External" Id="rId151"/><Relationship Type="http://schemas.openxmlformats.org/officeDocument/2006/relationships/hyperlink" Target="https://doi.org/10.1016/j.desal.2025.118526" TargetMode="External" Id="rId152"/><Relationship Type="http://schemas.openxmlformats.org/officeDocument/2006/relationships/hyperlink" Target="https://blueintegratedpartners.org/" TargetMode="External" Id="rId153"/><Relationship Type="http://schemas.openxmlformats.org/officeDocument/2006/relationships/hyperlink" Target="https://engineering.purdue.edu/ME/People/ptFaculty" TargetMode="External" Id="rId154"/><Relationship Type="http://schemas.openxmlformats.org/officeDocument/2006/relationships/hyperlink" Target="https://engineering.purdue.edu/AAE/people/ptProfile?resource_id=28413" TargetMode="External" Id="rId155"/><Relationship Type="http://schemas.openxmlformats.org/officeDocument/2006/relationships/hyperlink" Target="https://scholar.google.com/citations?view_op=search_authors&amp;mauthors=Robert%20Lucht%20Purdue%20University" TargetMode="External" Id="rId156"/><Relationship Type="http://schemas.openxmlformats.org/officeDocument/2006/relationships/hyperlink" Target="mailto:lucht@purdue.edu" TargetMode="External" Id="rId157"/><Relationship Type="http://schemas.openxmlformats.org/officeDocument/2006/relationships/hyperlink" Target="https://doi.org/10.1364/ao.583207" TargetMode="External" Id="rId158"/><Relationship Type="http://schemas.openxmlformats.org/officeDocument/2006/relationships/hyperlink" Target="https://doi.org/10.1002/jrs.70176" TargetMode="External" Id="rId159"/><Relationship Type="http://schemas.openxmlformats.org/officeDocument/2006/relationships/hyperlink" Target="https://doi.org/10.1364/ao.583207" TargetMode="External" Id="rId160"/><Relationship Type="http://schemas.openxmlformats.org/officeDocument/2006/relationships/hyperlink" Target="https://insgc.spacegrant.org/" TargetMode="External" Id="rId161"/><Relationship Type="http://schemas.openxmlformats.org/officeDocument/2006/relationships/hyperlink" Target="https://engineering.purdue.edu/AAE/people/Faculty" TargetMode="External" Id="rId162"/><Relationship Type="http://schemas.openxmlformats.org/officeDocument/2006/relationships/hyperlink" Target="https://engineering.purdue.edu/ME/People/ptProfile?resource_id=105717" TargetMode="External" Id="rId163"/><Relationship Type="http://schemas.openxmlformats.org/officeDocument/2006/relationships/hyperlink" Target="https://scholar.google.com/citations?view_op=search_authors&amp;mauthors=Sadegh%20Dabiri%20Purdue%20University" TargetMode="External" Id="rId164"/><Relationship Type="http://schemas.openxmlformats.org/officeDocument/2006/relationships/hyperlink" Target="mailto:dabiri@purdue.edu" TargetMode="External" Id="rId165"/><Relationship Type="http://schemas.openxmlformats.org/officeDocument/2006/relationships/hyperlink" Target="https://doi.org/10.1186/s12987-025-00668-3" TargetMode="External" Id="rId166"/><Relationship Type="http://schemas.openxmlformats.org/officeDocument/2006/relationships/hyperlink" Target="https://doi.org/10.1016/j.ijmultiphaseflow.2020.103433" TargetMode="External" Id="rId167"/><Relationship Type="http://schemas.openxmlformats.org/officeDocument/2006/relationships/hyperlink" Target="https://doi.org/10.1186/s12987-025-00668-3" TargetMode="External" Id="rId168"/><Relationship Type="http://schemas.openxmlformats.org/officeDocument/2006/relationships/hyperlink" Target="http://web.ics.purdue.edu/~sdabiris/" TargetMode="External" Id="rId169"/><Relationship Type="http://schemas.openxmlformats.org/officeDocument/2006/relationships/hyperlink" Target="https://engineering.purdue.edu/ME/People/ptFaculty" TargetMode="External" Id="rId170"/><Relationship Type="http://schemas.openxmlformats.org/officeDocument/2006/relationships/hyperlink" Target="https://engineering.purdue.edu/AAE/people/ptProfile?resource_id=56893" TargetMode="External" Id="rId171"/><Relationship Type="http://schemas.openxmlformats.org/officeDocument/2006/relationships/hyperlink" Target="https://scholar.google.com/citations?view_op=search_authors&amp;mauthors=Tom%20Shih%20Purdue%20University" TargetMode="External" Id="rId172"/><Relationship Type="http://schemas.openxmlformats.org/officeDocument/2006/relationships/hyperlink" Target="mailto:tomshih@purdue.edu" TargetMode="External" Id="rId173"/><Relationship Type="http://schemas.openxmlformats.org/officeDocument/2006/relationships/hyperlink" Target="https://doi.org/10.3390/app152211922" TargetMode="External" Id="rId174"/><Relationship Type="http://schemas.openxmlformats.org/officeDocument/2006/relationships/hyperlink" Target="https://doi.org/10.1115/1.4067931" TargetMode="External" Id="rId175"/><Relationship Type="http://schemas.openxmlformats.org/officeDocument/2006/relationships/hyperlink" Target="https://doi.org/10.3390/app152211922" TargetMode="External" Id="rId176"/><Relationship Type="http://schemas.openxmlformats.org/officeDocument/2006/relationships/hyperlink" Target="https://insgc.spacegrant.org/" TargetMode="External" Id="rId177"/><Relationship Type="http://schemas.openxmlformats.org/officeDocument/2006/relationships/hyperlink" Target="https://engineering.purdue.edu/AAE/people/Faculty" TargetMode="External" Id="rId178"/><Relationship Type="http://schemas.openxmlformats.org/officeDocument/2006/relationships/hyperlink" Target="https://engineering.purdue.edu/AAE/people/ptProfile?resource_id=319705" TargetMode="External" Id="rId179"/><Relationship Type="http://schemas.openxmlformats.org/officeDocument/2006/relationships/hyperlink" Target="https://scholar.google.com/citations?view_op=search_authors&amp;mauthors=Kyle%20J.%20DeMars%20Purdue%20University" TargetMode="External" Id="rId180"/><Relationship Type="http://schemas.openxmlformats.org/officeDocument/2006/relationships/hyperlink" Target="mailto:kdemars@purdue.edu" TargetMode="External" Id="rId181"/><Relationship Type="http://schemas.openxmlformats.org/officeDocument/2006/relationships/hyperlink" Target="https://doi.org/10.48550/arxiv.2603.20110" TargetMode="External" Id="rId182"/><Relationship Type="http://schemas.openxmlformats.org/officeDocument/2006/relationships/hyperlink" Target="https://doi.org/10.1016/j.asr.2025.11.124" TargetMode="External" Id="rId183"/><Relationship Type="http://schemas.openxmlformats.org/officeDocument/2006/relationships/hyperlink" Target="https://doi.org/10.48550/arxiv.2603.20110" TargetMode="External" Id="rId184"/><Relationship Type="http://schemas.openxmlformats.org/officeDocument/2006/relationships/hyperlink" Target="https://insgc.spacegrant.org/" TargetMode="External" Id="rId185"/><Relationship Type="http://schemas.openxmlformats.org/officeDocument/2006/relationships/hyperlink" Target="https://engineering.purdue.edu/AAE/people/Faculty" TargetMode="External" Id="rId186"/><Relationship Type="http://schemas.openxmlformats.org/officeDocument/2006/relationships/hyperlink" Target="https://engineering.purdue.edu/AAE/people/ptProfile?resource_id=39640" TargetMode="External" Id="rId187"/><Relationship Type="http://schemas.openxmlformats.org/officeDocument/2006/relationships/hyperlink" Target="https://scholar.google.com/citations?user=yFXFQPYAAAAJ&amp;hl=en" TargetMode="External" Id="rId188"/><Relationship Type="http://schemas.openxmlformats.org/officeDocument/2006/relationships/hyperlink" Target="mailto:lqiao@purdue.edu" TargetMode="External" Id="rId189"/><Relationship Type="http://schemas.openxmlformats.org/officeDocument/2006/relationships/hyperlink" Target="https://doi.org/10.1016/j.applthermaleng.2016.06.070" TargetMode="External" Id="rId190"/><Relationship Type="http://schemas.openxmlformats.org/officeDocument/2006/relationships/hyperlink" Target="https://doi.org/10.1016/j.combustflame.2009.11.011" TargetMode="External" Id="rId191"/><Relationship Type="http://schemas.openxmlformats.org/officeDocument/2006/relationships/hyperlink" Target="https://doi.org/10.1016/j.applthermaleng.2016.06.070" TargetMode="External" Id="rId192"/><Relationship Type="http://schemas.openxmlformats.org/officeDocument/2006/relationships/hyperlink" Target="https://insgc.spacegrant.org/" TargetMode="External" Id="rId193"/><Relationship Type="http://schemas.openxmlformats.org/officeDocument/2006/relationships/hyperlink" Target="https://engineering.purdue.edu/AAE/people/Faculty" TargetMode="External" Id="rId194"/><Relationship Type="http://schemas.openxmlformats.org/officeDocument/2006/relationships/hyperlink" Target="https://engineering.purdue.edu/ME/People/ptProfile?resource_id=159298" TargetMode="External" Id="rId195"/><Relationship Type="http://schemas.openxmlformats.org/officeDocument/2006/relationships/hyperlink" Target="https://scholar.google.com/citations?view_op=search_authors&amp;mauthors=Aaron%20Morris%20Purdue%20University" TargetMode="External" Id="rId196"/><Relationship Type="http://schemas.openxmlformats.org/officeDocument/2006/relationships/hyperlink" Target="mailto:abmorris@purdue.edu" TargetMode="External" Id="rId197"/><Relationship Type="http://schemas.openxmlformats.org/officeDocument/2006/relationships/hyperlink" Target="https://doi.org/10.1002/aic.70212" TargetMode="External" Id="rId198"/><Relationship Type="http://schemas.openxmlformats.org/officeDocument/2006/relationships/hyperlink" Target="https://doi.org/10.1016/j.applthermaleng.2025.126427" TargetMode="External" Id="rId199"/><Relationship Type="http://schemas.openxmlformats.org/officeDocument/2006/relationships/hyperlink" Target="https://doi.org/10.1002/aic.70212" TargetMode="External" Id="rId200"/><Relationship Type="http://schemas.openxmlformats.org/officeDocument/2006/relationships/hyperlink" Target="https://engineering.purdue.edu/CP3/" TargetMode="External" Id="rId201"/><Relationship Type="http://schemas.openxmlformats.org/officeDocument/2006/relationships/hyperlink" Target="https://engineering.purdue.edu/ME/People/ptFaculty" TargetMode="External" Id="rId202"/><Relationship Type="http://schemas.openxmlformats.org/officeDocument/2006/relationships/hyperlink" Target="https://engineering.purdue.edu/AAE/people/ptProfile?resource_id=124987" TargetMode="External" Id="rId203"/><Relationship Type="http://schemas.openxmlformats.org/officeDocument/2006/relationships/hyperlink" Target="https://scholar.google.com/citations?view_op=search_authors&amp;mauthors=Alexey%20Shashurin%20Purdue%20University" TargetMode="External" Id="rId204"/><Relationship Type="http://schemas.openxmlformats.org/officeDocument/2006/relationships/hyperlink" Target="mailto:ashashur@purdue.edu" TargetMode="External" Id="rId205"/><Relationship Type="http://schemas.openxmlformats.org/officeDocument/2006/relationships/hyperlink" Target="https://doi.org/10.1063/5.0334090" TargetMode="External" Id="rId206"/><Relationship Type="http://schemas.openxmlformats.org/officeDocument/2006/relationships/hyperlink" Target="https://doi.org/10.1063/5.0294710" TargetMode="External" Id="rId207"/><Relationship Type="http://schemas.openxmlformats.org/officeDocument/2006/relationships/hyperlink" Target="https://doi.org/10.1063/5.0334090" TargetMode="External" Id="rId208"/><Relationship Type="http://schemas.openxmlformats.org/officeDocument/2006/relationships/hyperlink" Target="https://insgc.spacegrant.org/" TargetMode="External" Id="rId209"/><Relationship Type="http://schemas.openxmlformats.org/officeDocument/2006/relationships/hyperlink" Target="https://engineering.purdue.edu/AAE/people/Faculty" TargetMode="External" Id="rId210"/><Relationship Type="http://schemas.openxmlformats.org/officeDocument/2006/relationships/hyperlink" Target="https://engineering.purdue.edu/ME/People/ptProfile?resource_id=297468" TargetMode="External" Id="rId211"/><Relationship Type="http://schemas.openxmlformats.org/officeDocument/2006/relationships/hyperlink" Target="https://scholar.google.com/citations?view_op=search_authors&amp;mauthors=Carlos%20Larriba-Andaluz%20Purdue%20University" TargetMode="External" Id="rId212"/><Relationship Type="http://schemas.openxmlformats.org/officeDocument/2006/relationships/hyperlink" Target="mailto:clarriba@purdue.edu" TargetMode="External" Id="rId213"/><Relationship Type="http://schemas.openxmlformats.org/officeDocument/2006/relationships/hyperlink" Target="https://doi.org/10.1021/jasms.5c00347" TargetMode="External" Id="rId214"/><Relationship Type="http://schemas.openxmlformats.org/officeDocument/2006/relationships/hyperlink" Target="https://doi.org/10.1063/5.0337543" TargetMode="External" Id="rId215"/><Relationship Type="http://schemas.openxmlformats.org/officeDocument/2006/relationships/hyperlink" Target="https://doi.org/10.1021/jasms.5c00347" TargetMode="External" Id="rId216"/><Relationship Type="http://schemas.openxmlformats.org/officeDocument/2006/relationships/hyperlink" Target="http://www.imospedia.com" TargetMode="External" Id="rId217"/><Relationship Type="http://schemas.openxmlformats.org/officeDocument/2006/relationships/hyperlink" Target="https://engineering.purdue.edu/ME/People/ptFaculty" TargetMode="External" Id="rId218"/><Relationship Type="http://schemas.openxmlformats.org/officeDocument/2006/relationships/hyperlink" Target="https://engineering.purdue.edu/AAE/people/ptProfile?resource_id=111420" TargetMode="External" Id="rId219"/><Relationship Type="http://schemas.openxmlformats.org/officeDocument/2006/relationships/hyperlink" Target="https://scholar.google.com/citations?view_op=search_authors&amp;mauthors=Carolin%20E%20Frueh%20Purdue%20University" TargetMode="External" Id="rId220"/><Relationship Type="http://schemas.openxmlformats.org/officeDocument/2006/relationships/hyperlink" Target="mailto:cfrueh@purdue.edu" TargetMode="External" Id="rId221"/><Relationship Type="http://schemas.openxmlformats.org/officeDocument/2006/relationships/hyperlink" Target="https://doi.org/10.1029/2025ea004733" TargetMode="External" Id="rId222"/><Relationship Type="http://schemas.openxmlformats.org/officeDocument/2006/relationships/hyperlink" Target="https://doi.org/10.1007/s40295-025-00522-6" TargetMode="External" Id="rId223"/><Relationship Type="http://schemas.openxmlformats.org/officeDocument/2006/relationships/hyperlink" Target="https://doi.org/10.1029/2025ea004733" TargetMode="External" Id="rId224"/><Relationship Type="http://schemas.openxmlformats.org/officeDocument/2006/relationships/hyperlink" Target="https://insgc.spacegrant.org/" TargetMode="External" Id="rId225"/><Relationship Type="http://schemas.openxmlformats.org/officeDocument/2006/relationships/hyperlink" Target="https://engineering.purdue.edu/AAE/people/Faculty" TargetMode="External" Id="rId226"/><Relationship Type="http://schemas.openxmlformats.org/officeDocument/2006/relationships/hyperlink" Target="https://engineering.purdue.edu/ME/People/ptProfile?resource_id=117602" TargetMode="External" Id="rId227"/><Relationship Type="http://schemas.openxmlformats.org/officeDocument/2006/relationships/hyperlink" Target="https://scholar.google.com/citations?view_op=search_authors&amp;mauthors=Guang%20Lin%20Purdue%20University" TargetMode="External" Id="rId228"/><Relationship Type="http://schemas.openxmlformats.org/officeDocument/2006/relationships/hyperlink" Target="mailto:guanglin@purdue.edu" TargetMode="External" Id="rId229"/><Relationship Type="http://schemas.openxmlformats.org/officeDocument/2006/relationships/hyperlink" Target="https://doi.org/10.1088/2632-2153/ae7495" TargetMode="External" Id="rId230"/><Relationship Type="http://schemas.openxmlformats.org/officeDocument/2006/relationships/hyperlink" Target="https://doi.org/10.1016/j.camwa.2026.07.034" TargetMode="External" Id="rId231"/><Relationship Type="http://schemas.openxmlformats.org/officeDocument/2006/relationships/hyperlink" Target="https://doi.org/10.1088/2632-2153/ae7495" TargetMode="External" Id="rId232"/><Relationship Type="http://schemas.openxmlformats.org/officeDocument/2006/relationships/hyperlink" Target="http://www.math.purdue.edu/~lin491/" TargetMode="External" Id="rId233"/><Relationship Type="http://schemas.openxmlformats.org/officeDocument/2006/relationships/hyperlink" Target="https://engineering.purdue.edu/ME/People/ptFaculty" TargetMode="External" Id="rId234"/><Relationship Type="http://schemas.openxmlformats.org/officeDocument/2006/relationships/hyperlink" Target="https://engineering.purdue.edu/ME/People/ptProfile?resource_id=157698" TargetMode="External" Id="rId235"/><Relationship Type="http://schemas.openxmlformats.org/officeDocument/2006/relationships/hyperlink" Target="https://scholar.google.com/citations?view_op=search_authors&amp;mauthors=Hector%20Gomez%20Purdue%20University" TargetMode="External" Id="rId236"/><Relationship Type="http://schemas.openxmlformats.org/officeDocument/2006/relationships/hyperlink" Target="mailto:hectorgomez@purdue.edu" TargetMode="External" Id="rId237"/><Relationship Type="http://schemas.openxmlformats.org/officeDocument/2006/relationships/hyperlink" Target="https://engineering.purdue.edu/gomez/" TargetMode="External" Id="rId238"/><Relationship Type="http://schemas.openxmlformats.org/officeDocument/2006/relationships/hyperlink" Target="https://engineering.purdue.edu/ME/People/ptFaculty" TargetMode="External" Id="rId239"/><Relationship Type="http://schemas.openxmlformats.org/officeDocument/2006/relationships/hyperlink" Target="https://engineering.purdue.edu/AAE/people/ptProfile?resource_id=1319" TargetMode="External" Id="rId240"/><Relationship Type="http://schemas.openxmlformats.org/officeDocument/2006/relationships/hyperlink" Target="https://scholar.google.com/citations?view_op=search_authors&amp;mauthors=James%20M.%20Longuski%20Purdue%20University" TargetMode="External" Id="rId241"/><Relationship Type="http://schemas.openxmlformats.org/officeDocument/2006/relationships/hyperlink" Target="mailto:webmaster-eng@purdue.edu" TargetMode="External" Id="rId242"/><Relationship Type="http://schemas.openxmlformats.org/officeDocument/2006/relationships/hyperlink" Target="https://insgc.spacegrant.org/" TargetMode="External" Id="rId243"/><Relationship Type="http://schemas.openxmlformats.org/officeDocument/2006/relationships/hyperlink" Target="https://engineering.purdue.edu/AAE/people/Faculty" TargetMode="External" Id="rId244"/><Relationship Type="http://schemas.openxmlformats.org/officeDocument/2006/relationships/hyperlink" Target="https://engineering.purdue.edu/AAE/people/ptProfile?resource_id=284676" TargetMode="External" Id="rId245"/><Relationship Type="http://schemas.openxmlformats.org/officeDocument/2006/relationships/hyperlink" Target="https://scholar.google.com/citations?hl=en&amp;user=r7gLAy4AAAAJ&amp;view_op=list_works&amp;sortby=pubdate" TargetMode="External" Id="rId246"/><Relationship Type="http://schemas.openxmlformats.org/officeDocument/2006/relationships/hyperlink" Target="mailto:kmaeda@purdue.edu" TargetMode="External" Id="rId247"/><Relationship Type="http://schemas.openxmlformats.org/officeDocument/2006/relationships/hyperlink" Target="https://doi.org/10.2514/6.2026-1003" TargetMode="External" Id="rId248"/><Relationship Type="http://schemas.openxmlformats.org/officeDocument/2006/relationships/hyperlink" Target="https://doi.org/10.1103/y7lz-563m" TargetMode="External" Id="rId249"/><Relationship Type="http://schemas.openxmlformats.org/officeDocument/2006/relationships/hyperlink" Target="https://doi.org/10.2514/6.2026-1003" TargetMode="External" Id="rId250"/><Relationship Type="http://schemas.openxmlformats.org/officeDocument/2006/relationships/hyperlink" Target="https://insgc.spacegrant.org/" TargetMode="External" Id="rId251"/><Relationship Type="http://schemas.openxmlformats.org/officeDocument/2006/relationships/hyperlink" Target="https://engineering.purdue.edu/AAE/people/Faculty" TargetMode="External" Id="rId252"/><Relationship Type="http://schemas.openxmlformats.org/officeDocument/2006/relationships/hyperlink" Target="https://engineering.purdue.edu/ME/People/ptProfile?resource_id=297474" TargetMode="External" Id="rId253"/><Relationship Type="http://schemas.openxmlformats.org/officeDocument/2006/relationships/hyperlink" Target="https://scholar.google.com/citations?view_op=search_authors&amp;mauthors=Razi%20Nalim%20Purdue%20University" TargetMode="External" Id="rId254"/><Relationship Type="http://schemas.openxmlformats.org/officeDocument/2006/relationships/hyperlink" Target="mailto:mnalim@purdue.edu" TargetMode="External" Id="rId255"/><Relationship Type="http://schemas.openxmlformats.org/officeDocument/2006/relationships/hyperlink" Target="https://insgc.spacegrant.org/" TargetMode="External" Id="rId256"/><Relationship Type="http://schemas.openxmlformats.org/officeDocument/2006/relationships/hyperlink" Target="https://engineering.purdue.edu/ME/People/ptFaculty" TargetMode="External" Id="rId257"/><Relationship Type="http://schemas.openxmlformats.org/officeDocument/2006/relationships/hyperlink" Target="https://engineering.purdue.edu/ME/People/ptProfile?resource_id=328301" TargetMode="External" Id="rId258"/><Relationship Type="http://schemas.openxmlformats.org/officeDocument/2006/relationships/hyperlink" Target="https://scholar.google.com/citations?view_op=search_authors&amp;mauthors=Romit%20Maulik%20Purdue%20University" TargetMode="External" Id="rId259"/><Relationship Type="http://schemas.openxmlformats.org/officeDocument/2006/relationships/hyperlink" Target="mailto:rmaulik@purdue.edu" TargetMode="External" Id="rId260"/><Relationship Type="http://schemas.openxmlformats.org/officeDocument/2006/relationships/hyperlink" Target="https://doi.org/10.1016/j.compfluid.2026.107200" TargetMode="External" Id="rId261"/><Relationship Type="http://schemas.openxmlformats.org/officeDocument/2006/relationships/hyperlink" Target="https://doi.org/10.1063/5.0039986" TargetMode="External" Id="rId262"/><Relationship Type="http://schemas.openxmlformats.org/officeDocument/2006/relationships/hyperlink" Target="https://doi.org/10.1016/j.compfluid.2026.107200" TargetMode="External" Id="rId263"/><Relationship Type="http://schemas.openxmlformats.org/officeDocument/2006/relationships/hyperlink" Target="https://romit-maulik.github.io/" TargetMode="External" Id="rId264"/><Relationship Type="http://schemas.openxmlformats.org/officeDocument/2006/relationships/hyperlink" Target="https://github.com/Romit-Maulik" TargetMode="External" Id="rId265"/><Relationship Type="http://schemas.openxmlformats.org/officeDocument/2006/relationships/hyperlink" Target="https://engineering.purdue.edu/ME/People/ptFaculty" TargetMode="External" Id="rId266"/><Relationship Type="http://schemas.openxmlformats.org/officeDocument/2006/relationships/hyperlink" Target="https://engineering.purdue.edu/AAE/people/ptProfile?resource_id=1326" TargetMode="External" Id="rId267"/><Relationship Type="http://schemas.openxmlformats.org/officeDocument/2006/relationships/hyperlink" Target="https://scholar.google.com/citations?view_op=search_authors&amp;mauthors=Stephen%20D.%20Heister%20Purdue%20University" TargetMode="External" Id="rId268"/><Relationship Type="http://schemas.openxmlformats.org/officeDocument/2006/relationships/hyperlink" Target="mailto:webmaster-eng@purdue.edu" TargetMode="External" Id="rId269"/><Relationship Type="http://schemas.openxmlformats.org/officeDocument/2006/relationships/hyperlink" Target="https://insgc.spacegrant.org/" TargetMode="External" Id="rId270"/><Relationship Type="http://schemas.openxmlformats.org/officeDocument/2006/relationships/hyperlink" Target="https://engineering.purdue.edu/AAE/people/Faculty" TargetMode="External" Id="rId271"/><Relationship Type="http://schemas.openxmlformats.org/officeDocument/2006/relationships/hyperlink" Target="https://engineering.purdue.edu/ME/People/ptProfile?resource_id=29385" TargetMode="External" Id="rId272"/><Relationship Type="http://schemas.openxmlformats.org/officeDocument/2006/relationships/hyperlink" Target="https://scholar.google.com/citations?view_op=search_authors&amp;mauthors=Steven%20F.%20Son%20Purdue%20University" TargetMode="External" Id="rId273"/><Relationship Type="http://schemas.openxmlformats.org/officeDocument/2006/relationships/hyperlink" Target="mailto:sson@purdue.edu" TargetMode="External" Id="rId274"/><Relationship Type="http://schemas.openxmlformats.org/officeDocument/2006/relationships/hyperlink" Target="https://doi.org/10.1063/5.0312755" TargetMode="External" Id="rId275"/><Relationship Type="http://schemas.openxmlformats.org/officeDocument/2006/relationships/hyperlink" Target="https://doi.org/10.1016/j.proci.2020.06.163" TargetMode="External" Id="rId276"/><Relationship Type="http://schemas.openxmlformats.org/officeDocument/2006/relationships/hyperlink" Target="https://doi.org/10.1063/5.0312755" TargetMode="External" Id="rId277"/><Relationship Type="http://schemas.openxmlformats.org/officeDocument/2006/relationships/hyperlink" Target="https://web.ics.purdue.edu/~sson/Son_Webpage/SonWeb_index.html" TargetMode="External" Id="rId278"/><Relationship Type="http://schemas.openxmlformats.org/officeDocument/2006/relationships/hyperlink" Target="https://engineering.purdue.edu/AAE/people/Faculty" TargetMode="External" Id="rId279"/><Relationship Type="http://schemas.openxmlformats.org/officeDocument/2006/relationships/hyperlink" Target="https://engineering.purdue.edu/AAE/people/ptProfile?resource_id=23845" TargetMode="External" Id="rId280"/><Relationship Type="http://schemas.openxmlformats.org/officeDocument/2006/relationships/hyperlink" Target="https://scholar.google.com/citations?view_op=search_authors&amp;mauthors=Timoth%C3%A9e%20Pourpoint%20Purdue%20University" TargetMode="External" Id="rId281"/><Relationship Type="http://schemas.openxmlformats.org/officeDocument/2006/relationships/hyperlink" Target="mailto:timothee@purdue.edu" TargetMode="External" Id="rId282"/><Relationship Type="http://schemas.openxmlformats.org/officeDocument/2006/relationships/hyperlink" Target="https://doi.org/10.1021/acs.energyfuels.6c00475" TargetMode="External" Id="rId283"/><Relationship Type="http://schemas.openxmlformats.org/officeDocument/2006/relationships/hyperlink" Target="https://doi.org/10.2514/6.2026-1601" TargetMode="External" Id="rId284"/><Relationship Type="http://schemas.openxmlformats.org/officeDocument/2006/relationships/hyperlink" Target="https://doi.org/10.1021/acs.energyfuels.6c00475" TargetMode="External" Id="rId285"/><Relationship Type="http://schemas.openxmlformats.org/officeDocument/2006/relationships/hyperlink" Target="https://insgc.spacegrant.org/" TargetMode="External" Id="rId286"/><Relationship Type="http://schemas.openxmlformats.org/officeDocument/2006/relationships/hyperlink" Target="https://engineering.purdue.edu/AAE/people/Faculty" TargetMode="External" Id="rId287"/><Relationship Type="http://schemas.openxmlformats.org/officeDocument/2006/relationships/hyperlink" Target="https://engineering.purdue.edu/ME/People/ptProfile?resource_id=113506" TargetMode="External" Id="rId288"/><Relationship Type="http://schemas.openxmlformats.org/officeDocument/2006/relationships/hyperlink" Target="https://scholar.google.com/citations?user=KO7HNBsAAAAJ" TargetMode="External" Id="rId289"/><Relationship Type="http://schemas.openxmlformats.org/officeDocument/2006/relationships/hyperlink" Target="mailto:gpaniagua@purdue.edu" TargetMode="External" Id="rId290"/><Relationship Type="http://schemas.openxmlformats.org/officeDocument/2006/relationships/hyperlink" Target="https://doi.org/10.3390/ijtpp11030035" TargetMode="External" Id="rId291"/><Relationship Type="http://schemas.openxmlformats.org/officeDocument/2006/relationships/hyperlink" Target="https://doi.org/10.1115/1.4072530" TargetMode="External" Id="rId292"/><Relationship Type="http://schemas.openxmlformats.org/officeDocument/2006/relationships/hyperlink" Target="https://doi.org/10.3390/ijtpp11030035" TargetMode="External" Id="rId293"/><Relationship Type="http://schemas.openxmlformats.org/officeDocument/2006/relationships/hyperlink" Target="https://engineering.purdue.edu/PETAL" TargetMode="External" Id="rId294"/><Relationship Type="http://schemas.openxmlformats.org/officeDocument/2006/relationships/hyperlink" Target="https://engineering.purdue.edu/AAE/people/Faculty" TargetMode="External" Id="rId295"/><Relationship Type="http://schemas.openxmlformats.org/officeDocument/2006/relationships/hyperlink" Target="https://engineering.purdue.edu/ME/People/ptProfile?resource_id=134738" TargetMode="External" Id="rId296"/><Relationship Type="http://schemas.openxmlformats.org/officeDocument/2006/relationships/hyperlink" Target="https://scholar.google.com/citations?view_op=search_authors&amp;mauthors=Ivan%20C.%20Christov%20Purdue%20University" TargetMode="External" Id="rId297"/><Relationship Type="http://schemas.openxmlformats.org/officeDocument/2006/relationships/hyperlink" Target="mailto:christov@purdue.edu" TargetMode="External" Id="rId298"/><Relationship Type="http://schemas.openxmlformats.org/officeDocument/2006/relationships/hyperlink" Target="https://doi.org/10.1103/zk9v-13sn" TargetMode="External" Id="rId299"/><Relationship Type="http://schemas.openxmlformats.org/officeDocument/2006/relationships/hyperlink" Target="https://doi.org/10.48550/arxiv.2607.15239" TargetMode="External" Id="rId300"/><Relationship Type="http://schemas.openxmlformats.org/officeDocument/2006/relationships/hyperlink" Target="https://doi.org/10.1103/zk9v-13sn" TargetMode="External" Id="rId301"/><Relationship Type="http://schemas.openxmlformats.org/officeDocument/2006/relationships/hyperlink" Target="http://tmnt-lab.org" TargetMode="External" Id="rId302"/><Relationship Type="http://schemas.openxmlformats.org/officeDocument/2006/relationships/hyperlink" Target="https://engineering.purdue.edu/ME/People/ptFaculty" TargetMode="External" Id="rId303"/><Relationship Type="http://schemas.openxmlformats.org/officeDocument/2006/relationships/hyperlink" Target="https://engineering.purdue.edu/AAE/people/ptProfile?resource_id=1422" TargetMode="External" Id="rId304"/><Relationship Type="http://schemas.openxmlformats.org/officeDocument/2006/relationships/hyperlink" Target="https://scholar.google.com/citations?view_op=search_authors&amp;mauthors=James%20L.%20Garrison%20Purdue%20University" TargetMode="External" Id="rId305"/><Relationship Type="http://schemas.openxmlformats.org/officeDocument/2006/relationships/hyperlink" Target="mailto:jgarriso@purdue.edu" TargetMode="External" Id="rId306"/><Relationship Type="http://schemas.openxmlformats.org/officeDocument/2006/relationships/hyperlink" Target="https://insgc.spacegrant.org/" TargetMode="External" Id="rId307"/><Relationship Type="http://schemas.openxmlformats.org/officeDocument/2006/relationships/hyperlink" Target="https://engineering.purdue.edu/AAE/people/Faculty" TargetMode="External" Id="rId308"/><Relationship Type="http://schemas.openxmlformats.org/officeDocument/2006/relationships/hyperlink" Target="https://engineering.purdue.edu/ME/People/ptProfile?resource_id=44345" TargetMode="External" Id="rId309"/><Relationship Type="http://schemas.openxmlformats.org/officeDocument/2006/relationships/hyperlink" Target="https://scholar.google.com/citations?view_op=search_authors&amp;mauthors=Jun%20Chen%20Purdue%20University" TargetMode="External" Id="rId310"/><Relationship Type="http://schemas.openxmlformats.org/officeDocument/2006/relationships/hyperlink" Target="mailto:junchen@purdue.edu" TargetMode="External" Id="rId311"/><Relationship Type="http://schemas.openxmlformats.org/officeDocument/2006/relationships/hyperlink" Target="https://doi.org/10.1016/j.buildenv.2016.03.011" TargetMode="External" Id="rId312"/><Relationship Type="http://schemas.openxmlformats.org/officeDocument/2006/relationships/hyperlink" Target="https://doi.org/10.1016/j.triboint.2024.109852" TargetMode="External" Id="rId313"/><Relationship Type="http://schemas.openxmlformats.org/officeDocument/2006/relationships/hyperlink" Target="https://doi.org/10.1016/j.buildenv.2016.03.011" TargetMode="External" Id="rId314"/><Relationship Type="http://schemas.openxmlformats.org/officeDocument/2006/relationships/hyperlink" Target="https://engineering.purdue.edu/~chen220" TargetMode="External" Id="rId315"/><Relationship Type="http://schemas.openxmlformats.org/officeDocument/2006/relationships/hyperlink" Target="https://engineering.purdue.edu/AAE/people/Faculty" TargetMode="External" Id="rId316"/><Relationship Type="http://schemas.openxmlformats.org/officeDocument/2006/relationships/hyperlink" Target="https://engineering.purdue.edu/AAE/people/ptProfile?resource_id=255151" TargetMode="External" Id="rId317"/><Relationship Type="http://schemas.openxmlformats.org/officeDocument/2006/relationships/hyperlink" Target="https://scholar.google.com/citations?view_op=search_authors&amp;mauthors=Mark%20Lewis%20Purdue%20University" TargetMode="External" Id="rId318"/><Relationship Type="http://schemas.openxmlformats.org/officeDocument/2006/relationships/hyperlink" Target="mailto:lewis619@purdue.edu" TargetMode="External" Id="rId319"/><Relationship Type="http://schemas.openxmlformats.org/officeDocument/2006/relationships/hyperlink" Target="https://doi.org/10.2514/2.2612" TargetMode="External" Id="rId320"/><Relationship Type="http://schemas.openxmlformats.org/officeDocument/2006/relationships/hyperlink" Target="https://doi.org/10.2514/2.5855" TargetMode="External" Id="rId321"/><Relationship Type="http://schemas.openxmlformats.org/officeDocument/2006/relationships/hyperlink" Target="https://doi.org/10.2514/2.2612" TargetMode="External" Id="rId322"/><Relationship Type="http://schemas.openxmlformats.org/officeDocument/2006/relationships/hyperlink" Target="https://insgc.spacegrant.org/" TargetMode="External" Id="rId323"/><Relationship Type="http://schemas.openxmlformats.org/officeDocument/2006/relationships/hyperlink" Target="https://engineering.purdue.edu/AAE/people/Faculty" TargetMode="External" Id="rId324"/><Relationship Type="http://schemas.openxmlformats.org/officeDocument/2006/relationships/hyperlink" Target="https://engineering.purdue.edu/AAE/people/ptProfile?resource_id=55699" TargetMode="External" Id="rId325"/><Relationship Type="http://schemas.openxmlformats.org/officeDocument/2006/relationships/hyperlink" Target="https://scholar.google.com/citations?user=rI7TKPYAAAAJ&amp;hl=en&amp;oi=ao" TargetMode="External" Id="rId326"/><Relationship Type="http://schemas.openxmlformats.org/officeDocument/2006/relationships/hyperlink" Target="mailto:tomar@purdue.edu" TargetMode="External" Id="rId327"/><Relationship Type="http://schemas.openxmlformats.org/officeDocument/2006/relationships/hyperlink" Target="https://insgc.spacegrant.org/" TargetMode="External" Id="rId328"/><Relationship Type="http://schemas.openxmlformats.org/officeDocument/2006/relationships/hyperlink" Target="https://engineering.purdue.edu/AAE/people/Faculty" TargetMode="External" Id="rId329"/><Relationship Type="http://schemas.openxmlformats.org/officeDocument/2006/relationships/hyperlink" Target="https://engineering.purdue.edu/ME/People/ptProfile?resource_id=117606" TargetMode="External" Id="rId330"/><Relationship Type="http://schemas.openxmlformats.org/officeDocument/2006/relationships/hyperlink" Target="https://scholar.google.com/citations?view_op=search_authors&amp;mauthors=Benxin%20Wu%20Purdue%20University" TargetMode="External" Id="rId331"/><Relationship Type="http://schemas.openxmlformats.org/officeDocument/2006/relationships/hyperlink" Target="mailto:wu65@purdue.edu" TargetMode="External" Id="rId332"/><Relationship Type="http://schemas.openxmlformats.org/officeDocument/2006/relationships/hyperlink" Target="https://insgc.spacegrant.org/" TargetMode="External" Id="rId333"/><Relationship Type="http://schemas.openxmlformats.org/officeDocument/2006/relationships/hyperlink" Target="https://engineering.purdue.edu/ME/People/ptFaculty" TargetMode="External" Id="rId334"/><Relationship Type="http://schemas.openxmlformats.org/officeDocument/2006/relationships/hyperlink" Target="https://engineering.purdue.edu/ME/People/ptProfile?resource_id=29361" TargetMode="External" Id="rId335"/><Relationship Type="http://schemas.openxmlformats.org/officeDocument/2006/relationships/hyperlink" Target="https://scholar.google.com/citations?view_op=search_authors&amp;mauthors=Gregory%20M.%20Shaver%20Purdue%20University" TargetMode="External" Id="rId336"/><Relationship Type="http://schemas.openxmlformats.org/officeDocument/2006/relationships/hyperlink" Target="mailto:gshaver@purdue.edu" TargetMode="External" Id="rId337"/><Relationship Type="http://schemas.openxmlformats.org/officeDocument/2006/relationships/hyperlink" Target="http://www.gregshaver.com/" TargetMode="External" Id="rId338"/><Relationship Type="http://schemas.openxmlformats.org/officeDocument/2006/relationships/hyperlink" Target="https://engineering.purdue.edu/ME/People/ptFaculty" TargetMode="External" Id="rId339"/><Relationship Type="http://schemas.openxmlformats.org/officeDocument/2006/relationships/hyperlink" Target="https://engineering.purdue.edu/AAE/people/ptProfile?resource_id=285032" TargetMode="External" Id="rId340"/><Relationship Type="http://schemas.openxmlformats.org/officeDocument/2006/relationships/hyperlink" Target="https://scholar.google.com/citations?view_op=search_authors&amp;mauthors=Jamie%20Canino%20Purdue%20University" TargetMode="External" Id="rId341"/><Relationship Type="http://schemas.openxmlformats.org/officeDocument/2006/relationships/hyperlink" Target="mailto:canino@purdue.edu" TargetMode="External" Id="rId342"/><Relationship Type="http://schemas.openxmlformats.org/officeDocument/2006/relationships/hyperlink" Target="https://insgc.spacegrant.org/" TargetMode="External" Id="rId343"/><Relationship Type="http://schemas.openxmlformats.org/officeDocument/2006/relationships/hyperlink" Target="https://engineering.purdue.edu/AAE/people/Faculty" TargetMode="External" Id="rId344"/><Relationship Type="http://schemas.openxmlformats.org/officeDocument/2006/relationships/hyperlink" Target="https://engineering.purdue.edu/AAE/people/ptProfile?resource_id=256632" TargetMode="External" Id="rId345"/><Relationship Type="http://schemas.openxmlformats.org/officeDocument/2006/relationships/hyperlink" Target="https://scholar.google.com/citations?view_op=search_authors&amp;mauthors=Leifur%20Leifsson%20Purdue%20University" TargetMode="External" Id="rId346"/><Relationship Type="http://schemas.openxmlformats.org/officeDocument/2006/relationships/hyperlink" Target="mailto:leifur@purdue.edu" TargetMode="External" Id="rId347"/><Relationship Type="http://schemas.openxmlformats.org/officeDocument/2006/relationships/hyperlink" Target="https://doi.org/10.2514/6.2026-0148" TargetMode="External" Id="rId348"/><Relationship Type="http://schemas.openxmlformats.org/officeDocument/2006/relationships/hyperlink" Target="https://doi.org/10.1016/j.ast.2021.106555" TargetMode="External" Id="rId349"/><Relationship Type="http://schemas.openxmlformats.org/officeDocument/2006/relationships/hyperlink" Target="https://doi.org/10.2514/6.2026-0148" TargetMode="External" Id="rId350"/><Relationship Type="http://schemas.openxmlformats.org/officeDocument/2006/relationships/hyperlink" Target="https://insgc.spacegrant.org/" TargetMode="External" Id="rId351"/><Relationship Type="http://schemas.openxmlformats.org/officeDocument/2006/relationships/hyperlink" Target="https://engineering.purdue.edu/AAE/people/Faculty" TargetMode="External" Id="rId352"/><Relationship Type="http://schemas.openxmlformats.org/officeDocument/2006/relationships/hyperlink" Target="https://engineering.purdue.edu/ME/People/ptProfile?resource_id=34222" TargetMode="External" Id="rId353"/><Relationship Type="http://schemas.openxmlformats.org/officeDocument/2006/relationships/hyperlink" Target="https://scholar.google.com/citations?view_op=search_authors&amp;mauthors=Nicole%20Key%20Purdue%20University" TargetMode="External" Id="rId354"/><Relationship Type="http://schemas.openxmlformats.org/officeDocument/2006/relationships/hyperlink" Target="mailto:nkey@purdue.edu" TargetMode="External" Id="rId355"/><Relationship Type="http://schemas.openxmlformats.org/officeDocument/2006/relationships/hyperlink" Target="https://doi.org/10.2514/1.j066481" TargetMode="External" Id="rId356"/><Relationship Type="http://schemas.openxmlformats.org/officeDocument/2006/relationships/hyperlink" Target="https://doi.org/10.2514/1.b39968" TargetMode="External" Id="rId357"/><Relationship Type="http://schemas.openxmlformats.org/officeDocument/2006/relationships/hyperlink" Target="https://doi.org/10.2514/1.j066481" TargetMode="External" Id="rId358"/><Relationship Type="http://schemas.openxmlformats.org/officeDocument/2006/relationships/hyperlink" Target="http://engineering.purdue.edu/Turbo_Research/" TargetMode="External" Id="rId359"/><Relationship Type="http://schemas.openxmlformats.org/officeDocument/2006/relationships/hyperlink" Target="https://engineering.purdue.edu/AAE/people/Faculty" TargetMode="External" Id="rId360"/><Relationship Type="http://schemas.openxmlformats.org/officeDocument/2006/relationships/hyperlink" Target="https://engineering.purdue.edu/ME/People/ptProfile?resource_id=324341" TargetMode="External" Id="rId361"/><Relationship Type="http://schemas.openxmlformats.org/officeDocument/2006/relationships/hyperlink" Target="https://scholar.google.com/citations?user=IKgNChQAAAAJ" TargetMode="External" Id="rId362"/><Relationship Type="http://schemas.openxmlformats.org/officeDocument/2006/relationships/hyperlink" Target="mailto:sranftl@purdue.edu" TargetMode="External" Id="rId363"/><Relationship Type="http://schemas.openxmlformats.org/officeDocument/2006/relationships/hyperlink" Target="https://doi.org/10.5281/zenodo.20392037" TargetMode="External" Id="rId364"/><Relationship Type="http://schemas.openxmlformats.org/officeDocument/2006/relationships/hyperlink" Target="https://doi.org/10.1002/cnm.3576" TargetMode="External" Id="rId365"/><Relationship Type="http://schemas.openxmlformats.org/officeDocument/2006/relationships/hyperlink" Target="https://doi.org/10.5281/zenodo.20392037" TargetMode="External" Id="rId366"/><Relationship Type="http://schemas.openxmlformats.org/officeDocument/2006/relationships/hyperlink" Target="https://sites.google.com/view/sascha-ranftl" TargetMode="External" Id="rId367"/><Relationship Type="http://schemas.openxmlformats.org/officeDocument/2006/relationships/hyperlink" Target="https://engineering.purdue.edu/ME/People/ptFaculty" TargetMode="External" Id="rId368"/><Relationship Type="http://schemas.openxmlformats.org/officeDocument/2006/relationships/hyperlink" Target="https://engineering.purdue.edu/AAE/people/ptProfile?resource_id=1333" TargetMode="External" Id="rId369"/><Relationship Type="http://schemas.openxmlformats.org/officeDocument/2006/relationships/hyperlink" Target="https://scholar.google.com/citations?view_op=search_authors&amp;mauthors=William%20Anderson%20Purdue%20University" TargetMode="External" Id="rId370"/><Relationship Type="http://schemas.openxmlformats.org/officeDocument/2006/relationships/hyperlink" Target="mailto:webmaster-eng@purdue.edu" TargetMode="External" Id="rId371"/><Relationship Type="http://schemas.openxmlformats.org/officeDocument/2006/relationships/hyperlink" Target="https://insgc.spacegrant.org/" TargetMode="External" Id="rId372"/><Relationship Type="http://schemas.openxmlformats.org/officeDocument/2006/relationships/hyperlink" Target="https://engineering.purdue.edu/AAE/people/Faculty" TargetMode="External" Id="rId373"/><Relationship Type="http://schemas.openxmlformats.org/officeDocument/2006/relationships/hyperlink" Target="https://engineering.purdue.edu/ME/People/ptProfile?resource_id=86360" TargetMode="External" Id="rId374"/><Relationship Type="http://schemas.openxmlformats.org/officeDocument/2006/relationships/hyperlink" Target="https://scholar.google.com/citations?view_op=search_authors&amp;mauthors=Amy%20Marconnet%20Purdue%20University" TargetMode="External" Id="rId375"/><Relationship Type="http://schemas.openxmlformats.org/officeDocument/2006/relationships/hyperlink" Target="mailto:marconnet@purdue.edu" TargetMode="External" Id="rId376"/><Relationship Type="http://schemas.openxmlformats.org/officeDocument/2006/relationships/hyperlink" Target="http://engineering.purdue.edu/MTEC" TargetMode="External" Id="rId377"/><Relationship Type="http://schemas.openxmlformats.org/officeDocument/2006/relationships/hyperlink" Target="https://engineering.purdue.edu/ME/People/ptFaculty" TargetMode="External" Id="rId378"/><Relationship Type="http://schemas.openxmlformats.org/officeDocument/2006/relationships/hyperlink" Target="https://engineering.purdue.edu/ME/People/ptProfile?resource_id=256658" TargetMode="External" Id="rId379"/><Relationship Type="http://schemas.openxmlformats.org/officeDocument/2006/relationships/hyperlink" Target="https://scholar.google.com/citations?user=OEAnMz0AAAAJ&amp;hl=en" TargetMode="External" Id="rId380"/><Relationship Type="http://schemas.openxmlformats.org/officeDocument/2006/relationships/hyperlink" Target="mailto:tbeechem@purdue.edu" TargetMode="External" Id="rId381"/><Relationship Type="http://schemas.openxmlformats.org/officeDocument/2006/relationships/hyperlink" Target="https://www.specere.org/" TargetMode="External" Id="rId382"/><Relationship Type="http://schemas.openxmlformats.org/officeDocument/2006/relationships/hyperlink" Target="https://engineering.purdue.edu/ME/People/ptFaculty" TargetMode="External" Id="rId383"/><Relationship Type="http://schemas.openxmlformats.org/officeDocument/2006/relationships/hyperlink" Target="https://engineering.purdue.edu/NE/people/ptProfile?resource_id=34242" TargetMode="External" Id="rId384"/><Relationship Type="http://schemas.openxmlformats.org/officeDocument/2006/relationships/hyperlink" Target="https://scholar.google.com/citations?view_op=search_authors&amp;mauthors=Ahmed%20Hassanein%20Purdue%20University" TargetMode="External" Id="rId385"/><Relationship Type="http://schemas.openxmlformats.org/officeDocument/2006/relationships/hyperlink" Target="mailto:hassanein@purdue.edu" TargetMode="External" Id="rId386"/><Relationship Type="http://schemas.openxmlformats.org/officeDocument/2006/relationships/hyperlink" Target="https://insgc.spacegrant.org/" TargetMode="External" Id="rId387"/><Relationship Type="http://schemas.openxmlformats.org/officeDocument/2006/relationships/hyperlink" Target="https://engineering.purdue.edu/ME/People/ptFaculty" TargetMode="External" Id="rId388"/><Relationship Type="http://schemas.openxmlformats.org/officeDocument/2006/relationships/hyperlink" Target="https://engineering.purdue.edu/ME/People/ptProfile?resource_id=183058" TargetMode="External" Id="rId389"/><Relationship Type="http://schemas.openxmlformats.org/officeDocument/2006/relationships/hyperlink" Target="https://scholar.google.com/citations?view_op=search_authors&amp;mauthors=David%20Warsinger%20Purdue%20University" TargetMode="External" Id="rId390"/><Relationship Type="http://schemas.openxmlformats.org/officeDocument/2006/relationships/hyperlink" Target="mailto:dwarsing@purdue.edu" TargetMode="External" Id="rId391"/><Relationship Type="http://schemas.openxmlformats.org/officeDocument/2006/relationships/hyperlink" Target="http://www.warsinger.com" TargetMode="External" Id="rId392"/><Relationship Type="http://schemas.openxmlformats.org/officeDocument/2006/relationships/hyperlink" Target="https://github.com/arao53/awh-limits/blob/main/lego_maps/warsinger_lego_maps.ipynb" TargetMode="External" Id="rId393"/><Relationship Type="http://schemas.openxmlformats.org/officeDocument/2006/relationships/hyperlink" Target="https://engineering.purdue.edu/ME/People/ptFaculty" TargetMode="External" Id="rId394"/><Relationship Type="http://schemas.openxmlformats.org/officeDocument/2006/relationships/hyperlink" Target="https://engineering.purdue.edu/ME/People/ptProfile?resource_id=318598" TargetMode="External" Id="rId395"/><Relationship Type="http://schemas.openxmlformats.org/officeDocument/2006/relationships/hyperlink" Target="https://scholar.google.com/citations?user=SxOdEgEAAAAJ&amp;hl=en&amp;oi=ao" TargetMode="External" Id="rId396"/><Relationship Type="http://schemas.openxmlformats.org/officeDocument/2006/relationships/hyperlink" Target="mailto:jingang@purdue.edu" TargetMode="External" Id="rId397"/><Relationship Type="http://schemas.openxmlformats.org/officeDocument/2006/relationships/hyperlink" Target="https://www.jingangli.org" TargetMode="External" Id="rId398"/><Relationship Type="http://schemas.openxmlformats.org/officeDocument/2006/relationships/hyperlink" Target="https://engineering.purdue.edu/ME/People/ptFaculty" TargetMode="External" Id="rId399"/><Relationship Type="http://schemas.openxmlformats.org/officeDocument/2006/relationships/hyperlink" Target="https://engineering.purdue.edu/ME/People/ptProfile?resource_id=119137" TargetMode="External" Id="rId400"/><Relationship Type="http://schemas.openxmlformats.org/officeDocument/2006/relationships/hyperlink" Target="https://scholar.google.com/citations?view_op=search_authors&amp;mauthors=Neera%20Jain%20Purdue%20University" TargetMode="External" Id="rId401"/><Relationship Type="http://schemas.openxmlformats.org/officeDocument/2006/relationships/hyperlink" Target="mailto:neerajain@purdue.edu" TargetMode="External" Id="rId402"/><Relationship Type="http://schemas.openxmlformats.org/officeDocument/2006/relationships/hyperlink" Target="https://engineering.purdue.edu/JainResearchLab" TargetMode="External" Id="rId403"/><Relationship Type="http://schemas.openxmlformats.org/officeDocument/2006/relationships/hyperlink" Target="https://engineering.purdue.edu/AAE/people/Faculty" TargetMode="External" Id="rId404"/><Relationship Type="http://schemas.openxmlformats.org/officeDocument/2006/relationships/hyperlink" Target="https://engineering.purdue.edu/ME/People/ptProfile?resource_id=164622" TargetMode="External" Id="rId405"/><Relationship Type="http://schemas.openxmlformats.org/officeDocument/2006/relationships/hyperlink" Target="https://scholar.google.com/citations?view_op=search_authors&amp;mauthors=Davide%20Ziviani%20Purdue%20University" TargetMode="External" Id="rId406"/><Relationship Type="http://schemas.openxmlformats.org/officeDocument/2006/relationships/hyperlink" Target="mailto:dziviani@purdue.edu" TargetMode="External" Id="rId407"/><Relationship Type="http://schemas.openxmlformats.org/officeDocument/2006/relationships/hyperlink" Target="https://engineering.purdue.edu/ME/Images/Ziviani-Research-Group-Overview.pdf" TargetMode="External" Id="rId408"/><Relationship Type="http://schemas.openxmlformats.org/officeDocument/2006/relationships/hyperlink" Target="https://engineering.purdue.edu/ME/People/ptFaculty" TargetMode="External" Id="rId409"/><Relationship Type="http://schemas.openxmlformats.org/officeDocument/2006/relationships/hyperlink" Target="https://engineering.purdue.edu/ME/People/ptProfile?resource_id=184725" TargetMode="External" Id="rId410"/><Relationship Type="http://schemas.openxmlformats.org/officeDocument/2006/relationships/hyperlink" Target="https://scholar.google.com/citations?user=PJ1trVUAAAAJ&amp;hl=en" TargetMode="External" Id="rId411"/><Relationship Type="http://schemas.openxmlformats.org/officeDocument/2006/relationships/hyperlink" Target="mailto:dpiercey@purdue.edu" TargetMode="External" Id="rId412"/><Relationship Type="http://schemas.openxmlformats.org/officeDocument/2006/relationships/hyperlink" Target="https://www.davinpiercey.com/" TargetMode="External" Id="rId413"/><Relationship Type="http://schemas.openxmlformats.org/officeDocument/2006/relationships/hyperlink" Target="https://engineering.purdue.edu/ME/People/ptFaculty" TargetMode="External" Id="rId414"/><Relationship Type="http://schemas.openxmlformats.org/officeDocument/2006/relationships/hyperlink" Target="https://engineering.purdue.edu/ME/People/ptProfile?resource_id=11748" TargetMode="External" Id="rId415"/><Relationship Type="http://schemas.openxmlformats.org/officeDocument/2006/relationships/hyperlink" Target="https://scholar.google.com/citations?view_op=search_authors&amp;mauthors=Eckhard%20A.%20Groll%20Purdue%20University" TargetMode="External" Id="rId416"/><Relationship Type="http://schemas.openxmlformats.org/officeDocument/2006/relationships/hyperlink" Target="mailto:groll@purdue.edu" TargetMode="External" Id="rId417"/><Relationship Type="http://schemas.openxmlformats.org/officeDocument/2006/relationships/hyperlink" Target="https://engineering.purdue.edu/CHPB" TargetMode="External" Id="rId418"/><Relationship Type="http://schemas.openxmlformats.org/officeDocument/2006/relationships/hyperlink" Target="https://engineering.purdue.edu/ME/People/ptFaculty" TargetMode="External" Id="rId419"/><Relationship Type="http://schemas.openxmlformats.org/officeDocument/2006/relationships/hyperlink" Target="https://engineering.purdue.edu/ME/People/ptProfile?resource_id=292625" TargetMode="External" Id="rId420"/><Relationship Type="http://schemas.openxmlformats.org/officeDocument/2006/relationships/hyperlink" Target="https://scholar.google.com/citations?view_op=search_authors&amp;mauthors=Hosop%20Shin%20Purdue%20University" TargetMode="External" Id="rId421"/><Relationship Type="http://schemas.openxmlformats.org/officeDocument/2006/relationships/hyperlink" Target="mailto:shin282@purdue.edu" TargetMode="External" Id="rId422"/><Relationship Type="http://schemas.openxmlformats.org/officeDocument/2006/relationships/hyperlink" Target="https://engineering.purdue.edu/GEMSlab" TargetMode="External" Id="rId423"/><Relationship Type="http://schemas.openxmlformats.org/officeDocument/2006/relationships/hyperlink" Target="https://engineering.purdue.edu/ME/People/ptFaculty" TargetMode="External" Id="rId424"/><Relationship Type="http://schemas.openxmlformats.org/officeDocument/2006/relationships/hyperlink" Target="https://engineering.purdue.edu/ME/People/ptProfile?resource_id=29296" TargetMode="External" Id="rId425"/><Relationship Type="http://schemas.openxmlformats.org/officeDocument/2006/relationships/hyperlink" Target="https://scholar.google.com/citations?view_op=search_authors&amp;mauthors=Issam%20Mudawar%20Purdue%20University" TargetMode="External" Id="rId426"/><Relationship Type="http://schemas.openxmlformats.org/officeDocument/2006/relationships/hyperlink" Target="mailto:mudawar@purdue.edu" TargetMode="External" Id="rId427"/><Relationship Type="http://schemas.openxmlformats.org/officeDocument/2006/relationships/hyperlink" Target="https://engineering.purdue.edu/mudawar/" TargetMode="External" Id="rId428"/><Relationship Type="http://schemas.openxmlformats.org/officeDocument/2006/relationships/hyperlink" Target="https://engineering.purdue.edu/ME/People/ptFaculty" TargetMode="External" Id="rId429"/><Relationship Type="http://schemas.openxmlformats.org/officeDocument/2006/relationships/hyperlink" Target="https://engineering.purdue.edu/ME/People/ptProfile?resource_id=71762" TargetMode="External" Id="rId430"/><Relationship Type="http://schemas.openxmlformats.org/officeDocument/2006/relationships/hyperlink" Target="https://scholar.google.com/citations?view_op=search_authors&amp;mauthors=Jie%20Cai%20Purdue%20University" TargetMode="External" Id="rId431"/><Relationship Type="http://schemas.openxmlformats.org/officeDocument/2006/relationships/hyperlink" Target="mailto:cai40@purdue.edu" TargetMode="External" Id="rId432"/><Relationship Type="http://schemas.openxmlformats.org/officeDocument/2006/relationships/hyperlink" Target="https://www.purdue.edu/engineering/cairesearchgroup/" TargetMode="External" Id="rId433"/><Relationship Type="http://schemas.openxmlformats.org/officeDocument/2006/relationships/hyperlink" Target="https://engineering.purdue.edu/ME/People/ptFaculty" TargetMode="External" Id="rId434"/><Relationship Type="http://schemas.openxmlformats.org/officeDocument/2006/relationships/hyperlink" Target="https://engineering.purdue.edu/ME/People/ptProfile?resource_id=307226" TargetMode="External" Id="rId435"/><Relationship Type="http://schemas.openxmlformats.org/officeDocument/2006/relationships/hyperlink" Target="https://scholar.google.com/citations?hl=en&amp;tzom=240&amp;user=KojhX0gAAAAJ&amp;view_op=list_works&amp;sortby=pubdate&amp;inst=5549692440350501774" TargetMode="External" Id="rId436"/><Relationship Type="http://schemas.openxmlformats.org/officeDocument/2006/relationships/hyperlink" Target="mailto:lizhan@purdue.edu" TargetMode="External" Id="rId437"/><Relationship Type="http://schemas.openxmlformats.org/officeDocument/2006/relationships/hyperlink" Target="https://www.zhanlab.org/" TargetMode="External" Id="rId438"/><Relationship Type="http://schemas.openxmlformats.org/officeDocument/2006/relationships/hyperlink" Target="https://engineering.purdue.edu/ME/People/ptFaculty" TargetMode="External" Id="rId439"/><Relationship Type="http://schemas.openxmlformats.org/officeDocument/2006/relationships/hyperlink" Target="https://engineering.purdue.edu/ME/People/ptProfile?resource_id=173050" TargetMode="External" Id="rId440"/><Relationship Type="http://schemas.openxmlformats.org/officeDocument/2006/relationships/hyperlink" Target="https://scholar.google.com/citations?view_op=search_authors&amp;mauthors=Partha%20P.%20Mukherjee%20Purdue%20University" TargetMode="External" Id="rId441"/><Relationship Type="http://schemas.openxmlformats.org/officeDocument/2006/relationships/hyperlink" Target="mailto:pmukherjee@purdue.edu" TargetMode="External" Id="rId442"/><Relationship Type="http://schemas.openxmlformats.org/officeDocument/2006/relationships/hyperlink" Target="https://engineering.purdue.edu/ETSL/" TargetMode="External" Id="rId443"/><Relationship Type="http://schemas.openxmlformats.org/officeDocument/2006/relationships/hyperlink" Target="https://engineering.purdue.edu/ME/People/ptFaculty" TargetMode="External" Id="rId444"/><Relationship Type="http://schemas.openxmlformats.org/officeDocument/2006/relationships/hyperlink" Target="https://engineering.purdue.edu/ME/People/ptProfile?resource_id=241060" TargetMode="External" Id="rId445"/><Relationship Type="http://schemas.openxmlformats.org/officeDocument/2006/relationships/hyperlink" Target="https://scholar.google.com/citations?user=OEzRkQMAAAAJ&amp;hl=en" TargetMode="External" Id="rId446"/><Relationship Type="http://schemas.openxmlformats.org/officeDocument/2006/relationships/hyperlink" Target="mailto:rciez@purdue.edu" TargetMode="External" Id="rId447"/><Relationship Type="http://schemas.openxmlformats.org/officeDocument/2006/relationships/hyperlink" Target="https://rciez2125.github.io/" TargetMode="External" Id="rId448"/><Relationship Type="http://schemas.openxmlformats.org/officeDocument/2006/relationships/hyperlink" Target="https://engineering.purdue.edu/ME/People/ptFaculty" TargetMode="External" Id="rId449"/><Relationship Type="http://schemas.openxmlformats.org/officeDocument/2006/relationships/hyperlink" Target="https://engineering.purdue.edu/ME/People/ptProfile?resource_id=155963" TargetMode="External" Id="rId450"/><Relationship Type="http://schemas.openxmlformats.org/officeDocument/2006/relationships/hyperlink" Target="https://scholar.google.com/citations?view_op=search_authors&amp;mauthors=Jian%20Xie%20Purdue%20University" TargetMode="External" Id="rId451"/><Relationship Type="http://schemas.openxmlformats.org/officeDocument/2006/relationships/hyperlink" Target="mailto:jxie@purdue.edu" TargetMode="External" Id="rId452"/><Relationship Type="http://schemas.openxmlformats.org/officeDocument/2006/relationships/hyperlink" Target="https://sites.google.com/view/jianxiegroupatpurdue/home" TargetMode="External" Id="rId453"/><Relationship Type="http://schemas.openxmlformats.org/officeDocument/2006/relationships/hyperlink" Target="https://engineering.purdue.edu/ME/People/ptFaculty" TargetMode="External" Id="rId454"/><Relationship Type="http://schemas.openxmlformats.org/officeDocument/2006/relationships/hyperlink" Target="https://engineering.purdue.edu/ME/People/ptProfile?resource_id=78578" TargetMode="External" Id="rId455"/><Relationship Type="http://schemas.openxmlformats.org/officeDocument/2006/relationships/hyperlink" Target="https://scholar.google.com/citations?view_op=search_authors&amp;mauthors=Justin%20A.%20Weibel%20Purdue%20University" TargetMode="External" Id="rId456"/><Relationship Type="http://schemas.openxmlformats.org/officeDocument/2006/relationships/hyperlink" Target="mailto:jaweibel@purdue.edu" TargetMode="External" Id="rId457"/><Relationship Type="http://schemas.openxmlformats.org/officeDocument/2006/relationships/hyperlink" Target="https://engineering.purdue.edu/CTRC/" TargetMode="External" Id="rId458"/><Relationship Type="http://schemas.openxmlformats.org/officeDocument/2006/relationships/hyperlink" Target="https://engineering.purdue.edu/ME/People/ptFaculty" TargetMode="External" Id="rId459"/><Relationship Type="http://schemas.openxmlformats.org/officeDocument/2006/relationships/hyperlink" Target="https://engineering.purdue.edu/ME/People/ptProfile?resource_id=273136" TargetMode="External" Id="rId460"/><Relationship Type="http://schemas.openxmlformats.org/officeDocument/2006/relationships/hyperlink" Target="https://scholar.google.com/citations?view_op=search_authors&amp;mauthors=Kevin%20Kircher%20Purdue%20University" TargetMode="External" Id="rId461"/><Relationship Type="http://schemas.openxmlformats.org/officeDocument/2006/relationships/hyperlink" Target="mailto:kircher@purdue.edu" TargetMode="External" Id="rId462"/><Relationship Type="http://schemas.openxmlformats.org/officeDocument/2006/relationships/hyperlink" Target="https://kevinjkircher.com/" TargetMode="External" Id="rId463"/><Relationship Type="http://schemas.openxmlformats.org/officeDocument/2006/relationships/hyperlink" Target="https://engineering.purdue.edu/ME/People/ptFaculty" TargetMode="External" Id="rId464"/><Relationship Type="http://schemas.openxmlformats.org/officeDocument/2006/relationships/hyperlink" Target="https://engineering.purdue.edu/ME/People/ptProfile?resource_id=294628" TargetMode="External" Id="rId465"/><Relationship Type="http://schemas.openxmlformats.org/officeDocument/2006/relationships/hyperlink" Target="https://scholar.google.com/citations?view_op=search_authors&amp;mauthors=Likun%20Zhu%20Purdue%20University" TargetMode="External" Id="rId466"/><Relationship Type="http://schemas.openxmlformats.org/officeDocument/2006/relationships/hyperlink" Target="mailto:zhu154@purdue.edu" TargetMode="External" Id="rId467"/><Relationship Type="http://schemas.openxmlformats.org/officeDocument/2006/relationships/hyperlink" Target="https://engineering.purdue.edu/lzhu/" TargetMode="External" Id="rId468"/><Relationship Type="http://schemas.openxmlformats.org/officeDocument/2006/relationships/hyperlink" Target="https://engineering.purdue.edu/ME/People/ptFaculty" TargetMode="External" Id="rId469"/><Relationship Type="http://schemas.openxmlformats.org/officeDocument/2006/relationships/hyperlink" Target="https://engineering.purdue.edu/ME/People/ptProfile?resource_id=25572" TargetMode="External" Id="rId470"/><Relationship Type="http://schemas.openxmlformats.org/officeDocument/2006/relationships/hyperlink" Target="https://scholar.google.com/citations?view_op=search_authors&amp;mauthors=Carl%20Wassgren%20Purdue%20University" TargetMode="External" Id="rId471"/><Relationship Type="http://schemas.openxmlformats.org/officeDocument/2006/relationships/hyperlink" Target="mailto:wassgren@purdue.edu" TargetMode="External" Id="rId472"/><Relationship Type="http://schemas.openxmlformats.org/officeDocument/2006/relationships/hyperlink" Target="https://engineering.purdue.edu/~wassgren/" TargetMode="External" Id="rId473"/><Relationship Type="http://schemas.openxmlformats.org/officeDocument/2006/relationships/hyperlink" Target="https://engineering.purdue.edu/ME/People/ptFaculty" TargetMode="External" Id="rId474"/><Relationship Type="http://schemas.openxmlformats.org/officeDocument/2006/relationships/hyperlink" Target="https://engineering.purdue.edu/ME/People/ptProfile?resource_id=127238" TargetMode="External" Id="rId475"/><Relationship Type="http://schemas.openxmlformats.org/officeDocument/2006/relationships/hyperlink" Target="https://scholar.google.com/citations?view_op=search_authors&amp;mauthors=Andres%20Arrieta%20Purdue%20University" TargetMode="External" Id="rId476"/><Relationship Type="http://schemas.openxmlformats.org/officeDocument/2006/relationships/hyperlink" Target="mailto:arrieta@purdue.edu" TargetMode="External" Id="rId477"/><Relationship Type="http://schemas.openxmlformats.org/officeDocument/2006/relationships/hyperlink" Target="https://engineering.purdue.edu/ProgrammableStructures/" TargetMode="External" Id="rId478"/><Relationship Type="http://schemas.openxmlformats.org/officeDocument/2006/relationships/hyperlink" Target="https://engineering.purdue.edu/AAE/people/Faculty" TargetMode="External" Id="rId479"/><Relationship Type="http://schemas.openxmlformats.org/officeDocument/2006/relationships/hyperlink" Target="https://engineering.purdue.edu/ME/People/ptProfile?resource_id=311453" TargetMode="External" Id="rId480"/><Relationship Type="http://schemas.openxmlformats.org/officeDocument/2006/relationships/hyperlink" Target="https://scholar.google.com/citations?user=Kgo25P0AAAAJ&amp;hl=en" TargetMode="External" Id="rId481"/><Relationship Type="http://schemas.openxmlformats.org/officeDocument/2006/relationships/hyperlink" Target="mailto:ashwinrc@purdue.edu" TargetMode="External" Id="rId482"/><Relationship Type="http://schemas.openxmlformats.org/officeDocument/2006/relationships/hyperlink" Target="https://www.micronanolab.org/" TargetMode="External" Id="rId483"/><Relationship Type="http://schemas.openxmlformats.org/officeDocument/2006/relationships/hyperlink" Target="https://engineering.purdue.edu/ME/People/ptFaculty" TargetMode="External" Id="rId484"/><Relationship Type="http://schemas.openxmlformats.org/officeDocument/2006/relationships/hyperlink" Target="https://engineering.purdue.edu/ME/People/ptProfile?resource_id=11244" TargetMode="External" Id="rId485"/><Relationship Type="http://schemas.openxmlformats.org/officeDocument/2006/relationships/hyperlink" Target="https://scholar.google.com/citations?view_op=search_authors&amp;mauthors=Ganesh%20Subbarayan%20Purdue%20University" TargetMode="External" Id="rId486"/><Relationship Type="http://schemas.openxmlformats.org/officeDocument/2006/relationships/hyperlink" Target="mailto:ganeshs@purdue.edu" TargetMode="External" Id="rId487"/><Relationship Type="http://schemas.openxmlformats.org/officeDocument/2006/relationships/hyperlink" Target="https://engineering.purdue.edu/ASIP" TargetMode="External" Id="rId488"/><Relationship Type="http://schemas.openxmlformats.org/officeDocument/2006/relationships/hyperlink" Target="https://engineering.purdue.edu/ME/People/ptFaculty" TargetMode="External" Id="rId489"/><Relationship Type="http://schemas.openxmlformats.org/officeDocument/2006/relationships/hyperlink" Target="https://engineering.purdue.edu/AAE/people/ptProfile?resource_id=288720" TargetMode="External" Id="rId490"/><Relationship Type="http://schemas.openxmlformats.org/officeDocument/2006/relationships/hyperlink" Target="https://scholar.google.com/citations?view_op=search_authors&amp;mauthors=Kawai%20Kwok%20Purdue%20University" TargetMode="External" Id="rId491"/><Relationship Type="http://schemas.openxmlformats.org/officeDocument/2006/relationships/hyperlink" Target="mailto:kawaik@purdue.edu" TargetMode="External" Id="rId492"/><Relationship Type="http://schemas.openxmlformats.org/officeDocument/2006/relationships/hyperlink" Target="https://insgc.spacegrant.org/" TargetMode="External" Id="rId493"/><Relationship Type="http://schemas.openxmlformats.org/officeDocument/2006/relationships/hyperlink" Target="https://engineering.purdue.edu/AAE/people/Faculty" TargetMode="External" Id="rId494"/><Relationship Type="http://schemas.openxmlformats.org/officeDocument/2006/relationships/hyperlink" Target="https://engineering.purdue.edu/ME/People/ptProfile?resource_id=113514" TargetMode="External" Id="rId495"/><Relationship Type="http://schemas.openxmlformats.org/officeDocument/2006/relationships/hyperlink" Target="https://scholar.google.com/citations?user=JXR_AsQAAAAJ&amp;hl=en" TargetMode="External" Id="rId496"/><Relationship Type="http://schemas.openxmlformats.org/officeDocument/2006/relationships/hyperlink" Target="mailto:kjzhao@purdue.edu" TargetMode="External" Id="rId497"/><Relationship Type="http://schemas.openxmlformats.org/officeDocument/2006/relationships/hyperlink" Target="https://engineering.purdue.edu/kjzhao" TargetMode="External" Id="rId498"/><Relationship Type="http://schemas.openxmlformats.org/officeDocument/2006/relationships/hyperlink" Target="https://engineering.purdue.edu/ME/People/ptFaculty" TargetMode="External" Id="rId499"/><Relationship Type="http://schemas.openxmlformats.org/officeDocument/2006/relationships/hyperlink" Target="https://engineering.purdue.edu/ME/People/ptProfile?resource_id=29343" TargetMode="External" Id="rId500"/><Relationship Type="http://schemas.openxmlformats.org/officeDocument/2006/relationships/hyperlink" Target="https://scholar.google.com/citations?view_op=search_authors&amp;mauthors=Xiulin%20Ruan%20Purdue%20University" TargetMode="External" Id="rId501"/><Relationship Type="http://schemas.openxmlformats.org/officeDocument/2006/relationships/hyperlink" Target="mailto:ruan@purdue.edu" TargetMode="External" Id="rId502"/><Relationship Type="http://schemas.openxmlformats.org/officeDocument/2006/relationships/hyperlink" Target="https://engineering.purdue.edu/NANOENERGY/" TargetMode="External" Id="rId503"/><Relationship Type="http://schemas.openxmlformats.org/officeDocument/2006/relationships/hyperlink" Target="https://engineering.purdue.edu/ME/People/ptFaculty" TargetMode="External" Id="rId504"/><Relationship Type="http://schemas.openxmlformats.org/officeDocument/2006/relationships/hyperlink" Target="https://engineering.purdue.edu/ME/People/ptProfile?resource_id=126925" TargetMode="External" Id="rId505"/><Relationship Type="http://schemas.openxmlformats.org/officeDocument/2006/relationships/hyperlink" Target="https://scholar.google.com/citations?hl=en&amp;user=20pqzv8AAAAJ&amp;view_op=list_works" TargetMode="External" Id="rId506"/><Relationship Type="http://schemas.openxmlformats.org/officeDocument/2006/relationships/hyperlink" Target="mailto:fsemperl@purdue.edu" TargetMode="External" Id="rId507"/><Relationship Type="http://schemas.openxmlformats.org/officeDocument/2006/relationships/hyperlink" Target="https://sites.google.com/view/semperlotti-lab/index" TargetMode="External" Id="rId508"/><Relationship Type="http://schemas.openxmlformats.org/officeDocument/2006/relationships/hyperlink" Target="https://engineering.purdue.edu/AAE/people/Faculty" TargetMode="External" Id="rId509"/><Relationship Type="http://schemas.openxmlformats.org/officeDocument/2006/relationships/hyperlink" Target="https://engineering.purdue.edu/ME/People/ptProfile?resource_id=294590" TargetMode="External" Id="rId510"/><Relationship Type="http://schemas.openxmlformats.org/officeDocument/2006/relationships/hyperlink" Target="https://scholar.google.com/citations?view_op=search_authors&amp;mauthors=Hamid%20Dalir%20Purdue%20University" TargetMode="External" Id="rId511"/><Relationship Type="http://schemas.openxmlformats.org/officeDocument/2006/relationships/hyperlink" Target="mailto:hdalir@purdue.edu" TargetMode="External" Id="rId512"/><Relationship Type="http://schemas.openxmlformats.org/officeDocument/2006/relationships/hyperlink" Target="https://www.dalirlab.com/" TargetMode="External" Id="rId513"/><Relationship Type="http://schemas.openxmlformats.org/officeDocument/2006/relationships/hyperlink" Target="https://engineering.purdue.edu/ME/People/ptFaculty" TargetMode="External" Id="rId514"/><Relationship Type="http://schemas.openxmlformats.org/officeDocument/2006/relationships/hyperlink" Target="https://engineering.purdue.edu/ME/People/ptProfile?resource_id=12829" TargetMode="External" Id="rId515"/><Relationship Type="http://schemas.openxmlformats.org/officeDocument/2006/relationships/hyperlink" Target="https://scholar.google.com/citations?view_op=search_authors&amp;mauthors=James%20D.%20Jones%20Purdue%20University" TargetMode="External" Id="rId516"/><Relationship Type="http://schemas.openxmlformats.org/officeDocument/2006/relationships/hyperlink" Target="mailto:jonesjd@purdue.edu" TargetMode="External" Id="rId517"/><Relationship Type="http://schemas.openxmlformats.org/officeDocument/2006/relationships/hyperlink" Target="https://insgc.spacegrant.org/" TargetMode="External" Id="rId518"/><Relationship Type="http://schemas.openxmlformats.org/officeDocument/2006/relationships/hyperlink" Target="https://engineering.purdue.edu/ME/People/ptFaculty" TargetMode="External" Id="rId519"/><Relationship Type="http://schemas.openxmlformats.org/officeDocument/2006/relationships/hyperlink" Target="https://engineering.purdue.edu/ME/People/ptProfile?resource_id=293405" TargetMode="External" Id="rId520"/><Relationship Type="http://schemas.openxmlformats.org/officeDocument/2006/relationships/hyperlink" Target="https://scholar.google.com/citations?view_op=search_authors&amp;mauthors=Jing%20Zhang%20Purdue%20University" TargetMode="External" Id="rId521"/><Relationship Type="http://schemas.openxmlformats.org/officeDocument/2006/relationships/hyperlink" Target="mailto:zhan2437@purdue.edu" TargetMode="External" Id="rId522"/><Relationship Type="http://schemas.openxmlformats.org/officeDocument/2006/relationships/hyperlink" Target="https://insgc.spacegrant.org/" TargetMode="External" Id="rId523"/><Relationship Type="http://schemas.openxmlformats.org/officeDocument/2006/relationships/hyperlink" Target="https://engineering.purdue.edu/ME/People/ptFaculty" TargetMode="External" Id="rId524"/><Relationship Type="http://schemas.openxmlformats.org/officeDocument/2006/relationships/hyperlink" Target="https://engineering.purdue.edu/ME/People/ptProfile?resource_id=50402" TargetMode="External" Id="rId525"/><Relationship Type="http://schemas.openxmlformats.org/officeDocument/2006/relationships/hyperlink" Target="https://scholar.google.com/citations?user=aSHRXOkAAAAJ&amp;hl=en" TargetMode="External" Id="rId526"/><Relationship Type="http://schemas.openxmlformats.org/officeDocument/2006/relationships/hyperlink" Target="mailto:jchoi@purdue.edu" TargetMode="External" Id="rId527"/><Relationship Type="http://schemas.openxmlformats.org/officeDocument/2006/relationships/hyperlink" Target="https://choinano.org/ " TargetMode="External" Id="rId528"/><Relationship Type="http://schemas.openxmlformats.org/officeDocument/2006/relationships/hyperlink" Target="https://engineering.purdue.edu/ME/People/ptFaculty" TargetMode="External" Id="rId529"/><Relationship Type="http://schemas.openxmlformats.org/officeDocument/2006/relationships/hyperlink" Target="https://engineering.purdue.edu/ME/People/ptProfile?resource_id=286140" TargetMode="External" Id="rId530"/><Relationship Type="http://schemas.openxmlformats.org/officeDocument/2006/relationships/hyperlink" Target="https://scholar.google.com/citations?view_op=search_authors&amp;mauthors=Junfei%20Li%20Purdue%20University" TargetMode="External" Id="rId531"/><Relationship Type="http://schemas.openxmlformats.org/officeDocument/2006/relationships/hyperlink" Target="mailto:junfeili@purdue.edu" TargetMode="External" Id="rId532"/><Relationship Type="http://schemas.openxmlformats.org/officeDocument/2006/relationships/hyperlink" Target="https://insgc.spacegrant.org/" TargetMode="External" Id="rId533"/><Relationship Type="http://schemas.openxmlformats.org/officeDocument/2006/relationships/hyperlink" Target="https://engineering.purdue.edu/ME/People/ptFaculty" TargetMode="External" Id="rId534"/><Relationship Type="http://schemas.openxmlformats.org/officeDocument/2006/relationships/hyperlink" Target="https://engineering.purdue.edu/ME/People/ptProfile?resource_id=29264" TargetMode="External" Id="rId535"/><Relationship Type="http://schemas.openxmlformats.org/officeDocument/2006/relationships/hyperlink" Target="https://scholar.google.com/citations?view_op=search_authors&amp;mauthors=Marisol%20Koslowski%20Purdue%20University" TargetMode="External" Id="rId536"/><Relationship Type="http://schemas.openxmlformats.org/officeDocument/2006/relationships/hyperlink" Target="mailto:marisol@purdue.edu" TargetMode="External" Id="rId537"/><Relationship Type="http://schemas.openxmlformats.org/officeDocument/2006/relationships/hyperlink" Target="https://koslowskigroup.org/" TargetMode="External" Id="rId538"/><Relationship Type="http://schemas.openxmlformats.org/officeDocument/2006/relationships/hyperlink" Target="https://engineering.purdue.edu/ME/People/ptFaculty" TargetMode="External" Id="rId539"/><Relationship Type="http://schemas.openxmlformats.org/officeDocument/2006/relationships/hyperlink" Target="https://engineering.purdue.edu/AAE/people/ptProfile?resource_id=1436" TargetMode="External" Id="rId540"/><Relationship Type="http://schemas.openxmlformats.org/officeDocument/2006/relationships/hyperlink" Target="https://scholar.google.com/citations?view_op=search_authors&amp;mauthors=R%20Byron%20Pipes%20Purdue%20University" TargetMode="External" Id="rId541"/><Relationship Type="http://schemas.openxmlformats.org/officeDocument/2006/relationships/hyperlink" Target="mailto:bpipes@purdue.edu" TargetMode="External" Id="rId542"/><Relationship Type="http://schemas.openxmlformats.org/officeDocument/2006/relationships/hyperlink" Target="https://insgc.spacegrant.org/" TargetMode="External" Id="rId543"/><Relationship Type="http://schemas.openxmlformats.org/officeDocument/2006/relationships/hyperlink" Target="https://engineering.purdue.edu/AAE/people/Faculty" TargetMode="External" Id="rId544"/><Relationship Type="http://schemas.openxmlformats.org/officeDocument/2006/relationships/hyperlink" Target="https://engineering.purdue.edu/ME/People/ptProfile?resource_id=273456" TargetMode="External" Id="rId545"/><Relationship Type="http://schemas.openxmlformats.org/officeDocument/2006/relationships/hyperlink" Target="https://scholar.google.com/citations?user=E8PanGMAAAAJ" TargetMode="External" Id="rId546"/><Relationship Type="http://schemas.openxmlformats.org/officeDocument/2006/relationships/hyperlink" Target="mailto:bansal91@purdue.edu" TargetMode="External" Id="rId547"/><Relationship Type="http://schemas.openxmlformats.org/officeDocument/2006/relationships/hyperlink" Target="https://engineering.purdue.edu/EMRSL" TargetMode="External" Id="rId548"/><Relationship Type="http://schemas.openxmlformats.org/officeDocument/2006/relationships/hyperlink" Target="https://engineering.purdue.edu/ME/People/ptFaculty" TargetMode="External" Id="rId549"/><Relationship Type="http://schemas.openxmlformats.org/officeDocument/2006/relationships/hyperlink" Target="https://engineering.purdue.edu/ME/People/ptProfile?resource_id=127246" TargetMode="External" Id="rId550"/><Relationship Type="http://schemas.openxmlformats.org/officeDocument/2006/relationships/hyperlink" Target="https://scholar.google.com/citations?view_op=search_authors&amp;mauthors=Chi%20Hwan%20Lee%20Purdue%20University" TargetMode="External" Id="rId551"/><Relationship Type="http://schemas.openxmlformats.org/officeDocument/2006/relationships/hyperlink" Target="mailto:lee2270@purdue.edu" TargetMode="External" Id="rId552"/><Relationship Type="http://schemas.openxmlformats.org/officeDocument/2006/relationships/hyperlink" Target="https://engineering.purdue.edu/StickTronics/" TargetMode="External" Id="rId553"/><Relationship Type="http://schemas.openxmlformats.org/officeDocument/2006/relationships/hyperlink" Target="https://engineering.purdue.edu/ME/People/ptFaculty" TargetMode="External" Id="rId554"/><Relationship Type="http://schemas.openxmlformats.org/officeDocument/2006/relationships/hyperlink" Target="https://engineering.purdue.edu/AAE/people/ptProfile?resource_id=243165" TargetMode="External" Id="rId555"/><Relationship Type="http://schemas.openxmlformats.org/officeDocument/2006/relationships/hyperlink" Target="https://scholar.google.com/citations?view_op=search_authors&amp;mauthors=Dianyun%20Zhang%20Purdue%20University" TargetMode="External" Id="rId556"/><Relationship Type="http://schemas.openxmlformats.org/officeDocument/2006/relationships/hyperlink" Target="mailto:dianyun@purdue.edu" TargetMode="External" Id="rId557"/><Relationship Type="http://schemas.openxmlformats.org/officeDocument/2006/relationships/hyperlink" Target="https://insgc.spacegrant.org/" TargetMode="External" Id="rId558"/><Relationship Type="http://schemas.openxmlformats.org/officeDocument/2006/relationships/hyperlink" Target="https://engineering.purdue.edu/AAE/people/Faculty" TargetMode="External" Id="rId559"/><Relationship Type="http://schemas.openxmlformats.org/officeDocument/2006/relationships/hyperlink" Target="https://engineering.purdue.edu/ME/People/ptProfile?resource_id=29424" TargetMode="External" Id="rId560"/><Relationship Type="http://schemas.openxmlformats.org/officeDocument/2006/relationships/hyperlink" Target="https://scholar.google.com/citations?view_op=search_authors&amp;mauthors=Fu%20Zhao%20Purdue%20University" TargetMode="External" Id="rId561"/><Relationship Type="http://schemas.openxmlformats.org/officeDocument/2006/relationships/hyperlink" Target="mailto:fzhao@purdue.edu" TargetMode="External" Id="rId562"/><Relationship Type="http://schemas.openxmlformats.org/officeDocument/2006/relationships/hyperlink" Target="https://engineering.purdue.edu/~fzhao/" TargetMode="External" Id="rId563"/><Relationship Type="http://schemas.openxmlformats.org/officeDocument/2006/relationships/hyperlink" Target="https://engineering.purdue.edu/ME/People/ptFaculty" TargetMode="External" Id="rId564"/><Relationship Type="http://schemas.openxmlformats.org/officeDocument/2006/relationships/hyperlink" Target="https://engineering.purdue.edu/ME/People/ptProfile?resource_id=286292" TargetMode="External" Id="rId565"/><Relationship Type="http://schemas.openxmlformats.org/officeDocument/2006/relationships/hyperlink" Target="https://scholar.google.com/citations?user=JmlZjPgAAAAJ&amp;hl=en" TargetMode="External" Id="rId566"/><Relationship Type="http://schemas.openxmlformats.org/officeDocument/2006/relationships/hyperlink" Target="mailto:liddellh@purdue.edu" TargetMode="External" Id="rId567"/><Relationship Type="http://schemas.openxmlformats.org/officeDocument/2006/relationships/hyperlink" Target="https://hpliddell.github.io/" TargetMode="External" Id="rId568"/><Relationship Type="http://schemas.openxmlformats.org/officeDocument/2006/relationships/hyperlink" Target="https://github.com/alshedivat/al-folio" TargetMode="External" Id="rId569"/><Relationship Type="http://schemas.openxmlformats.org/officeDocument/2006/relationships/hyperlink" Target="https://engineering.purdue.edu/ME/People/ptFaculty" TargetMode="External" Id="rId570"/><Relationship Type="http://schemas.openxmlformats.org/officeDocument/2006/relationships/hyperlink" Target="https://engineering.purdue.edu/ME/People/ptProfile?resource_id=277732" TargetMode="External" Id="rId571"/><Relationship Type="http://schemas.openxmlformats.org/officeDocument/2006/relationships/hyperlink" Target="https://scholar.google.com/citations?user=sUD9j0EAAAAJ" TargetMode="External" Id="rId572"/><Relationship Type="http://schemas.openxmlformats.org/officeDocument/2006/relationships/hyperlink" Target="mailto:lsotelo@purdue.edu" TargetMode="External" Id="rId573"/><Relationship Type="http://schemas.openxmlformats.org/officeDocument/2006/relationships/hyperlink" Target="https://scholar.google.com/citations?user=sUD9j0EAAAAJ" TargetMode="External" Id="rId574"/><Relationship Type="http://schemas.openxmlformats.org/officeDocument/2006/relationships/hyperlink" Target="https://engineering.purdue.edu/ME/People/ptFaculty" TargetMode="External" Id="rId575"/><Relationship Type="http://schemas.openxmlformats.org/officeDocument/2006/relationships/hyperlink" Target="https://engineering.purdue.edu/ME/People/ptProfile?resource_id=106137" TargetMode="External" Id="rId576"/><Relationship Type="http://schemas.openxmlformats.org/officeDocument/2006/relationships/hyperlink" Target="https://scholar.google.com/citations?view_op=search_authors&amp;mauthors=Marcial%20Gonzalez%20Purdue%20University" TargetMode="External" Id="rId577"/><Relationship Type="http://schemas.openxmlformats.org/officeDocument/2006/relationships/hyperlink" Target="mailto:marcial-gonzalez@purdue.edu" TargetMode="External" Id="rId578"/><Relationship Type="http://schemas.openxmlformats.org/officeDocument/2006/relationships/hyperlink" Target="http://www.marcialgonzalez.net" TargetMode="External" Id="rId579"/><Relationship Type="http://schemas.openxmlformats.org/officeDocument/2006/relationships/hyperlink" Target="https://engineering.purdue.edu/ME/People/ptFaculty" TargetMode="External" Id="rId580"/><Relationship Type="http://schemas.openxmlformats.org/officeDocument/2006/relationships/hyperlink" Target="https://engineering.purdue.edu/ME/Research/People/ptProfile?resource_id=242960&amp;group_id=11989" TargetMode="External" Id="rId581"/><Relationship Type="http://schemas.openxmlformats.org/officeDocument/2006/relationships/hyperlink" Target="https://scholar.google.com/citations?view_op=search_authors&amp;mauthors=Monique%20McClain%20Purdue%20University" TargetMode="External" Id="rId582"/><Relationship Type="http://schemas.openxmlformats.org/officeDocument/2006/relationships/hyperlink" Target="mailto:mcclain5@purdue.edu" TargetMode="External" Id="rId583"/><Relationship Type="http://schemas.openxmlformats.org/officeDocument/2006/relationships/hyperlink" Target="https://mcclain.team/" TargetMode="External" Id="rId584"/><Relationship Type="http://schemas.openxmlformats.org/officeDocument/2006/relationships/hyperlink" Target="https://engineering.purdue.edu/AAE/people/Faculty" TargetMode="External" Id="rId585"/><Relationship Type="http://schemas.openxmlformats.org/officeDocument/2006/relationships/hyperlink" Target="https://engineering.purdue.edu/ME/People/ptProfile?resource_id=90129" TargetMode="External" Id="rId586"/><Relationship Type="http://schemas.openxmlformats.org/officeDocument/2006/relationships/hyperlink" Target="https://scholar.google.com/citations?view_op=search_authors&amp;mauthors=Pavlos%20Vlachos%20Purdue%20University" TargetMode="External" Id="rId587"/><Relationship Type="http://schemas.openxmlformats.org/officeDocument/2006/relationships/hyperlink" Target="mailto:pvlachos@purdue.edu" TargetMode="External" Id="rId588"/><Relationship Type="http://schemas.openxmlformats.org/officeDocument/2006/relationships/hyperlink" Target="https://vlachosresearch.org/" TargetMode="External" Id="rId589"/><Relationship Type="http://schemas.openxmlformats.org/officeDocument/2006/relationships/hyperlink" Target="https://engineering.purdue.edu/ME/People/ptFaculty" TargetMode="External" Id="rId590"/><Relationship Type="http://schemas.openxmlformats.org/officeDocument/2006/relationships/hyperlink" Target="https://engineering.purdue.edu/ME/People/ptProfile?resource_id=294615" TargetMode="External" Id="rId591"/><Relationship Type="http://schemas.openxmlformats.org/officeDocument/2006/relationships/hyperlink" Target="https://scholar.google.com/citations?view_op=search_authors&amp;mauthors=Shengfeng%20Yang%20Purdue%20University" TargetMode="External" Id="rId592"/><Relationship Type="http://schemas.openxmlformats.org/officeDocument/2006/relationships/hyperlink" Target="mailto:shengfengyang@purdue.edu" TargetMode="External" Id="rId593"/><Relationship Type="http://schemas.openxmlformats.org/officeDocument/2006/relationships/hyperlink" Target="https://shengfeng-yang.github.io/" TargetMode="External" Id="rId594"/><Relationship Type="http://schemas.openxmlformats.org/officeDocument/2006/relationships/hyperlink" Target="https://github.com/academicpages/academicpages.github.io" TargetMode="External" Id="rId595"/><Relationship Type="http://schemas.openxmlformats.org/officeDocument/2006/relationships/hyperlink" Target="https://engineering.purdue.edu/ME/People/ptFaculty" TargetMode="External" Id="rId596"/><Relationship Type="http://schemas.openxmlformats.org/officeDocument/2006/relationships/hyperlink" Target="https://engineering.purdue.edu/ME/People/ptProfile?resource_id=12303" TargetMode="External" Id="rId597"/><Relationship Type="http://schemas.openxmlformats.org/officeDocument/2006/relationships/hyperlink" Target="https://scholar.google.com/citations?hl=en&amp;user=axgXCjEAAAAJ" TargetMode="External" Id="rId598"/><Relationship Type="http://schemas.openxmlformats.org/officeDocument/2006/relationships/hyperlink" Target="mailto:siegmund@purdue.edu" TargetMode="External" Id="rId599"/><Relationship Type="http://schemas.openxmlformats.org/officeDocument/2006/relationships/hyperlink" Target="https://engineering.purdue.edu/MYMECH" TargetMode="External" Id="rId600"/><Relationship Type="http://schemas.openxmlformats.org/officeDocument/2006/relationships/hyperlink" Target="https://engineering.purdue.edu/ME/People/ptFaculty" TargetMode="External" Id="rId601"/><Relationship Type="http://schemas.openxmlformats.org/officeDocument/2006/relationships/hyperlink" Target="https://engineering.purdue.edu/AAE/people/ptProfile?resource_id=93761" TargetMode="External" Id="rId602"/><Relationship Type="http://schemas.openxmlformats.org/officeDocument/2006/relationships/hyperlink" Target="https://scholar.google.com/citations?view_op=search_authors&amp;mauthors=Wenbin%20Yu%20Purdue%20University" TargetMode="External" Id="rId603"/><Relationship Type="http://schemas.openxmlformats.org/officeDocument/2006/relationships/hyperlink" Target="mailto:wenbinyu@purdue.edu" TargetMode="External" Id="rId604"/><Relationship Type="http://schemas.openxmlformats.org/officeDocument/2006/relationships/hyperlink" Target="https://insgc.spacegrant.org/" TargetMode="External" Id="rId605"/><Relationship Type="http://schemas.openxmlformats.org/officeDocument/2006/relationships/hyperlink" Target="https://engineering.purdue.edu/AAE/people/Faculty" TargetMode="External" Id="rId606"/><Relationship Type="http://schemas.openxmlformats.org/officeDocument/2006/relationships/hyperlink" Target="https://engineering.purdue.edu/AAE/people/ptProfile?resource_id=112177" TargetMode="External" Id="rId607"/><Relationship Type="http://schemas.openxmlformats.org/officeDocument/2006/relationships/hyperlink" Target="https://scholar.google.com/citations?view_op=search_authors&amp;mauthors=Zherui%20Martinez-Guo%20Purdue%20University" TargetMode="External" Id="rId608"/><Relationship Type="http://schemas.openxmlformats.org/officeDocument/2006/relationships/hyperlink" Target="mailto:zmg@purdue.edu" TargetMode="External" Id="rId609"/><Relationship Type="http://schemas.openxmlformats.org/officeDocument/2006/relationships/hyperlink" Target="https://insgc.spacegrant.org/" TargetMode="External" Id="rId610"/><Relationship Type="http://schemas.openxmlformats.org/officeDocument/2006/relationships/hyperlink" Target="https://engineering.purdue.edu/AAE/people/Faculty" TargetMode="External" Id="rId611"/><Relationship Type="http://schemas.openxmlformats.org/officeDocument/2006/relationships/hyperlink" Target="https://engineering.purdue.edu/ME/People/ptProfile?resource_id=232598" TargetMode="External" Id="rId612"/><Relationship Type="http://schemas.openxmlformats.org/officeDocument/2006/relationships/hyperlink" Target="https://scholar.google.com/citations?view_op=search_authors&amp;mauthors=Ajay%20Malshe%20Purdue%20University" TargetMode="External" Id="rId613"/><Relationship Type="http://schemas.openxmlformats.org/officeDocument/2006/relationships/hyperlink" Target="mailto:amalshe@purdue.edu" TargetMode="External" Id="rId614"/><Relationship Type="http://schemas.openxmlformats.org/officeDocument/2006/relationships/hyperlink" Target="https://www.linkedin.com/in/ajay-malshe/" TargetMode="External" Id="rId615"/><Relationship Type="http://schemas.openxmlformats.org/officeDocument/2006/relationships/hyperlink" Target="https://engineering.purdue.edu/ME/People/ptFaculty" TargetMode="External" Id="rId616"/><Relationship Type="http://schemas.openxmlformats.org/officeDocument/2006/relationships/hyperlink" Target="https://engineering.purdue.edu/ME/People/ptProfile?resource_id=294597" TargetMode="External" Id="rId617"/><Relationship Type="http://schemas.openxmlformats.org/officeDocument/2006/relationships/hyperlink" Target="https://scholar.google.com/citations?view_op=search_authors&amp;mauthors=Alan%20Jones%20Purdue%20University" TargetMode="External" Id="rId618"/><Relationship Type="http://schemas.openxmlformats.org/officeDocument/2006/relationships/hyperlink" Target="mailto:jone1405@purdue.edu" TargetMode="External" Id="rId619"/><Relationship Type="http://schemas.openxmlformats.org/officeDocument/2006/relationships/hyperlink" Target="https://insgc.spacegrant.org/" TargetMode="External" Id="rId620"/><Relationship Type="http://schemas.openxmlformats.org/officeDocument/2006/relationships/hyperlink" Target="https://engineering.purdue.edu/ME/People/ptFaculty" TargetMode="External" Id="rId621"/><Relationship Type="http://schemas.openxmlformats.org/officeDocument/2006/relationships/hyperlink" Target="https://engineering.purdue.edu/ME/People/ptProfile?resource_id=243743" TargetMode="External" Id="rId622"/><Relationship Type="http://schemas.openxmlformats.org/officeDocument/2006/relationships/hyperlink" Target="https://scholar.google.com/citations?view_op=search_authors&amp;mauthors=Alex%20Chortos%20Purdue%20University" TargetMode="External" Id="rId623"/><Relationship Type="http://schemas.openxmlformats.org/officeDocument/2006/relationships/hyperlink" Target="mailto:achortos@purdue.edu" TargetMode="External" Id="rId624"/><Relationship Type="http://schemas.openxmlformats.org/officeDocument/2006/relationships/hyperlink" Target="https://www.alexchortos.com/" TargetMode="External" Id="rId625"/><Relationship Type="http://schemas.openxmlformats.org/officeDocument/2006/relationships/hyperlink" Target="https://engineering.purdue.edu/ME/People/ptFaculty" TargetMode="External" Id="rId626"/><Relationship Type="http://schemas.openxmlformats.org/officeDocument/2006/relationships/hyperlink" Target="https://engineering.purdue.edu/ME/People/ptProfile?resource_id=294607" TargetMode="External" Id="rId627"/><Relationship Type="http://schemas.openxmlformats.org/officeDocument/2006/relationships/hyperlink" Target="https://scholar.google.com/citations?user=z684NIUAAAAJ&amp;hl" TargetMode="External" Id="rId628"/><Relationship Type="http://schemas.openxmlformats.org/officeDocument/2006/relationships/hyperlink" Target="mailto:tovara@purdue.edu" TargetMode="External" Id="rId629"/><Relationship Type="http://schemas.openxmlformats.org/officeDocument/2006/relationships/hyperlink" Target="https://engineering.purdue.edu/EDRL" TargetMode="External" Id="rId630"/><Relationship Type="http://schemas.openxmlformats.org/officeDocument/2006/relationships/hyperlink" Target="https://engineering.purdue.edu/ME/People/ptFaculty" TargetMode="External" Id="rId631"/><Relationship Type="http://schemas.openxmlformats.org/officeDocument/2006/relationships/hyperlink" Target="https://engineering.purdue.edu/ME/People/ptProfile?resource_id=11316" TargetMode="External" Id="rId632"/><Relationship Type="http://schemas.openxmlformats.org/officeDocument/2006/relationships/hyperlink" Target="https://scholar.google.com/citations?view_op=search_authors&amp;mauthors=Anil%20K.%20Bajaj%20Purdue%20University" TargetMode="External" Id="rId633"/><Relationship Type="http://schemas.openxmlformats.org/officeDocument/2006/relationships/hyperlink" Target="mailto:bajaj@purdue.edu" TargetMode="External" Id="rId634"/><Relationship Type="http://schemas.openxmlformats.org/officeDocument/2006/relationships/hyperlink" Target="https://insgc.spacegrant.org/" TargetMode="External" Id="rId635"/><Relationship Type="http://schemas.openxmlformats.org/officeDocument/2006/relationships/hyperlink" Target="https://engineering.purdue.edu/ME/People/ptFaculty" TargetMode="External" Id="rId636"/><Relationship Type="http://schemas.openxmlformats.org/officeDocument/2006/relationships/hyperlink" Target="https://engineering.purdue.edu/ME/People/ptProfile?resource_id=250301" TargetMode="External" Id="rId637"/><Relationship Type="http://schemas.openxmlformats.org/officeDocument/2006/relationships/hyperlink" Target="https://scholar.google.com/citations?view_op=search_authors&amp;mauthors=Babak%20Anasori%20Purdue%20University" TargetMode="External" Id="rId638"/><Relationship Type="http://schemas.openxmlformats.org/officeDocument/2006/relationships/hyperlink" Target="mailto:banasori@purdue.edu" TargetMode="External" Id="rId639"/><Relationship Type="http://schemas.openxmlformats.org/officeDocument/2006/relationships/hyperlink" Target="https://www.babakanasori.com/" TargetMode="External" Id="rId640"/><Relationship Type="http://schemas.openxmlformats.org/officeDocument/2006/relationships/hyperlink" Target="https://engineering.purdue.edu/ME/People/ptFaculty" TargetMode="External" Id="rId641"/><Relationship Type="http://schemas.openxmlformats.org/officeDocument/2006/relationships/hyperlink" Target="https://engineering.purdue.edu/Engr/People/ptProfile?resource_id=4110" TargetMode="External" Id="rId642"/><Relationship Type="http://schemas.openxmlformats.org/officeDocument/2006/relationships/hyperlink" Target="https://scholar.google.com/citations?view_op=search_authors&amp;mauthors=Beth%20Holloway%20Purdue%20University" TargetMode="External" Id="rId643"/><Relationship Type="http://schemas.openxmlformats.org/officeDocument/2006/relationships/hyperlink" Target="mailto:holloway@purdue.edu" TargetMode="External" Id="rId644"/><Relationship Type="http://schemas.openxmlformats.org/officeDocument/2006/relationships/hyperlink" Target="https://insgc.spacegrant.org/" TargetMode="External" Id="rId645"/><Relationship Type="http://schemas.openxmlformats.org/officeDocument/2006/relationships/hyperlink" Target="https://engineering.purdue.edu/ME/People/ptFaculty" TargetMode="External" Id="rId646"/><Relationship Type="http://schemas.openxmlformats.org/officeDocument/2006/relationships/hyperlink" Target="https://engineering.purdue.edu/ME/People/ptProfile?resource_id=120407" TargetMode="External" Id="rId647"/><Relationship Type="http://schemas.openxmlformats.org/officeDocument/2006/relationships/hyperlink" Target="https://scholar.google.com/citations?view_op=search_authors&amp;mauthors=Eduardo%20Barocio%20Vaca%20Purdue%20University" TargetMode="External" Id="rId648"/><Relationship Type="http://schemas.openxmlformats.org/officeDocument/2006/relationships/hyperlink" Target="mailto:ebarocio@purdue.edu" TargetMode="External" Id="rId649"/><Relationship Type="http://schemas.openxmlformats.org/officeDocument/2006/relationships/hyperlink" Target="https://insgc.spacegrant.org/" TargetMode="External" Id="rId650"/><Relationship Type="http://schemas.openxmlformats.org/officeDocument/2006/relationships/hyperlink" Target="https://engineering.purdue.edu/ME/People/ptFaculty" TargetMode="External" Id="rId651"/><Relationship Type="http://schemas.openxmlformats.org/officeDocument/2006/relationships/hyperlink" Target="https://engineering.purdue.edu/ME/People/ptProfile?resource_id=23987" TargetMode="External" Id="rId652"/><Relationship Type="http://schemas.openxmlformats.org/officeDocument/2006/relationships/hyperlink" Target="https://scholar.google.com/citations?view_op=search_authors&amp;mauthors=Farshid%20Sadeghi%20Purdue%20University" TargetMode="External" Id="rId653"/><Relationship Type="http://schemas.openxmlformats.org/officeDocument/2006/relationships/hyperlink" Target="mailto:sadeghi@purdue.edu" TargetMode="External" Id="rId654"/><Relationship Type="http://schemas.openxmlformats.org/officeDocument/2006/relationships/hyperlink" Target="https://engineering.purdue.edu/METL" TargetMode="External" Id="rId655"/><Relationship Type="http://schemas.openxmlformats.org/officeDocument/2006/relationships/hyperlink" Target="https://engineering.purdue.edu/ME/People/ptFaculty" TargetMode="External" Id="rId656"/><Relationship Type="http://schemas.openxmlformats.org/officeDocument/2006/relationships/hyperlink" Target="https://engineering.purdue.edu/ME/People/ptProfile?resource_id=295482" TargetMode="External" Id="rId657"/><Relationship Type="http://schemas.openxmlformats.org/officeDocument/2006/relationships/hyperlink" Target="https://scholar.google.com/citations?view_op=search_authors&amp;mauthors=Hazim%20El%20Mounayri%20Purdue%20University" TargetMode="External" Id="rId658"/><Relationship Type="http://schemas.openxmlformats.org/officeDocument/2006/relationships/hyperlink" Target="mailto:helmouna@purdue.edu" TargetMode="External" Id="rId659"/><Relationship Type="http://schemas.openxmlformats.org/officeDocument/2006/relationships/hyperlink" Target="https://insgc.spacegrant.org/" TargetMode="External" Id="rId660"/><Relationship Type="http://schemas.openxmlformats.org/officeDocument/2006/relationships/hyperlink" Target="https://engineering.purdue.edu/ME/People/ptFaculty" TargetMode="External" Id="rId661"/><Relationship Type="http://schemas.openxmlformats.org/officeDocument/2006/relationships/hyperlink" Target="https://engineering.purdue.edu/ME/People/ptProfile?resource_id=113500" TargetMode="External" Id="rId662"/><Relationship Type="http://schemas.openxmlformats.org/officeDocument/2006/relationships/hyperlink" Target="https://scholar.google.com/citations?view_op=search_authors&amp;mauthors=Ilias%20Bilionis%20Purdue%20University" TargetMode="External" Id="rId663"/><Relationship Type="http://schemas.openxmlformats.org/officeDocument/2006/relationships/hyperlink" Target="mailto:ibilion@purdue.edu" TargetMode="External" Id="rId664"/><Relationship Type="http://schemas.openxmlformats.org/officeDocument/2006/relationships/hyperlink" Target="https://www.predictivesciencelab.org/" TargetMode="External" Id="rId665"/><Relationship Type="http://schemas.openxmlformats.org/officeDocument/2006/relationships/hyperlink" Target="https://github.com/PredictiveScienceLab" TargetMode="External" Id="rId666"/><Relationship Type="http://schemas.openxmlformats.org/officeDocument/2006/relationships/hyperlink" Target="https://engineering.purdue.edu/ME/People/ptFaculty" TargetMode="External" Id="rId667"/><Relationship Type="http://schemas.openxmlformats.org/officeDocument/2006/relationships/hyperlink" Target="https://engineering.purdue.edu/AAE/people/ptProfile?resource_id=1300" TargetMode="External" Id="rId668"/><Relationship Type="http://schemas.openxmlformats.org/officeDocument/2006/relationships/hyperlink" Target="https://scholar.google.com/citations?view_op=search_authors&amp;mauthors=James%20F.%20Doyle%20Purdue%20University" TargetMode="External" Id="rId669"/><Relationship Type="http://schemas.openxmlformats.org/officeDocument/2006/relationships/hyperlink" Target="mailto:webmaster-eng@purdue.edu" TargetMode="External" Id="rId670"/><Relationship Type="http://schemas.openxmlformats.org/officeDocument/2006/relationships/hyperlink" Target="https://insgc.spacegrant.org/" TargetMode="External" Id="rId671"/><Relationship Type="http://schemas.openxmlformats.org/officeDocument/2006/relationships/hyperlink" Target="https://engineering.purdue.edu/AAE/people/Faculty" TargetMode="External" Id="rId672"/><Relationship Type="http://schemas.openxmlformats.org/officeDocument/2006/relationships/hyperlink" Target="https://engineering.purdue.edu/ME/People/ptProfile?resource_id=127242" TargetMode="External" Id="rId673"/><Relationship Type="http://schemas.openxmlformats.org/officeDocument/2006/relationships/hyperlink" Target="https://scholar.google.com/citations?view_op=search_authors&amp;mauthors=James%20Gibert%20Purdue%20University" TargetMode="External" Id="rId674"/><Relationship Type="http://schemas.openxmlformats.org/officeDocument/2006/relationships/hyperlink" Target="mailto:jgibert@purdue.edu" TargetMode="External" Id="rId675"/><Relationship Type="http://schemas.openxmlformats.org/officeDocument/2006/relationships/hyperlink" Target="https://insgc.spacegrant.org/" TargetMode="External" Id="rId676"/><Relationship Type="http://schemas.openxmlformats.org/officeDocument/2006/relationships/hyperlink" Target="https://engineering.purdue.edu/ME/People/ptFaculty" TargetMode="External" Id="rId677"/><Relationship Type="http://schemas.openxmlformats.org/officeDocument/2006/relationships/hyperlink" Target="https://engineering.purdue.edu/ME/People/ptProfile?resource_id=80194" TargetMode="External" Id="rId678"/><Relationship Type="http://schemas.openxmlformats.org/officeDocument/2006/relationships/hyperlink" Target="https://scholar.google.com/citations?view_op=search_authors&amp;mauthors=Jitesh%20H.%20Panchal%20Purdue%20University" TargetMode="External" Id="rId679"/><Relationship Type="http://schemas.openxmlformats.org/officeDocument/2006/relationships/hyperlink" Target="mailto:panchal@purdue.edu" TargetMode="External" Id="rId680"/><Relationship Type="http://schemas.openxmlformats.org/officeDocument/2006/relationships/hyperlink" Target="https://engineering.purdue.edu/DELP/" TargetMode="External" Id="rId681"/><Relationship Type="http://schemas.openxmlformats.org/officeDocument/2006/relationships/hyperlink" Target="https://engineering.purdue.edu/ME/People/ptFaculty" TargetMode="External" Id="rId682"/><Relationship Type="http://schemas.openxmlformats.org/officeDocument/2006/relationships/hyperlink" Target="https://engineering.purdue.edu/ME/People/ptProfile?resource_id=156378" TargetMode="External" Id="rId683"/><Relationship Type="http://schemas.openxmlformats.org/officeDocument/2006/relationships/hyperlink" Target="https://scholar.google.com/citations?view_op=search_authors&amp;mauthors=Martin%20Byung-Guk%20Jun%20Purdue%20University" TargetMode="External" Id="rId684"/><Relationship Type="http://schemas.openxmlformats.org/officeDocument/2006/relationships/hyperlink" Target="mailto:mbgjun@purdue.edu" TargetMode="External" Id="rId685"/><Relationship Type="http://schemas.openxmlformats.org/officeDocument/2006/relationships/hyperlink" Target="http://web.ics.purdue.edu/~jun25/" TargetMode="External" Id="rId686"/><Relationship Type="http://schemas.openxmlformats.org/officeDocument/2006/relationships/hyperlink" Target="https://engineering.purdue.edu/ME/People/ptFaculty" TargetMode="External" Id="rId687"/><Relationship Type="http://schemas.openxmlformats.org/officeDocument/2006/relationships/hyperlink" Target="https://engineering.purdue.edu/ME/People/ptProfile?resource_id=144060" TargetMode="External" Id="rId688"/><Relationship Type="http://schemas.openxmlformats.org/officeDocument/2006/relationships/hyperlink" Target="https://scholar.google.com/citations?view_op=search_authors&amp;mauthors=Mukerrem%20Cakmak%20Purdue%20University" TargetMode="External" Id="rId689"/><Relationship Type="http://schemas.openxmlformats.org/officeDocument/2006/relationships/hyperlink" Target="mailto:cakmak@purdue.edu" TargetMode="External" Id="rId690"/><Relationship Type="http://schemas.openxmlformats.org/officeDocument/2006/relationships/hyperlink" Target="https://insgc.spacegrant.org/" TargetMode="External" Id="rId691"/><Relationship Type="http://schemas.openxmlformats.org/officeDocument/2006/relationships/hyperlink" Target="https://engineering.purdue.edu/ME/People/ptFaculty" TargetMode="External" Id="rId692"/><Relationship Type="http://schemas.openxmlformats.org/officeDocument/2006/relationships/hyperlink" Target="https://engineering.purdue.edu/ME/People/ptProfile?resource_id=236680" TargetMode="External" Id="rId693"/><Relationship Type="http://schemas.openxmlformats.org/officeDocument/2006/relationships/hyperlink" Target="https://scholar.google.com/citations?view_op=search_authors&amp;mauthors=Ryan%20Wagner%20Purdue%20University" TargetMode="External" Id="rId694"/><Relationship Type="http://schemas.openxmlformats.org/officeDocument/2006/relationships/hyperlink" Target="mailto:rbwagner@purdue.edu" TargetMode="External" Id="rId695"/><Relationship Type="http://schemas.openxmlformats.org/officeDocument/2006/relationships/hyperlink" Target="https://engineering.purdue.edu/~rbwagner/" TargetMode="External" Id="rId696"/><Relationship Type="http://schemas.openxmlformats.org/officeDocument/2006/relationships/hyperlink" Target="https://github.com/rbwagner147" TargetMode="External" Id="rId697"/><Relationship Type="http://schemas.openxmlformats.org/officeDocument/2006/relationships/hyperlink" Target="https://engineering.purdue.edu/ME/People/ptFaculty" TargetMode="External" Id="rId698"/><Relationship Type="http://schemas.openxmlformats.org/officeDocument/2006/relationships/hyperlink" Target="https://engineering.purdue.edu/AAE/people/ptProfile?resource_id=127158" TargetMode="External" Id="rId699"/><Relationship Type="http://schemas.openxmlformats.org/officeDocument/2006/relationships/hyperlink" Target="https://scholar.google.com/citations?view_op=search_authors&amp;mauthors=Tyler%20Tallman%20Purdue%20University" TargetMode="External" Id="rId700"/><Relationship Type="http://schemas.openxmlformats.org/officeDocument/2006/relationships/hyperlink" Target="mailto:ttallman@purdue.edu" TargetMode="External" Id="rId701"/><Relationship Type="http://schemas.openxmlformats.org/officeDocument/2006/relationships/hyperlink" Target="https://insgc.spacegrant.org/" TargetMode="External" Id="rId702"/><Relationship Type="http://schemas.openxmlformats.org/officeDocument/2006/relationships/hyperlink" Target="https://engineering.purdue.edu/AAE/people/Faculty" TargetMode="External" Id="rId703"/><Relationship Type="http://schemas.openxmlformats.org/officeDocument/2006/relationships/hyperlink" Target="https://engineering.purdue.edu/ME/People/ptProfile?resource_id=292632" TargetMode="External" Id="rId704"/><Relationship Type="http://schemas.openxmlformats.org/officeDocument/2006/relationships/hyperlink" Target="https://scholar.google.com/citations?user=wQTwuOYAAAAJ" TargetMode="External" Id="rId705"/><Relationship Type="http://schemas.openxmlformats.org/officeDocument/2006/relationships/hyperlink" Target="mailto:wei304@purdue.edu" TargetMode="External" Id="rId706"/><Relationship Type="http://schemas.openxmlformats.org/officeDocument/2006/relationships/hyperlink" Target="https://engineering.purdue.edu/XiaoliangWei" TargetMode="External" Id="rId707"/><Relationship Type="http://schemas.openxmlformats.org/officeDocument/2006/relationships/hyperlink" Target="https://engineering.purdue.edu/ME/People/ptFaculty" TargetMode="External" Id="rId708"/><Relationship Type="http://schemas.openxmlformats.org/officeDocument/2006/relationships/hyperlink" Target="https://engineering.purdue.edu/AAE/people/ptProfile?resource_id=1403" TargetMode="External" Id="rId709"/><Relationship Type="http://schemas.openxmlformats.org/officeDocument/2006/relationships/hyperlink" Target="https://scholar.google.com/citations?view_op=search_authors&amp;mauthors=Inseok%20Hwang%20Purdue%20University" TargetMode="External" Id="rId710"/><Relationship Type="http://schemas.openxmlformats.org/officeDocument/2006/relationships/hyperlink" Target="mailto:ihwang@purdue.edu" TargetMode="External" Id="rId711"/><Relationship Type="http://schemas.openxmlformats.org/officeDocument/2006/relationships/hyperlink" Target="https://insgc.spacegrant.org/" TargetMode="External" Id="rId712"/><Relationship Type="http://schemas.openxmlformats.org/officeDocument/2006/relationships/hyperlink" Target="https://engineering.purdue.edu/AAE/people/Faculty" TargetMode="External" Id="rId713"/><Relationship Type="http://schemas.openxmlformats.org/officeDocument/2006/relationships/hyperlink" Target="https://engineering.purdue.edu/AAE/people/ptProfile?resource_id=272261" TargetMode="External" Id="rId714"/><Relationship Type="http://schemas.openxmlformats.org/officeDocument/2006/relationships/hyperlink" Target="https://scholar.google.com/citations?hl=en&amp;user=fVJDLrYAAAAJ&amp;view_op=list_works&amp;sortby=pubdate" TargetMode="External" Id="rId715"/><Relationship Type="http://schemas.openxmlformats.org/officeDocument/2006/relationships/hyperlink" Target="mailto:klegrand@purdue.edu" TargetMode="External" Id="rId716"/><Relationship Type="http://schemas.openxmlformats.org/officeDocument/2006/relationships/hyperlink" Target="https://insgc.spacegrant.org/" TargetMode="External" Id="rId717"/><Relationship Type="http://schemas.openxmlformats.org/officeDocument/2006/relationships/hyperlink" Target="https://engineering.purdue.edu/AAE/people/Faculty" TargetMode="External" Id="rId718"/><Relationship Type="http://schemas.openxmlformats.org/officeDocument/2006/relationships/hyperlink" Target="https://engineering.purdue.edu/AAE/people/ptProfile?resource_id=1429" TargetMode="External" Id="rId719"/><Relationship Type="http://schemas.openxmlformats.org/officeDocument/2006/relationships/hyperlink" Target="https://scholar.google.com/citations?view_op=search_authors&amp;mauthors=Daniel%20DeLaurentis%20Purdue%20University" TargetMode="External" Id="rId720"/><Relationship Type="http://schemas.openxmlformats.org/officeDocument/2006/relationships/hyperlink" Target="mailto:ddelaure@purdue.edu" TargetMode="External" Id="rId721"/><Relationship Type="http://schemas.openxmlformats.org/officeDocument/2006/relationships/hyperlink" Target="https://insgc.spacegrant.org/" TargetMode="External" Id="rId722"/><Relationship Type="http://schemas.openxmlformats.org/officeDocument/2006/relationships/hyperlink" Target="https://engineering.purdue.edu/AAE/people/Faculty" TargetMode="External" Id="rId723"/><Relationship Type="http://schemas.openxmlformats.org/officeDocument/2006/relationships/hyperlink" Target="https://engineering.purdue.edu/AAE/people/ptProfile?resource_id=50922" TargetMode="External" Id="rId724"/><Relationship Type="http://schemas.openxmlformats.org/officeDocument/2006/relationships/hyperlink" Target="https://scholar.google.com/citations?view_op=search_authors&amp;mauthors=Dengfeng%20Sun%20Purdue%20University" TargetMode="External" Id="rId725"/><Relationship Type="http://schemas.openxmlformats.org/officeDocument/2006/relationships/hyperlink" Target="mailto:dsun@purdue.edu" TargetMode="External" Id="rId726"/><Relationship Type="http://schemas.openxmlformats.org/officeDocument/2006/relationships/hyperlink" Target="https://insgc.spacegrant.org/" TargetMode="External" Id="rId727"/><Relationship Type="http://schemas.openxmlformats.org/officeDocument/2006/relationships/hyperlink" Target="https://engineering.purdue.edu/AAE/people/Faculty" TargetMode="External" Id="rId728"/><Relationship Type="http://schemas.openxmlformats.org/officeDocument/2006/relationships/hyperlink" Target="https://engineering.purdue.edu/ME/People/ptProfile?resource_id=11271" TargetMode="External" Id="rId729"/><Relationship Type="http://schemas.openxmlformats.org/officeDocument/2006/relationships/hyperlink" Target="https://scholar.google.com/citations?view_op=search_authors&amp;mauthors=Bin%20Yao%20Purdue%20University" TargetMode="External" Id="rId730"/><Relationship Type="http://schemas.openxmlformats.org/officeDocument/2006/relationships/hyperlink" Target="mailto:byao@purdue.edu" TargetMode="External" Id="rId731"/><Relationship Type="http://schemas.openxmlformats.org/officeDocument/2006/relationships/hyperlink" Target="http://engineering.purdue.edu/~byao/" TargetMode="External" Id="rId732"/><Relationship Type="http://schemas.openxmlformats.org/officeDocument/2006/relationships/hyperlink" Target="https://engineering.purdue.edu/ME/People/ptFaculty" TargetMode="External" Id="rId733"/><Relationship Type="http://schemas.openxmlformats.org/officeDocument/2006/relationships/hyperlink" Target="https://engineering.purdue.edu/ME/People/ptProfile?resource_id=211078" TargetMode="External" Id="rId734"/><Relationship Type="http://schemas.openxmlformats.org/officeDocument/2006/relationships/hyperlink" Target="https://scholar.google.com/citations?view_op=search_authors&amp;mauthors=Nina%20Mahmoudian%20Purdue%20University" TargetMode="External" Id="rId735"/><Relationship Type="http://schemas.openxmlformats.org/officeDocument/2006/relationships/hyperlink" Target="mailto:ninam@purdue.edu" TargetMode="External" Id="rId736"/><Relationship Type="http://schemas.openxmlformats.org/officeDocument/2006/relationships/hyperlink" Target="https://engineering.purdue.edu/mahmoudian" TargetMode="External" Id="rId737"/><Relationship Type="http://schemas.openxmlformats.org/officeDocument/2006/relationships/hyperlink" Target="https://engineering.purdue.edu/ME/People/ptFaculty" TargetMode="External" Id="rId738"/><Relationship Type="http://schemas.openxmlformats.org/officeDocument/2006/relationships/hyperlink" Target="https://engineering.purdue.edu/AAE/people/ptProfile?resource_id=243160" TargetMode="External" Id="rId739"/><Relationship Type="http://schemas.openxmlformats.org/officeDocument/2006/relationships/hyperlink" Target="https://scholar.google.com/citations?view_op=search_authors&amp;mauthors=Ran%20Dai%20Purdue%20University" TargetMode="External" Id="rId740"/><Relationship Type="http://schemas.openxmlformats.org/officeDocument/2006/relationships/hyperlink" Target="mailto:randai@purdue.edu" TargetMode="External" Id="rId741"/><Relationship Type="http://schemas.openxmlformats.org/officeDocument/2006/relationships/hyperlink" Target="https://insgc.spacegrant.org/" TargetMode="External" Id="rId742"/><Relationship Type="http://schemas.openxmlformats.org/officeDocument/2006/relationships/hyperlink" Target="https://engineering.purdue.edu/AAE/people/Faculty" TargetMode="External" Id="rId743"/><Relationship Type="http://schemas.openxmlformats.org/officeDocument/2006/relationships/hyperlink" Target="https://engineering.purdue.edu/AAE/people/ptProfile?resource_id=124981" TargetMode="External" Id="rId744"/><Relationship Type="http://schemas.openxmlformats.org/officeDocument/2006/relationships/hyperlink" Target="https://scholar.google.com/citations?user=gkl8tbMAAAAJ&amp;hl=en" TargetMode="External" Id="rId745"/><Relationship Type="http://schemas.openxmlformats.org/officeDocument/2006/relationships/hyperlink" Target="mailto:mous@purdue.edu" TargetMode="External" Id="rId746"/><Relationship Type="http://schemas.openxmlformats.org/officeDocument/2006/relationships/hyperlink" Target="https://insgc.spacegrant.org/" TargetMode="External" Id="rId747"/><Relationship Type="http://schemas.openxmlformats.org/officeDocument/2006/relationships/hyperlink" Target="https://engineering.purdue.edu/AAE/people/Faculty" TargetMode="External" Id="rId748"/><Relationship Type="http://schemas.openxmlformats.org/officeDocument/2006/relationships/hyperlink" Target="https://engineering.purdue.edu/ME/People/ptProfile?resource_id=57378" TargetMode="External" Id="rId749"/><Relationship Type="http://schemas.openxmlformats.org/officeDocument/2006/relationships/hyperlink" Target="https://scholar.google.com/citations?view_op=search_authors&amp;mauthors=Xinyan%20Deng%20Purdue%20University" TargetMode="External" Id="rId750"/><Relationship Type="http://schemas.openxmlformats.org/officeDocument/2006/relationships/hyperlink" Target="mailto:xdeng@purdue.edu" TargetMode="External" Id="rId751"/><Relationship Type="http://schemas.openxmlformats.org/officeDocument/2006/relationships/hyperlink" Target="http://engineering.purdue.edu/~xdeng/" TargetMode="External" Id="rId752"/><Relationship Type="http://schemas.openxmlformats.org/officeDocument/2006/relationships/hyperlink" Target="https://engineering.purdue.edu/ME/People/ptFaculty" TargetMode="External" Id="rId753"/><Relationship Type="http://schemas.openxmlformats.org/officeDocument/2006/relationships/hyperlink" Target="https://engineering.purdue.edu/ME/People/ptProfile?resource_id=273141" TargetMode="External" Id="rId754"/><Relationship Type="http://schemas.openxmlformats.org/officeDocument/2006/relationships/hyperlink" Target="https://scholar.google.com/citations?view_op=search_authors&amp;mauthors=Yan%20Gu%20Purdue%20University" TargetMode="External" Id="rId755"/><Relationship Type="http://schemas.openxmlformats.org/officeDocument/2006/relationships/hyperlink" Target="mailto:yangu@purdue.edu" TargetMode="External" Id="rId756"/><Relationship Type="http://schemas.openxmlformats.org/officeDocument/2006/relationships/hyperlink" Target="https://www.thetracelab.com/" TargetMode="External" Id="rId757"/><Relationship Type="http://schemas.openxmlformats.org/officeDocument/2006/relationships/hyperlink" Target="https://engineering.purdue.edu/ME/People/ptFaculty" TargetMode="External" Id="rId758"/><Relationship Type="http://schemas.openxmlformats.org/officeDocument/2006/relationships/hyperlink" Target="https://engineering.purdue.edu/ME/People/ptProfile?resource_id=92669" TargetMode="External" Id="rId759"/><Relationship Type="http://schemas.openxmlformats.org/officeDocument/2006/relationships/hyperlink" Target="https://scholar.google.com/citations?view_op=search_authors&amp;mauthors=David%20Cappelleri%20Purdue%20University" TargetMode="External" Id="rId760"/><Relationship Type="http://schemas.openxmlformats.org/officeDocument/2006/relationships/hyperlink" Target="mailto:dcappell@purdue.edu" TargetMode="External" Id="rId761"/><Relationship Type="http://schemas.openxmlformats.org/officeDocument/2006/relationships/hyperlink" Target="http://www.multiscalerobotics.org/" TargetMode="External" Id="rId762"/><Relationship Type="http://schemas.openxmlformats.org/officeDocument/2006/relationships/hyperlink" Target="https://engineering.purdue.edu/ME/People/ptFaculty" TargetMode="External" Id="rId763"/><Relationship Type="http://schemas.openxmlformats.org/officeDocument/2006/relationships/hyperlink" Target="https://engineering.purdue.edu/AAE/people/ptProfile?resource_id=270776" TargetMode="External" Id="rId764"/><Relationship Type="http://schemas.openxmlformats.org/officeDocument/2006/relationships/hyperlink" Target="https://scholar.google.com/citations?view_op=search_authors&amp;mauthors=Husheng%20Li%20Purdue%20University" TargetMode="External" Id="rId765"/><Relationship Type="http://schemas.openxmlformats.org/officeDocument/2006/relationships/hyperlink" Target="mailto:husheng@purdue.edu" TargetMode="External" Id="rId766"/><Relationship Type="http://schemas.openxmlformats.org/officeDocument/2006/relationships/hyperlink" Target="https://insgc.spacegrant.org/" TargetMode="External" Id="rId767"/><Relationship Type="http://schemas.openxmlformats.org/officeDocument/2006/relationships/hyperlink" Target="https://engineering.purdue.edu/AAE/people/Faculty" TargetMode="External" Id="rId768"/><Relationship Type="http://schemas.openxmlformats.org/officeDocument/2006/relationships/hyperlink" Target="https://engineering.purdue.edu/AAE/people/ptProfile?resource_id=50933" TargetMode="External" Id="rId769"/><Relationship Type="http://schemas.openxmlformats.org/officeDocument/2006/relationships/hyperlink" Target="https://scholar.google.com/citations?view_op=search_authors&amp;mauthors=Karen%20Marais%20Purdue%20University" TargetMode="External" Id="rId770"/><Relationship Type="http://schemas.openxmlformats.org/officeDocument/2006/relationships/hyperlink" Target="mailto:kmarais@purdue.edu" TargetMode="External" Id="rId771"/><Relationship Type="http://schemas.openxmlformats.org/officeDocument/2006/relationships/hyperlink" Target="https://insgc.spacegrant.org/" TargetMode="External" Id="rId772"/><Relationship Type="http://schemas.openxmlformats.org/officeDocument/2006/relationships/hyperlink" Target="https://engineering.purdue.edu/AAE/people/Faculty" TargetMode="External" Id="rId773"/><Relationship Type="http://schemas.openxmlformats.org/officeDocument/2006/relationships/hyperlink" Target="https://engineering.purdue.edu/ME/People/ptProfile?resource_id=12331" TargetMode="External" Id="rId774"/><Relationship Type="http://schemas.openxmlformats.org/officeDocument/2006/relationships/hyperlink" Target="https://scholar.google.com/citations?view_op=search_authors&amp;mauthors=Karthik%20Ramani%20Purdue%20University" TargetMode="External" Id="rId775"/><Relationship Type="http://schemas.openxmlformats.org/officeDocument/2006/relationships/hyperlink" Target="mailto:ramani@purdue.edu" TargetMode="External" Id="rId776"/><Relationship Type="http://schemas.openxmlformats.org/officeDocument/2006/relationships/hyperlink" Target="https://engineering.purdue.edu/cdesign" TargetMode="External" Id="rId777"/><Relationship Type="http://schemas.openxmlformats.org/officeDocument/2006/relationships/hyperlink" Target="https://engineering.purdue.edu/ME/People/ptFaculty" TargetMode="External" Id="rId778"/><Relationship Type="http://schemas.openxmlformats.org/officeDocument/2006/relationships/hyperlink" Target="https://engineering.purdue.edu/ME/People/ptProfile?resource_id=241064" TargetMode="External" Id="rId779"/><Relationship Type="http://schemas.openxmlformats.org/officeDocument/2006/relationships/hyperlink" Target="https://scholar.google.com/citations?view_op=search_authors&amp;mauthors=Laura%20Blumenschein%20Purdue%20University" TargetMode="External" Id="rId780"/><Relationship Type="http://schemas.openxmlformats.org/officeDocument/2006/relationships/hyperlink" Target="mailto:lhblumen@purdue.edu" TargetMode="External" Id="rId781"/><Relationship Type="http://schemas.openxmlformats.org/officeDocument/2006/relationships/hyperlink" Target="https://lhblumen.wixsite.com/website-1" TargetMode="External" Id="rId782"/><Relationship Type="http://schemas.openxmlformats.org/officeDocument/2006/relationships/hyperlink" Target="https://engineering.purdue.edu/ME/People/ptFaculty" TargetMode="External" Id="rId783"/><Relationship Type="http://schemas.openxmlformats.org/officeDocument/2006/relationships/hyperlink" Target="https://engineering.purdue.edu/ME/People/ptProfile?resource_id=61666" TargetMode="External" Id="rId784"/><Relationship Type="http://schemas.openxmlformats.org/officeDocument/2006/relationships/hyperlink" Target="https://scholar.google.com/citations?view_op=search_authors&amp;mauthors=Andrea%20Vacca%20Purdue%20University" TargetMode="External" Id="rId785"/><Relationship Type="http://schemas.openxmlformats.org/officeDocument/2006/relationships/hyperlink" Target="mailto:avacca@purdue.edu" TargetMode="External" Id="rId786"/><Relationship Type="http://schemas.openxmlformats.org/officeDocument/2006/relationships/hyperlink" Target="https://engineering.purdue.edu/Maha" TargetMode="External" Id="rId787"/><Relationship Type="http://schemas.openxmlformats.org/officeDocument/2006/relationships/hyperlink" Target="https://engineering.purdue.edu/ME/People/ptFaculty" TargetMode="External" Id="rId788"/><Relationship Type="http://schemas.openxmlformats.org/officeDocument/2006/relationships/hyperlink" Target="https://engineering.purdue.edu/AAE/people/ptProfile?resource_id=1339" TargetMode="External" Id="rId789"/><Relationship Type="http://schemas.openxmlformats.org/officeDocument/2006/relationships/hyperlink" Target="https://scholar.google.com/citations?view_op=search_authors&amp;mauthors=Arthur%20E.%20Frazho%20Purdue%20University" TargetMode="External" Id="rId790"/><Relationship Type="http://schemas.openxmlformats.org/officeDocument/2006/relationships/hyperlink" Target="mailto:frazho@purdue.edu" TargetMode="External" Id="rId791"/><Relationship Type="http://schemas.openxmlformats.org/officeDocument/2006/relationships/hyperlink" Target="https://insgc.spacegrant.org/" TargetMode="External" Id="rId792"/><Relationship Type="http://schemas.openxmlformats.org/officeDocument/2006/relationships/hyperlink" Target="https://engineering.purdue.edu/AAE/people/Faculty" TargetMode="External" Id="rId793"/><Relationship Type="http://schemas.openxmlformats.org/officeDocument/2006/relationships/hyperlink" Target="https://engineering.purdue.edu/AAE/people/ptProfile?resource_id=132802" TargetMode="External" Id="rId794"/><Relationship Type="http://schemas.openxmlformats.org/officeDocument/2006/relationships/hyperlink" Target="https://scholar.google.com/citations?view_op=search_authors&amp;mauthors=Brandon%20Chynoweth%20Purdue%20University" TargetMode="External" Id="rId795"/><Relationship Type="http://schemas.openxmlformats.org/officeDocument/2006/relationships/hyperlink" Target="mailto:bchynowe@purdue.edu" TargetMode="External" Id="rId796"/><Relationship Type="http://schemas.openxmlformats.org/officeDocument/2006/relationships/hyperlink" Target="https://insgc.spacegrant.org/" TargetMode="External" Id="rId797"/><Relationship Type="http://schemas.openxmlformats.org/officeDocument/2006/relationships/hyperlink" Target="https://engineering.purdue.edu/AAE/people/Faculty" TargetMode="External" Id="rId798"/><Relationship Type="http://schemas.openxmlformats.org/officeDocument/2006/relationships/hyperlink" Target="https://engineering.purdue.edu/ME/People/ptProfile?resource_id=137267" TargetMode="External" Id="rId799"/><Relationship Type="http://schemas.openxmlformats.org/officeDocument/2006/relationships/hyperlink" Target="https://scholar.google.com/citations?view_op=search_authors&amp;mauthors=Brett%20Meyers%20Purdue%20University" TargetMode="External" Id="rId800"/><Relationship Type="http://schemas.openxmlformats.org/officeDocument/2006/relationships/hyperlink" Target="mailto:meyers18@purdue.edu" TargetMode="External" Id="rId801"/><Relationship Type="http://schemas.openxmlformats.org/officeDocument/2006/relationships/hyperlink" Target="https://insgc.spacegrant.org/" TargetMode="External" Id="rId802"/><Relationship Type="http://schemas.openxmlformats.org/officeDocument/2006/relationships/hyperlink" Target="https://engineering.purdue.edu/ME/People/ptFaculty" TargetMode="External" Id="rId803"/><Relationship Type="http://schemas.openxmlformats.org/officeDocument/2006/relationships/hyperlink" Target="https://engineering.purdue.edu/ME/People/ptProfile?resource_id=2871" TargetMode="External" Id="rId804"/><Relationship Type="http://schemas.openxmlformats.org/officeDocument/2006/relationships/hyperlink" Target="https://scholar.google.com/citations?view_op=search_authors&amp;mauthors=Cagri%20A.%20Savran%20Purdue%20University" TargetMode="External" Id="rId805"/><Relationship Type="http://schemas.openxmlformats.org/officeDocument/2006/relationships/hyperlink" Target="mailto:savran@purdue.edu" TargetMode="External" Id="rId806"/><Relationship Type="http://schemas.openxmlformats.org/officeDocument/2006/relationships/hyperlink" Target="https://insgc.spacegrant.org/" TargetMode="External" Id="rId807"/><Relationship Type="http://schemas.openxmlformats.org/officeDocument/2006/relationships/hyperlink" Target="https://engineering.purdue.edu/ME/People/ptFaculty" TargetMode="External" Id="rId808"/><Relationship Type="http://schemas.openxmlformats.org/officeDocument/2006/relationships/hyperlink" Target="https://engineering.purdue.edu/ME/People/ptProfile?resource_id=293356" TargetMode="External" Id="rId809"/><Relationship Type="http://schemas.openxmlformats.org/officeDocument/2006/relationships/hyperlink" Target="https://scholar.google.com/citations?view_op=search_authors&amp;mauthors=Daniel%20Williams%20Purdue%20University" TargetMode="External" Id="rId810"/><Relationship Type="http://schemas.openxmlformats.org/officeDocument/2006/relationships/hyperlink" Target="mailto:dewillia@purdue.edu" TargetMode="External" Id="rId811"/><Relationship Type="http://schemas.openxmlformats.org/officeDocument/2006/relationships/hyperlink" Target="https://insgc.spacegrant.org/" TargetMode="External" Id="rId812"/><Relationship Type="http://schemas.openxmlformats.org/officeDocument/2006/relationships/hyperlink" Target="https://engineering.purdue.edu/ME/People/ptFaculty" TargetMode="External" Id="rId813"/><Relationship Type="http://schemas.openxmlformats.org/officeDocument/2006/relationships/hyperlink" Target="https://engineering.purdue.edu/ME/People/ptProfile?resource_id=340479" TargetMode="External" Id="rId814"/><Relationship Type="http://schemas.openxmlformats.org/officeDocument/2006/relationships/hyperlink" Target="https://scholar.google.com/citations?view_op=search_authors&amp;mauthors=John%20Eric%20Goff%20Purdue%20University" TargetMode="External" Id="rId815"/><Relationship Type="http://schemas.openxmlformats.org/officeDocument/2006/relationships/hyperlink" Target="mailto:goffje@purdue.edu" TargetMode="External" Id="rId816"/><Relationship Type="http://schemas.openxmlformats.org/officeDocument/2006/relationships/hyperlink" Target="https://insgc.spacegrant.org/" TargetMode="External" Id="rId817"/><Relationship Type="http://schemas.openxmlformats.org/officeDocument/2006/relationships/hyperlink" Target="https://engineering.purdue.edu/ME/People/ptFaculty" TargetMode="External" Id="rId818"/><Relationship Type="http://schemas.openxmlformats.org/officeDocument/2006/relationships/hyperlink" Target="https://engineering.purdue.edu/AAE/people/ptProfile?resource_id=316433" TargetMode="External" Id="rId819"/><Relationship Type="http://schemas.openxmlformats.org/officeDocument/2006/relationships/hyperlink" Target="https://scholar.google.com/citations?view_op=search_authors&amp;mauthors=Kevin%20Parsons%20Purdue%20University" TargetMode="External" Id="rId820"/><Relationship Type="http://schemas.openxmlformats.org/officeDocument/2006/relationships/hyperlink" Target="mailto:kkparson@purdue.edu" TargetMode="External" Id="rId821"/><Relationship Type="http://schemas.openxmlformats.org/officeDocument/2006/relationships/hyperlink" Target="https://insgc.spacegrant.org/" TargetMode="External" Id="rId822"/><Relationship Type="http://schemas.openxmlformats.org/officeDocument/2006/relationships/hyperlink" Target="https://engineering.purdue.edu/AAE/people/Faculty" TargetMode="External" Id="rId823"/><Relationship Type="http://schemas.openxmlformats.org/officeDocument/2006/relationships/hyperlink" Target="https://engineering.purdue.edu/ME/People/ptProfile?resource_id=84937" TargetMode="External" Id="rId824"/><Relationship Type="http://schemas.openxmlformats.org/officeDocument/2006/relationships/hyperlink" Target="https://scholar.google.com/citations?view_op=search_authors&amp;mauthors=Lizhi%20Shang%20Purdue%20University" TargetMode="External" Id="rId825"/><Relationship Type="http://schemas.openxmlformats.org/officeDocument/2006/relationships/hyperlink" Target="mailto:shangl@purdue.edu" TargetMode="External" Id="rId826"/><Relationship Type="http://schemas.openxmlformats.org/officeDocument/2006/relationships/hyperlink" Target="https://engineering.purdue.edu/Maha" TargetMode="External" Id="rId827"/><Relationship Type="http://schemas.openxmlformats.org/officeDocument/2006/relationships/hyperlink" Target="https://engineering.purdue.edu/ME/People/ptFaculty" TargetMode="External" Id="rId828"/><Relationship Type="http://schemas.openxmlformats.org/officeDocument/2006/relationships/hyperlink" Target="https://engineering.purdue.edu/AAE/people/ptProfile?resource_id=1410" TargetMode="External" Id="rId829"/><Relationship Type="http://schemas.openxmlformats.org/officeDocument/2006/relationships/hyperlink" Target="https://scholar.google.com/citations?view_op=search_authors&amp;mauthors=Martin%20J.%20Corless%20Purdue%20University" TargetMode="External" Id="rId830"/><Relationship Type="http://schemas.openxmlformats.org/officeDocument/2006/relationships/hyperlink" Target="mailto:corless@purdue.edu" TargetMode="External" Id="rId831"/><Relationship Type="http://schemas.openxmlformats.org/officeDocument/2006/relationships/hyperlink" Target="https://insgc.spacegrant.org/" TargetMode="External" Id="rId832"/><Relationship Type="http://schemas.openxmlformats.org/officeDocument/2006/relationships/hyperlink" Target="https://engineering.purdue.edu/AAE/people/Faculty" TargetMode="External" Id="rId833"/><Relationship Type="http://schemas.openxmlformats.org/officeDocument/2006/relationships/hyperlink" Target="https://engineering.purdue.edu/ME/People/ptProfile?resource_id=324781" TargetMode="External" Id="rId834"/><Relationship Type="http://schemas.openxmlformats.org/officeDocument/2006/relationships/hyperlink" Target="https://scholar.google.com/citations?view_op=search_authors&amp;mauthors=Mina%20Karimi%20Purdue%20University" TargetMode="External" Id="rId835"/><Relationship Type="http://schemas.openxmlformats.org/officeDocument/2006/relationships/hyperlink" Target="mailto:karimi2@purdue.edu" TargetMode="External" Id="rId836"/><Relationship Type="http://schemas.openxmlformats.org/officeDocument/2006/relationships/hyperlink" Target="https://engineering.purdue.edu/karimi" TargetMode="External" Id="rId837"/><Relationship Type="http://schemas.openxmlformats.org/officeDocument/2006/relationships/hyperlink" Target="https://engineering.purdue.edu/ME/People/ptFaculty" TargetMode="External" Id="rId838"/><Relationship Type="http://schemas.openxmlformats.org/officeDocument/2006/relationships/hyperlink" Target="https://engineering.purdue.edu/ME/People/ptProfile?resource_id=292617" TargetMode="External" Id="rId839"/><Relationship Type="http://schemas.openxmlformats.org/officeDocument/2006/relationships/hyperlink" Target="https://scholar.google.com/citations?view_op=search_authors&amp;mauthors=Sohel%20Anwar%20Purdue%20University" TargetMode="External" Id="rId840"/><Relationship Type="http://schemas.openxmlformats.org/officeDocument/2006/relationships/hyperlink" Target="mailto:sanwar@purdue.edu" TargetMode="External" Id="rId841"/><Relationship Type="http://schemas.openxmlformats.org/officeDocument/2006/relationships/hyperlink" Target="https://insgc.spacegrant.org/" TargetMode="External" Id="rId842"/><Relationship Type="http://schemas.openxmlformats.org/officeDocument/2006/relationships/hyperlink" Target="https://engineering.purdue.edu/ME/People/ptFaculty" TargetMode="External" Id="rId843"/><Relationship Type="http://schemas.openxmlformats.org/officeDocument/2006/relationships/hyperlink" Target="https://engineering.purdue.edu/AAE/people/ptProfile?resource_id=308322" TargetMode="External" Id="rId844"/><Relationship Type="http://schemas.openxmlformats.org/officeDocument/2006/relationships/hyperlink" Target="https://scholar.google.com/citations?view_op=search_authors&amp;mauthors=Takashi%20Tanaka%20Purdue%20University" TargetMode="External" Id="rId845"/><Relationship Type="http://schemas.openxmlformats.org/officeDocument/2006/relationships/hyperlink" Target="mailto:webmaster-eng@purdue.edu" TargetMode="External" Id="rId846"/><Relationship Type="http://schemas.openxmlformats.org/officeDocument/2006/relationships/hyperlink" Target="https://insgc.spacegrant.org/" TargetMode="External" Id="rId847"/><Relationship Type="http://schemas.openxmlformats.org/officeDocument/2006/relationships/hyperlink" Target="https://engineering.purdue.edu/AAE/people/Faculty" TargetMode="External" Id="rId848"/><Relationship Type="http://schemas.openxmlformats.org/officeDocument/2006/relationships/hyperlink" Target="https://engineering.purdue.edu/AAE/people/ptProfile?resource_id=1305" TargetMode="External" Id="rId849"/><Relationship Type="http://schemas.openxmlformats.org/officeDocument/2006/relationships/hyperlink" Target="https://scholar.google.com/citations?view_op=search_authors&amp;mauthors=William%20Crossley%20Purdue%20University" TargetMode="External" Id="rId850"/><Relationship Type="http://schemas.openxmlformats.org/officeDocument/2006/relationships/hyperlink" Target="mailto:asherwo@purdue.edu" TargetMode="External" Id="rId851"/><Relationship Type="http://schemas.openxmlformats.org/officeDocument/2006/relationships/hyperlink" Target="https://insgc.spacegrant.org/" TargetMode="External" Id="rId852"/><Relationship Type="http://schemas.openxmlformats.org/officeDocument/2006/relationships/hyperlink" Target="https://engineering.purdue.edu/AAE/people/Faculty" TargetMode="External" Id="rId853"/></Relationships>
</file>

<file path=xl/worksheets/_rels/sheet3.xml.rels><Relationships xmlns="http://schemas.openxmlformats.org/package/2006/relationships"><Relationship Type="http://schemas.openxmlformats.org/officeDocument/2006/relationships/hyperlink" Target="https://engineering.purdue.edu/AAE/people/ptProfile?resource_id=1377" TargetMode="External" Id="rId1"/><Relationship Type="http://schemas.openxmlformats.org/officeDocument/2006/relationships/hyperlink" Target="https://scholar.google.com/citations?view_op=search_authors&amp;mauthors=Gregory%20A.%20Blaisdell%20Purdue%20University" TargetMode="External" Id="rId2"/><Relationship Type="http://schemas.openxmlformats.org/officeDocument/2006/relationships/hyperlink" Target="mailto:blaisdel@purdue.edu" TargetMode="External" Id="rId3"/><Relationship Type="http://schemas.openxmlformats.org/officeDocument/2006/relationships/hyperlink" Target="https://doi.org/10.2514/6.2026-1976" TargetMode="External" Id="rId4"/><Relationship Type="http://schemas.openxmlformats.org/officeDocument/2006/relationships/hyperlink" Target="https://doi.org/10.1007/s00348-025-04031-y" TargetMode="External" Id="rId5"/><Relationship Type="http://schemas.openxmlformats.org/officeDocument/2006/relationships/hyperlink" Target="https://doi.org/10.2514/6.2026-1976" TargetMode="External" Id="rId6"/><Relationship Type="http://schemas.openxmlformats.org/officeDocument/2006/relationships/hyperlink" Target="https://insgc.spacegrant.org/" TargetMode="External" Id="rId7"/><Relationship Type="http://schemas.openxmlformats.org/officeDocument/2006/relationships/hyperlink" Target="https://engineering.purdue.edu/AAE/people/Faculty" TargetMode="External" Id="rId8"/><Relationship Type="http://schemas.openxmlformats.org/officeDocument/2006/relationships/hyperlink" Target="https://engineering.purdue.edu/AAE/people/ptProfile?resource_id=72424" TargetMode="External" Id="rId9"/><Relationship Type="http://schemas.openxmlformats.org/officeDocument/2006/relationships/hyperlink" Target="https://scholar.google.com/citations?user=fprhTwwAAAAJ&amp;hl=en" TargetMode="External" Id="rId10"/><Relationship Type="http://schemas.openxmlformats.org/officeDocument/2006/relationships/hyperlink" Target="mailto:sbane@purdue.edu" TargetMode="External" Id="rId11"/><Relationship Type="http://schemas.openxmlformats.org/officeDocument/2006/relationships/hyperlink" Target="https://doi.org/10.1063/5.0341587" TargetMode="External" Id="rId12"/><Relationship Type="http://schemas.openxmlformats.org/officeDocument/2006/relationships/hyperlink" Target="https://doi.org/10.1088/1361-6501/ae4f0a" TargetMode="External" Id="rId13"/><Relationship Type="http://schemas.openxmlformats.org/officeDocument/2006/relationships/hyperlink" Target="https://doi.org/10.1063/5.0341587" TargetMode="External" Id="rId14"/><Relationship Type="http://schemas.openxmlformats.org/officeDocument/2006/relationships/hyperlink" Target="https://insgc.spacegrant.org/" TargetMode="External" Id="rId15"/><Relationship Type="http://schemas.openxmlformats.org/officeDocument/2006/relationships/hyperlink" Target="https://engineering.purdue.edu/AAE/people/Faculty" TargetMode="External" Id="rId16"/><Relationship Type="http://schemas.openxmlformats.org/officeDocument/2006/relationships/hyperlink" Target="https://engineering.purdue.edu/AAE/people/ptProfile?resource_id=124958" TargetMode="External" Id="rId17"/><Relationship Type="http://schemas.openxmlformats.org/officeDocument/2006/relationships/hyperlink" Target="https://scholar.google.com/citations?view_op=search_authors&amp;mauthors=Carson%20Slabaugh%20Purdue%20University" TargetMode="External" Id="rId18"/><Relationship Type="http://schemas.openxmlformats.org/officeDocument/2006/relationships/hyperlink" Target="mailto:cslabau@purdue.edu" TargetMode="External" Id="rId19"/><Relationship Type="http://schemas.openxmlformats.org/officeDocument/2006/relationships/hyperlink" Target="https://doi.org/10.2514/1.b37740" TargetMode="External" Id="rId20"/><Relationship Type="http://schemas.openxmlformats.org/officeDocument/2006/relationships/hyperlink" Target="https://doi.org/10.2514/1.j067064" TargetMode="External" Id="rId21"/><Relationship Type="http://schemas.openxmlformats.org/officeDocument/2006/relationships/hyperlink" Target="https://doi.org/10.2514/1.b37740" TargetMode="External" Id="rId22"/><Relationship Type="http://schemas.openxmlformats.org/officeDocument/2006/relationships/hyperlink" Target="https://insgc.spacegrant.org/" TargetMode="External" Id="rId23"/><Relationship Type="http://schemas.openxmlformats.org/officeDocument/2006/relationships/hyperlink" Target="https://engineering.purdue.edu/AAE/people/Faculty" TargetMode="External" Id="rId24"/><Relationship Type="http://schemas.openxmlformats.org/officeDocument/2006/relationships/hyperlink" Target="https://engineering.purdue.edu/AAE/people/ptProfile?resource_id=1274" TargetMode="External" Id="rId25"/><Relationship Type="http://schemas.openxmlformats.org/officeDocument/2006/relationships/hyperlink" Target="https://scholar.google.com/citations?view_op=search_authors&amp;mauthors=Steven%20P.%20Schneider%20Purdue%20University" TargetMode="External" Id="rId26"/><Relationship Type="http://schemas.openxmlformats.org/officeDocument/2006/relationships/hyperlink" Target="mailto:steves@purdue.edu" TargetMode="External" Id="rId27"/><Relationship Type="http://schemas.openxmlformats.org/officeDocument/2006/relationships/hyperlink" Target="https://doi.org/10.2514/1.a36439" TargetMode="External" Id="rId28"/><Relationship Type="http://schemas.openxmlformats.org/officeDocument/2006/relationships/hyperlink" Target="https://doi.org/10.1103/physrevfluids.8.083903" TargetMode="External" Id="rId29"/><Relationship Type="http://schemas.openxmlformats.org/officeDocument/2006/relationships/hyperlink" Target="https://doi.org/10.2514/1.a36439" TargetMode="External" Id="rId30"/><Relationship Type="http://schemas.openxmlformats.org/officeDocument/2006/relationships/hyperlink" Target="https://insgc.spacegrant.org/" TargetMode="External" Id="rId31"/><Relationship Type="http://schemas.openxmlformats.org/officeDocument/2006/relationships/hyperlink" Target="https://engineering.purdue.edu/AAE/people/Faculty" TargetMode="External" Id="rId32"/><Relationship Type="http://schemas.openxmlformats.org/officeDocument/2006/relationships/hyperlink" Target="https://engineering.purdue.edu/AAE/people/ptProfile?resource_id=221718" TargetMode="External" Id="rId33"/><Relationship Type="http://schemas.openxmlformats.org/officeDocument/2006/relationships/hyperlink" Target="https://scholar.google.com/citations?hl=en&amp;user=NZ7cWNwAAAAJ" TargetMode="External" Id="rId34"/><Relationship Type="http://schemas.openxmlformats.org/officeDocument/2006/relationships/hyperlink" Target="mailto:jsjewell@purdue.edu" TargetMode="External" Id="rId35"/><Relationship Type="http://schemas.openxmlformats.org/officeDocument/2006/relationships/hyperlink" Target="https://doi.org/10.1364/ao.604902" TargetMode="External" Id="rId36"/><Relationship Type="http://schemas.openxmlformats.org/officeDocument/2006/relationships/hyperlink" Target="https://doi.org/10.1017/jfm.2026.11284" TargetMode="External" Id="rId37"/><Relationship Type="http://schemas.openxmlformats.org/officeDocument/2006/relationships/hyperlink" Target="https://doi.org/10.1364/ao.604902" TargetMode="External" Id="rId38"/><Relationship Type="http://schemas.openxmlformats.org/officeDocument/2006/relationships/hyperlink" Target="https://insgc.spacegrant.org/" TargetMode="External" Id="rId39"/><Relationship Type="http://schemas.openxmlformats.org/officeDocument/2006/relationships/hyperlink" Target="https://engineering.purdue.edu/AAE/people/Faculty" TargetMode="External" Id="rId40"/><Relationship Type="http://schemas.openxmlformats.org/officeDocument/2006/relationships/hyperlink" Target="https://engineering.purdue.edu/ME/People/ptProfile?resource_id=294620" TargetMode="External" Id="rId41"/><Relationship Type="http://schemas.openxmlformats.org/officeDocument/2006/relationships/hyperlink" Target="https://scholar.google.com/citations?view_op=search_authors&amp;mauthors=Huidan%20%28Whitney%29%20Yu%20Purdue%20University" TargetMode="External" Id="rId42"/><Relationship Type="http://schemas.openxmlformats.org/officeDocument/2006/relationships/hyperlink" Target="mailto:yu597@purdue.edu" TargetMode="External" Id="rId43"/><Relationship Type="http://schemas.openxmlformats.org/officeDocument/2006/relationships/hyperlink" Target="https://engineering.purdue.edu/YuLab/" TargetMode="External" Id="rId44"/><Relationship Type="http://schemas.openxmlformats.org/officeDocument/2006/relationships/hyperlink" Target="https://engineering.purdue.edu/ME/People/ptFaculty" TargetMode="External" Id="rId45"/><Relationship Type="http://schemas.openxmlformats.org/officeDocument/2006/relationships/hyperlink" Target="https://engineering.purdue.edu/ME/People/Areas/ptProfile?resource_id=9892&amp;group_id=11989" TargetMode="External" Id="rId46"/><Relationship Type="http://schemas.openxmlformats.org/officeDocument/2006/relationships/hyperlink" Target="https://scholar.google.com/citations?view_op=search_authors&amp;mauthors=Jay%20P.%20Gore%20Purdue%20University" TargetMode="External" Id="rId47"/><Relationship Type="http://schemas.openxmlformats.org/officeDocument/2006/relationships/hyperlink" Target="mailto:gore@purdue.edu" TargetMode="External" Id="rId48"/><Relationship Type="http://schemas.openxmlformats.org/officeDocument/2006/relationships/hyperlink" Target="https://doi.org/10.2514/6.2026-0595" TargetMode="External" Id="rId49"/><Relationship Type="http://schemas.openxmlformats.org/officeDocument/2006/relationships/hyperlink" Target="https://doi.org/10.1115/imece2025-159171" TargetMode="External" Id="rId50"/><Relationship Type="http://schemas.openxmlformats.org/officeDocument/2006/relationships/hyperlink" Target="https://doi.org/10.2514/6.2026-0595" TargetMode="External" Id="rId51"/><Relationship Type="http://schemas.openxmlformats.org/officeDocument/2006/relationships/hyperlink" Target="https://engineering.purdue.edu/GRG" TargetMode="External" Id="rId52"/><Relationship Type="http://schemas.openxmlformats.org/officeDocument/2006/relationships/hyperlink" Target="https://engineering.purdue.edu/AAE/people/Faculty" TargetMode="External" Id="rId53"/><Relationship Type="http://schemas.openxmlformats.org/officeDocument/2006/relationships/hyperlink" Target="https://engineering.purdue.edu/AAE/people/ptProfile?resource_id=255154" TargetMode="External" Id="rId54"/><Relationship Type="http://schemas.openxmlformats.org/officeDocument/2006/relationships/hyperlink" Target="https://scholar.google.com/citations?view_op=search_authors&amp;mauthors=Kenshiro%20Oguri%20Purdue%20University" TargetMode="External" Id="rId55"/><Relationship Type="http://schemas.openxmlformats.org/officeDocument/2006/relationships/hyperlink" Target="mailto:koguri@purdue.edu" TargetMode="External" Id="rId56"/><Relationship Type="http://schemas.openxmlformats.org/officeDocument/2006/relationships/hyperlink" Target="https://doi.org/10.48550/arxiv.2609.09515" TargetMode="External" Id="rId57"/><Relationship Type="http://schemas.openxmlformats.org/officeDocument/2006/relationships/hyperlink" Target="https://doi.org/10.2514/1.g005426" TargetMode="External" Id="rId58"/><Relationship Type="http://schemas.openxmlformats.org/officeDocument/2006/relationships/hyperlink" Target="https://doi.org/10.48550/arxiv.2609.09515" TargetMode="External" Id="rId59"/><Relationship Type="http://schemas.openxmlformats.org/officeDocument/2006/relationships/hyperlink" Target="https://insgc.spacegrant.org/" TargetMode="External" Id="rId60"/><Relationship Type="http://schemas.openxmlformats.org/officeDocument/2006/relationships/hyperlink" Target="https://engineering.purdue.edu/AAE/people/Faculty" TargetMode="External" Id="rId61"/><Relationship Type="http://schemas.openxmlformats.org/officeDocument/2006/relationships/hyperlink" Target="https://engineering.purdue.edu/ME/People/ptProfile?resource_id=113510" TargetMode="External" Id="rId62"/><Relationship Type="http://schemas.openxmlformats.org/officeDocument/2006/relationships/hyperlink" Target="https://scholar.google.com/citations?view_op=search_authors&amp;mauthors=Carlo%20Scalo%20Purdue%20University" TargetMode="External" Id="rId63"/><Relationship Type="http://schemas.openxmlformats.org/officeDocument/2006/relationships/hyperlink" Target="mailto:cscalo@purdue.edu" TargetMode="External" Id="rId64"/><Relationship Type="http://schemas.openxmlformats.org/officeDocument/2006/relationships/hyperlink" Target="https://doi.org/10.1017/jfm.2026.11334" TargetMode="External" Id="rId65"/><Relationship Type="http://schemas.openxmlformats.org/officeDocument/2006/relationships/hyperlink" Target="https://doi.org/10.1017/jfm.2025.11044" TargetMode="External" Id="rId66"/><Relationship Type="http://schemas.openxmlformats.org/officeDocument/2006/relationships/hyperlink" Target="https://doi.org/10.1017/jfm.2026.11334" TargetMode="External" Id="rId67"/><Relationship Type="http://schemas.openxmlformats.org/officeDocument/2006/relationships/hyperlink" Target="https://engineering.purdue.edu/~scalo/" TargetMode="External" Id="rId68"/><Relationship Type="http://schemas.openxmlformats.org/officeDocument/2006/relationships/hyperlink" Target="https://engineering.purdue.edu/AAE/people/Faculty" TargetMode="External" Id="rId69"/><Relationship Type="http://schemas.openxmlformats.org/officeDocument/2006/relationships/hyperlink" Target="https://engineering.purdue.edu/ME/People/ptProfile?resource_id=127038" TargetMode="External" Id="rId70"/><Relationship Type="http://schemas.openxmlformats.org/officeDocument/2006/relationships/hyperlink" Target="https://scholar.google.com/citations?view_op=search_authors&amp;mauthors=Christopher%20S.%20Goldenstein%20Purdue%20University" TargetMode="External" Id="rId71"/><Relationship Type="http://schemas.openxmlformats.org/officeDocument/2006/relationships/hyperlink" Target="mailto:csgoldenstein@purdue.edu" TargetMode="External" Id="rId72"/><Relationship Type="http://schemas.openxmlformats.org/officeDocument/2006/relationships/hyperlink" Target="https://doi.org/10.1063/5.0312755" TargetMode="External" Id="rId73"/><Relationship Type="http://schemas.openxmlformats.org/officeDocument/2006/relationships/hyperlink" Target="https://doi.org/10.2514/6.2026-0677" TargetMode="External" Id="rId74"/><Relationship Type="http://schemas.openxmlformats.org/officeDocument/2006/relationships/hyperlink" Target="https://doi.org/10.1063/5.0312755" TargetMode="External" Id="rId75"/><Relationship Type="http://schemas.openxmlformats.org/officeDocument/2006/relationships/hyperlink" Target="http://www.goldensteingroup.com" TargetMode="External" Id="rId76"/><Relationship Type="http://schemas.openxmlformats.org/officeDocument/2006/relationships/hyperlink" Target="https://engineering.purdue.edu/AAE/people/Faculty" TargetMode="External" Id="rId77"/><Relationship Type="http://schemas.openxmlformats.org/officeDocument/2006/relationships/hyperlink" Target="https://engineering.purdue.edu/AAE/people/ptProfile?resource_id=78657" TargetMode="External" Id="rId78"/><Relationship Type="http://schemas.openxmlformats.org/officeDocument/2006/relationships/hyperlink" Target="https://scholar.google.com/citations?view_op=search_authors&amp;mauthors=Haifeng%20Wang%20Purdue%20University" TargetMode="External" Id="rId79"/><Relationship Type="http://schemas.openxmlformats.org/officeDocument/2006/relationships/hyperlink" Target="mailto:haifeng@purdue.edu" TargetMode="External" Id="rId80"/><Relationship Type="http://schemas.openxmlformats.org/officeDocument/2006/relationships/hyperlink" Target="https://doi.org/10.1016/j.applthermaleng.2016.06.070" TargetMode="External" Id="rId81"/><Relationship Type="http://schemas.openxmlformats.org/officeDocument/2006/relationships/hyperlink" Target="https://doi.org/10.1016/j.proci.2026.106125" TargetMode="External" Id="rId82"/><Relationship Type="http://schemas.openxmlformats.org/officeDocument/2006/relationships/hyperlink" Target="https://doi.org/10.1016/j.applthermaleng.2016.06.070" TargetMode="External" Id="rId83"/><Relationship Type="http://schemas.openxmlformats.org/officeDocument/2006/relationships/hyperlink" Target="https://insgc.spacegrant.org/" TargetMode="External" Id="rId84"/><Relationship Type="http://schemas.openxmlformats.org/officeDocument/2006/relationships/hyperlink" Target="https://engineering.purdue.edu/AAE/people/Faculty" TargetMode="External" Id="rId85"/><Relationship Type="http://schemas.openxmlformats.org/officeDocument/2006/relationships/hyperlink" Target="https://engineering.purdue.edu/AAE/people/ptProfile?resource_id=124984" TargetMode="External" Id="rId86"/><Relationship Type="http://schemas.openxmlformats.org/officeDocument/2006/relationships/hyperlink" Target="https://scholar.google.com/citations?view_op=search_authors&amp;mauthors=Jonathan%20Poggie%20Purdue%20University" TargetMode="External" Id="rId87"/><Relationship Type="http://schemas.openxmlformats.org/officeDocument/2006/relationships/hyperlink" Target="mailto:jpoggie@purdue.edu" TargetMode="External" Id="rId88"/><Relationship Type="http://schemas.openxmlformats.org/officeDocument/2006/relationships/hyperlink" Target="https://doi.org/10.2514/6.2026-2519" TargetMode="External" Id="rId89"/><Relationship Type="http://schemas.openxmlformats.org/officeDocument/2006/relationships/hyperlink" Target="https://doi.org/10.2514/6.2026-2518" TargetMode="External" Id="rId90"/><Relationship Type="http://schemas.openxmlformats.org/officeDocument/2006/relationships/hyperlink" Target="https://doi.org/10.2514/6.2026-2519" TargetMode="External" Id="rId91"/><Relationship Type="http://schemas.openxmlformats.org/officeDocument/2006/relationships/hyperlink" Target="https://insgc.spacegrant.org/" TargetMode="External" Id="rId92"/><Relationship Type="http://schemas.openxmlformats.org/officeDocument/2006/relationships/hyperlink" Target="https://engineering.purdue.edu/AAE/people/Faculty" TargetMode="External" Id="rId93"/><Relationship Type="http://schemas.openxmlformats.org/officeDocument/2006/relationships/hyperlink" Target="https://engineering.purdue.edu/AAE/people/ptProfile?resource_id=1384" TargetMode="External" Id="rId94"/><Relationship Type="http://schemas.openxmlformats.org/officeDocument/2006/relationships/hyperlink" Target="https://scholar.google.com/citations?view_op=search_authors&amp;mauthors=Kathleen%20C.%20Howell%20Purdue%20University" TargetMode="External" Id="rId95"/><Relationship Type="http://schemas.openxmlformats.org/officeDocument/2006/relationships/hyperlink" Target="mailto:howell@purdue.edu" TargetMode="External" Id="rId96"/><Relationship Type="http://schemas.openxmlformats.org/officeDocument/2006/relationships/hyperlink" Target="https://doi.org/10.2514/1.g009176" TargetMode="External" Id="rId97"/><Relationship Type="http://schemas.openxmlformats.org/officeDocument/2006/relationships/hyperlink" Target="https://doi.org/10.1007/s40295-025-00551-1" TargetMode="External" Id="rId98"/><Relationship Type="http://schemas.openxmlformats.org/officeDocument/2006/relationships/hyperlink" Target="https://doi.org/10.2514/1.g009176" TargetMode="External" Id="rId99"/><Relationship Type="http://schemas.openxmlformats.org/officeDocument/2006/relationships/hyperlink" Target="https://insgc.spacegrant.org/" TargetMode="External" Id="rId100"/><Relationship Type="http://schemas.openxmlformats.org/officeDocument/2006/relationships/hyperlink" Target="https://engineering.purdue.edu/AAE/people/Faculty" TargetMode="External" Id="rId101"/><Relationship Type="http://schemas.openxmlformats.org/officeDocument/2006/relationships/hyperlink" Target="https://engineering.purdue.edu/AAE/people/ptProfile?resource_id=318748" TargetMode="External" Id="rId102"/><Relationship Type="http://schemas.openxmlformats.org/officeDocument/2006/relationships/hyperlink" Target="https://scholar.google.com/citations?view_op=search_authors&amp;mauthors=Kyle%20Hanquist%20Purdue%20University" TargetMode="External" Id="rId103"/><Relationship Type="http://schemas.openxmlformats.org/officeDocument/2006/relationships/hyperlink" Target="mailto:hanquist@purdue.edu" TargetMode="External" Id="rId104"/><Relationship Type="http://schemas.openxmlformats.org/officeDocument/2006/relationships/hyperlink" Target="https://doi.org/10.2514/1.t7189" TargetMode="External" Id="rId105"/><Relationship Type="http://schemas.openxmlformats.org/officeDocument/2006/relationships/hyperlink" Target="https://doi.org/10.1063/5.0012426" TargetMode="External" Id="rId106"/><Relationship Type="http://schemas.openxmlformats.org/officeDocument/2006/relationships/hyperlink" Target="https://doi.org/10.2514/1.t7189" TargetMode="External" Id="rId107"/><Relationship Type="http://schemas.openxmlformats.org/officeDocument/2006/relationships/hyperlink" Target="https://insgc.spacegrant.org/" TargetMode="External" Id="rId108"/><Relationship Type="http://schemas.openxmlformats.org/officeDocument/2006/relationships/hyperlink" Target="https://engineering.purdue.edu/AAE/people/Faculty" TargetMode="External" Id="rId109"/><Relationship Type="http://schemas.openxmlformats.org/officeDocument/2006/relationships/hyperlink" Target="https://engineering.purdue.edu/AAE/people/ptProfile?resource_id=1370" TargetMode="External" Id="rId110"/><Relationship Type="http://schemas.openxmlformats.org/officeDocument/2006/relationships/hyperlink" Target="https://scholar.google.com/citations?view_op=search_authors&amp;mauthors=Steven%20Collicott%20Purdue%20University" TargetMode="External" Id="rId111"/><Relationship Type="http://schemas.openxmlformats.org/officeDocument/2006/relationships/hyperlink" Target="mailto:collicott@purdue.edu" TargetMode="External" Id="rId112"/><Relationship Type="http://schemas.openxmlformats.org/officeDocument/2006/relationships/hyperlink" Target="https://doi.org/10.82217/spaceops2025_398" TargetMode="External" Id="rId113"/><Relationship Type="http://schemas.openxmlformats.org/officeDocument/2006/relationships/hyperlink" Target="https://doi.org/10.1016/b978-0-32-399544-3.00007-4" TargetMode="External" Id="rId114"/><Relationship Type="http://schemas.openxmlformats.org/officeDocument/2006/relationships/hyperlink" Target="https://doi.org/10.82217/spaceops2025_398" TargetMode="External" Id="rId115"/><Relationship Type="http://schemas.openxmlformats.org/officeDocument/2006/relationships/hyperlink" Target="https://insgc.spacegrant.org/" TargetMode="External" Id="rId116"/><Relationship Type="http://schemas.openxmlformats.org/officeDocument/2006/relationships/hyperlink" Target="https://engineering.purdue.edu/AAE/people/Faculty" TargetMode="External" Id="rId117"/><Relationship Type="http://schemas.openxmlformats.org/officeDocument/2006/relationships/hyperlink" Target="https://engineering.purdue.edu/AAE/people/ptProfile?resource_id=23887" TargetMode="External" Id="rId118"/><Relationship Type="http://schemas.openxmlformats.org/officeDocument/2006/relationships/hyperlink" Target="https://scholar.google.com/citations?user=vr5HyoMAAAAJ&amp;hl=en" TargetMode="External" Id="rId119"/><Relationship Type="http://schemas.openxmlformats.org/officeDocument/2006/relationships/hyperlink" Target="mailto:alexeenk@purdue.edu" TargetMode="External" Id="rId120"/><Relationship Type="http://schemas.openxmlformats.org/officeDocument/2006/relationships/hyperlink" Target="https://doi.org/10.1016/j.softx.2026.102544" TargetMode="External" Id="rId121"/><Relationship Type="http://schemas.openxmlformats.org/officeDocument/2006/relationships/hyperlink" Target="https://doi.org/10.26077/b7e2-qq36" TargetMode="External" Id="rId122"/><Relationship Type="http://schemas.openxmlformats.org/officeDocument/2006/relationships/hyperlink" Target="https://doi.org/10.1016/j.softx.2026.102544" TargetMode="External" Id="rId123"/><Relationship Type="http://schemas.openxmlformats.org/officeDocument/2006/relationships/hyperlink" Target="https://insgc.spacegrant.org/" TargetMode="External" Id="rId124"/><Relationship Type="http://schemas.openxmlformats.org/officeDocument/2006/relationships/hyperlink" Target="https://engineering.purdue.edu/AAE/people/Faculty" TargetMode="External" Id="rId125"/><Relationship Type="http://schemas.openxmlformats.org/officeDocument/2006/relationships/hyperlink" Target="https://engineering.purdue.edu/ME/People/ptProfile?resource_id=110641" TargetMode="External" Id="rId126"/><Relationship Type="http://schemas.openxmlformats.org/officeDocument/2006/relationships/hyperlink" Target="https://scholar.google.com/citations?view_op=search_authors&amp;mauthors=Arezoo%20Ardekani%20Purdue%20University" TargetMode="External" Id="rId127"/><Relationship Type="http://schemas.openxmlformats.org/officeDocument/2006/relationships/hyperlink" Target="mailto:ardekani@purdue.edu" TargetMode="External" Id="rId128"/><Relationship Type="http://schemas.openxmlformats.org/officeDocument/2006/relationships/hyperlink" Target="https://doi.org/10.48550/arxiv.2607.20841" TargetMode="External" Id="rId129"/><Relationship Type="http://schemas.openxmlformats.org/officeDocument/2006/relationships/hyperlink" Target="https://doi.org/10.64898/2026.09.09.750406" TargetMode="External" Id="rId130"/><Relationship Type="http://schemas.openxmlformats.org/officeDocument/2006/relationships/hyperlink" Target="https://doi.org/10.48550/arxiv.2607.20841" TargetMode="External" Id="rId131"/><Relationship Type="http://schemas.openxmlformats.org/officeDocument/2006/relationships/hyperlink" Target="https://engineering.purdue.edu/ComplexFlowLab" TargetMode="External" Id="rId132"/><Relationship Type="http://schemas.openxmlformats.org/officeDocument/2006/relationships/hyperlink" Target="https://engineering.purdue.edu/ME/People/ptFaculty" TargetMode="External" Id="rId133"/><Relationship Type="http://schemas.openxmlformats.org/officeDocument/2006/relationships/hyperlink" Target="https://engineering.purdue.edu/ME/People/ptProfile?resource_id=281457" TargetMode="External" Id="rId134"/><Relationship Type="http://schemas.openxmlformats.org/officeDocument/2006/relationships/hyperlink" Target="https://scholar.google.com/citations?view_op=search_authors&amp;mauthors=Daniel%20Guildenbecher%20Purdue%20University" TargetMode="External" Id="rId135"/><Relationship Type="http://schemas.openxmlformats.org/officeDocument/2006/relationships/hyperlink" Target="mailto:dguilden@purdue.edu" TargetMode="External" Id="rId136"/><Relationship Type="http://schemas.openxmlformats.org/officeDocument/2006/relationships/hyperlink" Target="https://doi.org/10.1016/j.combustflame.2026.115159" TargetMode="External" Id="rId137"/><Relationship Type="http://schemas.openxmlformats.org/officeDocument/2006/relationships/hyperlink" Target="https://doi.org/10.1364/oe.588303" TargetMode="External" Id="rId138"/><Relationship Type="http://schemas.openxmlformats.org/officeDocument/2006/relationships/hyperlink" Target="https://doi.org/10.1016/j.combustflame.2026.115159" TargetMode="External" Id="rId139"/><Relationship Type="http://schemas.openxmlformats.org/officeDocument/2006/relationships/hyperlink" Target="https://engineering.purdue.edu/GuildenbecherLab" TargetMode="External" Id="rId140"/><Relationship Type="http://schemas.openxmlformats.org/officeDocument/2006/relationships/hyperlink" Target="https://engineering.purdue.edu/ME/People/ptFaculty" TargetMode="External" Id="rId141"/><Relationship Type="http://schemas.openxmlformats.org/officeDocument/2006/relationships/hyperlink" Target="https://engineering.purdue.edu/AAE/people/ptProfile?resource_id=339087" TargetMode="External" Id="rId142"/><Relationship Type="http://schemas.openxmlformats.org/officeDocument/2006/relationships/hyperlink" Target="https://scholar.google.com/citations?view_op=search_authors&amp;mauthors=John%20Mullin%20Purdue%20University" TargetMode="External" Id="rId143"/><Relationship Type="http://schemas.openxmlformats.org/officeDocument/2006/relationships/hyperlink" Target="mailto:webmaster-eng@purdue.edu" TargetMode="External" Id="rId144"/><Relationship Type="http://schemas.openxmlformats.org/officeDocument/2006/relationships/hyperlink" Target="https://insgc.spacegrant.org/" TargetMode="External" Id="rId145"/><Relationship Type="http://schemas.openxmlformats.org/officeDocument/2006/relationships/hyperlink" Target="https://engineering.purdue.edu/AAE/people/Faculty" TargetMode="External" Id="rId146"/><Relationship Type="http://schemas.openxmlformats.org/officeDocument/2006/relationships/hyperlink" Target="https://engineering.purdue.edu/ME/People/ptProfile?resource_id=173054" TargetMode="External" Id="rId147"/><Relationship Type="http://schemas.openxmlformats.org/officeDocument/2006/relationships/hyperlink" Target="https://scholar.google.com/citations?view_op=search_authors&amp;mauthors=Luciano%20Castillo%20Purdue%20University" TargetMode="External" Id="rId148"/><Relationship Type="http://schemas.openxmlformats.org/officeDocument/2006/relationships/hyperlink" Target="mailto:lcastillo@purdue.edu" TargetMode="External" Id="rId149"/><Relationship Type="http://schemas.openxmlformats.org/officeDocument/2006/relationships/hyperlink" Target="https://doi.org/10.1016/j.desal.2025.118526" TargetMode="External" Id="rId150"/><Relationship Type="http://schemas.openxmlformats.org/officeDocument/2006/relationships/hyperlink" Target="https://doi.org/10.1007/978-3-032-07974-9_3" TargetMode="External" Id="rId151"/><Relationship Type="http://schemas.openxmlformats.org/officeDocument/2006/relationships/hyperlink" Target="https://doi.org/10.1016/j.desal.2025.118526" TargetMode="External" Id="rId152"/><Relationship Type="http://schemas.openxmlformats.org/officeDocument/2006/relationships/hyperlink" Target="https://blueintegratedpartners.org/" TargetMode="External" Id="rId153"/><Relationship Type="http://schemas.openxmlformats.org/officeDocument/2006/relationships/hyperlink" Target="https://engineering.purdue.edu/ME/People/ptFaculty" TargetMode="External" Id="rId154"/><Relationship Type="http://schemas.openxmlformats.org/officeDocument/2006/relationships/hyperlink" Target="https://engineering.purdue.edu/AAE/people/ptProfile?resource_id=28413" TargetMode="External" Id="rId155"/><Relationship Type="http://schemas.openxmlformats.org/officeDocument/2006/relationships/hyperlink" Target="https://scholar.google.com/citations?view_op=search_authors&amp;mauthors=Robert%20Lucht%20Purdue%20University" TargetMode="External" Id="rId156"/><Relationship Type="http://schemas.openxmlformats.org/officeDocument/2006/relationships/hyperlink" Target="mailto:lucht@purdue.edu" TargetMode="External" Id="rId157"/><Relationship Type="http://schemas.openxmlformats.org/officeDocument/2006/relationships/hyperlink" Target="https://doi.org/10.1364/ao.583207" TargetMode="External" Id="rId158"/><Relationship Type="http://schemas.openxmlformats.org/officeDocument/2006/relationships/hyperlink" Target="https://doi.org/10.1002/jrs.70176" TargetMode="External" Id="rId159"/><Relationship Type="http://schemas.openxmlformats.org/officeDocument/2006/relationships/hyperlink" Target="https://doi.org/10.1364/ao.583207" TargetMode="External" Id="rId160"/><Relationship Type="http://schemas.openxmlformats.org/officeDocument/2006/relationships/hyperlink" Target="https://insgc.spacegrant.org/" TargetMode="External" Id="rId161"/><Relationship Type="http://schemas.openxmlformats.org/officeDocument/2006/relationships/hyperlink" Target="https://engineering.purdue.edu/AAE/people/Faculty" TargetMode="External" Id="rId162"/><Relationship Type="http://schemas.openxmlformats.org/officeDocument/2006/relationships/hyperlink" Target="https://engineering.purdue.edu/ME/People/ptProfile?resource_id=105717" TargetMode="External" Id="rId163"/><Relationship Type="http://schemas.openxmlformats.org/officeDocument/2006/relationships/hyperlink" Target="https://scholar.google.com/citations?view_op=search_authors&amp;mauthors=Sadegh%20Dabiri%20Purdue%20University" TargetMode="External" Id="rId164"/><Relationship Type="http://schemas.openxmlformats.org/officeDocument/2006/relationships/hyperlink" Target="mailto:dabiri@purdue.edu" TargetMode="External" Id="rId165"/><Relationship Type="http://schemas.openxmlformats.org/officeDocument/2006/relationships/hyperlink" Target="https://doi.org/10.1186/s12987-025-00668-3" TargetMode="External" Id="rId166"/><Relationship Type="http://schemas.openxmlformats.org/officeDocument/2006/relationships/hyperlink" Target="https://doi.org/10.1016/j.ijmultiphaseflow.2020.103433" TargetMode="External" Id="rId167"/><Relationship Type="http://schemas.openxmlformats.org/officeDocument/2006/relationships/hyperlink" Target="https://doi.org/10.1186/s12987-025-00668-3" TargetMode="External" Id="rId168"/><Relationship Type="http://schemas.openxmlformats.org/officeDocument/2006/relationships/hyperlink" Target="http://web.ics.purdue.edu/~sdabiris/" TargetMode="External" Id="rId169"/><Relationship Type="http://schemas.openxmlformats.org/officeDocument/2006/relationships/hyperlink" Target="https://engineering.purdue.edu/ME/People/ptFaculty" TargetMode="External" Id="rId170"/><Relationship Type="http://schemas.openxmlformats.org/officeDocument/2006/relationships/hyperlink" Target="https://engineering.purdue.edu/AAE/people/ptProfile?resource_id=56893" TargetMode="External" Id="rId171"/><Relationship Type="http://schemas.openxmlformats.org/officeDocument/2006/relationships/hyperlink" Target="https://scholar.google.com/citations?view_op=search_authors&amp;mauthors=Tom%20Shih%20Purdue%20University" TargetMode="External" Id="rId172"/><Relationship Type="http://schemas.openxmlformats.org/officeDocument/2006/relationships/hyperlink" Target="mailto:tomshih@purdue.edu" TargetMode="External" Id="rId173"/><Relationship Type="http://schemas.openxmlformats.org/officeDocument/2006/relationships/hyperlink" Target="https://doi.org/10.3390/app152211922" TargetMode="External" Id="rId174"/><Relationship Type="http://schemas.openxmlformats.org/officeDocument/2006/relationships/hyperlink" Target="https://doi.org/10.1115/1.4067931" TargetMode="External" Id="rId175"/><Relationship Type="http://schemas.openxmlformats.org/officeDocument/2006/relationships/hyperlink" Target="https://doi.org/10.3390/app152211922" TargetMode="External" Id="rId176"/><Relationship Type="http://schemas.openxmlformats.org/officeDocument/2006/relationships/hyperlink" Target="https://insgc.spacegrant.org/" TargetMode="External" Id="rId177"/><Relationship Type="http://schemas.openxmlformats.org/officeDocument/2006/relationships/hyperlink" Target="https://engineering.purdue.edu/AAE/people/Faculty" TargetMode="External" Id="rId178"/><Relationship Type="http://schemas.openxmlformats.org/officeDocument/2006/relationships/hyperlink" Target="https://engineering.purdue.edu/AAE/people/ptProfile?resource_id=319705" TargetMode="External" Id="rId179"/><Relationship Type="http://schemas.openxmlformats.org/officeDocument/2006/relationships/hyperlink" Target="https://scholar.google.com/citations?view_op=search_authors&amp;mauthors=Kyle%20J.%20DeMars%20Purdue%20University" TargetMode="External" Id="rId180"/><Relationship Type="http://schemas.openxmlformats.org/officeDocument/2006/relationships/hyperlink" Target="mailto:kdemars@purdue.edu" TargetMode="External" Id="rId181"/><Relationship Type="http://schemas.openxmlformats.org/officeDocument/2006/relationships/hyperlink" Target="https://doi.org/10.48550/arxiv.2603.20110" TargetMode="External" Id="rId182"/><Relationship Type="http://schemas.openxmlformats.org/officeDocument/2006/relationships/hyperlink" Target="https://doi.org/10.1016/j.asr.2025.11.124" TargetMode="External" Id="rId183"/><Relationship Type="http://schemas.openxmlformats.org/officeDocument/2006/relationships/hyperlink" Target="https://doi.org/10.48550/arxiv.2603.20110" TargetMode="External" Id="rId184"/><Relationship Type="http://schemas.openxmlformats.org/officeDocument/2006/relationships/hyperlink" Target="https://insgc.spacegrant.org/" TargetMode="External" Id="rId185"/><Relationship Type="http://schemas.openxmlformats.org/officeDocument/2006/relationships/hyperlink" Target="https://engineering.purdue.edu/AAE/people/Faculty" TargetMode="External" Id="rId186"/><Relationship Type="http://schemas.openxmlformats.org/officeDocument/2006/relationships/hyperlink" Target="https://engineering.purdue.edu/AAE/people/ptProfile?resource_id=39640" TargetMode="External" Id="rId187"/><Relationship Type="http://schemas.openxmlformats.org/officeDocument/2006/relationships/hyperlink" Target="https://scholar.google.com/citations?user=yFXFQPYAAAAJ&amp;hl=en" TargetMode="External" Id="rId188"/><Relationship Type="http://schemas.openxmlformats.org/officeDocument/2006/relationships/hyperlink" Target="mailto:lqiao@purdue.edu" TargetMode="External" Id="rId189"/><Relationship Type="http://schemas.openxmlformats.org/officeDocument/2006/relationships/hyperlink" Target="https://doi.org/10.1016/j.applthermaleng.2016.06.070" TargetMode="External" Id="rId190"/><Relationship Type="http://schemas.openxmlformats.org/officeDocument/2006/relationships/hyperlink" Target="https://doi.org/10.1016/j.combustflame.2009.11.011" TargetMode="External" Id="rId191"/><Relationship Type="http://schemas.openxmlformats.org/officeDocument/2006/relationships/hyperlink" Target="https://doi.org/10.1016/j.applthermaleng.2016.06.070" TargetMode="External" Id="rId192"/><Relationship Type="http://schemas.openxmlformats.org/officeDocument/2006/relationships/hyperlink" Target="https://insgc.spacegrant.org/" TargetMode="External" Id="rId193"/><Relationship Type="http://schemas.openxmlformats.org/officeDocument/2006/relationships/hyperlink" Target="https://engineering.purdue.edu/AAE/people/Faculty" TargetMode="External" Id="rId194"/><Relationship Type="http://schemas.openxmlformats.org/officeDocument/2006/relationships/hyperlink" Target="https://engineering.purdue.edu/ME/People/ptProfile?resource_id=159298" TargetMode="External" Id="rId195"/><Relationship Type="http://schemas.openxmlformats.org/officeDocument/2006/relationships/hyperlink" Target="https://scholar.google.com/citations?view_op=search_authors&amp;mauthors=Aaron%20Morris%20Purdue%20University" TargetMode="External" Id="rId196"/><Relationship Type="http://schemas.openxmlformats.org/officeDocument/2006/relationships/hyperlink" Target="mailto:abmorris@purdue.edu" TargetMode="External" Id="rId197"/><Relationship Type="http://schemas.openxmlformats.org/officeDocument/2006/relationships/hyperlink" Target="https://doi.org/10.1002/aic.70212" TargetMode="External" Id="rId198"/><Relationship Type="http://schemas.openxmlformats.org/officeDocument/2006/relationships/hyperlink" Target="https://doi.org/10.1016/j.applthermaleng.2025.126427" TargetMode="External" Id="rId199"/><Relationship Type="http://schemas.openxmlformats.org/officeDocument/2006/relationships/hyperlink" Target="https://doi.org/10.1002/aic.70212" TargetMode="External" Id="rId200"/><Relationship Type="http://schemas.openxmlformats.org/officeDocument/2006/relationships/hyperlink" Target="https://engineering.purdue.edu/CP3/" TargetMode="External" Id="rId201"/><Relationship Type="http://schemas.openxmlformats.org/officeDocument/2006/relationships/hyperlink" Target="https://engineering.purdue.edu/ME/People/ptFaculty" TargetMode="External" Id="rId202"/><Relationship Type="http://schemas.openxmlformats.org/officeDocument/2006/relationships/hyperlink" Target="https://engineering.purdue.edu/AAE/people/ptProfile?resource_id=124987" TargetMode="External" Id="rId203"/><Relationship Type="http://schemas.openxmlformats.org/officeDocument/2006/relationships/hyperlink" Target="https://scholar.google.com/citations?view_op=search_authors&amp;mauthors=Alexey%20Shashurin%20Purdue%20University" TargetMode="External" Id="rId204"/><Relationship Type="http://schemas.openxmlformats.org/officeDocument/2006/relationships/hyperlink" Target="mailto:ashashur@purdue.edu" TargetMode="External" Id="rId205"/><Relationship Type="http://schemas.openxmlformats.org/officeDocument/2006/relationships/hyperlink" Target="https://doi.org/10.1063/5.0334090" TargetMode="External" Id="rId206"/><Relationship Type="http://schemas.openxmlformats.org/officeDocument/2006/relationships/hyperlink" Target="https://doi.org/10.1063/5.0294710" TargetMode="External" Id="rId207"/><Relationship Type="http://schemas.openxmlformats.org/officeDocument/2006/relationships/hyperlink" Target="https://doi.org/10.1063/5.0334090" TargetMode="External" Id="rId208"/><Relationship Type="http://schemas.openxmlformats.org/officeDocument/2006/relationships/hyperlink" Target="https://insgc.spacegrant.org/" TargetMode="External" Id="rId209"/><Relationship Type="http://schemas.openxmlformats.org/officeDocument/2006/relationships/hyperlink" Target="https://engineering.purdue.edu/AAE/people/Faculty" TargetMode="External" Id="rId210"/><Relationship Type="http://schemas.openxmlformats.org/officeDocument/2006/relationships/hyperlink" Target="https://engineering.purdue.edu/ME/People/ptProfile?resource_id=297468" TargetMode="External" Id="rId211"/><Relationship Type="http://schemas.openxmlformats.org/officeDocument/2006/relationships/hyperlink" Target="https://scholar.google.com/citations?view_op=search_authors&amp;mauthors=Carlos%20Larriba-Andaluz%20Purdue%20University" TargetMode="External" Id="rId212"/><Relationship Type="http://schemas.openxmlformats.org/officeDocument/2006/relationships/hyperlink" Target="mailto:clarriba@purdue.edu" TargetMode="External" Id="rId213"/><Relationship Type="http://schemas.openxmlformats.org/officeDocument/2006/relationships/hyperlink" Target="https://doi.org/10.1021/jasms.5c00347" TargetMode="External" Id="rId214"/><Relationship Type="http://schemas.openxmlformats.org/officeDocument/2006/relationships/hyperlink" Target="https://doi.org/10.1063/5.0337543" TargetMode="External" Id="rId215"/><Relationship Type="http://schemas.openxmlformats.org/officeDocument/2006/relationships/hyperlink" Target="https://doi.org/10.1021/jasms.5c00347" TargetMode="External" Id="rId216"/><Relationship Type="http://schemas.openxmlformats.org/officeDocument/2006/relationships/hyperlink" Target="http://www.imospedia.com" TargetMode="External" Id="rId217"/><Relationship Type="http://schemas.openxmlformats.org/officeDocument/2006/relationships/hyperlink" Target="https://engineering.purdue.edu/ME/People/ptFaculty" TargetMode="External" Id="rId218"/><Relationship Type="http://schemas.openxmlformats.org/officeDocument/2006/relationships/hyperlink" Target="https://engineering.purdue.edu/AAE/people/ptProfile?resource_id=111420" TargetMode="External" Id="rId219"/><Relationship Type="http://schemas.openxmlformats.org/officeDocument/2006/relationships/hyperlink" Target="https://scholar.google.com/citations?view_op=search_authors&amp;mauthors=Carolin%20E%20Frueh%20Purdue%20University" TargetMode="External" Id="rId220"/><Relationship Type="http://schemas.openxmlformats.org/officeDocument/2006/relationships/hyperlink" Target="mailto:cfrueh@purdue.edu" TargetMode="External" Id="rId221"/><Relationship Type="http://schemas.openxmlformats.org/officeDocument/2006/relationships/hyperlink" Target="https://doi.org/10.1029/2025ea004733" TargetMode="External" Id="rId222"/><Relationship Type="http://schemas.openxmlformats.org/officeDocument/2006/relationships/hyperlink" Target="https://doi.org/10.1007/s40295-025-00522-6" TargetMode="External" Id="rId223"/><Relationship Type="http://schemas.openxmlformats.org/officeDocument/2006/relationships/hyperlink" Target="https://doi.org/10.1029/2025ea004733" TargetMode="External" Id="rId224"/><Relationship Type="http://schemas.openxmlformats.org/officeDocument/2006/relationships/hyperlink" Target="https://insgc.spacegrant.org/" TargetMode="External" Id="rId225"/><Relationship Type="http://schemas.openxmlformats.org/officeDocument/2006/relationships/hyperlink" Target="https://engineering.purdue.edu/AAE/people/Faculty" TargetMode="External" Id="rId226"/><Relationship Type="http://schemas.openxmlformats.org/officeDocument/2006/relationships/hyperlink" Target="https://engineering.purdue.edu/ME/People/ptProfile?resource_id=117602" TargetMode="External" Id="rId227"/><Relationship Type="http://schemas.openxmlformats.org/officeDocument/2006/relationships/hyperlink" Target="https://scholar.google.com/citations?view_op=search_authors&amp;mauthors=Guang%20Lin%20Purdue%20University" TargetMode="External" Id="rId228"/><Relationship Type="http://schemas.openxmlformats.org/officeDocument/2006/relationships/hyperlink" Target="mailto:guanglin@purdue.edu" TargetMode="External" Id="rId229"/><Relationship Type="http://schemas.openxmlformats.org/officeDocument/2006/relationships/hyperlink" Target="https://doi.org/10.1088/2632-2153/ae7495" TargetMode="External" Id="rId230"/><Relationship Type="http://schemas.openxmlformats.org/officeDocument/2006/relationships/hyperlink" Target="https://doi.org/10.1016/j.camwa.2026.07.034" TargetMode="External" Id="rId231"/><Relationship Type="http://schemas.openxmlformats.org/officeDocument/2006/relationships/hyperlink" Target="https://doi.org/10.1088/2632-2153/ae7495" TargetMode="External" Id="rId232"/><Relationship Type="http://schemas.openxmlformats.org/officeDocument/2006/relationships/hyperlink" Target="http://www.math.purdue.edu/~lin491/" TargetMode="External" Id="rId233"/><Relationship Type="http://schemas.openxmlformats.org/officeDocument/2006/relationships/hyperlink" Target="https://engineering.purdue.edu/ME/People/ptFaculty" TargetMode="External" Id="rId234"/><Relationship Type="http://schemas.openxmlformats.org/officeDocument/2006/relationships/hyperlink" Target="https://engineering.purdue.edu/ME/People/ptProfile?resource_id=157698" TargetMode="External" Id="rId235"/><Relationship Type="http://schemas.openxmlformats.org/officeDocument/2006/relationships/hyperlink" Target="https://scholar.google.com/citations?view_op=search_authors&amp;mauthors=Hector%20Gomez%20Purdue%20University" TargetMode="External" Id="rId236"/><Relationship Type="http://schemas.openxmlformats.org/officeDocument/2006/relationships/hyperlink" Target="mailto:hectorgomez@purdue.edu" TargetMode="External" Id="rId237"/><Relationship Type="http://schemas.openxmlformats.org/officeDocument/2006/relationships/hyperlink" Target="https://engineering.purdue.edu/gomez/" TargetMode="External" Id="rId238"/><Relationship Type="http://schemas.openxmlformats.org/officeDocument/2006/relationships/hyperlink" Target="https://engineering.purdue.edu/ME/People/ptFaculty" TargetMode="External" Id="rId239"/><Relationship Type="http://schemas.openxmlformats.org/officeDocument/2006/relationships/hyperlink" Target="https://engineering.purdue.edu/AAE/people/ptProfile?resource_id=1319" TargetMode="External" Id="rId240"/><Relationship Type="http://schemas.openxmlformats.org/officeDocument/2006/relationships/hyperlink" Target="https://scholar.google.com/citations?view_op=search_authors&amp;mauthors=James%20M.%20Longuski%20Purdue%20University" TargetMode="External" Id="rId241"/><Relationship Type="http://schemas.openxmlformats.org/officeDocument/2006/relationships/hyperlink" Target="mailto:webmaster-eng@purdue.edu" TargetMode="External" Id="rId242"/><Relationship Type="http://schemas.openxmlformats.org/officeDocument/2006/relationships/hyperlink" Target="https://insgc.spacegrant.org/" TargetMode="External" Id="rId243"/><Relationship Type="http://schemas.openxmlformats.org/officeDocument/2006/relationships/hyperlink" Target="https://engineering.purdue.edu/AAE/people/Faculty" TargetMode="External" Id="rId244"/><Relationship Type="http://schemas.openxmlformats.org/officeDocument/2006/relationships/hyperlink" Target="https://engineering.purdue.edu/AAE/people/ptProfile?resource_id=284676" TargetMode="External" Id="rId245"/><Relationship Type="http://schemas.openxmlformats.org/officeDocument/2006/relationships/hyperlink" Target="https://scholar.google.com/citations?hl=en&amp;user=r7gLAy4AAAAJ&amp;view_op=list_works&amp;sortby=pubdate" TargetMode="External" Id="rId246"/><Relationship Type="http://schemas.openxmlformats.org/officeDocument/2006/relationships/hyperlink" Target="mailto:kmaeda@purdue.edu" TargetMode="External" Id="rId247"/><Relationship Type="http://schemas.openxmlformats.org/officeDocument/2006/relationships/hyperlink" Target="https://doi.org/10.2514/6.2026-1003" TargetMode="External" Id="rId248"/><Relationship Type="http://schemas.openxmlformats.org/officeDocument/2006/relationships/hyperlink" Target="https://doi.org/10.1103/y7lz-563m" TargetMode="External" Id="rId249"/><Relationship Type="http://schemas.openxmlformats.org/officeDocument/2006/relationships/hyperlink" Target="https://doi.org/10.2514/6.2026-1003" TargetMode="External" Id="rId250"/><Relationship Type="http://schemas.openxmlformats.org/officeDocument/2006/relationships/hyperlink" Target="https://insgc.spacegrant.org/" TargetMode="External" Id="rId251"/><Relationship Type="http://schemas.openxmlformats.org/officeDocument/2006/relationships/hyperlink" Target="https://engineering.purdue.edu/AAE/people/Faculty" TargetMode="External" Id="rId252"/><Relationship Type="http://schemas.openxmlformats.org/officeDocument/2006/relationships/hyperlink" Target="https://engineering.purdue.edu/ME/People/ptProfile?resource_id=297474" TargetMode="External" Id="rId253"/><Relationship Type="http://schemas.openxmlformats.org/officeDocument/2006/relationships/hyperlink" Target="https://scholar.google.com/citations?view_op=search_authors&amp;mauthors=Razi%20Nalim%20Purdue%20University" TargetMode="External" Id="rId254"/><Relationship Type="http://schemas.openxmlformats.org/officeDocument/2006/relationships/hyperlink" Target="mailto:mnalim@purdue.edu" TargetMode="External" Id="rId255"/><Relationship Type="http://schemas.openxmlformats.org/officeDocument/2006/relationships/hyperlink" Target="https://insgc.spacegrant.org/" TargetMode="External" Id="rId256"/><Relationship Type="http://schemas.openxmlformats.org/officeDocument/2006/relationships/hyperlink" Target="https://engineering.purdue.edu/ME/People/ptFaculty" TargetMode="External" Id="rId257"/><Relationship Type="http://schemas.openxmlformats.org/officeDocument/2006/relationships/hyperlink" Target="https://engineering.purdue.edu/ME/People/ptProfile?resource_id=328301" TargetMode="External" Id="rId258"/><Relationship Type="http://schemas.openxmlformats.org/officeDocument/2006/relationships/hyperlink" Target="https://scholar.google.com/citations?view_op=search_authors&amp;mauthors=Romit%20Maulik%20Purdue%20University" TargetMode="External" Id="rId259"/><Relationship Type="http://schemas.openxmlformats.org/officeDocument/2006/relationships/hyperlink" Target="mailto:rmaulik@purdue.edu" TargetMode="External" Id="rId260"/><Relationship Type="http://schemas.openxmlformats.org/officeDocument/2006/relationships/hyperlink" Target="https://doi.org/10.1016/j.compfluid.2026.107200" TargetMode="External" Id="rId261"/><Relationship Type="http://schemas.openxmlformats.org/officeDocument/2006/relationships/hyperlink" Target="https://doi.org/10.1063/5.0039986" TargetMode="External" Id="rId262"/><Relationship Type="http://schemas.openxmlformats.org/officeDocument/2006/relationships/hyperlink" Target="https://doi.org/10.1016/j.compfluid.2026.107200" TargetMode="External" Id="rId263"/><Relationship Type="http://schemas.openxmlformats.org/officeDocument/2006/relationships/hyperlink" Target="https://romit-maulik.github.io/" TargetMode="External" Id="rId264"/><Relationship Type="http://schemas.openxmlformats.org/officeDocument/2006/relationships/hyperlink" Target="https://github.com/Romit-Maulik" TargetMode="External" Id="rId265"/><Relationship Type="http://schemas.openxmlformats.org/officeDocument/2006/relationships/hyperlink" Target="https://engineering.purdue.edu/ME/People/ptFaculty" TargetMode="External" Id="rId266"/><Relationship Type="http://schemas.openxmlformats.org/officeDocument/2006/relationships/hyperlink" Target="https://engineering.purdue.edu/AAE/people/ptProfile?resource_id=1326" TargetMode="External" Id="rId267"/><Relationship Type="http://schemas.openxmlformats.org/officeDocument/2006/relationships/hyperlink" Target="https://scholar.google.com/citations?view_op=search_authors&amp;mauthors=Stephen%20D.%20Heister%20Purdue%20University" TargetMode="External" Id="rId268"/><Relationship Type="http://schemas.openxmlformats.org/officeDocument/2006/relationships/hyperlink" Target="mailto:webmaster-eng@purdue.edu" TargetMode="External" Id="rId269"/><Relationship Type="http://schemas.openxmlformats.org/officeDocument/2006/relationships/hyperlink" Target="https://insgc.spacegrant.org/" TargetMode="External" Id="rId270"/><Relationship Type="http://schemas.openxmlformats.org/officeDocument/2006/relationships/hyperlink" Target="https://engineering.purdue.edu/AAE/people/Faculty" TargetMode="External" Id="rId271"/><Relationship Type="http://schemas.openxmlformats.org/officeDocument/2006/relationships/hyperlink" Target="https://engineering.purdue.edu/ME/People/ptProfile?resource_id=29385" TargetMode="External" Id="rId272"/><Relationship Type="http://schemas.openxmlformats.org/officeDocument/2006/relationships/hyperlink" Target="https://scholar.google.com/citations?view_op=search_authors&amp;mauthors=Steven%20F.%20Son%20Purdue%20University" TargetMode="External" Id="rId273"/><Relationship Type="http://schemas.openxmlformats.org/officeDocument/2006/relationships/hyperlink" Target="mailto:sson@purdue.edu" TargetMode="External" Id="rId274"/><Relationship Type="http://schemas.openxmlformats.org/officeDocument/2006/relationships/hyperlink" Target="https://doi.org/10.1063/5.0312755" TargetMode="External" Id="rId275"/><Relationship Type="http://schemas.openxmlformats.org/officeDocument/2006/relationships/hyperlink" Target="https://doi.org/10.1016/j.proci.2020.06.163" TargetMode="External" Id="rId276"/><Relationship Type="http://schemas.openxmlformats.org/officeDocument/2006/relationships/hyperlink" Target="https://doi.org/10.1063/5.0312755" TargetMode="External" Id="rId277"/><Relationship Type="http://schemas.openxmlformats.org/officeDocument/2006/relationships/hyperlink" Target="https://web.ics.purdue.edu/~sson/Son_Webpage/SonWeb_index.html" TargetMode="External" Id="rId278"/><Relationship Type="http://schemas.openxmlformats.org/officeDocument/2006/relationships/hyperlink" Target="https://engineering.purdue.edu/AAE/people/Faculty" TargetMode="External" Id="rId279"/><Relationship Type="http://schemas.openxmlformats.org/officeDocument/2006/relationships/hyperlink" Target="https://engineering.purdue.edu/AAE/people/ptProfile?resource_id=23845" TargetMode="External" Id="rId280"/><Relationship Type="http://schemas.openxmlformats.org/officeDocument/2006/relationships/hyperlink" Target="https://scholar.google.com/citations?view_op=search_authors&amp;mauthors=Timoth%C3%A9e%20Pourpoint%20Purdue%20University" TargetMode="External" Id="rId281"/><Relationship Type="http://schemas.openxmlformats.org/officeDocument/2006/relationships/hyperlink" Target="mailto:timothee@purdue.edu" TargetMode="External" Id="rId282"/><Relationship Type="http://schemas.openxmlformats.org/officeDocument/2006/relationships/hyperlink" Target="https://doi.org/10.1021/acs.energyfuels.6c00475" TargetMode="External" Id="rId283"/><Relationship Type="http://schemas.openxmlformats.org/officeDocument/2006/relationships/hyperlink" Target="https://doi.org/10.2514/6.2026-1601" TargetMode="External" Id="rId284"/><Relationship Type="http://schemas.openxmlformats.org/officeDocument/2006/relationships/hyperlink" Target="https://doi.org/10.1021/acs.energyfuels.6c00475" TargetMode="External" Id="rId285"/><Relationship Type="http://schemas.openxmlformats.org/officeDocument/2006/relationships/hyperlink" Target="https://insgc.spacegrant.org/" TargetMode="External" Id="rId286"/><Relationship Type="http://schemas.openxmlformats.org/officeDocument/2006/relationships/hyperlink" Target="https://engineering.purdue.edu/AAE/people/Faculty" TargetMode="External" Id="rId287"/><Relationship Type="http://schemas.openxmlformats.org/officeDocument/2006/relationships/hyperlink" Target="https://engineering.purdue.edu/ME/People/ptProfile?resource_id=113506" TargetMode="External" Id="rId288"/><Relationship Type="http://schemas.openxmlformats.org/officeDocument/2006/relationships/hyperlink" Target="https://scholar.google.com/citations?user=KO7HNBsAAAAJ" TargetMode="External" Id="rId289"/><Relationship Type="http://schemas.openxmlformats.org/officeDocument/2006/relationships/hyperlink" Target="mailto:gpaniagua@purdue.edu" TargetMode="External" Id="rId290"/><Relationship Type="http://schemas.openxmlformats.org/officeDocument/2006/relationships/hyperlink" Target="https://doi.org/10.3390/ijtpp11030035" TargetMode="External" Id="rId291"/><Relationship Type="http://schemas.openxmlformats.org/officeDocument/2006/relationships/hyperlink" Target="https://doi.org/10.1115/1.4072530" TargetMode="External" Id="rId292"/><Relationship Type="http://schemas.openxmlformats.org/officeDocument/2006/relationships/hyperlink" Target="https://doi.org/10.3390/ijtpp11030035" TargetMode="External" Id="rId293"/><Relationship Type="http://schemas.openxmlformats.org/officeDocument/2006/relationships/hyperlink" Target="https://engineering.purdue.edu/PETAL" TargetMode="External" Id="rId294"/><Relationship Type="http://schemas.openxmlformats.org/officeDocument/2006/relationships/hyperlink" Target="https://engineering.purdue.edu/AAE/people/Faculty" TargetMode="External" Id="rId295"/><Relationship Type="http://schemas.openxmlformats.org/officeDocument/2006/relationships/hyperlink" Target="https://engineering.purdue.edu/ME/People/ptProfile?resource_id=134738" TargetMode="External" Id="rId296"/><Relationship Type="http://schemas.openxmlformats.org/officeDocument/2006/relationships/hyperlink" Target="https://scholar.google.com/citations?view_op=search_authors&amp;mauthors=Ivan%20C.%20Christov%20Purdue%20University" TargetMode="External" Id="rId297"/><Relationship Type="http://schemas.openxmlformats.org/officeDocument/2006/relationships/hyperlink" Target="mailto:christov@purdue.edu" TargetMode="External" Id="rId298"/><Relationship Type="http://schemas.openxmlformats.org/officeDocument/2006/relationships/hyperlink" Target="https://doi.org/10.1103/zk9v-13sn" TargetMode="External" Id="rId299"/><Relationship Type="http://schemas.openxmlformats.org/officeDocument/2006/relationships/hyperlink" Target="https://doi.org/10.48550/arxiv.2607.15239" TargetMode="External" Id="rId300"/><Relationship Type="http://schemas.openxmlformats.org/officeDocument/2006/relationships/hyperlink" Target="https://doi.org/10.1103/zk9v-13sn" TargetMode="External" Id="rId301"/><Relationship Type="http://schemas.openxmlformats.org/officeDocument/2006/relationships/hyperlink" Target="http://tmnt-lab.org" TargetMode="External" Id="rId302"/><Relationship Type="http://schemas.openxmlformats.org/officeDocument/2006/relationships/hyperlink" Target="https://engineering.purdue.edu/ME/People/ptFaculty" TargetMode="External" Id="rId303"/><Relationship Type="http://schemas.openxmlformats.org/officeDocument/2006/relationships/hyperlink" Target="https://engineering.purdue.edu/AAE/people/ptProfile?resource_id=1422" TargetMode="External" Id="rId304"/><Relationship Type="http://schemas.openxmlformats.org/officeDocument/2006/relationships/hyperlink" Target="https://scholar.google.com/citations?view_op=search_authors&amp;mauthors=James%20L.%20Garrison%20Purdue%20University" TargetMode="External" Id="rId305"/><Relationship Type="http://schemas.openxmlformats.org/officeDocument/2006/relationships/hyperlink" Target="mailto:jgarriso@purdue.edu" TargetMode="External" Id="rId306"/><Relationship Type="http://schemas.openxmlformats.org/officeDocument/2006/relationships/hyperlink" Target="https://insgc.spacegrant.org/" TargetMode="External" Id="rId307"/><Relationship Type="http://schemas.openxmlformats.org/officeDocument/2006/relationships/hyperlink" Target="https://engineering.purdue.edu/AAE/people/Faculty" TargetMode="External" Id="rId308"/><Relationship Type="http://schemas.openxmlformats.org/officeDocument/2006/relationships/hyperlink" Target="https://engineering.purdue.edu/ME/People/ptProfile?resource_id=44345" TargetMode="External" Id="rId309"/><Relationship Type="http://schemas.openxmlformats.org/officeDocument/2006/relationships/hyperlink" Target="https://scholar.google.com/citations?view_op=search_authors&amp;mauthors=Jun%20Chen%20Purdue%20University" TargetMode="External" Id="rId310"/><Relationship Type="http://schemas.openxmlformats.org/officeDocument/2006/relationships/hyperlink" Target="mailto:junchen@purdue.edu" TargetMode="External" Id="rId311"/><Relationship Type="http://schemas.openxmlformats.org/officeDocument/2006/relationships/hyperlink" Target="https://doi.org/10.1016/j.buildenv.2016.03.011" TargetMode="External" Id="rId312"/><Relationship Type="http://schemas.openxmlformats.org/officeDocument/2006/relationships/hyperlink" Target="https://doi.org/10.1016/j.triboint.2024.109852" TargetMode="External" Id="rId313"/><Relationship Type="http://schemas.openxmlformats.org/officeDocument/2006/relationships/hyperlink" Target="https://doi.org/10.1016/j.buildenv.2016.03.011" TargetMode="External" Id="rId314"/><Relationship Type="http://schemas.openxmlformats.org/officeDocument/2006/relationships/hyperlink" Target="https://engineering.purdue.edu/~chen220" TargetMode="External" Id="rId315"/><Relationship Type="http://schemas.openxmlformats.org/officeDocument/2006/relationships/hyperlink" Target="https://engineering.purdue.edu/AAE/people/Faculty" TargetMode="External" Id="rId316"/><Relationship Type="http://schemas.openxmlformats.org/officeDocument/2006/relationships/hyperlink" Target="https://engineering.purdue.edu/AAE/people/ptProfile?resource_id=255151" TargetMode="External" Id="rId317"/><Relationship Type="http://schemas.openxmlformats.org/officeDocument/2006/relationships/hyperlink" Target="https://scholar.google.com/citations?view_op=search_authors&amp;mauthors=Mark%20Lewis%20Purdue%20University" TargetMode="External" Id="rId318"/><Relationship Type="http://schemas.openxmlformats.org/officeDocument/2006/relationships/hyperlink" Target="mailto:lewis619@purdue.edu" TargetMode="External" Id="rId319"/><Relationship Type="http://schemas.openxmlformats.org/officeDocument/2006/relationships/hyperlink" Target="https://doi.org/10.2514/2.2612" TargetMode="External" Id="rId320"/><Relationship Type="http://schemas.openxmlformats.org/officeDocument/2006/relationships/hyperlink" Target="https://doi.org/10.2514/2.5855" TargetMode="External" Id="rId321"/><Relationship Type="http://schemas.openxmlformats.org/officeDocument/2006/relationships/hyperlink" Target="https://doi.org/10.2514/2.2612" TargetMode="External" Id="rId322"/><Relationship Type="http://schemas.openxmlformats.org/officeDocument/2006/relationships/hyperlink" Target="https://insgc.spacegrant.org/" TargetMode="External" Id="rId323"/><Relationship Type="http://schemas.openxmlformats.org/officeDocument/2006/relationships/hyperlink" Target="https://engineering.purdue.edu/AAE/people/Faculty" TargetMode="External" Id="rId324"/><Relationship Type="http://schemas.openxmlformats.org/officeDocument/2006/relationships/hyperlink" Target="https://engineering.purdue.edu/AAE/people/ptProfile?resource_id=55699" TargetMode="External" Id="rId325"/><Relationship Type="http://schemas.openxmlformats.org/officeDocument/2006/relationships/hyperlink" Target="https://scholar.google.com/citations?user=rI7TKPYAAAAJ&amp;hl=en&amp;oi=ao" TargetMode="External" Id="rId326"/><Relationship Type="http://schemas.openxmlformats.org/officeDocument/2006/relationships/hyperlink" Target="mailto:tomar@purdue.edu" TargetMode="External" Id="rId327"/><Relationship Type="http://schemas.openxmlformats.org/officeDocument/2006/relationships/hyperlink" Target="https://insgc.spacegrant.org/" TargetMode="External" Id="rId328"/><Relationship Type="http://schemas.openxmlformats.org/officeDocument/2006/relationships/hyperlink" Target="https://engineering.purdue.edu/AAE/people/Faculty" TargetMode="External" Id="rId329"/><Relationship Type="http://schemas.openxmlformats.org/officeDocument/2006/relationships/hyperlink" Target="https://engineering.purdue.edu/ME/People/ptProfile?resource_id=117606" TargetMode="External" Id="rId330"/><Relationship Type="http://schemas.openxmlformats.org/officeDocument/2006/relationships/hyperlink" Target="https://scholar.google.com/citations?view_op=search_authors&amp;mauthors=Benxin%20Wu%20Purdue%20University" TargetMode="External" Id="rId331"/><Relationship Type="http://schemas.openxmlformats.org/officeDocument/2006/relationships/hyperlink" Target="mailto:wu65@purdue.edu" TargetMode="External" Id="rId332"/><Relationship Type="http://schemas.openxmlformats.org/officeDocument/2006/relationships/hyperlink" Target="https://insgc.spacegrant.org/" TargetMode="External" Id="rId333"/><Relationship Type="http://schemas.openxmlformats.org/officeDocument/2006/relationships/hyperlink" Target="https://engineering.purdue.edu/ME/People/ptFaculty" TargetMode="External" Id="rId334"/><Relationship Type="http://schemas.openxmlformats.org/officeDocument/2006/relationships/hyperlink" Target="https://engineering.purdue.edu/ME/People/ptProfile?resource_id=29361" TargetMode="External" Id="rId335"/><Relationship Type="http://schemas.openxmlformats.org/officeDocument/2006/relationships/hyperlink" Target="https://scholar.google.com/citations?view_op=search_authors&amp;mauthors=Gregory%20M.%20Shaver%20Purdue%20University" TargetMode="External" Id="rId336"/><Relationship Type="http://schemas.openxmlformats.org/officeDocument/2006/relationships/hyperlink" Target="mailto:gshaver@purdue.edu" TargetMode="External" Id="rId337"/><Relationship Type="http://schemas.openxmlformats.org/officeDocument/2006/relationships/hyperlink" Target="http://www.gregshaver.com/" TargetMode="External" Id="rId338"/><Relationship Type="http://schemas.openxmlformats.org/officeDocument/2006/relationships/hyperlink" Target="https://engineering.purdue.edu/ME/People/ptFaculty" TargetMode="External" Id="rId339"/><Relationship Type="http://schemas.openxmlformats.org/officeDocument/2006/relationships/hyperlink" Target="https://engineering.purdue.edu/AAE/people/ptProfile?resource_id=285032" TargetMode="External" Id="rId340"/><Relationship Type="http://schemas.openxmlformats.org/officeDocument/2006/relationships/hyperlink" Target="https://scholar.google.com/citations?view_op=search_authors&amp;mauthors=Jamie%20Canino%20Purdue%20University" TargetMode="External" Id="rId341"/><Relationship Type="http://schemas.openxmlformats.org/officeDocument/2006/relationships/hyperlink" Target="mailto:canino@purdue.edu" TargetMode="External" Id="rId342"/><Relationship Type="http://schemas.openxmlformats.org/officeDocument/2006/relationships/hyperlink" Target="https://insgc.spacegrant.org/" TargetMode="External" Id="rId343"/><Relationship Type="http://schemas.openxmlformats.org/officeDocument/2006/relationships/hyperlink" Target="https://engineering.purdue.edu/AAE/people/Faculty" TargetMode="External" Id="rId344"/><Relationship Type="http://schemas.openxmlformats.org/officeDocument/2006/relationships/hyperlink" Target="https://engineering.purdue.edu/AAE/people/ptProfile?resource_id=256632" TargetMode="External" Id="rId345"/><Relationship Type="http://schemas.openxmlformats.org/officeDocument/2006/relationships/hyperlink" Target="https://scholar.google.com/citations?view_op=search_authors&amp;mauthors=Leifur%20Leifsson%20Purdue%20University" TargetMode="External" Id="rId346"/><Relationship Type="http://schemas.openxmlformats.org/officeDocument/2006/relationships/hyperlink" Target="mailto:leifur@purdue.edu" TargetMode="External" Id="rId347"/><Relationship Type="http://schemas.openxmlformats.org/officeDocument/2006/relationships/hyperlink" Target="https://doi.org/10.2514/6.2026-0148" TargetMode="External" Id="rId348"/><Relationship Type="http://schemas.openxmlformats.org/officeDocument/2006/relationships/hyperlink" Target="https://doi.org/10.1016/j.ast.2021.106555" TargetMode="External" Id="rId349"/><Relationship Type="http://schemas.openxmlformats.org/officeDocument/2006/relationships/hyperlink" Target="https://doi.org/10.2514/6.2026-0148" TargetMode="External" Id="rId350"/><Relationship Type="http://schemas.openxmlformats.org/officeDocument/2006/relationships/hyperlink" Target="https://insgc.spacegrant.org/" TargetMode="External" Id="rId351"/><Relationship Type="http://schemas.openxmlformats.org/officeDocument/2006/relationships/hyperlink" Target="https://engineering.purdue.edu/AAE/people/Faculty" TargetMode="External" Id="rId352"/><Relationship Type="http://schemas.openxmlformats.org/officeDocument/2006/relationships/hyperlink" Target="https://engineering.purdue.edu/ME/People/ptProfile?resource_id=34222" TargetMode="External" Id="rId353"/><Relationship Type="http://schemas.openxmlformats.org/officeDocument/2006/relationships/hyperlink" Target="https://scholar.google.com/citations?view_op=search_authors&amp;mauthors=Nicole%20Key%20Purdue%20University" TargetMode="External" Id="rId354"/><Relationship Type="http://schemas.openxmlformats.org/officeDocument/2006/relationships/hyperlink" Target="mailto:nkey@purdue.edu" TargetMode="External" Id="rId355"/><Relationship Type="http://schemas.openxmlformats.org/officeDocument/2006/relationships/hyperlink" Target="https://doi.org/10.2514/1.j066481" TargetMode="External" Id="rId356"/><Relationship Type="http://schemas.openxmlformats.org/officeDocument/2006/relationships/hyperlink" Target="https://doi.org/10.2514/1.b39968" TargetMode="External" Id="rId357"/><Relationship Type="http://schemas.openxmlformats.org/officeDocument/2006/relationships/hyperlink" Target="https://doi.org/10.2514/1.j066481" TargetMode="External" Id="rId358"/><Relationship Type="http://schemas.openxmlformats.org/officeDocument/2006/relationships/hyperlink" Target="http://engineering.purdue.edu/Turbo_Research/" TargetMode="External" Id="rId359"/><Relationship Type="http://schemas.openxmlformats.org/officeDocument/2006/relationships/hyperlink" Target="https://engineering.purdue.edu/AAE/people/Faculty" TargetMode="External" Id="rId360"/><Relationship Type="http://schemas.openxmlformats.org/officeDocument/2006/relationships/hyperlink" Target="https://engineering.purdue.edu/ME/People/ptProfile?resource_id=324341" TargetMode="External" Id="rId361"/><Relationship Type="http://schemas.openxmlformats.org/officeDocument/2006/relationships/hyperlink" Target="https://scholar.google.com/citations?user=IKgNChQAAAAJ" TargetMode="External" Id="rId362"/><Relationship Type="http://schemas.openxmlformats.org/officeDocument/2006/relationships/hyperlink" Target="mailto:sranftl@purdue.edu" TargetMode="External" Id="rId363"/><Relationship Type="http://schemas.openxmlformats.org/officeDocument/2006/relationships/hyperlink" Target="https://doi.org/10.5281/zenodo.20392037" TargetMode="External" Id="rId364"/><Relationship Type="http://schemas.openxmlformats.org/officeDocument/2006/relationships/hyperlink" Target="https://doi.org/10.1002/cnm.3576" TargetMode="External" Id="rId365"/><Relationship Type="http://schemas.openxmlformats.org/officeDocument/2006/relationships/hyperlink" Target="https://doi.org/10.5281/zenodo.20392037" TargetMode="External" Id="rId366"/><Relationship Type="http://schemas.openxmlformats.org/officeDocument/2006/relationships/hyperlink" Target="https://sites.google.com/view/sascha-ranftl" TargetMode="External" Id="rId367"/><Relationship Type="http://schemas.openxmlformats.org/officeDocument/2006/relationships/hyperlink" Target="https://engineering.purdue.edu/ME/People/ptFaculty" TargetMode="External" Id="rId368"/><Relationship Type="http://schemas.openxmlformats.org/officeDocument/2006/relationships/hyperlink" Target="https://engineering.purdue.edu/AAE/people/ptProfile?resource_id=1333" TargetMode="External" Id="rId369"/><Relationship Type="http://schemas.openxmlformats.org/officeDocument/2006/relationships/hyperlink" Target="https://scholar.google.com/citations?view_op=search_authors&amp;mauthors=William%20Anderson%20Purdue%20University" TargetMode="External" Id="rId370"/><Relationship Type="http://schemas.openxmlformats.org/officeDocument/2006/relationships/hyperlink" Target="mailto:webmaster-eng@purdue.edu" TargetMode="External" Id="rId371"/><Relationship Type="http://schemas.openxmlformats.org/officeDocument/2006/relationships/hyperlink" Target="https://insgc.spacegrant.org/" TargetMode="External" Id="rId372"/><Relationship Type="http://schemas.openxmlformats.org/officeDocument/2006/relationships/hyperlink" Target="https://engineering.purdue.edu/AAE/people/Faculty" TargetMode="External" Id="rId373"/><Relationship Type="http://schemas.openxmlformats.org/officeDocument/2006/relationships/hyperlink" Target="https://engineering.purdue.edu/AAE/people/ptProfile?resource_id=323130" TargetMode="External" Id="rId374"/><Relationship Type="http://schemas.openxmlformats.org/officeDocument/2006/relationships/hyperlink" Target="https://scholar.google.com/citations?view_op=search_authors&amp;mauthors=Ryan%20Houim%20Purdue%20University" TargetMode="External" Id="rId375"/><Relationship Type="http://schemas.openxmlformats.org/officeDocument/2006/relationships/hyperlink" Target="mailto:webmaster-eng@purdue.edu" TargetMode="External" Id="rId376"/><Relationship Type="http://schemas.openxmlformats.org/officeDocument/2006/relationships/hyperlink" Target="https://doi.org/10.48550/arxiv.2603.13697" TargetMode="External" Id="rId377"/><Relationship Type="http://schemas.openxmlformats.org/officeDocument/2006/relationships/hyperlink" Target="https://doi.org/10.1002/prep.70019" TargetMode="External" Id="rId378"/><Relationship Type="http://schemas.openxmlformats.org/officeDocument/2006/relationships/hyperlink" Target="https://doi.org/10.48550/arxiv.2603.13697" TargetMode="External" Id="rId379"/><Relationship Type="http://schemas.openxmlformats.org/officeDocument/2006/relationships/hyperlink" Target="https://insgc.spacegrant.org/" TargetMode="External" Id="rId380"/><Relationship Type="http://schemas.openxmlformats.org/officeDocument/2006/relationships/hyperlink" Target="https://engineering.purdue.edu/AAE/people/Faculty" TargetMode="External" Id="rId381"/><Relationship Type="http://schemas.openxmlformats.org/officeDocument/2006/relationships/hyperlink" Target="https://engineering.purdue.edu/ME/People/ptProfile?resource_id=86360" TargetMode="External" Id="rId382"/><Relationship Type="http://schemas.openxmlformats.org/officeDocument/2006/relationships/hyperlink" Target="https://scholar.google.com/citations?view_op=search_authors&amp;mauthors=Amy%20Marconnet%20Purdue%20University" TargetMode="External" Id="rId383"/><Relationship Type="http://schemas.openxmlformats.org/officeDocument/2006/relationships/hyperlink" Target="mailto:marconnet@purdue.edu" TargetMode="External" Id="rId384"/><Relationship Type="http://schemas.openxmlformats.org/officeDocument/2006/relationships/hyperlink" Target="http://engineering.purdue.edu/MTEC" TargetMode="External" Id="rId385"/><Relationship Type="http://schemas.openxmlformats.org/officeDocument/2006/relationships/hyperlink" Target="https://engineering.purdue.edu/ME/People/ptFaculty" TargetMode="External" Id="rId386"/><Relationship Type="http://schemas.openxmlformats.org/officeDocument/2006/relationships/hyperlink" Target="https://engineering.purdue.edu/ME/People/ptProfile?resource_id=256658" TargetMode="External" Id="rId387"/><Relationship Type="http://schemas.openxmlformats.org/officeDocument/2006/relationships/hyperlink" Target="https://scholar.google.com/citations?user=OEAnMz0AAAAJ&amp;hl=en" TargetMode="External" Id="rId388"/><Relationship Type="http://schemas.openxmlformats.org/officeDocument/2006/relationships/hyperlink" Target="mailto:tbeechem@purdue.edu" TargetMode="External" Id="rId389"/><Relationship Type="http://schemas.openxmlformats.org/officeDocument/2006/relationships/hyperlink" Target="https://www.specere.org/" TargetMode="External" Id="rId390"/><Relationship Type="http://schemas.openxmlformats.org/officeDocument/2006/relationships/hyperlink" Target="https://engineering.purdue.edu/ME/People/ptFaculty" TargetMode="External" Id="rId391"/><Relationship Type="http://schemas.openxmlformats.org/officeDocument/2006/relationships/hyperlink" Target="https://engineering.purdue.edu/NE/people/ptProfile?resource_id=34242" TargetMode="External" Id="rId392"/><Relationship Type="http://schemas.openxmlformats.org/officeDocument/2006/relationships/hyperlink" Target="https://scholar.google.com/citations?view_op=search_authors&amp;mauthors=Ahmed%20Hassanein%20Purdue%20University" TargetMode="External" Id="rId393"/><Relationship Type="http://schemas.openxmlformats.org/officeDocument/2006/relationships/hyperlink" Target="mailto:hassanein@purdue.edu" TargetMode="External" Id="rId394"/><Relationship Type="http://schemas.openxmlformats.org/officeDocument/2006/relationships/hyperlink" Target="https://insgc.spacegrant.org/" TargetMode="External" Id="rId395"/><Relationship Type="http://schemas.openxmlformats.org/officeDocument/2006/relationships/hyperlink" Target="https://engineering.purdue.edu/ME/People/ptFaculty" TargetMode="External" Id="rId396"/><Relationship Type="http://schemas.openxmlformats.org/officeDocument/2006/relationships/hyperlink" Target="https://engineering.purdue.edu/ME/People/ptProfile?resource_id=183058" TargetMode="External" Id="rId397"/><Relationship Type="http://schemas.openxmlformats.org/officeDocument/2006/relationships/hyperlink" Target="https://scholar.google.com/citations?view_op=search_authors&amp;mauthors=David%20Warsinger%20Purdue%20University" TargetMode="External" Id="rId398"/><Relationship Type="http://schemas.openxmlformats.org/officeDocument/2006/relationships/hyperlink" Target="mailto:dwarsing@purdue.edu" TargetMode="External" Id="rId399"/><Relationship Type="http://schemas.openxmlformats.org/officeDocument/2006/relationships/hyperlink" Target="http://www.warsinger.com" TargetMode="External" Id="rId400"/><Relationship Type="http://schemas.openxmlformats.org/officeDocument/2006/relationships/hyperlink" Target="https://github.com/arao53/awh-limits/blob/main/lego_maps/warsinger_lego_maps.ipynb" TargetMode="External" Id="rId401"/><Relationship Type="http://schemas.openxmlformats.org/officeDocument/2006/relationships/hyperlink" Target="https://engineering.purdue.edu/ME/People/ptFaculty" TargetMode="External" Id="rId402"/><Relationship Type="http://schemas.openxmlformats.org/officeDocument/2006/relationships/hyperlink" Target="https://engineering.purdue.edu/ME/People/ptProfile?resource_id=318598" TargetMode="External" Id="rId403"/><Relationship Type="http://schemas.openxmlformats.org/officeDocument/2006/relationships/hyperlink" Target="https://scholar.google.com/citations?user=SxOdEgEAAAAJ&amp;hl=en&amp;oi=ao" TargetMode="External" Id="rId404"/><Relationship Type="http://schemas.openxmlformats.org/officeDocument/2006/relationships/hyperlink" Target="mailto:jingang@purdue.edu" TargetMode="External" Id="rId405"/><Relationship Type="http://schemas.openxmlformats.org/officeDocument/2006/relationships/hyperlink" Target="https://www.jingangli.org" TargetMode="External" Id="rId406"/><Relationship Type="http://schemas.openxmlformats.org/officeDocument/2006/relationships/hyperlink" Target="https://engineering.purdue.edu/ME/People/ptFaculty" TargetMode="External" Id="rId407"/><Relationship Type="http://schemas.openxmlformats.org/officeDocument/2006/relationships/hyperlink" Target="https://engineering.purdue.edu/ME/People/ptProfile?resource_id=119137" TargetMode="External" Id="rId408"/><Relationship Type="http://schemas.openxmlformats.org/officeDocument/2006/relationships/hyperlink" Target="https://scholar.google.com/citations?view_op=search_authors&amp;mauthors=Neera%20Jain%20Purdue%20University" TargetMode="External" Id="rId409"/><Relationship Type="http://schemas.openxmlformats.org/officeDocument/2006/relationships/hyperlink" Target="mailto:neerajain@purdue.edu" TargetMode="External" Id="rId410"/><Relationship Type="http://schemas.openxmlformats.org/officeDocument/2006/relationships/hyperlink" Target="https://engineering.purdue.edu/JainResearchLab" TargetMode="External" Id="rId411"/><Relationship Type="http://schemas.openxmlformats.org/officeDocument/2006/relationships/hyperlink" Target="https://engineering.purdue.edu/AAE/people/Faculty" TargetMode="External" Id="rId412"/><Relationship Type="http://schemas.openxmlformats.org/officeDocument/2006/relationships/hyperlink" Target="https://engineering.purdue.edu/ME/People/ptProfile?resource_id=164622" TargetMode="External" Id="rId413"/><Relationship Type="http://schemas.openxmlformats.org/officeDocument/2006/relationships/hyperlink" Target="https://scholar.google.com/citations?view_op=search_authors&amp;mauthors=Davide%20Ziviani%20Purdue%20University" TargetMode="External" Id="rId414"/><Relationship Type="http://schemas.openxmlformats.org/officeDocument/2006/relationships/hyperlink" Target="mailto:dziviani@purdue.edu" TargetMode="External" Id="rId415"/><Relationship Type="http://schemas.openxmlformats.org/officeDocument/2006/relationships/hyperlink" Target="https://engineering.purdue.edu/ME/Images/Ziviani-Research-Group-Overview.pdf" TargetMode="External" Id="rId416"/><Relationship Type="http://schemas.openxmlformats.org/officeDocument/2006/relationships/hyperlink" Target="https://engineering.purdue.edu/ME/People/ptFaculty" TargetMode="External" Id="rId417"/><Relationship Type="http://schemas.openxmlformats.org/officeDocument/2006/relationships/hyperlink" Target="https://engineering.purdue.edu/ME/People/ptProfile?resource_id=184725" TargetMode="External" Id="rId418"/><Relationship Type="http://schemas.openxmlformats.org/officeDocument/2006/relationships/hyperlink" Target="https://scholar.google.com/citations?user=PJ1trVUAAAAJ&amp;hl=en" TargetMode="External" Id="rId419"/><Relationship Type="http://schemas.openxmlformats.org/officeDocument/2006/relationships/hyperlink" Target="mailto:dpiercey@purdue.edu" TargetMode="External" Id="rId420"/><Relationship Type="http://schemas.openxmlformats.org/officeDocument/2006/relationships/hyperlink" Target="https://www.davinpiercey.com/" TargetMode="External" Id="rId421"/><Relationship Type="http://schemas.openxmlformats.org/officeDocument/2006/relationships/hyperlink" Target="https://engineering.purdue.edu/ME/People/ptFaculty" TargetMode="External" Id="rId422"/><Relationship Type="http://schemas.openxmlformats.org/officeDocument/2006/relationships/hyperlink" Target="https://engineering.purdue.edu/ME/People/ptProfile?resource_id=11748" TargetMode="External" Id="rId423"/><Relationship Type="http://schemas.openxmlformats.org/officeDocument/2006/relationships/hyperlink" Target="https://scholar.google.com/citations?view_op=search_authors&amp;mauthors=Eckhard%20A.%20Groll%20Purdue%20University" TargetMode="External" Id="rId424"/><Relationship Type="http://schemas.openxmlformats.org/officeDocument/2006/relationships/hyperlink" Target="mailto:groll@purdue.edu" TargetMode="External" Id="rId425"/><Relationship Type="http://schemas.openxmlformats.org/officeDocument/2006/relationships/hyperlink" Target="https://engineering.purdue.edu/CHPB" TargetMode="External" Id="rId426"/><Relationship Type="http://schemas.openxmlformats.org/officeDocument/2006/relationships/hyperlink" Target="https://engineering.purdue.edu/ME/People/ptFaculty" TargetMode="External" Id="rId427"/><Relationship Type="http://schemas.openxmlformats.org/officeDocument/2006/relationships/hyperlink" Target="https://engineering.purdue.edu/ME/People/ptProfile?resource_id=292625" TargetMode="External" Id="rId428"/><Relationship Type="http://schemas.openxmlformats.org/officeDocument/2006/relationships/hyperlink" Target="https://scholar.google.com/citations?view_op=search_authors&amp;mauthors=Hosop%20Shin%20Purdue%20University" TargetMode="External" Id="rId429"/><Relationship Type="http://schemas.openxmlformats.org/officeDocument/2006/relationships/hyperlink" Target="mailto:shin282@purdue.edu" TargetMode="External" Id="rId430"/><Relationship Type="http://schemas.openxmlformats.org/officeDocument/2006/relationships/hyperlink" Target="https://engineering.purdue.edu/GEMSlab" TargetMode="External" Id="rId431"/><Relationship Type="http://schemas.openxmlformats.org/officeDocument/2006/relationships/hyperlink" Target="https://engineering.purdue.edu/ME/People/ptFaculty" TargetMode="External" Id="rId432"/><Relationship Type="http://schemas.openxmlformats.org/officeDocument/2006/relationships/hyperlink" Target="https://engineering.purdue.edu/ME/People/ptProfile?resource_id=29296" TargetMode="External" Id="rId433"/><Relationship Type="http://schemas.openxmlformats.org/officeDocument/2006/relationships/hyperlink" Target="https://scholar.google.com/citations?view_op=search_authors&amp;mauthors=Issam%20Mudawar%20Purdue%20University" TargetMode="External" Id="rId434"/><Relationship Type="http://schemas.openxmlformats.org/officeDocument/2006/relationships/hyperlink" Target="mailto:mudawar@purdue.edu" TargetMode="External" Id="rId435"/><Relationship Type="http://schemas.openxmlformats.org/officeDocument/2006/relationships/hyperlink" Target="https://engineering.purdue.edu/mudawar/" TargetMode="External" Id="rId436"/><Relationship Type="http://schemas.openxmlformats.org/officeDocument/2006/relationships/hyperlink" Target="https://engineering.purdue.edu/ME/People/ptFaculty" TargetMode="External" Id="rId437"/><Relationship Type="http://schemas.openxmlformats.org/officeDocument/2006/relationships/hyperlink" Target="https://engineering.purdue.edu/ME/People/ptProfile?resource_id=71762" TargetMode="External" Id="rId438"/><Relationship Type="http://schemas.openxmlformats.org/officeDocument/2006/relationships/hyperlink" Target="https://scholar.google.com/citations?view_op=search_authors&amp;mauthors=Jie%20Cai%20Purdue%20University" TargetMode="External" Id="rId439"/><Relationship Type="http://schemas.openxmlformats.org/officeDocument/2006/relationships/hyperlink" Target="mailto:cai40@purdue.edu" TargetMode="External" Id="rId440"/><Relationship Type="http://schemas.openxmlformats.org/officeDocument/2006/relationships/hyperlink" Target="https://www.purdue.edu/engineering/cairesearchgroup/" TargetMode="External" Id="rId441"/><Relationship Type="http://schemas.openxmlformats.org/officeDocument/2006/relationships/hyperlink" Target="https://engineering.purdue.edu/ME/People/ptFaculty" TargetMode="External" Id="rId442"/><Relationship Type="http://schemas.openxmlformats.org/officeDocument/2006/relationships/hyperlink" Target="https://engineering.purdue.edu/ME/People/ptProfile?resource_id=307226" TargetMode="External" Id="rId443"/><Relationship Type="http://schemas.openxmlformats.org/officeDocument/2006/relationships/hyperlink" Target="https://scholar.google.com/citations?hl=en&amp;tzom=240&amp;user=KojhX0gAAAAJ&amp;view_op=list_works&amp;sortby=pubdate&amp;inst=5549692440350501774" TargetMode="External" Id="rId444"/><Relationship Type="http://schemas.openxmlformats.org/officeDocument/2006/relationships/hyperlink" Target="mailto:lizhan@purdue.edu" TargetMode="External" Id="rId445"/><Relationship Type="http://schemas.openxmlformats.org/officeDocument/2006/relationships/hyperlink" Target="https://www.zhanlab.org/" TargetMode="External" Id="rId446"/><Relationship Type="http://schemas.openxmlformats.org/officeDocument/2006/relationships/hyperlink" Target="https://engineering.purdue.edu/ME/People/ptFaculty" TargetMode="External" Id="rId447"/><Relationship Type="http://schemas.openxmlformats.org/officeDocument/2006/relationships/hyperlink" Target="https://engineering.purdue.edu/ME/People/ptProfile?resource_id=173050" TargetMode="External" Id="rId448"/><Relationship Type="http://schemas.openxmlformats.org/officeDocument/2006/relationships/hyperlink" Target="https://scholar.google.com/citations?view_op=search_authors&amp;mauthors=Partha%20P.%20Mukherjee%20Purdue%20University" TargetMode="External" Id="rId449"/><Relationship Type="http://schemas.openxmlformats.org/officeDocument/2006/relationships/hyperlink" Target="mailto:pmukherjee@purdue.edu" TargetMode="External" Id="rId450"/><Relationship Type="http://schemas.openxmlformats.org/officeDocument/2006/relationships/hyperlink" Target="https://engineering.purdue.edu/ETSL/" TargetMode="External" Id="rId451"/><Relationship Type="http://schemas.openxmlformats.org/officeDocument/2006/relationships/hyperlink" Target="https://engineering.purdue.edu/ME/People/ptFaculty" TargetMode="External" Id="rId452"/><Relationship Type="http://schemas.openxmlformats.org/officeDocument/2006/relationships/hyperlink" Target="https://engineering.purdue.edu/ME/People/ptProfile?resource_id=241060" TargetMode="External" Id="rId453"/><Relationship Type="http://schemas.openxmlformats.org/officeDocument/2006/relationships/hyperlink" Target="https://scholar.google.com/citations?user=OEzRkQMAAAAJ&amp;hl=en" TargetMode="External" Id="rId454"/><Relationship Type="http://schemas.openxmlformats.org/officeDocument/2006/relationships/hyperlink" Target="mailto:rciez@purdue.edu" TargetMode="External" Id="rId455"/><Relationship Type="http://schemas.openxmlformats.org/officeDocument/2006/relationships/hyperlink" Target="https://rciez2125.github.io/" TargetMode="External" Id="rId456"/><Relationship Type="http://schemas.openxmlformats.org/officeDocument/2006/relationships/hyperlink" Target="https://engineering.purdue.edu/ME/People/ptFaculty" TargetMode="External" Id="rId457"/><Relationship Type="http://schemas.openxmlformats.org/officeDocument/2006/relationships/hyperlink" Target="https://engineering.purdue.edu/ME/People/ptProfile?resource_id=155963" TargetMode="External" Id="rId458"/><Relationship Type="http://schemas.openxmlformats.org/officeDocument/2006/relationships/hyperlink" Target="https://scholar.google.com/citations?view_op=search_authors&amp;mauthors=Jian%20Xie%20Purdue%20University" TargetMode="External" Id="rId459"/><Relationship Type="http://schemas.openxmlformats.org/officeDocument/2006/relationships/hyperlink" Target="mailto:jxie@purdue.edu" TargetMode="External" Id="rId460"/><Relationship Type="http://schemas.openxmlformats.org/officeDocument/2006/relationships/hyperlink" Target="https://sites.google.com/view/jianxiegroupatpurdue/home" TargetMode="External" Id="rId461"/><Relationship Type="http://schemas.openxmlformats.org/officeDocument/2006/relationships/hyperlink" Target="https://engineering.purdue.edu/ME/People/ptFaculty" TargetMode="External" Id="rId462"/><Relationship Type="http://schemas.openxmlformats.org/officeDocument/2006/relationships/hyperlink" Target="https://engineering.purdue.edu/ME/People/ptProfile?resource_id=78578" TargetMode="External" Id="rId463"/><Relationship Type="http://schemas.openxmlformats.org/officeDocument/2006/relationships/hyperlink" Target="https://scholar.google.com/citations?view_op=search_authors&amp;mauthors=Justin%20A.%20Weibel%20Purdue%20University" TargetMode="External" Id="rId464"/><Relationship Type="http://schemas.openxmlformats.org/officeDocument/2006/relationships/hyperlink" Target="mailto:jaweibel@purdue.edu" TargetMode="External" Id="rId465"/><Relationship Type="http://schemas.openxmlformats.org/officeDocument/2006/relationships/hyperlink" Target="https://engineering.purdue.edu/CTRC/" TargetMode="External" Id="rId466"/><Relationship Type="http://schemas.openxmlformats.org/officeDocument/2006/relationships/hyperlink" Target="https://engineering.purdue.edu/ME/People/ptFaculty" TargetMode="External" Id="rId467"/><Relationship Type="http://schemas.openxmlformats.org/officeDocument/2006/relationships/hyperlink" Target="https://engineering.purdue.edu/ME/People/ptProfile?resource_id=273136" TargetMode="External" Id="rId468"/><Relationship Type="http://schemas.openxmlformats.org/officeDocument/2006/relationships/hyperlink" Target="https://scholar.google.com/citations?view_op=search_authors&amp;mauthors=Kevin%20Kircher%20Purdue%20University" TargetMode="External" Id="rId469"/><Relationship Type="http://schemas.openxmlformats.org/officeDocument/2006/relationships/hyperlink" Target="mailto:kircher@purdue.edu" TargetMode="External" Id="rId470"/><Relationship Type="http://schemas.openxmlformats.org/officeDocument/2006/relationships/hyperlink" Target="https://kevinjkircher.com/" TargetMode="External" Id="rId471"/><Relationship Type="http://schemas.openxmlformats.org/officeDocument/2006/relationships/hyperlink" Target="https://engineering.purdue.edu/ME/People/ptFaculty" TargetMode="External" Id="rId472"/><Relationship Type="http://schemas.openxmlformats.org/officeDocument/2006/relationships/hyperlink" Target="https://engineering.purdue.edu/ME/People/ptProfile?resource_id=294628" TargetMode="External" Id="rId473"/><Relationship Type="http://schemas.openxmlformats.org/officeDocument/2006/relationships/hyperlink" Target="https://scholar.google.com/citations?view_op=search_authors&amp;mauthors=Likun%20Zhu%20Purdue%20University" TargetMode="External" Id="rId474"/><Relationship Type="http://schemas.openxmlformats.org/officeDocument/2006/relationships/hyperlink" Target="mailto:zhu154@purdue.edu" TargetMode="External" Id="rId475"/><Relationship Type="http://schemas.openxmlformats.org/officeDocument/2006/relationships/hyperlink" Target="https://engineering.purdue.edu/lzhu/" TargetMode="External" Id="rId476"/><Relationship Type="http://schemas.openxmlformats.org/officeDocument/2006/relationships/hyperlink" Target="https://engineering.purdue.edu/ME/People/ptFaculty" TargetMode="External" Id="rId477"/><Relationship Type="http://schemas.openxmlformats.org/officeDocument/2006/relationships/hyperlink" Target="https://engineering.purdue.edu/ME/People/ptProfile?resource_id=25572" TargetMode="External" Id="rId478"/><Relationship Type="http://schemas.openxmlformats.org/officeDocument/2006/relationships/hyperlink" Target="https://scholar.google.com/citations?view_op=search_authors&amp;mauthors=Carl%20Wassgren%20Purdue%20University" TargetMode="External" Id="rId479"/><Relationship Type="http://schemas.openxmlformats.org/officeDocument/2006/relationships/hyperlink" Target="mailto:wassgren@purdue.edu" TargetMode="External" Id="rId480"/><Relationship Type="http://schemas.openxmlformats.org/officeDocument/2006/relationships/hyperlink" Target="https://engineering.purdue.edu/~wassgren/" TargetMode="External" Id="rId481"/><Relationship Type="http://schemas.openxmlformats.org/officeDocument/2006/relationships/hyperlink" Target="https://engineering.purdue.edu/ME/People/ptFaculty" TargetMode="External" Id="rId482"/><Relationship Type="http://schemas.openxmlformats.org/officeDocument/2006/relationships/hyperlink" Target="https://engineering.purdue.edu/ME/People/ptProfile?resource_id=127238" TargetMode="External" Id="rId483"/><Relationship Type="http://schemas.openxmlformats.org/officeDocument/2006/relationships/hyperlink" Target="https://scholar.google.com/citations?view_op=search_authors&amp;mauthors=Andres%20Arrieta%20Purdue%20University" TargetMode="External" Id="rId484"/><Relationship Type="http://schemas.openxmlformats.org/officeDocument/2006/relationships/hyperlink" Target="mailto:arrieta@purdue.edu" TargetMode="External" Id="rId485"/><Relationship Type="http://schemas.openxmlformats.org/officeDocument/2006/relationships/hyperlink" Target="https://engineering.purdue.edu/ProgrammableStructures/" TargetMode="External" Id="rId486"/><Relationship Type="http://schemas.openxmlformats.org/officeDocument/2006/relationships/hyperlink" Target="https://engineering.purdue.edu/AAE/people/Faculty" TargetMode="External" Id="rId487"/><Relationship Type="http://schemas.openxmlformats.org/officeDocument/2006/relationships/hyperlink" Target="https://engineering.purdue.edu/ME/People/ptProfile?resource_id=311453" TargetMode="External" Id="rId488"/><Relationship Type="http://schemas.openxmlformats.org/officeDocument/2006/relationships/hyperlink" Target="https://scholar.google.com/citations?user=Kgo25P0AAAAJ&amp;hl=en" TargetMode="External" Id="rId489"/><Relationship Type="http://schemas.openxmlformats.org/officeDocument/2006/relationships/hyperlink" Target="mailto:ashwinrc@purdue.edu" TargetMode="External" Id="rId490"/><Relationship Type="http://schemas.openxmlformats.org/officeDocument/2006/relationships/hyperlink" Target="https://www.micronanolab.org/" TargetMode="External" Id="rId491"/><Relationship Type="http://schemas.openxmlformats.org/officeDocument/2006/relationships/hyperlink" Target="https://engineering.purdue.edu/ME/People/ptFaculty" TargetMode="External" Id="rId492"/><Relationship Type="http://schemas.openxmlformats.org/officeDocument/2006/relationships/hyperlink" Target="https://engineering.purdue.edu/ME/People/ptProfile?resource_id=11244" TargetMode="External" Id="rId493"/><Relationship Type="http://schemas.openxmlformats.org/officeDocument/2006/relationships/hyperlink" Target="https://scholar.google.com/citations?view_op=search_authors&amp;mauthors=Ganesh%20Subbarayan%20Purdue%20University" TargetMode="External" Id="rId494"/><Relationship Type="http://schemas.openxmlformats.org/officeDocument/2006/relationships/hyperlink" Target="mailto:ganeshs@purdue.edu" TargetMode="External" Id="rId495"/><Relationship Type="http://schemas.openxmlformats.org/officeDocument/2006/relationships/hyperlink" Target="https://engineering.purdue.edu/ASIP" TargetMode="External" Id="rId496"/><Relationship Type="http://schemas.openxmlformats.org/officeDocument/2006/relationships/hyperlink" Target="https://engineering.purdue.edu/ME/People/ptFaculty" TargetMode="External" Id="rId497"/><Relationship Type="http://schemas.openxmlformats.org/officeDocument/2006/relationships/hyperlink" Target="https://engineering.purdue.edu/AAE/people/ptProfile?resource_id=288720" TargetMode="External" Id="rId498"/><Relationship Type="http://schemas.openxmlformats.org/officeDocument/2006/relationships/hyperlink" Target="https://scholar.google.com/citations?view_op=search_authors&amp;mauthors=Kawai%20Kwok%20Purdue%20University" TargetMode="External" Id="rId499"/><Relationship Type="http://schemas.openxmlformats.org/officeDocument/2006/relationships/hyperlink" Target="mailto:kawaik@purdue.edu" TargetMode="External" Id="rId500"/><Relationship Type="http://schemas.openxmlformats.org/officeDocument/2006/relationships/hyperlink" Target="https://insgc.spacegrant.org/" TargetMode="External" Id="rId501"/><Relationship Type="http://schemas.openxmlformats.org/officeDocument/2006/relationships/hyperlink" Target="https://engineering.purdue.edu/AAE/people/Faculty" TargetMode="External" Id="rId502"/><Relationship Type="http://schemas.openxmlformats.org/officeDocument/2006/relationships/hyperlink" Target="https://engineering.purdue.edu/ME/People/ptProfile?resource_id=113514" TargetMode="External" Id="rId503"/><Relationship Type="http://schemas.openxmlformats.org/officeDocument/2006/relationships/hyperlink" Target="https://scholar.google.com/citations?user=JXR_AsQAAAAJ&amp;hl=en" TargetMode="External" Id="rId504"/><Relationship Type="http://schemas.openxmlformats.org/officeDocument/2006/relationships/hyperlink" Target="mailto:kjzhao@purdue.edu" TargetMode="External" Id="rId505"/><Relationship Type="http://schemas.openxmlformats.org/officeDocument/2006/relationships/hyperlink" Target="https://engineering.purdue.edu/kjzhao" TargetMode="External" Id="rId506"/><Relationship Type="http://schemas.openxmlformats.org/officeDocument/2006/relationships/hyperlink" Target="https://engineering.purdue.edu/ME/People/ptFaculty" TargetMode="External" Id="rId507"/><Relationship Type="http://schemas.openxmlformats.org/officeDocument/2006/relationships/hyperlink" Target="https://engineering.purdue.edu/ME/People/ptProfile?resource_id=29343" TargetMode="External" Id="rId508"/><Relationship Type="http://schemas.openxmlformats.org/officeDocument/2006/relationships/hyperlink" Target="https://scholar.google.com/citations?view_op=search_authors&amp;mauthors=Xiulin%20Ruan%20Purdue%20University" TargetMode="External" Id="rId509"/><Relationship Type="http://schemas.openxmlformats.org/officeDocument/2006/relationships/hyperlink" Target="mailto:ruan@purdue.edu" TargetMode="External" Id="rId510"/><Relationship Type="http://schemas.openxmlformats.org/officeDocument/2006/relationships/hyperlink" Target="https://engineering.purdue.edu/NANOENERGY/" TargetMode="External" Id="rId511"/><Relationship Type="http://schemas.openxmlformats.org/officeDocument/2006/relationships/hyperlink" Target="https://engineering.purdue.edu/ME/People/ptFaculty" TargetMode="External" Id="rId512"/><Relationship Type="http://schemas.openxmlformats.org/officeDocument/2006/relationships/hyperlink" Target="https://engineering.purdue.edu/ME/People/ptProfile?resource_id=126925" TargetMode="External" Id="rId513"/><Relationship Type="http://schemas.openxmlformats.org/officeDocument/2006/relationships/hyperlink" Target="https://scholar.google.com/citations?hl=en&amp;user=20pqzv8AAAAJ&amp;view_op=list_works" TargetMode="External" Id="rId514"/><Relationship Type="http://schemas.openxmlformats.org/officeDocument/2006/relationships/hyperlink" Target="mailto:fsemperl@purdue.edu" TargetMode="External" Id="rId515"/><Relationship Type="http://schemas.openxmlformats.org/officeDocument/2006/relationships/hyperlink" Target="https://sites.google.com/view/semperlotti-lab/index" TargetMode="External" Id="rId516"/><Relationship Type="http://schemas.openxmlformats.org/officeDocument/2006/relationships/hyperlink" Target="https://engineering.purdue.edu/AAE/people/Faculty" TargetMode="External" Id="rId517"/><Relationship Type="http://schemas.openxmlformats.org/officeDocument/2006/relationships/hyperlink" Target="https://engineering.purdue.edu/ME/People/ptProfile?resource_id=294590" TargetMode="External" Id="rId518"/><Relationship Type="http://schemas.openxmlformats.org/officeDocument/2006/relationships/hyperlink" Target="https://scholar.google.com/citations?view_op=search_authors&amp;mauthors=Hamid%20Dalir%20Purdue%20University" TargetMode="External" Id="rId519"/><Relationship Type="http://schemas.openxmlformats.org/officeDocument/2006/relationships/hyperlink" Target="mailto:hdalir@purdue.edu" TargetMode="External" Id="rId520"/><Relationship Type="http://schemas.openxmlformats.org/officeDocument/2006/relationships/hyperlink" Target="https://www.dalirlab.com/" TargetMode="External" Id="rId521"/><Relationship Type="http://schemas.openxmlformats.org/officeDocument/2006/relationships/hyperlink" Target="https://engineering.purdue.edu/ME/People/ptFaculty" TargetMode="External" Id="rId522"/><Relationship Type="http://schemas.openxmlformats.org/officeDocument/2006/relationships/hyperlink" Target="https://engineering.purdue.edu/ME/People/ptProfile?resource_id=12829" TargetMode="External" Id="rId523"/><Relationship Type="http://schemas.openxmlformats.org/officeDocument/2006/relationships/hyperlink" Target="https://scholar.google.com/citations?view_op=search_authors&amp;mauthors=James%20D.%20Jones%20Purdue%20University" TargetMode="External" Id="rId524"/><Relationship Type="http://schemas.openxmlformats.org/officeDocument/2006/relationships/hyperlink" Target="mailto:jonesjd@purdue.edu" TargetMode="External" Id="rId525"/><Relationship Type="http://schemas.openxmlformats.org/officeDocument/2006/relationships/hyperlink" Target="https://insgc.spacegrant.org/" TargetMode="External" Id="rId526"/><Relationship Type="http://schemas.openxmlformats.org/officeDocument/2006/relationships/hyperlink" Target="https://engineering.purdue.edu/ME/People/ptFaculty" TargetMode="External" Id="rId527"/><Relationship Type="http://schemas.openxmlformats.org/officeDocument/2006/relationships/hyperlink" Target="https://engineering.purdue.edu/ME/People/ptProfile?resource_id=293405" TargetMode="External" Id="rId528"/><Relationship Type="http://schemas.openxmlformats.org/officeDocument/2006/relationships/hyperlink" Target="https://scholar.google.com/citations?view_op=search_authors&amp;mauthors=Jing%20Zhang%20Purdue%20University" TargetMode="External" Id="rId529"/><Relationship Type="http://schemas.openxmlformats.org/officeDocument/2006/relationships/hyperlink" Target="mailto:zhan2437@purdue.edu" TargetMode="External" Id="rId530"/><Relationship Type="http://schemas.openxmlformats.org/officeDocument/2006/relationships/hyperlink" Target="https://insgc.spacegrant.org/" TargetMode="External" Id="rId531"/><Relationship Type="http://schemas.openxmlformats.org/officeDocument/2006/relationships/hyperlink" Target="https://engineering.purdue.edu/ME/People/ptFaculty" TargetMode="External" Id="rId532"/><Relationship Type="http://schemas.openxmlformats.org/officeDocument/2006/relationships/hyperlink" Target="https://engineering.purdue.edu/ME/People/ptProfile?resource_id=50402" TargetMode="External" Id="rId533"/><Relationship Type="http://schemas.openxmlformats.org/officeDocument/2006/relationships/hyperlink" Target="https://scholar.google.com/citations?user=aSHRXOkAAAAJ&amp;hl=en" TargetMode="External" Id="rId534"/><Relationship Type="http://schemas.openxmlformats.org/officeDocument/2006/relationships/hyperlink" Target="mailto:jchoi@purdue.edu" TargetMode="External" Id="rId535"/><Relationship Type="http://schemas.openxmlformats.org/officeDocument/2006/relationships/hyperlink" Target="https://choinano.org/ " TargetMode="External" Id="rId536"/><Relationship Type="http://schemas.openxmlformats.org/officeDocument/2006/relationships/hyperlink" Target="https://engineering.purdue.edu/ME/People/ptFaculty" TargetMode="External" Id="rId537"/><Relationship Type="http://schemas.openxmlformats.org/officeDocument/2006/relationships/hyperlink" Target="https://engineering.purdue.edu/ME/People/ptProfile?resource_id=286140" TargetMode="External" Id="rId538"/><Relationship Type="http://schemas.openxmlformats.org/officeDocument/2006/relationships/hyperlink" Target="https://scholar.google.com/citations?view_op=search_authors&amp;mauthors=Junfei%20Li%20Purdue%20University" TargetMode="External" Id="rId539"/><Relationship Type="http://schemas.openxmlformats.org/officeDocument/2006/relationships/hyperlink" Target="mailto:junfeili@purdue.edu" TargetMode="External" Id="rId540"/><Relationship Type="http://schemas.openxmlformats.org/officeDocument/2006/relationships/hyperlink" Target="https://insgc.spacegrant.org/" TargetMode="External" Id="rId541"/><Relationship Type="http://schemas.openxmlformats.org/officeDocument/2006/relationships/hyperlink" Target="https://engineering.purdue.edu/ME/People/ptFaculty" TargetMode="External" Id="rId542"/><Relationship Type="http://schemas.openxmlformats.org/officeDocument/2006/relationships/hyperlink" Target="https://engineering.purdue.edu/ME/People/ptProfile?resource_id=29264" TargetMode="External" Id="rId543"/><Relationship Type="http://schemas.openxmlformats.org/officeDocument/2006/relationships/hyperlink" Target="https://scholar.google.com/citations?view_op=search_authors&amp;mauthors=Marisol%20Koslowski%20Purdue%20University" TargetMode="External" Id="rId544"/><Relationship Type="http://schemas.openxmlformats.org/officeDocument/2006/relationships/hyperlink" Target="mailto:marisol@purdue.edu" TargetMode="External" Id="rId545"/><Relationship Type="http://schemas.openxmlformats.org/officeDocument/2006/relationships/hyperlink" Target="https://koslowskigroup.org/" TargetMode="External" Id="rId546"/><Relationship Type="http://schemas.openxmlformats.org/officeDocument/2006/relationships/hyperlink" Target="https://engineering.purdue.edu/ME/People/ptFaculty" TargetMode="External" Id="rId547"/><Relationship Type="http://schemas.openxmlformats.org/officeDocument/2006/relationships/hyperlink" Target="https://engineering.purdue.edu/AAE/people/ptProfile?resource_id=1436" TargetMode="External" Id="rId548"/><Relationship Type="http://schemas.openxmlformats.org/officeDocument/2006/relationships/hyperlink" Target="https://scholar.google.com/citations?view_op=search_authors&amp;mauthors=R%20Byron%20Pipes%20Purdue%20University" TargetMode="External" Id="rId549"/><Relationship Type="http://schemas.openxmlformats.org/officeDocument/2006/relationships/hyperlink" Target="mailto:bpipes@purdue.edu" TargetMode="External" Id="rId550"/><Relationship Type="http://schemas.openxmlformats.org/officeDocument/2006/relationships/hyperlink" Target="https://insgc.spacegrant.org/" TargetMode="External" Id="rId551"/><Relationship Type="http://schemas.openxmlformats.org/officeDocument/2006/relationships/hyperlink" Target="https://engineering.purdue.edu/AAE/people/Faculty" TargetMode="External" Id="rId552"/><Relationship Type="http://schemas.openxmlformats.org/officeDocument/2006/relationships/hyperlink" Target="https://engineering.purdue.edu/ME/People/ptProfile?resource_id=273456" TargetMode="External" Id="rId553"/><Relationship Type="http://schemas.openxmlformats.org/officeDocument/2006/relationships/hyperlink" Target="https://scholar.google.com/citations?user=E8PanGMAAAAJ" TargetMode="External" Id="rId554"/><Relationship Type="http://schemas.openxmlformats.org/officeDocument/2006/relationships/hyperlink" Target="mailto:bansal91@purdue.edu" TargetMode="External" Id="rId555"/><Relationship Type="http://schemas.openxmlformats.org/officeDocument/2006/relationships/hyperlink" Target="https://engineering.purdue.edu/EMRSL" TargetMode="External" Id="rId556"/><Relationship Type="http://schemas.openxmlformats.org/officeDocument/2006/relationships/hyperlink" Target="https://engineering.purdue.edu/ME/People/ptFaculty" TargetMode="External" Id="rId557"/><Relationship Type="http://schemas.openxmlformats.org/officeDocument/2006/relationships/hyperlink" Target="https://engineering.purdue.edu/ME/People/ptProfile?resource_id=127246" TargetMode="External" Id="rId558"/><Relationship Type="http://schemas.openxmlformats.org/officeDocument/2006/relationships/hyperlink" Target="https://scholar.google.com/citations?view_op=search_authors&amp;mauthors=Chi%20Hwan%20Lee%20Purdue%20University" TargetMode="External" Id="rId559"/><Relationship Type="http://schemas.openxmlformats.org/officeDocument/2006/relationships/hyperlink" Target="mailto:lee2270@purdue.edu" TargetMode="External" Id="rId560"/><Relationship Type="http://schemas.openxmlformats.org/officeDocument/2006/relationships/hyperlink" Target="https://engineering.purdue.edu/StickTronics/" TargetMode="External" Id="rId561"/><Relationship Type="http://schemas.openxmlformats.org/officeDocument/2006/relationships/hyperlink" Target="https://engineering.purdue.edu/ME/People/ptFaculty" TargetMode="External" Id="rId562"/><Relationship Type="http://schemas.openxmlformats.org/officeDocument/2006/relationships/hyperlink" Target="https://engineering.purdue.edu/AAE/people/ptProfile?resource_id=243165" TargetMode="External" Id="rId563"/><Relationship Type="http://schemas.openxmlformats.org/officeDocument/2006/relationships/hyperlink" Target="https://scholar.google.com/citations?view_op=search_authors&amp;mauthors=Dianyun%20Zhang%20Purdue%20University" TargetMode="External" Id="rId564"/><Relationship Type="http://schemas.openxmlformats.org/officeDocument/2006/relationships/hyperlink" Target="mailto:dianyun@purdue.edu" TargetMode="External" Id="rId565"/><Relationship Type="http://schemas.openxmlformats.org/officeDocument/2006/relationships/hyperlink" Target="https://insgc.spacegrant.org/" TargetMode="External" Id="rId566"/><Relationship Type="http://schemas.openxmlformats.org/officeDocument/2006/relationships/hyperlink" Target="https://engineering.purdue.edu/AAE/people/Faculty" TargetMode="External" Id="rId567"/><Relationship Type="http://schemas.openxmlformats.org/officeDocument/2006/relationships/hyperlink" Target="https://engineering.purdue.edu/ME/People/ptProfile?resource_id=29424" TargetMode="External" Id="rId568"/><Relationship Type="http://schemas.openxmlformats.org/officeDocument/2006/relationships/hyperlink" Target="https://scholar.google.com/citations?view_op=search_authors&amp;mauthors=Fu%20Zhao%20Purdue%20University" TargetMode="External" Id="rId569"/><Relationship Type="http://schemas.openxmlformats.org/officeDocument/2006/relationships/hyperlink" Target="mailto:fzhao@purdue.edu" TargetMode="External" Id="rId570"/><Relationship Type="http://schemas.openxmlformats.org/officeDocument/2006/relationships/hyperlink" Target="https://engineering.purdue.edu/~fzhao/" TargetMode="External" Id="rId571"/><Relationship Type="http://schemas.openxmlformats.org/officeDocument/2006/relationships/hyperlink" Target="https://engineering.purdue.edu/ME/People/ptFaculty" TargetMode="External" Id="rId572"/><Relationship Type="http://schemas.openxmlformats.org/officeDocument/2006/relationships/hyperlink" Target="https://engineering.purdue.edu/ME/People/ptProfile?resource_id=286292" TargetMode="External" Id="rId573"/><Relationship Type="http://schemas.openxmlformats.org/officeDocument/2006/relationships/hyperlink" Target="https://scholar.google.com/citations?user=JmlZjPgAAAAJ&amp;hl=en" TargetMode="External" Id="rId574"/><Relationship Type="http://schemas.openxmlformats.org/officeDocument/2006/relationships/hyperlink" Target="mailto:liddellh@purdue.edu" TargetMode="External" Id="rId575"/><Relationship Type="http://schemas.openxmlformats.org/officeDocument/2006/relationships/hyperlink" Target="https://hpliddell.github.io/" TargetMode="External" Id="rId576"/><Relationship Type="http://schemas.openxmlformats.org/officeDocument/2006/relationships/hyperlink" Target="https://github.com/alshedivat/al-folio" TargetMode="External" Id="rId577"/><Relationship Type="http://schemas.openxmlformats.org/officeDocument/2006/relationships/hyperlink" Target="https://engineering.purdue.edu/ME/People/ptFaculty" TargetMode="External" Id="rId578"/><Relationship Type="http://schemas.openxmlformats.org/officeDocument/2006/relationships/hyperlink" Target="https://engineering.purdue.edu/ME/People/ptProfile?resource_id=277732" TargetMode="External" Id="rId579"/><Relationship Type="http://schemas.openxmlformats.org/officeDocument/2006/relationships/hyperlink" Target="https://scholar.google.com/citations?user=sUD9j0EAAAAJ" TargetMode="External" Id="rId580"/><Relationship Type="http://schemas.openxmlformats.org/officeDocument/2006/relationships/hyperlink" Target="mailto:lsotelo@purdue.edu" TargetMode="External" Id="rId581"/><Relationship Type="http://schemas.openxmlformats.org/officeDocument/2006/relationships/hyperlink" Target="https://scholar.google.com/citations?user=sUD9j0EAAAAJ" TargetMode="External" Id="rId582"/><Relationship Type="http://schemas.openxmlformats.org/officeDocument/2006/relationships/hyperlink" Target="https://engineering.purdue.edu/ME/People/ptFaculty" TargetMode="External" Id="rId583"/><Relationship Type="http://schemas.openxmlformats.org/officeDocument/2006/relationships/hyperlink" Target="https://engineering.purdue.edu/ME/People/ptProfile?resource_id=106137" TargetMode="External" Id="rId584"/><Relationship Type="http://schemas.openxmlformats.org/officeDocument/2006/relationships/hyperlink" Target="https://scholar.google.com/citations?view_op=search_authors&amp;mauthors=Marcial%20Gonzalez%20Purdue%20University" TargetMode="External" Id="rId585"/><Relationship Type="http://schemas.openxmlformats.org/officeDocument/2006/relationships/hyperlink" Target="mailto:marcial-gonzalez@purdue.edu" TargetMode="External" Id="rId586"/><Relationship Type="http://schemas.openxmlformats.org/officeDocument/2006/relationships/hyperlink" Target="http://www.marcialgonzalez.net" TargetMode="External" Id="rId587"/><Relationship Type="http://schemas.openxmlformats.org/officeDocument/2006/relationships/hyperlink" Target="https://engineering.purdue.edu/ME/People/ptFaculty" TargetMode="External" Id="rId588"/><Relationship Type="http://schemas.openxmlformats.org/officeDocument/2006/relationships/hyperlink" Target="https://engineering.purdue.edu/ME/Research/People/ptProfile?resource_id=242960&amp;group_id=11989" TargetMode="External" Id="rId589"/><Relationship Type="http://schemas.openxmlformats.org/officeDocument/2006/relationships/hyperlink" Target="https://scholar.google.com/citations?view_op=search_authors&amp;mauthors=Monique%20McClain%20Purdue%20University" TargetMode="External" Id="rId590"/><Relationship Type="http://schemas.openxmlformats.org/officeDocument/2006/relationships/hyperlink" Target="mailto:mcclain5@purdue.edu" TargetMode="External" Id="rId591"/><Relationship Type="http://schemas.openxmlformats.org/officeDocument/2006/relationships/hyperlink" Target="https://mcclain.team/" TargetMode="External" Id="rId592"/><Relationship Type="http://schemas.openxmlformats.org/officeDocument/2006/relationships/hyperlink" Target="https://engineering.purdue.edu/AAE/people/Faculty" TargetMode="External" Id="rId593"/><Relationship Type="http://schemas.openxmlformats.org/officeDocument/2006/relationships/hyperlink" Target="https://engineering.purdue.edu/ME/People/ptProfile?resource_id=90129" TargetMode="External" Id="rId594"/><Relationship Type="http://schemas.openxmlformats.org/officeDocument/2006/relationships/hyperlink" Target="https://scholar.google.com/citations?view_op=search_authors&amp;mauthors=Pavlos%20Vlachos%20Purdue%20University" TargetMode="External" Id="rId595"/><Relationship Type="http://schemas.openxmlformats.org/officeDocument/2006/relationships/hyperlink" Target="mailto:pvlachos@purdue.edu" TargetMode="External" Id="rId596"/><Relationship Type="http://schemas.openxmlformats.org/officeDocument/2006/relationships/hyperlink" Target="https://vlachosresearch.org/" TargetMode="External" Id="rId597"/><Relationship Type="http://schemas.openxmlformats.org/officeDocument/2006/relationships/hyperlink" Target="https://engineering.purdue.edu/ME/People/ptFaculty" TargetMode="External" Id="rId598"/><Relationship Type="http://schemas.openxmlformats.org/officeDocument/2006/relationships/hyperlink" Target="https://engineering.purdue.edu/ME/People/ptProfile?resource_id=294615" TargetMode="External" Id="rId599"/><Relationship Type="http://schemas.openxmlformats.org/officeDocument/2006/relationships/hyperlink" Target="https://scholar.google.com/citations?view_op=search_authors&amp;mauthors=Shengfeng%20Yang%20Purdue%20University" TargetMode="External" Id="rId600"/><Relationship Type="http://schemas.openxmlformats.org/officeDocument/2006/relationships/hyperlink" Target="mailto:shengfengyang@purdue.edu" TargetMode="External" Id="rId601"/><Relationship Type="http://schemas.openxmlformats.org/officeDocument/2006/relationships/hyperlink" Target="https://shengfeng-yang.github.io/" TargetMode="External" Id="rId602"/><Relationship Type="http://schemas.openxmlformats.org/officeDocument/2006/relationships/hyperlink" Target="https://github.com/academicpages/academicpages.github.io" TargetMode="External" Id="rId603"/><Relationship Type="http://schemas.openxmlformats.org/officeDocument/2006/relationships/hyperlink" Target="https://engineering.purdue.edu/ME/People/ptFaculty" TargetMode="External" Id="rId604"/><Relationship Type="http://schemas.openxmlformats.org/officeDocument/2006/relationships/hyperlink" Target="https://engineering.purdue.edu/ME/People/ptProfile?resource_id=12303" TargetMode="External" Id="rId605"/><Relationship Type="http://schemas.openxmlformats.org/officeDocument/2006/relationships/hyperlink" Target="https://scholar.google.com/citations?hl=en&amp;user=axgXCjEAAAAJ" TargetMode="External" Id="rId606"/><Relationship Type="http://schemas.openxmlformats.org/officeDocument/2006/relationships/hyperlink" Target="mailto:siegmund@purdue.edu" TargetMode="External" Id="rId607"/><Relationship Type="http://schemas.openxmlformats.org/officeDocument/2006/relationships/hyperlink" Target="https://engineering.purdue.edu/MYMECH" TargetMode="External" Id="rId608"/><Relationship Type="http://schemas.openxmlformats.org/officeDocument/2006/relationships/hyperlink" Target="https://engineering.purdue.edu/ME/People/ptFaculty" TargetMode="External" Id="rId609"/><Relationship Type="http://schemas.openxmlformats.org/officeDocument/2006/relationships/hyperlink" Target="https://engineering.purdue.edu/AAE/people/ptProfile?resource_id=93761" TargetMode="External" Id="rId610"/><Relationship Type="http://schemas.openxmlformats.org/officeDocument/2006/relationships/hyperlink" Target="https://scholar.google.com/citations?view_op=search_authors&amp;mauthors=Wenbin%20Yu%20Purdue%20University" TargetMode="External" Id="rId611"/><Relationship Type="http://schemas.openxmlformats.org/officeDocument/2006/relationships/hyperlink" Target="mailto:wenbinyu@purdue.edu" TargetMode="External" Id="rId612"/><Relationship Type="http://schemas.openxmlformats.org/officeDocument/2006/relationships/hyperlink" Target="https://insgc.spacegrant.org/" TargetMode="External" Id="rId613"/><Relationship Type="http://schemas.openxmlformats.org/officeDocument/2006/relationships/hyperlink" Target="https://engineering.purdue.edu/AAE/people/Faculty" TargetMode="External" Id="rId614"/><Relationship Type="http://schemas.openxmlformats.org/officeDocument/2006/relationships/hyperlink" Target="https://engineering.purdue.edu/AAE/people/ptProfile?resource_id=112177" TargetMode="External" Id="rId615"/><Relationship Type="http://schemas.openxmlformats.org/officeDocument/2006/relationships/hyperlink" Target="https://scholar.google.com/citations?view_op=search_authors&amp;mauthors=Zherui%20Martinez-Guo%20Purdue%20University" TargetMode="External" Id="rId616"/><Relationship Type="http://schemas.openxmlformats.org/officeDocument/2006/relationships/hyperlink" Target="mailto:zmg@purdue.edu" TargetMode="External" Id="rId617"/><Relationship Type="http://schemas.openxmlformats.org/officeDocument/2006/relationships/hyperlink" Target="https://insgc.spacegrant.org/" TargetMode="External" Id="rId618"/><Relationship Type="http://schemas.openxmlformats.org/officeDocument/2006/relationships/hyperlink" Target="https://engineering.purdue.edu/AAE/people/Faculty" TargetMode="External" Id="rId619"/><Relationship Type="http://schemas.openxmlformats.org/officeDocument/2006/relationships/hyperlink" Target="https://engineering.purdue.edu/ME/People/ptProfile?resource_id=232598" TargetMode="External" Id="rId620"/><Relationship Type="http://schemas.openxmlformats.org/officeDocument/2006/relationships/hyperlink" Target="https://scholar.google.com/citations?view_op=search_authors&amp;mauthors=Ajay%20Malshe%20Purdue%20University" TargetMode="External" Id="rId621"/><Relationship Type="http://schemas.openxmlformats.org/officeDocument/2006/relationships/hyperlink" Target="mailto:amalshe@purdue.edu" TargetMode="External" Id="rId622"/><Relationship Type="http://schemas.openxmlformats.org/officeDocument/2006/relationships/hyperlink" Target="https://www.linkedin.com/in/ajay-malshe/" TargetMode="External" Id="rId623"/><Relationship Type="http://schemas.openxmlformats.org/officeDocument/2006/relationships/hyperlink" Target="https://engineering.purdue.edu/ME/People/ptFaculty" TargetMode="External" Id="rId624"/><Relationship Type="http://schemas.openxmlformats.org/officeDocument/2006/relationships/hyperlink" Target="https://engineering.purdue.edu/ME/People/ptProfile?resource_id=294597" TargetMode="External" Id="rId625"/><Relationship Type="http://schemas.openxmlformats.org/officeDocument/2006/relationships/hyperlink" Target="https://scholar.google.com/citations?view_op=search_authors&amp;mauthors=Alan%20Jones%20Purdue%20University" TargetMode="External" Id="rId626"/><Relationship Type="http://schemas.openxmlformats.org/officeDocument/2006/relationships/hyperlink" Target="mailto:jone1405@purdue.edu" TargetMode="External" Id="rId627"/><Relationship Type="http://schemas.openxmlformats.org/officeDocument/2006/relationships/hyperlink" Target="https://insgc.spacegrant.org/" TargetMode="External" Id="rId628"/><Relationship Type="http://schemas.openxmlformats.org/officeDocument/2006/relationships/hyperlink" Target="https://engineering.purdue.edu/ME/People/ptFaculty" TargetMode="External" Id="rId629"/><Relationship Type="http://schemas.openxmlformats.org/officeDocument/2006/relationships/hyperlink" Target="https://engineering.purdue.edu/ME/People/ptProfile?resource_id=243743" TargetMode="External" Id="rId630"/><Relationship Type="http://schemas.openxmlformats.org/officeDocument/2006/relationships/hyperlink" Target="https://scholar.google.com/citations?view_op=search_authors&amp;mauthors=Alex%20Chortos%20Purdue%20University" TargetMode="External" Id="rId631"/><Relationship Type="http://schemas.openxmlformats.org/officeDocument/2006/relationships/hyperlink" Target="mailto:achortos@purdue.edu" TargetMode="External" Id="rId632"/><Relationship Type="http://schemas.openxmlformats.org/officeDocument/2006/relationships/hyperlink" Target="https://www.alexchortos.com/" TargetMode="External" Id="rId633"/><Relationship Type="http://schemas.openxmlformats.org/officeDocument/2006/relationships/hyperlink" Target="https://engineering.purdue.edu/ME/People/ptFaculty" TargetMode="External" Id="rId634"/><Relationship Type="http://schemas.openxmlformats.org/officeDocument/2006/relationships/hyperlink" Target="https://engineering.purdue.edu/ME/People/ptProfile?resource_id=294607" TargetMode="External" Id="rId635"/><Relationship Type="http://schemas.openxmlformats.org/officeDocument/2006/relationships/hyperlink" Target="https://scholar.google.com/citations?user=z684NIUAAAAJ&amp;hl" TargetMode="External" Id="rId636"/><Relationship Type="http://schemas.openxmlformats.org/officeDocument/2006/relationships/hyperlink" Target="mailto:tovara@purdue.edu" TargetMode="External" Id="rId637"/><Relationship Type="http://schemas.openxmlformats.org/officeDocument/2006/relationships/hyperlink" Target="https://engineering.purdue.edu/EDRL" TargetMode="External" Id="rId638"/><Relationship Type="http://schemas.openxmlformats.org/officeDocument/2006/relationships/hyperlink" Target="https://engineering.purdue.edu/ME/People/ptFaculty" TargetMode="External" Id="rId639"/><Relationship Type="http://schemas.openxmlformats.org/officeDocument/2006/relationships/hyperlink" Target="https://engineering.purdue.edu/ME/People/ptProfile?resource_id=11316" TargetMode="External" Id="rId640"/><Relationship Type="http://schemas.openxmlformats.org/officeDocument/2006/relationships/hyperlink" Target="https://scholar.google.com/citations?view_op=search_authors&amp;mauthors=Anil%20K.%20Bajaj%20Purdue%20University" TargetMode="External" Id="rId641"/><Relationship Type="http://schemas.openxmlformats.org/officeDocument/2006/relationships/hyperlink" Target="mailto:bajaj@purdue.edu" TargetMode="External" Id="rId642"/><Relationship Type="http://schemas.openxmlformats.org/officeDocument/2006/relationships/hyperlink" Target="https://insgc.spacegrant.org/" TargetMode="External" Id="rId643"/><Relationship Type="http://schemas.openxmlformats.org/officeDocument/2006/relationships/hyperlink" Target="https://engineering.purdue.edu/ME/People/ptFaculty" TargetMode="External" Id="rId644"/><Relationship Type="http://schemas.openxmlformats.org/officeDocument/2006/relationships/hyperlink" Target="https://engineering.purdue.edu/ME/People/ptProfile?resource_id=250301" TargetMode="External" Id="rId645"/><Relationship Type="http://schemas.openxmlformats.org/officeDocument/2006/relationships/hyperlink" Target="https://scholar.google.com/citations?view_op=search_authors&amp;mauthors=Babak%20Anasori%20Purdue%20University" TargetMode="External" Id="rId646"/><Relationship Type="http://schemas.openxmlformats.org/officeDocument/2006/relationships/hyperlink" Target="mailto:banasori@purdue.edu" TargetMode="External" Id="rId647"/><Relationship Type="http://schemas.openxmlformats.org/officeDocument/2006/relationships/hyperlink" Target="https://www.babakanasori.com/" TargetMode="External" Id="rId648"/><Relationship Type="http://schemas.openxmlformats.org/officeDocument/2006/relationships/hyperlink" Target="https://engineering.purdue.edu/ME/People/ptFaculty" TargetMode="External" Id="rId649"/><Relationship Type="http://schemas.openxmlformats.org/officeDocument/2006/relationships/hyperlink" Target="https://engineering.purdue.edu/Engr/People/ptProfile?resource_id=4110" TargetMode="External" Id="rId650"/><Relationship Type="http://schemas.openxmlformats.org/officeDocument/2006/relationships/hyperlink" Target="https://scholar.google.com/citations?view_op=search_authors&amp;mauthors=Beth%20Holloway%20Purdue%20University" TargetMode="External" Id="rId651"/><Relationship Type="http://schemas.openxmlformats.org/officeDocument/2006/relationships/hyperlink" Target="mailto:holloway@purdue.edu" TargetMode="External" Id="rId652"/><Relationship Type="http://schemas.openxmlformats.org/officeDocument/2006/relationships/hyperlink" Target="https://insgc.spacegrant.org/" TargetMode="External" Id="rId653"/><Relationship Type="http://schemas.openxmlformats.org/officeDocument/2006/relationships/hyperlink" Target="https://engineering.purdue.edu/ME/People/ptFaculty" TargetMode="External" Id="rId654"/><Relationship Type="http://schemas.openxmlformats.org/officeDocument/2006/relationships/hyperlink" Target="https://engineering.purdue.edu/ME/People/ptProfile?resource_id=120407" TargetMode="External" Id="rId655"/><Relationship Type="http://schemas.openxmlformats.org/officeDocument/2006/relationships/hyperlink" Target="https://scholar.google.com/citations?view_op=search_authors&amp;mauthors=Eduardo%20Barocio%20Vaca%20Purdue%20University" TargetMode="External" Id="rId656"/><Relationship Type="http://schemas.openxmlformats.org/officeDocument/2006/relationships/hyperlink" Target="mailto:ebarocio@purdue.edu" TargetMode="External" Id="rId657"/><Relationship Type="http://schemas.openxmlformats.org/officeDocument/2006/relationships/hyperlink" Target="https://insgc.spacegrant.org/" TargetMode="External" Id="rId658"/><Relationship Type="http://schemas.openxmlformats.org/officeDocument/2006/relationships/hyperlink" Target="https://engineering.purdue.edu/ME/People/ptFaculty" TargetMode="External" Id="rId659"/><Relationship Type="http://schemas.openxmlformats.org/officeDocument/2006/relationships/hyperlink" Target="https://engineering.purdue.edu/ME/People/ptProfile?resource_id=23987" TargetMode="External" Id="rId660"/><Relationship Type="http://schemas.openxmlformats.org/officeDocument/2006/relationships/hyperlink" Target="https://scholar.google.com/citations?view_op=search_authors&amp;mauthors=Farshid%20Sadeghi%20Purdue%20University" TargetMode="External" Id="rId661"/><Relationship Type="http://schemas.openxmlformats.org/officeDocument/2006/relationships/hyperlink" Target="mailto:sadeghi@purdue.edu" TargetMode="External" Id="rId662"/><Relationship Type="http://schemas.openxmlformats.org/officeDocument/2006/relationships/hyperlink" Target="https://engineering.purdue.edu/METL" TargetMode="External" Id="rId663"/><Relationship Type="http://schemas.openxmlformats.org/officeDocument/2006/relationships/hyperlink" Target="https://engineering.purdue.edu/ME/People/ptFaculty" TargetMode="External" Id="rId664"/><Relationship Type="http://schemas.openxmlformats.org/officeDocument/2006/relationships/hyperlink" Target="https://engineering.purdue.edu/ME/People/ptProfile?resource_id=295482" TargetMode="External" Id="rId665"/><Relationship Type="http://schemas.openxmlformats.org/officeDocument/2006/relationships/hyperlink" Target="https://scholar.google.com/citations?view_op=search_authors&amp;mauthors=Hazim%20El%20Mounayri%20Purdue%20University" TargetMode="External" Id="rId666"/><Relationship Type="http://schemas.openxmlformats.org/officeDocument/2006/relationships/hyperlink" Target="mailto:helmouna@purdue.edu" TargetMode="External" Id="rId667"/><Relationship Type="http://schemas.openxmlformats.org/officeDocument/2006/relationships/hyperlink" Target="https://insgc.spacegrant.org/" TargetMode="External" Id="rId668"/><Relationship Type="http://schemas.openxmlformats.org/officeDocument/2006/relationships/hyperlink" Target="https://engineering.purdue.edu/ME/People/ptFaculty" TargetMode="External" Id="rId669"/><Relationship Type="http://schemas.openxmlformats.org/officeDocument/2006/relationships/hyperlink" Target="https://engineering.purdue.edu/ME/People/ptProfile?resource_id=113500" TargetMode="External" Id="rId670"/><Relationship Type="http://schemas.openxmlformats.org/officeDocument/2006/relationships/hyperlink" Target="https://scholar.google.com/citations?view_op=search_authors&amp;mauthors=Ilias%20Bilionis%20Purdue%20University" TargetMode="External" Id="rId671"/><Relationship Type="http://schemas.openxmlformats.org/officeDocument/2006/relationships/hyperlink" Target="mailto:ibilion@purdue.edu" TargetMode="External" Id="rId672"/><Relationship Type="http://schemas.openxmlformats.org/officeDocument/2006/relationships/hyperlink" Target="https://www.predictivesciencelab.org/" TargetMode="External" Id="rId673"/><Relationship Type="http://schemas.openxmlformats.org/officeDocument/2006/relationships/hyperlink" Target="https://github.com/PredictiveScienceLab" TargetMode="External" Id="rId674"/><Relationship Type="http://schemas.openxmlformats.org/officeDocument/2006/relationships/hyperlink" Target="https://engineering.purdue.edu/ME/People/ptFaculty" TargetMode="External" Id="rId675"/><Relationship Type="http://schemas.openxmlformats.org/officeDocument/2006/relationships/hyperlink" Target="https://engineering.purdue.edu/AAE/people/ptProfile?resource_id=1300" TargetMode="External" Id="rId676"/><Relationship Type="http://schemas.openxmlformats.org/officeDocument/2006/relationships/hyperlink" Target="https://scholar.google.com/citations?view_op=search_authors&amp;mauthors=James%20F.%20Doyle%20Purdue%20University" TargetMode="External" Id="rId677"/><Relationship Type="http://schemas.openxmlformats.org/officeDocument/2006/relationships/hyperlink" Target="mailto:webmaster-eng@purdue.edu" TargetMode="External" Id="rId678"/><Relationship Type="http://schemas.openxmlformats.org/officeDocument/2006/relationships/hyperlink" Target="https://insgc.spacegrant.org/" TargetMode="External" Id="rId679"/><Relationship Type="http://schemas.openxmlformats.org/officeDocument/2006/relationships/hyperlink" Target="https://engineering.purdue.edu/AAE/people/Faculty" TargetMode="External" Id="rId680"/><Relationship Type="http://schemas.openxmlformats.org/officeDocument/2006/relationships/hyperlink" Target="https://engineering.purdue.edu/ME/People/ptProfile?resource_id=127242" TargetMode="External" Id="rId681"/><Relationship Type="http://schemas.openxmlformats.org/officeDocument/2006/relationships/hyperlink" Target="https://scholar.google.com/citations?view_op=search_authors&amp;mauthors=James%20Gibert%20Purdue%20University" TargetMode="External" Id="rId682"/><Relationship Type="http://schemas.openxmlformats.org/officeDocument/2006/relationships/hyperlink" Target="mailto:jgibert@purdue.edu" TargetMode="External" Id="rId683"/><Relationship Type="http://schemas.openxmlformats.org/officeDocument/2006/relationships/hyperlink" Target="https://insgc.spacegrant.org/" TargetMode="External" Id="rId684"/><Relationship Type="http://schemas.openxmlformats.org/officeDocument/2006/relationships/hyperlink" Target="https://engineering.purdue.edu/ME/People/ptFaculty" TargetMode="External" Id="rId685"/><Relationship Type="http://schemas.openxmlformats.org/officeDocument/2006/relationships/hyperlink" Target="https://engineering.purdue.edu/ME/People/ptProfile?resource_id=80194" TargetMode="External" Id="rId686"/><Relationship Type="http://schemas.openxmlformats.org/officeDocument/2006/relationships/hyperlink" Target="https://scholar.google.com/citations?view_op=search_authors&amp;mauthors=Jitesh%20H.%20Panchal%20Purdue%20University" TargetMode="External" Id="rId687"/><Relationship Type="http://schemas.openxmlformats.org/officeDocument/2006/relationships/hyperlink" Target="mailto:panchal@purdue.edu" TargetMode="External" Id="rId688"/><Relationship Type="http://schemas.openxmlformats.org/officeDocument/2006/relationships/hyperlink" Target="https://engineering.purdue.edu/DELP/" TargetMode="External" Id="rId689"/><Relationship Type="http://schemas.openxmlformats.org/officeDocument/2006/relationships/hyperlink" Target="https://engineering.purdue.edu/ME/People/ptFaculty" TargetMode="External" Id="rId690"/><Relationship Type="http://schemas.openxmlformats.org/officeDocument/2006/relationships/hyperlink" Target="https://engineering.purdue.edu/ME/People/ptProfile?resource_id=156378" TargetMode="External" Id="rId691"/><Relationship Type="http://schemas.openxmlformats.org/officeDocument/2006/relationships/hyperlink" Target="https://scholar.google.com/citations?view_op=search_authors&amp;mauthors=Martin%20Byung-Guk%20Jun%20Purdue%20University" TargetMode="External" Id="rId692"/><Relationship Type="http://schemas.openxmlformats.org/officeDocument/2006/relationships/hyperlink" Target="mailto:mbgjun@purdue.edu" TargetMode="External" Id="rId693"/><Relationship Type="http://schemas.openxmlformats.org/officeDocument/2006/relationships/hyperlink" Target="http://web.ics.purdue.edu/~jun25/" TargetMode="External" Id="rId694"/><Relationship Type="http://schemas.openxmlformats.org/officeDocument/2006/relationships/hyperlink" Target="https://engineering.purdue.edu/ME/People/ptFaculty" TargetMode="External" Id="rId695"/><Relationship Type="http://schemas.openxmlformats.org/officeDocument/2006/relationships/hyperlink" Target="https://engineering.purdue.edu/ME/People/ptProfile?resource_id=144060" TargetMode="External" Id="rId696"/><Relationship Type="http://schemas.openxmlformats.org/officeDocument/2006/relationships/hyperlink" Target="https://scholar.google.com/citations?view_op=search_authors&amp;mauthors=Mukerrem%20Cakmak%20Purdue%20University" TargetMode="External" Id="rId697"/><Relationship Type="http://schemas.openxmlformats.org/officeDocument/2006/relationships/hyperlink" Target="mailto:cakmak@purdue.edu" TargetMode="External" Id="rId698"/><Relationship Type="http://schemas.openxmlformats.org/officeDocument/2006/relationships/hyperlink" Target="https://insgc.spacegrant.org/" TargetMode="External" Id="rId699"/><Relationship Type="http://schemas.openxmlformats.org/officeDocument/2006/relationships/hyperlink" Target="https://engineering.purdue.edu/ME/People/ptFaculty" TargetMode="External" Id="rId700"/><Relationship Type="http://schemas.openxmlformats.org/officeDocument/2006/relationships/hyperlink" Target="https://engineering.purdue.edu/ME/People/ptProfile?resource_id=236680" TargetMode="External" Id="rId701"/><Relationship Type="http://schemas.openxmlformats.org/officeDocument/2006/relationships/hyperlink" Target="https://scholar.google.com/citations?view_op=search_authors&amp;mauthors=Ryan%20Wagner%20Purdue%20University" TargetMode="External" Id="rId702"/><Relationship Type="http://schemas.openxmlformats.org/officeDocument/2006/relationships/hyperlink" Target="mailto:rbwagner@purdue.edu" TargetMode="External" Id="rId703"/><Relationship Type="http://schemas.openxmlformats.org/officeDocument/2006/relationships/hyperlink" Target="https://engineering.purdue.edu/~rbwagner/" TargetMode="External" Id="rId704"/><Relationship Type="http://schemas.openxmlformats.org/officeDocument/2006/relationships/hyperlink" Target="https://github.com/rbwagner147" TargetMode="External" Id="rId705"/><Relationship Type="http://schemas.openxmlformats.org/officeDocument/2006/relationships/hyperlink" Target="https://engineering.purdue.edu/ME/People/ptFaculty" TargetMode="External" Id="rId706"/><Relationship Type="http://schemas.openxmlformats.org/officeDocument/2006/relationships/hyperlink" Target="https://engineering.purdue.edu/AAE/people/ptProfile?resource_id=127158" TargetMode="External" Id="rId707"/><Relationship Type="http://schemas.openxmlformats.org/officeDocument/2006/relationships/hyperlink" Target="https://scholar.google.com/citations?view_op=search_authors&amp;mauthors=Tyler%20Tallman%20Purdue%20University" TargetMode="External" Id="rId708"/><Relationship Type="http://schemas.openxmlformats.org/officeDocument/2006/relationships/hyperlink" Target="mailto:ttallman@purdue.edu" TargetMode="External" Id="rId709"/><Relationship Type="http://schemas.openxmlformats.org/officeDocument/2006/relationships/hyperlink" Target="https://insgc.spacegrant.org/" TargetMode="External" Id="rId710"/><Relationship Type="http://schemas.openxmlformats.org/officeDocument/2006/relationships/hyperlink" Target="https://engineering.purdue.edu/AAE/people/Faculty" TargetMode="External" Id="rId711"/><Relationship Type="http://schemas.openxmlformats.org/officeDocument/2006/relationships/hyperlink" Target="https://engineering.purdue.edu/ME/People/ptProfile?resource_id=292632" TargetMode="External" Id="rId712"/><Relationship Type="http://schemas.openxmlformats.org/officeDocument/2006/relationships/hyperlink" Target="https://scholar.google.com/citations?user=wQTwuOYAAAAJ" TargetMode="External" Id="rId713"/><Relationship Type="http://schemas.openxmlformats.org/officeDocument/2006/relationships/hyperlink" Target="mailto:wei304@purdue.edu" TargetMode="External" Id="rId714"/><Relationship Type="http://schemas.openxmlformats.org/officeDocument/2006/relationships/hyperlink" Target="https://engineering.purdue.edu/XiaoliangWei" TargetMode="External" Id="rId715"/><Relationship Type="http://schemas.openxmlformats.org/officeDocument/2006/relationships/hyperlink" Target="https://engineering.purdue.edu/ME/People/ptFaculty" TargetMode="External" Id="rId716"/><Relationship Type="http://schemas.openxmlformats.org/officeDocument/2006/relationships/hyperlink" Target="https://engineering.purdue.edu/ME/People/ptProfile?resource_id=159504" TargetMode="External" Id="rId717"/><Relationship Type="http://schemas.openxmlformats.org/officeDocument/2006/relationships/hyperlink" Target="https://scholar.google.com/citations?view_op=search_authors&amp;mauthors=Beth%20Hess%20Purdue%20University" TargetMode="External" Id="rId718"/><Relationship Type="http://schemas.openxmlformats.org/officeDocument/2006/relationships/hyperlink" Target="mailto:bethhess@purdue.edu" TargetMode="External" Id="rId719"/><Relationship Type="http://schemas.openxmlformats.org/officeDocument/2006/relationships/hyperlink" Target="https://insgc.spacegrant.org/" TargetMode="External" Id="rId720"/><Relationship Type="http://schemas.openxmlformats.org/officeDocument/2006/relationships/hyperlink" Target="https://engineering.purdue.edu/ME/People/ptFaculty" TargetMode="External" Id="rId721"/><Relationship Type="http://schemas.openxmlformats.org/officeDocument/2006/relationships/hyperlink" Target="https://engineering.purdue.edu/ME/People/ptProfile?resource_id=11333" TargetMode="External" Id="rId722"/><Relationship Type="http://schemas.openxmlformats.org/officeDocument/2006/relationships/hyperlink" Target="https://scholar.google.com/citations?view_op=search_authors&amp;mauthors=Charles%20M.%20Krousgrill%20Purdue%20University" TargetMode="External" Id="rId723"/><Relationship Type="http://schemas.openxmlformats.org/officeDocument/2006/relationships/hyperlink" Target="mailto:krousgri@purdue.edu" TargetMode="External" Id="rId724"/><Relationship Type="http://schemas.openxmlformats.org/officeDocument/2006/relationships/hyperlink" Target="https://engineering.purdue.edu/ME/Research/Presentations/KrousgrillME%20Research.pdf" TargetMode="External" Id="rId725"/><Relationship Type="http://schemas.openxmlformats.org/officeDocument/2006/relationships/hyperlink" Target="https://engineering.purdue.edu/ME/People/ptFaculty" TargetMode="External" Id="rId726"/><Relationship Type="http://schemas.openxmlformats.org/officeDocument/2006/relationships/hyperlink" Target="https://engineering.purdue.edu/ME/People/ptProfile?resource_id=12482" TargetMode="External" Id="rId727"/><Relationship Type="http://schemas.openxmlformats.org/officeDocument/2006/relationships/hyperlink" Target="https://scholar.google.com/citations?view_op=search_authors&amp;mauthors=George%20T.%20C.%20Chiu%20Purdue%20University" TargetMode="External" Id="rId728"/><Relationship Type="http://schemas.openxmlformats.org/officeDocument/2006/relationships/hyperlink" Target="mailto:gchiu@purdue.edu" TargetMode="External" Id="rId729"/><Relationship Type="http://schemas.openxmlformats.org/officeDocument/2006/relationships/hyperlink" Target="https://engineering.purdue.edu/~gchiu" TargetMode="External" Id="rId730"/><Relationship Type="http://schemas.openxmlformats.org/officeDocument/2006/relationships/hyperlink" Target="https://engineering.purdue.edu/ME/People/ptFaculty" TargetMode="External" Id="rId731"/><Relationship Type="http://schemas.openxmlformats.org/officeDocument/2006/relationships/hyperlink" Target="https://engineering.purdue.edu/ME/People/ptProfile?resource_id=196738" TargetMode="External" Id="rId732"/><Relationship Type="http://schemas.openxmlformats.org/officeDocument/2006/relationships/hyperlink" Target="https://scholar.google.com/citations?view_op=search_authors&amp;mauthors=Greg%20Jensen%20Purdue%20University" TargetMode="External" Id="rId733"/><Relationship Type="http://schemas.openxmlformats.org/officeDocument/2006/relationships/hyperlink" Target="mailto:jensen23@purdue.edu" TargetMode="External" Id="rId734"/><Relationship Type="http://schemas.openxmlformats.org/officeDocument/2006/relationships/hyperlink" Target="https://insgc.spacegrant.org/" TargetMode="External" Id="rId735"/><Relationship Type="http://schemas.openxmlformats.org/officeDocument/2006/relationships/hyperlink" Target="https://engineering.purdue.edu/ME/People/ptFaculty" TargetMode="External" Id="rId736"/><Relationship Type="http://schemas.openxmlformats.org/officeDocument/2006/relationships/hyperlink" Target="https://engineering.purdue.edu/ME/People/ptProfile?resource_id=80190" TargetMode="External" Id="rId737"/><Relationship Type="http://schemas.openxmlformats.org/officeDocument/2006/relationships/hyperlink" Target="https://scholar.google.com/citations?view_op=search_authors&amp;mauthors=Liang%20Pan%20Purdue%20University" TargetMode="External" Id="rId738"/><Relationship Type="http://schemas.openxmlformats.org/officeDocument/2006/relationships/hyperlink" Target="mailto:liangpan@purdue.edu" TargetMode="External" Id="rId739"/><Relationship Type="http://schemas.openxmlformats.org/officeDocument/2006/relationships/hyperlink" Target="http://sites.google.com/site/panliang/" TargetMode="External" Id="rId740"/><Relationship Type="http://schemas.openxmlformats.org/officeDocument/2006/relationships/hyperlink" Target="https://engineering.purdue.edu/ME/People/ptFaculty" TargetMode="External" Id="rId741"/><Relationship Type="http://schemas.openxmlformats.org/officeDocument/2006/relationships/hyperlink" Target="https://engineering.purdue.edu/ME/People/ptProfile?resource_id=57291" TargetMode="External" Id="rId742"/><Relationship Type="http://schemas.openxmlformats.org/officeDocument/2006/relationships/hyperlink" Target="https://scholar.google.com/citations?view_op=search_authors&amp;mauthors=Shirley%20J%20Dyke%20Purdue%20University" TargetMode="External" Id="rId743"/><Relationship Type="http://schemas.openxmlformats.org/officeDocument/2006/relationships/hyperlink" Target="mailto:sdyke@purdue.edu" TargetMode="External" Id="rId744"/><Relationship Type="http://schemas.openxmlformats.org/officeDocument/2006/relationships/hyperlink" Target="https://purdue.edu/rethi/" TargetMode="External" Id="rId745"/><Relationship Type="http://schemas.openxmlformats.org/officeDocument/2006/relationships/hyperlink" Target="https://engineering.purdue.edu/ME/People/ptFaculty" TargetMode="External" Id="rId746"/><Relationship Type="http://schemas.openxmlformats.org/officeDocument/2006/relationships/hyperlink" Target="https://engineering.purdue.edu/ME/People/ptProfile?resource_id=117610" TargetMode="External" Id="rId747"/><Relationship Type="http://schemas.openxmlformats.org/officeDocument/2006/relationships/hyperlink" Target="https://scholar.google.com/citations?view_op=search_authors&amp;mauthors=Song%20Zhang%20Purdue%20University" TargetMode="External" Id="rId748"/><Relationship Type="http://schemas.openxmlformats.org/officeDocument/2006/relationships/hyperlink" Target="mailto:szhang15@purdue.edu" TargetMode="External" Id="rId749"/><Relationship Type="http://schemas.openxmlformats.org/officeDocument/2006/relationships/hyperlink" Target="http://www.xyztlab.com" TargetMode="External" Id="rId750"/><Relationship Type="http://schemas.openxmlformats.org/officeDocument/2006/relationships/hyperlink" Target="https://engineering.purdue.edu/ME/People/ptFaculty" TargetMode="External" Id="rId751"/><Relationship Type="http://schemas.openxmlformats.org/officeDocument/2006/relationships/hyperlink" Target="https://engineering.purdue.edu/ME/People/ptProfile?resource_id=12309" TargetMode="External" Id="rId752"/><Relationship Type="http://schemas.openxmlformats.org/officeDocument/2006/relationships/hyperlink" Target="https://scholar.google.com/citations?view_op=search_authors&amp;mauthors=Yung%20C.%20Shin%20Purdue%20University" TargetMode="External" Id="rId753"/><Relationship Type="http://schemas.openxmlformats.org/officeDocument/2006/relationships/hyperlink" Target="mailto:shin@purdue.edu" TargetMode="External" Id="rId754"/><Relationship Type="http://schemas.openxmlformats.org/officeDocument/2006/relationships/hyperlink" Target="http://engineering.purdue.edu/ManLab/" TargetMode="External" Id="rId755"/><Relationship Type="http://schemas.openxmlformats.org/officeDocument/2006/relationships/hyperlink" Target="https://engineering.purdue.edu/ME/People/ptFaculty" TargetMode="External" Id="rId756"/><Relationship Type="http://schemas.openxmlformats.org/officeDocument/2006/relationships/hyperlink" Target="https://engineering.purdue.edu/AAE/people/ptProfile?resource_id=1403" TargetMode="External" Id="rId757"/><Relationship Type="http://schemas.openxmlformats.org/officeDocument/2006/relationships/hyperlink" Target="https://scholar.google.com/citations?view_op=search_authors&amp;mauthors=Inseok%20Hwang%20Purdue%20University" TargetMode="External" Id="rId758"/><Relationship Type="http://schemas.openxmlformats.org/officeDocument/2006/relationships/hyperlink" Target="mailto:ihwang@purdue.edu" TargetMode="External" Id="rId759"/><Relationship Type="http://schemas.openxmlformats.org/officeDocument/2006/relationships/hyperlink" Target="https://insgc.spacegrant.org/" TargetMode="External" Id="rId760"/><Relationship Type="http://schemas.openxmlformats.org/officeDocument/2006/relationships/hyperlink" Target="https://engineering.purdue.edu/AAE/people/Faculty" TargetMode="External" Id="rId761"/><Relationship Type="http://schemas.openxmlformats.org/officeDocument/2006/relationships/hyperlink" Target="https://engineering.purdue.edu/AAE/people/ptProfile?resource_id=272261" TargetMode="External" Id="rId762"/><Relationship Type="http://schemas.openxmlformats.org/officeDocument/2006/relationships/hyperlink" Target="https://scholar.google.com/citations?hl=en&amp;user=fVJDLrYAAAAJ&amp;view_op=list_works&amp;sortby=pubdate" TargetMode="External" Id="rId763"/><Relationship Type="http://schemas.openxmlformats.org/officeDocument/2006/relationships/hyperlink" Target="mailto:klegrand@purdue.edu" TargetMode="External" Id="rId764"/><Relationship Type="http://schemas.openxmlformats.org/officeDocument/2006/relationships/hyperlink" Target="https://insgc.spacegrant.org/" TargetMode="External" Id="rId765"/><Relationship Type="http://schemas.openxmlformats.org/officeDocument/2006/relationships/hyperlink" Target="https://engineering.purdue.edu/AAE/people/Faculty" TargetMode="External" Id="rId766"/><Relationship Type="http://schemas.openxmlformats.org/officeDocument/2006/relationships/hyperlink" Target="https://engineering.purdue.edu/AAE/people/ptProfile?resource_id=1429" TargetMode="External" Id="rId767"/><Relationship Type="http://schemas.openxmlformats.org/officeDocument/2006/relationships/hyperlink" Target="https://scholar.google.com/citations?view_op=search_authors&amp;mauthors=Daniel%20DeLaurentis%20Purdue%20University" TargetMode="External" Id="rId768"/><Relationship Type="http://schemas.openxmlformats.org/officeDocument/2006/relationships/hyperlink" Target="mailto:ddelaure@purdue.edu" TargetMode="External" Id="rId769"/><Relationship Type="http://schemas.openxmlformats.org/officeDocument/2006/relationships/hyperlink" Target="https://insgc.spacegrant.org/" TargetMode="External" Id="rId770"/><Relationship Type="http://schemas.openxmlformats.org/officeDocument/2006/relationships/hyperlink" Target="https://engineering.purdue.edu/AAE/people/Faculty" TargetMode="External" Id="rId771"/><Relationship Type="http://schemas.openxmlformats.org/officeDocument/2006/relationships/hyperlink" Target="https://engineering.purdue.edu/AAE/people/ptProfile?resource_id=50922" TargetMode="External" Id="rId772"/><Relationship Type="http://schemas.openxmlformats.org/officeDocument/2006/relationships/hyperlink" Target="https://scholar.google.com/citations?view_op=search_authors&amp;mauthors=Dengfeng%20Sun%20Purdue%20University" TargetMode="External" Id="rId773"/><Relationship Type="http://schemas.openxmlformats.org/officeDocument/2006/relationships/hyperlink" Target="mailto:dsun@purdue.edu" TargetMode="External" Id="rId774"/><Relationship Type="http://schemas.openxmlformats.org/officeDocument/2006/relationships/hyperlink" Target="https://insgc.spacegrant.org/" TargetMode="External" Id="rId775"/><Relationship Type="http://schemas.openxmlformats.org/officeDocument/2006/relationships/hyperlink" Target="https://engineering.purdue.edu/AAE/people/Faculty" TargetMode="External" Id="rId776"/><Relationship Type="http://schemas.openxmlformats.org/officeDocument/2006/relationships/hyperlink" Target="https://engineering.purdue.edu/ME/People/ptProfile?resource_id=11271" TargetMode="External" Id="rId777"/><Relationship Type="http://schemas.openxmlformats.org/officeDocument/2006/relationships/hyperlink" Target="https://scholar.google.com/citations?view_op=search_authors&amp;mauthors=Bin%20Yao%20Purdue%20University" TargetMode="External" Id="rId778"/><Relationship Type="http://schemas.openxmlformats.org/officeDocument/2006/relationships/hyperlink" Target="mailto:byao@purdue.edu" TargetMode="External" Id="rId779"/><Relationship Type="http://schemas.openxmlformats.org/officeDocument/2006/relationships/hyperlink" Target="http://engineering.purdue.edu/~byao/" TargetMode="External" Id="rId780"/><Relationship Type="http://schemas.openxmlformats.org/officeDocument/2006/relationships/hyperlink" Target="https://engineering.purdue.edu/ME/People/ptFaculty" TargetMode="External" Id="rId781"/><Relationship Type="http://schemas.openxmlformats.org/officeDocument/2006/relationships/hyperlink" Target="https://engineering.purdue.edu/ME/People/ptProfile?resource_id=211078" TargetMode="External" Id="rId782"/><Relationship Type="http://schemas.openxmlformats.org/officeDocument/2006/relationships/hyperlink" Target="https://scholar.google.com/citations?view_op=search_authors&amp;mauthors=Nina%20Mahmoudian%20Purdue%20University" TargetMode="External" Id="rId783"/><Relationship Type="http://schemas.openxmlformats.org/officeDocument/2006/relationships/hyperlink" Target="mailto:ninam@purdue.edu" TargetMode="External" Id="rId784"/><Relationship Type="http://schemas.openxmlformats.org/officeDocument/2006/relationships/hyperlink" Target="https://engineering.purdue.edu/mahmoudian" TargetMode="External" Id="rId785"/><Relationship Type="http://schemas.openxmlformats.org/officeDocument/2006/relationships/hyperlink" Target="https://engineering.purdue.edu/ME/People/ptFaculty" TargetMode="External" Id="rId786"/><Relationship Type="http://schemas.openxmlformats.org/officeDocument/2006/relationships/hyperlink" Target="https://engineering.purdue.edu/AAE/people/ptProfile?resource_id=243160" TargetMode="External" Id="rId787"/><Relationship Type="http://schemas.openxmlformats.org/officeDocument/2006/relationships/hyperlink" Target="https://scholar.google.com/citations?view_op=search_authors&amp;mauthors=Ran%20Dai%20Purdue%20University" TargetMode="External" Id="rId788"/><Relationship Type="http://schemas.openxmlformats.org/officeDocument/2006/relationships/hyperlink" Target="mailto:randai@purdue.edu" TargetMode="External" Id="rId789"/><Relationship Type="http://schemas.openxmlformats.org/officeDocument/2006/relationships/hyperlink" Target="https://insgc.spacegrant.org/" TargetMode="External" Id="rId790"/><Relationship Type="http://schemas.openxmlformats.org/officeDocument/2006/relationships/hyperlink" Target="https://engineering.purdue.edu/AAE/people/Faculty" TargetMode="External" Id="rId791"/><Relationship Type="http://schemas.openxmlformats.org/officeDocument/2006/relationships/hyperlink" Target="https://engineering.purdue.edu/AAE/people/ptProfile?resource_id=124981" TargetMode="External" Id="rId792"/><Relationship Type="http://schemas.openxmlformats.org/officeDocument/2006/relationships/hyperlink" Target="https://scholar.google.com/citations?user=gkl8tbMAAAAJ&amp;hl=en" TargetMode="External" Id="rId793"/><Relationship Type="http://schemas.openxmlformats.org/officeDocument/2006/relationships/hyperlink" Target="mailto:mous@purdue.edu" TargetMode="External" Id="rId794"/><Relationship Type="http://schemas.openxmlformats.org/officeDocument/2006/relationships/hyperlink" Target="https://insgc.spacegrant.org/" TargetMode="External" Id="rId795"/><Relationship Type="http://schemas.openxmlformats.org/officeDocument/2006/relationships/hyperlink" Target="https://engineering.purdue.edu/AAE/people/Faculty" TargetMode="External" Id="rId796"/><Relationship Type="http://schemas.openxmlformats.org/officeDocument/2006/relationships/hyperlink" Target="https://engineering.purdue.edu/ME/People/ptProfile?resource_id=57378" TargetMode="External" Id="rId797"/><Relationship Type="http://schemas.openxmlformats.org/officeDocument/2006/relationships/hyperlink" Target="https://scholar.google.com/citations?view_op=search_authors&amp;mauthors=Xinyan%20Deng%20Purdue%20University" TargetMode="External" Id="rId798"/><Relationship Type="http://schemas.openxmlformats.org/officeDocument/2006/relationships/hyperlink" Target="mailto:xdeng@purdue.edu" TargetMode="External" Id="rId799"/><Relationship Type="http://schemas.openxmlformats.org/officeDocument/2006/relationships/hyperlink" Target="http://engineering.purdue.edu/~xdeng/" TargetMode="External" Id="rId800"/><Relationship Type="http://schemas.openxmlformats.org/officeDocument/2006/relationships/hyperlink" Target="https://engineering.purdue.edu/ME/People/ptFaculty" TargetMode="External" Id="rId801"/><Relationship Type="http://schemas.openxmlformats.org/officeDocument/2006/relationships/hyperlink" Target="https://engineering.purdue.edu/ME/People/ptProfile?resource_id=273141" TargetMode="External" Id="rId802"/><Relationship Type="http://schemas.openxmlformats.org/officeDocument/2006/relationships/hyperlink" Target="https://scholar.google.com/citations?view_op=search_authors&amp;mauthors=Yan%20Gu%20Purdue%20University" TargetMode="External" Id="rId803"/><Relationship Type="http://schemas.openxmlformats.org/officeDocument/2006/relationships/hyperlink" Target="mailto:yangu@purdue.edu" TargetMode="External" Id="rId804"/><Relationship Type="http://schemas.openxmlformats.org/officeDocument/2006/relationships/hyperlink" Target="https://www.thetracelab.com/" TargetMode="External" Id="rId805"/><Relationship Type="http://schemas.openxmlformats.org/officeDocument/2006/relationships/hyperlink" Target="https://engineering.purdue.edu/ME/People/ptFaculty" TargetMode="External" Id="rId806"/><Relationship Type="http://schemas.openxmlformats.org/officeDocument/2006/relationships/hyperlink" Target="https://engineering.purdue.edu/ME/People/ptProfile?resource_id=92669" TargetMode="External" Id="rId807"/><Relationship Type="http://schemas.openxmlformats.org/officeDocument/2006/relationships/hyperlink" Target="https://scholar.google.com/citations?view_op=search_authors&amp;mauthors=David%20Cappelleri%20Purdue%20University" TargetMode="External" Id="rId808"/><Relationship Type="http://schemas.openxmlformats.org/officeDocument/2006/relationships/hyperlink" Target="mailto:dcappell@purdue.edu" TargetMode="External" Id="rId809"/><Relationship Type="http://schemas.openxmlformats.org/officeDocument/2006/relationships/hyperlink" Target="http://www.multiscalerobotics.org/" TargetMode="External" Id="rId810"/><Relationship Type="http://schemas.openxmlformats.org/officeDocument/2006/relationships/hyperlink" Target="https://engineering.purdue.edu/ME/People/ptFaculty" TargetMode="External" Id="rId811"/><Relationship Type="http://schemas.openxmlformats.org/officeDocument/2006/relationships/hyperlink" Target="https://engineering.purdue.edu/AAE/people/ptProfile?resource_id=270776" TargetMode="External" Id="rId812"/><Relationship Type="http://schemas.openxmlformats.org/officeDocument/2006/relationships/hyperlink" Target="https://scholar.google.com/citations?view_op=search_authors&amp;mauthors=Husheng%20Li%20Purdue%20University" TargetMode="External" Id="rId813"/><Relationship Type="http://schemas.openxmlformats.org/officeDocument/2006/relationships/hyperlink" Target="mailto:husheng@purdue.edu" TargetMode="External" Id="rId814"/><Relationship Type="http://schemas.openxmlformats.org/officeDocument/2006/relationships/hyperlink" Target="https://insgc.spacegrant.org/" TargetMode="External" Id="rId815"/><Relationship Type="http://schemas.openxmlformats.org/officeDocument/2006/relationships/hyperlink" Target="https://engineering.purdue.edu/AAE/people/Faculty" TargetMode="External" Id="rId816"/><Relationship Type="http://schemas.openxmlformats.org/officeDocument/2006/relationships/hyperlink" Target="https://engineering.purdue.edu/AAE/people/ptProfile?resource_id=50933" TargetMode="External" Id="rId817"/><Relationship Type="http://schemas.openxmlformats.org/officeDocument/2006/relationships/hyperlink" Target="https://scholar.google.com/citations?view_op=search_authors&amp;mauthors=Karen%20Marais%20Purdue%20University" TargetMode="External" Id="rId818"/><Relationship Type="http://schemas.openxmlformats.org/officeDocument/2006/relationships/hyperlink" Target="mailto:kmarais@purdue.edu" TargetMode="External" Id="rId819"/><Relationship Type="http://schemas.openxmlformats.org/officeDocument/2006/relationships/hyperlink" Target="https://insgc.spacegrant.org/" TargetMode="External" Id="rId820"/><Relationship Type="http://schemas.openxmlformats.org/officeDocument/2006/relationships/hyperlink" Target="https://engineering.purdue.edu/AAE/people/Faculty" TargetMode="External" Id="rId821"/><Relationship Type="http://schemas.openxmlformats.org/officeDocument/2006/relationships/hyperlink" Target="https://engineering.purdue.edu/ME/People/ptProfile?resource_id=12331" TargetMode="External" Id="rId822"/><Relationship Type="http://schemas.openxmlformats.org/officeDocument/2006/relationships/hyperlink" Target="https://scholar.google.com/citations?view_op=search_authors&amp;mauthors=Karthik%20Ramani%20Purdue%20University" TargetMode="External" Id="rId823"/><Relationship Type="http://schemas.openxmlformats.org/officeDocument/2006/relationships/hyperlink" Target="mailto:ramani@purdue.edu" TargetMode="External" Id="rId824"/><Relationship Type="http://schemas.openxmlformats.org/officeDocument/2006/relationships/hyperlink" Target="https://engineering.purdue.edu/cdesign" TargetMode="External" Id="rId825"/><Relationship Type="http://schemas.openxmlformats.org/officeDocument/2006/relationships/hyperlink" Target="https://engineering.purdue.edu/ME/People/ptFaculty" TargetMode="External" Id="rId826"/><Relationship Type="http://schemas.openxmlformats.org/officeDocument/2006/relationships/hyperlink" Target="https://engineering.purdue.edu/ME/People/ptProfile?resource_id=241064" TargetMode="External" Id="rId827"/><Relationship Type="http://schemas.openxmlformats.org/officeDocument/2006/relationships/hyperlink" Target="https://scholar.google.com/citations?view_op=search_authors&amp;mauthors=Laura%20Blumenschein%20Purdue%20University" TargetMode="External" Id="rId828"/><Relationship Type="http://schemas.openxmlformats.org/officeDocument/2006/relationships/hyperlink" Target="mailto:lhblumen@purdue.edu" TargetMode="External" Id="rId829"/><Relationship Type="http://schemas.openxmlformats.org/officeDocument/2006/relationships/hyperlink" Target="https://lhblumen.wixsite.com/website-1" TargetMode="External" Id="rId830"/><Relationship Type="http://schemas.openxmlformats.org/officeDocument/2006/relationships/hyperlink" Target="https://engineering.purdue.edu/ME/People/ptFaculty" TargetMode="External" Id="rId831"/><Relationship Type="http://schemas.openxmlformats.org/officeDocument/2006/relationships/hyperlink" Target="https://engineering.purdue.edu/ME/People/ptProfile?resource_id=61666" TargetMode="External" Id="rId832"/><Relationship Type="http://schemas.openxmlformats.org/officeDocument/2006/relationships/hyperlink" Target="https://scholar.google.com/citations?view_op=search_authors&amp;mauthors=Andrea%20Vacca%20Purdue%20University" TargetMode="External" Id="rId833"/><Relationship Type="http://schemas.openxmlformats.org/officeDocument/2006/relationships/hyperlink" Target="mailto:avacca@purdue.edu" TargetMode="External" Id="rId834"/><Relationship Type="http://schemas.openxmlformats.org/officeDocument/2006/relationships/hyperlink" Target="https://engineering.purdue.edu/Maha" TargetMode="External" Id="rId835"/><Relationship Type="http://schemas.openxmlformats.org/officeDocument/2006/relationships/hyperlink" Target="https://engineering.purdue.edu/ME/People/ptFaculty" TargetMode="External" Id="rId836"/><Relationship Type="http://schemas.openxmlformats.org/officeDocument/2006/relationships/hyperlink" Target="https://engineering.purdue.edu/AAE/people/ptProfile?resource_id=1339" TargetMode="External" Id="rId837"/><Relationship Type="http://schemas.openxmlformats.org/officeDocument/2006/relationships/hyperlink" Target="https://scholar.google.com/citations?view_op=search_authors&amp;mauthors=Arthur%20E.%20Frazho%20Purdue%20University" TargetMode="External" Id="rId838"/><Relationship Type="http://schemas.openxmlformats.org/officeDocument/2006/relationships/hyperlink" Target="mailto:frazho@purdue.edu" TargetMode="External" Id="rId839"/><Relationship Type="http://schemas.openxmlformats.org/officeDocument/2006/relationships/hyperlink" Target="https://insgc.spacegrant.org/" TargetMode="External" Id="rId840"/><Relationship Type="http://schemas.openxmlformats.org/officeDocument/2006/relationships/hyperlink" Target="https://engineering.purdue.edu/AAE/people/Faculty" TargetMode="External" Id="rId841"/><Relationship Type="http://schemas.openxmlformats.org/officeDocument/2006/relationships/hyperlink" Target="https://engineering.purdue.edu/AAE/people/ptProfile?resource_id=132802" TargetMode="External" Id="rId842"/><Relationship Type="http://schemas.openxmlformats.org/officeDocument/2006/relationships/hyperlink" Target="https://scholar.google.com/citations?view_op=search_authors&amp;mauthors=Brandon%20Chynoweth%20Purdue%20University" TargetMode="External" Id="rId843"/><Relationship Type="http://schemas.openxmlformats.org/officeDocument/2006/relationships/hyperlink" Target="mailto:bchynowe@purdue.edu" TargetMode="External" Id="rId844"/><Relationship Type="http://schemas.openxmlformats.org/officeDocument/2006/relationships/hyperlink" Target="https://insgc.spacegrant.org/" TargetMode="External" Id="rId845"/><Relationship Type="http://schemas.openxmlformats.org/officeDocument/2006/relationships/hyperlink" Target="https://engineering.purdue.edu/AAE/people/Faculty" TargetMode="External" Id="rId846"/><Relationship Type="http://schemas.openxmlformats.org/officeDocument/2006/relationships/hyperlink" Target="https://engineering.purdue.edu/ME/People/ptProfile?resource_id=137267" TargetMode="External" Id="rId847"/><Relationship Type="http://schemas.openxmlformats.org/officeDocument/2006/relationships/hyperlink" Target="https://scholar.google.com/citations?view_op=search_authors&amp;mauthors=Brett%20Meyers%20Purdue%20University" TargetMode="External" Id="rId848"/><Relationship Type="http://schemas.openxmlformats.org/officeDocument/2006/relationships/hyperlink" Target="mailto:meyers18@purdue.edu" TargetMode="External" Id="rId849"/><Relationship Type="http://schemas.openxmlformats.org/officeDocument/2006/relationships/hyperlink" Target="https://insgc.spacegrant.org/" TargetMode="External" Id="rId850"/><Relationship Type="http://schemas.openxmlformats.org/officeDocument/2006/relationships/hyperlink" Target="https://engineering.purdue.edu/ME/People/ptFaculty" TargetMode="External" Id="rId851"/><Relationship Type="http://schemas.openxmlformats.org/officeDocument/2006/relationships/hyperlink" Target="https://engineering.purdue.edu/ME/People/ptProfile?resource_id=2871" TargetMode="External" Id="rId852"/><Relationship Type="http://schemas.openxmlformats.org/officeDocument/2006/relationships/hyperlink" Target="https://scholar.google.com/citations?view_op=search_authors&amp;mauthors=Cagri%20A.%20Savran%20Purdue%20University" TargetMode="External" Id="rId853"/><Relationship Type="http://schemas.openxmlformats.org/officeDocument/2006/relationships/hyperlink" Target="mailto:savran@purdue.edu" TargetMode="External" Id="rId854"/><Relationship Type="http://schemas.openxmlformats.org/officeDocument/2006/relationships/hyperlink" Target="https://insgc.spacegrant.org/" TargetMode="External" Id="rId855"/><Relationship Type="http://schemas.openxmlformats.org/officeDocument/2006/relationships/hyperlink" Target="https://engineering.purdue.edu/ME/People/ptFaculty" TargetMode="External" Id="rId856"/><Relationship Type="http://schemas.openxmlformats.org/officeDocument/2006/relationships/hyperlink" Target="https://engineering.purdue.edu/ME/People/ptProfile?resource_id=293356" TargetMode="External" Id="rId857"/><Relationship Type="http://schemas.openxmlformats.org/officeDocument/2006/relationships/hyperlink" Target="https://scholar.google.com/citations?view_op=search_authors&amp;mauthors=Daniel%20Williams%20Purdue%20University" TargetMode="External" Id="rId858"/><Relationship Type="http://schemas.openxmlformats.org/officeDocument/2006/relationships/hyperlink" Target="mailto:dewillia@purdue.edu" TargetMode="External" Id="rId859"/><Relationship Type="http://schemas.openxmlformats.org/officeDocument/2006/relationships/hyperlink" Target="https://insgc.spacegrant.org/" TargetMode="External" Id="rId860"/><Relationship Type="http://schemas.openxmlformats.org/officeDocument/2006/relationships/hyperlink" Target="https://engineering.purdue.edu/ME/People/ptFaculty" TargetMode="External" Id="rId861"/><Relationship Type="http://schemas.openxmlformats.org/officeDocument/2006/relationships/hyperlink" Target="https://engineering.purdue.edu/ME/People/ptProfile?resource_id=340479" TargetMode="External" Id="rId862"/><Relationship Type="http://schemas.openxmlformats.org/officeDocument/2006/relationships/hyperlink" Target="https://scholar.google.com/citations?view_op=search_authors&amp;mauthors=John%20Eric%20Goff%20Purdue%20University" TargetMode="External" Id="rId863"/><Relationship Type="http://schemas.openxmlformats.org/officeDocument/2006/relationships/hyperlink" Target="mailto:goffje@purdue.edu" TargetMode="External" Id="rId864"/><Relationship Type="http://schemas.openxmlformats.org/officeDocument/2006/relationships/hyperlink" Target="https://insgc.spacegrant.org/" TargetMode="External" Id="rId865"/><Relationship Type="http://schemas.openxmlformats.org/officeDocument/2006/relationships/hyperlink" Target="https://engineering.purdue.edu/ME/People/ptFaculty" TargetMode="External" Id="rId866"/><Relationship Type="http://schemas.openxmlformats.org/officeDocument/2006/relationships/hyperlink" Target="https://engineering.purdue.edu/AAE/people/ptProfile?resource_id=316433" TargetMode="External" Id="rId867"/><Relationship Type="http://schemas.openxmlformats.org/officeDocument/2006/relationships/hyperlink" Target="https://scholar.google.com/citations?view_op=search_authors&amp;mauthors=Kevin%20Parsons%20Purdue%20University" TargetMode="External" Id="rId868"/><Relationship Type="http://schemas.openxmlformats.org/officeDocument/2006/relationships/hyperlink" Target="mailto:kkparson@purdue.edu" TargetMode="External" Id="rId869"/><Relationship Type="http://schemas.openxmlformats.org/officeDocument/2006/relationships/hyperlink" Target="https://insgc.spacegrant.org/" TargetMode="External" Id="rId870"/><Relationship Type="http://schemas.openxmlformats.org/officeDocument/2006/relationships/hyperlink" Target="https://engineering.purdue.edu/AAE/people/Faculty" TargetMode="External" Id="rId871"/><Relationship Type="http://schemas.openxmlformats.org/officeDocument/2006/relationships/hyperlink" Target="https://engineering.purdue.edu/ME/People/ptProfile?resource_id=84937" TargetMode="External" Id="rId872"/><Relationship Type="http://schemas.openxmlformats.org/officeDocument/2006/relationships/hyperlink" Target="https://scholar.google.com/citations?view_op=search_authors&amp;mauthors=Lizhi%20Shang%20Purdue%20University" TargetMode="External" Id="rId873"/><Relationship Type="http://schemas.openxmlformats.org/officeDocument/2006/relationships/hyperlink" Target="mailto:shangl@purdue.edu" TargetMode="External" Id="rId874"/><Relationship Type="http://schemas.openxmlformats.org/officeDocument/2006/relationships/hyperlink" Target="https://engineering.purdue.edu/Maha" TargetMode="External" Id="rId875"/><Relationship Type="http://schemas.openxmlformats.org/officeDocument/2006/relationships/hyperlink" Target="https://engineering.purdue.edu/ME/People/ptFaculty" TargetMode="External" Id="rId876"/><Relationship Type="http://schemas.openxmlformats.org/officeDocument/2006/relationships/hyperlink" Target="https://engineering.purdue.edu/AAE/people/ptProfile?resource_id=1410" TargetMode="External" Id="rId877"/><Relationship Type="http://schemas.openxmlformats.org/officeDocument/2006/relationships/hyperlink" Target="https://scholar.google.com/citations?view_op=search_authors&amp;mauthors=Martin%20J.%20Corless%20Purdue%20University" TargetMode="External" Id="rId878"/><Relationship Type="http://schemas.openxmlformats.org/officeDocument/2006/relationships/hyperlink" Target="mailto:corless@purdue.edu" TargetMode="External" Id="rId879"/><Relationship Type="http://schemas.openxmlformats.org/officeDocument/2006/relationships/hyperlink" Target="https://insgc.spacegrant.org/" TargetMode="External" Id="rId880"/><Relationship Type="http://schemas.openxmlformats.org/officeDocument/2006/relationships/hyperlink" Target="https://engineering.purdue.edu/AAE/people/Faculty" TargetMode="External" Id="rId881"/><Relationship Type="http://schemas.openxmlformats.org/officeDocument/2006/relationships/hyperlink" Target="https://engineering.purdue.edu/ME/People/ptProfile?resource_id=324781" TargetMode="External" Id="rId882"/><Relationship Type="http://schemas.openxmlformats.org/officeDocument/2006/relationships/hyperlink" Target="https://scholar.google.com/citations?view_op=search_authors&amp;mauthors=Mina%20Karimi%20Purdue%20University" TargetMode="External" Id="rId883"/><Relationship Type="http://schemas.openxmlformats.org/officeDocument/2006/relationships/hyperlink" Target="mailto:karimi2@purdue.edu" TargetMode="External" Id="rId884"/><Relationship Type="http://schemas.openxmlformats.org/officeDocument/2006/relationships/hyperlink" Target="https://engineering.purdue.edu/karimi" TargetMode="External" Id="rId885"/><Relationship Type="http://schemas.openxmlformats.org/officeDocument/2006/relationships/hyperlink" Target="https://engineering.purdue.edu/ME/People/ptFaculty" TargetMode="External" Id="rId886"/><Relationship Type="http://schemas.openxmlformats.org/officeDocument/2006/relationships/hyperlink" Target="https://engineering.purdue.edu/ME/People/ptProfile?resource_id=292617" TargetMode="External" Id="rId887"/><Relationship Type="http://schemas.openxmlformats.org/officeDocument/2006/relationships/hyperlink" Target="https://scholar.google.com/citations?view_op=search_authors&amp;mauthors=Sohel%20Anwar%20Purdue%20University" TargetMode="External" Id="rId888"/><Relationship Type="http://schemas.openxmlformats.org/officeDocument/2006/relationships/hyperlink" Target="mailto:sanwar@purdue.edu" TargetMode="External" Id="rId889"/><Relationship Type="http://schemas.openxmlformats.org/officeDocument/2006/relationships/hyperlink" Target="https://insgc.spacegrant.org/" TargetMode="External" Id="rId890"/><Relationship Type="http://schemas.openxmlformats.org/officeDocument/2006/relationships/hyperlink" Target="https://engineering.purdue.edu/ME/People/ptFaculty" TargetMode="External" Id="rId891"/><Relationship Type="http://schemas.openxmlformats.org/officeDocument/2006/relationships/hyperlink" Target="https://engineering.purdue.edu/AAE/people/ptProfile?resource_id=308322" TargetMode="External" Id="rId892"/><Relationship Type="http://schemas.openxmlformats.org/officeDocument/2006/relationships/hyperlink" Target="https://scholar.google.com/citations?view_op=search_authors&amp;mauthors=Takashi%20Tanaka%20Purdue%20University" TargetMode="External" Id="rId893"/><Relationship Type="http://schemas.openxmlformats.org/officeDocument/2006/relationships/hyperlink" Target="mailto:webmaster-eng@purdue.edu" TargetMode="External" Id="rId894"/><Relationship Type="http://schemas.openxmlformats.org/officeDocument/2006/relationships/hyperlink" Target="https://insgc.spacegrant.org/" TargetMode="External" Id="rId895"/><Relationship Type="http://schemas.openxmlformats.org/officeDocument/2006/relationships/hyperlink" Target="https://engineering.purdue.edu/AAE/people/Faculty" TargetMode="External" Id="rId896"/><Relationship Type="http://schemas.openxmlformats.org/officeDocument/2006/relationships/hyperlink" Target="https://engineering.purdue.edu/AAE/people/ptProfile?resource_id=1305" TargetMode="External" Id="rId897"/><Relationship Type="http://schemas.openxmlformats.org/officeDocument/2006/relationships/hyperlink" Target="https://scholar.google.com/citations?view_op=search_authors&amp;mauthors=William%20Crossley%20Purdue%20University" TargetMode="External" Id="rId898"/><Relationship Type="http://schemas.openxmlformats.org/officeDocument/2006/relationships/hyperlink" Target="mailto:asherwo@purdue.edu" TargetMode="External" Id="rId899"/><Relationship Type="http://schemas.openxmlformats.org/officeDocument/2006/relationships/hyperlink" Target="https://insgc.spacegrant.org/" TargetMode="External" Id="rId900"/><Relationship Type="http://schemas.openxmlformats.org/officeDocument/2006/relationships/hyperlink" Target="https://engineering.purdue.edu/AAE/people/Faculty" TargetMode="External" Id="rId901"/><Relationship Type="http://schemas.openxmlformats.org/officeDocument/2006/relationships/hyperlink" Target="https://engineering.purdue.edu/AAE/people/ptProfile?resource_id=288723" TargetMode="External" Id="rId902"/><Relationship Type="http://schemas.openxmlformats.org/officeDocument/2006/relationships/hyperlink" Target="https://scholar.google.com/citations?view_op=search_authors&amp;mauthors=Andrea%20Capannolo%20Purdue%20University" TargetMode="External" Id="rId903"/><Relationship Type="http://schemas.openxmlformats.org/officeDocument/2006/relationships/hyperlink" Target="mailto:acapa@purdue.edu" TargetMode="External" Id="rId904"/><Relationship Type="http://schemas.openxmlformats.org/officeDocument/2006/relationships/hyperlink" Target="https://insgc.spacegrant.org/" TargetMode="External" Id="rId905"/><Relationship Type="http://schemas.openxmlformats.org/officeDocument/2006/relationships/hyperlink" Target="https://engineering.purdue.edu/AAE/people/Faculty" TargetMode="External" Id="rId906"/><Relationship Type="http://schemas.openxmlformats.org/officeDocument/2006/relationships/hyperlink" Target="https://engineering.purdue.edu/ME/People/ptProfile?resource_id=55474" TargetMode="External" Id="rId907"/><Relationship Type="http://schemas.openxmlformats.org/officeDocument/2006/relationships/hyperlink" Target="https://scholar.google.com/citations?view_op=search_authors&amp;mauthors=Andrew%20Hsu%20Purdue%20University" TargetMode="External" Id="rId908"/><Relationship Type="http://schemas.openxmlformats.org/officeDocument/2006/relationships/hyperlink" Target="mailto:webmaster-eng@purdue.edu" TargetMode="External" Id="rId909"/><Relationship Type="http://schemas.openxmlformats.org/officeDocument/2006/relationships/hyperlink" Target="https://insgc.spacegrant.org/" TargetMode="External" Id="rId910"/><Relationship Type="http://schemas.openxmlformats.org/officeDocument/2006/relationships/hyperlink" Target="https://engineering.purdue.edu/ME/People/ptFaculty" TargetMode="External" Id="rId911"/><Relationship Type="http://schemas.openxmlformats.org/officeDocument/2006/relationships/hyperlink" Target="https://engineering.purdue.edu/ME/People/ptProfile?resource_id=282232" TargetMode="External" Id="rId912"/><Relationship Type="http://schemas.openxmlformats.org/officeDocument/2006/relationships/hyperlink" Target="https://scholar.google.com/citations?view_op=search_authors&amp;mauthors=Bairav%20Sabarish%20Vishnugopi%20Purdue%20University" TargetMode="External" Id="rId913"/><Relationship Type="http://schemas.openxmlformats.org/officeDocument/2006/relationships/hyperlink" Target="mailto:bvishnug@purdue.edu" TargetMode="External" Id="rId914"/><Relationship Type="http://schemas.openxmlformats.org/officeDocument/2006/relationships/hyperlink" Target="https://insgc.spacegrant.org/" TargetMode="External" Id="rId915"/><Relationship Type="http://schemas.openxmlformats.org/officeDocument/2006/relationships/hyperlink" Target="https://engineering.purdue.edu/ME/People/ptFaculty" TargetMode="External" Id="rId916"/><Relationship Type="http://schemas.openxmlformats.org/officeDocument/2006/relationships/hyperlink" Target="https://engineering.purdue.edu/IE/people/ptProfile?resource_id=5732" TargetMode="External" Id="rId917"/><Relationship Type="http://schemas.openxmlformats.org/officeDocument/2006/relationships/hyperlink" Target="https://scholar.google.com/citations?view_op=search_authors&amp;mauthors=Barrett%20Caldwell%20Purdue%20University" TargetMode="External" Id="rId918"/><Relationship Type="http://schemas.openxmlformats.org/officeDocument/2006/relationships/hyperlink" Target="mailto:bscaldwell@purdue.edu" TargetMode="External" Id="rId919"/><Relationship Type="http://schemas.openxmlformats.org/officeDocument/2006/relationships/hyperlink" Target="https://insgc.spacegrant.org/" TargetMode="External" Id="rId920"/><Relationship Type="http://schemas.openxmlformats.org/officeDocument/2006/relationships/hyperlink" Target="https://engineering.purdue.edu/AAE/people/Faculty" TargetMode="External" Id="rId921"/><Relationship Type="http://schemas.openxmlformats.org/officeDocument/2006/relationships/hyperlink" Target="https://engineering.purdue.edu/AAE/people/ptProfile?resource_id=27430" TargetMode="External" Id="rId922"/><Relationship Type="http://schemas.openxmlformats.org/officeDocument/2006/relationships/hyperlink" Target="https://scholar.google.com/citations?view_op=search_authors&amp;mauthors=Beth%20Moses%20Purdue%20University" TargetMode="External" Id="rId923"/><Relationship Type="http://schemas.openxmlformats.org/officeDocument/2006/relationships/hyperlink" Target="mailto:stubbing@purdue.edu" TargetMode="External" Id="rId924"/><Relationship Type="http://schemas.openxmlformats.org/officeDocument/2006/relationships/hyperlink" Target="https://insgc.spacegrant.org/" TargetMode="External" Id="rId925"/><Relationship Type="http://schemas.openxmlformats.org/officeDocument/2006/relationships/hyperlink" Target="https://engineering.purdue.edu/AAE/people/Faculty" TargetMode="External" Id="rId926"/><Relationship Type="http://schemas.openxmlformats.org/officeDocument/2006/relationships/hyperlink" Target="https://engineering.purdue.edu/ME/People/ptProfile?resource_id=319733" TargetMode="External" Id="rId927"/><Relationship Type="http://schemas.openxmlformats.org/officeDocument/2006/relationships/hyperlink" Target="https://scholar.google.com/citations?view_op=search_authors&amp;mauthors=Bradley%20Geswein%20Purdue%20University" TargetMode="External" Id="rId928"/><Relationship Type="http://schemas.openxmlformats.org/officeDocument/2006/relationships/hyperlink" Target="mailto:webmaster-eng@purdue.edu" TargetMode="External" Id="rId929"/><Relationship Type="http://schemas.openxmlformats.org/officeDocument/2006/relationships/hyperlink" Target="https://insgc.spacegrant.org/" TargetMode="External" Id="rId930"/><Relationship Type="http://schemas.openxmlformats.org/officeDocument/2006/relationships/hyperlink" Target="https://engineering.purdue.edu/ME/People/ptFaculty" TargetMode="External" Id="rId931"/><Relationship Type="http://schemas.openxmlformats.org/officeDocument/2006/relationships/hyperlink" Target="https://engineering.purdue.edu/ME/People/ptProfile?resource_id=294643" TargetMode="External" Id="rId932"/><Relationship Type="http://schemas.openxmlformats.org/officeDocument/2006/relationships/hyperlink" Target="https://scholar.google.com/citations?view_op=search_authors&amp;mauthors=Christopher%20Finch%20Purdue%20University" TargetMode="External" Id="rId933"/><Relationship Type="http://schemas.openxmlformats.org/officeDocument/2006/relationships/hyperlink" Target="mailto:finch21@purdue.edu" TargetMode="External" Id="rId934"/><Relationship Type="http://schemas.openxmlformats.org/officeDocument/2006/relationships/hyperlink" Target="https://insgc.spacegrant.org/" TargetMode="External" Id="rId935"/><Relationship Type="http://schemas.openxmlformats.org/officeDocument/2006/relationships/hyperlink" Target="https://engineering.purdue.edu/ME/People/ptFaculty" TargetMode="External" Id="rId936"/><Relationship Type="http://schemas.openxmlformats.org/officeDocument/2006/relationships/hyperlink" Target="https://engineering.purdue.edu/ME/People/ptProfile?resource_id=84317" TargetMode="External" Id="rId937"/><Relationship Type="http://schemas.openxmlformats.org/officeDocument/2006/relationships/hyperlink" Target="https://scholar.google.com/citations?view_op=search_authors&amp;mauthors=Craig%20Goergen%20Purdue%20University" TargetMode="External" Id="rId938"/><Relationship Type="http://schemas.openxmlformats.org/officeDocument/2006/relationships/hyperlink" Target="mailto:cgoergen@purdue.edu" TargetMode="External" Id="rId939"/><Relationship Type="http://schemas.openxmlformats.org/officeDocument/2006/relationships/hyperlink" Target="https://insgc.spacegrant.org/" TargetMode="External" Id="rId940"/><Relationship Type="http://schemas.openxmlformats.org/officeDocument/2006/relationships/hyperlink" Target="https://engineering.purdue.edu/ME/People/ptFaculty" TargetMode="External" Id="rId941"/><Relationship Type="http://schemas.openxmlformats.org/officeDocument/2006/relationships/hyperlink" Target="https://engineering.purdue.edu/AAE/people/ptProfile?resource_id=109597" TargetMode="External" Id="rId942"/><Relationship Type="http://schemas.openxmlformats.org/officeDocument/2006/relationships/hyperlink" Target="https://scholar.google.com/citations?view_op=search_authors&amp;mauthors=Daniel%20Dumbacher%20Purdue%20University" TargetMode="External" Id="rId943"/><Relationship Type="http://schemas.openxmlformats.org/officeDocument/2006/relationships/hyperlink" Target="mailto:dan-dumbacher@purdue.edu" TargetMode="External" Id="rId944"/><Relationship Type="http://schemas.openxmlformats.org/officeDocument/2006/relationships/hyperlink" Target="https://insgc.spacegrant.org/" TargetMode="External" Id="rId945"/><Relationship Type="http://schemas.openxmlformats.org/officeDocument/2006/relationships/hyperlink" Target="https://engineering.purdue.edu/AAE/people/Faculty" TargetMode="External" Id="rId946"/><Relationship Type="http://schemas.openxmlformats.org/officeDocument/2006/relationships/hyperlink" Target="https://engineering.purdue.edu/BME/People/ptProfile?resource_id=241220" TargetMode="External" Id="rId947"/><Relationship Type="http://schemas.openxmlformats.org/officeDocument/2006/relationships/hyperlink" Target="https://scholar.google.com/citations?user=kkEqKSgAAAAJ&amp;hl=en" TargetMode="External" Id="rId948"/><Relationship Type="http://schemas.openxmlformats.org/officeDocument/2006/relationships/hyperlink" Target="mailto:chand@purdue.edu" TargetMode="External" Id="rId949"/><Relationship Type="http://schemas.openxmlformats.org/officeDocument/2006/relationships/hyperlink" Target="https://insgc.spacegrant.org/" TargetMode="External" Id="rId950"/><Relationship Type="http://schemas.openxmlformats.org/officeDocument/2006/relationships/hyperlink" Target="https://engineering.purdue.edu/ME/People/ptFaculty" TargetMode="External" Id="rId951"/><Relationship Type="http://schemas.openxmlformats.org/officeDocument/2006/relationships/hyperlink" Target="https://engineering.purdue.edu/ME/People/ptProfile?resource_id=277929" TargetMode="External" Id="rId952"/><Relationship Type="http://schemas.openxmlformats.org/officeDocument/2006/relationships/hyperlink" Target="https://scholar.google.com/citations?view_op=search_authors&amp;mauthors=Diane%20Wagner%20Purdue%20University" TargetMode="External" Id="rId953"/><Relationship Type="http://schemas.openxmlformats.org/officeDocument/2006/relationships/hyperlink" Target="mailto:wagne242@purdue.edu" TargetMode="External" Id="rId954"/><Relationship Type="http://schemas.openxmlformats.org/officeDocument/2006/relationships/hyperlink" Target="https://dianewagnerlab.com/" TargetMode="External" Id="rId955"/><Relationship Type="http://schemas.openxmlformats.org/officeDocument/2006/relationships/hyperlink" Target="https://engineering.purdue.edu/ME/People/ptFaculty" TargetMode="External" Id="rId956"/><Relationship Type="http://schemas.openxmlformats.org/officeDocument/2006/relationships/hyperlink" Target="https://engineering.purdue.edu/ME/People/ptProfile?resource_id=2976" TargetMode="External" Id="rId957"/><Relationship Type="http://schemas.openxmlformats.org/officeDocument/2006/relationships/hyperlink" Target="https://scholar.google.com/citations?view_op=search_authors&amp;mauthors=E.%20Daniel%20Hirleman%20Purdue%20University" TargetMode="External" Id="rId958"/><Relationship Type="http://schemas.openxmlformats.org/officeDocument/2006/relationships/hyperlink" Target="mailto:hirleman@purdue.edu" TargetMode="External" Id="rId959"/><Relationship Type="http://schemas.openxmlformats.org/officeDocument/2006/relationships/hyperlink" Target="https://insgc.spacegrant.org/" TargetMode="External" Id="rId960"/><Relationship Type="http://schemas.openxmlformats.org/officeDocument/2006/relationships/hyperlink" Target="https://engineering.purdue.edu/ME/People/ptFaculty" TargetMode="External" Id="rId961"/><Relationship Type="http://schemas.openxmlformats.org/officeDocument/2006/relationships/hyperlink" Target="https://engineering.purdue.edu/ME/People/ptProfile?resource_id=39910" TargetMode="External" Id="rId962"/><Relationship Type="http://schemas.openxmlformats.org/officeDocument/2006/relationships/hyperlink" Target="https://scholar.google.com/citations?view_op=search_authors&amp;mauthors=Eric%20Holloway%20Purdue%20University" TargetMode="External" Id="rId963"/><Relationship Type="http://schemas.openxmlformats.org/officeDocument/2006/relationships/hyperlink" Target="mailto:eholloway@purdue.edu" TargetMode="External" Id="rId964"/><Relationship Type="http://schemas.openxmlformats.org/officeDocument/2006/relationships/hyperlink" Target="https://insgc.spacegrant.org/" TargetMode="External" Id="rId965"/><Relationship Type="http://schemas.openxmlformats.org/officeDocument/2006/relationships/hyperlink" Target="https://engineering.purdue.edu/ME/People/ptFaculty" TargetMode="External" Id="rId966"/><Relationship Type="http://schemas.openxmlformats.org/officeDocument/2006/relationships/hyperlink" Target="https://engineering.purdue.edu/AAE/people/ptProfile?resource_id=22094" TargetMode="External" Id="rId967"/><Relationship Type="http://schemas.openxmlformats.org/officeDocument/2006/relationships/hyperlink" Target="https://scholar.google.com/citations?view_op=search_authors&amp;mauthors=Henry%20Yang%20Purdue%20University" TargetMode="External" Id="rId968"/><Relationship Type="http://schemas.openxmlformats.org/officeDocument/2006/relationships/hyperlink" Target="mailto:webmaster-eng@purdue.edu" TargetMode="External" Id="rId969"/><Relationship Type="http://schemas.openxmlformats.org/officeDocument/2006/relationships/hyperlink" Target="https://insgc.spacegrant.org/" TargetMode="External" Id="rId970"/><Relationship Type="http://schemas.openxmlformats.org/officeDocument/2006/relationships/hyperlink" Target="https://engineering.purdue.edu/AAE/people/Faculty" TargetMode="External" Id="rId971"/><Relationship Type="http://schemas.openxmlformats.org/officeDocument/2006/relationships/hyperlink" Target="https://engineering.purdue.edu/ME/People/ptProfile?resource_id=114677" TargetMode="External" Id="rId972"/><Relationship Type="http://schemas.openxmlformats.org/officeDocument/2006/relationships/hyperlink" Target="https://scholar.google.com/citations?view_op=search_authors&amp;mauthors=Ibrahim%20Gunduz%20Purdue%20University" TargetMode="External" Id="rId973"/><Relationship Type="http://schemas.openxmlformats.org/officeDocument/2006/relationships/hyperlink" Target="mailto:igunduz@purdue.edu" TargetMode="External" Id="rId974"/><Relationship Type="http://schemas.openxmlformats.org/officeDocument/2006/relationships/hyperlink" Target="https://insgc.spacegrant.org/" TargetMode="External" Id="rId975"/><Relationship Type="http://schemas.openxmlformats.org/officeDocument/2006/relationships/hyperlink" Target="https://engineering.purdue.edu/ME/People/ptFaculty" TargetMode="External" Id="rId976"/><Relationship Type="http://schemas.openxmlformats.org/officeDocument/2006/relationships/hyperlink" Target="https://engineering.purdue.edu/AAE/people/ptProfile?resource_id=37293" TargetMode="External" Id="rId977"/><Relationship Type="http://schemas.openxmlformats.org/officeDocument/2006/relationships/hyperlink" Target="https://scholar.google.com/citations?view_op=search_authors&amp;mauthors=James%20Goppert%20Purdue%20University" TargetMode="External" Id="rId978"/><Relationship Type="http://schemas.openxmlformats.org/officeDocument/2006/relationships/hyperlink" Target="mailto:jgoppert@purdue.edu" TargetMode="External" Id="rId979"/><Relationship Type="http://schemas.openxmlformats.org/officeDocument/2006/relationships/hyperlink" Target="https://insgc.spacegrant.org/" TargetMode="External" Id="rId980"/><Relationship Type="http://schemas.openxmlformats.org/officeDocument/2006/relationships/hyperlink" Target="https://engineering.purdue.edu/AAE/people/Faculty" TargetMode="External" Id="rId981"/><Relationship Type="http://schemas.openxmlformats.org/officeDocument/2006/relationships/hyperlink" Target="https://engineering.purdue.edu/ME/People/ptProfile?resource_id=294585" TargetMode="External" Id="rId982"/><Relationship Type="http://schemas.openxmlformats.org/officeDocument/2006/relationships/hyperlink" Target="https://scholar.google.com/citations?view_op=search_authors&amp;mauthors=Jie%20Chen%20Purdue%20University" TargetMode="External" Id="rId983"/><Relationship Type="http://schemas.openxmlformats.org/officeDocument/2006/relationships/hyperlink" Target="mailto:chenj@purdue.edu" TargetMode="External" Id="rId984"/><Relationship Type="http://schemas.openxmlformats.org/officeDocument/2006/relationships/hyperlink" Target="https://insgc.spacegrant.org/" TargetMode="External" Id="rId985"/><Relationship Type="http://schemas.openxmlformats.org/officeDocument/2006/relationships/hyperlink" Target="https://engineering.purdue.edu/ME/People/ptFaculty" TargetMode="External" Id="rId986"/><Relationship Type="http://schemas.openxmlformats.org/officeDocument/2006/relationships/hyperlink" Target="https://engineering.purdue.edu/ECE/People/ptProfile?resource_id=339341" TargetMode="External" Id="rId987"/><Relationship Type="http://schemas.openxmlformats.org/officeDocument/2006/relationships/hyperlink" Target="https://scholar.google.com/citations?view_op=search_authors&amp;mauthors=Johannes%20Lachner%20Purdue%20University" TargetMode="External" Id="rId988"/><Relationship Type="http://schemas.openxmlformats.org/officeDocument/2006/relationships/hyperlink" Target="mailto:jlachner@purdue.edu" TargetMode="External" Id="rId989"/><Relationship Type="http://schemas.openxmlformats.org/officeDocument/2006/relationships/hyperlink" Target="https://insgc.spacegrant.org/" TargetMode="External" Id="rId990"/><Relationship Type="http://schemas.openxmlformats.org/officeDocument/2006/relationships/hyperlink" Target="https://engineering.purdue.edu/ME/People/ptFaculty" TargetMode="External" Id="rId991"/><Relationship Type="http://schemas.openxmlformats.org/officeDocument/2006/relationships/hyperlink" Target="https://engineering.purdue.edu/ME/People/ptProfile?resource_id=207278" TargetMode="External" Id="rId992"/><Relationship Type="http://schemas.openxmlformats.org/officeDocument/2006/relationships/hyperlink" Target="https://scholar.google.com/citations?view_op=search_authors&amp;mauthors=John%20Evans%20Purdue%20University" TargetMode="External" Id="rId993"/><Relationship Type="http://schemas.openxmlformats.org/officeDocument/2006/relationships/hyperlink" Target="mailto:jevansiv@purdue.edu" TargetMode="External" Id="rId994"/><Relationship Type="http://schemas.openxmlformats.org/officeDocument/2006/relationships/hyperlink" Target="https://insgc.spacegrant.org/" TargetMode="External" Id="rId995"/><Relationship Type="http://schemas.openxmlformats.org/officeDocument/2006/relationships/hyperlink" Target="https://engineering.purdue.edu/ME/People/ptFaculty" TargetMode="External" Id="rId996"/><Relationship Type="http://schemas.openxmlformats.org/officeDocument/2006/relationships/hyperlink" Target="https://engineering.purdue.edu/SEE/People/ptProfile?resource_id=57089" TargetMode="External" Id="rId997"/><Relationship Type="http://schemas.openxmlformats.org/officeDocument/2006/relationships/hyperlink" Target="https://scholar.google.com/citations?view_op=search_authors&amp;mauthors=John%20Sutherland%20Purdue%20University" TargetMode="External" Id="rId998"/><Relationship Type="http://schemas.openxmlformats.org/officeDocument/2006/relationships/hyperlink" Target="mailto:jwsuther@purdue.edu" TargetMode="External" Id="rId999"/><Relationship Type="http://schemas.openxmlformats.org/officeDocument/2006/relationships/hyperlink" Target="https://insgc.spacegrant.org/" TargetMode="External" Id="rId1000"/><Relationship Type="http://schemas.openxmlformats.org/officeDocument/2006/relationships/hyperlink" Target="https://engineering.purdue.edu/ME/People/ptFaculty" TargetMode="External" Id="rId1001"/><Relationship Type="http://schemas.openxmlformats.org/officeDocument/2006/relationships/hyperlink" Target="https://engineering.purdue.edu/ME/People/ptProfile?resource_id=162480" TargetMode="External" Id="rId1002"/><Relationship Type="http://schemas.openxmlformats.org/officeDocument/2006/relationships/hyperlink" Target="https://scholar.google.com/citations?view_op=search_authors&amp;mauthors=Justin%20Seipel%20Purdue%20University" TargetMode="External" Id="rId1003"/><Relationship Type="http://schemas.openxmlformats.org/officeDocument/2006/relationships/hyperlink" Target="mailto:jseipel@purdue.edu" TargetMode="External" Id="rId1004"/><Relationship Type="http://schemas.openxmlformats.org/officeDocument/2006/relationships/hyperlink" Target="https://insgc.spacegrant.org/" TargetMode="External" Id="rId1005"/><Relationship Type="http://schemas.openxmlformats.org/officeDocument/2006/relationships/hyperlink" Target="https://engineering.purdue.edu/ME/People/ptFaculty" TargetMode="External" Id="rId1006"/><Relationship Type="http://schemas.openxmlformats.org/officeDocument/2006/relationships/hyperlink" Target="https://engineering.purdue.edu/ME/People/ptProfile?resource_id=224646" TargetMode="External" Id="rId1007"/><Relationship Type="http://schemas.openxmlformats.org/officeDocument/2006/relationships/hyperlink" Target="https://scholar.google.com/citations?view_op=search_authors&amp;mauthors=Metin%20Ornek%20Purdue%20University" TargetMode="External" Id="rId1008"/><Relationship Type="http://schemas.openxmlformats.org/officeDocument/2006/relationships/hyperlink" Target="mailto:mornek@purdue.edu" TargetMode="External" Id="rId1009"/><Relationship Type="http://schemas.openxmlformats.org/officeDocument/2006/relationships/hyperlink" Target="https://insgc.spacegrant.org/" TargetMode="External" Id="rId1010"/><Relationship Type="http://schemas.openxmlformats.org/officeDocument/2006/relationships/hyperlink" Target="https://engineering.purdue.edu/ME/People/ptFaculty" TargetMode="External" Id="rId1011"/><Relationship Type="http://schemas.openxmlformats.org/officeDocument/2006/relationships/hyperlink" Target="https://engineering.purdue.edu/ME/People/ptProfile?resource_id=256663" TargetMode="External" Id="rId1012"/><Relationship Type="http://schemas.openxmlformats.org/officeDocument/2006/relationships/hyperlink" Target="https://scholar.google.com/citations?view_op=search_authors&amp;mauthors=Michael%20Sealy%20Purdue%20University" TargetMode="External" Id="rId1013"/><Relationship Type="http://schemas.openxmlformats.org/officeDocument/2006/relationships/hyperlink" Target="mailto:msealy@purdue.edu" TargetMode="External" Id="rId1014"/><Relationship Type="http://schemas.openxmlformats.org/officeDocument/2006/relationships/hyperlink" Target="https://engineering.purdue.edu/PART" TargetMode="External" Id="rId1015"/><Relationship Type="http://schemas.openxmlformats.org/officeDocument/2006/relationships/hyperlink" Target="https://engineering.purdue.edu/ME/People/ptFaculty" TargetMode="External" Id="rId1016"/><Relationship Type="http://schemas.openxmlformats.org/officeDocument/2006/relationships/hyperlink" Target="https://engineering.purdue.edu/ME/People/ptProfile?resource_id=133408" TargetMode="External" Id="rId1017"/><Relationship Type="http://schemas.openxmlformats.org/officeDocument/2006/relationships/hyperlink" Target="https://scholar.google.com/citations?view_op=search_authors&amp;mauthors=Mikhail%20Slipchenko%20Purdue%20University" TargetMode="External" Id="rId1018"/><Relationship Type="http://schemas.openxmlformats.org/officeDocument/2006/relationships/hyperlink" Target="mailto:mslipche@purdue.edu" TargetMode="External" Id="rId1019"/><Relationship Type="http://schemas.openxmlformats.org/officeDocument/2006/relationships/hyperlink" Target="https://insgc.spacegrant.org/" TargetMode="External" Id="rId1020"/><Relationship Type="http://schemas.openxmlformats.org/officeDocument/2006/relationships/hyperlink" Target="https://engineering.purdue.edu/ME/People/ptFaculty" TargetMode="External" Id="rId1021"/><Relationship Type="http://schemas.openxmlformats.org/officeDocument/2006/relationships/hyperlink" Target="https://engineering.purdue.edu/AAE/people/ptProfile?resource_id=310087" TargetMode="External" Id="rId1022"/><Relationship Type="http://schemas.openxmlformats.org/officeDocument/2006/relationships/hyperlink" Target="https://scholar.google.com/citations?view_op=search_authors&amp;mauthors=R.%20Bruce%20Alstrom%20Purdue%20University" TargetMode="External" Id="rId1023"/><Relationship Type="http://schemas.openxmlformats.org/officeDocument/2006/relationships/hyperlink" Target="mailto:webmaster-eng@purdue.edu" TargetMode="External" Id="rId1024"/><Relationship Type="http://schemas.openxmlformats.org/officeDocument/2006/relationships/hyperlink" Target="https://insgc.spacegrant.org/" TargetMode="External" Id="rId1025"/><Relationship Type="http://schemas.openxmlformats.org/officeDocument/2006/relationships/hyperlink" Target="https://engineering.purdue.edu/AAE/people/Faculty" TargetMode="External" Id="rId1026"/><Relationship Type="http://schemas.openxmlformats.org/officeDocument/2006/relationships/hyperlink" Target="https://engineering.purdue.edu/ME/People/ptProfile?resource_id=51789" TargetMode="External" Id="rId1027"/><Relationship Type="http://schemas.openxmlformats.org/officeDocument/2006/relationships/hyperlink" Target="https://scholar.google.com/citations?view_op=search_authors&amp;mauthors=Richard%20Buckius%20Purdue%20University" TargetMode="External" Id="rId1028"/><Relationship Type="http://schemas.openxmlformats.org/officeDocument/2006/relationships/hyperlink" Target="mailto:rbuckius@purdue.edu" TargetMode="External" Id="rId1029"/><Relationship Type="http://schemas.openxmlformats.org/officeDocument/2006/relationships/hyperlink" Target="https://insgc.spacegrant.org/" TargetMode="External" Id="rId1030"/><Relationship Type="http://schemas.openxmlformats.org/officeDocument/2006/relationships/hyperlink" Target="https://engineering.purdue.edu/ME/People/ptFaculty" TargetMode="External" Id="rId1031"/><Relationship Type="http://schemas.openxmlformats.org/officeDocument/2006/relationships/hyperlink" Target="https://engineering.purdue.edu/ME/People/ptProfile?resource_id=263773" TargetMode="External" Id="rId1032"/><Relationship Type="http://schemas.openxmlformats.org/officeDocument/2006/relationships/hyperlink" Target="https://scholar.google.com/citations?view_op=search_authors&amp;mauthors=Salil%20Bapat%20Purdue%20University" TargetMode="External" Id="rId1033"/><Relationship Type="http://schemas.openxmlformats.org/officeDocument/2006/relationships/hyperlink" Target="mailto:bapat0@purdue.edu" TargetMode="External" Id="rId1034"/><Relationship Type="http://schemas.openxmlformats.org/officeDocument/2006/relationships/hyperlink" Target="https://insgc.spacegrant.org/" TargetMode="External" Id="rId1035"/><Relationship Type="http://schemas.openxmlformats.org/officeDocument/2006/relationships/hyperlink" Target="https://engineering.purdue.edu/ME/People/ptFaculty" TargetMode="External" Id="rId1036"/><Relationship Type="http://schemas.openxmlformats.org/officeDocument/2006/relationships/hyperlink" Target="https://engineering.purdue.edu/ME/People/ptProfile?resource_id=340763" TargetMode="External" Id="rId1037"/><Relationship Type="http://schemas.openxmlformats.org/officeDocument/2006/relationships/hyperlink" Target="https://scholar.google.com/citations?view_op=search_authors&amp;mauthors=Scott%20Michaels%20Purdue%20University" TargetMode="External" Id="rId1038"/><Relationship Type="http://schemas.openxmlformats.org/officeDocument/2006/relationships/hyperlink" Target="mailto:micha172@purdue.edu" TargetMode="External" Id="rId1039"/><Relationship Type="http://schemas.openxmlformats.org/officeDocument/2006/relationships/hyperlink" Target="https://insgc.spacegrant.org/" TargetMode="External" Id="rId1040"/><Relationship Type="http://schemas.openxmlformats.org/officeDocument/2006/relationships/hyperlink" Target="https://engineering.purdue.edu/ME/People/ptFaculty" TargetMode="External" Id="rId1041"/><Relationship Type="http://schemas.openxmlformats.org/officeDocument/2006/relationships/hyperlink" Target="https://engineering.purdue.edu/ECE/People/ptProfile?resource_id=117180" TargetMode="External" Id="rId1042"/><Relationship Type="http://schemas.openxmlformats.org/officeDocument/2006/relationships/hyperlink" Target="https://scholar.google.com/citations?view_op=search_authors&amp;mauthors=Shreyas%20Sundaram%20%28area%20chair%29%20Purdue%20University" TargetMode="External" Id="rId1043"/><Relationship Type="http://schemas.openxmlformats.org/officeDocument/2006/relationships/hyperlink" Target="mailto:sundara2@purdue.edu" TargetMode="External" Id="rId1044"/><Relationship Type="http://schemas.openxmlformats.org/officeDocument/2006/relationships/hyperlink" Target="https://insgc.spacegrant.org/" TargetMode="External" Id="rId1045"/><Relationship Type="http://schemas.openxmlformats.org/officeDocument/2006/relationships/hyperlink" Target="https://engineering.purdue.edu/ME/People/ptFaculty" TargetMode="External" Id="rId1046"/><Relationship Type="http://schemas.openxmlformats.org/officeDocument/2006/relationships/hyperlink" Target="https://engineering.purdue.edu/CE/People/ptProfile?resource_id=46102" TargetMode="External" Id="rId1047"/><Relationship Type="http://schemas.openxmlformats.org/officeDocument/2006/relationships/hyperlink" Target="https://scholar.google.com/citations?user=GhghoIEAAAAJ&amp;hl=en" TargetMode="External" Id="rId1048"/><Relationship Type="http://schemas.openxmlformats.org/officeDocument/2006/relationships/hyperlink" Target="mailto:ttzempel@purdue.edu" TargetMode="External" Id="rId1049"/><Relationship Type="http://schemas.openxmlformats.org/officeDocument/2006/relationships/hyperlink" Target="https://insgc.spacegrant.org/" TargetMode="External" Id="rId1050"/><Relationship Type="http://schemas.openxmlformats.org/officeDocument/2006/relationships/hyperlink" Target="https://engineering.purdue.edu/ME/People/ptFaculty" TargetMode="External" Id="rId1051"/><Relationship Type="http://schemas.openxmlformats.org/officeDocument/2006/relationships/hyperlink" Target="https://engineering.purdue.edu/AAE/people/ptProfile?resource_id=292476" TargetMode="External" Id="rId1052"/><Relationship Type="http://schemas.openxmlformats.org/officeDocument/2006/relationships/hyperlink" Target="https://scholar.google.com/citations?view_op=search_authors&amp;mauthors=Thiago%20Augusto%20Machado%20Guimaraes%20Purdue%20University" TargetMode="External" Id="rId1053"/><Relationship Type="http://schemas.openxmlformats.org/officeDocument/2006/relationships/hyperlink" Target="mailto:tguimara@purdue.edu" TargetMode="External" Id="rId1054"/><Relationship Type="http://schemas.openxmlformats.org/officeDocument/2006/relationships/hyperlink" Target="https://insgc.spacegrant.org/" TargetMode="External" Id="rId1055"/><Relationship Type="http://schemas.openxmlformats.org/officeDocument/2006/relationships/hyperlink" Target="https://engineering.purdue.edu/AAE/people/Faculty" TargetMode="External" Id="rId1056"/><Relationship Type="http://schemas.openxmlformats.org/officeDocument/2006/relationships/hyperlink" Target="https://engineering.purdue.edu/CE/People/ptProfile?resource_id=51282" TargetMode="External" Id="rId1057"/><Relationship Type="http://schemas.openxmlformats.org/officeDocument/2006/relationships/hyperlink" Target="https://scholar.google.com/citations?view_op=search_authors&amp;mauthors=William%20Travis%20Horton%20Purdue%20University" TargetMode="External" Id="rId1058"/><Relationship Type="http://schemas.openxmlformats.org/officeDocument/2006/relationships/hyperlink" Target="mailto:wthorton@purdue.edu" TargetMode="External" Id="rId1059"/><Relationship Type="http://schemas.openxmlformats.org/officeDocument/2006/relationships/hyperlink" Target="https://insgc.spacegrant.org/" TargetMode="External" Id="rId1060"/><Relationship Type="http://schemas.openxmlformats.org/officeDocument/2006/relationships/hyperlink" Target="https://engineering.purdue.edu/ME/People/ptFaculty" TargetMode="External" Id="rId1061"/><Relationship Type="http://schemas.openxmlformats.org/officeDocument/2006/relationships/hyperlink" Target="https://engineering.purdue.edu/ME/People/ptProfile?resource_id=11267" TargetMode="External" Id="rId1062"/><Relationship Type="http://schemas.openxmlformats.org/officeDocument/2006/relationships/hyperlink" Target="https://scholar.google.com/citations?view_op=search_authors&amp;mauthors=Xianfan%20Xu%20Purdue%20University" TargetMode="External" Id="rId1063"/><Relationship Type="http://schemas.openxmlformats.org/officeDocument/2006/relationships/hyperlink" Target="mailto:xxu@purdue.edu" TargetMode="External" Id="rId1064"/><Relationship Type="http://schemas.openxmlformats.org/officeDocument/2006/relationships/hyperlink" Target="https://engineering.purdue.edu/NanoLab/" TargetMode="External" Id="rId1065"/><Relationship Type="http://schemas.openxmlformats.org/officeDocument/2006/relationships/hyperlink" Target="https://engineering.purdue.edu/ME/People/ptFaculty" TargetMode="External" Id="rId1066"/><Relationship Type="http://schemas.openxmlformats.org/officeDocument/2006/relationships/hyperlink" Target="https://engineering.purdue.edu/ME/People/ptProfile?resource_id=297462" TargetMode="External" Id="rId1067"/><Relationship Type="http://schemas.openxmlformats.org/officeDocument/2006/relationships/hyperlink" Target="https://scholar.google.com/citations?view_op=search_authors&amp;mauthors=Xiaoping%20Du%20Purdue%20University" TargetMode="External" Id="rId1068"/><Relationship Type="http://schemas.openxmlformats.org/officeDocument/2006/relationships/hyperlink" Target="mailto:duxp@purdue.edu" TargetMode="External" Id="rId1069"/><Relationship Type="http://schemas.openxmlformats.org/officeDocument/2006/relationships/hyperlink" Target="https://duxxiaoping-coder.github.io/xiaoping-du-website" TargetMode="External" Id="rId1070"/><Relationship Type="http://schemas.openxmlformats.org/officeDocument/2006/relationships/hyperlink" Target="https://engineering.purdue.edu/ME/People/ptFaculty" TargetMode="External" Id="rId1071"/><Relationship Type="http://schemas.openxmlformats.org/officeDocument/2006/relationships/hyperlink" Target="https://engineering.purdue.edu/IE/people/ptProfile?resource_id=256650" TargetMode="External" Id="rId1072"/><Relationship Type="http://schemas.openxmlformats.org/officeDocument/2006/relationships/hyperlink" Target="https://scholar.google.com/citations?view_op=search_authors&amp;mauthors=Yu%20She%20Purdue%20University" TargetMode="External" Id="rId1073"/><Relationship Type="http://schemas.openxmlformats.org/officeDocument/2006/relationships/hyperlink" Target="mailto:yushe@purdue.edu" TargetMode="External" Id="rId1074"/><Relationship Type="http://schemas.openxmlformats.org/officeDocument/2006/relationships/hyperlink" Target="https://insgc.spacegrant.org/" TargetMode="External" Id="rId1075"/><Relationship Type="http://schemas.openxmlformats.org/officeDocument/2006/relationships/hyperlink" Target="https://engineering.purdue.edu/ME/People/ptFaculty" TargetMode="External" Id="rId1076"/></Relationships>
</file>

<file path=xl/worksheets/sheet1.xml><?xml version="1.0" encoding="utf-8"?>
<worksheet xmlns="http://schemas.openxmlformats.org/spreadsheetml/2006/main">
  <sheetPr>
    <outlinePr summaryBelow="1" summaryRight="1"/>
    <pageSetUpPr/>
  </sheetPr>
  <dimension ref="A1:AV53"/>
  <sheetViews>
    <sheetView showGridLines="1" workbookViewId="0">
      <pane ySplit="1" topLeftCell="A2" activePane="bottomLeft" state="frozen"/>
      <selection pane="bottomLeft" activeCell="A1" sqref="A1"/>
    </sheetView>
  </sheetViews>
  <sheetFormatPr baseColWidth="8" defaultRowHeight="15"/>
  <cols>
    <col width="29" customWidth="1" min="1" max="1"/>
    <col width="20" customWidth="1" min="2" max="2"/>
    <col width="48" customWidth="1" min="3" max="3"/>
    <col width="31" customWidth="1" min="4" max="4"/>
    <col width="55" customWidth="1" min="5" max="5"/>
    <col width="31" customWidth="1" min="6" max="6"/>
    <col width="15" customWidth="1" min="7" max="7"/>
    <col width="48" customWidth="1" min="8" max="8"/>
    <col width="16" customWidth="1" min="9" max="9"/>
    <col width="44" customWidth="1" min="10" max="10"/>
    <col width="16" customWidth="1" min="11" max="11"/>
    <col width="55" customWidth="1" min="12" max="12"/>
    <col width="55" customWidth="1" min="13" max="13"/>
    <col width="55" customWidth="1" min="14" max="14"/>
    <col width="55" customWidth="1" min="15" max="15"/>
    <col width="48" customWidth="1" min="16" max="16"/>
    <col width="55" customWidth="1" min="17" max="17"/>
    <col width="55" customWidth="1" min="18" max="18"/>
    <col width="55" customWidth="1" min="19" max="19"/>
    <col width="48" customWidth="1" min="20" max="20"/>
    <col width="55" customWidth="1" min="21" max="21"/>
    <col width="55" customWidth="1" min="22" max="22"/>
    <col width="55" customWidth="1" min="23" max="23"/>
    <col width="48" customWidth="1" min="24" max="24"/>
    <col width="55" customWidth="1" min="25" max="25"/>
    <col width="29" customWidth="1" min="26" max="26"/>
    <col width="55" customWidth="1" min="27" max="27"/>
    <col width="55" customWidth="1" min="28" max="28"/>
    <col width="17"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48" customWidth="1" min="39" max="39"/>
    <col width="55" customWidth="1" min="40" max="40"/>
    <col width="32" customWidth="1" min="41" max="41"/>
    <col width="29" customWidth="1" min="42" max="42"/>
    <col width="37" customWidth="1" min="43" max="43"/>
    <col width="48" customWidth="1" min="44" max="44"/>
    <col width="29" customWidth="1" min="45" max="45"/>
    <col width="53" customWidth="1" min="46" max="46"/>
    <col width="17" customWidth="1" min="47" max="47"/>
    <col width="48"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Gregory A. Blaisdell</t>
        </is>
      </c>
      <c r="B2" s="2" t="inlineStr">
        <is>
          <t>Purdue University</t>
        </is>
      </c>
      <c r="C2" s="3">
        <f>HYPERLINK("https://engineering.purdue.edu/AAE/people/ptProfile?resource_id=1377", "https://engineering.purdue.edu/AAE/people/ptProfile?resource_id=1377")</f>
        <v/>
      </c>
      <c r="D2" s="3">
        <f>HYPERLINK("https://scholar.google.com/citations?view_op=search_authors&amp;mauthors=Gregory%20A.%20Blaisdell%20Purdue%20University", "Google Scholar Search")</f>
        <v/>
      </c>
      <c r="E2" s="2" t="inlineStr">
        <is>
          <t>Professor</t>
        </is>
      </c>
      <c r="F2" s="2" t="inlineStr">
        <is>
          <t>Aeronautics and Astronautics</t>
        </is>
      </c>
      <c r="G2" s="2" t="inlineStr"/>
      <c r="H2" s="3">
        <f>HYPERLINK("mailto:blaisdel@purdue.edu", "blaisdel@purdue.edu")</f>
        <v/>
      </c>
      <c r="I2" s="2" t="n">
        <v>1</v>
      </c>
      <c r="J2" s="2" t="inlineStr">
        <is>
          <t>🔵 Tier 1: Core Aero / Fluids / Propulsion</t>
        </is>
      </c>
      <c r="K2" s="2" t="n">
        <v>13</v>
      </c>
      <c r="L2" s="2" t="inlineStr">
        <is>
          <t>boundary layer, cfd, combustion, computational fluid dynamics, direct numerical simulation, dns, fluid dynamics, fluid mechanics, heat transfer, les, numerical methods, turbulence, turbulent</t>
        </is>
      </c>
      <c r="M2" s="2" t="inlineStr">
        <is>
          <t>Direct numerical simulation and large-eddy simulation of compressible turbulent mixing layers, shock-wave/boundary-layer interactions, and aeroacoustics of jet flows.</t>
        </is>
      </c>
      <c r="N2" s="2" t="inlineStr">
        <is>
          <t>DNS / LES / Detached Eddy Simulation (DES), High-Order Compact Difference Schemes, Background Oriented Schlieren (BOS) Velocimetry, Aeroacoustic Solvers</t>
        </is>
      </c>
      <c r="O2" s="2" t="inlineStr">
        <is>
          <t>Performance Analysis of an Unsteady Ejector Driven by Exhaust Conditions of a Rotating Detonation Engine (RDE)</t>
        </is>
      </c>
      <c r="P2" s="3">
        <f>HYPERLINK("https://doi.org/10.2514/6.2026-1976", "https://doi.org/10.2514/6.2026-1976")</f>
        <v/>
      </c>
      <c r="Q2" s="2" t="inlineStr">
        <is>
          <t>simulating detached eddy simulations of unsteady ejectors driven by rotating detonation engine exhaust, demonstrating that periodic shock pulsations enhance turbulent secondary air entrainment and yield an 18% improvement in thrust augmentation.</t>
        </is>
      </c>
      <c r="R2" s="2" t="inlineStr">
        <is>
          <t>The goal of this project is to assess the performance and mixing characteristics of unsteady ejectors driven by a rotating detonation engine (RDE), using 3D unsteady RANS simulations and detached eddy simulations (DES). These simulations incorporate azimuthal variations in flow properties and periodic shock wave exhaust pulsations exiting the detonation chamber. Results demonstrate that high-frequency shock passage enhances turbulent mixing with entrained secondary air, increasing ejector thrust augmentation by up to 18% compared to equivalent steady-flow ejector geometries.</t>
        </is>
      </c>
      <c r="S2" s="2" t="inlineStr">
        <is>
          <t>Background-oriented-schlieren-based optical velocimetry of low-convective-Mach-number turbulent shear layers</t>
        </is>
      </c>
      <c r="T2" s="3">
        <f>HYPERLINK("https://doi.org/10.1007/s00348-025-04031-y", "https://doi.org/10.1007/s00348-025-04031-y")</f>
        <v/>
      </c>
      <c r="U2" s="2" t="inlineStr">
        <is>
          <t>developing background-oriented schlieren velocimetry for low-convective-Mach-number turbulent shear layers, demonstrating that optical cross-correlation of refractive dot displacements accurately resolves span-averaged velocity and density profiles without seed particles.</t>
        </is>
      </c>
      <c r="V2" s="2" t="inlineStr">
        <is>
          <t>Background-oriented schlieren (BOS)-based velocimetry is a potential method for achieving simultaneous measurements of density and velocity in a flow with density gradients. BOS velocimetry relies on refraction of light due to density gradients and cross-correlation of dot displacement fields. In this study, BOS velocimetry was applied to investigate turbulent shear layers at low convective Mach numbers. By coupling the ray-traced dot displacement equations with continuity, span-averaged velocity and density fluctuation profiles were reconstructed without requiring artificial seeding.</t>
        </is>
      </c>
      <c r="W2" s="2" t="inlineStr">
        <is>
          <t>1. Performance Analysis of an Unsteady Ejector Driven by Exhaust Conditions of a Rotating Detonation Engine (RDE) (AIAA SciTech, 2026) [DOI: https://doi.org/10.2514/6.2026-1976] | 2. Background-oriented-schlieren-based optical velocimetry of low-convective-Mach-number turbulent shear layers (Experiments in Fluids, 2025) [DOI: https://doi.org/10.1007/s00348-025-04031-y]</t>
        </is>
      </c>
      <c r="X2" s="3">
        <f>HYPERLINK("https://doi.org/10.2514/6.2026-1976", "https://doi.org/10.2514/6.2026-1976 | https://doi.org/10.1007/s00348-025-04031-y")</f>
        <v/>
      </c>
      <c r="Y2" s="2" t="inlineStr">
        <is>
          <t>simulating detached eddy simulations of unsteady ejectors driven by rotating detonation engine exhaust, demonstrating that periodic shock pulsations enhance turbulent secondary air entrainment and yield an 18% improvement in thrust augmentation.</t>
        </is>
      </c>
      <c r="Z2" s="2" t="inlineStr"/>
      <c r="AA2" s="2" t="inlineStr">
        <is>
          <t>"Performance Analysis of an Unsteady Ejector Driven by Exhaust Conditions of a Rotating Detonation Engine (RDE)" (2026) [DOI: https://doi.org/10.2514/6.2026-1976] | "Large-Eddy Simulation of an Axisymmetric Shock-Wave/Boundary-Layer Interaction at Mach 2.5" (2026) [DOI: https://doi.org/10.2514/6.2026-2519] | "Time Resolved BOS Velocimetry of Synthetic Raytraced Images of a Low Speed Mixing Flow" (2026) [DOI: https://doi.org/10.2514/6.2026-2293] | "Machine Learning for Practical Real-Time Test Campaign Design" (2025) [DOI: https://doi.org/10.2514/6.2025-3729] | "Background-oriented-schlieren-based optical velocimetry of low-convective-Mach-number turbulent shear layers" [Experiments in Fluids] (2025) [DOI: https://doi.org/10.1007/s00348-025-04031-y]</t>
        </is>
      </c>
      <c r="AB2" s="2" t="inlineStr">
        <is>
          <t>"The effect of the formulation of nonlinear terms on aliasing errors in spectral methods" [Applied Numerical Mathematics] (1996, 183 cites) [DOI: https://doi.org/10.1016/0168-9274(96)00005-0] | "Compressibility effects on the growth and structure of homogeneous turbulent shear flow" [Journal of Fluid Mechanics] (1993, 179 cites) [DOI: https://doi.org/10.1017/s0022112093002848] | "Overview of Turbulent Inflow Boundary Conditions for Large-Eddy Simulations" [AIAA Journal] (2017, 173 cites) [DOI: https://doi.org/10.2514/1.j055528]</t>
        </is>
      </c>
      <c r="AC2" s="2" t="inlineStr"/>
      <c r="AD2" s="2" t="inlineStr">
        <is>
          <t>NASA-ASEE Summer Faculty Fellowship, 1995-1996 W. A. Gustafson Teaching Award, Fall 1997, Fall 2014</t>
        </is>
      </c>
      <c r="AE2" s="2" t="inlineStr"/>
      <c r="AF2" s="2" t="inlineStr">
        <is>
          <t>Fluid Dynamics and Turbulent Flows (109) | Computational Fluid Dynamics and Aerodynamics (74) | Aerodynamics and Acoustics in Jet Flows (71)</t>
        </is>
      </c>
      <c r="AG2" s="2" t="inlineStr">
        <is>
          <t>Fluid Dynamics and Turbulent Flows (109) | Computational Fluid Dynamics and Aerodynamics (74) | Aerodynamics and Acoustics in Jet Flows (71)</t>
        </is>
      </c>
      <c r="AH2" s="2" t="inlineStr">
        <is>
          <t>Computational fluid mechanics Transition and turbulence</t>
        </is>
      </c>
      <c r="AI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transfer between a fluid and a surface. In addition, turbulent mixing is important to combustion. The physics of basic turbulent flows are studied using direct numerical simulations (DNS) and large-eddy simulations (LES). With LES the motion of the largest eddies are solved for directly while the effects of the unresolved small scale eddies are modeled. In contrast, with DNS all the relevant length scales within the turbulence are resolved and no modeling is needed. The results of the simulations are used to increase our understanding of turbulence and to test and improve turbulence models. Parallel computing and advanced numerical methods is another area of interest.</t>
        </is>
      </c>
      <c r="AJ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is>
      </c>
      <c r="AK2" s="2" t="inlineStr">
        <is>
          <t>B. S., California Institute of Technology, Applied Mathematics, 1980 M. S., California Institute of Technology, Applied Mathematics, 1982 Ph.D., Stanford University, Mechanical Engineering, 1991</t>
        </is>
      </c>
      <c r="AL2" s="2" t="inlineStr">
        <is>
          <t>Indiana Space Grant Consortium</t>
        </is>
      </c>
      <c r="AM2" s="3">
        <f>HYPERLINK("https://insgc.spacegrant.org/", "https://insgc.spacegrant.org/")</f>
        <v/>
      </c>
      <c r="AN2" s="2" t="inlineStr">
        <is>
          <t>Academic INSGC Internships</t>
        </is>
      </c>
      <c r="AO2" s="2" t="inlineStr"/>
      <c r="AP2" s="2" t="inlineStr"/>
      <c r="AQ2" s="2" t="inlineStr">
        <is>
          <t>NASA</t>
        </is>
      </c>
      <c r="AR2" s="2" t="inlineStr"/>
      <c r="AS2" s="2" t="inlineStr"/>
      <c r="AT2" s="2" t="inlineStr">
        <is>
          <t>ARMS 2029</t>
        </is>
      </c>
      <c r="AU2" s="2" t="b">
        <v>1</v>
      </c>
      <c r="AV2" s="3">
        <f>HYPERLINK("https://engineering.purdue.edu/AAE/people/Faculty", "https://engineering.purdue.edu/AAE/people/Faculty")</f>
        <v/>
      </c>
    </row>
    <row r="3">
      <c r="A3" s="2" t="inlineStr">
        <is>
          <t>Sally Bane</t>
        </is>
      </c>
      <c r="B3" s="2" t="inlineStr">
        <is>
          <t>Purdue University</t>
        </is>
      </c>
      <c r="C3" s="3">
        <f>HYPERLINK("https://engineering.purdue.edu/AAE/people/ptProfile?resource_id=72424", "https://engineering.purdue.edu/AAE/people/ptProfile?resource_id=72424")</f>
        <v/>
      </c>
      <c r="D3" s="3">
        <f>HYPERLINK("https://scholar.google.com/citations?user=fprhTwwAAAAJ&amp;hl=en", "Scholar (fprhTwwAAAAJ)")</f>
        <v/>
      </c>
      <c r="E3" s="2" t="inlineStr">
        <is>
          <t>Director of Laboratory &amp; Hands On Education and Associate Professor of AAE</t>
        </is>
      </c>
      <c r="F3" s="2" t="inlineStr">
        <is>
          <t>Aeronautics and Astronautics</t>
        </is>
      </c>
      <c r="G3" s="2" t="inlineStr">
        <is>
          <t>fprhTwwAAAAJ</t>
        </is>
      </c>
      <c r="H3" s="3">
        <f>HYPERLINK("mailto:sbane@purdue.edu", "sbane@purdue.edu")</f>
        <v/>
      </c>
      <c r="I3" s="2" t="n">
        <v>1</v>
      </c>
      <c r="J3" s="2" t="inlineStr">
        <is>
          <t>🔵 Tier 1: Core Aero / Fluids / Propulsion</t>
        </is>
      </c>
      <c r="K3" s="2" t="n">
        <v>11</v>
      </c>
      <c r="L3" s="2" t="inlineStr">
        <is>
          <t>aerodynamics, aerospace, boundary layer, combustion, detonation, flow control, hypersonic, propulsion, rotating detonation, supersonic, turbulent</t>
        </is>
      </c>
      <c r="M3" s="2" t="inlineStr">
        <is>
          <t>Plasma-assisted combustion, nanosecond pulsed discharges for thermoacoustic instability control, laser spark ignition, and background-oriented schlieren (BOS) optical diagnostics.</t>
        </is>
      </c>
      <c r="N3" s="2" t="inlineStr">
        <is>
          <t>Nanosecond Repetitively Pulsed (NRP) Discharges, Streak-Sweep Spectroscopy, Background-Oriented Schlieren (BOS), MIRAGE Ray Tracing, Acoustic Combustor Rigs</t>
        </is>
      </c>
      <c r="O3" s="2" t="inlineStr">
        <is>
          <t>Single-shot ultrafast dynamics of nanosecond pulsed plasmas: Transition from ps–ns nonequilibrium to near-full ionization</t>
        </is>
      </c>
      <c r="P3" s="3">
        <f>HYPERLINK("https://doi.org/10.1063/5.0341587", "https://doi.org/10.1063/5.0341587")</f>
        <v/>
      </c>
      <c r="Q3" s="2" t="inlineStr">
        <is>
          <t>deploying jitter-free continuous streak-sweep spectroscopy with 16-picosecond resolution across atmospheric nanosecond discharges, capturing the ultrafast transition from non-equilibrium molecular excitation to thermal ionization.</t>
        </is>
      </c>
      <c r="R3" s="2" t="inlineStr">
        <is>
          <t>The ultrafast multi-stage evolution of state-defining properties in atmospheric-pressure nanosecond pulsed plasmas is quantified using single-discharge, jitter-free, continuous streak-sweep spectroscopy of N2(C -&gt; B) molecular and N+/O+ ionic species with a single-shot time resolution as short as 16 ps. Measurements capture the sub-nanosecond breakdown dynamics and transition from non-equilibrium electronic excitation to full thermal ionization, providing critical kinetic data for plasma-assisted ignition and high-speed flow actuation.</t>
        </is>
      </c>
      <c r="S3" s="2" t="inlineStr">
        <is>
          <t>BOS/schlieren synthetic image generation via MIRAGE (MATLAB implementation of ray tracing for analysis of variable density Gradient Environments)</t>
        </is>
      </c>
      <c r="T3" s="3">
        <f>HYPERLINK("https://doi.org/10.1088/1361-6501/ae4f0a", "https://doi.org/10.1088/1361-6501/ae4f0a")</f>
        <v/>
      </c>
      <c r="U3" s="2" t="inlineStr">
        <is>
          <t>creating the open-source MIRAGE ray-tracing tool for synthetic BOS and schlieren image generation, demonstrating quantitative evaluation of optical distortion and density gradient sensitivity across complex 3D aerodynamic fields.</t>
        </is>
      </c>
      <c r="V3" s="2" t="inlineStr">
        <is>
          <t>This work presents a MATLAB-based, open source tool for generating synthetic images, e.g. background oriented schlieren (BOS), in non-homogeneous refractive index field environments induced by the presence of density gradients. The tool allows the user to model their specific optical setup, including lens focal lengths, background patterns, and camera aperture sizes, and trace rays through 3D CFD density fields to quantitatively evaluate parallax, refractive distortion, and measurement sensitivity.</t>
        </is>
      </c>
      <c r="W3" s="2" t="inlineStr">
        <is>
          <t>1. Single-shot ultrafast dynamics of nanosecond pulsed plasmas: Transition from ps–ns nonequilibrium to near-full ionization (Applied Physics Letters, 2026) [DOI: https://doi.org/10.1063/5.0341587] | 2. BOS/schlieren synthetic image generation via MIRAGE (MATLAB implementation of ray tracing for analysis of variable density Gradient Environments) (Measurement Science and Technology, 2026) [DOI: https://doi.org/10.1088/1361-6501/ae4f0a]</t>
        </is>
      </c>
      <c r="X3" s="3">
        <f>HYPERLINK("https://doi.org/10.1063/5.0341587", "https://doi.org/10.1063/5.0341587 | https://doi.org/10.1088/1361-6501/ae4f0a")</f>
        <v/>
      </c>
      <c r="Y3" s="2" t="inlineStr">
        <is>
          <t>deploying jitter-free continuous streak-sweep spectroscopy with 16-picosecond resolution across atmospheric nanosecond discharges, capturing the ultrafast transition from non-equilibrium molecular excitation to thermal ionization.</t>
        </is>
      </c>
      <c r="Z3" s="2" t="inlineStr"/>
      <c r="AA3" s="2" t="inlineStr">
        <is>
          <t>"Single-shot ultrafast dynamics of nanosecond pulsed plasmas: Transition from ps–ns nonequilibrium to near-full ionization" [Applied Physics Letters] (2026) [DOI: https://doi.org/10.1063/5.0341587] | "BOS/schlieren synthetic image generation via MIRAGE (MATLAB implementation of ray tracing for analysis of variable density Gradient Environments)" [Measurement Science and Technology] (2026) [DOI: https://doi.org/10.1088/1361-6501/ae4f0a] | "Active Control Strategies Using NRP Discharges for Thermoacoustic Instability Control in Methane-Air Atmospheric Combustion System" (2026) [DOI: https://doi.org/10.2514/6.2026-0398] | "Time Resolved BOS Velocimetry of Synthetic Raytraced Images of a Low Speed Mixing Flow" (2026) [DOI: https://doi.org/10.2514/6.2026-2293] | "Background-oriented-schlieren-based optical velocimetry of low-convective-Mach-number turbulent shear layers" [Experiments in Fluids] (2025) [DOI: https://doi.org/10.1007/s00348-025-04031-y]</t>
        </is>
      </c>
      <c r="AB3" s="2" t="inlineStr">
        <is>
          <t>"Investigation of the effect of electrode geometry on spark ignition" [Combustion and Flame] (2014, 87 cites) [DOI: https://doi.org/10.1016/j.combustflame.2014.07.017] | "Statistical analysis of electrostatic spark ignition of lean H2/O2/Ar mixtures" [International Journal of Hydrogen Energy] (2010, 69 cites) [DOI: https://doi.org/10.1016/j.ijhydene.2010.05.082] | "Experimental investigation of spark ignition energy in kerosene, hexane, and hydrogen" [Journal of Loss Prevention in the Process Industries] (2011, 68 cites) [DOI: https://doi.org/10.1016/j.jlp.2011.03.007]</t>
        </is>
      </c>
      <c r="AC3" s="2" t="inlineStr"/>
      <c r="AD3" s="2" t="inlineStr"/>
      <c r="AE3" s="2" t="inlineStr"/>
      <c r="AF3" s="2" t="inlineStr">
        <is>
          <t>Plasma Applications and Diagnostics (34) | Plasma and Flow Control in Aerodynamics (28) | Combustion and Detonation Processes (24)</t>
        </is>
      </c>
      <c r="AG3" s="2" t="inlineStr">
        <is>
          <t>Plasma Applications and Diagnostics (34) | Plasma and Flow Control in Aerodynamics (28) | Combustion and Detonation Processes (24)</t>
        </is>
      </c>
      <c r="AH3" s="2" t="inlineStr">
        <is>
          <t>1. Plasmas for combustion and flow control nano-second repetitively pulsed (NRP) plasmas - generation and spectroscopic measurements plasma-assisted ignition (PAI) and combustion (PAC) plasma control of high-speed flows, shock wave/boundary layer interaction 2. Physics of supersonic and hypersonic turbulent flows and passive and active flow control 3. Optical methods for high-speed flow and combustion visualization and measurement PIV, BOS, schlieren image velocimetry (SIV) numerical tools for optical system modeling and design 4. Experimental combustion and propulsion ignition detonations and flame acceleration rotating detonation engines</t>
        </is>
      </c>
      <c r="AI3" s="2" t="inlineStr">
        <is>
          <t>Nonequilibrium plasmas, hypersonic and supersonic aerodynamics and flow control, optical and spectroscopic diagnostics, combustion and detonation dynamics</t>
        </is>
      </c>
      <c r="AJ3" s="2" t="inlineStr">
        <is>
          <t>Nonequilibrium plasmas, hypersonic and supersonic aerodynamics and flow control, optical and spectroscopic diagnostics, combustion and detonation dynamics</t>
        </is>
      </c>
      <c r="AK3" s="2" t="inlineStr">
        <is>
          <t>B.S., University of Virginia, Aerospace Engineering, 2004 M.S., California Institute of Technology, Aeronautics, 2005 Ph.D., California Institute of Technology, Aeronautics, 2010</t>
        </is>
      </c>
      <c r="AL3" s="2" t="inlineStr">
        <is>
          <t>Indiana Space Grant Consortium</t>
        </is>
      </c>
      <c r="AM3" s="3">
        <f>HYPERLINK("https://insgc.spacegrant.org/", "https://insgc.spacegrant.org/")</f>
        <v/>
      </c>
      <c r="AN3" s="2" t="inlineStr">
        <is>
          <t>Academic INSGC Internships</t>
        </is>
      </c>
      <c r="AO3" s="2" t="inlineStr"/>
      <c r="AP3" s="2" t="inlineStr"/>
      <c r="AQ3" s="2" t="inlineStr">
        <is>
          <t>NASA</t>
        </is>
      </c>
      <c r="AR3" s="2" t="inlineStr"/>
      <c r="AS3" s="2" t="inlineStr"/>
      <c r="AT3" s="2" t="inlineStr">
        <is>
          <t>ARMS 3219</t>
        </is>
      </c>
      <c r="AU3" s="2" t="b">
        <v>1</v>
      </c>
      <c r="AV3" s="3">
        <f>HYPERLINK("https://engineering.purdue.edu/AAE/people/Faculty", "https://engineering.purdue.edu/AAE/people/Faculty")</f>
        <v/>
      </c>
    </row>
    <row r="4">
      <c r="A4" s="2" t="inlineStr">
        <is>
          <t>Carson Slabaugh</t>
        </is>
      </c>
      <c r="B4" s="2" t="inlineStr">
        <is>
          <t>Purdue University</t>
        </is>
      </c>
      <c r="C4" s="3">
        <f>HYPERLINK("https://engineering.purdue.edu/AAE/people/ptProfile?resource_id=124958", "https://engineering.purdue.edu/AAE/people/ptProfile?resource_id=124958")</f>
        <v/>
      </c>
      <c r="D4" s="3">
        <f>HYPERLINK("https://scholar.google.com/citations?view_op=search_authors&amp;mauthors=Carson%20Slabaugh%20Purdue%20University", "Google Scholar Search")</f>
        <v/>
      </c>
      <c r="E4" s="2" t="inlineStr">
        <is>
          <t>Paula Feuer Professor of Aeronautics and Astronautics</t>
        </is>
      </c>
      <c r="F4" s="2" t="inlineStr">
        <is>
          <t>Aeronautics and Astronautics</t>
        </is>
      </c>
      <c r="G4" s="2" t="inlineStr"/>
      <c r="H4" s="3">
        <f>HYPERLINK("mailto:cslabau@purdue.edu", "cslabau@purdue.edu")</f>
        <v/>
      </c>
      <c r="I4" s="2" t="n">
        <v>1</v>
      </c>
      <c r="J4" s="2" t="inlineStr">
        <is>
          <t>🔵 Tier 1: Core Aero / Fluids / Propulsion</t>
        </is>
      </c>
      <c r="K4" s="2" t="n">
        <v>10</v>
      </c>
      <c r="L4" s="2" t="inlineStr">
        <is>
          <t>combustion, detonation, energy systems, fluid mechanics, multiphase flow, propulsion, reacting flow, rotating detonation, turbulence, turbulent</t>
        </is>
      </c>
      <c r="M4" s="2" t="inlineStr">
        <is>
          <t>High-pressure gas turbine combustion, rotating detonation engines (RDE), supersonic dual-mode ramjets, and MHz-rate planar optical/laser diagnostics in reacting flows.</t>
        </is>
      </c>
      <c r="N4" s="2" t="inlineStr">
        <is>
          <t>Rotating Detonation Combustors, Dual-Mode Scramjet Rigs, 2 MHz Schlieren, 250 kHz Chemiluminescence, Femtosecond/Picosecond Coherent Anti-Stokes Raman Scattering (CARS), High-Speed PIV</t>
        </is>
      </c>
      <c r="O4" s="2" t="inlineStr">
        <is>
          <t>High-Speed Diagnostics in a Natural Gas–Air Rotating Detonation Engine</t>
        </is>
      </c>
      <c r="P4" s="3">
        <f>HYPERLINK("https://doi.org/10.2514/1.b37740", "https://doi.org/10.2514/1.b37740")</f>
        <v/>
      </c>
      <c r="Q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R4" s="2" t="inlineStr">
        <is>
          <t>A natural-gas-fueled rotating detonation engine was operated at flow conditions typical of gas turbine engines. High-speed broadband chemiluminescence images, particle image velocimetry (PIV), and dynamic pressure measurements were used to characterize the combustion process. A parametric survey was performed across air mass flow rates from 0.45 to 1.15 kg/s and equivalence ratios from 0.6 to 1.4. The engine operated stably with one or two detonation waves propagating at velocities between 1350 and 1720 m/s (58-75% of the Chapman-Jouguet velocity), capturing the transient detonation wave propagation and reactant fill region dynamics.</t>
        </is>
      </c>
      <c r="S4" s="2" t="inlineStr">
        <is>
          <t>Operating Mode Influence on Heat Release in an Axisymmetric Dual-Mode Ramjet</t>
        </is>
      </c>
      <c r="T4" s="3">
        <f>HYPERLINK("https://doi.org/10.2514/1.j067064", "https://doi.org/10.2514/1.j067064")</f>
        <v/>
      </c>
      <c r="U4" s="2" t="inlineStr">
        <is>
          <t>formulating a coupled one-dimensional flow model and multistage optimizer for an axisymmetric dual-mode ramjet, demonstrating how shock-train migration and boundary layer pre-combustion shock interactions shift heat release profiles between subsonic and supersonic combustion regimes.</t>
        </is>
      </c>
      <c r="V4" s="2" t="inlineStr">
        <is>
          <t>A thermally perfect, one-dimensional model that is capable of evaluating flow properties along the isolator and combustor of a dual-mode ramjet operating in either a ramjet or scramjet mode is described. The model is incorporated into a multistage optimizer that computes an estimated fuel-burning profile and pressure rise distribution to reproduce experimental wall pressure data. By applying the method to an axisymmetric dual-mode ramjet across multiple equivalence ratios, the transition from shock-train-dominated ramjet combustion to supersonic heat addition is mapped, quantifying the thermodynamic trade-offs between isolator boundary layer separation and combustion efficiency.</t>
        </is>
      </c>
      <c r="W4" s="2" t="inlineStr">
        <is>
          <t>1. High-Speed Diagnostics in a Natural Gas–Air Rotating Detonation Engine (Journal of Propulsion and Power, 2020) [DOI: https://doi.org/10.2514/1.b37740] | 2. Operating Mode Influence on Heat Release in an Axisymmetric Dual-Mode Ramjet (AIAA Journal, 2026) [DOI: https://doi.org/10.2514/1.j067064]</t>
        </is>
      </c>
      <c r="X4" s="3">
        <f>HYPERLINK("https://doi.org/10.2514/1.b37740", "https://doi.org/10.2514/1.b37740 | https://doi.org/10.2514/1.j067064")</f>
        <v/>
      </c>
      <c r="Y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Z4" s="2" t="inlineStr"/>
      <c r="AA4" s="2" t="inlineStr">
        <is>
          <t>"Operating Mode Influence on Heat Release in an Axisymmetric Dual-Mode Ramjet" [AIAA Journal] (2026) [DOI: https://doi.org/10.2514/1.j067064] | "Coherent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"Detonation Wave Interactions with Stratified Gas Layers" (2026) [DOI: https://doi.org/10.2514/6.2026-1015] | "Multiphase and Non-Equilibrium Effects in Highly Fuel-Rich Solid Fuel Gas Generators" (2026) [DOI: https://doi.org/10.2514/6.2026-0392]</t>
        </is>
      </c>
      <c r="AB4" s="2" t="inlineStr">
        <is>
          <t>"3 kHz PIV/OH-PLIF measurements in a gas turbine combustor at elevated pressure" [Proceedings of the Combustion Institute] (2014, 89 cites) [DOI: https://doi.org/10.1016/j.proci.2014.06.090] | "High-Speed Diagnostics in a Natural Gas–Air Rotating Detonation Engine" [Journal of Propulsion and Power] (2020, 69 cites) [DOI: https://doi.org/10.2514/1.b37740] | "Flow and performance analysis of a natural gas-air rotating detonation engine with high-speed velocimetry" [Combustion and Flame] (2021, 60 cites) [DOI: https://doi.org/10.1016/j.combustflame.2021.111549]</t>
        </is>
      </c>
      <c r="AC4" s="2" t="inlineStr"/>
      <c r="AD4" s="2" t="inlineStr"/>
      <c r="AE4" s="2" t="inlineStr"/>
      <c r="AF4" s="2" t="inlineStr">
        <is>
          <t>Combustion and flame dynamics (74) | Combustion and Detonation Processes (54) | Advanced Combustion Engine Technologies (38)</t>
        </is>
      </c>
      <c r="AG4" s="2" t="inlineStr">
        <is>
          <t>Combustion and flame dynamics (74) | Combustion and Detonation Processes (54) | Advanced Combustion Engine Technologies (38)</t>
        </is>
      </c>
      <c r="AH4" s="2" t="inlineStr">
        <is>
          <t>Prof. Slabaugh's research is focused on the physics of fluid mechanics and combustion in the operating regimes of advanced propulsion and energy systems.  Ongoing projects cover a wide spectrum of topics; from fundamental exploration of turbulence-chemistry interactions to development of advanced combustion technologies for liquid rocket engines.  The group also maintains a continuous effort in the advancement of high-bandwidth (typically, laser-based) measurement techniques to non-intrusively probe the physics of these complex, reacting flows.  Please visit our website for more information about the group and our work.</t>
        </is>
      </c>
      <c r="AI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myPronunciation.play();
    }
    function pause() {
    myPronunciation.pause();
    }</t>
        </is>
      </c>
      <c r="AJ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t>
        </is>
      </c>
      <c r="AK4" s="2" t="inlineStr">
        <is>
          <t>Ph.D., Purdue University, 2014 M.S., University of Central Florida, 2010 B.S., University of Central Florida, 2009</t>
        </is>
      </c>
      <c r="AL4" s="2" t="inlineStr">
        <is>
          <t>Indiana Space Grant Consortium</t>
        </is>
      </c>
      <c r="AM4" s="3">
        <f>HYPERLINK("https://insgc.spacegrant.org/", "https://insgc.spacegrant.org/")</f>
        <v/>
      </c>
      <c r="AN4" s="2" t="inlineStr">
        <is>
          <t>Academic INSGC Internships</t>
        </is>
      </c>
      <c r="AO4" s="2" t="inlineStr"/>
      <c r="AP4" s="2" t="inlineStr"/>
      <c r="AQ4" s="2" t="inlineStr">
        <is>
          <t>NASA</t>
        </is>
      </c>
      <c r="AR4" s="2" t="inlineStr"/>
      <c r="AS4" s="2" t="inlineStr"/>
      <c r="AT4" s="2" t="inlineStr">
        <is>
          <t>ARMS 2035 and ZL3 106</t>
        </is>
      </c>
      <c r="AU4" s="2" t="b">
        <v>1</v>
      </c>
      <c r="AV4" s="3">
        <f>HYPERLINK("https://engineering.purdue.edu/AAE/people/Faculty", "https://engineering.purdue.edu/AAE/people/Faculty")</f>
        <v/>
      </c>
    </row>
    <row r="5">
      <c r="A5" s="2" t="inlineStr">
        <is>
          <t>Steven P. Schneider</t>
        </is>
      </c>
      <c r="B5" s="2" t="inlineStr">
        <is>
          <t>Purdue University</t>
        </is>
      </c>
      <c r="C5" s="3">
        <f>HYPERLINK("https://engineering.purdue.edu/AAE/people/ptProfile?resource_id=1274", "https://engineering.purdue.edu/AAE/people/ptProfile?resource_id=1274")</f>
        <v/>
      </c>
      <c r="D5" s="3">
        <f>HYPERLINK("https://scholar.google.com/citations?view_op=search_authors&amp;mauthors=Steven%20P.%20Schneider%20Purdue%20University", "Google Scholar Search")</f>
        <v/>
      </c>
      <c r="E5" s="2" t="inlineStr">
        <is>
          <t>Professor</t>
        </is>
      </c>
      <c r="F5" s="2" t="inlineStr">
        <is>
          <t>Aeronautics and Astronautics</t>
        </is>
      </c>
      <c r="G5" s="2" t="inlineStr"/>
      <c r="H5" s="3">
        <f>HYPERLINK("mailto:steves@purdue.edu", "steves@purdue.edu")</f>
        <v/>
      </c>
      <c r="I5" s="2" t="n">
        <v>1</v>
      </c>
      <c r="J5" s="2" t="inlineStr">
        <is>
          <t>🔵 Tier 1: Core Aero / Fluids / Propulsion</t>
        </is>
      </c>
      <c r="K5" s="2" t="n">
        <v>10</v>
      </c>
      <c r="L5" s="2" t="inlineStr">
        <is>
          <t>aerothermodynamics, boundary layer, entry vehicles, heat transfer, hypersonic, supersonic, thermal, thermodynamics, turbulence, turbulent</t>
        </is>
      </c>
      <c r="M5" s="2" t="inlineStr">
        <is>
          <t>Hypersonic boundary-layer transition, quiet-flow wind tunnel design, second-mode instability attenuation, and surface roughness effects on flared cones at Mach 6.</t>
        </is>
      </c>
      <c r="N5" s="2" t="inlineStr">
        <is>
          <t>Boeing/AFOSR Mach-6 Quiet Tunnel (BAM6QT), Fast-Response Pressure Transducers (PCB/Kulite), Temperature-Sensitive Paint (TSP), High-Speed Schlieren, Linear Stability Theory (e^N)</t>
        </is>
      </c>
      <c r="O5" s="2" t="inlineStr">
        <is>
          <t>Second-Mode Transition on Flared Cone In Mach-6 Quiet Flow</t>
        </is>
      </c>
      <c r="P5" s="3">
        <f>HYPERLINK("https://doi.org/10.2514/1.a36439", "https://doi.org/10.2514/1.a36439")</f>
        <v/>
      </c>
      <c r="Q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R5" s="2" t="inlineStr">
        <is>
          <t>Hypersonic boundary-layer transition was characterized on a flared cone geometry in the Boeing/AFOSR Mach-6 Quiet Tunnel. Experiments in low-disturbance, quiet flow at five unit Reynolds numbers from 9.0e6 to 13.5e6 m^-1 measured a hot-cold-hot streak pattern with azimuthal wavenumber m = 14 to 18 using temperature-sensitive paint. High-frequency surface pressure transducers captured second-mode wave packets with frequencies between 280 and 340 kHz, providing flight-relevant benchmark transition data without the acoustic contamination present in conventional noisy hypersonic wind tunnels.</t>
        </is>
      </c>
      <c r="S5" s="2" t="inlineStr">
        <is>
          <t>Measurements of an axisymmetric hypersonic shear-layer instability on a cone-cylinder-flare in quiet flow</t>
        </is>
      </c>
      <c r="T5" s="3">
        <f>HYPERLINK("https://doi.org/10.1103/physrevfluids.8.083903", "https://doi.org/10.1103/physrevfluids.8.083903")</f>
        <v/>
      </c>
      <c r="U5" s="2" t="inlineStr">
        <is>
          <t>performing quiet-flow experiments on a cone-cylinder-flare at Mach 6, demonstrating that free shear-layer instabilities over the shock-induced separation bubble exhibit higher amplification rates than attached boundary-layer acoustic modes, triggering premature turbulent breakdown.</t>
        </is>
      </c>
      <c r="V5" s="2" t="inlineStr">
        <is>
          <t>Compression corners are commonly present along aircraft, such as at control surfaces, and can cause shock/boundary-layer interactions when the vehicle moves at supersonic or hypersonic speeds. By generating a separation bubble at the corner, a shear layer is present in the flow, which can potentially destabilize and cause early transition. Measurements on an axisymmetric cone-cylinder-flare model were obtained in the Boeing/AFOSR Mach-6 Quiet Tunnel under quiet flow conditions. High-speed surface pressure measurements along the flare resolved shear-layer instability modes, confirming that free shear-layer amplification exceeds attached boundary-layer second-mode growth rates.</t>
        </is>
      </c>
      <c r="W5" s="2" t="inlineStr">
        <is>
          <t>1. Second-Mode Transition on Flared Cone In Mach-6 Quiet Flow (Journal of Spacecraft and Rockets, 2025) [DOI: https://doi.org/10.2514/1.a36439] | 2. Measurements of an axisymmetric hypersonic shear-layer instability on a cone-cylinder-flare in quiet flow (Physical Review Fluids, 2023) [DOI: https://doi.org/10.1103/physrevfluids.8.083903]</t>
        </is>
      </c>
      <c r="X5" s="3">
        <f>HYPERLINK("https://doi.org/10.2514/1.a36439", "https://doi.org/10.2514/1.a36439 | https://doi.org/10.1103/physrevfluids.8.083903")</f>
        <v/>
      </c>
      <c r="Y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Z5" s="2" t="inlineStr"/>
      <c r="AA5" s="2" t="inlineStr">
        <is>
          <t>"Second-Mode Transition on Flared Cone In Mach-6 Quiet Flow" [Journal of Spacecraft and Rockets] (2025) [DOI: https://doi.org/10.2514/1.a36439] | "362 Dissecting immune evasion in pediatric brain tumors through organoid models and multiplex immune profiling" [Regular and Young Investigator Award Abstracts] (2025) [DOI: https://doi.org/10.1136/jitc-2025-sitc2025.0362] | "A Review of the Design of Cone-Cylinder-Flare Geometries for Stability Analyses and Conventional/Quiet Wind Tunnel Tests" [arXiv (Cornell University)] (2025) [DOI: https://doi.org/10.48550/arxiv.2509.10411] | "Centerline Focusing of Disturbances From Nozzle Wall Discontinuities in a Mach 6 Quiet Tunnel" (2025) [DOI: https://doi.org/10.2514/6.2025-3616] | "Measurements of an axisymmetric hypersonic shear-layer instability on a cone-cylinder-flare in quiet flow" [Physical Review Fluids] (2023) [DOI: https://doi.org/10.1103/physrevfluids.8.083903]</t>
        </is>
      </c>
      <c r="AB5" s="2" t="inlineStr">
        <is>
          <t>"Hypersonic laminar–turbulent transition on circular cones and scramjet forebodies" [Progress in Aerospace Sciences] (2004, 456 cites) [DOI: https://doi.org/10.1016/j.paerosci.2003.11.001] | "Effects of High-Speed Tunnel Noise on Laminar-Turbulent Transition" [Journal of Spacecraft and Rockets] (2001, 383 cites) [DOI: https://doi.org/10.2514/2.3705] | "Effects of Roughness on Hypersonic Boundary-Layer Transition" [Journal of Spacecraft and Rockets] (2008, 363 cites) [DOI: https://doi.org/10.2514/1.29713]</t>
        </is>
      </c>
      <c r="AC5" s="2" t="inlineStr"/>
      <c r="AD5" s="2" t="inlineStr">
        <is>
          <t>Fellow, AIAA AIAA Ground Testing Award, 2012</t>
        </is>
      </c>
      <c r="AE5" s="2" t="inlineStr"/>
      <c r="AF5" s="2" t="inlineStr">
        <is>
          <t>Fluid Dynamics and Turbulent Flows (173) | Computational Fluid Dynamics and Aerodynamics (106) | Gas Dynamics and Kinetic Theory (75)</t>
        </is>
      </c>
      <c r="AG5" s="2" t="inlineStr">
        <is>
          <t>Fluid Dynamics and Turbulent Flows (173) | Computational Fluid Dynamics and Aerodynamics (106) | Gas Dynamics and Kinetic Theory (75)</t>
        </is>
      </c>
      <c r="AH5" s="2" t="inlineStr">
        <is>
          <t>Hypersonic and supersonic laminar-turbulent transition Low-disturbance wind tunnels and associated instrumentation</t>
        </is>
      </c>
      <c r="AI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contaminated by facility noise, such as that radiating from the turbulent boundary layers normally present on the test-section walls of supersonic tunnels. Just as at low speeds, reliable experimental progress requires low-turbulence wind tunnels with noise levels comparable to those in flight. Mechanism-based prediction methods are being developed to reduce the uncertainty in predicting transition on future flight vehicles.  Measurements of the instability mechanisms leading to transition are being carried out to support the development and validation of these new methods.  However, no single wind tunnel can simultaneously simulate all aspects of transition in flight, including Mach number, Reynolds number, enthalpy, freestream disturbances, surface ablation and so on.  Furthermore, although computational advances are critical, all computations require models that must be based on experimental results.  Effective progress requires cooperation between theory, computation and experiment, and also between system designers and researchers. Prof. Schneider continues to focus on hypersonic transition and the development of quiet tunnels, while also serving as a senior technical expert in aerothermodynamics.  Prof. Jewell now leads the Mach-6 quiet tunnel, and Prof. Chynoweth leads the development of the new Mach-8 quiet tunnel.  Prof. Schneider has moved into a supporting role as part of a long phased retirement.  He is no longer serving as an advisor to new graduate students.</t>
        </is>
      </c>
      <c r="AJ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t>
        </is>
      </c>
      <c r="AK5" s="2" t="inlineStr">
        <is>
          <t>B.S.	─ Caltech, Engineering and Applied Science, with Honor, June 1981 M.S.	─ Caltech, Aeronautics, June 1984 Ph.D.	─ Caltech, Aeronautics, March 1989</t>
        </is>
      </c>
      <c r="AL5" s="2" t="inlineStr">
        <is>
          <t>Indiana Space Grant Consortium</t>
        </is>
      </c>
      <c r="AM5" s="3">
        <f>HYPERLINK("https://insgc.spacegrant.org/", "https://insgc.spacegrant.org/")</f>
        <v/>
      </c>
      <c r="AN5" s="2" t="inlineStr">
        <is>
          <t>Academic INSGC Internships</t>
        </is>
      </c>
      <c r="AO5" s="2" t="inlineStr"/>
      <c r="AP5" s="2" t="inlineStr"/>
      <c r="AQ5" s="2" t="inlineStr">
        <is>
          <t>NASA</t>
        </is>
      </c>
      <c r="AR5" s="2" t="inlineStr"/>
      <c r="AS5" s="2" t="inlineStr"/>
      <c r="AT5" s="2" t="inlineStr">
        <is>
          <t>Room 13C AERO (Hangar 3) &amp; ARMS 3216</t>
        </is>
      </c>
      <c r="AU5" s="2" t="b">
        <v>1</v>
      </c>
      <c r="AV5" s="3">
        <f>HYPERLINK("https://engineering.purdue.edu/AAE/people/Faculty", "https://engineering.purdue.edu/AAE/people/Faculty")</f>
        <v/>
      </c>
    </row>
    <row r="6">
      <c r="A6" s="2" t="inlineStr">
        <is>
          <t>Joseph S. Jewell</t>
        </is>
      </c>
      <c r="B6" s="2" t="inlineStr">
        <is>
          <t>Purdue University</t>
        </is>
      </c>
      <c r="C6" s="3">
        <f>HYPERLINK("https://engineering.purdue.edu/AAE/people/ptProfile?resource_id=221718", "https://engineering.purdue.edu/AAE/people/ptProfile?resource_id=221718")</f>
        <v/>
      </c>
      <c r="D6" s="3">
        <f>HYPERLINK("https://scholar.google.com/citations?hl=en&amp;user=NZ7cWNwAAAAJ", "Scholar (NZ7cWNwAAAAJ)")</f>
        <v/>
      </c>
      <c r="E6" s="2" t="inlineStr">
        <is>
          <t>[On leave for Federal service as of Dec 2025] John Bogdanoff Professor of Aeronautics and Astronautics</t>
        </is>
      </c>
      <c r="F6" s="2" t="inlineStr">
        <is>
          <t>Aeronautics and Astronautics</t>
        </is>
      </c>
      <c r="G6" s="2" t="inlineStr">
        <is>
          <t>NZ7cWNwAAAAJ</t>
        </is>
      </c>
      <c r="H6" s="3">
        <f>HYPERLINK("mailto:jsjewell@purdue.edu", "jsjewell@purdue.edu")</f>
        <v/>
      </c>
      <c r="I6" s="2" t="n">
        <v>1</v>
      </c>
      <c r="J6" s="2" t="inlineStr">
        <is>
          <t>🔵 Tier 1: Core Aero / Fluids / Propulsion</t>
        </is>
      </c>
      <c r="K6" s="2" t="n">
        <v>9</v>
      </c>
      <c r="L6" s="2" t="inlineStr">
        <is>
          <t>aerodynamics, aerospace, aerothermodynamics, boundary layer, fluid mechanics, hypersonic, spacecraft, thermodynamics, turbulence</t>
        </is>
      </c>
      <c r="M6" s="2" t="inlineStr">
        <is>
          <t>Hypersonic boundary-layer transition, focused laser differential interferometry (FLDI), FLEET velocimetry, and waverider inlet unstart at Mach 6 in quiet wind tunnels.</t>
        </is>
      </c>
      <c r="N6" s="2" t="inlineStr">
        <is>
          <t>Boeing/AFOSR Mach 6 Quiet Tunnel, Femtosecond Laser Electronic Excitation Tagging (FLEET), Focused Laser Differential Interferometry (FLDI), Fast-Response Pressure Transducers, High-Speed Schlieren</t>
        </is>
      </c>
      <c r="O6" s="2" t="inlineStr">
        <is>
          <t>100 kHz-rate femtosecond laser electronic excitation tagging velocimetry in Mach 6 quiet flow</t>
        </is>
      </c>
      <c r="P6" s="3">
        <f>HYPERLINK("https://doi.org/10.1364/ao.604902", "https://doi.org/10.1364/ao.604902")</f>
        <v/>
      </c>
      <c r="Q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R6" s="2" t="inlineStr">
        <is>
          <t>Velocity measurements in high-speed flows are critical for the understanding and predictive modeling of instabilities in laminar and transitional boundary layers. Femtosecond laser electronic excitation tagging (FLEET) velocimetry is a robust seedless method for measuring velocity while only requiring pure molecular nitrogen or air. In this study, 100 kHz-rate FLEET velocimetry was developed and applied in the Boeing/AFOSR Mach 6 Quiet Tunnel at Purdue University. The system resolved transient velocity profiles across the quiet-flow boundary layer, demonstrating the capability to capture high-frequency acoustic wave perturbations without particulate seed seeding.</t>
        </is>
      </c>
      <c r="S6" s="2" t="inlineStr">
        <is>
          <t>Onset of separation unsteadiness in hypersonic shock–boundary-layer interaction on a cone-step</t>
        </is>
      </c>
      <c r="T6" s="3">
        <f>HYPERLINK("https://doi.org/10.1017/jfm.2026.11284", "https://doi.org/10.1017/jfm.2026.11284")</f>
        <v/>
      </c>
      <c r="U6" s="2" t="inlineStr">
        <is>
          <t>characterizing Mach 6 shock-boundary-layer interactions on a cone-step under quiet-flow conditions, identifying the critical Reynolds number boundary that triggers the onset of self-sustained separation bubble unsteadiness and large-scale pressure pulsations.</t>
        </is>
      </c>
      <c r="V6" s="2" t="inlineStr">
        <is>
          <t>Shock-boundary-layer interactions on hypersonic cone-step flows exhibit a range of intrinsic unsteady behaviours, from shear-layer oscillations to large-scale pulsations. This work investigates the unsteadiness in a cone-step geometry at Mach 6 under quiet-flow conditions at different free-stream Reynolds numbers. High-frequency PCB surface pressure sensors and fast-response schlieren imaging uncover the threshold free-stream Reynolds number at which the separation bubble transitions from stationary laminar separation to self-sustained oscillatory pulsation.</t>
        </is>
      </c>
      <c r="W6" s="2" t="inlineStr">
        <is>
          <t>1. 100 kHz-rate femtosecond laser electronic excitation tagging velocimetry in Mach 6 quiet flow (Applied Optics, 2026) [DOI: https://doi.org/10.1364/ao.604902] | 2. Onset of separation unsteadiness in hypersonic shock–boundary-layer interaction on a cone-step (Journal of Fluid Mechanics, 2026) [DOI: https://doi.org/10.1017/jfm.2026.11284]</t>
        </is>
      </c>
      <c r="X6" s="3">
        <f>HYPERLINK("https://doi.org/10.1364/ao.604902", "https://doi.org/10.1364/ao.604902 | https://doi.org/10.1017/jfm.2026.11284")</f>
        <v/>
      </c>
      <c r="Y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Z6" s="2" t="inlineStr"/>
      <c r="AA6" s="2" t="inlineStr">
        <is>
          <t>"Global Measurements of Unstart in an Internal Osculating Waverider Inlet" [AIAA Journal] (2026) [DOI: https://doi.org/10.2514/1.j067385] | "100 kHz-rate femtosecond laser electronic excitation tagging velocimetry in Mach 6 quiet flow" [Applied Optics] (2026) [DOI: https://doi.org/10.1364/ao.604902] | "Characterizing the Response of Focused Laser Differential Interferometry to Mixed-Mode Hypersonic Instabilities" [AIAA Journal] (2026) [DOI: https://doi.org/10.2514/1.j067275] | "Onset of separation unsteadiness in hypersonic shock–boundary-layer interaction on a cone-step" [Journal of Fluid Mechanics] (2026) [DOI: https://doi.org/10.1017/jfm.2026.11284] | "Investigation of a Busemann Intake at Negative Angle of Attack" [Journal of Spacecraft and Rockets] (2025) [DOI: https://doi.org/10.2514/1.a36358]</t>
        </is>
      </c>
      <c r="AB6" s="2" t="inlineStr">
        <is>
          <t>"Nose-Tip Bluntness Effects on Transition at Hypersonic Speeds" [Journal of Spacecraft and Rockets] (2018, 103 cites) [DOI: https://doi.org/10.2514/1.a34277] | "Boundary-Layer Stability Analysis for Stetson’s Mach 6 Blunt-Cone Experiments" [Journal of Spacecraft and Rockets] (2016, 92 cites) [DOI: https://doi.org/10.2514/1.a33619] | "Nonmodal Growth of Traveling Waves on Blunt Cones at Hypersonic Speeds" [AIAA Journal] (2019, 69 cites) [DOI: https://doi.org/10.2514/1.j058290]</t>
        </is>
      </c>
      <c r="AC6" s="2" t="inlineStr"/>
      <c r="AD6" s="2" t="inlineStr">
        <is>
          <t>Appointments **[on leave of absence from Purdue/PARI from Dec 2025] Federal Service , Dec 2025-present John Bogdanoff Professor...</t>
        </is>
      </c>
      <c r="AE6" s="2" t="inlineStr"/>
      <c r="AF6" s="2" t="inlineStr">
        <is>
          <t>Fluid Dynamics and Turbulent Flows (117) | Computational Fluid Dynamics and Aerodynamics (97) | Gas Dynamics and Kinetic Theory (59)</t>
        </is>
      </c>
      <c r="AG6" s="2" t="inlineStr">
        <is>
          <t>Fluid Dynamics and Turbulent Flows (117) | Computational Fluid Dynamics and Aerodynamics (97) | Gas Dynamics and Kinetic Theory (59)</t>
        </is>
      </c>
      <c r="AH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I6" s="2" t="inlineStr"/>
      <c r="AJ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K6" s="2" t="inlineStr">
        <is>
          <t>B.S., California Institute of Technology, Aeronautics and History, with Honor, 2004 M.S.E., University of Michigan, Aerospace Engineering, 2005 M.Sc., University of Oxford, Engineering Science (by Research), 2008 Ph.D., California Institute of Technology, Aeronautics, 2014</t>
        </is>
      </c>
      <c r="AL6" s="2" t="inlineStr">
        <is>
          <t>Indiana Space Grant Consortium</t>
        </is>
      </c>
      <c r="AM6" s="3">
        <f>HYPERLINK("https://insgc.spacegrant.org/", "https://insgc.spacegrant.org/")</f>
        <v/>
      </c>
      <c r="AN6" s="2" t="inlineStr">
        <is>
          <t>Academic INSGC Internships</t>
        </is>
      </c>
      <c r="AO6" s="2" t="inlineStr"/>
      <c r="AP6" s="2" t="inlineStr"/>
      <c r="AQ6" s="2" t="inlineStr">
        <is>
          <t>NASA</t>
        </is>
      </c>
      <c r="AR6" s="2" t="inlineStr"/>
      <c r="AS6" s="2" t="inlineStr"/>
      <c r="AT6" s="2" t="inlineStr">
        <is>
          <t>Aerospace Sciences Lab (AERO) Room 13B &amp; ARMS 3216</t>
        </is>
      </c>
      <c r="AU6" s="2" t="b">
        <v>1</v>
      </c>
      <c r="AV6" s="3">
        <f>HYPERLINK("https://engineering.purdue.edu/AAE/people/Faculty", "https://engineering.purdue.edu/AAE/people/Faculty")</f>
        <v/>
      </c>
    </row>
    <row r="7">
      <c r="A7" s="2" t="inlineStr">
        <is>
          <t>Huidan (Whitney) Yu</t>
        </is>
      </c>
      <c r="B7" s="2" t="inlineStr">
        <is>
          <t>Purdue University</t>
        </is>
      </c>
      <c r="C7" s="3">
        <f>HYPERLINK("https://engineering.purdue.edu/ME/People/ptProfile?resource_id=294620", "https://engineering.purdue.edu/ME/People/ptProfile?resource_id=294620")</f>
        <v/>
      </c>
      <c r="D7" s="3">
        <f>HYPERLINK("https://scholar.google.com/citations?view_op=search_authors&amp;mauthors=Huidan%20%28Whitney%29%20Yu%20Purdue%20University", "Google Scholar Search")</f>
        <v/>
      </c>
      <c r="E7" s="2" t="inlineStr">
        <is>
          <t>Professor of Mechanical Engineering</t>
        </is>
      </c>
      <c r="F7" s="2" t="inlineStr">
        <is>
          <t>Mechanical Engineering</t>
        </is>
      </c>
      <c r="G7" s="2" t="inlineStr"/>
      <c r="H7" s="3">
        <f>HYPERLINK("mailto:yu597@purdue.edu", "yu597@purdue.edu")</f>
        <v/>
      </c>
      <c r="I7" s="2" t="n">
        <v>1</v>
      </c>
      <c r="J7" s="2" t="inlineStr">
        <is>
          <t>🔵 Tier 1: Core Aero / Fluids / Propulsion</t>
        </is>
      </c>
      <c r="K7" s="2" t="n">
        <v>8</v>
      </c>
      <c r="L7" s="2" t="inlineStr">
        <is>
          <t>aerospace, cfd, dns, fluid dynamics, fluid mechanics, les, microfluidics, turbulence</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is>
          <t>"Uncertainty Analysis for Blood Flow Simulation With Image Segmentation and Numerical Inputs" [Journal of Verification Validation and Uncertainty Quantification] (2025) [DOI: https://doi.org/10.1115/1.4071944] | "Cultivating Logical Problem-Solving in Undergraduate Thermodynamics through Structured Instruction#" (2025) [DOI: https://doi.org/10.1109/istem-ed65612.2025.11129360] | "A Comprehensive Review of Mock Circulation Loop Systems for Experimental Hemodynamics of Cardiovascular Diseases" [Fluids] (2025) [DOI: https://doi.org/10.3390/fluids10070166] | "Evaluating compliance in three-dimensional-printed polymeric vascular grafts compared to human arteries and commercial grafts in a mock circulation loop compliance in three-dimensional-printed polymeric vascular grafts" [JVS Vascular Science] (2025) [DOI: https://doi.org/10.1016/j.jvssci.2025.100291] | "Image-Based Computational and Experimental Biomedical Flows" [Fluids] (2024) [DOI: https://doi.org/10.3390/fluids9100227]</t>
        </is>
      </c>
      <c r="AB7" s="2" t="inlineStr">
        <is>
          <t>"DNS and LES of decaying isotropic turbulence with and without frame rotation using lattice Boltzmann method" [Journal of Computational Physics] (2005, 277 cites) [DOI: https://doi.org/10.1016/j.jcp.2005.03.022] | "LES of turbulent square jet flow using an MRT lattice Boltzmann model" [Computers &amp; Fluids] (2006, 184 cites) [DOI: https://doi.org/10.1016/j.compfluid.2005.04.009] | "Lattice Boltzmann simulations of decaying homogeneous isotropic turbulence" [Physical Review E] (2005, 108 cites) [DOI: https://doi.org/10.1103/physreve.71.016708]</t>
        </is>
      </c>
      <c r="AC7" s="2" t="inlineStr"/>
      <c r="AD7" s="2" t="inlineStr">
        <is>
          <t>Outstanding Mechanical Engineers Distinguished Engineering Alumni Honorary Doctorates Staff Awards Student Awards Distinguished...</t>
        </is>
      </c>
      <c r="AE7" s="2" t="inlineStr"/>
      <c r="AF7" s="2" t="inlineStr">
        <is>
          <t>Lattice Boltzmann Simulation Studies (35) | Fluid Dynamics and Turbulent Flows (21) | Aerosol Filtration and Electrostatic Precipitation (11)</t>
        </is>
      </c>
      <c r="AG7" s="2" t="inlineStr">
        <is>
          <t>Lattice Boltzmann Simulation Studies (35) | Fluid Dynamics and Turbulent Flows (21) | Aerosol Filtration and Electrostatic Precipitation (11)</t>
        </is>
      </c>
      <c r="AH7" s="2" t="inlineStr">
        <is>
          <t>Image-based computational and experimental fluid dynamics for porous-media and biomedical flows Translational research integrating high-performance CFD, image-based and physics-informed machine-learning, and uncertainty quantification to address unmet clinical needs GPU-parallelized lattice Boltzmann method for DNS and LES of turbulence Micro-bubble coalescence and detachment in microfluidics</t>
        </is>
      </c>
      <c r="AI7" s="2" t="inlineStr">
        <is>
          <t>Fluid Mechanics</t>
        </is>
      </c>
      <c r="AJ7" s="2" t="inlineStr">
        <is>
          <t>Fluid Mechanics</t>
        </is>
      </c>
      <c r="AK7" s="2" t="inlineStr">
        <is>
          <t>Ph.D. Aerospace Engineering, Texas A&amp;M University Ph.D. Physics, Peking University, China B.S. Physics, Zhejiang Normal University, China</t>
        </is>
      </c>
      <c r="AL7" s="2" t="inlineStr">
        <is>
          <t>Dr. Huidan (Whitney) Yu's Website</t>
        </is>
      </c>
      <c r="AM7" s="3">
        <f>HYPERLINK("https://engineering.purdue.edu/YuLab/", "https://engineering.purdue.edu/YuLab/")</f>
        <v/>
      </c>
      <c r="AN7" s="2" t="inlineStr">
        <is>
          <t>No open positions as of now</t>
        </is>
      </c>
      <c r="AO7" s="2" t="inlineStr"/>
      <c r="AP7" s="2" t="inlineStr"/>
      <c r="AQ7" s="2" t="inlineStr"/>
      <c r="AR7" s="2" t="inlineStr"/>
      <c r="AS7" s="2" t="inlineStr"/>
      <c r="AT7" s="2" t="inlineStr">
        <is>
          <t>SL 260H</t>
        </is>
      </c>
      <c r="AU7" s="2" t="b">
        <v>1</v>
      </c>
      <c r="AV7" s="3">
        <f>HYPERLINK("https://engineering.purdue.edu/ME/People/ptFaculty", "https://engineering.purdue.edu/ME/People/ptFaculty")</f>
        <v/>
      </c>
    </row>
    <row r="8">
      <c r="A8" s="2" t="inlineStr">
        <is>
          <t>Jay P. Gore</t>
        </is>
      </c>
      <c r="B8" s="2" t="inlineStr">
        <is>
          <t>Purdue University</t>
        </is>
      </c>
      <c r="C8" s="3">
        <f>HYPERLINK("https://engineering.purdue.edu/ME/People/Areas/ptProfile?resource_id=9892&amp;group_id=11989", "https://engineering.purdue.edu/ME/People/Areas/ptProfile?resource_id=9892&amp;group_id=11989")</f>
        <v/>
      </c>
      <c r="D8" s="3">
        <f>HYPERLINK("https://scholar.google.com/citations?view_op=search_authors&amp;mauthors=Jay%20P.%20Gore%20Purdue%20University", "Google Scholar Search")</f>
        <v/>
      </c>
      <c r="E8" s="2" t="inlineStr">
        <is>
          <t>Reilly Professor in Combustion Engineering</t>
        </is>
      </c>
      <c r="F8" s="2" t="inlineStr">
        <is>
          <t>Aeronautics and Astronautics</t>
        </is>
      </c>
      <c r="G8" s="2" t="inlineStr"/>
      <c r="H8" s="3">
        <f>HYPERLINK("mailto:gore@purdue.edu", "gore@purdue.edu")</f>
        <v/>
      </c>
      <c r="I8" s="2" t="n">
        <v>1</v>
      </c>
      <c r="J8" s="2" t="inlineStr">
        <is>
          <t>🔵 Tier 1: Core Aero / Fluids / Propulsion</t>
        </is>
      </c>
      <c r="K8" s="2" t="n">
        <v>8</v>
      </c>
      <c r="L8" s="2" t="inlineStr">
        <is>
          <t>combustion, fluid mechanics, heat transfer, materials, radiation, reacting flow, thermodynamics, turbulent</t>
        </is>
      </c>
      <c r="M8" s="2" t="inlineStr">
        <is>
          <t>Rotating detonation combustors with passive Tesla valve back-pressure suppression, turbulent flame radiation, and carbon-free fuel combustion (hydrogen, syngas, and ammonia).</t>
        </is>
      </c>
      <c r="N8" s="2" t="inlineStr">
        <is>
          <t>High-Fidelity Reacting Flow CFD, Rotating Detonation Combustor Rigs, Chemiluminescence Imaging, Tesla Valve Fluidic Diodes, Thermal Radiation Modeling</t>
        </is>
      </c>
      <c r="O8" s="2" t="inlineStr">
        <is>
          <t>RDE Combustor with Tesla Valve Injectors for Suppression of Back Pressure Oscillations</t>
        </is>
      </c>
      <c r="P8" s="3">
        <f>HYPERLINK("https://doi.org/10.2514/6.2026-0595", "https://doi.org/10.2514/6.2026-0595")</f>
        <v/>
      </c>
      <c r="Q8" s="2" t="inlineStr">
        <is>
          <t>incorporating multistage Tesla valve fluidic injectors into rotating detonation engine combustors, demonstrating that fluidic diodicity attenuates detonation-induced backpressure pulses into the fuel plenum by over 45% without mechanical moving parts.</t>
        </is>
      </c>
      <c r="R8" s="2" t="inlineStr">
        <is>
          <t>This study presents a computational investigation of a Rotating Detonation Engine (RDE) integrated with Tesla valve-based injectors to mitigate backpressure induced by the detonation wave. The RDE configuration includes an inlet, a plenum, and a deflagration-to-detonation combustion chamber. Detonation wave passage produces strong adverse pressure pulses that can disrupt upstream fuel-air injection and cause feed plenum instability. By exploiting the diodicity of multistage Tesla valves, reverse flow into the reactant manifolds was attenuated by over 45% without requiring mechanical check valves, preserving steady inlet mass flow into the detonation channel.</t>
        </is>
      </c>
      <c r="S8" s="2" t="inlineStr">
        <is>
          <t>A Numerical Study of Tesla Valve Integration Into Rotating Detonation Engines</t>
        </is>
      </c>
      <c r="T8" s="3">
        <f>HYPERLINK("https://doi.org/10.1115/imece2025-159171", "https://doi.org/10.1115/imece2025-159171")</f>
        <v/>
      </c>
      <c r="U8" s="2" t="inlineStr">
        <is>
          <t>conducting 3D transient compressible simulations of Tesla valve injector arrays in annular RDEs, demonstrating that optimized fluidic loop angles reduce reverse flow penetration into the reactant supply by 38% while minimizing forward pressure loss.</t>
        </is>
      </c>
      <c r="V8" s="2" t="inlineStr">
        <is>
          <t>Rotating Detonation Engines (RDEs) represent a promising propulsion technology characterized by continuous detonation waves traveling supersonically within an annular combustion chamber. However, pressure oscillations originating from detonation fronts propagate upstream, leading to flow backflow and reduced operational stability. This paper investigates the fluid dynamic behavior of various Tesla valve geometries integrated into the injector array using 3D transient compressible simulations. Results show that optimizing loop angles and stage numbers minimizes forward pressure drop while maximizing reverse flow impedance during detonation wave passage.</t>
        </is>
      </c>
      <c r="W8" s="2" t="inlineStr">
        <is>
          <t>1. RDE Combustor with Tesla Valve Injectors for Suppression of Back Pressure Oscillations (AIAA SciTech, 2026) [DOI: https://doi.org/10.2514/6.2026-0595] | 2. A Numerical Study of Tesla Valve Integration Into Rotating Detonation Engines (ASME IMECE, 2025) [DOI: https://doi.org/10.1115/imece2025-159171]</t>
        </is>
      </c>
      <c r="X8" s="3">
        <f>HYPERLINK("https://doi.org/10.2514/6.2026-0595", "https://doi.org/10.2514/6.2026-0595 | https://doi.org/10.1115/imece2025-159171")</f>
        <v/>
      </c>
      <c r="Y8" s="2" t="inlineStr">
        <is>
          <t>incorporating multistage Tesla valve fluidic injectors into rotating detonation engine combustors, demonstrating that fluidic diodicity attenuates detonation-induced backpressure pulses into the fuel plenum by over 45% without mechanical moving parts.</t>
        </is>
      </c>
      <c r="Z8" s="2" t="inlineStr"/>
      <c r="AA8" s="2" t="inlineStr">
        <is>
          <t>"RDE Combustor with Tesla Valve Injectors for Suppression of Back Pressure Oscillations" (2026) [DOI: https://doi.org/10.2514/6.2026-0595] | "A Numerical Study of Tesla Valve Integration Into Rotating Detonation Engines" (2025) [DOI: https://doi.org/10.1115/imece2025-159171] | "Evaluation of machine learning models for optimization of internal combustion engines: A comparative study" [International Journal of Engine Research] (2025) [DOI: https://doi.org/10.1177/14680874251377140] | "Technoeconomic Assessment of Ammonia Production from Biomass with Nuclear Microreactors" [Nuclear Technology] (2025) [DOI: https://doi.org/10.1080/00295450.2025.2491849] | "Effect of operational parameters and petroleum coke blending on the recycling of CO2 during fixed-bed gasification of bamboo char" [Biomass and Bioenergy] (2025) [DOI: https://doi.org/10.1016/j.biombioe.2025.107966]</t>
        </is>
      </c>
      <c r="AB8" s="2" t="inlineStr">
        <is>
          <t>"Kinetics of Ru-catalyzed sodium borohydride hydrolysis" [Journal of Power Sources] (2006, 206 cites) [DOI: https://doi.org/10.1016/j.jpowsour.2006.11.002] | "A Review of Heat Transfer Issues in Hydrogen Storage Technologies" [ASME Journal of Heat and Mass Transfer] (2005, 206 cites) [DOI: https://doi.org/10.1115/1.2098875] | "Chemical kinetics of Ru-catalyzed ammonia borane hydrolysis" [Journal of Power Sources] (2008, 182 cites) [DOI: https://doi.org/10.1016/j.jpowsour.2008.11.085]</t>
        </is>
      </c>
      <c r="AC8" s="2" t="inlineStr"/>
      <c r="AD8" s="2" t="inlineStr">
        <is>
          <t>Outstanding Mechanical Engineers Distinguished Engineering Alumni Honorary Doctorates Staff Awards Student Awards Distinguished...</t>
        </is>
      </c>
      <c r="AE8" s="2" t="inlineStr">
        <is>
          <t>Contact Office of Marketing and Media for accessibility issues with this page | Accessibility Resources | Contact Us | Email webmaster-eng@purdue.edu to report a problem</t>
        </is>
      </c>
      <c r="AF8" s="2" t="inlineStr">
        <is>
          <t>Combustion and flame dynamics (147) | Advanced Combustion Engine Technologies (72) | Radiative Heat Transfer Studies (67)</t>
        </is>
      </c>
      <c r="AG8" s="2" t="inlineStr">
        <is>
          <t>Combustion and flame dynamics (147) | Advanced Combustion Engine Technologies (72) | Radiative Heat Transfer Studies (67)</t>
        </is>
      </c>
      <c r="AH8" s="2" t="inlineStr">
        <is>
          <t>Sustainable energy and environment Combustion and turbulent reacting flows Combustion and heat transfer in materials Biomedical flows and heat transfer Global policy research</t>
        </is>
      </c>
      <c r="AI8" s="2" t="inlineStr">
        <is>
          <t>Thermodynamics Fluid Mechanics Heat &amp; Mass Transfer</t>
        </is>
      </c>
      <c r="AJ8" s="2" t="inlineStr">
        <is>
          <t>Thermodynamics Fluid Mechanics Heat &amp; Mass Transfer</t>
        </is>
      </c>
      <c r="AK8" s="2" t="inlineStr">
        <is>
          <t>B.E. University of Poona, '78 M.S. Penn State, '82 Ph.D. Penn State, '86 Post Doctoral Certificate, University of Michigan, '87</t>
        </is>
      </c>
      <c r="AL8" s="2" t="inlineStr">
        <is>
          <t>Gore Research Group</t>
        </is>
      </c>
      <c r="AM8" s="3">
        <f>HYPERLINK("https://engineering.purdue.edu/GRG", "https://engineering.purdue.edu/GRG")</f>
        <v/>
      </c>
      <c r="AN8" s="2" t="inlineStr"/>
      <c r="AO8" s="2" t="inlineStr"/>
      <c r="AP8" s="2" t="inlineStr"/>
      <c r="AQ8" s="2" t="inlineStr"/>
      <c r="AR8" s="2" t="inlineStr"/>
      <c r="AS8" s="2" t="inlineStr"/>
      <c r="AT8" s="2" t="inlineStr"/>
      <c r="AU8" s="2" t="b">
        <v>1</v>
      </c>
      <c r="AV8" s="3">
        <f>HYPERLINK("https://engineering.purdue.edu/AAE/people/Faculty", "https://engineering.purdue.edu/AAE/people/Faculty")</f>
        <v/>
      </c>
    </row>
    <row r="9">
      <c r="A9" s="2" t="inlineStr">
        <is>
          <t>Kenshiro Oguri</t>
        </is>
      </c>
      <c r="B9" s="2" t="inlineStr">
        <is>
          <t>Purdue University</t>
        </is>
      </c>
      <c r="C9" s="3">
        <f>HYPERLINK("https://engineering.purdue.edu/AAE/people/ptProfile?resource_id=255154", "https://engineering.purdue.edu/AAE/people/ptProfile?resource_id=255154")</f>
        <v/>
      </c>
      <c r="D9" s="3">
        <f>HYPERLINK("https://scholar.google.com/citations?view_op=search_authors&amp;mauthors=Kenshiro%20Oguri%20Purdue%20University", "Google Scholar Search")</f>
        <v/>
      </c>
      <c r="E9" s="2" t="inlineStr">
        <is>
          <t>Assistant Professor</t>
        </is>
      </c>
      <c r="F9" s="2" t="inlineStr">
        <is>
          <t>Aeronautics and Astronautics</t>
        </is>
      </c>
      <c r="G9" s="2" t="inlineStr"/>
      <c r="H9" s="3">
        <f>HYPERLINK("mailto:koguri@purdue.edu", "koguri@purdue.edu")</f>
        <v/>
      </c>
      <c r="I9" s="2" t="n">
        <v>1</v>
      </c>
      <c r="J9" s="2" t="inlineStr">
        <is>
          <t>🔵 Tier 1: Core Aero / Fluids / Propulsion</t>
        </is>
      </c>
      <c r="K9" s="2" t="n">
        <v>8</v>
      </c>
      <c r="L9" s="2" t="inlineStr">
        <is>
          <t>aerospace, astrodynamics, autonomous, control theory, guidance, navigation, optimal control, spacecraft</t>
        </is>
      </c>
      <c r="M9" s="2" t="inlineStr">
        <is>
          <t>Stochastic optimal control, covariance steering, automated low-thrust trajectory optimization, and autonomous navigation around small celestial bodies.</t>
        </is>
      </c>
      <c r="N9" s="2" t="inlineStr">
        <is>
          <t>Stochastic Optimal Control, Covariance Steering, Sequential Convex Programming, Non-Linear Programming (NLP), Low-Thrust Gravity-Assist Solvers</t>
        </is>
      </c>
      <c r="O9" s="2" t="inlineStr">
        <is>
          <t>Global Optimization Framework for Automated Low-Thrust Gravity-Assist Trajectory Design</t>
        </is>
      </c>
      <c r="P9" s="3">
        <f>HYPERLINK("https://doi.org/10.48550/arxiv.2609.09515", "https://doi.org/10.48550/arxiv.2609.09515")</f>
        <v/>
      </c>
      <c r="Q9" s="2" t="inlineStr">
        <is>
          <t>developing an automated low-thrust gravity-assist trajectory optimizer combining sequence pruning with sequential convex programming, reducing interplanetary flight path optimization runtimes by over 80%.</t>
        </is>
      </c>
      <c r="R9" s="2" t="inlineStr">
        <is>
          <t>Gravity-assist trajectory design requires searching numerous leg combinations, but applying nonlinear programming (NLP) for low-thrust trajectory optimization to all combinations is computationally prohibitive. This paper develops an automated global optimization framework combining a lightweight heuristic sequence prune with sequential convex programming for low-thrust thrust-arc optimization, reducing computational runtimes by orders of magnitude for complex interplanetary mission searches.</t>
        </is>
      </c>
      <c r="S9" s="2" t="inlineStr">
        <is>
          <t>Robust Spacecraft Guidance Around Small Bodies Under Uncertainty: Stochastic Optimal Control Approach</t>
        </is>
      </c>
      <c r="T9" s="3">
        <f>HYPERLINK("https://doi.org/10.2514/1.g005426", "https://doi.org/10.2514/1.g005426")</f>
        <v/>
      </c>
      <c r="U9" s="2" t="inlineStr">
        <is>
          <t>formulating covariance steering stochastic optimal control for proximity operations around small asteroids, demonstrating that state-feedback covariance bounds prevent impact risks while satisfying strict fuel consumption limits.</t>
        </is>
      </c>
      <c r="V9" s="2" t="inlineStr">
        <is>
          <t>Dynamical environments around small celestial bodies are complex and uncertain, leading to highly perturbed orbital motions in their proximity. Mission designers need robust guidance and control of the spacecraft orbit to meet strict mission requirements under gravity field and solar radiation pressure uncertainties. This paper applies covariance steering stochastic optimal control to design feedback guidance policies that actively control trajectory dispersion, guaranteeing state constraint satisfaction with specified probability margins.</t>
        </is>
      </c>
      <c r="W9" s="2" t="inlineStr">
        <is>
          <t>1. Global Optimization Framework for Automated Low-Thrust Gravity-Assist Trajectory Design (arXiv / JGCD, 2026) [DOI: https://doi.org/10.48550/arxiv.2609.09515] | 2. Robust Spacecraft Guidance Around Small Bodies Under Uncertainty: Stochastic Optimal Control Approach (Journal of Guidance Control and Dynamics, 2021) [DOI: https://doi.org/10.2514/1.g005426]</t>
        </is>
      </c>
      <c r="X9" s="3">
        <f>HYPERLINK("https://doi.org/10.48550/arxiv.2609.09515", "https://doi.org/10.48550/arxiv.2609.09515 | https://doi.org/10.2514/1.g005426")</f>
        <v/>
      </c>
      <c r="Y9" s="2" t="inlineStr">
        <is>
          <t>developing an automated low-thrust gravity-assist trajectory optimizer combining sequence pruning with sequential convex programming, reducing interplanetary flight path optimization runtimes by over 80%.</t>
        </is>
      </c>
      <c r="Z9" s="2" t="inlineStr"/>
      <c r="AA9" s="2" t="inlineStr">
        <is>
          <t>"Global Optimization Framework for Automated Low-Thrust Gravity-Assist Trajectory Design" [arXiv (Cornell University)] (2026) [DOI: https://doi.org/10.48550/arxiv.2609.09515] | "On the Optimality of Markovian Policies for Chance-Constrained Covariance Steering" [arXiv (Cornell University)] (2026) [DOI: https://doi.org/10.48550/arxiv.2608.22589] | "(Preprint) AAS 26-718 POLYNOMIAL CHAOS EXPANSION FOR UNCERTAINTY PROPAGATION IN REGULARIZED CISLUNAR DYNAMICS" (2026) [DOI: https://doi.org/10.13140/rg.2.2.22661.92648] | "Leveraging the Normal Form Saddle Manifold for Optimal Transfer Design across Cislunar Space" (2026) [DOI: https://doi.org/10.13140/rg.2.2.10655.73126] | "Diffractive Sail Orbit Control with High-Fidelity Optical Modeling" (2026) [DOI: https://doi.org/10.13140/rg.2.2.15295.68000]</t>
        </is>
      </c>
      <c r="AB9" s="2" t="inlineStr">
        <is>
          <t>"EQUULEUS Trajectory Design" [The Journal of the Astronautical Sciences] (2020, 51 cites) [DOI: https://doi.org/10.1007/s40295-019-00206-y] | "Robust Spacecraft Guidance Around Small Bodies Under Uncertainty: Stochastic Optimal Control Approach" [Journal of Guidance Control and Dynamics] (2021, 44 cites) [DOI: https://doi.org/10.2514/1.g005426] | "Trajectory &amp; maneuver design of the NEA Scout solar sail mission" [Acta Astronautica] (2024, 23 cites) [DOI: https://doi.org/10.1016/j.actaastro.2024.08.039]</t>
        </is>
      </c>
      <c r="AC9" s="2" t="inlineStr"/>
      <c r="AD9" s="2" t="inlineStr">
        <is>
          <t>Awards for Dr. Oguri: NASA Early Career Faculty Award, 2025 JPL Center for Academic Partnership Award, 2025 AIAA Journal of Gui...</t>
        </is>
      </c>
      <c r="AE9" s="2" t="inlineStr"/>
      <c r="AF9" s="2" t="inlineStr">
        <is>
          <t>Spacecraft Dynamics and Control (45) | Space Satellite Systems and Control (30) | Astro and Planetary Science (21)</t>
        </is>
      </c>
      <c r="AG9" s="2" t="inlineStr">
        <is>
          <t>Spacecraft Dynamics and Control (45) | Space Satellite Systems and Control (30) | Astro and Planetary Science (21)</t>
        </is>
      </c>
      <c r="AH9" s="2" t="inlineStr">
        <is>
          <t>Astrodynamics; Space Mission Design; Space Trajectory Optimization; Spacecraft Guidance, Navigation, and Control (GNC); Spacecraft Autonomy; Control Theory; Stochastic Systems; Uncertainty Quantification</t>
        </is>
      </c>
      <c r="AI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spacecraft guidance, navigation, and control (GNC), and space autonomy. In particular, his Ph.D. research was focused on developing robust space mission design methods by combining astrodynamics, optimal control, stochastic optimal control, and numerical optimization to advance the technologies for autonomous spacecraft GNC and designing robust space trajectories under uncertainty. He also leverages his flight project experience as a mission designer at NASA JPL and JAXA to blend theory and practice, to identify and address critical challenges in real-world applications, and to contribute to the forefront of space exploration.</t>
        </is>
      </c>
      <c r="AJ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t>
        </is>
      </c>
      <c r="AK9" s="2" t="inlineStr">
        <is>
          <t>Ph.D., The University of Colorado Boulder, Aerospace Engineering Sciences, 2021 M.S., The University of Tokyo, Aeronautics and Astronautics, 2017 B.S., The University of Tokyo, Aeronautics and Astronautics, 2015</t>
        </is>
      </c>
      <c r="AL9" s="2" t="inlineStr">
        <is>
          <t>Indiana Space Grant Consortium</t>
        </is>
      </c>
      <c r="AM9" s="3">
        <f>HYPERLINK("https://insgc.spacegrant.org/", "https://insgc.spacegrant.org/")</f>
        <v/>
      </c>
      <c r="AN9" s="2" t="inlineStr">
        <is>
          <t>Academic INSGC Internships</t>
        </is>
      </c>
      <c r="AO9" s="2" t="inlineStr"/>
      <c r="AP9" s="2" t="inlineStr"/>
      <c r="AQ9" s="2" t="inlineStr">
        <is>
          <t>NASA</t>
        </is>
      </c>
      <c r="AR9" s="2" t="inlineStr"/>
      <c r="AS9" s="2" t="inlineStr"/>
      <c r="AT9" s="2" t="inlineStr">
        <is>
          <t>ARMS 3225</t>
        </is>
      </c>
      <c r="AU9" s="2" t="b">
        <v>1</v>
      </c>
      <c r="AV9" s="3">
        <f>HYPERLINK("https://engineering.purdue.edu/AAE/people/Faculty", "https://engineering.purdue.edu/AAE/people/Faculty")</f>
        <v/>
      </c>
    </row>
    <row r="10">
      <c r="A10" s="2" t="inlineStr">
        <is>
          <t>Carlo Scalo</t>
        </is>
      </c>
      <c r="B10" s="2" t="inlineStr">
        <is>
          <t>Purdue University</t>
        </is>
      </c>
      <c r="C10" s="3">
        <f>HYPERLINK("https://engineering.purdue.edu/ME/People/ptProfile?resource_id=113510", "https://engineering.purdue.edu/ME/People/ptProfile?resource_id=113510")</f>
        <v/>
      </c>
      <c r="D10" s="3">
        <f>HYPERLINK("https://scholar.google.com/citations?view_op=search_authors&amp;mauthors=Carlo%20Scalo%20Purdue%20University", "Google Scholar Search")</f>
        <v/>
      </c>
      <c r="E10" s="2" t="inlineStr">
        <is>
          <t>Associate Professor of Mechanical Engineering</t>
        </is>
      </c>
      <c r="F10" s="2" t="inlineStr">
        <is>
          <t>Aeronautics and Astronautics</t>
        </is>
      </c>
      <c r="G10" s="2" t="inlineStr"/>
      <c r="H10" s="3">
        <f>HYPERLINK("mailto:cscalo@purdue.edu", "cscalo@purdue.edu")</f>
        <v/>
      </c>
      <c r="I10" s="2" t="n">
        <v>1</v>
      </c>
      <c r="J10" s="2" t="inlineStr">
        <is>
          <t>🔵 Tier 1: Core Aero / Fluids / Propulsion</t>
        </is>
      </c>
      <c r="K10" s="2" t="n">
        <v>7</v>
      </c>
      <c r="L10" s="2" t="inlineStr">
        <is>
          <t>aerospace, combustion, compressible flow, fluid mechanics, numerical methods, thermodynamics, turbulent</t>
        </is>
      </c>
      <c r="M10" s="2" t="inlineStr">
        <is>
          <t>High-order spectral boundary-layer simulations, hypersonic acoustic ray-tracing, and multiscale physics-informed diffusion models for predicting second-mode laminar-to-turbulent transition over porous walls.</t>
        </is>
      </c>
      <c r="N10" s="2" t="inlineStr">
        <is>
          <t>DNS (Compressible Navier-Stokes), Time-Domain Impedance Boundary Conditions (TDIBC), Linear Stability Theory (LST), Conditional Diffusion Models (EDM), Mach 6 Quiet Tunnel</t>
        </is>
      </c>
      <c r="O10" s="2" t="inlineStr">
        <is>
          <t>Hypersonic boundary layer transition control over a 3° half-angle sharp cone via distributed porosity</t>
        </is>
      </c>
      <c r="P10" s="3">
        <f>HYPERLINK("https://doi.org/10.1017/jfm.2026.11334", "https://doi.org/10.1017/jfm.2026.11334")</f>
        <v/>
      </c>
      <c r="Q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R10" s="2" t="inlineStr">
        <is>
          <t>The effectiveness of ultrasonic absorptive coatings (UACs) in achieving delay in turbulent transition on a hypersonic boundary layer over a 3 deg half-angle cone was investigated under flight-like free-stream disturbance conditions. Tests were conducted at the Boeing/AFOSR Mach 6 Quiet Tunnel at Purdue University for four free-stream Reynolds numbers ranging from 9.0e6 to 14.3e6 m^-1. Silicon-carbide-coated carbon foams with pore densities of 60, 100 and 200 pores per inch (X0.6, X1, X2) were fabricated as three frustums to vary streamwise location and porous section length. Axisymmetric direct numerical simulations (DNS) and linear-stability theory (LST) analysis were performed to support the experimental findings, modelling the porous foams as time-domain impedance boundary conditions. The UACs influence boundary-layer transition primarily by modifying wall impedance and providing acoustic absorption to weaken second-mode resonance.</t>
        </is>
      </c>
      <c r="S10" s="2" t="inlineStr">
        <is>
          <t>Wall-temperature effects on second-mode kinematics and mechanics</t>
        </is>
      </c>
      <c r="T10" s="3">
        <f>HYPERLINK("https://doi.org/10.1017/jfm.2025.11044", "https://doi.org/10.1017/jfm.2025.11044")</f>
        <v/>
      </c>
      <c r="U10" s="2" t="inlineStr">
        <is>
          <t>formulating disturbance energy flux kinematics via DNS across wall-to-adiabatic temperature ratios (Tw/Tad = 0.25 to 1.75) at Mach 6, demonstrating that second-mode acoustic production splits into a dual-deck structure where temperature-density coupling at the generalized inflection point governs transition amplification.</t>
        </is>
      </c>
      <c r="V10" s="2" t="inlineStr">
        <is>
          <t>The effects of wall temperature on hypersonic boundary layer transition are investigated by analysing the kinematics (acoustic ray trajectories) and mechanics (fluctuation energy production and transport) of second-mode instabilities. Flow conditions are taken from a Mach 6 boundary layer over a 3 deg cone, with varying degrees of wall-to-adiabatic temperature ratios (Tw/Tad = 0.25 to 1.75). Boundary layer-resolved axisymmetric direct numerical simulations with companion Laguerre polynomials-based linear stability theory provide the supporting numerical datasets. It was found that second-mode instabilities comprise two decks, separated by the pressure node location (y = y_pi). The upper deck is characterised by temperature and density fluctuations working with in-phase wall-normal velocity fluctuations to sustain total disturbance energy production, which peaks at the generalised inflection point.</t>
        </is>
      </c>
      <c r="W10" s="2" t="inlineStr">
        <is>
          <t>1. Hypersonic boundary layer transition control over a 3 deg half-angle sharp cone via distributed porosity (Journal of Fluid Mechanics, 2026) [DOI: https://doi.org/10.1017/jfm.2026.11334] | 2. Wall-temperature effects on second-mode kinematics and mechanics (Journal of Fluid Mechanics, 2026) [DOI: https://doi.org/10.1017/jfm.2025.11044]</t>
        </is>
      </c>
      <c r="X10" s="3">
        <f>HYPERLINK("https://doi.org/10.1017/jfm.2026.11334", "https://doi.org/10.1017/jfm.2026.11334 | https://doi.org/10.1017/jfm.2025.11044")</f>
        <v/>
      </c>
      <c r="Y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Z10" s="2" t="inlineStr"/>
      <c r="AA10" s="2" t="inlineStr">
        <is>
          <t>"Multiscale Hypersonic Boundary Layer Reconstruction via Spectral Binning and Subdomain-wise Conditional Diffusion" [arXiv (Cornell University)] (2026) [DOI: https://doi.org/10.48550/arxiv.2606.15023] | "Multiscale Hypersonic Boundary Layer Reconstruction via Spectral Binning and Subdomain-wise Conditional Diffusion" [arXiv (Cornell University)] (2026) [DOI: https://arxiv.org/abs/2606.15023] | "Hypersonic boundary layer transition control over a 3 $^{\circ}$ half-angle sharp cone via distributed porosity" [Journal of Fluid Mechanics] (2026) [DOI: https://doi.org/10.1017/jfm.2026.11334] | "Wall-temperature effects on second-mode kinematics and mechanics" [Journal of Fluid Mechanics] (2026) [DOI: https://doi.org/10.1017/jfm.2025.11044] | "Sub-filter-scale (SFS) compressible turbulence modeling and shock capturing via the Block-Spectral-Stress (BSS) closure" [Journal of Computational Physics] (2025) [DOI: https://doi.org/10.1016/j.jcp.2025.114611]</t>
        </is>
      </c>
      <c r="AB10" s="2" t="inlineStr">
        <is>
          <t>"Compressible turbulent channel flow with impedance boundary conditions" [Physics of Fluids] (2015, 67 cites) [DOI: https://doi.org/10.1063/1.4914099] | "Pseudophase change effects in turbulent channel flow under transcritical temperature conditions" [Journal of Fluid Mechanics] (2019, 55 cites) [DOI: https://doi.org/10.1017/jfm.2019.292] | "Numerical Investigation of Second-Mode Attenuation over Carbon/Carbon Porous Surfaces" [Journal of Spacecraft and Rockets] (2018, 47 cites) [DOI: https://doi.org/10.2514/1.a34294]</t>
        </is>
      </c>
      <c r="AC10" s="2" t="inlineStr"/>
      <c r="AD10" s="2" t="inlineStr">
        <is>
          <t>Outstanding Mechanical Engineers Distinguished Engineering Alumni Honorary Doctorates Staff Awards Student Awards Distinguished...</t>
        </is>
      </c>
      <c r="AE10" s="2" t="inlineStr"/>
      <c r="AF10" s="2" t="inlineStr">
        <is>
          <t>Fluid Dynamics and Turbulent Flows (82) | Computational Fluid Dynamics and Aerodynamics (41) | Aerodynamics and Acoustics in Jet Flows (29)</t>
        </is>
      </c>
      <c r="AG10" s="2" t="inlineStr">
        <is>
          <t>Fluid Dynamics and Turbulent Flows (82) | Computational Fluid Dynamics and Aerodynamics (41) | Aerodynamics and Acoustics in Jet Flows (29)</t>
        </is>
      </c>
      <c r="AH10" s="2" t="inlineStr">
        <is>
          <t>Large eddy and direct simulations Turbulent Combustion Thermoacoustics Non-linear acoustics Heat-and-mass transfer Physical oceanography and limnology Numerical methods for complex geometries</t>
        </is>
      </c>
      <c r="AI10" s="2" t="inlineStr">
        <is>
          <t>Thermodynamics Fluid Mechanics Heat &amp; Mass Transfer</t>
        </is>
      </c>
      <c r="AJ10" s="2" t="inlineStr">
        <is>
          <t>Thermodynamics Fluid Mechanics Heat &amp; Mass Transfer</t>
        </is>
      </c>
      <c r="AK10" s="2" t="inlineStr">
        <is>
          <t>Postdoctoral Fellow,  Mechanical Eng., Stanford University, USA, 2012-2014 Ph.D. Mechanical Eng., Queen's University, Canada, '12 M.Sc. Astronautical Eng., Università Federico II, Italy, '08 B.Sc. Aerospace Eng., Università Federico II, Italy, '06</t>
        </is>
      </c>
      <c r="AL10" s="2" t="inlineStr">
        <is>
          <t>Compressible Flow and Acoustics Lab</t>
        </is>
      </c>
      <c r="AM10" s="3">
        <f>HYPERLINK("https://engineering.purdue.edu/~scalo/", "https://engineering.purdue.edu/~scalo/")</f>
        <v/>
      </c>
      <c r="AN10" s="2" t="inlineStr"/>
      <c r="AO10" s="2" t="inlineStr"/>
      <c r="AP10" s="2" t="inlineStr"/>
      <c r="AQ10" s="2" t="inlineStr"/>
      <c r="AR10" s="2" t="inlineStr"/>
      <c r="AS10" s="2" t="inlineStr"/>
      <c r="AT10" s="2" t="inlineStr"/>
      <c r="AU10" s="2" t="b">
        <v>1</v>
      </c>
      <c r="AV10" s="3">
        <f>HYPERLINK("https://engineering.purdue.edu/AAE/people/Faculty", "https://engineering.purdue.edu/AAE/people/Faculty")</f>
        <v/>
      </c>
    </row>
    <row r="11">
      <c r="A11" s="2" t="inlineStr">
        <is>
          <t>Christopher S. Goldenstein</t>
        </is>
      </c>
      <c r="B11" s="2" t="inlineStr">
        <is>
          <t>Purdue University</t>
        </is>
      </c>
      <c r="C11" s="3">
        <f>HYPERLINK("https://engineering.purdue.edu/ME/People/ptProfile?resource_id=127038", "https://engineering.purdue.edu/ME/People/ptProfile?resource_id=127038")</f>
        <v/>
      </c>
      <c r="D11" s="3">
        <f>HYPERLINK("https://scholar.google.com/citations?view_op=search_authors&amp;mauthors=Christopher%20S.%20Goldenstein%20Purdue%20University", "Google Scholar Search")</f>
        <v/>
      </c>
      <c r="E11" s="2" t="inlineStr">
        <is>
          <t>Avrum and Joyce Gray Rising Star Professor in Entrepreneurship and Innovation</t>
        </is>
      </c>
      <c r="F11" s="2" t="inlineStr">
        <is>
          <t>Aeronautics and Astronautics</t>
        </is>
      </c>
      <c r="G11" s="2" t="inlineStr"/>
      <c r="H11" s="3">
        <f>HYPERLINK("mailto:csgoldenstein@purdue.edu", "csgoldenstein@purdue.edu")</f>
        <v/>
      </c>
      <c r="I11" s="2" t="n">
        <v>1</v>
      </c>
      <c r="J11" s="2" t="inlineStr">
        <is>
          <t>🔵 Tier 1: Core Aero / Fluids / Propulsion</t>
        </is>
      </c>
      <c r="K11" s="2" t="n">
        <v>7</v>
      </c>
      <c r="L11" s="2" t="inlineStr">
        <is>
          <t>combustion, detonation, fluid mechanics, hypersonic, propulsion, shock waves, thermodynamics</t>
        </is>
      </c>
      <c r="M11" s="2" t="inlineStr">
        <is>
          <t>Ultra-fast mid-infrared laser absorption spectroscopy and high-speed thermochemical sensors (near-MHz rates) for post-detonation fireballs, reacting flows, and scramjet isolator diagnostics.</t>
        </is>
      </c>
      <c r="N11" s="2" t="inlineStr">
        <is>
          <t>Quantum Cascade Lasers (QCL), Interband Cascade Lasers (ICL), 1 MHz Laser Absorption Spectroscopy (LAS), High-Speed Schlieren, UV/Vis Optical Emission Spectroscopy (OES)</t>
        </is>
      </c>
      <c r="O11" s="2" t="inlineStr">
        <is>
          <t>Laser absorption measurements of temperature, pressure, CO, and CO2 at near-MHz rates in post-detonation fireballs with comparison to synthetic measurements</t>
        </is>
      </c>
      <c r="P11" s="3">
        <f>HYPERLINK("https://doi.org/10.1063/5.0312755", "https://doi.org/10.1063/5.0312755")</f>
        <v/>
      </c>
      <c r="Q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R11" s="2" t="inlineStr">
        <is>
          <t>A laser absorption spectroscopy (LAS) diagnostic was used to obtain measurements of temperature, pressure, CO, and CO2 at 500 kHz or 1 MHz in post-detonation fireballs produced by hemispherical samples of pentaerythritol tetranitrate (PETN). A quantum-cascade laser was scanned over multiple CO absorption transitions near 2008.5 cm^-1 at 1 MHz, while an interband-cascade laser was scanned over a CO2 absorption transition near 2394.8 cm^-1 at 500 kHz. Light from each laser was combined onto a single path and passed through a detonation chamber approximately 83 mm above the 12-mm diameter hemispherical PETN charge. The CO and CO2 absorption signals were post-processed to obtain time histories of temperature, pressure, species column pressures, and species column mole fractions.</t>
        </is>
      </c>
      <c r="S11" s="2" t="inlineStr">
        <is>
          <t>Laser Absorption Spectroscopy Measurements of Air Mass Flow Rate in a Model Scramjet Isolator via Ambient CO 2</t>
        </is>
      </c>
      <c r="T11" s="3">
        <f>HYPERLINK("https://doi.org/10.2514/6.2026-0677", "https://doi.org/10.2514/6.2026-0677")</f>
        <v/>
      </c>
      <c r="U11" s="2" t="inlineStr">
        <is>
          <t>deploying two-color mid-infrared interband-cascade laser absorption spectroscopy at 300 kHz across a supersonic scramjet isolator, demonstrating non-intrusive air mass flow rate and velocity determination through thick boundary layers using ambient CO2 transitions.</t>
        </is>
      </c>
      <c r="V11" s="2" t="inlineStr">
        <is>
          <t>This manuscript describes the application of a two-color mid-infrared laser absorption spectroscopy (LAS) diagnostic providing measurements of air temperature, pressure, velocity, and mass flow rate at 300 kHz via ambient CO2. The diagnostic was applied in the isolator of a model scramjet within the University of Virginia Supersonic Combustion Facility (UVASCF). The measurements were achieved by scanning the wavelength of two interband cascade lasers (ICLs) across multiple absorption lines of CO2 near 2375 and 2384 cm^-1. The mass flow rate measurements in the scramjet isolator agree reasonably well with theoretical predictions over a range of plenum temperatures and pressures, successfully overcoming the line-of-sight challenges posed by thick boundary layers.</t>
        </is>
      </c>
      <c r="W11" s="2" t="inlineStr">
        <is>
          <t>1. Laser absorption measurements of temperature, pressure, CO, and CO2 at near-MHz rates in post-detonation fireballs with comparison to synthetic measurements (Journal of Applied Physics, 2026) [DOI: https://doi.org/10.1063/5.0312755] | 2. Laser Absorption Spectroscopy Measurements of Air Mass Flow Rate in a Model Scramjet Isolator via Ambient CO 2 (AIAA SciTech, 2026) [DOI: https://doi.org/10.2514/6.2026-0677]</t>
        </is>
      </c>
      <c r="X11" s="3">
        <f>HYPERLINK("https://doi.org/10.1063/5.0312755", "https://doi.org/10.1063/5.0312755 | https://doi.org/10.2514/6.2026-0677")</f>
        <v/>
      </c>
      <c r="Y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Z11" s="2" t="inlineStr"/>
      <c r="AA11" s="2" t="inlineStr">
        <is>
          <t>"In-Situ Laser Absorption Spectroscopy Gas Measurements in Li-Ion Pouch Cells with Lithium- and Manganese-Rich (LMR) Layered Oxide Cathodes" [ECS Meeting Abstracts] (2026) [DOI: https://doi.org/10.1149/ma2026-013250mtgabs] | "Non-Invasive Measurements of CO 2 Evolution During Wetting of Lithium-Ion Pouch Cell Batteries" [ECS Meeting Abstracts] (2026) [DOI: https://doi.org/10.1149/ma2026-013327mtgabs] | "Laser absorption measurements of temperature, pressure, CO, and CO2 at near-MHz rates in post-detonation fireballs with comparison to synthetic measurements" [Journal of Applied Physics] (2026) [DOI: https://doi.org/10.1063/5.0312755] | "Simultaneous Emission and Laser Absorption Spectroscopy Measurements in Post-Detonation Fireballs of Aluminized PETN Hemispheres" (2026) [DOI: https://doi.org/10.2514/6.2026-1887] | "Laser Absorption Spectroscopy Measurements of Air Mass Flow Rate in a Model Scramjet Isolator via Ambient CO 2" (2026) [DOI: https://doi.org/10.2514/6.2026-0677]</t>
        </is>
      </c>
      <c r="AB11" s="2" t="inlineStr">
        <is>
          <t>"Infrared laser-absorption sensing for combustion gases" [Progress in Energy and Combustion Science] (2017, 700 cites) [DOI: https://doi.org/10.1016/j.pecs.2016.12.002] | "Spectroscopy and Optical Diagnostics for Gases" (2015, 437 cites) [DOI: https://doi.org/10.1007/978-3-319-23252-2] | "Fitting of calibration-free scanned-wavelength-modulation spectroscopy spectra for determination of gas properties and absorption lineshapes" [Applied Optics] (2014, 269 cites) [DOI: https://doi.org/10.1364/ao.53.000356]</t>
        </is>
      </c>
      <c r="AC11" s="2" t="inlineStr"/>
      <c r="AD11" s="2" t="inlineStr">
        <is>
          <t>Outstanding Mechanical Engineers Distinguished Engineering Alumni Honorary Doctorates Staff Awards Student Awards Distinguished...</t>
        </is>
      </c>
      <c r="AE11" s="2" t="inlineStr"/>
      <c r="AF11" s="2" t="inlineStr">
        <is>
          <t>Spectroscopy and Laser Applications (94) | Laser Design and Applications (46) | Atmospheric Ozone and Climate (30)</t>
        </is>
      </c>
      <c r="AG11" s="2" t="inlineStr">
        <is>
          <t>Spectroscopy and Laser Applications (94) | Laser Design and Applications (46) | Atmospheric Ozone and Climate (30)</t>
        </is>
      </c>
      <c r="AH11" s="2" t="inlineStr">
        <is>
          <t>Laser absorption spectroscopy diagnostics for gas temperature, pressure, velocity, and chemical species Laser-induced fluorescence and photophysics Non-equilibrium gases and reaction kinetics Hypersonic flows, shock waves, and detonation waves Combustion and propulsion</t>
        </is>
      </c>
      <c r="AI11" s="2" t="inlineStr">
        <is>
          <t>Thermodynamics Fluid Mechanics Systems, Measurements &amp; Controls</t>
        </is>
      </c>
      <c r="AJ11" s="2" t="inlineStr">
        <is>
          <t>Thermodynamics Fluid Mechanics Systems, Measurements &amp; Controls</t>
        </is>
      </c>
      <c r="AK11" s="2" t="inlineStr">
        <is>
          <t>B.S.E in Mechanical Engineering, University of Michigan, 2009 M.S. in Mechanical Engineering, Stanford University, 2011 Ph.D. in Mechanical Engineering, Stanford University, 2014</t>
        </is>
      </c>
      <c r="AL11" s="2" t="inlineStr">
        <is>
          <t>The Goldenstein Group</t>
        </is>
      </c>
      <c r="AM11" s="3">
        <f>HYPERLINK("http://www.goldensteingroup.com", "http://www.goldensteingroup.com")</f>
        <v/>
      </c>
      <c r="AN11" s="2" t="inlineStr"/>
      <c r="AO11" s="2" t="inlineStr"/>
      <c r="AP11" s="2" t="inlineStr"/>
      <c r="AQ11" s="2" t="inlineStr"/>
      <c r="AR11" s="2" t="inlineStr"/>
      <c r="AS11" s="2" t="inlineStr"/>
      <c r="AT11" s="2" t="inlineStr"/>
      <c r="AU11" s="2" t="b">
        <v>1</v>
      </c>
      <c r="AV11" s="3">
        <f>HYPERLINK("https://engineering.purdue.edu/AAE/people/Faculty", "https://engineering.purdue.edu/AAE/people/Faculty")</f>
        <v/>
      </c>
    </row>
    <row r="12">
      <c r="A12" s="2" t="inlineStr">
        <is>
          <t>Haifeng Wang</t>
        </is>
      </c>
      <c r="B12" s="2" t="inlineStr">
        <is>
          <t>Purdue University</t>
        </is>
      </c>
      <c r="C12" s="3">
        <f>HYPERLINK("https://engineering.purdue.edu/AAE/people/ptProfile?resource_id=78657", "https://engineering.purdue.edu/AAE/people/ptProfile?resource_id=78657")</f>
        <v/>
      </c>
      <c r="D12" s="3">
        <f>HYPERLINK("https://scholar.google.com/citations?view_op=search_authors&amp;mauthors=Haifeng%20Wang%20Purdue%20University", "Google Scholar Search")</f>
        <v/>
      </c>
      <c r="E12" s="2" t="inlineStr">
        <is>
          <t>Associate Professor</t>
        </is>
      </c>
      <c r="F12" s="2" t="inlineStr">
        <is>
          <t>Aeronautics and Astronautics</t>
        </is>
      </c>
      <c r="G12" s="2" t="inlineStr"/>
      <c r="H12" s="3">
        <f>HYPERLINK("mailto:haifeng@purdue.edu", "haifeng@purdue.edu")</f>
        <v/>
      </c>
      <c r="I12" s="2" t="n">
        <v>1</v>
      </c>
      <c r="J12" s="2" t="inlineStr">
        <is>
          <t>🔵 Tier 1: Core Aero / Fluids / Propulsion</t>
        </is>
      </c>
      <c r="K12" s="2" t="n">
        <v>7</v>
      </c>
      <c r="L12" s="2" t="inlineStr">
        <is>
          <t>combustion, computational fluid dynamics, energy systems, fluid dynamics, fluid mechanics, propulsion, turbulence</t>
        </is>
      </c>
      <c r="M12" s="2" t="inlineStr">
        <is>
          <t>Turbulent combustion modeling, probability density function (PDF) methods, turbulent jet ignition, and chemical source term closure in high-pressure propulsion environments.</t>
        </is>
      </c>
      <c r="N12" s="2" t="inlineStr">
        <is>
          <t>Transported Composition PDF Methods, Large Eddy Simulation (LES), Detailed Chemical Kinetics (Cantera/Chemkin), Direct Numerical Simulation (DNS), Turbulent Jet Ignition Rigs</t>
        </is>
      </c>
      <c r="O12" s="2" t="inlineStr">
        <is>
          <t>On ignition mechanisms of premixed CH4/air and H2/air using a hot turbulent jet generated by pre-chamber combustion</t>
        </is>
      </c>
      <c r="P12" s="3">
        <f>HYPERLINK("https://doi.org/10.1016/j.applthermaleng.2016.06.070", "https://doi.org/10.1016/j.applthermaleng.2016.06.070")</f>
        <v/>
      </c>
      <c r="Q12" s="2" t="inlineStr">
        <is>
          <t>coupling high-speed schlieren imaging with detailed kinetic modeling in turbulent jet pre-chamber ignition, demonstrating that radical-induced chemical ignition dominates over purely thermal mechanisms in enabling ultra-lean combustion initiation.</t>
        </is>
      </c>
      <c r="R12" s="2" t="inlineStr">
        <is>
          <t>The ignition mechanisms of premixed methane/air and hydrogen/air mixtures by a hot turbulent reacting jet generated by pre-chamber combustion were investigated experimentally and computationally. High-speed schlieren and radical chemiluminescence were employed to capture jet penetration, vortex ring formation, and flame kernel development in the main chamber. The transition between thermal ignition and radical-induced ignition was mapped across nozzle diameters and pre-chamber fueling compositions, revealing that radical pool penetration is critical for rapid flame initiation in lean main-chamber mixtures.</t>
        </is>
      </c>
      <c r="S12" s="2" t="inlineStr">
        <is>
          <t>Examination of nonlinearity of chemical source terms for turbulent combustion closure</t>
        </is>
      </c>
      <c r="T12" s="3">
        <f>HYPERLINK("https://doi.org/10.1016/j.proci.2026.106125", "https://doi.org/10.1016/j.proci.2026.106125")</f>
        <v/>
      </c>
      <c r="U12" s="2" t="inlineStr">
        <is>
          <t>evaluating chemical source term closures against turbulent reacting DNS datasets, demonstrating that decomposing scalar dissipation from compositional covariance eliminates non-linear reaction rate truncation errors in LES flamelet formulations.</t>
        </is>
      </c>
      <c r="V12" s="2" t="inlineStr">
        <is>
          <t>Turbulent combustion closure models face fundamental difficulties due to the severe nonlinearity of chemical reaction rate expressions with respect to temperature and composition fluctuations. In this work, high-fidelity DNS datasets of turbulent premixed and non-premixed flames are analyzed to evaluate the error scaling of lower-order closures. A novel decomposition separating scalar dissipation rate from compositional covariance is proposed, demonstrating significant improvements in predicting heat release rates in highly turbulent reacting shear flows.</t>
        </is>
      </c>
      <c r="W12" s="2" t="inlineStr">
        <is>
          <t>1. On ignition mechanisms of premixed CH4/air and H2/air using a hot turbulent jet generated by pre-chamber combustion (Applied Thermal Engineering, 2016) [DOI: https://doi.org/10.1016/j.applthermaleng.2016.06.070] | 2. Examination of nonlinearity of chemical source terms for turbulent combustion closure (Proceedings of the Combustion Institute, 2026) [DOI: https://doi.org/10.1016/j.proci.2026.106125]</t>
        </is>
      </c>
      <c r="X12" s="3">
        <f>HYPERLINK("https://doi.org/10.1016/j.applthermaleng.2016.06.070", "https://doi.org/10.1016/j.applthermaleng.2016.06.070 | https://doi.org/10.1016/j.proci.2026.106125")</f>
        <v/>
      </c>
      <c r="Y12" s="2" t="inlineStr">
        <is>
          <t>coupling high-speed schlieren imaging with detailed kinetic modeling in turbulent jet pre-chamber ignition, demonstrating that radical-induced chemical ignition dominates over purely thermal mechanisms in enabling ultra-lean combustion initiation.</t>
        </is>
      </c>
      <c r="Z12" s="2" t="inlineStr"/>
      <c r="AA12" s="2" t="inlineStr">
        <is>
          <t>"Collaborative disposal of municipal sludge in metallurgical sintering process: a comprehensive analysis from fundamental research to industrial application" [Cleaner Engineering and Technology] (2026) [DOI: https://doi.org/10.1016/j.clet.2026.101187] | "Examination of nonlinearity of chemical source terms for turbulent combustion closure" [Proceedings of the Combustion Institute] (2026) [DOI: https://doi.org/10.1016/j.proci.2026.106125] | "Covalent engineering of pectin-whey protein isolate conjugates enhances mucoadhesion and bioaccessibility of curcumin microparticles: Strategic impacts of crosslinking modalities" [Food Chemistry] (2025) [DOI: https://doi.org/10.1016/j.foodchem.2025.147100] | "Preparation of lightweight and high-strength ceramsite by washed municipal solid waste incineration fly ash coupled with coal gangue: Phase transformation mechanism and pollution control" [Journal of environmental chemical engineering] (2025) [DOI: https://doi.org/10.1016/j.jece.2025.119294] | "Suppression of Zero Sequence Current in a Ninephase Permanent Magnet Synchronous Motor With a Common Dc Bus" (2025) [DOI: https://doi.org/10.1109/precede63178.2025.11131046]</t>
        </is>
      </c>
      <c r="AB12" s="2" t="inlineStr">
        <is>
          <t>"On ignition mechanisms of premixed CH 4 /air and H 2 /air using a hot turbulent jet generated by pre-chamber combustion" [Applied Thermal Engineering] (2016, 310 cites) [DOI: https://doi.org/10.1016/j.applthermaleng.2016.06.070] | "Role of the rapid gas desorption of coal powders in the development stage of outbursts" [Journal of Natural Gas Science and Engineering] (2015, 187 cites) [DOI: https://doi.org/10.1016/j.jngse.2015.12.025] | "The effect of mixing models in PDF calculations of piloted jet flames" [Proceedings of the Combustion Institute] (2006, 107 cites) [DOI: https://doi.org/10.1016/j.proci.2006.08.052]</t>
        </is>
      </c>
      <c r="AC12" s="2" t="inlineStr"/>
      <c r="AD12" s="2" t="inlineStr">
        <is>
          <t>• American Chemical Society Petroleum Research Fund Doctoral New Investigator award, 2014 • Bernard Lewis Fellowship, Combustio...</t>
        </is>
      </c>
      <c r="AE12" s="2" t="inlineStr"/>
      <c r="AF12" s="2" t="inlineStr">
        <is>
          <t>Combustion and flame dynamics (65) | Advanced Combustion Engine Technologies (49) | Fire dynamics and safety research (22)</t>
        </is>
      </c>
      <c r="AG12" s="2" t="inlineStr">
        <is>
          <t>Combustion and flame dynamics (65) | Advanced Combustion Engine Technologies (49) | Fire dynamics and safety research (22)</t>
        </is>
      </c>
      <c r="AH12" s="2" t="inlineStr">
        <is>
          <t>• Turbulence and combustion modeling • Fluid mechanics and computational modeling • Multi-phase flows • Propulsion and energy systems • Machine learning and data-driven modeling</t>
        </is>
      </c>
      <c r="AI12" s="2" t="inlineStr"/>
      <c r="AJ12" s="2" t="inlineStr">
        <is>
          <t>• Turbulence and combustion modeling • Fluid mechanics and computational modeling • Multi-phase flows • Propulsion and energy systems • Machine learning and data-driven modeling</t>
        </is>
      </c>
      <c r="AK12" s="2" t="inlineStr"/>
      <c r="AL12" s="2" t="inlineStr">
        <is>
          <t>Indiana Space Grant Consortium</t>
        </is>
      </c>
      <c r="AM12" s="3">
        <f>HYPERLINK("https://insgc.spacegrant.org/", "https://insgc.spacegrant.org/")</f>
        <v/>
      </c>
      <c r="AN12" s="2" t="inlineStr">
        <is>
          <t>Academic INSGC Internships</t>
        </is>
      </c>
      <c r="AO12" s="2" t="inlineStr"/>
      <c r="AP12" s="2" t="inlineStr"/>
      <c r="AQ12" s="2" t="inlineStr">
        <is>
          <t>NASA</t>
        </is>
      </c>
      <c r="AR12" s="2" t="inlineStr"/>
      <c r="AS12" s="2" t="inlineStr"/>
      <c r="AT12" s="2" t="inlineStr">
        <is>
          <t>ARMS 3313</t>
        </is>
      </c>
      <c r="AU12" s="2" t="b">
        <v>1</v>
      </c>
      <c r="AV12" s="3">
        <f>HYPERLINK("https://engineering.purdue.edu/AAE/people/Faculty", "https://engineering.purdue.edu/AAE/people/Faculty")</f>
        <v/>
      </c>
    </row>
    <row r="13">
      <c r="A13" s="2" t="inlineStr">
        <is>
          <t>Jonathan Poggie</t>
        </is>
      </c>
      <c r="B13" s="2" t="inlineStr">
        <is>
          <t>Purdue University</t>
        </is>
      </c>
      <c r="C13" s="3">
        <f>HYPERLINK("https://engineering.purdue.edu/AAE/people/ptProfile?resource_id=124984", "https://engineering.purdue.edu/AAE/people/ptProfile?resource_id=124984")</f>
        <v/>
      </c>
      <c r="D13" s="3">
        <f>HYPERLINK("https://scholar.google.com/citations?view_op=search_authors&amp;mauthors=Jonathan%20Poggie%20Purdue%20University", "Google Scholar Search")</f>
        <v/>
      </c>
      <c r="E13" s="2" t="inlineStr">
        <is>
          <t>Professor</t>
        </is>
      </c>
      <c r="F13" s="2" t="inlineStr">
        <is>
          <t>Aeronautics and Astronautics</t>
        </is>
      </c>
      <c r="G13" s="2" t="inlineStr"/>
      <c r="H13" s="3">
        <f>HYPERLINK("mailto:jpoggie@purdue.edu", "jpoggie@purdue.edu")</f>
        <v/>
      </c>
      <c r="I13" s="2" t="n">
        <v>1</v>
      </c>
      <c r="J13" s="2" t="inlineStr">
        <is>
          <t>🔵 Tier 1: Core Aero / Fluids / Propulsion</t>
        </is>
      </c>
      <c r="K13" s="2" t="n">
        <v>7</v>
      </c>
      <c r="L13" s="2" t="inlineStr">
        <is>
          <t>aerospace, compressible flow, flow control, hydrodynamics, hypersonic, turbulence, turbulent</t>
        </is>
      </c>
      <c r="M13" s="2" t="inlineStr">
        <is>
          <t>High-order compact difference algorithms, shock-wave/boundary-layer interactions (SWBLI) at Mach 2.5–6, plasma aerodynamics, and massively parallel GPU CFD in Kokkos.</t>
        </is>
      </c>
      <c r="N13" s="2" t="inlineStr">
        <is>
          <t>High-Order Compact Finite Difference Solvers, Kokkos (CUDA/HIP/OpenMP), Implicit Large-Eddy Simulation (ILES), Parallel Cyclic Reduction (PCR), Mach 2.5-6 Wind Tunnels</t>
        </is>
      </c>
      <c r="O13" s="2" t="inlineStr">
        <is>
          <t>Large-Eddy Simulation of an Axisymmetric Shock-Wave/Boundary-Layer Interaction at Mach 2.5</t>
        </is>
      </c>
      <c r="P13" s="3">
        <f>HYPERLINK("https://doi.org/10.2514/6.2026-2519", "https://doi.org/10.2514/6.2026-2519")</f>
        <v/>
      </c>
      <c r="Q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R13" s="2" t="inlineStr">
        <is>
          <t>Implicit large-eddy simulation (ILES) of a turbulent, axisymmetric, shock-wave/boundary-layer interaction was performed at Mach 2.5 to validate against experimental data acquired at NASA Glenn Research Center. The simulation resolves the upstream turbulent boundary layer, the incident conical shock wave, and the unsteady separation bubble on an axisymmetric centerbody. Spectral analysis of wall pressure fluctuations reveals low-frequency breathing of the separation bubble driven by shock unsteadiness and shear-layer turbulent vortex shedding.</t>
        </is>
      </c>
      <c r="S13" s="2" t="inlineStr">
        <is>
          <t>Hardware-Agnostic Compact Difference Schemes in C++/Kokkos for High-Order CFD</t>
        </is>
      </c>
      <c r="T13" s="3">
        <f>HYPERLINK("https://doi.org/10.2514/6.2026-2518", "https://doi.org/10.2514/6.2026-2518")</f>
        <v/>
      </c>
      <c r="U13" s="2" t="inlineStr">
        <is>
          <t>implementing high-order compact finite difference schemes in C++/Kokkos with parallel cyclic reduction, achieving portable multi-GPU scalability across CUDA and HIP architectures without losing tridiagonal inversion throughput.</t>
        </is>
      </c>
      <c r="V13" s="2" t="inlineStr">
        <is>
          <t>A hardware-agnostic implementation of compact finite difference schemes is presented using the Kokkos programming model, targeting both CPUs (OpenMP) and GPUs (CUDA, HIP) without code duplication. The parallel cyclic reduction (PCR) algorithm achieves significant speedup over the sequential Thomas algorithm on GPU architectures, enabling high-order compact difference schemes to achieve near-peak memory bandwidth in large-scale compressible turbulence and shock-capturing computations.</t>
        </is>
      </c>
      <c r="W13" s="2" t="inlineStr">
        <is>
          <t>1. Large-Eddy Simulation of an Axisymmetric Shock-Wave/Boundary-Layer Interaction at Mach 2.5 (AIAA SciTech, 2026) [DOI: https://doi.org/10.2514/6.2026-2519] | 2. Hardware-Agnostic Compact Difference Schemes in C++/Kokkos for High-Order CFD (AIAA SciTech, 2026) [DOI: https://doi.org/10.2514/6.2026-2518]</t>
        </is>
      </c>
      <c r="X13" s="3">
        <f>HYPERLINK("https://doi.org/10.2514/6.2026-2519", "https://doi.org/10.2514/6.2026-2519 | https://doi.org/10.2514/6.2026-2518")</f>
        <v/>
      </c>
      <c r="Y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Z13" s="2" t="inlineStr"/>
      <c r="AA13" s="2" t="inlineStr">
        <is>
          <t>"Fluid Mechanics" [WORLD SCIENTIFIC eBooks] (2026) [DOI: https://doi.org/10.1142/15064] | "Fluid Mechanics" [WORLD SCIENTIFIC eBooks] (2026) [DOI: https://doi.org/10.1142/15053] | "Fluid Mechanics" [WORLD SCIENTIFIC eBooks] (2026) [DOI: https://doi.org/10.1142/15041] | "Large-Eddy Simulation of an Axisymmetric Shock-Wave/Boundary-Layer Interaction at Mach 2.5" (2026) [DOI: https://doi.org/10.2514/6.2026-2519] | "Hardware-Agnostic Compact Difference Schemes in C++/Kokkos for High-Order CFD" (2026) [DOI: https://doi.org/10.2514/6.2026-2518]</t>
        </is>
      </c>
      <c r="AB13" s="2" t="inlineStr">
        <is>
          <t>"Magnetic control of flow past a blunt body: Numerical validation and exploration" [Physics of Fluids] (2002, 139 cites) [DOI: https://doi.org/10.1063/1.1465424] | "Resolution effects in compressible, turbulent boundary layer simulations" [Computers &amp; Fluids] (2015, 137 cites) [DOI: https://doi.org/10.1016/j.compfluid.2015.07.015] | "Numerical simulation of nanosecond-pulse electrical discharges" [Plasma Sources Science and Technology] (2012, 100 cites) [DOI: https://doi.org/10.1088/0963-0252/22/1/015001]</t>
        </is>
      </c>
      <c r="AC13" s="2" t="inlineStr"/>
      <c r="AD13" s="2" t="inlineStr">
        <is>
          <t>Honors C. T. Sun Excellence in Research Award, 2023 University Faculty Scholar, 2023-2028 Outstanding Graduate Faculty Mentor A...</t>
        </is>
      </c>
      <c r="AE13" s="2" t="inlineStr"/>
      <c r="AF13" s="2" t="inlineStr">
        <is>
          <t>Computational Fluid Dynamics and Aerodynamics (120) | Fluid Dynamics and Turbulent Flows (119) | Plasma and Flow Control in Aerodynamics (84)</t>
        </is>
      </c>
      <c r="AG13" s="2" t="inlineStr">
        <is>
          <t>Computational Fluid Dynamics and Aerodynamics (120) | Fluid Dynamics and Turbulent Flows (119) | Plasma and Flow Control in Aerodynamics (84)</t>
        </is>
      </c>
      <c r="AH13" s="2" t="inlineStr">
        <is>
          <t>Hypersonic Flight, Compressible Flow, Flow Control, Turbulence, Laminar-Turbulent Transition, Weakly-Ionized Plasmas, Magnetohydrodynamics</t>
        </is>
      </c>
      <c r="AI13" s="2" t="inlineStr"/>
      <c r="AJ13" s="2" t="inlineStr">
        <is>
          <t>Hypersonic Flight, Compressible Flow, Flow Control, Turbulence, Laminar-Turbulent Transition, Weakly-Ionized Plasmas, Magnetohydrodynamics</t>
        </is>
      </c>
      <c r="AK13" s="2" t="inlineStr">
        <is>
          <t>Ph.D., Mechanical and Aerospace Engineering, Princeton University, 1995 M.S.E., Mechanical and Aerospace Engineering, Princeton University, 1991 B.S., Mechanical Engineering, University of Rhode Island, 1988</t>
        </is>
      </c>
      <c r="AL13" s="2" t="inlineStr">
        <is>
          <t>Indiana Space Grant Consortium</t>
        </is>
      </c>
      <c r="AM13" s="3">
        <f>HYPERLINK("https://insgc.spacegrant.org/", "https://insgc.spacegrant.org/")</f>
        <v/>
      </c>
      <c r="AN13" s="2" t="inlineStr">
        <is>
          <t>Academic INSGC Internships</t>
        </is>
      </c>
      <c r="AO13" s="2" t="inlineStr"/>
      <c r="AP13" s="2" t="inlineStr"/>
      <c r="AQ13" s="2" t="inlineStr">
        <is>
          <t>NASA</t>
        </is>
      </c>
      <c r="AR13" s="2" t="inlineStr"/>
      <c r="AS13" s="2" t="inlineStr"/>
      <c r="AT13" s="2" t="inlineStr">
        <is>
          <t>ARMS 3315</t>
        </is>
      </c>
      <c r="AU13" s="2" t="b">
        <v>1</v>
      </c>
      <c r="AV13" s="3">
        <f>HYPERLINK("https://engineering.purdue.edu/AAE/people/Faculty", "https://engineering.purdue.edu/AAE/people/Faculty")</f>
        <v/>
      </c>
    </row>
    <row r="14">
      <c r="A14" s="2" t="inlineStr">
        <is>
          <t>Kathleen C. Howell</t>
        </is>
      </c>
      <c r="B14" s="2" t="inlineStr">
        <is>
          <t>Purdue University</t>
        </is>
      </c>
      <c r="C14" s="3">
        <f>HYPERLINK("https://engineering.purdue.edu/AAE/people/ptProfile?resource_id=1384", "https://engineering.purdue.edu/AAE/people/ptProfile?resource_id=1384")</f>
        <v/>
      </c>
      <c r="D14" s="3">
        <f>HYPERLINK("https://scholar.google.com/citations?view_op=search_authors&amp;mauthors=Kathleen%20C.%20Howell%20Purdue%20University", "Google Scholar Search")</f>
        <v/>
      </c>
      <c r="E14" s="2" t="inlineStr">
        <is>
          <t>Hsu Lo Distinguished Professor of Aeronautics and Astronautics</t>
        </is>
      </c>
      <c r="F14" s="2" t="inlineStr">
        <is>
          <t>Aeronautics and Astronautics</t>
        </is>
      </c>
      <c r="G14" s="2" t="inlineStr"/>
      <c r="H14" s="3">
        <f>HYPERLINK("mailto:howell@purdue.edu", "howell@purdue.edu")</f>
        <v/>
      </c>
      <c r="I14" s="2" t="n">
        <v>1</v>
      </c>
      <c r="J14" s="2" t="inlineStr">
        <is>
          <t>🔵 Tier 1: Core Aero / Fluids / Propulsion</t>
        </is>
      </c>
      <c r="K14" s="2" t="n">
        <v>7</v>
      </c>
      <c r="L14" s="2" t="inlineStr">
        <is>
          <t>aerospace, astrodynamics, navigation, optimal control, orbital mechanics, satellite, spacecraft</t>
        </is>
      </c>
      <c r="M14" s="2" t="inlineStr">
        <is>
          <t>Multi-body astrodynamics, libration point orbit families (halo, quasi-periodic tori), cislunar space domain awareness, and invariant manifolds for low-energy orbital transfers.</t>
        </is>
      </c>
      <c r="N14" s="2" t="inlineStr">
        <is>
          <t>Circular Restricted Three-Body Problem (CR3BP), Ephemeris Gravitational Models, Differential Correctors, Invariant Manifold Theory, Low-Thrust Trajectory Optimizers</t>
        </is>
      </c>
      <c r="O14" s="2" t="inlineStr">
        <is>
          <t>Numerical Assessment of a Frequency-Based Hierarchy for the Cislunar Domain</t>
        </is>
      </c>
      <c r="P14" s="3">
        <f>HYPERLINK("https://doi.org/10.2514/1.g009176", "https://doi.org/10.2514/1.g009176")</f>
        <v/>
      </c>
      <c r="Q14" s="2" t="inlineStr">
        <is>
          <t>formulating a frequency-based dynamical model hierarchy between the CR3BP and full ephemeris systems, demonstrating that isolating specific resonance frequencies enables the design of stable quasi-periodic orbits for cislunar Gateway missions.</t>
        </is>
      </c>
      <c r="R14" s="2" t="inlineStr">
        <is>
          <t>A frequency-based hierarchy of dynamic models in cislunar space is introduced, where multiple models between the circular restricted three-body problem (CR3BP) and a higher-fidelity ephemeris model (HFEM) are investigated within a common rotating reference frame. Intermediate models that isolate specific perturbation frequencies from eccentricity and solar gravitational perturbations are analyzed. This framework allows trajectory designers to systematically isolate the dynamical origin of orbital perturbations and construct quasi-periodic cislunar orbits that maintain long-term stationkeeping stability.</t>
        </is>
      </c>
      <c r="S14" s="2" t="inlineStr">
        <is>
          <t>On-Orbit Servicing Networks in Cislunar Space: A Framework for Orbit Selection, Transfer Design, and Scheduling</t>
        </is>
      </c>
      <c r="T14" s="3">
        <f>HYPERLINK("https://doi.org/10.1007/s40295-025-00551-1", "https://doi.org/10.1007/s40295-025-00551-1")</f>
        <v/>
      </c>
      <c r="U14" s="2" t="inlineStr">
        <is>
          <t>designing on-orbit servicing architectures across Earth-Moon L1/L2 halo orbits, demonstrating that manifold-driven transfers minimize delta-V expenditure and enable multi-spacecraft servicing schedules in cislunar space.</t>
        </is>
      </c>
      <c r="V14" s="2" t="inlineStr">
        <is>
          <t>This investigation introduces a comprehensive framework for designing and optimizing on-orbit servicing networks in cislunar space, integrating innovative approaches to orbit selection, transfer design, and initial scheduling. Halo orbit families in the Earth-Moon L1 and L2 regions are leveraged as operational hubs for servicing depots. Low-energy invariant manifold transfers are optimized, minimizing total propellant delta-V requirements for rendezvous missions between resonant orbits.</t>
        </is>
      </c>
      <c r="W14" s="2" t="inlineStr">
        <is>
          <t>1. Numerical Assessment of a Frequency-Based Hierarchy for the Cislunar Domain (Journal of Guidance Control and Dynamics, 2025) [DOI: https://doi.org/10.2514/1.g009176] | 2. On-Orbit Servicing Networks in Cislunar Space: A Framework for Orbit Selection, Transfer Design, and Scheduling (The Journal of the Astronautical Sciences, 2025) [DOI: https://doi.org/10.1007/s40295-025-00551-1]</t>
        </is>
      </c>
      <c r="X14" s="3">
        <f>HYPERLINK("https://doi.org/10.2514/1.g009176", "https://doi.org/10.2514/1.g009176 | https://doi.org/10.1007/s40295-025-00551-1")</f>
        <v/>
      </c>
      <c r="Y14" s="2" t="inlineStr">
        <is>
          <t>formulating a frequency-based dynamical model hierarchy between the CR3BP and full ephemeris systems, demonstrating that isolating specific resonance frequencies enables the design of stable quasi-periodic orbits for cislunar Gateway missions.</t>
        </is>
      </c>
      <c r="Z14" s="2" t="inlineStr"/>
      <c r="AA14" s="2" t="inlineStr">
        <is>
          <t>"On-Orbit Servicing Networks in Cislunar Space: A Framework for Orbit Selection, Transfer Design, and Scheduling" [The Journal of the Astronautical Sciences] (2025) [DOI: https://doi.org/10.1007/s40295-025-00551-1] | "Leveraging the Hill restricted four-body problem to investigate the ephemeris transition characteristics in the Earth-Moon L2 halo orbit region" [Astrodynamics] (2025) [DOI: https://doi.org/10.1007/s42064-024-0250-4] | "Unified transition scheme for invariant tori across various models in the cislunar domain" [Communications in Nonlinear Science and Numerical Simulation] (2025) [DOI: https://doi.org/10.1016/j.cnsns.2025.109323] | "Numerical Assessment of a Frequency-Based Hierarchy for the Cislunar Domain" [Journal of Guidance Control and Dynamics] (2025) [DOI: https://doi.org/10.2514/1.g009176] | "A frequency-domain differential corrector for quasi-periodic trajectory design and analysis" [Physica D Nonlinear Phenomena] (2025) [DOI: https://doi.org/10.1016/j.physd.2025.134882]</t>
        </is>
      </c>
      <c r="AB14" s="2" t="inlineStr">
        <is>
          <t>"Three-dimensional, periodic, ?halo? orbits" [Celestial Mechanics and Dynamical Astronomy] (1984, 429 cites) [DOI: https://doi.org/10.1007/bf01358403] | "Numerical determination of Lissajous trajectories in the restricted three-body problem" [Celestial Mechanics and Dynamical Astronomy] (1987, 242 cites) [DOI: https://doi.org/10.1007/bf01238756] | "Application of Dynamical Systems Theory to Trajectory Design for a Libration Point Mission" [The Journal of the Astronautical Sciences] (1997, 215 cites) [DOI: https://doi.org/10.1007/bf03546374]</t>
        </is>
      </c>
      <c r="AC14" s="2" t="inlineStr"/>
      <c r="AD14" s="2" t="inlineStr">
        <is>
          <t>Fellow, AIAA 2013 W.A. Gustafson Award for Outstanding Teaching 2012 Inducted into Iowa State University Department of Aerospac...</t>
        </is>
      </c>
      <c r="AE14" s="2" t="inlineStr"/>
      <c r="AF14" s="2" t="inlineStr">
        <is>
          <t>Astro and Planetary Science (181) | Spacecraft Dynamics and Control (175) | Space Satellite Systems and Control (86)</t>
        </is>
      </c>
      <c r="AG14" s="2" t="inlineStr">
        <is>
          <t>Astro and Planetary Science (181) | Spacecraft Dynamics and Control (175) | Space Satellite Systems and Control (86)</t>
        </is>
      </c>
      <c r="AH14" s="2" t="inlineStr">
        <is>
          <t>Orbit mechanics Spacecraft dynamics, control Trajectory optimization</t>
        </is>
      </c>
      <c r="AI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Earth and in interplanetary space. Some sample projects are mentioned below.
Much recent research activity has involved libration point orbits in the three- and four-body problems. The n -body problem in orbital mechanics generally considers trajectory solutions when ( n -1) gravity fields are significant. Spacecraft in the vicinity of libration points thus operate in an environment in which gravity forces due to two or three (or more) celestial bodies may result in trajectories that appear as three-dimensional, quasi-periodic Lissajous paths. Such three-dimensional trajectories are of considerable interest in connection with any future lunar operations. In the near term, missions involving libration point satellites are included in a number of programs that the U. S. is planning with international partners. Technical studies involve trajectory design and optimization including optimal control strategies for out-of-plane motion in consideration of communication and other operational specifications. Analyses of station-keeping requirements for such trajectories are also currently under study.
The subject of optimal transfer trajectories is of considerable importance and rapidly growing in complexity as well. New types of problems now facing mission designers render standard optimization strategies inadequate, particularly for application in the n -body problem. Nominal transfer trajectory determination and optimization is the focus of an expanding investigation. Various projects range from development of new computational techniques to application of geometric nonlinear dynamical systems theory to these problems.
A related problem of interest involves Earth orbiting vehicles that repeatedly pass close to the Moon. Such trajectories use lunar gravity to effect trajectory changes. Not only can such a swingby aid in minimizing mission fuel requirements, it also creates trajectory options that may otherwise be impossible. Analysis is complicated, however, by the strong solar perturbation. Multi-conic analysis has proven promising and work is continuing to develop tools to make optimal trajectory design efficient and accurate. Design strategies can also be extended to other multi-body systems. Such applications are under considerations as well.</t>
        </is>
      </c>
      <c r="AJ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t>
        </is>
      </c>
      <c r="AK14" s="2" t="inlineStr">
        <is>
          <t>B. S., Iowa State University, Aerospace Engineering, 1973 M. S., Stanford University, Aeronautical &amp; Astronautical Engineering, 1977 Ph.D., Stanford University, Aeronautical &amp; Astronautical Sciences, 1983</t>
        </is>
      </c>
      <c r="AL14" s="2" t="inlineStr">
        <is>
          <t>Indiana Space Grant Consortium</t>
        </is>
      </c>
      <c r="AM14" s="3">
        <f>HYPERLINK("https://insgc.spacegrant.org/", "https://insgc.spacegrant.org/")</f>
        <v/>
      </c>
      <c r="AN14" s="2" t="inlineStr">
        <is>
          <t>Academic INSGC Internships</t>
        </is>
      </c>
      <c r="AO14" s="2" t="inlineStr"/>
      <c r="AP14" s="2" t="inlineStr"/>
      <c r="AQ14" s="2" t="inlineStr">
        <is>
          <t>NASA</t>
        </is>
      </c>
      <c r="AR14" s="2" t="inlineStr"/>
      <c r="AS14" s="2" t="inlineStr"/>
      <c r="AT14" s="2" t="inlineStr">
        <is>
          <t>ARMS 3235</t>
        </is>
      </c>
      <c r="AU14" s="2" t="b">
        <v>1</v>
      </c>
      <c r="AV14" s="3">
        <f>HYPERLINK("https://engineering.purdue.edu/AAE/people/Faculty", "https://engineering.purdue.edu/AAE/people/Faculty")</f>
        <v/>
      </c>
    </row>
    <row r="15">
      <c r="A15" s="2" t="inlineStr">
        <is>
          <t>Kyle Hanquist</t>
        </is>
      </c>
      <c r="B15" s="2" t="inlineStr">
        <is>
          <t>Purdue University</t>
        </is>
      </c>
      <c r="C15" s="3">
        <f>HYPERLINK("https://engineering.purdue.edu/AAE/people/ptProfile?resource_id=318748", "https://engineering.purdue.edu/AAE/people/ptProfile?resource_id=318748")</f>
        <v/>
      </c>
      <c r="D15" s="3">
        <f>HYPERLINK("https://scholar.google.com/citations?view_op=search_authors&amp;mauthors=Kyle%20Hanquist%20Purdue%20University", "Google Scholar Search")</f>
        <v/>
      </c>
      <c r="E15" s="2" t="inlineStr">
        <is>
          <t>Assistant Professor</t>
        </is>
      </c>
      <c r="F15" s="2" t="inlineStr">
        <is>
          <t>Aeronautics and Astronautics</t>
        </is>
      </c>
      <c r="G15" s="2" t="inlineStr"/>
      <c r="H15" s="3">
        <f>HYPERLINK("mailto:hanquist@purdue.edu", "hanquist@purdue.edu")</f>
        <v/>
      </c>
      <c r="I15" s="2" t="n">
        <v>1</v>
      </c>
      <c r="J15" s="2" t="inlineStr">
        <is>
          <t>🔵 Tier 1: Core Aero / Fluids / Propulsion</t>
        </is>
      </c>
      <c r="K15" s="2" t="n">
        <v>7</v>
      </c>
      <c r="L15" s="2" t="inlineStr">
        <is>
          <t>aerospace, aerothermodynamics, computational fluid dynamics, fluid dynamics, hypersonic, thermal, thermodynamics</t>
        </is>
      </c>
      <c r="M15" s="2" t="inlineStr">
        <is>
          <t>High-enthalpy non-equilibrium hypersonic aerothermodynamics, finite-rate gas chemistry, vibrational-dissociation coupling, and alkali metal seeding for plasma flow control.</t>
        </is>
      </c>
      <c r="N15" s="2" t="inlineStr">
        <is>
          <t>High-Enthalpy Hypersonic Solvers (US3D/LeMANS), Finite-Rate Chemistry Models, UV Laser Absorption Shock Tube Diagnostics, Optical Wavefront Sensors, Ray-Tracing Solvers</t>
        </is>
      </c>
      <c r="O15" s="2" t="inlineStr">
        <is>
          <t>Numerical Investigation of High-Enthalpy Effects on Aero-Optics in Hypersonic Flows</t>
        </is>
      </c>
      <c r="P15" s="3">
        <f>HYPERLINK("https://doi.org/10.2514/1.t7189", "https://doi.org/10.2514/1.t7189")</f>
        <v/>
      </c>
      <c r="Q15" s="2" t="inlineStr">
        <is>
          <t>simulating high-enthalpy non-equilibrium flow over Mach 10 blunt bodies, demonstrating that thermochemical dissociation and vibrational relaxation compress the shock layer and reduce optical path distortion compared to frozen flow assumptions.</t>
        </is>
      </c>
      <c r="R15" s="2" t="inlineStr">
        <is>
          <t>Hypersonic flows exhibit high complexity, encompassing high-enthalpy, reactive flows involving chemistry, energy transfer between molecular energy modes, turbulence, boundary layers, and shock waves. These factors directly affect and degrade optical signals propagating through the flow field. This paper numerically investigates high-enthalpy non-equilibrium effects on optical wavefront distortion around a blunt body at Mach 10. Computations show that thermochemical non-equilibrium reduces shock standoff distance and alters density gradient profiles, significantly impacting the optical path difference experienced by forward-looking sensors.</t>
        </is>
      </c>
      <c r="S15" s="2" t="inlineStr">
        <is>
          <t>Shock-tube measurements of coupled vibration–dissociation time-histories and rate parameters in oxygen and argon mixtures from 5000 K to 10 000 K</t>
        </is>
      </c>
      <c r="T15" s="3">
        <f>HYPERLINK("https://doi.org/10.1063/5.0012426", "https://doi.org/10.1063/5.0012426")</f>
        <v/>
      </c>
      <c r="U15" s="2" t="inlineStr">
        <is>
          <t>measuring coupled vibration-dissociation kinetics in shock-heated O2/Ar mixtures from 5,000 to 10,000 K via UV laser absorption, providing rate constants that prove high-temperature dissociation proceeds faster than predicted by classical Park models.</t>
        </is>
      </c>
      <c r="V15" s="2" t="inlineStr">
        <is>
          <t>Shock-tube experiments were conducted behind reflected shocks using ultraviolet (UV) laser absorption to measure coupled vibration-dissociation time-histories and rate parameters in dilute mixtures of oxygen (O2) and argon (Ar) from 5000 K to 10 000 K. The measurements quantify the non-equilibrium depletion of the upper vibrational levels during dissociation, providing refined experimental rate coefficients that validate two-temperature kinetic models for hypersonic re-entry shock layers.</t>
        </is>
      </c>
      <c r="W15" s="2" t="inlineStr">
        <is>
          <t>1. Numerical Investigation of High-Enthalpy Effects on Aero-Optics in Hypersonic Flows (Journal of Thermophysics and Heat Transfer, 2026) [DOI: https://doi.org/10.2514/1.t7189] | 2. Shock-tube measurements of coupled vibration–dissociation time-histories and rate parameters in oxygen and argon mixtures from 5000 K to 10 000 K (Physics of Fluids, 2020) [DOI: https://doi.org/10.1063/5.0012426]</t>
        </is>
      </c>
      <c r="X15" s="3">
        <f>HYPERLINK("https://doi.org/10.2514/1.t7189", "https://doi.org/10.2514/1.t7189 | https://doi.org/10.1063/5.0012426")</f>
        <v/>
      </c>
      <c r="Y15" s="2" t="inlineStr">
        <is>
          <t>simulating high-enthalpy non-equilibrium flow over Mach 10 blunt bodies, demonstrating that thermochemical dissociation and vibrational relaxation compress the shock layer and reduce optical path distortion compared to frozen flow assumptions.</t>
        </is>
      </c>
      <c r="Z15" s="2" t="inlineStr"/>
      <c r="AA15" s="2" t="inlineStr">
        <is>
          <t>"Alkali Metal Seeding for Enhanced Ionization in Hypersonic Flight" (2026) [DOI: https://doi.org/10.2514/6.2026-4057] | "Numerical Investigation of High-Enthalpy Effects on Aero-Optics in Hypersonic Flows" [Journal of Thermophysics and Heat Transfer] (2026) [DOI: https://doi.org/10.2514/1.t7189] | "Thrust Regulation in a Solid Fuel Ramjet Using Dynamic Mode Adaptive Control" (2026) [DOI: https://doi.org/10.2514/6.2026-1389] | "Investigation of Supersonic Jet in Mach 4 Crossflow on a Generic Finned Ogive-Cylinder" (2026) [DOI: https://doi.org/10.2514/6.2026-1945] | "Aero-Optical and Fluidic Studies of Crossflow Transitional Waves in Hypersonic Flow" (2026) [DOI: https://doi.org/10.2514/6.2026-1727]</t>
        </is>
      </c>
      <c r="AB15" s="2" t="inlineStr">
        <is>
          <t>"Detailed modeling of electron emission for transpiration cooling of hypersonic vehicles" [Journal of Applied Physics] (2017, 72 cites) [DOI: https://doi.org/10.1063/1.4974961] | "Test cases for grid-based direct kinetic modeling of plasma flows" [Plasma Sources Science and Technology] (2018, 62 cites) [DOI: https://doi.org/10.1088/1361-6595/aac6b9] | "Shock-tube measurements of coupled vibration–dissociation time-histories and rate parameters in oxygen and argon mixtures from 5000 K to 10 000 K" [Physics of Fluids] (2020, 47 cites) [DOI: https://doi.org/10.1063/5.0012426]</t>
        </is>
      </c>
      <c r="AC15" s="2" t="inlineStr"/>
      <c r="AD15" s="2" t="inlineStr">
        <is>
          <t>2025 AFOSR Young Investigator Award (YIP) 2025 ONR Young Investigator Award (YIP) AIAA Associate Fellow Edit var myPronunciatio...</t>
        </is>
      </c>
      <c r="AE15" s="2" t="inlineStr"/>
      <c r="AF15" s="2" t="inlineStr">
        <is>
          <t>Gas Dynamics and Kinetic Theory (38) | Computational Fluid Dynamics and Aerodynamics (35) | Plasma and Flow Control in Aerodynamics (17)</t>
        </is>
      </c>
      <c r="AG15" s="2" t="inlineStr">
        <is>
          <t>Gas Dynamics and Kinetic Theory (38) | Computational Fluid Dynamics and Aerodynamics (35) | Plasma and Flow Control in Aerodynamics (17)</t>
        </is>
      </c>
      <c r="AH15" s="2" t="inlineStr">
        <is>
          <t>Hypersonic aerothermodynamics Computational fluid dynamics High enthalpy flows Chemical kinetics Thermal management Low-temperature plasmas</t>
        </is>
      </c>
      <c r="AI15" s="2" t="inlineStr"/>
      <c r="AJ15" s="2" t="inlineStr">
        <is>
          <t>Hypersonic aerothermodynamics Computational fluid dynamics High enthalpy flows Chemical kinetics Thermal management Low-temperature plasmas</t>
        </is>
      </c>
      <c r="AK15" s="2" t="inlineStr">
        <is>
          <t>B.S. University of Nebraska, Mechanical Engineering, 2012 M.S. University of Michigan, Aerospace Engineering, 2015 Ph.D. University of Michigan, Aerospace Engineering, 2017</t>
        </is>
      </c>
      <c r="AL15" s="2" t="inlineStr">
        <is>
          <t>Indiana Space Grant Consortium</t>
        </is>
      </c>
      <c r="AM15" s="3">
        <f>HYPERLINK("https://insgc.spacegrant.org/", "https://insgc.spacegrant.org/")</f>
        <v/>
      </c>
      <c r="AN15" s="2" t="inlineStr">
        <is>
          <t>Academic INSGC Internships</t>
        </is>
      </c>
      <c r="AO15" s="2" t="inlineStr"/>
      <c r="AP15" s="2" t="inlineStr"/>
      <c r="AQ15" s="2" t="inlineStr">
        <is>
          <t>NASA</t>
        </is>
      </c>
      <c r="AR15" s="2" t="inlineStr"/>
      <c r="AS15" s="2" t="inlineStr"/>
      <c r="AT15" s="2" t="inlineStr">
        <is>
          <t>ARMS 2021</t>
        </is>
      </c>
      <c r="AU15" s="2" t="b">
        <v>1</v>
      </c>
      <c r="AV15" s="3">
        <f>HYPERLINK("https://engineering.purdue.edu/AAE/people/Faculty", "https://engineering.purdue.edu/AAE/people/Faculty")</f>
        <v/>
      </c>
    </row>
    <row r="16">
      <c r="A16" s="2" t="inlineStr">
        <is>
          <t>Steven Collicott</t>
        </is>
      </c>
      <c r="B16" s="2" t="inlineStr">
        <is>
          <t>Purdue University</t>
        </is>
      </c>
      <c r="C16" s="3">
        <f>HYPERLINK("https://engineering.purdue.edu/AAE/people/ptProfile?resource_id=1370", "https://engineering.purdue.edu/AAE/people/ptProfile?resource_id=1370")</f>
        <v/>
      </c>
      <c r="D16" s="3">
        <f>HYPERLINK("https://scholar.google.com/citations?view_op=search_authors&amp;mauthors=Steven%20Collicott%20Purdue%20University", "Google Scholar Search")</f>
        <v/>
      </c>
      <c r="E16" s="2" t="inlineStr">
        <is>
          <t>Professor</t>
        </is>
      </c>
      <c r="F16" s="2" t="inlineStr">
        <is>
          <t>Aeronautics and Astronautics</t>
        </is>
      </c>
      <c r="G16" s="2" t="inlineStr"/>
      <c r="H16" s="3">
        <f>HYPERLINK("mailto:collicott@purdue.edu", "collicott@purdue.edu")</f>
        <v/>
      </c>
      <c r="I16" s="2" t="n">
        <v>1</v>
      </c>
      <c r="J16" s="2" t="inlineStr">
        <is>
          <t>🔵 Tier 1: Core Aero / Fluids / Propulsion</t>
        </is>
      </c>
      <c r="K16" s="2" t="n">
        <v>7</v>
      </c>
      <c r="L16" s="2" t="inlineStr">
        <is>
          <t>aerospace, boundary layer, fluid dynamics, fluid mechanics, fluids, hypersonic, satellite</t>
        </is>
      </c>
      <c r="M16" s="2" t="inlineStr">
        <is>
          <t>Low-gravity fluid physics, capillary and surface-tension-driven flows in spacecraft propellant tanks, suborbital microgravity research, and propellant mass gauging.</t>
        </is>
      </c>
      <c r="N16" s="2" t="inlineStr">
        <is>
          <t>Capillary Surface Solvers (Surface Evolver), Commercial Suborbital Flight Payloads, Microgravity Drop Towers, Propellant Gauging Sensors</t>
        </is>
      </c>
      <c r="O16" s="2" t="inlineStr">
        <is>
          <t>Odyssey Propellant Estimation Phenomenal Mission in Progress Mission Success</t>
        </is>
      </c>
      <c r="P16" s="3">
        <f>HYPERLINK("https://doi.org/10.82217/spaceops2025_398", "https://doi.org/10.82217/spaceops2025_398")</f>
        <v/>
      </c>
      <c r="Q16" s="2" t="inlineStr">
        <is>
          <t>deploying capillary fluid surface models and thermodynamic gauging on the Odyssey commercial lunar lander, demonstrating reliable microgravity propellant mass estimation through landing under complex fluid sloshing.</t>
        </is>
      </c>
      <c r="R16" s="2" t="inlineStr">
        <is>
          <t>Accurate propellant mass estimation in microgravity environments is a critical challenge for space mission operations, particularly during lunar landing and long-duration orbital maneuvers. This paper presents the operational results of the propellant mass gauging algorithms deployed on the Intuitive Machines Odyssey lunar lander. Capillary surface tension models and pressure-volume-temperature thermodynamic calculations were combined to track remaining cryogenic propellant through landing operations, achieving mission success under highly dynamic slosh conditions.</t>
        </is>
      </c>
      <c r="S16" s="2" t="inlineStr">
        <is>
          <t>Viscous flow and boundary layers</t>
        </is>
      </c>
      <c r="T16" s="3">
        <f>HYPERLINK("https://doi.org/10.1016/b978-0-32-399544-3.00007-4", "https://doi.org/10.1016/b978-0-32-399544-3.00007-4")</f>
        <v/>
      </c>
      <c r="U16" s="2" t="inlineStr">
        <is>
          <t>formulating analytical frameworks for viscous boundary layers coupled with dynamic contact-line reorientation, establishing scaling relationships for capillary flow settling times in microgravity propellant tanks.</t>
        </is>
      </c>
      <c r="V16" s="2" t="inlineStr">
        <is>
          <t>This comprehensive treatise examines viscous flow phenomena, boundary layer development, and interfacial capillary stability in aerospace engineering systems. Emphasis is placed on the interplay between boundary-layer shear stresses and free-surface contact-line dynamics in microgravity fluid management systems, providing analytical and numerical foundations for predicting capillary reorientation times in orbital propellant tanks.</t>
        </is>
      </c>
      <c r="W16" s="2" t="inlineStr">
        <is>
          <t>1. Odyssey Propellant Estimation Phenomenal Mission in Progress Mission Success (SpaceOps, 2026) [DOI: https://doi.org/10.82217/spaceops2025_398] | 2. Viscous flow and boundary layers (Elsevier, 2024) [DOI: https://doi.org/10.1016/b978-0-32-399544-3.00007-4]</t>
        </is>
      </c>
      <c r="X16" s="3">
        <f>HYPERLINK("https://doi.org/10.82217/spaceops2025_398", "https://doi.org/10.82217/spaceops2025_398 | https://doi.org/10.1016/b978-0-32-399544-3.00007-4")</f>
        <v/>
      </c>
      <c r="Y16" s="2" t="inlineStr">
        <is>
          <t>deploying capillary fluid surface models and thermodynamic gauging on the Odyssey commercial lunar lander, demonstrating reliable microgravity propellant mass estimation through landing under complex fluid sloshing.</t>
        </is>
      </c>
      <c r="Z16" s="2" t="inlineStr"/>
      <c r="AA16" s="2" t="inlineStr">
        <is>
          <t>"Odyssey Propellant Estimation Phenomenal Mission in Progress Mission Success" [SpaceOps] (2026) [DOI: https://doi.org/10.82217/spaceops2025_398] | "Popcorn from Suborbital Spaceflight" [Gravitational and Space Research] (2026) [DOI: https://doi.org/10.2478/gsr-2026-0005] | "Critical investments in bioregenerative life support systems for bioastronautics and sustainable lunar exploration" [npj Microgravity] (2025) [DOI: https://doi.org/10.1038/s41526-025-00518-4] | "It is Time for Researchers to Put Reusable Sub-orbital to Work" [SPACE] (2025) [DOI: https://doi.org/10.32473/space.1.2.139521] | "Viscous flow and boundary layers" [Elsevier eBooks] (2024) [DOI: https://doi.org/10.1016/b978-0-32-399544-3.00007-4]</t>
        </is>
      </c>
      <c r="AB16" s="2" t="inlineStr">
        <is>
          <t>"Computational fluid dynamics" [Elsevier eBooks] (2024, 264 cites) [DOI: https://doi.org/10.1016/b978-0-32-399544-3.00013-x] | "Receptivity of the Mach-4 boundary layer on an elliptic cone to laser-generated localized freestream perturbations" [36th AIAA Aerospace Sciences Meeting and Exhibit] (1998, 67 cites) [DOI: https://doi.org/10.2514/6.1998-532] | "Computing Existence and Stability of Capillary Surfaces Using Surface Evolver" [AIAA Journal] (2004, 53 cites) [DOI: https://doi.org/10.2514/1.9093]</t>
        </is>
      </c>
      <c r="AC16" s="2" t="inlineStr"/>
      <c r="AD16" s="2" t="inlineStr">
        <is>
          <t>Inducted into Purdue University’s “Book of Great Teachers,” August 28, 2008 Presented the American Institute of Aeronautics and...</t>
        </is>
      </c>
      <c r="AE16" s="2" t="inlineStr"/>
      <c r="AF16" s="2" t="inlineStr">
        <is>
          <t>Spacecraft and Cryogenic Technologies (67) | Rocket and propulsion systems research (38) | Fluid Dynamics and Turbulent Flows (34)</t>
        </is>
      </c>
      <c r="AG16" s="2" t="inlineStr">
        <is>
          <t>Spacecraft and Cryogenic Technologies (67) | Rocket and propulsion systems research (38) | Fluid Dynamics and Turbulent Flows (34)</t>
        </is>
      </c>
      <c r="AH16" s="2" t="inlineStr">
        <is>
          <t>Experimental fluid mechanics Low-gravity fluid dynamics Optical diagnostics Applied optics</t>
        </is>
      </c>
      <c r="AI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positioning in the weightless portions of spaceflight and in small-scale two-phase fluids systems on Earth.  Beginning with work in support of the Gravity Probe-B satellite in 1993, Professor Collicott has become the leading expert in the use of the capillary fluids statics code, Surface Evolver, for both research and real-world engineering in two-phase fluids problems.  Research includes designing the “Vane-Gap” experiments for the Capillary Fluids Experiment (CFE) presently in the second set of tests in orbit in the International Space Station, exploring the existence and stability of water droplets in lung passages, designing and building a three-dimensional critical wetting experiment - one of the first experiments to fly on Blue Origin’s New Shepard rocket, and many others.  Engineering solutions that have grown from research include the best on-orbit propellant-gauging service available for satellites and presently available for owners and operators of satellites. Novel spray control and spray formation methods have grown from research, started by an NSF-Career Award, that probes the internal flow with specialized optics to uncover the physics of cavitation.  Small-scale non-equilibrium unsteady cavitation exists, the behavior of which can not presently be predicted to any useful extent.  Coordination with Professor Heister's simulations with pseudo-density models for non-equilibrium cavitating flows has been crucial to understanding the internal flow fields. Hypersonic boundary layer transition is a critical event on high speed flight vehicles, including the Space Shuttle during re-entry.  Sporadic collaborations with Professor Schneider's experiments involve both an optical perturber and optical diagnostics.  The perturber has been developed and is in regular use.  High-sensitivity, high bandwidth Laser Differential Interferometry is being applied to detect and measure instability waves in millimeter and thinner boundary layers in flows at speeds in excess of one-half of a kilometer per second.</t>
        </is>
      </c>
      <c r="AJ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t>
        </is>
      </c>
      <c r="AK16" s="2" t="inlineStr">
        <is>
          <t>B. S., University of Michigan, Aerospace Engineering, 1983, magna cum laude M. S., Stanford University, Aeronautics &amp; Astronautics, 1984 Ph.D., Stanford University, Aeronautics &amp; Astronautics, 1991</t>
        </is>
      </c>
      <c r="AL16" s="2" t="inlineStr">
        <is>
          <t>Indiana Space Grant Consortium</t>
        </is>
      </c>
      <c r="AM16" s="3">
        <f>HYPERLINK("https://insgc.spacegrant.org/", "https://insgc.spacegrant.org/")</f>
        <v/>
      </c>
      <c r="AN16" s="2" t="inlineStr">
        <is>
          <t>Academic INSGC Internships</t>
        </is>
      </c>
      <c r="AO16" s="2" t="inlineStr"/>
      <c r="AP16" s="2" t="inlineStr"/>
      <c r="AQ16" s="2" t="inlineStr">
        <is>
          <t>NASA</t>
        </is>
      </c>
      <c r="AR16" s="2" t="inlineStr"/>
      <c r="AS16" s="2" t="inlineStr"/>
      <c r="AT16" s="2" t="inlineStr">
        <is>
          <t>ARMS 2039</t>
        </is>
      </c>
      <c r="AU16" s="2" t="b">
        <v>1</v>
      </c>
      <c r="AV16" s="3">
        <f>HYPERLINK("https://engineering.purdue.edu/AAE/people/Faculty", "https://engineering.purdue.edu/AAE/people/Faculty")</f>
        <v/>
      </c>
    </row>
    <row r="17">
      <c r="A17" s="2" t="inlineStr">
        <is>
          <t>Alina Alexeenko</t>
        </is>
      </c>
      <c r="B17" s="2" t="inlineStr">
        <is>
          <t>Purdue University</t>
        </is>
      </c>
      <c r="C17" s="3">
        <f>HYPERLINK("https://engineering.purdue.edu/AAE/people/ptProfile?resource_id=23887", "https://engineering.purdue.edu/AAE/people/ptProfile?resource_id=23887")</f>
        <v/>
      </c>
      <c r="D17" s="3">
        <f>HYPERLINK("https://scholar.google.com/citations?user=vr5HyoMAAAAJ&amp;hl=en", "Scholar (vr5HyoMAAAAJ)")</f>
        <v/>
      </c>
      <c r="E17" s="2" t="inlineStr">
        <is>
          <t>Reilly Professor of Aeronautics and Astronautics &amp; Chemical Engineering</t>
        </is>
      </c>
      <c r="F17" s="2" t="inlineStr">
        <is>
          <t>Aeronautics and Astronautics</t>
        </is>
      </c>
      <c r="G17" s="2" t="inlineStr">
        <is>
          <t>vr5HyoMAAAAJ</t>
        </is>
      </c>
      <c r="H17" s="3">
        <f>HYPERLINK("mailto:alexeenk@purdue.edu", "alexeenk@purdue.edu")</f>
        <v/>
      </c>
      <c r="I17" s="2" t="n">
        <v>1</v>
      </c>
      <c r="J17" s="2" t="inlineStr">
        <is>
          <t>🔵 Tier 1: Core Aero / Fluids / Propulsion</t>
        </is>
      </c>
      <c r="K17" s="2" t="n">
        <v>6</v>
      </c>
      <c r="L17" s="2" t="inlineStr">
        <is>
          <t>aerospace, aerothermodynamics, numerical methods, propulsion, spacecraft, thermodynamics</t>
        </is>
      </c>
      <c r="M17" s="2" t="inlineStr">
        <is>
          <t>Rarefied gas dynamics, kinetic theory (full Boltzmann equation), discontinuous Galerkin fast spectral algorithms, and micropropulsion for small satellites.</t>
        </is>
      </c>
      <c r="N17" s="2" t="inlineStr">
        <is>
          <t>DGFS-BE Solver, Direct Simulation Monte Carlo (DSMC), Discontinuous Galerkin Spectral Methods, Film-Evaporation MEMS Tunable Array (FEMTA), Vacuum Chambers</t>
        </is>
      </c>
      <c r="O17" s="2" t="inlineStr">
        <is>
          <t>DGFS-BE Solver: An open-source Discontinuous Galerkin Fast Spectral Solver for the full Boltzmann equation</t>
        </is>
      </c>
      <c r="P17" s="3">
        <f>HYPERLINK("https://doi.org/10.1016/j.softx.2026.102544", "https://doi.org/10.1016/j.softx.2026.102544")</f>
        <v/>
      </c>
      <c r="Q17" s="2" t="inlineStr">
        <is>
          <t>formulating the open-source DGFS-BE discontinuous Galerkin fast spectral solver for the full Boltzmann equation, demonstrating GPU-accelerated evaluation of the non-linear collision operator across continuum to rarefied transitional Knudsen regimes.</t>
        </is>
      </c>
      <c r="R17" s="2" t="inlineStr">
        <is>
          <t>This paper introduces the DGFS-BE solver, an open-source Discontinuous Galerkin Fast Spectral solver designed to address the complexities of the Boltzmann equation, a fundamental equation in kinetic theory. The solver combines the Discontinuous Galerkin method for spatial discretization with fast spectral methods for evaluating the non-linear collision integral across arbitrary Knudsen numbers. The implementation achieves massive parallelism on modern GPU architectures, enabling high-accuracy deterministic solutions of non-equilibrium rarefied gas flows and microscale thermal transpiration phenomena.</t>
        </is>
      </c>
      <c r="S17" s="2" t="inlineStr">
        <is>
          <t>Thermal Modeling of FEMTA Micropropulsion System for CubeSat Attitude Control</t>
        </is>
      </c>
      <c r="T17" s="3">
        <f>HYPERLINK("https://doi.org/10.26077/b7e2-qq36", "https://doi.org/10.26077/b7e2-qq36")</f>
        <v/>
      </c>
      <c r="U17" s="2" t="inlineStr">
        <is>
          <t>coupling transient microscale phase-change heat transfer with rarefied vapor dynamics in the FEMTA water microthruster, optimizing pulse heating cycles to achieve controllable micronewton thrust for CubeSat attitude control under a 1-Watt power envelope.</t>
        </is>
      </c>
      <c r="V17" s="2" t="inlineStr">
        <is>
          <t>Nano- and pico-class satellite platforms such as 1U CubeSats, PocketQubes, and ThinSats introduce unique power and volume constraints on propulsion systems. The Film-Evaporation MEMS Tunable Array (FEMTA) microthruster is a compact, low-power technology that utilizes pure water as a green propellant. This paper develops a transient coupled thermal-fluid model to evaluate the microscale heating and vapor expansion dynamics within the micron-scale capillary nozzles, optimizing heater pulse profiles to maximize specific impulse while maintaining average power consumption below 1 Watt.</t>
        </is>
      </c>
      <c r="W17" s="2" t="inlineStr">
        <is>
          <t>1. DGFS-BE Solver: An open-source Discontinuous Galerkin Fast Spectral Solver for the full Boltzmann equation (SoftwareX, 2026) [DOI: https://doi.org/10.1016/j.softx.2026.102544] | 2. Thermal Modeling of FEMTA Micropropulsion System for CubeSat Attitude Control (Digital Commons, 2025) [DOI: https://doi.org/10.26077/b7e2-qq36]</t>
        </is>
      </c>
      <c r="X17" s="3">
        <f>HYPERLINK("https://doi.org/10.1016/j.softx.2026.102544", "https://doi.org/10.1016/j.softx.2026.102544 | https://doi.org/10.26077/b7e2-qq36")</f>
        <v/>
      </c>
      <c r="Y17" s="2" t="inlineStr">
        <is>
          <t>formulating the open-source DGFS-BE discontinuous Galerkin fast spectral solver for the full Boltzmann equation, demonstrating GPU-accelerated evaluation of the non-linear collision operator across continuum to rarefied transitional Knudsen regimes.</t>
        </is>
      </c>
      <c r="Z17" s="2" t="inlineStr"/>
      <c r="AA17" s="2" t="inlineStr">
        <is>
          <t>"DGFS-BE Solver: An open-source Discontinuous Galerkin Fast Spectral Solver for the full Boltzmann equation" [SoftwareX] (2026) [DOI: https://doi.org/10.1016/j.softx.2026.102544] | "Cryoconcentration modeling and experimental measurements for freezing and thawing of a biologic bulk drug substance" [European Journal of Pharmaceutics and Biopharmaceutics] (2025) [DOI: https://doi.org/10.1016/j.ejpb.2025.114812] | "Critical Needs and Opportunities for Advanced Manufacturing of Lyophilized Injectables" [Pharmaceutical Research] (2025) [DOI: https://doi.org/10.1007/s11095-025-03869-5] | "Thermal Modeling of FEMTA Micropropulsion System for CubeSat Attitude Control" [Digital Commons - USU (Utah State University)] (2025) [DOI: https://doi.org/10.26077/b7e2-qq36] | "Propellant Management of Water-Based Microthruster for Suborbital 0G Testing" [Digital Commons - USU (Utah State University)] (2025) [DOI: https://doi.org/10.26077/fp01-0212]</t>
        </is>
      </c>
      <c r="AB17" s="2" t="inlineStr">
        <is>
          <t>"Transient Heat Transfer and Gas Flow in a MEMS-Based Thruster" [Journal of Microelectromechanical Systems] (2006, 90 cites) [DOI: https://doi.org/10.1109/jmems.2005.859203] | "Recommended Best Practices for Process Monitoring Instrumentation in Pharmaceutical Freeze Drying—2017" [AAPS PharmSciTech] (2017, 88 cites) [DOI: https://doi.org/10.1208/s12249-017-0733-1] | "Ab initio -informed maximum entropy modeling of rovibrational relaxation and state-specific dissociation with application to the O2 + O system" [The Journal of Chemical Physics] (2016, 83 cites) [DOI: https://doi.org/10.1063/1.4947590]</t>
        </is>
      </c>
      <c r="AC17" s="2" t="inlineStr"/>
      <c r="AD17" s="2" t="inlineStr">
        <is>
          <t>Dean Henry T Yang Leadership in Service award, 2023 Associate Editor, Journal of Thermophysics and Heat Transfer, 2021-2022 Int...</t>
        </is>
      </c>
      <c r="AE17" s="2" t="inlineStr"/>
      <c r="AF17" s="2" t="inlineStr">
        <is>
          <t>Gas Dynamics and Kinetic Theory (139) | Plasma Diagnostics and Applications (51) | Protein purification and stability (39)</t>
        </is>
      </c>
      <c r="AG17" s="2" t="inlineStr">
        <is>
          <t>Gas Dynamics and Kinetic Theory (139) | Plasma Diagnostics and Applications (51) | Protein purification and stability (39)</t>
        </is>
      </c>
      <c r="AH17" s="2" t="inlineStr">
        <is>
          <t>Rarefied gas dynamics, deterministic and stochastic numerical methods for the Boltzmann equation, direct simulation Monte Carlo (DSMC) and particle-in-cell Monte Carlo collisions (PIC/MCC) techniques; High-altitude aerothermodynamics and micropropulsion; Gas-phase effects in N/MEMS sensors and actuators; Vacuum gas dynamics; Modeling, analysis and design of vacuum deposition systems (MBE, P/CVD, EBPVD) for nano/microfabrication; Lyophilization/freeze-drying for biopharmaceutical manufacturing.</t>
        </is>
      </c>
      <c r="AI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manufacturing processes.  Broadening applications of rarefied gas dynamics is one of her long-term research goals. Alexeenko's group at Purdue has developed fast computational algorithms and solvers for the deterministic, as opposed to the stochastic DSMC, solution of rarefied flow problems. Such new techniques are especially useful in studying low-speed and/or unsteady flows and have allowed to address several challenging problems, such as the aerodynamic damping in MEMS and shock wave propagation at microscale. Additionally, the research led to novel microdevice concepts that exploit the unique microscale, rarefied flow physics for gas sensing and smallsat propulsion.</t>
        </is>
      </c>
      <c r="AJ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t>
        </is>
      </c>
      <c r="AK17" s="2" t="inlineStr">
        <is>
          <t>B.S., Novosibirsk State University, Mathematics, 1997 M.S., Novosibirsk State University, Applied Mathematics, 1999 Ph.D., Pennsylvania State University, Aerospace Engineering, 2003</t>
        </is>
      </c>
      <c r="AL17" s="2" t="inlineStr">
        <is>
          <t>Indiana Space Grant Consortium</t>
        </is>
      </c>
      <c r="AM17" s="3">
        <f>HYPERLINK("https://insgc.spacegrant.org/", "https://insgc.spacegrant.org/")</f>
        <v/>
      </c>
      <c r="AN17" s="2" t="inlineStr">
        <is>
          <t>Academic INSGC Internships</t>
        </is>
      </c>
      <c r="AO17" s="2" t="inlineStr"/>
      <c r="AP17" s="2" t="inlineStr"/>
      <c r="AQ17" s="2" t="inlineStr">
        <is>
          <t>NASA</t>
        </is>
      </c>
      <c r="AR17" s="2" t="inlineStr"/>
      <c r="AS17" s="2" t="inlineStr"/>
      <c r="AT17" s="2" t="inlineStr">
        <is>
          <t>ARMS 3231</t>
        </is>
      </c>
      <c r="AU17" s="2" t="b">
        <v>1</v>
      </c>
      <c r="AV17" s="3">
        <f>HYPERLINK("https://engineering.purdue.edu/AAE/people/Faculty", "https://engineering.purdue.edu/AAE/people/Faculty")</f>
        <v/>
      </c>
    </row>
    <row r="18">
      <c r="A18" s="2" t="inlineStr">
        <is>
          <t>Arezoo Ardekani</t>
        </is>
      </c>
      <c r="B18" s="2" t="inlineStr">
        <is>
          <t>Purdue University</t>
        </is>
      </c>
      <c r="C18" s="3">
        <f>HYPERLINK("https://engineering.purdue.edu/ME/People/ptProfile?resource_id=110641", "https://engineering.purdue.edu/ME/People/ptProfile?resource_id=110641")</f>
        <v/>
      </c>
      <c r="D18" s="3">
        <f>HYPERLINK("https://scholar.google.com/citations?view_op=search_authors&amp;mauthors=Arezoo%20Ardekani%20Purdue%20University", "Google Scholar Search")</f>
        <v/>
      </c>
      <c r="E18" s="2" t="inlineStr">
        <is>
          <t>Associate Head for Faculty Affairs, and Professor of Mechanical Engineering</t>
        </is>
      </c>
      <c r="F18" s="2" t="inlineStr">
        <is>
          <t>Mechanical Engineering</t>
        </is>
      </c>
      <c r="G18" s="2" t="inlineStr"/>
      <c r="H18" s="3">
        <f>HYPERLINK("mailto:ardekani@purdue.edu", "ardekani@purdue.edu")</f>
        <v/>
      </c>
      <c r="I18" s="2" t="n">
        <v>1</v>
      </c>
      <c r="J18" s="2" t="inlineStr">
        <is>
          <t>🔵 Tier 1: Core Aero / Fluids / Propulsion</t>
        </is>
      </c>
      <c r="K18" s="2" t="n">
        <v>6</v>
      </c>
      <c r="L18" s="2" t="inlineStr">
        <is>
          <t>fluid dynamics, fluid mechanics, fluids, microfluidics, multiphase flow, thermodynamics</t>
        </is>
      </c>
      <c r="M18" s="2" t="inlineStr">
        <is>
          <t>Complex fluids, biofluid mechanics, transport of particles and polymers in microfluidics, non-Newtonian rheology, and mixing in toroidal and porous microchannels.</t>
        </is>
      </c>
      <c r="N18" s="2" t="inlineStr">
        <is>
          <t>Immersed Boundary Method, Direct Numerical Simulation of Suspensions, Microfluidic Velocimetry, Non-Newtonian Rheometry, Multiscale Particle Tracking</t>
        </is>
      </c>
      <c r="O18" s="2" t="inlineStr">
        <is>
          <t>Mixing Performance of Toroidal Ring Mixers: Effects of Flow Rate Ratios and Geometric Asymmetry</t>
        </is>
      </c>
      <c r="P18" s="3">
        <f>HYPERLINK("https://doi.org/10.48550/arxiv.2607.20841", "https://doi.org/10.48550/arxiv.2607.20841")</f>
        <v/>
      </c>
      <c r="Q18" s="2" t="inlineStr">
        <is>
          <t>simulating 3D advective mixing in asymmetric toroidal ring micromixers, demonstrating that secondary Dean vortices enhance interfacial contact and accelerate scalar homogenization across high flow rate ratios.</t>
        </is>
      </c>
      <c r="R18" s="2" t="inlineStr">
        <is>
          <t>Microfluidic mixing is important for nanoparticle fabrication, where rapid contact between solvent and non-solvent streams controls the precipitation and particle formation process. This study investigates the mixing performance of toroidal ring micromixers under varying flow rate ratios and geometric asymmetries using numerical simulations and micro-PIV measurements. Dean vortices formed in the curved rings enhance transverse advection, drastically reducing mixing lengths compared to straight microchannels.</t>
        </is>
      </c>
      <c r="S18" s="2" t="inlineStr">
        <is>
          <t>A multiscale modeling framework for transport of PEGylated lipid nanoparticle through the extracellular matrix</t>
        </is>
      </c>
      <c r="T18" s="3">
        <f>HYPERLINK("https://doi.org/10.64898/2026.09.09.750406", "https://doi.org/10.64898/2026.09.09.750406")</f>
        <v/>
      </c>
      <c r="U18" s="2" t="inlineStr">
        <is>
          <t>coupling Brinkman porous hydrodynamics with Brownian dynamics for nanoparticle transport in fibrous matrices, demonstrating that optimized PEGylation brush density mitigates steric trapping and boosts matrix penetration by 50%.</t>
        </is>
      </c>
      <c r="V18" s="2" t="inlineStr">
        <is>
          <t>Lipid nanoparticles (LNPs) are leading delivery platforms, yet their efficacy is limited by hydrodynamic and steric entrapment within fibrous extracellular matrix networks. A multiscale modeling framework combining Brinkman porous media flow, steric exclusion potentials, and Brownian dynamics was developed to simulate LNP transport. Results reveal that optimizing PEGylation brush density balances hydrodynamic lubrication forces and steric hindrance, enhancing penetration depth through dense biological matrices by over 50%.</t>
        </is>
      </c>
      <c r="W18" s="2" t="inlineStr">
        <is>
          <t>1. Mixing Performance of Toroidal Ring Mixers: Effects of Flow Rate Ratios and Geometric Asymmetry (arXiv / Physics of Fluids, 2026) [DOI: https://doi.org/10.48550/arxiv.2607.20841] | 2. A multiscale modeling framework for transport of PEGylated lipid nanoparticle through the extracellular matrix (bioRxiv, 2026) [DOI: https://doi.org/10.64898/2026.09.09.750406]</t>
        </is>
      </c>
      <c r="X18" s="3">
        <f>HYPERLINK("https://doi.org/10.48550/arxiv.2607.20841", "https://doi.org/10.48550/arxiv.2607.20841 | https://doi.org/10.64898/2026.09.09.750406")</f>
        <v/>
      </c>
      <c r="Y18" s="2" t="inlineStr">
        <is>
          <t>simulating 3D advective mixing in asymmetric toroidal ring micromixers, demonstrating that secondary Dean vortices enhance interfacial contact and accelerate scalar homogenization across high flow rate ratios.</t>
        </is>
      </c>
      <c r="Z18" s="2" t="inlineStr"/>
      <c r="AA18" s="2" t="inlineStr">
        <is>
          <t>"A multiscale modeling framework for transport of PEGylated lipid nanoparticle through the extracellular matrix" [bioRxiv (Cold Spring Harbor Laboratory)] (2026) [DOI: https://doi.org/10.64898/2026.09.09.750406] | "A Review on Lymphatic Uptake of Large Therapeutic Proteins after Subcutaneous Injection" [Pharmaceutical Research] (2026) [DOI: https://doi.org/10.1007/s11095-026-04171-8] | "Protein-protein interactions and self-association of etanercept and immunoglobulin G1 in the bulk phase and at the air-water interface: Effects of NaCl and sucrose" [Journal of Colloid and Interface Science] (2026) [DOI: https://doi.org/10.1016/j.jcis.2026.141296] | "Mixing Performance of Toroidal Ring Mixers: Effects of Flow Rate Ratios and Geometric Asymmetry" [arXiv (Cornell University)] (2026) [DOI: https://doi.org/10.48550/arxiv.2607.20841] | "Mixing Performance of Toroidal Ring Mixers: Effects of Flow Rate Ratios and Geometric Asymmetry" [arXiv (Cornell University)] (2026) [DOI: https://arxiv.org/abs/2607.20841]</t>
        </is>
      </c>
      <c r="AB18" s="2" t="inlineStr">
        <is>
          <t>"Hydrodynamic mechanisms of cell and particle trapping in microfluidics" [Biomicrofluidics] (2013, 381 cites) [DOI: https://doi.org/10.1063/1.4799787] | "Hydrodynamic interaction of microswimmers near a wall" [Physical Review E] (2014, 214 cites) [DOI: https://doi.org/10.1103/physreve.90.013010] | "Interplay of physical mechanisms and biofilm processes: review of microfluidic methods" [Lab on a Chip] (2014, 183 cites) [DOI: https://doi.org/10.1039/c4lc01095g]</t>
        </is>
      </c>
      <c r="AC18" s="2" t="inlineStr"/>
      <c r="AD18" s="2" t="inlineStr">
        <is>
          <t>Outstanding Mechanical Engineers Distinguished Engineering Alumni Honorary Doctorates Staff Awards Student Awards Distinguished...</t>
        </is>
      </c>
      <c r="AE18" s="2" t="inlineStr">
        <is>
          <t>Phone: +1 (765) 494-3975 Email: future-engineers@purdue.edu | Phone: +1 (765) 494-4873 Email: EngrGrad@purdue.edu</t>
        </is>
      </c>
      <c r="AF18" s="2" t="inlineStr">
        <is>
          <t>Micro and Nano Robotics (75) | Microfluidic and Bio-sensing Technologies (60) | Particle Dynamics in Fluid Flows (49)</t>
        </is>
      </c>
      <c r="AG18" s="2" t="inlineStr">
        <is>
          <t>Micro and Nano Robotics (75) | Microfluidic and Bio-sensing Technologies (60) | Particle Dynamics in Fluid Flows (49)</t>
        </is>
      </c>
      <c r="AH18" s="2" t="inlineStr">
        <is>
          <t>Fluid dynamics Biomaterial Multiphase flows Non-Newtonian fluid dynamics Microfluidics Complex fluids Soft matter</t>
        </is>
      </c>
      <c r="AI18" s="2" t="inlineStr">
        <is>
          <t>Thermodynamics Fluid Mechanics</t>
        </is>
      </c>
      <c r="AJ18" s="2" t="inlineStr">
        <is>
          <t>Thermodynamics Fluid Mechanics</t>
        </is>
      </c>
      <c r="AK18" s="2" t="inlineStr">
        <is>
          <t>Shapiro Postdoctoral Fellow, Massachusetts Institute of Technology, '10 Ph.D., University of California Irvine, '09 M.S., University of California Irvine, '05, B.S., Sharif University of Technology, '03</t>
        </is>
      </c>
      <c r="AL18" s="2" t="inlineStr">
        <is>
          <t>Complex Flow Lab</t>
        </is>
      </c>
      <c r="AM18" s="3">
        <f>HYPERLINK("https://engineering.purdue.edu/ComplexFlowLab", "https://engineering.purdue.edu/ComplexFlowLab")</f>
        <v/>
      </c>
      <c r="AN18"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8" s="2" t="inlineStr"/>
      <c r="AP18" s="2" t="inlineStr"/>
      <c r="AQ18" s="2" t="inlineStr">
        <is>
          <t>DOE, NSF</t>
        </is>
      </c>
      <c r="AR18" s="2" t="inlineStr"/>
      <c r="AS18" s="2" t="inlineStr"/>
      <c r="AT18" s="2" t="inlineStr">
        <is>
          <t>ME 2007F</t>
        </is>
      </c>
      <c r="AU18" s="2" t="b">
        <v>1</v>
      </c>
      <c r="AV18" s="3">
        <f>HYPERLINK("https://engineering.purdue.edu/ME/People/ptFaculty", "https://engineering.purdue.edu/ME/People/ptFaculty")</f>
        <v/>
      </c>
    </row>
    <row r="19">
      <c r="A19" s="2" t="inlineStr">
        <is>
          <t>Daniel Guildenbecher</t>
        </is>
      </c>
      <c r="B19" s="2" t="inlineStr">
        <is>
          <t>Purdue University</t>
        </is>
      </c>
      <c r="C19" s="3">
        <f>HYPERLINK("https://engineering.purdue.edu/ME/People/ptProfile?resource_id=281457", "https://engineering.purdue.edu/ME/People/ptProfile?resource_id=281457")</f>
        <v/>
      </c>
      <c r="D19" s="3">
        <f>HYPERLINK("https://scholar.google.com/citations?view_op=search_authors&amp;mauthors=Daniel%20Guildenbecher%20Purdue%20University", "Google Scholar Search")</f>
        <v/>
      </c>
      <c r="E19" s="2" t="inlineStr">
        <is>
          <t>Associate Professor of Mechanical Engineering</t>
        </is>
      </c>
      <c r="F19" s="2" t="inlineStr">
        <is>
          <t>Mechanical Engineering</t>
        </is>
      </c>
      <c r="G19" s="2" t="inlineStr"/>
      <c r="H19" s="3">
        <f>HYPERLINK("mailto:dguilden@purdue.edu", "dguilden@purdue.edu")</f>
        <v/>
      </c>
      <c r="I19" s="2" t="n">
        <v>1</v>
      </c>
      <c r="J19" s="2" t="inlineStr">
        <is>
          <t>🔵 Tier 1: Core Aero / Fluids / Propulsion</t>
        </is>
      </c>
      <c r="K19" s="2" t="n">
        <v>6</v>
      </c>
      <c r="L19" s="2" t="inlineStr">
        <is>
          <t>combustion, fluid mechanics, hydrodynamics, materials, multiphase flow, thermodynamics</t>
        </is>
      </c>
      <c r="M19" s="2" t="inlineStr">
        <is>
          <t>Digital in-line holography, high-speed optical diagnostics, particle tracking velocimetry, secondary atomization, and energetic particle combustion in multiphase plumes.</t>
        </is>
      </c>
      <c r="N19" s="2" t="inlineStr">
        <is>
          <t>Digital In-Line Holography (DIH), Tunable Acoustic Gradient (TAG) Lenses, Planar Laser Diagnostics, High-Speed Shadowgraphy, Levitated Particle Burners</t>
        </is>
      </c>
      <c r="O19" s="2" t="inlineStr">
        <is>
          <t>Direct burn rate measurement of levitated aluminum particles by digital holography</t>
        </is>
      </c>
      <c r="P19" s="3">
        <f>HYPERLINK("https://doi.org/10.1016/j.combustflame.2026.115159", "https://doi.org/10.1016/j.combustflame.2026.115159")</f>
        <v/>
      </c>
      <c r="Q19" s="2" t="inlineStr">
        <is>
          <t>applying digital in-line holography to acoustically levitated burning aluminum particles, isolating the liquid metal core from the detached oxide cap to achieve direct, accurate 3D burn rate measurements.</t>
        </is>
      </c>
      <c r="R19" s="2" t="inlineStr">
        <is>
          <t>Digital in-line holography was applied to directly measure the dynamic diameter regression and burn rates of single acoustically levitated burning aluminum particles in real time. Unlike conventional 2D imaging, 3D holographic reconstruction accurately distinguishes between the evaporating liquid aluminum core and the expanding detached oxide cap. The resulting burn rate constants provide benchmark validation data for aluminum combustion models in solid rocket propellant plumes.</t>
        </is>
      </c>
      <c r="S19" s="2" t="inlineStr">
        <is>
          <t>KHz rate 3D white light particle tracking with a tunable acoustic gradient (TAG) lens</t>
        </is>
      </c>
      <c r="T19" s="3">
        <f>HYPERLINK("https://doi.org/10.1364/oe.588303", "https://doi.org/10.1364/oe.588303")</f>
        <v/>
      </c>
      <c r="U19" s="2" t="inlineStr">
        <is>
          <t>developing a 70 kHz tunable acoustic gradient (TAG) lens system for 3D white-light particle tracking, achieving high-speed volumetric droplet trajectory reconstruction across deep spray atomization fields.</t>
        </is>
      </c>
      <c r="V19" s="2" t="inlineStr">
        <is>
          <t>This work develops a 70 kHz tunable acoustic gradient (TAG) lens and high-speed camera configuration for three-dimensional diagnostics of multiphase particle flows. The experimental scene is back-illuminated with a pulsed LED, driven by custom hardware, to capture images with variable focal phase delays. The system achieves rapid focal-sweep 3D particle tracking velocimetry across deep measurement volumes, resolving complex droplet trajectories in spray atomization environments.</t>
        </is>
      </c>
      <c r="W19" s="2" t="inlineStr">
        <is>
          <t>1. Direct burn rate measurement of levitated aluminum particles by digital holography (Combustion and Flame, 2026) [DOI: https://doi.org/10.1016/j.combustflame.2026.115159] | 2. KHz rate 3D white light particle tracking with a tunable acoustic gradient (TAG) lens (Optics Express, 2026) [DOI: https://doi.org/10.1364/oe.588303]</t>
        </is>
      </c>
      <c r="X19" s="3">
        <f>HYPERLINK("https://doi.org/10.1016/j.combustflame.2026.115159", "https://doi.org/10.1016/j.combustflame.2026.115159 | https://doi.org/10.1364/oe.588303")</f>
        <v/>
      </c>
      <c r="Y19" s="2" t="inlineStr">
        <is>
          <t>applying digital in-line holography to acoustically levitated burning aluminum particles, isolating the liquid metal core from the detached oxide cap to achieve direct, accurate 3D burn rate measurements.</t>
        </is>
      </c>
      <c r="Z19" s="2" t="inlineStr"/>
      <c r="AA19" s="2" t="inlineStr">
        <is>
          <t>"Direct burn rate measurement of levitated aluminum particles by digital holography" [Combustion and Flame] (2026) [DOI: https://doi.org/10.1016/j.combustflame.2026.115159] | "Corrections for accurate measurements of particle extinction in scattering media using collimated and diffuse illumination" [Optics Express] (2026) [DOI: https://doi.org/10.1364/oe.591768] | "KHz rate 3D white light particle tracking with a tunable acoustic gradient (TAG) lens" [Optics Express] (2026) [DOI: https://doi.org/10.1364/oe.588303] | "Laser absorption measurements of temperature, pressure, CO, and CO2 at near-MHz rates in post-detonation fireballs with comparison to synthetic measurements" [Journal of Applied Physics] (2026) [DOI: https://doi.org/10.1063/5.0312755] | "Characterization of Liquid Sprays in the Pre-Vaporization Tube of a Small-Scaled Annular Combustor" (2026) [DOI: https://doi.org/10.2514/6.2026-0978]</t>
        </is>
      </c>
      <c r="AB19" s="2" t="inlineStr">
        <is>
          <t>"Secondary atomization" [Experiments in Fluids] (2009, 621 cites) [DOI: https://doi.org/10.1007/s00348-008-0593-2] | "Study of aluminum particle combustion in solid propellant plumes using digital in-line holography and imaging pyrometry" [Combustion and Flame] (2017, 244 cites) [DOI: https://doi.org/10.1016/j.combustflame.2017.04.016] | "Experimental statistics of droplet trajectory and air flow during aerodynamic fragmentation of liquid drops" [International Journal of Multiphase Flow] (2012, 141 cites) [DOI: https://doi.org/10.1016/j.ijmultiphaseflow.2012.06.008]</t>
        </is>
      </c>
      <c r="AC19" s="2" t="inlineStr"/>
      <c r="AD19" s="2" t="inlineStr">
        <is>
          <t>Outstanding Mechanical Engineers Distinguished Engineering Alumni Honorary Doctorates Staff Awards Student Awards Distinguished...</t>
        </is>
      </c>
      <c r="AE19" s="2" t="inlineStr">
        <is>
          <t>Phone: +1 (765) 494-3975 Email: future-engineers@purdue.edu | Phone: +1 (765) 494-4873 Email: EngrGrad@purdue.edu</t>
        </is>
      </c>
      <c r="AF19" s="2" t="inlineStr">
        <is>
          <t>Fluid Dynamics and Heat Transfer (42) | Digital Holography and Microscopy (40) | Energetic Materials and Combustion (38)</t>
        </is>
      </c>
      <c r="AG19" s="2" t="inlineStr">
        <is>
          <t>Fluid Dynamics and Heat Transfer (42) | Digital Holography and Microscopy (40) | Energetic Materials and Combustion (38)</t>
        </is>
      </c>
      <c r="AH19" s="2" t="inlineStr">
        <is>
          <t>Multiphase flows Laser and high-speed imaging diagnostics Energetic materials (e.g., explosives &amp; propellants) hydrodynamics, combustion, and model validation Sprays and atomization High-speed fluid mechanics</t>
        </is>
      </c>
      <c r="AI19" s="2" t="inlineStr">
        <is>
          <t>Thermodynamics Fluid Mechanics</t>
        </is>
      </c>
      <c r="AJ19" s="2" t="inlineStr">
        <is>
          <t>Thermodynamics Fluid Mechanics</t>
        </is>
      </c>
      <c r="AK19" s="2" t="inlineStr">
        <is>
          <t>B.S. in Mechanical Engineering, Purdue University, 2006 Ph.D. in Mechanical Engineering, Purdue University, 2009</t>
        </is>
      </c>
      <c r="AL19" s="2" t="inlineStr">
        <is>
          <t>Guildenbecher Research Group</t>
        </is>
      </c>
      <c r="AM19" s="3">
        <f>HYPERLINK("https://engineering.purdue.edu/GuildenbecherLab", "https://engineering.purdue.edu/GuildenbecherLab")</f>
        <v/>
      </c>
      <c r="AN19"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9" s="2" t="inlineStr"/>
      <c r="AP19" s="2" t="inlineStr"/>
      <c r="AQ19" s="2" t="inlineStr">
        <is>
          <t>DOE</t>
        </is>
      </c>
      <c r="AR19" s="2" t="inlineStr"/>
      <c r="AS19" s="2" t="inlineStr"/>
      <c r="AT19" s="2" t="inlineStr"/>
      <c r="AU19" s="2" t="b">
        <v>1</v>
      </c>
      <c r="AV19" s="3">
        <f>HYPERLINK("https://engineering.purdue.edu/ME/People/ptFaculty", "https://engineering.purdue.edu/ME/People/ptFaculty")</f>
        <v/>
      </c>
    </row>
    <row r="20">
      <c r="A20" s="2" t="inlineStr">
        <is>
          <t>John Mullin</t>
        </is>
      </c>
      <c r="B20" s="2" t="inlineStr">
        <is>
          <t>Purdue University</t>
        </is>
      </c>
      <c r="C20" s="3">
        <f>HYPERLINK("https://engineering.purdue.edu/AAE/people/ptProfile?resource_id=339087", "https://engineering.purdue.edu/AAE/people/ptProfile?resource_id=339087")</f>
        <v/>
      </c>
      <c r="D20" s="3">
        <f>HYPERLINK("https://scholar.google.com/citations?view_op=search_authors&amp;mauthors=John%20Mullin%20Purdue%20University", "Google Scholar Search")</f>
        <v/>
      </c>
      <c r="E20" s="2" t="inlineStr">
        <is>
          <t>Associate Professor Of Engineering Practice</t>
        </is>
      </c>
      <c r="F20" s="2" t="inlineStr">
        <is>
          <t>Aeronautics and Astronautics</t>
        </is>
      </c>
      <c r="G20" s="2" t="inlineStr"/>
      <c r="H20" s="3">
        <f>HYPERLINK("mailto:webmaster-eng@purdue.edu", "webmaster-eng@purdue.edu")</f>
        <v/>
      </c>
      <c r="I20" s="2" t="n">
        <v>1</v>
      </c>
      <c r="J20" s="2" t="inlineStr">
        <is>
          <t>🔵 Tier 1: Core Aero / Fluids / Propulsion</t>
        </is>
      </c>
      <c r="K20" s="2" t="n">
        <v>6</v>
      </c>
      <c r="L20" s="2" t="inlineStr">
        <is>
          <t>aerodynamics, aerospace, fluid dynamics, reacting flow, satellite, turbulence</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is>
          <t>"Interpretation of crystallization induction periods" [Journal of Colloid and Interface Science] (1988, 390 cites) [DOI: https://doi.org/10.1016/0021-9797(88)90219-6] | "Precipitation of calcium carbonate" [Journal of Crystal Growth] (1982, 328 cites) [DOI: https://doi.org/10.1016/0022-0248(82)90095-1] | "Recrystallization" [Elsevier eBooks] (2001, 317 cites) [DOI: https://doi.org/10.1016/b978-075064833-2/50009-7]</t>
        </is>
      </c>
      <c r="AC20" s="2" t="inlineStr"/>
      <c r="AD20" s="2" t="inlineStr">
        <is>
          <t>NGAS Executive Leadership Program, 2025 NGC Global Capture Program, 2024 USC Leadership Certificate, 2010 NGAS President Award ...</t>
        </is>
      </c>
      <c r="AE20" s="2" t="inlineStr"/>
      <c r="AF20" s="2" t="inlineStr">
        <is>
          <t>Crystallization and Solubility Studies (76) | Chemical and Physical Properties in Aqueous Solutions (23) | nanoparticles nucleation surface interactions (22)</t>
        </is>
      </c>
      <c r="AG20" s="2" t="inlineStr">
        <is>
          <t>Crystallization and Solubility Studies (76) | Chemical and Physical Properties in Aqueous Solutions (23) | nanoparticles nucleation surface interactions (22)</t>
        </is>
      </c>
      <c r="AH20" s="2" t="inlineStr">
        <is>
          <t>Aerospace Systems and Design; Aerodynamics Worked on the Airborne Laser Program, JWST MIRI Cyrocooler, Next Gen Polar Missile Warning Satellite, Strike Aircraft, VTOL Aircraft and Collaborative Combat Aircraft</t>
        </is>
      </c>
      <c r="AI20" s="2" t="inlineStr">
        <is>
          <t>Fluid dynamics, turbulence, reacting and non-reacting flows Aerospace and Defense Industry and Education Curriculum</t>
        </is>
      </c>
      <c r="AJ20" s="2" t="inlineStr">
        <is>
          <t>Fluid dynamics, turbulence, reacting and non-reacting flows Aerospace and Defense Industry and Education Curriculum</t>
        </is>
      </c>
      <c r="AK20" s="2" t="inlineStr">
        <is>
          <t>MS &amp; PhD, Aerospace Engineering, University Michigan, 2004 BS, Aerospace Engineering, University of Southern California, 1995</t>
        </is>
      </c>
      <c r="AL20" s="2" t="inlineStr">
        <is>
          <t>Indiana Space Grant Consortium</t>
        </is>
      </c>
      <c r="AM20" s="3">
        <f>HYPERLINK("https://insgc.spacegrant.org/", "https://insgc.spacegrant.org/")</f>
        <v/>
      </c>
      <c r="AN20" s="2" t="inlineStr">
        <is>
          <t>Academic INSGC Internships</t>
        </is>
      </c>
      <c r="AO20" s="2" t="inlineStr"/>
      <c r="AP20" s="2" t="inlineStr"/>
      <c r="AQ20" s="2" t="inlineStr">
        <is>
          <t>NASA</t>
        </is>
      </c>
      <c r="AR20" s="2" t="inlineStr"/>
      <c r="AS20" s="2" t="inlineStr"/>
      <c r="AT20" s="2" t="inlineStr">
        <is>
          <t>ARMS 3211</t>
        </is>
      </c>
      <c r="AU20" s="2" t="b">
        <v>1</v>
      </c>
      <c r="AV20" s="3">
        <f>HYPERLINK("https://engineering.purdue.edu/AAE/people/Faculty", "https://engineering.purdue.edu/AAE/people/Faculty")</f>
        <v/>
      </c>
    </row>
    <row r="21">
      <c r="A21" s="2" t="inlineStr">
        <is>
          <t>Luciano Castillo</t>
        </is>
      </c>
      <c r="B21" s="2" t="inlineStr">
        <is>
          <t>Purdue University</t>
        </is>
      </c>
      <c r="C21" s="3">
        <f>HYPERLINK("https://engineering.purdue.edu/ME/People/ptProfile?resource_id=173054", "https://engineering.purdue.edu/ME/People/ptProfile?resource_id=173054")</f>
        <v/>
      </c>
      <c r="D21" s="3">
        <f>HYPERLINK("https://scholar.google.com/citations?view_op=search_authors&amp;mauthors=Luciano%20Castillo%20Purdue%20University", "Google Scholar Search")</f>
        <v/>
      </c>
      <c r="E21" s="2" t="inlineStr">
        <is>
          <t>Kenninger Professor of Renewable Energy and Power Systems</t>
        </is>
      </c>
      <c r="F21" s="2" t="inlineStr">
        <is>
          <t>Mechanical Engineering</t>
        </is>
      </c>
      <c r="G21" s="2" t="inlineStr"/>
      <c r="H21" s="3">
        <f>HYPERLINK("mailto:lcastillo@purdue.edu", "lcastillo@purdue.edu")</f>
        <v/>
      </c>
      <c r="I21" s="2" t="n">
        <v>1</v>
      </c>
      <c r="J21" s="2" t="inlineStr">
        <is>
          <t>🔵 Tier 1: Core Aero / Fluids / Propulsion</t>
        </is>
      </c>
      <c r="K21" s="2" t="n">
        <v>6</v>
      </c>
      <c r="L21" s="2" t="inlineStr">
        <is>
          <t>boundary layer, fluid mechanics, thermal, thermodynamics, turbulence, turbulent</t>
        </is>
      </c>
      <c r="M21" s="2" t="inlineStr">
        <is>
          <t>Turbulent boundary layers under pressure gradients and surface roughness, wind turbine wake aerodynamics, wind farm power optimization, and direct air CO2 capture.</t>
        </is>
      </c>
      <c r="N21" s="2" t="inlineStr">
        <is>
          <t>Wind Tunnel PIV, Hot-Wire Anemometry, Atmospheric Boundary Layer Solvers, Wind Farm LES, Multi-Objective Optimization Algorithms</t>
        </is>
      </c>
      <c r="O21" s="2" t="inlineStr">
        <is>
          <t>Simultaneous electricity generation and low-energy-intensive water desalination using a hydraulic wind turbine</t>
        </is>
      </c>
      <c r="P21" s="3">
        <f>HYPERLINK("https://doi.org/10.1016/j.desal.2025.118526", "https://doi.org/10.1016/j.desal.2025.118526")</f>
        <v/>
      </c>
      <c r="Q21" s="2" t="inlineStr">
        <is>
          <t>coupling wind turbine rotor aerodynamics directly with a hydraulic pumping system, demonstrating that direct mechanical fluid pressurization eliminates electrical conversion losses and improves overall desalination efficiency by 14%.</t>
        </is>
      </c>
      <c r="R21" s="2" t="inlineStr">
        <is>
          <t>This study presents a novel hydraulic wind turbine system capable of simultaneous renewable electricity generation and seawater reverse-osmosis desalination without electric transmission losses. High-pressure hydraulic pumps directly driven by the turbine rotor pressurize seawater above osmotic pressure thresholds. Aerodynamic turbine blade modeling coupled with hydraulic circuit analysis proves that mechanical energy conversion efficiency exceeds conventional wind-to-electric-to-hydraulic systems by 14%, reducing specific energy consumption for fresh water production.</t>
        </is>
      </c>
      <c r="S21" s="2" t="inlineStr">
        <is>
          <t>Polluted-Air Direct Capture Using a CO2 Liquid Filter</t>
        </is>
      </c>
      <c r="T21" s="3">
        <f>HYPERLINK("https://doi.org/10.1007/978-3-032-07974-9_3", "https://doi.org/10.1007/978-3-032-07974-9_3")</f>
        <v/>
      </c>
      <c r="U21" s="2" t="inlineStr">
        <is>
          <t>designing turbulent liquid-film contactors for direct air CO2 capture, demonstrating that induced boundary-layer vortex structures enhance gas-liquid mass transfer rates by 28% at constant pressure loss.</t>
        </is>
      </c>
      <c r="V21" s="2" t="inlineStr">
        <is>
          <t>Direct air capture of carbon dioxide requires energy-efficient contactor designs that maximize gas-liquid mass transfer while minimizing fan power consumption. A liquid-film contactor geometry was designed and evaluated using multiphase flow simulations and experimental test sections. By inducing controlled turbulent vortex structures in the air stream, interfacial mass transfer was enhanced by 28% without increasing pressure drop across the capture filter.</t>
        </is>
      </c>
      <c r="W21" s="2" t="inlineStr">
        <is>
          <t>1. Simultaneous electricity generation and low-energy-intensive water desalination using a hydraulic wind turbine (Desalination, 2025) [DOI: https://doi.org/10.1016/j.desal.2025.118526] | 2. Polluted-Air Direct Capture Using a CO2 Liquid Filter (Springer / Sustainable Energy, 2026) [DOI: https://doi.org/10.1007/978-3-032-07974-9_3]</t>
        </is>
      </c>
      <c r="X21" s="3">
        <f>HYPERLINK("https://doi.org/10.1016/j.desal.2025.118526", "https://doi.org/10.1016/j.desal.2025.118526 | https://doi.org/10.1007/978-3-032-07974-9_3")</f>
        <v/>
      </c>
      <c r="Y21" s="2" t="inlineStr">
        <is>
          <t>coupling wind turbine rotor aerodynamics directly with a hydraulic pumping system, demonstrating that direct mechanical fluid pressurization eliminates electrical conversion losses and improves overall desalination efficiency by 14%.</t>
        </is>
      </c>
      <c r="Z21" s="2" t="inlineStr"/>
      <c r="AA21" s="2" t="inlineStr">
        <is>
          <t>"Polluted-Air Direct Capture Using a $$\textrm{CO}_2$$ Liquid Filter" (2026) [DOI: https://doi.org/10.1007/978-3-032-07974-9_3] | "Quantification Methodology of Offshore and Onshore Sargassum in Eastern Puerto Rico" (2026) [DOI: https://doi.org/10.1007/978-3-032-07974-9_31] | "Building Future Engineers: Students’ Engagement with the Engineering Design Process" (2026) [DOI: https://doi.org/10.1007/978-3-032-07974-9_39] | "Framework for Estimation of $$\textrm{CO}_2$$ Sequestration from Sargassum Using Remote Sensing and Neural Networks" (2026) [DOI: https://doi.org/10.1007/978-3-032-07974-9_28] | "Simultaneous electricity generation and low-energy-intensive water desalination using a hydraulic wind turbine" [Desalination] (2025) [DOI: https://doi.org/10.1016/j.desal.2025.118526]</t>
        </is>
      </c>
      <c r="AB21" s="2" t="inlineStr">
        <is>
          <t>"Zero-Pressure-Gradient Turbulent Boundary Layer" [Applied Mechanics Reviews] (1997, 390 cites) [DOI: https://doi.org/10.1115/1.3101858] | "Experimental study of the horizontally averaged flow structure in a model wind-turbine array boundary layer" [Journal of Renewable and Sustainable Energy] (2010, 356 cites) [DOI: https://doi.org/10.1063/1.3289735] | "Unrestricted wind farm layout optimization (UWFLO): Investigating key factors influencing the maximum power generation" [Renewable Energy] (2011, 339 cites) [DOI: https://doi.org/10.1016/j.renene.2011.06.033]</t>
        </is>
      </c>
      <c r="AC21" s="2" t="inlineStr"/>
      <c r="AD21" s="2" t="inlineStr">
        <is>
          <t>Outstanding Mechanical Engineers Distinguished Engineering Alumni Honorary Doctorates Staff Awards Student Awards Distinguished...</t>
        </is>
      </c>
      <c r="AE21" s="2" t="inlineStr"/>
      <c r="AF21" s="2" t="inlineStr">
        <is>
          <t>Fluid Dynamics and Turbulent Flows (199) | Wind and Air Flow Studies (116) | Heat Transfer Mechanisms (72)</t>
        </is>
      </c>
      <c r="AG21" s="2" t="inlineStr">
        <is>
          <t>Fluid Dynamics and Turbulent Flows (199) | Wind and Air Flow Studies (116) | Heat Transfer Mechanisms (72)</t>
        </is>
      </c>
      <c r="AH21" s="2" t="inlineStr">
        <is>
          <t>Modeling, Experiments and Simulations of turbulent boundary layers: role of initial conditions and bio-inspired micro-surfaces on evolution of velocity/thermal fields. Importance of turbulence and complex topography on wind energy. Integration of renewable with water and thermal storage. Translational research focus on renewable energy &amp; society Wall interaction (e.g., bio-inspired micro surfaces) in respiratory flows Big data in turbulence, renewable energy and biomedical engineering. Energy and social equality</t>
        </is>
      </c>
      <c r="AI21" s="2" t="inlineStr">
        <is>
          <t>Thermodynamics Fluid Mechanics Heat &amp; Mass Transfer</t>
        </is>
      </c>
      <c r="AJ21" s="2" t="inlineStr">
        <is>
          <t>Thermodynamics Fluid Mechanics Heat &amp; Mass Transfer</t>
        </is>
      </c>
      <c r="AK21" s="2" t="inlineStr"/>
      <c r="AL21" s="2" t="inlineStr">
        <is>
          <t>Blue Integrated Partnerships</t>
        </is>
      </c>
      <c r="AM21" s="3">
        <f>HYPERLINK("https://blueintegratedpartners.org/", "https://blueintegratedpartners.org/")</f>
        <v/>
      </c>
      <c r="AN21" s="2" t="inlineStr"/>
      <c r="AO21" s="2" t="inlineStr"/>
      <c r="AP21" s="2" t="inlineStr">
        <is>
          <t>Cluster</t>
        </is>
      </c>
      <c r="AQ21" s="2" t="inlineStr"/>
      <c r="AR21" s="2" t="inlineStr"/>
      <c r="AS21" s="2" t="inlineStr"/>
      <c r="AT21" s="2" t="inlineStr"/>
      <c r="AU21" s="2" t="b">
        <v>1</v>
      </c>
      <c r="AV21" s="3">
        <f>HYPERLINK("https://engineering.purdue.edu/ME/People/ptFaculty", "https://engineering.purdue.edu/ME/People/ptFaculty")</f>
        <v/>
      </c>
    </row>
    <row r="22">
      <c r="A22" s="2" t="inlineStr">
        <is>
          <t>Robert Lucht</t>
        </is>
      </c>
      <c r="B22" s="2" t="inlineStr">
        <is>
          <t>Purdue University</t>
        </is>
      </c>
      <c r="C22" s="3">
        <f>HYPERLINK("https://engineering.purdue.edu/AAE/people/ptProfile?resource_id=28413", "https://engineering.purdue.edu/AAE/people/ptProfile?resource_id=28413")</f>
        <v/>
      </c>
      <c r="D22" s="3">
        <f>HYPERLINK("https://scholar.google.com/citations?view_op=search_authors&amp;mauthors=Robert%20Lucht%20Purdue%20University", "Google Scholar Search")</f>
        <v/>
      </c>
      <c r="E22" s="2" t="inlineStr">
        <is>
          <t>Ralph and Bettye Bailey Distinguished Professor of Mechanical Engineering</t>
        </is>
      </c>
      <c r="F22" s="2" t="inlineStr">
        <is>
          <t>Aeronautics and Astronautics</t>
        </is>
      </c>
      <c r="G22" s="2" t="inlineStr"/>
      <c r="H22" s="3">
        <f>HYPERLINK("mailto:lucht@purdue.edu", "lucht@purdue.edu")</f>
        <v/>
      </c>
      <c r="I22" s="2" t="n">
        <v>1</v>
      </c>
      <c r="J22" s="2" t="inlineStr">
        <is>
          <t>🔵 Tier 1: Core Aero / Fluids / Propulsion</t>
        </is>
      </c>
      <c r="K22" s="2" t="n">
        <v>6</v>
      </c>
      <c r="L22" s="2" t="inlineStr">
        <is>
          <t>combustion, fluid mechanics, heat transfer, materials, propulsion, thermodynamics</t>
        </is>
      </c>
      <c r="M22" s="2" t="inlineStr">
        <is>
          <t>Ultrafast laser spectroscopy (fs/ps coherent anti-Stokes Raman scattering - CARS), diode-laser absorption sensors, and optical diagnostics of high-pressure combustion and hypersonics.</t>
        </is>
      </c>
      <c r="N22" s="2" t="inlineStr">
        <is>
          <t>Femtosecond/Picosecond CARS, Chirped-Probe Pulse (CPP) CARS, Dual-Pump CARS (DPCARS), High-Pressure Combustor Test Rigs, High-Speed Spectrometers</t>
        </is>
      </c>
      <c r="O22" s="2" t="inlineStr">
        <is>
          <t>One-dimensional time-resolved single-shot femtosecond coherent anti-Stokes Raman scattering thermometry in reacting thermal gradients</t>
        </is>
      </c>
      <c r="P22" s="3">
        <f>HYPERLINK("https://doi.org/10.1364/ao.583207", "https://doi.org/10.1364/ao.583207")</f>
        <v/>
      </c>
      <c r="Q22" s="2" t="inlineStr">
        <is>
          <t>developing 1D single-shot chirped-probe pulse coherent anti-Stokes Raman scattering (CARS) thermometry, resolving steep spatiotemporal thermal gradients across reacting turbulent flame fronts with sub-millimeter spatial resolution.</t>
        </is>
      </c>
      <c r="R22" s="2" t="inlineStr">
        <is>
          <t>Time-resolved thermometry is vital for quantitative characterization of reacting turbulent flows but remains largely limited to point measurements, making higher-dimensional approaches attractive for capturing spatiotemporal thermal gradients. In this work, a one-dimensional chirped-probe pulse coherent anti-Stokes Raman scattering (CPP-CARS) technique is developed to perform single-shot temperature measurements along a line in reacting flow environments. Using a high-energy femtosecond laser system and cylindrical focusing optics, spatial temperature profiles across flame fronts were resolved with sub-millimeter spatial resolution and kHz repetition rates.</t>
        </is>
      </c>
      <c r="S22" s="2" t="inlineStr">
        <is>
          <t>Coherent Stokes Raman Scattering for Simultaneous Measurement of CO 2 and CH 4 Temperatures</t>
        </is>
      </c>
      <c r="T22" s="3">
        <f>HYPERLINK("https://doi.org/10.1002/jrs.70176", "https://doi.org/10.1002/jrs.70176")</f>
        <v/>
      </c>
      <c r="U22" s="2" t="inlineStr">
        <is>
          <t>implementing hybrid fs/ps coherent Stokes Raman scattering across methane/air diffusion flames, achieving simultaneous and decoupled temperature measurements of CO2 and CH4 from a single laser shot.</t>
        </is>
      </c>
      <c r="V22" s="2" t="inlineStr">
        <is>
          <t>Experimental measurements of fuel and flame temperatures in a methane/air co-flow diffusion flame are performed using coherent Stokes Raman scattering. A three-beam hybrid fs/ps configuration is employed such that the excitation bandwidth of the ultrafast pulses includes the rovibrational transitions of both CO2 and CH4 molecules. By fitting experimental spectral signatures with numerical molecular Raman models, simultaneous and independent temperature determinations from both species are demonstrated across strong non-premixed reacting gradients.</t>
        </is>
      </c>
      <c r="W22" s="2" t="inlineStr">
        <is>
          <t>1. One-dimensional time-resolved single-shot femtosecond coherent anti-Stokes Raman scattering thermometry in reacting thermal gradients (Applied Optics, 2026) [DOI: https://doi.org/10.1364/ao.583207] | 2. Coherent Stokes Raman Scattering for Simultaneous Measurement of CO 2 and CH 4 Temperatures (Journal of Raman Spectroscopy, 2026) [DOI: https://doi.org/10.1002/jrs.70176]</t>
        </is>
      </c>
      <c r="X22" s="3">
        <f>HYPERLINK("https://doi.org/10.1364/ao.583207", "https://doi.org/10.1364/ao.583207 | https://doi.org/10.1002/jrs.70176")</f>
        <v/>
      </c>
      <c r="Y22" s="2" t="inlineStr">
        <is>
          <t>developing 1D single-shot chirped-probe pulse coherent anti-Stokes Raman scattering (CARS) thermometry, resolving steep spatiotemporal thermal gradients across reacting turbulent flame fronts with sub-millimeter spatial resolution.</t>
        </is>
      </c>
      <c r="Z22" s="2" t="inlineStr"/>
      <c r="AA22" s="2" t="inlineStr">
        <is>
          <t>"Coherent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"Methodology for Unsteady Exhaust Emissions Characterization in High-Pressure Hydrogen–Ammonia–Methane Flames" (2026) [DOI: https://doi.org/10.2514/6.2026-1621] | "CUBRC 48” Tunnel Hypersonic Ground Testing of NOSpec" (2026) [DOI: https://doi.org/10.2514/6.2026-0872] | "Investigation of NH 3 -H 2 Counterflow Diffusion Flames Using Dual-Pump Coherent Anti-Stokes Raman Scattering (DPCARS)" (2026) [DOI: https://doi.org/10.2514/6.2026-2092]</t>
        </is>
      </c>
      <c r="AB22" s="2" t="inlineStr">
        <is>
          <t>"Nitrogen and hydrogen CARS temperature measurements in a hydrogen/air flame using a near-adiabatic flat-flame burner" [Combustion and Flame] (1997, 191 cites) [DOI: https://doi.org/10.1016/s0010-2180(96)00191-5] | "Mixing of a Sonic Transverse Jet Injected into a Supersonic Flow" [AIAA Journal] (2000, 179 cites) [DOI: https://doi.org/10.2514/2.984] | "Label-Free Bond-Selective Imaging by Listening to Vibrationally Excited Molecules" [Physical Review Letters] (2011, 167 cites) [DOI: https://doi.org/10.1103/physrevlett.106.238106]</t>
        </is>
      </c>
      <c r="AC22" s="2" t="inlineStr"/>
      <c r="AD22" s="2" t="inlineStr"/>
      <c r="AE22" s="2" t="inlineStr"/>
      <c r="AF22" s="2" t="inlineStr">
        <is>
          <t>Combustion and flame dynamics (241) | Spectroscopy and Laser Applications (186) | Advanced Combustion Engine Technologies (114)</t>
        </is>
      </c>
      <c r="AG22" s="2" t="inlineStr">
        <is>
          <t>Combustion and flame dynamics (241) | Spectroscopy and Laser Applications (186) | Advanced Combustion Engine Technologies (114)</t>
        </is>
      </c>
      <c r="AH22" s="2" t="inlineStr">
        <is>
          <t>Laser diagnostics Diode-laser-based sensors Gas turbine and internal engine combustion Materials processing and synthesis Combustion science Fluid mechanics and heat transfer</t>
        </is>
      </c>
      <c r="AI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J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K22" s="2" t="inlineStr">
        <is>
          <t>Ph.D., Purdue, 1981 M.S., Purdue, 1979 B.S., Purdue, 1977</t>
        </is>
      </c>
      <c r="AL22" s="2" t="inlineStr">
        <is>
          <t>Indiana Space Grant Consortium</t>
        </is>
      </c>
      <c r="AM22" s="3">
        <f>HYPERLINK("https://insgc.spacegrant.org/", "https://insgc.spacegrant.org/")</f>
        <v/>
      </c>
      <c r="AN22" s="2" t="inlineStr">
        <is>
          <t>Academic INSGC Internships</t>
        </is>
      </c>
      <c r="AO22" s="2" t="inlineStr"/>
      <c r="AP22" s="2" t="inlineStr"/>
      <c r="AQ22" s="2" t="inlineStr">
        <is>
          <t>NASA</t>
        </is>
      </c>
      <c r="AR22" s="2" t="inlineStr"/>
      <c r="AS22" s="2" t="inlineStr"/>
      <c r="AT22" s="2" t="inlineStr"/>
      <c r="AU22" s="2" t="b">
        <v>1</v>
      </c>
      <c r="AV22" s="3">
        <f>HYPERLINK("https://engineering.purdue.edu/AAE/people/Faculty", "https://engineering.purdue.edu/AAE/people/Faculty")</f>
        <v/>
      </c>
    </row>
    <row r="23">
      <c r="A23" s="2" t="inlineStr">
        <is>
          <t>Sadegh Dabiri</t>
        </is>
      </c>
      <c r="B23" s="2" t="inlineStr">
        <is>
          <t>Purdue University</t>
        </is>
      </c>
      <c r="C23" s="3">
        <f>HYPERLINK("https://engineering.purdue.edu/ME/People/ptProfile?resource_id=105717", "https://engineering.purdue.edu/ME/People/ptProfile?resource_id=105717")</f>
        <v/>
      </c>
      <c r="D23" s="3">
        <f>HYPERLINK("https://scholar.google.com/citations?view_op=search_authors&amp;mauthors=Sadegh%20Dabiri%20Purdue%20University", "Google Scholar Search")</f>
        <v/>
      </c>
      <c r="E23" s="2" t="inlineStr">
        <is>
          <t>Associate Professor of Agricultural and Biological Engineering, and Mechanical Engineering</t>
        </is>
      </c>
      <c r="F23" s="2" t="inlineStr">
        <is>
          <t>Mechanical Engineering</t>
        </is>
      </c>
      <c r="G23" s="2" t="inlineStr"/>
      <c r="H23" s="3">
        <f>HYPERLINK("mailto:dabiri@purdue.edu", "dabiri@purdue.edu")</f>
        <v/>
      </c>
      <c r="I23" s="2" t="n">
        <v>1</v>
      </c>
      <c r="J23" s="2" t="inlineStr">
        <is>
          <t>🔵 Tier 1: Core Aero / Fluids / Propulsion</t>
        </is>
      </c>
      <c r="K23" s="2" t="n">
        <v>6</v>
      </c>
      <c r="L23" s="2" t="inlineStr">
        <is>
          <t>aerospace, cfd, fluid mechanics, heat transfer, multiphase flow, turbulent</t>
        </is>
      </c>
      <c r="M23" s="2" t="inlineStr">
        <is>
          <t>Multiphase flow simulation, bubble and droplet dynamics, cavitation inception, interface-tracking algorithms, and discrete least squares meshfree methods.</t>
        </is>
      </c>
      <c r="N23" s="2" t="inlineStr">
        <is>
          <t>Front-Tracking Methods, Volume-of-Fluid (VOF), Discrete Least Squares Meshfree (DLSM) Methods, High-Speed Cavitation Imaging, Multiphase DNS</t>
        </is>
      </c>
      <c r="O23" s="2" t="inlineStr">
        <is>
          <t>Perivascular interactions and tissue properties modulate directional glymphatic transport in the brain</t>
        </is>
      </c>
      <c r="P23" s="3">
        <f>HYPERLINK("https://doi.org/10.1186/s12987-025-00668-3", "https://doi.org/10.1186/s12987-025-00668-3")</f>
        <v/>
      </c>
      <c r="Q23" s="2" t="inlineStr">
        <is>
          <t>modeling pulsatile perivascular flow coupled with porous tissue mechanics, demonstrating that arterial wall compliance and channel hydraulic resistance disparities dictate net directional fluid convection through brain tissue.</t>
        </is>
      </c>
      <c r="R23" s="2" t="inlineStr">
        <is>
          <t>The glymphatic system facilitates metabolic waste clearance in the brain through convective fluid transport in perivascular spaces. Using high-resolution computational fluid dynamics coupled with porous brain parenchyma mechanics, we model the convective flow driven by arterial wall pulsations. Simulations demonstrate that directional fluid transport is governed by the hydraulic resistance disparity between periarterial and perivenous channels, proving that vascular compliance modulates net convective clearance rates.</t>
        </is>
      </c>
      <c r="S23" s="2" t="inlineStr">
        <is>
          <t>A model for a laser-induced cavitation bubble</t>
        </is>
      </c>
      <c r="T23" s="3">
        <f>HYPERLINK("https://doi.org/10.1016/j.ijmultiphaseflow.2020.103433", "https://doi.org/10.1016/j.ijmultiphaseflow.2020.103433")</f>
        <v/>
      </c>
      <c r="U23" s="2" t="inlineStr">
        <is>
          <t>simulating laser-induced cavitation bubble collapse near boundaries with compressible interface tracking, resolving shock wave emission and high-speed liquid microjets exceeding 100 m/s that drive surface erosion.</t>
        </is>
      </c>
      <c r="V23" s="2" t="inlineStr">
        <is>
          <t>A computational model is developed to investigate the dynamic expansion, collapse, and liquid-jet rebound of laser-induced cavitation bubbles near solid and compliant boundaries. A compressible multiphase solver tracking the gas-liquid interface captures acoustic shock emission upon bubble collapse. Results quantify the peak impact pressures and high-speed liquid microjets (exceeding 100 m/s) impinging on the boundary, establishing damage criteria for hydraulic and biomedical equipment.</t>
        </is>
      </c>
      <c r="W23" s="2" t="inlineStr">
        <is>
          <t>1. Perivascular interactions and tissue properties modulate directional glymphatic transport in the brain (Fluids and Barriers of the CNS, 2025) [DOI: https://doi.org/10.1186/s12987-025-00668-3] | 2. A model for a laser-induced cavitation bubble (International Journal of Multiphase Flow, 2020) [DOI: https://doi.org/10.1016/j.ijmultiphaseflow.2020.103433]</t>
        </is>
      </c>
      <c r="X23" s="3">
        <f>HYPERLINK("https://doi.org/10.1186/s12987-025-00668-3", "https://doi.org/10.1186/s12987-025-00668-3 | https://doi.org/10.1016/j.ijmultiphaseflow.2020.103433")</f>
        <v/>
      </c>
      <c r="Y23" s="2" t="inlineStr">
        <is>
          <t>modeling pulsatile perivascular flow coupled with porous tissue mechanics, demonstrating that arterial wall compliance and channel hydraulic resistance disparities dictate net directional fluid convection through brain tissue.</t>
        </is>
      </c>
      <c r="Z23" s="2" t="inlineStr"/>
      <c r="AA23" s="2" t="inlineStr">
        <is>
          <t>"Raman microscopy and FTIR spectroscopy of protein-attached chromatography resins for process analytical technology (PAT)" [ChemRxiv] (2026) [DOI: https://doi.org/10.26434/chemrxiv.15001003/v1] | "Perivascular interactions and tissue properties modulate directional glymphatic transport in the brain" [Fluids and Barriers of the CNS] (2025) [DOI: https://doi.org/10.1186/s12987-025-00668-3] | "An arbitrary Lagrangian discrete least squares meshfree method for discontinuity capturing with application in the Saint–Venant equations" [Engineering With Computers] (2025) [DOI: https://doi.org/10.1007/s00366-025-02140-0] | "An arbitrary Lagrangian discrete least squares meshfree method for discontinuity capturing with application in the Saint–Venant equations" [Utrecht University Repository (Utrecht University)] (2025) [DOI: https://dspace.library.uu.nl/handle/1874/476503] | "Autoinjector optimization through cavitation response and severity minimization" [International Journal of Pharmaceutics] (2024) [DOI: https://doi.org/10.1016/j.ijpharm.2024.124888]</t>
        </is>
      </c>
      <c r="AB23" s="2" t="inlineStr">
        <is>
          <t>"Fully resolved numerical simulations of fused deposition modeling. Part I: fluid flow" [Rapid Prototyping Journal] (2018, 138 cites) [DOI: https://doi.org/10.1108/rpj-12-2016-0217] | "A model for a laser-induced cavitation bubble" [International Journal of Multiphase Flow] (2020, 96 cites) [DOI: https://doi.org/10.1016/j.ijmultiphaseflow.2020.103433] | "Cavitation in an orifice flow" [Physics of Fluids] (2007, 75 cites) [DOI: https://doi.org/10.1063/1.2750655]</t>
        </is>
      </c>
      <c r="AC23" s="2" t="inlineStr"/>
      <c r="AD23" s="2" t="inlineStr">
        <is>
          <t>Outstanding Mechanical Engineers Distinguished Engineering Alumni Honorary Doctorates Staff Awards Student Awards Distinguished...</t>
        </is>
      </c>
      <c r="AE23" s="2" t="inlineStr"/>
      <c r="AF23" s="2" t="inlineStr">
        <is>
          <t>Fluid Dynamics and Mixing (31) | Fluid Dynamics and Heat Transfer (29) | Particle Dynamics in Fluid Flows (11)</t>
        </is>
      </c>
      <c r="AG23" s="2" t="inlineStr">
        <is>
          <t>Fluid Dynamics and Mixing (31) | Fluid Dynamics and Heat Transfer (29) | Particle Dynamics in Fluid Flows (11)</t>
        </is>
      </c>
      <c r="AH23" s="2" t="inlineStr">
        <is>
          <t>CFD of multiphase flows Turbulent gas-liquid flows Cavitation Heat transfer</t>
        </is>
      </c>
      <c r="AI23" s="2" t="inlineStr">
        <is>
          <t>Fluid Mechanics Heat &amp; Mass Transfer</t>
        </is>
      </c>
      <c r="AJ23" s="2" t="inlineStr">
        <is>
          <t>Fluid Mechanics Heat &amp; Mass Transfer</t>
        </is>
      </c>
      <c r="AK23" s="2" t="inlineStr">
        <is>
          <t>Postdoctoral Associate, Mechanical Eng., MIT, '09-'10 Ph.D. Aerospace and Mechanical Eng., UC Irvine,  '09 M.Sc. Aerospace and Mechanical Eng., UC Irvine,  '05 B.Sc. Mechanical Eng., Sharif University of Technology, Iran, '03</t>
        </is>
      </c>
      <c r="AL23" s="2" t="inlineStr">
        <is>
          <t>Personal Homepage</t>
        </is>
      </c>
      <c r="AM23" s="3">
        <f>HYPERLINK("http://web.ics.purdue.edu/~sdabiris/", "http://web.ics.purdue.edu/~sdabiris/")</f>
        <v/>
      </c>
      <c r="AN23" s="2" t="inlineStr"/>
      <c r="AO23" s="2" t="inlineStr"/>
      <c r="AP23" s="2" t="inlineStr"/>
      <c r="AQ23" s="2" t="inlineStr"/>
      <c r="AR23" s="2" t="inlineStr"/>
      <c r="AS23" s="2" t="inlineStr"/>
      <c r="AT23" s="2" t="inlineStr"/>
      <c r="AU23" s="2" t="b">
        <v>1</v>
      </c>
      <c r="AV23" s="3">
        <f>HYPERLINK("https://engineering.purdue.edu/ME/People/ptFaculty", "https://engineering.purdue.edu/ME/People/ptFaculty")</f>
        <v/>
      </c>
    </row>
    <row r="24">
      <c r="A24" s="2" t="inlineStr">
        <is>
          <t>Tom Shih</t>
        </is>
      </c>
      <c r="B24" s="2" t="inlineStr">
        <is>
          <t>Purdue University</t>
        </is>
      </c>
      <c r="C24" s="3">
        <f>HYPERLINK("https://engineering.purdue.edu/AAE/people/ptProfile?resource_id=56893", "https://engineering.purdue.edu/AAE/people/ptProfile?resource_id=56893")</f>
        <v/>
      </c>
      <c r="D24" s="3">
        <f>HYPERLINK("https://scholar.google.com/citations?view_op=search_authors&amp;mauthors=Tom%20Shih%20Purdue%20University", "Google Scholar Search")</f>
        <v/>
      </c>
      <c r="E24" s="2" t="inlineStr">
        <is>
          <t>Professor of Aeronautics and Astronautics</t>
        </is>
      </c>
      <c r="F24" s="2" t="inlineStr">
        <is>
          <t>Aeronautics and Astronautics</t>
        </is>
      </c>
      <c r="G24" s="2" t="inlineStr"/>
      <c r="H24" s="3">
        <f>HYPERLINK("mailto:tomshih@purdue.edu", "tomshih@purdue.edu")</f>
        <v/>
      </c>
      <c r="I24" s="2" t="n">
        <v>1</v>
      </c>
      <c r="J24" s="2" t="inlineStr">
        <is>
          <t>🔵 Tier 1: Core Aero / Fluids / Propulsion</t>
        </is>
      </c>
      <c r="K24" s="2" t="n">
        <v>6</v>
      </c>
      <c r="L24" s="2" t="inlineStr">
        <is>
          <t>cfd, computational fluid dynamics, estimation, fluid dynamics, heat transfer, thermal</t>
        </is>
      </c>
      <c r="M24" s="2" t="inlineStr">
        <is>
          <t>Turbine aerothermal cooling, film cooling fluid mechanics, rotating U-duct heat transfer, and outflow boundary conditions for rotating detonation combustors.</t>
        </is>
      </c>
      <c r="N24" s="2" t="inlineStr">
        <is>
          <t>Large-Eddy Simulation (LES / WALE), Steady and Unsteady RANS (SST), Film Cooling Facilities, High-Performance Computing, Transition Duct CFD</t>
        </is>
      </c>
      <c r="O24" s="2" t="inlineStr">
        <is>
          <t>Outflow Boundary Conditions for Turbine-Integrated Rotating Detonation Combustors</t>
        </is>
      </c>
      <c r="P24" s="3">
        <f>HYPERLINK("https://doi.org/10.3390/app152211922", "https://doi.org/10.3390/app152211922")</f>
        <v/>
      </c>
      <c r="Q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R24" s="2" t="inlineStr">
        <is>
          <t>This study examines outflow boundary conditions (BCs) in computational fluid dynamics (CFD) simulations of a transition duct with and without guide vanes that converts supersonic flow exiting a rotating detonation combustor (RDC) to subsonic flow to drive a turbine. Since the flow exiting the transition duct is highly unsteady and non-uniform, standard boundary condition formulations can induce artificial acoustic reflections. Non-reflecting characteristic boundary conditions are evaluated and shown to accurately capture the unsteady shock-expansion trains entering the turbine guide vanes.</t>
        </is>
      </c>
      <c r="S24" s="2" t="inlineStr">
        <is>
          <t>Revisiting Dimensionless Parameters Quantifying Film Cooling</t>
        </is>
      </c>
      <c r="T24" s="3">
        <f>HYPERLINK("https://doi.org/10.1115/1.4067931", "https://doi.org/10.1115/1.4067931")</f>
        <v/>
      </c>
      <c r="U24" s="2" t="inlineStr">
        <is>
          <t>performing dimensional analysis and RANS computations on gas turbine airfoil film cooling, demonstrating that scaling with momentum flux and velocity ratios collapses adiabatic effectiveness data across curved blade walls better than conventional blowing ratio parameterizations.</t>
        </is>
      </c>
      <c r="V24" s="2" t="inlineStr">
        <is>
          <t>The adiabatic effectiveness of film cooling (eta) has traditionally been characterized by density ratio and blowing ratio. In this study, dimensional analysis and computations based on Reynolds-averaged Navier-Stokes (RANS) were performed to identify and examine parameters needed to quantify film cooling effectiveness across diverse mainstream pressure gradients. Results reveal that incorporating momentum flux ratio and coolant-to-mainstream velocity ratio provides a more unified scaling law that collapses adiabatic effectiveness curves across both flat and highly curved turbine airfoil surfaces.</t>
        </is>
      </c>
      <c r="W24" s="2" t="inlineStr">
        <is>
          <t>1. Outflow Boundary Conditions for Turbine-Integrated Rotating Detonation Combustors (Applied Sciences, 2025) [DOI: https://doi.org/10.3390/app152211922] | 2. Revisiting Dimensionless Parameters Quantifying Film Cooling (Journal of Turbomachinery, 2025) [DOI: https://doi.org/10.1115/1.4067931]</t>
        </is>
      </c>
      <c r="X24" s="3">
        <f>HYPERLINK("https://doi.org/10.3390/app152211922", "https://doi.org/10.3390/app152211922 | https://doi.org/10.1115/1.4067931")</f>
        <v/>
      </c>
      <c r="Y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Z24" s="2" t="inlineStr"/>
      <c r="AA24" s="2" t="inlineStr">
        <is>
          <t>"Outflow Boundary Conditions for Turbine-Integrated Rotating Detonation Combustors" [Applied Sciences] (2025) [DOI: https://doi.org/10.3390/app152211922] | "Revisiting Dimensionless Parameters Quantifying Film Cooling" [Journal of Turbomachinery] (2025) [DOI: https://doi.org/10.1115/1.4067931] | "Flow and Heat Transfer in a Ribbed Converging-Diverging U-Duct Under Rotating and Non-Rotating Conditions" [Journal of Turbomachinery] (2024) [DOI: https://doi.org/10.1115/1.4066567] | "Introduction to Advancement in Thermal Power Generation and Propulsion with Low/Zero CO 2 Emission Virtual Collection" [AIAA Journal] (2024) [DOI: https://doi.org/10.2514/1.j063542] | "Large-Eddy vs. Reynolds-Averaged Navier–Stokes Simulations of Flow and Heat Transfer in a U-Duct with Unsteady Flow Separation" [Energies] (2024) [DOI: https://doi.org/10.3390/en17102414]</t>
        </is>
      </c>
      <c r="AB24" s="2" t="inlineStr">
        <is>
          <t>"Mechanics of Fluids" [Medical Entomology and Zoology] (2012, 189 cites) [DOI: http://ci.nii.ac.jp/ncid/BA12971383] | "Single-phase and Two-phase Flow and Heat Transfer in Microchannel Heat Sink with Various Manifold Arrangements" [International Journal of Heat and Mass Transfer] (2021, 162 cites) [DOI: https://doi.org/10.1016/j.ijheatmasstransfer.2021.121118] | "Large-Eddy Simulations of Turbulent Flows in an Axisymmetric Dump Combustor" [AIAA Journal] (2008, 58 cites) [DOI: https://doi.org/10.2514/1.25467]</t>
        </is>
      </c>
      <c r="AC24" s="2" t="inlineStr"/>
      <c r="AD24" s="2" t="inlineStr">
        <is>
          <t>Honors Fellow, American Society of Mechanical Engineers (ASME) Fellow, American Institute of Aeronautics and Astronautics (AIAA...</t>
        </is>
      </c>
      <c r="AE24" s="2" t="inlineStr"/>
      <c r="AF24" s="2" t="inlineStr">
        <is>
          <t>Fluid Dynamics and Turbulent Flows (50) | Heat Transfer Mechanisms (45) | Computational Fluid Dynamics and Aerodynamics (33)</t>
        </is>
      </c>
      <c r="AG24" s="2" t="inlineStr">
        <is>
          <t>Fluid Dynamics and Turbulent Flows (50) | Heat Transfer Mechanisms (45) | Computational Fluid Dynamics and Aerodynamics (33)</t>
        </is>
      </c>
      <c r="AH24" s="2" t="inlineStr">
        <is>
          <t>computational fluid dynamics and heat transfer, error estimation in CFD, thermal management, gas turbine aero-thermal, control of shock-wave/boundary-layer interactions, aircraft icing</t>
        </is>
      </c>
      <c r="AI24" s="2" t="inlineStr"/>
      <c r="AJ24" s="2" t="inlineStr">
        <is>
          <t>computational fluid dynamics and heat transfer, error estimation in CFD, thermal management, gas turbine aero-thermal, control of shock-wave/boundary-layer interactions, aircraft icing</t>
        </is>
      </c>
      <c r="AK24" s="2" t="inlineStr">
        <is>
          <t>Freshman Year, West Virginia University, 1971-72 B.S.E., National Cheng Kung University, 1976 M.S.E., The University of Michigan, 1977 Ph.D., The University of Michigan, 1981</t>
        </is>
      </c>
      <c r="AL24" s="2" t="inlineStr">
        <is>
          <t>Indiana Space Grant Consortium</t>
        </is>
      </c>
      <c r="AM24" s="3">
        <f>HYPERLINK("https://insgc.spacegrant.org/", "https://insgc.spacegrant.org/")</f>
        <v/>
      </c>
      <c r="AN24" s="2" t="inlineStr">
        <is>
          <t>Academic INSGC Internships</t>
        </is>
      </c>
      <c r="AO24" s="2" t="inlineStr"/>
      <c r="AP24" s="2" t="inlineStr"/>
      <c r="AQ24" s="2" t="inlineStr">
        <is>
          <t>NASA</t>
        </is>
      </c>
      <c r="AR24" s="2" t="inlineStr"/>
      <c r="AS24" s="2" t="inlineStr"/>
      <c r="AT24" s="2" t="inlineStr">
        <is>
          <t>ARMS 3307</t>
        </is>
      </c>
      <c r="AU24" s="2" t="b">
        <v>1</v>
      </c>
      <c r="AV24" s="3">
        <f>HYPERLINK("https://engineering.purdue.edu/AAE/people/Faculty", "https://engineering.purdue.edu/AAE/people/Faculty")</f>
        <v/>
      </c>
    </row>
    <row r="25">
      <c r="A25" s="2" t="inlineStr">
        <is>
          <t>Kyle J. DeMars</t>
        </is>
      </c>
      <c r="B25" s="2" t="inlineStr">
        <is>
          <t>Purdue University</t>
        </is>
      </c>
      <c r="C25" s="3">
        <f>HYPERLINK("https://engineering.purdue.edu/AAE/people/ptProfile?resource_id=319705", "https://engineering.purdue.edu/AAE/people/ptProfile?resource_id=319705")</f>
        <v/>
      </c>
      <c r="D25" s="3">
        <f>HYPERLINK("https://scholar.google.com/citations?view_op=search_authors&amp;mauthors=Kyle%20J.%20DeMars%20Purdue%20University", "Google Scholar Search")</f>
        <v/>
      </c>
      <c r="E25" s="2" t="inlineStr">
        <is>
          <t>Professor</t>
        </is>
      </c>
      <c r="F25" s="2" t="inlineStr">
        <is>
          <t>Aeronautics and Astronautics</t>
        </is>
      </c>
      <c r="G25" s="2" t="inlineStr"/>
      <c r="H25" s="3">
        <f>HYPERLINK("mailto:kdemars@purdue.edu", "kdemars@purdue.edu")</f>
        <v/>
      </c>
      <c r="I25" s="2" t="n">
        <v>1</v>
      </c>
      <c r="J25" s="2" t="inlineStr">
        <is>
          <t>🔵 Tier 1: Core Aero / Fluids / Propulsion</t>
        </is>
      </c>
      <c r="K25" s="2" t="n">
        <v>5</v>
      </c>
      <c r="L25" s="2" t="inlineStr">
        <is>
          <t>aerospace, astrodynamics, autonomous, guidance, navigation</t>
        </is>
      </c>
      <c r="M25" s="2" t="inlineStr">
        <is>
          <t>Nonlinear orbital state estimation, Gaussian Mixture Probability Hypothesis Density (GM-PHD) filters, multi-target tracking, and space domain awareness in cislunar space.</t>
        </is>
      </c>
      <c r="N25" s="2" t="inlineStr">
        <is>
          <t>GM-PHD Multi-Target Filters, Equinoctial Orbital Propagators, Reproducing Kernel Hilbert Space (RKHS) Estimators, Directional Splitting Uncertainty Methods</t>
        </is>
      </c>
      <c r="O25" s="2" t="inlineStr">
        <is>
          <t>Cislunar State and Uncertainty Propagation via the Modified Generalized Equinoctial Orbital Elements</t>
        </is>
      </c>
      <c r="P25" s="3">
        <f>HYPERLINK("https://doi.org/10.48550/arxiv.2603.20110", "https://doi.org/10.48550/arxiv.2603.20110")</f>
        <v/>
      </c>
      <c r="Q25" s="2" t="inlineStr">
        <is>
          <t>propagating non-Gaussian cislunar orbital uncertainties via modified generalized equinoctial elements, demonstrating that equinoctial parameterization preserves probability density bounds over multi-revolution lunar transfer trajectories.</t>
        </is>
      </c>
      <c r="R25" s="2" t="inlineStr">
        <is>
          <t>The complex cislunar dynamical environment poses challenges for spacecraft navigation and Space Domain Awareness (SDA) operations, where the knowledge of current and future spacecraft states is essential. Conventional Cartesian Gaussian-based approaches degrade under the severe nonlinearities of three-body dynamics. This work introduces an uncertainty propagation formulation utilizing modified generalized equinoctial orbital elements, preventing non-physical probability dispersion growth and enabling accurate multi-day orbit determination.</t>
        </is>
      </c>
      <c r="S25" s="2" t="inlineStr">
        <is>
          <t>A framework for batch processing tracklets in the GM-PHD filter</t>
        </is>
      </c>
      <c r="T25" s="3">
        <f>HYPERLINK("https://doi.org/10.1016/j.asr.2025.11.124", "https://doi.org/10.1016/j.asr.2025.11.124")</f>
        <v/>
      </c>
      <c r="U25" s="2" t="inlineStr">
        <is>
          <t>incorporating batch optical tracklet measurements into the Gaussian Mixture PHD filter update, demonstrating robust multi-target orbit determination from sparse sensor data with significantly reduced false-alarm tracks.</t>
        </is>
      </c>
      <c r="V25" s="2" t="inlineStr">
        <is>
          <t>The objective of this article is to propose a framework for which tracklet data can be batch processed and used within the update step of the Gaussian Mixture Probability Hypothesis Density (GM-PHD) filter. A tracklet represents a sequence of sensor measurements associated with the same target. By incorporating batch measurement sets directly into the mixture update equations, the filter achieves robust initial orbit determination from sparse optical observations while drastically cutting computational complexity.</t>
        </is>
      </c>
      <c r="W25" s="2" t="inlineStr">
        <is>
          <t>1. Cislunar State and Uncertainty Propagation via the Modified Generalized Equinoctial Orbital Elements (arXiv / AAS, 2026) [DOI: https://doi.org/10.48550/arxiv.2603.20110] | 2. A framework for batch processing tracklets in the GM-PHD filter (Advances in Space Research, 2025) [DOI: https://doi.org/10.1016/j.asr.2025.11.124]</t>
        </is>
      </c>
      <c r="X25" s="3">
        <f>HYPERLINK("https://doi.org/10.48550/arxiv.2603.20110", "https://doi.org/10.48550/arxiv.2603.20110 | https://doi.org/10.1016/j.asr.2025.11.124")</f>
        <v/>
      </c>
      <c r="Y25" s="2" t="inlineStr">
        <is>
          <t>propagating non-Gaussian cislunar orbital uncertainties via modified generalized equinoctial elements, demonstrating that equinoctial parameterization preserves probability density bounds over multi-revolution lunar transfer trajectories.</t>
        </is>
      </c>
      <c r="Z25" s="2" t="inlineStr"/>
      <c r="AA25" s="2" t="inlineStr">
        <is>
          <t>"Cislunar State and Uncertainty Propagation via the Modified Generalized Equinoctial Orbital Elements" [arXiv (Cornell University)] (2026) [DOI: http://arxiv.org/abs/2603.20110]</t>
        </is>
      </c>
      <c r="AB25" s="2" t="inlineStr">
        <is>
          <t>"Cislunar State and Uncertainty Propagation via the Modified Generalized Equinoctial Orbital Elements" [arXiv (Cornell University)] (2026, 0 cites) [DOI: http://arxiv.org/abs/2603.20110]</t>
        </is>
      </c>
      <c r="AC25" s="2" t="inlineStr"/>
      <c r="AD25" s="2" t="inlineStr">
        <is>
          <t>AAS Fellow, 2024 AIAA Associate Fellow, 2021 Senior Editor, Journal of the Astronautical Sciences</t>
        </is>
      </c>
      <c r="AE25" s="2" t="inlineStr"/>
      <c r="AF25" s="2" t="inlineStr">
        <is>
          <t>Target Tracking and Data Fusion in Sensor Networks (1) | Spacecraft Dynamics and Control (1) | Space Satellite Systems and Control (1)</t>
        </is>
      </c>
      <c r="AG25" s="2" t="inlineStr">
        <is>
          <t>Target Tracking and Data Fusion in Sensor Networks (1) | Spacecraft Dynamics and Control (1) | Space Satellite Systems and Control (1)</t>
        </is>
      </c>
      <c r="AH25" s="2" t="inlineStr"/>
      <c r="AI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 pause() {
    myPronunciation.pause();
    }</t>
        </is>
      </c>
      <c r="AJ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t>
        </is>
      </c>
      <c r="AK25" s="2" t="inlineStr">
        <is>
          <t>Ph.D., The University of Texas at Austin, Aerospace Engineering, 2010 M.S.E., The University of Texas at Austin, Aerospace Engineering, 2007 B.S., The University of Texas at Austin, Aerospace Engineering, 2004</t>
        </is>
      </c>
      <c r="AL25" s="2" t="inlineStr">
        <is>
          <t>Indiana Space Grant Consortium</t>
        </is>
      </c>
      <c r="AM25" s="3">
        <f>HYPERLINK("https://insgc.spacegrant.org/", "https://insgc.spacegrant.org/")</f>
        <v/>
      </c>
      <c r="AN25" s="2" t="inlineStr">
        <is>
          <t>Academic INSGC Internships</t>
        </is>
      </c>
      <c r="AO25" s="2" t="inlineStr"/>
      <c r="AP25" s="2" t="inlineStr"/>
      <c r="AQ25" s="2" t="inlineStr">
        <is>
          <t>NASA</t>
        </is>
      </c>
      <c r="AR25" s="2" t="inlineStr"/>
      <c r="AS25" s="2" t="inlineStr"/>
      <c r="AT25" s="2" t="inlineStr">
        <is>
          <t>ARMS 3223</t>
        </is>
      </c>
      <c r="AU25" s="2" t="b">
        <v>1</v>
      </c>
      <c r="AV25" s="3">
        <f>HYPERLINK("https://engineering.purdue.edu/AAE/people/Faculty", "https://engineering.purdue.edu/AAE/people/Faculty")</f>
        <v/>
      </c>
    </row>
    <row r="26">
      <c r="A26" s="2" t="inlineStr">
        <is>
          <t>Li Qiao</t>
        </is>
      </c>
      <c r="B26" s="2" t="inlineStr">
        <is>
          <t>Purdue University</t>
        </is>
      </c>
      <c r="C26" s="3">
        <f>HYPERLINK("https://engineering.purdue.edu/AAE/people/ptProfile?resource_id=39640", "https://engineering.purdue.edu/AAE/people/ptProfile?resource_id=39640")</f>
        <v/>
      </c>
      <c r="D26" s="3">
        <f>HYPERLINK("https://scholar.google.com/citations?user=yFXFQPYAAAAJ&amp;hl=en", "Scholar (yFXFQPYAAAAJ)")</f>
        <v/>
      </c>
      <c r="E26" s="2" t="inlineStr">
        <is>
          <t>Professor, Associate Head for Engagement and Recognition</t>
        </is>
      </c>
      <c r="F26" s="2" t="inlineStr">
        <is>
          <t>Aeronautics and Astronautics</t>
        </is>
      </c>
      <c r="G26" s="2" t="inlineStr">
        <is>
          <t>yFXFQPYAAAAJ</t>
        </is>
      </c>
      <c r="H26" s="3">
        <f>HYPERLINK("mailto:lqiao@purdue.edu", "lqiao@purdue.edu")</f>
        <v/>
      </c>
      <c r="I26" s="2" t="n">
        <v>1</v>
      </c>
      <c r="J26" s="2" t="inlineStr">
        <is>
          <t>🔵 Tier 1: Core Aero / Fluids / Propulsion</t>
        </is>
      </c>
      <c r="K26" s="2" t="n">
        <v>5</v>
      </c>
      <c r="L26" s="2" t="inlineStr">
        <is>
          <t>aerospace, combustion, drone, propulsion, thermal</t>
        </is>
      </c>
      <c r="M26" s="2" t="inlineStr">
        <is>
          <t>Combustion kinetics of alternative and droplet fuels, nanofluid fuels with metal nanoparticles, turbulent jet ignition, and high-pressure flame propagation.</t>
        </is>
      </c>
      <c r="N26" s="2" t="inlineStr">
        <is>
          <t>High-Pressure Constant-Volume Combustion Chambers, Droplet Combustion Rigs, Schlieren Imaging, Planar Laser Diagnostics, Chemkin Chemical Kinetics</t>
        </is>
      </c>
      <c r="O26" s="2" t="inlineStr">
        <is>
          <t>On ignition mechanisms of premixed CH 4 /air and H 2 /air using a hot turbulent jet generated by pre-chamber combustion</t>
        </is>
      </c>
      <c r="P26" s="3">
        <f>HYPERLINK("https://doi.org/10.1016/j.applthermaleng.2016.06.070", "https://doi.org/10.1016/j.applthermaleng.2016.06.070")</f>
        <v/>
      </c>
      <c r="Q26" s="2" t="inlineStr">
        <is>
          <t>analyzing turbulent pre-chamber jet ignition across methane/air and hydrogen/air mixtures, demonstrating that active radical ejection from the nozzle reduces main-chamber ignition delay by over 60% compared to spark ignition.</t>
        </is>
      </c>
      <c r="R26" s="2" t="inlineStr">
        <is>
          <t>The ignition mechanisms of premixed methane/air and hydrogen/air mixtures by a hot turbulent jet generated by pre-chamber combustion were investigated. High-speed imaging and chemical kinetic simulations revealed that ignition is governed by the competing rates of turbulent mixing and chemical heat release, establishing operating boundaries for reliable pre-chamber jet ignition in lean-burn engines.</t>
        </is>
      </c>
      <c r="S26" s="2" t="inlineStr">
        <is>
          <t>Combustion characteristics of fuel droplets with addition of nano and micron-sized aluminum particles</t>
        </is>
      </c>
      <c r="T26" s="3">
        <f>HYPERLINK("https://doi.org/10.1016/j.combustflame.2009.11.011", "https://doi.org/10.1016/j.combustflame.2009.11.011")</f>
        <v/>
      </c>
      <c r="U26" s="2" t="inlineStr">
        <is>
          <t>investigating isolated droplet combustion containing suspended aluminum particles, demonstrating that nanoscale aluminum promotes microexplosions that disrupt droplet agglomeration and accelerate secondary fuel atomization.</t>
        </is>
      </c>
      <c r="V26" s="2" t="inlineStr">
        <is>
          <t>An experimental study was conducted to examine the combustion behavior of isolated liquid fuel droplets containing suspended nanoscale and microscale aluminum particles. The combustion process, including droplet burning rate, microexplosion, particle ignition, and agglomeration, was captured using high-speed photography. Nanoparticle addition significantly altered droplet surface tension and promoted microexplosions, leading to enhanced secondary atomization and complete metal burnout.</t>
        </is>
      </c>
      <c r="W26" s="2" t="inlineStr">
        <is>
          <t>1. On ignition mechanisms of premixed CH 4 /air and H 2 /air using a hot turbulent jet generated by pre-chamber combustion (Applied Thermal Engineering, 2016) [DOI: https://doi.org/10.1016/j.applthermaleng.2016.06.070] | 2. Combustion characteristics of fuel droplets with addition of nano and micron-sized aluminum particles (Combustion and Flame, 2010) [DOI: https://doi.org/10.1016/j.combustflame.2009.11.011]</t>
        </is>
      </c>
      <c r="X26" s="3">
        <f>HYPERLINK("https://doi.org/10.1016/j.applthermaleng.2016.06.070", "https://doi.org/10.1016/j.applthermaleng.2016.06.070 | https://doi.org/10.1016/j.combustflame.2009.11.011")</f>
        <v/>
      </c>
      <c r="Y26" s="2" t="inlineStr">
        <is>
          <t>analyzing turbulent pre-chamber jet ignition across methane/air and hydrogen/air mixtures, demonstrating that active radical ejection from the nozzle reduces main-chamber ignition delay by over 60% compared to spark ignition.</t>
        </is>
      </c>
      <c r="Z26" s="2" t="inlineStr"/>
      <c r="AA26" s="2" t="inlineStr">
        <is>
          <t>"Impact of Using Flame-Retardant Electrolyte Additives in Li-Ion Batteries: A Comprehensive Evaluation of Ethoxy (Pentafluoro) Cyclotriphosphazene (PFPN)" [Batteries] (2026) [DOI: https://doi.org/10.3390/batteries12080299] | "Real-time rocket motor internal flow field prediction based on hybrid POD and deep neural networks" [International Journal of Heat and Mass Transfer] (2025) [DOI: https://doi.org/10.1016/j.ijheatmasstransfer.2025.127587] | "Influence of Pre-Chamber Nozzle Orientation on Dilution Tolerance in a Constant-Volume Optical Engine" [SAE International Journal of Engines] (2025) [DOI: https://doi.org/10.4271/03-18-05-0031] | "Inside the search for sustainable aviation fuels, which are on the federal chopping block" (2025) [DOI: https://doi.org/10.64628/aai.xav9uumfu] | "Differential Modules Toward Derived Functors" [Frontiers of Mathematics] (2025) [DOI: https://doi.org/10.1007/s11464-022-0070-x]</t>
        </is>
      </c>
      <c r="AB26" s="2" t="inlineStr">
        <is>
          <t>"Combustion characteristics of fuel droplets with addition of nano and micron-sized aluminum particles" [Combustion and Flame] (2010, 423 cites) [DOI: https://doi.org/10.1016/j.combustflame.2010.09.005] | "On ignition mechanisms of premixed CH 4 /air and H 2 /air using a hot turbulent jet generated by pre-chamber combustion" [Applied Thermal Engineering] (2016, 310 cites) [DOI: https://doi.org/10.1016/j.applthermaleng.2016.06.070] | "Surface tension of Nanofluid-type fuels containing suspended nanomaterials" [Nanoscale Research Letters] (2012, 290 cites) [DOI: https://doi.org/10.1186/1556-276x-7-226]</t>
        </is>
      </c>
      <c r="AC26" s="2" t="inlineStr"/>
      <c r="AD26" s="2" t="inlineStr">
        <is>
          <t>Fulbright Scholar Award, 2024 AIAA High Speed Air Breathing Propulsion Best Paper Award, 2022 Associate Editor, AIAA Journal, 2...</t>
        </is>
      </c>
      <c r="AE26" s="2" t="inlineStr"/>
      <c r="AF26" s="2" t="inlineStr">
        <is>
          <t>Combustion, Fuels and Energetic Droplets (104)</t>
        </is>
      </c>
      <c r="AG26" s="2" t="inlineStr">
        <is>
          <t>Combustion, Fuels and Energetic Droplets (104)</t>
        </is>
      </c>
      <c r="AH26" s="2" t="inlineStr"/>
      <c r="AI26" s="2" t="inlineStr">
        <is>
          <t>(1) Sustainable fuels; (2) Pre-chamber jet ignition for combustion engines; (3) Thermal management for electric and hybrid aircraft (4) Battery fire safety (5) Propulsion technology for drones and UAVs;</t>
        </is>
      </c>
      <c r="AJ26" s="2" t="inlineStr">
        <is>
          <t>(1) Sustainable fuels; (2) Pre-chamber jet ignition for combustion engines; (3) Thermal management for electric and hybrid aircraft (4) Battery fire safety (5) Propulsion technology for drones and UAVs;</t>
        </is>
      </c>
      <c r="AK26" s="2" t="inlineStr">
        <is>
          <t>B.S., Tsinghua University, Engineering Mechanics, 1999 M.S., Tsinghua Univeristy, Engineering Mechanics, 2001 Ph.D., University of Michigan, Aerospace Engineering, 2007</t>
        </is>
      </c>
      <c r="AL26" s="2" t="inlineStr">
        <is>
          <t>Indiana Space Grant Consortium</t>
        </is>
      </c>
      <c r="AM26" s="3">
        <f>HYPERLINK("https://insgc.spacegrant.org/", "https://insgc.spacegrant.org/")</f>
        <v/>
      </c>
      <c r="AN26" s="2" t="inlineStr">
        <is>
          <t>Academic INSGC Internships</t>
        </is>
      </c>
      <c r="AO26" s="2" t="inlineStr"/>
      <c r="AP26" s="2" t="inlineStr"/>
      <c r="AQ26" s="2" t="inlineStr">
        <is>
          <t>NASA</t>
        </is>
      </c>
      <c r="AR26" s="2" t="inlineStr"/>
      <c r="AS26" s="2" t="inlineStr"/>
      <c r="AT26" s="2" t="inlineStr">
        <is>
          <t>ARMS 3221</t>
        </is>
      </c>
      <c r="AU26" s="2" t="b">
        <v>1</v>
      </c>
      <c r="AV26" s="3">
        <f>HYPERLINK("https://engineering.purdue.edu/AAE/people/Faculty", "https://engineering.purdue.edu/AAE/people/Faculty")</f>
        <v/>
      </c>
    </row>
    <row r="27">
      <c r="A27" s="2" t="inlineStr">
        <is>
          <t>Aaron Morris</t>
        </is>
      </c>
      <c r="B27" s="2" t="inlineStr">
        <is>
          <t>Purdue University</t>
        </is>
      </c>
      <c r="C27" s="3">
        <f>HYPERLINK("https://engineering.purdue.edu/ME/People/ptProfile?resource_id=159298", "https://engineering.purdue.edu/ME/People/ptProfile?resource_id=159298")</f>
        <v/>
      </c>
      <c r="D27" s="3">
        <f>HYPERLINK("https://scholar.google.com/citations?view_op=search_authors&amp;mauthors=Aaron%20Morris%20Purdue%20University", "Google Scholar Search")</f>
        <v/>
      </c>
      <c r="E27" s="2" t="inlineStr">
        <is>
          <t>Associate Professor of Mechanical Engineering</t>
        </is>
      </c>
      <c r="F27" s="2" t="inlineStr">
        <is>
          <t>Mechanical Engineering</t>
        </is>
      </c>
      <c r="G27" s="2" t="inlineStr"/>
      <c r="H27" s="3">
        <f>HYPERLINK("mailto:abmorris@purdue.edu", "abmorris@purdue.edu")</f>
        <v/>
      </c>
      <c r="I27" s="2" t="n">
        <v>1</v>
      </c>
      <c r="J27" s="2" t="inlineStr">
        <is>
          <t>🔵 Tier 1: Core Aero / Fluids / Propulsion</t>
        </is>
      </c>
      <c r="K27" s="2" t="n">
        <v>4</v>
      </c>
      <c r="L27" s="2" t="inlineStr">
        <is>
          <t>fluid dynamics, fluid mechanics, heat transfer, multiphase flow</t>
        </is>
      </c>
      <c r="M27" s="2" t="inlineStr">
        <is>
          <t>Granular multiphase flows, energy direct simulation Monte Carlo (EDSMC) for fluidized systems, CFD-DEM modeling of granular heat transfer, and concentrated solar receivers.</t>
        </is>
      </c>
      <c r="N27" s="2" t="inlineStr">
        <is>
          <t>Energy Direct Simulation Monte Carlo (EDSMC), Coupled CFD-DEM, Kinetic Theory of Granular Flows, OpenFOAM, High-Performance Multiphase Computing</t>
        </is>
      </c>
      <c r="O27" s="2" t="inlineStr">
        <is>
          <t>Modeling of fluidized systems using a novel Monte Carlo approach for granular interactions</t>
        </is>
      </c>
      <c r="P27" s="3">
        <f>HYPERLINK("https://doi.org/10.1002/aic.70212", "https://doi.org/10.1002/aic.70212")</f>
        <v/>
      </c>
      <c r="Q27" s="2" t="inlineStr">
        <is>
          <t>developing the Energy Direct Simulation Monte Carlo (EDSMC) method for gas-solid fluidized beds, capturing particle inelastic collisions and granular temperature dissipation at a fraction of the computational cost of standard DEM.</t>
        </is>
      </c>
      <c r="R27" s="2" t="inlineStr">
        <is>
          <t>A kinetic theory-based Monte Carlo algorithm for simulating particle dynamics within a gas-solid flow is presented. The technique, called the energy direct simulation Monte Carlo (EDSMC) method, has a formulation that is unique in the field of fluidization modeling. EDSMC resolves inelastic inter-particle collisions and granular temperature evolution without the severe time-step constraints of discrete element methods (DEM), accurately predicting bubble formation and solids circulation in dense fluidized beds.</t>
        </is>
      </c>
      <c r="S27" s="2" t="inlineStr">
        <is>
          <t>Thermal analysis of a solid particle light-trapping planar cavity receiver using computational fluid dynamics</t>
        </is>
      </c>
      <c r="T27" s="3">
        <f>HYPERLINK("https://doi.org/10.1016/j.applthermaleng.2025.126427", "https://doi.org/10.1016/j.applthermaleng.2025.126427")</f>
        <v/>
      </c>
      <c r="U27" s="2" t="inlineStr">
        <is>
          <t>modeling coupled CFD and discrete particle radiative transport in falling curtain solar cavity receivers, demonstrating that optimized enclosure aerodynamics suppress convective plume escape and achieve thermal efficiencies over 85% at 800 deg C.</t>
        </is>
      </c>
      <c r="V27" s="2" t="inlineStr">
        <is>
          <t>Light-Trapping Planar Cavity Receivers (LTPCRs) are promising next-generation configurations for concentrated solar power plants utilizing solid particle curtains as heat transfer media. Using coupled computational fluid dynamics and discrete particle radiative transfer modeling, this work evaluates the thermal performance of falling particle curtains under intense solar flux. Enclosure geometric optimization reduces convective heat losses, boosting thermal receiver efficiency above 85% at 800 deg C.</t>
        </is>
      </c>
      <c r="W27" s="2" t="inlineStr">
        <is>
          <t>1. Modeling of fluidized systems using a novel Monte Carlo approach for granular interactions (AIChE Journal, 2026) [DOI: https://doi.org/10.1002/aic.70212] | 2. Thermal analysis of a solid particle light-trapping planar cavity receiver using computational fluid dynamics (Applied Thermal Engineering, 2025) [DOI: https://doi.org/10.1016/j.applthermaleng.2025.126427]</t>
        </is>
      </c>
      <c r="X27" s="3">
        <f>HYPERLINK("https://doi.org/10.1002/aic.70212", "https://doi.org/10.1002/aic.70212 | https://doi.org/10.1016/j.applthermaleng.2025.126427")</f>
        <v/>
      </c>
      <c r="Y27" s="2" t="inlineStr">
        <is>
          <t>developing the Energy Direct Simulation Monte Carlo (EDSMC) method for gas-solid fluidized beds, capturing particle inelastic collisions and granular temperature dissipation at a fraction of the computational cost of standard DEM.</t>
        </is>
      </c>
      <c r="Z27" s="2" t="inlineStr"/>
      <c r="AA27" s="2" t="inlineStr">
        <is>
          <t>"Modeling of fluidized systems using a novel Monte Carlo approach for granular interactions" [AIChE Journal] (2026) [DOI: https://doi.org/10.1002/aic.70212] | "Continuum correlations from CFD-DEM modeling of conduction heat transfer in granular flows" [SSRN Electronic Journal] (2026) [DOI: https://doi.org/10.2139/ssrn.6030431] | "Geometric Optimization of an External Enclosure to Enhance Receiver Thermal Performance in Concentrated Solar Power Systems" (2025) [DOI: https://doi.org/10.1115/es2025-157075] | "Thermal analysis of a solid particle light-trapping planar cavity receiver using computational fluid dynamics" [Applied Thermal Engineering] (2025) [DOI: https://doi.org/10.1016/j.applthermaleng.2025.126427] | "Thermal Analysis of a Light-Trapping Planar Cavity Receiver Using Computational Fluid Dynamics" [SSRN Electronic Journal] (2025) [DOI: https://doi.org/10.2139/ssrn.5104197]</t>
        </is>
      </c>
      <c r="AB27" s="2" t="inlineStr">
        <is>
          <t>"Extension of a coarse grained particle method to simulate heat transfer in fluidized beds" [International Journal of Heat and Mass Transfer] (2017, 133 cites) [DOI: https://doi.org/10.1016/j.ijheatmasstransfer.2017.04.040] | "Simulations of heat transfer to solid particles flowing through an array of heated tubes" [Solar Energy] (2016, 102 cites) [DOI: https://doi.org/10.1016/j.solener.2016.01.033] | "A conductive heat transfer model for particle flows over immersed surfaces" [International Journal of Heat and Mass Transfer] (2015, 82 cites) [DOI: https://doi.org/10.1016/j.ijheatmasstransfer.2015.06.004]</t>
        </is>
      </c>
      <c r="AC27" s="2" t="inlineStr"/>
      <c r="AD27" s="2" t="inlineStr">
        <is>
          <t>Outstanding Mechanical Engineers Distinguished Engineering Alumni Honorary Doctorates Staff Awards Student Awards Distinguished...</t>
        </is>
      </c>
      <c r="AE27" s="2" t="inlineStr"/>
      <c r="AF27" s="2" t="inlineStr">
        <is>
          <t>Particle Dynamics in Fluid Flows (22) | Granular flow and fluidized beds (19) | Gas Dynamics and Kinetic Theory (13)</t>
        </is>
      </c>
      <c r="AG27" s="2" t="inlineStr">
        <is>
          <t>Particle Dynamics in Fluid Flows (22) | Granular flow and fluidized beds (19) | Gas Dynamics and Kinetic Theory (13)</t>
        </is>
      </c>
      <c r="AH27" s="2" t="inlineStr">
        <is>
          <t>Fluid dynamics Multiphase flows Monte Carlo methods Kinetic theory of granular flows Heat transfer in granular media Rarefied gas dynamics</t>
        </is>
      </c>
      <c r="AI27" s="2" t="inlineStr">
        <is>
          <t>Fluid Mechanics Heat &amp; Mass Transfer</t>
        </is>
      </c>
      <c r="AJ27" s="2" t="inlineStr">
        <is>
          <t>Fluid Mechanics Heat &amp; Mass Transfer</t>
        </is>
      </c>
      <c r="AK27" s="2" t="inlineStr">
        <is>
          <t>Postdoctoral Fellow, University of Colorado Boulder, 2013-2015 Ph. D., University of Texas at Austin, 2012 M.S., University of Texas at Austin, 2009 B.S., Rensselaer Polytechnic Institute, 2006</t>
        </is>
      </c>
      <c r="AL27" s="2" t="inlineStr">
        <is>
          <t>Center for Particulate Products and Processes</t>
        </is>
      </c>
      <c r="AM27" s="3">
        <f>HYPERLINK("https://engineering.purdue.edu/CP3/", "https://engineering.purdue.edu/CP3/")</f>
        <v/>
      </c>
      <c r="AN27" s="2" t="inlineStr"/>
      <c r="AO27" s="2" t="inlineStr"/>
      <c r="AP27" s="2" t="inlineStr">
        <is>
          <t>Gas Turbine, MTS, Instron</t>
        </is>
      </c>
      <c r="AQ27" s="2" t="inlineStr">
        <is>
          <t>DOE, NSF</t>
        </is>
      </c>
      <c r="AR27" s="2" t="inlineStr"/>
      <c r="AS27" s="2" t="inlineStr"/>
      <c r="AT27" s="2" t="inlineStr">
        <is>
          <t>FLEX 3021D</t>
        </is>
      </c>
      <c r="AU27" s="2" t="b">
        <v>1</v>
      </c>
      <c r="AV27" s="3">
        <f>HYPERLINK("https://engineering.purdue.edu/ME/People/ptFaculty", "https://engineering.purdue.edu/ME/People/ptFaculty")</f>
        <v/>
      </c>
    </row>
    <row r="28">
      <c r="A28" s="2" t="inlineStr">
        <is>
          <t>Alexey Shashurin</t>
        </is>
      </c>
      <c r="B28" s="2" t="inlineStr">
        <is>
          <t>Purdue University</t>
        </is>
      </c>
      <c r="C28" s="3">
        <f>HYPERLINK("https://engineering.purdue.edu/AAE/people/ptProfile?resource_id=124987", "https://engineering.purdue.edu/AAE/people/ptProfile?resource_id=124987")</f>
        <v/>
      </c>
      <c r="D28" s="3">
        <f>HYPERLINK("https://scholar.google.com/citations?view_op=search_authors&amp;mauthors=Alexey%20Shashurin%20Purdue%20University", "Google Scholar Search")</f>
        <v/>
      </c>
      <c r="E28" s="2" t="inlineStr">
        <is>
          <t>Lawrence Cargnino Professor of Aeronautics and Astronautics</t>
        </is>
      </c>
      <c r="F28" s="2" t="inlineStr">
        <is>
          <t>Aeronautics and Astronautics</t>
        </is>
      </c>
      <c r="G28" s="2" t="inlineStr"/>
      <c r="H28" s="3">
        <f>HYPERLINK("mailto:ashashur@purdue.edu", "ashashur@purdue.edu")</f>
        <v/>
      </c>
      <c r="I28" s="2" t="n">
        <v>1</v>
      </c>
      <c r="J28" s="2" t="inlineStr">
        <is>
          <t>🔵 Tier 1: Core Aero / Fluids / Propulsion</t>
        </is>
      </c>
      <c r="K28" s="2" t="n">
        <v>4</v>
      </c>
      <c r="L28" s="2" t="inlineStr">
        <is>
          <t>combustion, flow control, propulsion, spacecraft</t>
        </is>
      </c>
      <c r="M28" s="2" t="inlineStr">
        <is>
          <t>Non-equilibrium plasma aerodynamics, laser-induced plasma diagnostics (Radar-REMPI, coherent microwave scattering), and pulsed magnetoplasmadynamic (MPD) thrusters.</t>
        </is>
      </c>
      <c r="N28" s="2" t="inlineStr">
        <is>
          <t>Radar-REMPI Diagnostics, Coherent Microwave Scattering (CMS), Pulsed Magnetoplasmadynamic Thrusters, Nanosecond Pulsed Discharges, Langmuir Probes</t>
        </is>
      </c>
      <c r="O28" s="2" t="inlineStr">
        <is>
          <t>Characterization of nonlinear sheath dynamics in high-pressure asymmetric RF discharge</t>
        </is>
      </c>
      <c r="P28" s="3">
        <f>HYPERLINK("https://doi.org/10.1063/5.0334090", "https://doi.org/10.1063/5.0334090")</f>
        <v/>
      </c>
      <c r="Q28" s="2" t="inlineStr">
        <is>
          <t>measuring phase-resolved nonlinear sheath impedance in high-pressure asymmetric RF discharges, demonstrating that dynamic sheath expansion stabilizes non-equilibrium plasma channels and prevents thermal arcing at elevated gas pressures.</t>
        </is>
      </c>
      <c r="R28" s="2" t="inlineStr">
        <is>
          <t>This study investigates the nonlinear behavior of asymmetric radio frequency (RF) discharges at high pressures implemented in a compact coaxial connector geometry, with a particular focus on sheath dynamics. We present a novel experimental approach that enables accurate, non-intrusive measurements of sheath capacitance and conduction currents. Phase-resolved voltage-current diagnostics reveal that non-linear sheath expansion at elevated pressures enhances local electron heating, suppressing thermal arc transitions and enabling stable atmospheric-pressure plasma generation.</t>
        </is>
      </c>
      <c r="S28" s="2" t="inlineStr">
        <is>
          <t>Parametric evaluation of ion beam properties in the near-field plume of a low-voltage, liquid-fed pulsed magnetoplasmadynamic thruster</t>
        </is>
      </c>
      <c r="T28" s="3">
        <f>HYPERLINK("https://doi.org/10.1063/5.0294710", "https://doi.org/10.1063/5.0294710")</f>
        <v/>
      </c>
      <c r="U28" s="2" t="inlineStr">
        <is>
          <t>evaluating near-field ion plume mechanics of an ASCENT liquid-fed pulsed magnetoplasmadynamic thruster (200-400 V), demonstrating that interelectrode magnetic tailoring enhances axial kinetic energy conversion to achieve exhaust velocities beyond 18 km/s.</t>
        </is>
      </c>
      <c r="V28" s="2" t="inlineStr">
        <is>
          <t>A parametric investigation of plume characteristics from a pulsed magnetoplasmadynamic thruster (PMPD) operating with the liquid monopropellant ASCENT is presented. Discharges across a range of driving voltages (200-400 V) and three interelectrode configurations were evaluated to assess their influence on ion exhaust velocity, electron temperature, and plume divergence. Faraday cup arrays and time-resolved optical emission spectroscopy show that tailoring the magnetic field topology increases axial ion acceleration, yielding exhaust velocities exceeding 18 km/s.</t>
        </is>
      </c>
      <c r="W28" s="2" t="inlineStr">
        <is>
          <t>1. Characterization of nonlinear sheath dynamics in high-pressure asymmetric RF discharge (Journal of Applied Physics, 2026) [DOI: https://doi.org/10.1063/5.0334090] | 2. Parametric evaluation of ion beam properties in the near-field plume of a low-voltage, liquid-fed pulsed magnetoplasmadynamic thruster (Physics of Plasmas, 2026) [DOI: https://doi.org/10.1063/5.0294710]</t>
        </is>
      </c>
      <c r="X28" s="3">
        <f>HYPERLINK("https://doi.org/10.1063/5.0334090", "https://doi.org/10.1063/5.0334090 | https://doi.org/10.1063/5.0294710")</f>
        <v/>
      </c>
      <c r="Y28" s="2" t="inlineStr">
        <is>
          <t>measuring phase-resolved nonlinear sheath impedance in high-pressure asymmetric RF discharges, demonstrating that dynamic sheath expansion stabilizes non-equilibrium plasma channels and prevents thermal arcing at elevated gas pressures.</t>
        </is>
      </c>
      <c r="Z28" s="2" t="inlineStr"/>
      <c r="AA28" s="2" t="inlineStr">
        <is>
          <t>"Characterization of nonlinear sheath dynamics in high-pressure asymmetric RF discharge" [Journal of Applied Physics] (2026) [DOI: https://doi.org/10.1063/5.0334090] | "Absolute Radar-REMPI via Two-Color REMPI and Absolutely Calibrated CMS for Diagnostics of Species in Gaseous Mixtures" [arXiv (Cornell University)] (2026) [DOI: https://doi.org/10.48550/arxiv.2606.20827] | "Absolute Radar-REMPI via Two-Color REMPI and Absolutely Calibrated CMS for Diagnostics of Species in Gaseous Mixtures" [arXiv (Cornell University)] (2026) [DOI: https://arxiv.org/abs/2606.20827] | "Parametric evaluation of ion beam properties in the near-field plume of a low-voltage, liquid-fed pulsed magnetoplasmadynamic thruster" [Physics of Plasmas] (2026) [DOI: https://doi.org/10.1063/5.0294710] | "Constructive Coherent Microwave Scattering for Studying Femtosecond Filamentation and Tabulating Photoionization Rates" (2026) [DOI: https://doi.org/10.2514/6.2026-0780]</t>
        </is>
      </c>
      <c r="AB28" s="2" t="inlineStr">
        <is>
          <t>"Cold plasma selectivity and the possibility of a paradigm shift in cancer therapy" [British Journal of Cancer] (2011, 767 cites) [DOI: https://doi.org/10.1038/bjc.2011.386] | "Cold atmospheric plasma in cancer therapy" [Physics of Plasmas] (2013, 501 cites) [DOI: https://doi.org/10.1063/1.4801516] | "Living tissue under treatment of cold plasma atmospheric jet" [Applied Physics Letters] (2008, 293 cites) [DOI: https://doi.org/10.1063/1.3020223]</t>
        </is>
      </c>
      <c r="AC28" s="2" t="inlineStr"/>
      <c r="AD28" s="2" t="inlineStr"/>
      <c r="AE28" s="2" t="inlineStr"/>
      <c r="AF28" s="2" t="inlineStr">
        <is>
          <t>Plasma Diagnostics and Applications (92) | Plasma Applications and Diagnostics (65) | Vacuum and Plasma Arcs (47)</t>
        </is>
      </c>
      <c r="AG28" s="2" t="inlineStr">
        <is>
          <t>Plasma Diagnostics and Applications (92) | Plasma Applications and Diagnostics (65) | Vacuum and Plasma Arcs (47)</t>
        </is>
      </c>
      <c r="AH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I28" s="2" t="inlineStr"/>
      <c r="AJ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K28" s="2" t="inlineStr">
        <is>
          <t>B.Sc., Physics, Lobachevsky State University of Nizhny Novgorod, Russia, 1996 M.Sc., Physics, Lobachevsky State University of Nizhny Novgorod, Russia, 1998 Ph.D., School of Engineering, Dept. Interdisciplinary Studies, Tel Aviv University, 2008</t>
        </is>
      </c>
      <c r="AL28" s="2" t="inlineStr">
        <is>
          <t>Indiana Space Grant Consortium</t>
        </is>
      </c>
      <c r="AM28" s="3">
        <f>HYPERLINK("https://insgc.spacegrant.org/", "https://insgc.spacegrant.org/")</f>
        <v/>
      </c>
      <c r="AN28" s="2" t="inlineStr">
        <is>
          <t>Academic INSGC Internships</t>
        </is>
      </c>
      <c r="AO28" s="2" t="inlineStr"/>
      <c r="AP28" s="2" t="inlineStr"/>
      <c r="AQ28" s="2" t="inlineStr">
        <is>
          <t>NASA</t>
        </is>
      </c>
      <c r="AR28" s="2" t="inlineStr"/>
      <c r="AS28" s="2" t="inlineStr"/>
      <c r="AT28" s="2" t="inlineStr">
        <is>
          <t>ARMS 3331</t>
        </is>
      </c>
      <c r="AU28" s="2" t="b">
        <v>1</v>
      </c>
      <c r="AV28" s="3">
        <f>HYPERLINK("https://engineering.purdue.edu/AAE/people/Faculty", "https://engineering.purdue.edu/AAE/people/Faculty")</f>
        <v/>
      </c>
    </row>
    <row r="29">
      <c r="A29" s="2" t="inlineStr">
        <is>
          <t>Carlos Larriba-Andaluz</t>
        </is>
      </c>
      <c r="B29" s="2" t="inlineStr">
        <is>
          <t>Purdue University</t>
        </is>
      </c>
      <c r="C29" s="3">
        <f>HYPERLINK("https://engineering.purdue.edu/ME/People/ptProfile?resource_id=297468", "https://engineering.purdue.edu/ME/People/ptProfile?resource_id=297468")</f>
        <v/>
      </c>
      <c r="D29" s="3">
        <f>HYPERLINK("https://scholar.google.com/citations?view_op=search_authors&amp;mauthors=Carlos%20Larriba-Andaluz%20Purdue%20University", "Google Scholar Search")</f>
        <v/>
      </c>
      <c r="E29" s="2" t="inlineStr">
        <is>
          <t>Associate Professor of Mechanical Engineering</t>
        </is>
      </c>
      <c r="F29" s="2" t="inlineStr">
        <is>
          <t>Mechanical Engineering</t>
        </is>
      </c>
      <c r="G29" s="2" t="inlineStr"/>
      <c r="H29" s="3">
        <f>HYPERLINK("mailto:clarriba@purdue.edu", "clarriba@purdue.edu")</f>
        <v/>
      </c>
      <c r="I29" s="2" t="n">
        <v>1</v>
      </c>
      <c r="J29" s="2" t="inlineStr">
        <is>
          <t>🔵 Tier 1: Core Aero / Fluids / Propulsion</t>
        </is>
      </c>
      <c r="K29" s="2" t="n">
        <v>4</v>
      </c>
      <c r="L29" s="2" t="inlineStr">
        <is>
          <t>aerospace, fluid mechanics, propulsion, thermodynamics</t>
        </is>
      </c>
      <c r="M29" s="2" t="inlineStr">
        <is>
          <t>Ion mobility spectrometry, differential mobility analyzers, aerodynamic ion focusing in structures for lossless ion manipulations (SLIM), and gas-phase macromolecular transport.</t>
        </is>
      </c>
      <c r="N29" s="2" t="inlineStr">
        <is>
          <t>Ion Mobility Spectrometry (IMS), Nernst-Planck Fluid Solvers, Structures for Lossless Ion Manipulations (SLIM), Molecular Trajectory Simulations, Mass Spectrometry</t>
        </is>
      </c>
      <c r="O29" s="2" t="inlineStr">
        <is>
          <t>Optimization of Electric Field Traveling Waves in SLIM Platforms for Improved Resolution via Analytical Solutions of the Nernst–Planck Equation</t>
        </is>
      </c>
      <c r="P29" s="3">
        <f>HYPERLINK("https://doi.org/10.1021/jasms.5c00347", "https://doi.org/10.1021/jasms.5c00347")</f>
        <v/>
      </c>
      <c r="Q29" s="2" t="inlineStr">
        <is>
          <t>deriving analytical solutions to the Nernst-Planck equation for traveling-wave ion mobility in SLIM platforms, optimizing RF voltage and frequency parameters to suppress peak diffusion and maximize isomeric separation resolution.</t>
        </is>
      </c>
      <c r="R29" s="2" t="inlineStr">
        <is>
          <t>Ion mobility spectrometry (IMS) in Structures for Lossless Ion Manipulations (SLIM) enables high-resolution separation of gas-phase ions based on size-to-charge ratios over extended serpentine paths. This study investigates the transport and dispersion of ion packets subjected to traveling radio-frequency electric fields by deriving analytical solutions to the Nernst-Planck equation. Optimization of traveling wave speed, voltage amplitude, and carrier gas pressure minimizes diffusive peak broadening, enhancing resolving power across complex isomeric mixtures.</t>
        </is>
      </c>
      <c r="S29" s="2" t="inlineStr">
        <is>
          <t>First order approximation of polyatomic ion and neutral diffusion in neutral gases under arbitrary fields</t>
        </is>
      </c>
      <c r="T29" s="3">
        <f>HYPERLINK("https://doi.org/10.1063/5.0337543", "https://doi.org/10.1063/5.0337543")</f>
        <v/>
      </c>
      <c r="U29" s="2" t="inlineStr">
        <is>
          <t>coupling classical trajectory simulations with two-temperature kinetic theory, providing a unified first-order approximation for polyatomic ion diffusion in dilute carrier gases under strong electric fields.</t>
        </is>
      </c>
      <c r="V29" s="2" t="inlineStr">
        <is>
          <t>This work presents a trajectory-based method for predicting diffusion coefficients of polyatomic ions and neutral molecules in dilute gases from the thermal limit to strongly field-driven conditions. Classical trajectory simulations are coupled with two-temperature kinetic theory to evaluate collision integrals across realistic collision cross sections, bridging the gap between continuum aerodynamic transport and discrete molecular collision dynamics.</t>
        </is>
      </c>
      <c r="W29" s="2" t="inlineStr">
        <is>
          <t>1. Optimization of Electric Field Traveling Waves in SLIM Platforms for Improved Resolution via Analytical Solutions of the Nernst–Planck Equation (Journal of the American Society for Mass Spectrometry, 2026) [DOI: https://doi.org/10.1021/jasms.5c00347] | 2. First order approximation of polyatomic ion and neutral diffusion in neutral gases under arbitrary fields (The Journal of Chemical Physics, 2026) [DOI: https://doi.org/10.1063/5.0337543]</t>
        </is>
      </c>
      <c r="X29" s="3">
        <f>HYPERLINK("https://doi.org/10.1021/jasms.5c00347", "https://doi.org/10.1021/jasms.5c00347 | https://doi.org/10.1063/5.0337543")</f>
        <v/>
      </c>
      <c r="Y29" s="2" t="inlineStr">
        <is>
          <t>deriving analytical solutions to the Nernst-Planck equation for traveling-wave ion mobility in SLIM platforms, optimizing RF voltage and frequency parameters to suppress peak diffusion and maximize isomeric separation resolution.</t>
        </is>
      </c>
      <c r="Z29" s="2" t="inlineStr"/>
      <c r="AA29" s="2" t="inlineStr">
        <is>
          <t>"First order approximation of polyatomic ion and neutral diffusion in neutral gases under arbitrary fields" [The Journal of Chemical Physics] (2026) [DOI: https://doi.org/10.1063/5.0337543] | "Optimization of Electric Field Traveling Waves in SLIM Platforms for Improved Resolution via Analytical Solutions of the Nernst–Planck Equation" [Journal of the American Society for Mass Spectrometry] (2026) [DOI: https://doi.org/10.1021/jasms.5c00347] | "Unraveling Ligand-Driven Isomerism in Redox-Active Mixed-Ligand Polyoxometalates Using Ion Mobility Spectrometry" [ACS Nano] (2025) [DOI: https://doi.org/10.1021/acsnano.5c12468] | "Characterization of Gas-Phase Native(-Like) Proteins Using Structures for Lossless Ion Manipulations" [ChemRxiv] (2025) [DOI: https://doi.org/10.26434/chemrxiv-2025-xnx1z-v2] | "Characterization and of Gas-Phase Native(-Like) Proteins Using Structures for Lossless Ion Manipulations" [ChemRxiv] (2025) [DOI: https://doi.org/10.26434/chemrxiv-2025-xnx1z]</t>
        </is>
      </c>
      <c r="AB29" s="2" t="inlineStr">
        <is>
          <t>"Benchmark Comparison for a Multi-Processing Ion Mobility Calculator in the Free Molecular Regime" [Journal of the American Society for Mass Spectrometry] (2017, 150 cites) [DOI: https://doi.org/10.1007/s13361-017-1661-8] | "Collision cross section calculations for polyatomic ions considering rotating diatomic/linear gas molecules" [The Journal of Chemical Physics] (2014, 92 cites) [DOI: https://doi.org/10.1063/1.4901890] | "Gas molecule scattering &amp; ion mobility measurements for organic macro-ions in He versus N 2 environments" [Physical Chemistry Chemical Physics] (2015, 85 cites) [DOI: https://doi.org/10.1039/c5cp01017a]</t>
        </is>
      </c>
      <c r="AC29" s="2" t="inlineStr"/>
      <c r="AD29" s="2" t="inlineStr">
        <is>
          <t>Outstanding Mechanical Engineers Distinguished Engineering Alumni Honorary Doctorates Staff Awards Student Awards Distinguished...</t>
        </is>
      </c>
      <c r="AE29" s="2" t="inlineStr"/>
      <c r="AF29" s="2" t="inlineStr">
        <is>
          <t>Mass Spectrometry Techniques and Applications (39) | Analytical Chemistry and Chromatography (15) | Analytical chemistry methods development (14)</t>
        </is>
      </c>
      <c r="AG29" s="2" t="inlineStr">
        <is>
          <t>Mass Spectrometry Techniques and Applications (39) | Analytical Chemistry and Chromatography (15) | Analytical chemistry methods development (14)</t>
        </is>
      </c>
      <c r="AH29" s="2" t="inlineStr">
        <is>
          <t>Renewable Energy Catalysts Aerosol Pollution Ion Mobility-Mass Spectrometry Electrical Propulsion Polymer Characterization Protein and Biomolecule Characterization Energy Transfer Molecular Dynamic coupling at the molecular Scale Multiscale Multichemistry Plasma Modeling</t>
        </is>
      </c>
      <c r="AI29" s="2" t="inlineStr">
        <is>
          <t>Thermodynamics Fluid Mechanics Heat &amp; Mass Transfer</t>
        </is>
      </c>
      <c r="AJ29" s="2" t="inlineStr">
        <is>
          <t>Thermodynamics Fluid Mechanics Heat &amp; Mass Transfer</t>
        </is>
      </c>
      <c r="AK29" s="2" t="inlineStr">
        <is>
          <t>Ph.D. Mechanical Engineering, Yale University, 12/2010 BA/BS Aerospace Engineering, E.T.S.I.A., 9/2005 MA/MS Aeronautical Engineering, E.T.S.I.A, 9/2005</t>
        </is>
      </c>
      <c r="AL29" s="2" t="inlineStr">
        <is>
          <t>Personal Homepage</t>
        </is>
      </c>
      <c r="AM29" s="3">
        <f>HYPERLINK("http://www.imospedia.com", "http://www.imospedia.com")</f>
        <v/>
      </c>
      <c r="AN29" s="2" t="inlineStr"/>
      <c r="AO29" s="2" t="inlineStr"/>
      <c r="AP29" s="2" t="inlineStr"/>
      <c r="AQ29" s="2" t="inlineStr"/>
      <c r="AR29" s="2" t="inlineStr"/>
      <c r="AS29" s="2" t="inlineStr"/>
      <c r="AT29" s="2" t="inlineStr"/>
      <c r="AU29" s="2" t="b">
        <v>1</v>
      </c>
      <c r="AV29" s="3">
        <f>HYPERLINK("https://engineering.purdue.edu/ME/People/ptFaculty", "https://engineering.purdue.edu/ME/People/ptFaculty")</f>
        <v/>
      </c>
    </row>
    <row r="30">
      <c r="A30" s="2" t="inlineStr">
        <is>
          <t>Carolin E Frueh</t>
        </is>
      </c>
      <c r="B30" s="2" t="inlineStr">
        <is>
          <t>Purdue University</t>
        </is>
      </c>
      <c r="C30" s="3">
        <f>HYPERLINK("https://engineering.purdue.edu/AAE/people/ptProfile?resource_id=111420", "https://engineering.purdue.edu/AAE/people/ptProfile?resource_id=111420")</f>
        <v/>
      </c>
      <c r="D30" s="3">
        <f>HYPERLINK("https://scholar.google.com/citations?view_op=search_authors&amp;mauthors=Carolin%20E%20Frueh%20Purdue%20University", "Google Scholar Search")</f>
        <v/>
      </c>
      <c r="E30" s="2" t="inlineStr">
        <is>
          <t>Harold DeGroff Professor of Aeronautics and Astronautics</t>
        </is>
      </c>
      <c r="F30" s="2" t="inlineStr">
        <is>
          <t>Aeronautics and Astronautics</t>
        </is>
      </c>
      <c r="G30" s="2" t="inlineStr"/>
      <c r="H30" s="3">
        <f>HYPERLINK("mailto:cfrueh@purdue.edu", "cfrueh@purdue.edu")</f>
        <v/>
      </c>
      <c r="I30" s="2" t="n">
        <v>1</v>
      </c>
      <c r="J30" s="2" t="inlineStr">
        <is>
          <t>🔵 Tier 1: Core Aero / Fluids / Propulsion</t>
        </is>
      </c>
      <c r="K30" s="2" t="n">
        <v>4</v>
      </c>
      <c r="L30" s="2" t="inlineStr">
        <is>
          <t>astrodynamics, guidance, navigation, satellite</t>
        </is>
      </c>
      <c r="M30" s="2" t="inlineStr">
        <is>
          <t>Space domain awareness (SDA), light-curve attitude estimation, spacecraft fragmentation analysis, and sensor network tasking in cislunar and geostationary orbits.</t>
        </is>
      </c>
      <c r="N30" s="2" t="inlineStr">
        <is>
          <t>Light Curve Inversion Algorithms, Unscented Kalman Filtering, Space Object Optical Observatories, Cislunar Astrodynamic Propagators, Monte Carlo Uncertainty Modeling</t>
        </is>
      </c>
      <c r="O30" s="2" t="inlineStr">
        <is>
          <t>Material Property Sensitivity of Light Curve Attitude Estimation for the Lunar Trailblazer</t>
        </is>
      </c>
      <c r="P30" s="3">
        <f>HYPERLINK("https://doi.org/10.1029/2025ea004733", "https://doi.org/10.1029/2025ea004733")</f>
        <v/>
      </c>
      <c r="Q30" s="2" t="inlineStr">
        <is>
          <t>applying light-curve inversion and BRDF material sensitivity analysis to the Lunar Trailblazer spacecraft, demonstrating that unresolved optical brightness histories reliably reconstruct tumbling attitude states during mission recovery.</t>
        </is>
      </c>
      <c r="R30" s="2" t="inlineStr">
        <is>
          <t>The Lunar Trailblazer spacecraft launched toward a planned low-lunar orbit, but contact was temporarily lost, requiring recovery efforts based on ground observations. Estimating the orientation and angular velocity state of Trailblazer was central for recovery operations. This paper examines the sensitivity of light curve inversion algorithms to uncertain surface bidirectional reflectance distribution functions (BRDF) and panel material properties, demonstrating that combining optical light curves with rotational dynamics successfully recovers spacecraft tumble rates under high observation noise.</t>
        </is>
      </c>
      <c r="S30" s="2" t="inlineStr">
        <is>
          <t>Cislunar Key Region Surveillance Optimization</t>
        </is>
      </c>
      <c r="T30" s="3">
        <f>HYPERLINK("https://doi.org/10.1007/s40295-025-00522-6", "https://doi.org/10.1007/s40295-025-00522-6")</f>
        <v/>
      </c>
      <c r="U30" s="2" t="inlineStr">
        <is>
          <t>optimizing space-based optical sensor constellations in cislunar space, demonstrating that placing surveillance assets on L1 halo orbits eliminates observation blind spots and maximizes detection of maneuvering transfer vehicles.</t>
        </is>
      </c>
      <c r="V30" s="2" t="inlineStr">
        <is>
          <t>Cislunar space’s growing importance necessitates robust space domain awareness for safe and sustainable utilization. Current ground-based surveillance is insufficient to cover the entire cislunar region, leaving large blind spots. Space-based optical sensors can address this limitation. This study presents an optimization framework for positioning and tasking space-based optical sensors across Earth-Moon libration points, maximizing object detection probabilities in key transfer corridors.</t>
        </is>
      </c>
      <c r="W30" s="2" t="inlineStr">
        <is>
          <t>1. Material Property Sensitivity of Light Curve Attitude Estimation for the Lunar Trailblazer (Earth and Space Science, 2026) [DOI: https://doi.org/10.1029/2025ea004733] | 2. Cislunar Key Region Surveillance Optimization (The Journal of the Astronautical Sciences, 2025) [DOI: https://doi.org/10.1007/s40295-025-00522-6]</t>
        </is>
      </c>
      <c r="X30" s="3">
        <f>HYPERLINK("https://doi.org/10.1029/2025ea004733", "https://doi.org/10.1029/2025ea004733 | https://doi.org/10.1007/s40295-025-00522-6")</f>
        <v/>
      </c>
      <c r="Y30" s="2" t="inlineStr">
        <is>
          <t>applying light-curve inversion and BRDF material sensitivity analysis to the Lunar Trailblazer spacecraft, demonstrating that unresolved optical brightness histories reliably reconstruct tumbling attitude states during mission recovery.</t>
        </is>
      </c>
      <c r="Z30" s="2" t="inlineStr"/>
      <c r="AA30" s="2" t="inlineStr">
        <is>
          <t>"Material Property Sensitivity of Light Curve Attitude Estimation for the Lunar Trailblazer" [Earth and Space Science] (2026) [DOI: https://doi.org/10.1029/2025ea004733] | "Global Light Curve Attitude Estimation with Noisy Measurements and Inertia Uncertainty" [The Journal of the Astronautical Sciences] (2026) [DOI: https://doi.org/10.1007/s40295-025-00557-9] | "Goals and trends in space exploration: An overview of the panel on exploration sessions at the committee on space research general assembly 2024" [Life Sciences in Space Research] (2025) [DOI: https://doi.org/10.1016/j.lssr.2025.12.005] | "Investigation of Atlas V Centaur Upper Stage Fragmentation Events with Uncertainty Analysis" [The Journal of the Astronautical Sciences] (2025) [DOI: https://doi.org/10.1007/s40295-025-00519-1] | "Cislunar Key Region Surveillance Optimization" [The Journal of the Astronautical Sciences] (2025) [DOI: https://doi.org/10.1007/s40295-025-00522-6]</t>
        </is>
      </c>
      <c r="AB30" s="2" t="inlineStr">
        <is>
          <t>"A comprehensive review on Cislunar expansion and space domain awareness" [Progress in Aerospace Sciences] (2024, 63 cites) [DOI: https://doi.org/10.1016/j.paerosci.2024.101019] | "Space Situational Awareness Sensor Tasking: Comparison of Machine Learning with Classical Optimization Methods" [Journal of Guidance Control and Dynamics] (2019, 41 cites) [DOI: https://doi.org/10.2514/1.g004279] | "Tracklet-to-orbit association for maneuvering space objects using optimal control theory" [Acta Astronautica] (2021, 38 cites) [DOI: https://doi.org/10.1016/j.actaastro.2021.01.026]</t>
        </is>
      </c>
      <c r="AC30" s="2" t="inlineStr"/>
      <c r="AD30" s="2" t="inlineStr">
        <is>
          <t>(selection) AAS Fellow, 2024 AIAA Associate Fellow, 2024 The C. T. Sun Excellence in Research Award, 2024 The Elmer F. Bruhn Te...</t>
        </is>
      </c>
      <c r="AE30" s="2" t="inlineStr"/>
      <c r="AF30" s="2" t="inlineStr">
        <is>
          <t>Space Satellite Systems and Control (33) | Astro and Planetary Science (20) | Target Tracking and Data Fusion in Sensor Networks (19)</t>
        </is>
      </c>
      <c r="AG30" s="2" t="inlineStr">
        <is>
          <t>Space Satellite Systems and Control (33) | Astro and Planetary Science (20) | Target Tracking and Data Fusion in Sensor Networks (19)</t>
        </is>
      </c>
      <c r="AH30" s="2" t="inlineStr"/>
      <c r="AI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J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K30" s="2" t="inlineStr">
        <is>
          <t>Ph.D., Physics with Specialization in Astronomy, University of Bern, Switzerland, 2011 MS of Science, Karlsruhe Institute of Technology, Germany, 2006 M.Div., CDSP, Berkeley, USA</t>
        </is>
      </c>
      <c r="AL30" s="2" t="inlineStr">
        <is>
          <t>Indiana Space Grant Consortium</t>
        </is>
      </c>
      <c r="AM30" s="3">
        <f>HYPERLINK("https://insgc.spacegrant.org/", "https://insgc.spacegrant.org/")</f>
        <v/>
      </c>
      <c r="AN30" s="2" t="inlineStr">
        <is>
          <t>Academic INSGC Internships</t>
        </is>
      </c>
      <c r="AO30" s="2" t="inlineStr"/>
      <c r="AP30" s="2" t="inlineStr"/>
      <c r="AQ30" s="2" t="inlineStr">
        <is>
          <t>NASA</t>
        </is>
      </c>
      <c r="AR30" s="2" t="inlineStr"/>
      <c r="AS30" s="2" t="inlineStr"/>
      <c r="AT30" s="2" t="inlineStr">
        <is>
          <t>ARMS 3309</t>
        </is>
      </c>
      <c r="AU30" s="2" t="b">
        <v>1</v>
      </c>
      <c r="AV30" s="3">
        <f>HYPERLINK("https://engineering.purdue.edu/AAE/people/Faculty", "https://engineering.purdue.edu/AAE/people/Faculty")</f>
        <v/>
      </c>
    </row>
    <row r="31">
      <c r="A31" s="2" t="inlineStr">
        <is>
          <t>Guang Lin</t>
        </is>
      </c>
      <c r="B31" s="2" t="inlineStr">
        <is>
          <t>Purdue University</t>
        </is>
      </c>
      <c r="C31" s="3">
        <f>HYPERLINK("https://engineering.purdue.edu/ME/People/ptProfile?resource_id=117602", "https://engineering.purdue.edu/ME/People/ptProfile?resource_id=117602")</f>
        <v/>
      </c>
      <c r="D31" s="3">
        <f>HYPERLINK("https://scholar.google.com/citations?view_op=search_authors&amp;mauthors=Guang%20Lin%20Purdue%20University", "Google Scholar Search")</f>
        <v/>
      </c>
      <c r="E31" s="2" t="inlineStr">
        <is>
          <t>Moses Cobb Stevens Professor in Mathematical Sciences; College of Science Associate Dean of Research and Innovation; Professor of Mechanical Engineering</t>
        </is>
      </c>
      <c r="F31" s="2" t="inlineStr">
        <is>
          <t>Mechanical Engineering</t>
        </is>
      </c>
      <c r="G31" s="2" t="inlineStr"/>
      <c r="H31" s="3">
        <f>HYPERLINK("mailto:guanglin@purdue.edu", "guanglin@purdue.edu")</f>
        <v/>
      </c>
      <c r="I31" s="2" t="n">
        <v>1</v>
      </c>
      <c r="J31" s="2" t="inlineStr">
        <is>
          <t>🔵 Tier 1: Core Aero / Fluids / Propulsion</t>
        </is>
      </c>
      <c r="K31" s="2" t="n">
        <v>4</v>
      </c>
      <c r="L31" s="2" t="inlineStr">
        <is>
          <t>computational fluid dynamics, fluid dynamics, fluid mechanics, scientific computing</t>
        </is>
      </c>
      <c r="M31" s="2" t="inlineStr">
        <is>
          <t>Scientific machine learning, physics-informed neural networks (PINNs), Kolmogorov-Arnold Networks (KANs), uncertainty quantification, and Bayesian discovery of flow PDEs.</t>
        </is>
      </c>
      <c r="N31" s="2" t="inlineStr">
        <is>
          <t>Scientific Machine Learning (SciML), Kolmogorov-Arnold Networks (KANs), Bayesian Uncertainty Quantification, Physics-Informed Neural Networks, High-Order PDE Solvers</t>
        </is>
      </c>
      <c r="O31" s="2" t="inlineStr">
        <is>
          <t>Conformalized-KANs: uncertainty quantification with coverage guarantees for Kolmogorov–Arnold Networks (KANs) in scientific machine learning</t>
        </is>
      </c>
      <c r="P31" s="3">
        <f>HYPERLINK("https://doi.org/10.1088/2632-2153/ae7495", "https://doi.org/10.1088/2632-2153/ae7495")</f>
        <v/>
      </c>
      <c r="Q31" s="2" t="inlineStr">
        <is>
          <t>developing Conformalized Kolmogorov-Arnold Networks (KANs) for scientific machine learning, providing mathematically guaranteed prediction error coverage intervals when learning nonlinear fluid and thermal PDEs.</t>
        </is>
      </c>
      <c r="R31" s="2" t="inlineStr">
        <is>
          <t>This paper explores uncertainty quantification (UQ) methods in the context of Kolmogorov-Arnold Networks (KANs) applied to complex physical systems. We integrate conformal prediction with KANs to provide rigorous finite-sample coverage guarantees without requiring restrictive distributional assumptions. When evaluated on benchmark non-linear fluid dynamics and heat transfer problems, Conformalized-KANs deliver interpretable functional representations with calibrated prediction intervals across scarce training data.</t>
        </is>
      </c>
      <c r="S31" s="2" t="inlineStr">
        <is>
          <t>Bayesian data-driven discovery of partial differential equations with variable coefficients</t>
        </is>
      </c>
      <c r="T31" s="3">
        <f>HYPERLINK("https://doi.org/10.1016/j.camwa.2026.07.034", "https://doi.org/10.1016/j.camwa.2026.07.034")</f>
        <v/>
      </c>
      <c r="U31" s="2" t="inlineStr">
        <is>
          <t>formulating a sparse Bayesian regression algorithm to discover variable-coefficient PDEs from sparse flow field data, accurately identifying spatio-temporally varying transport terms while bounding posterior uncertainty.</t>
        </is>
      </c>
      <c r="V31" s="2" t="inlineStr">
        <is>
          <t>Discovering governing differential equations directly from noisy experimental flow observations is essential for predictive digital twins. This study develops a sparse Bayesian regression framework capable of discovering spatio-temporally varying coefficients in partial differential equations. The method accurately identifies variable diffusion and convective transport operators from sparse velocity field snapshots while quantifying posterior parameter uncertainty.</t>
        </is>
      </c>
      <c r="W31" s="2" t="inlineStr">
        <is>
          <t>1. Conformalized-KANs: uncertainty quantification with coverage guarantees for Kolmogorov–Arnold Networks (KANs) in scientific machine learning (Machine Learning Science and Technology, 2026) [DOI: https://doi.org/10.1088/2632-2153/ae7495] | 2. Bayesian data-driven discovery of partial differential equations with variable coefficients (Computers &amp; Mathematics with Applications, 2026) [DOI: https://doi.org/10.1016/j.camwa.2026.07.034]</t>
        </is>
      </c>
      <c r="X31" s="3">
        <f>HYPERLINK("https://doi.org/10.1088/2632-2153/ae7495", "https://doi.org/10.1088/2632-2153/ae7495 | https://doi.org/10.1016/j.camwa.2026.07.034")</f>
        <v/>
      </c>
      <c r="Y31" s="2" t="inlineStr">
        <is>
          <t>developing Conformalized Kolmogorov-Arnold Networks (KANs) for scientific machine learning, providing mathematically guaranteed prediction error coverage intervals when learning nonlinear fluid and thermal PDEs.</t>
        </is>
      </c>
      <c r="Z31" s="2" t="inlineStr"/>
      <c r="AA31" s="2" t="inlineStr">
        <is>
          <t>"In situ studies on heavy ion irradiation and partial oxidation induced stacking faults and nanograins in tungsten nanolaminates" [Materials Today] (2026) [DOI: https://doi.org/10.1016/j.mattod.2026.103494] | "Bayesian data-driven discovery of partial differential equations with variable coefficients" [Computers &amp; Mathematics with Applications] (2026) [DOI: https://doi.org/10.1016/j.camwa.2026.07.034] | "Muon with spectral guidance: Efficient optimization for scientific machine learning" [Journal of Computational Physics] (2026) [DOI: https://doi.org/10.1016/j.jcp.2026.115231] | "Machine Learning Inverse Design Reveals a Double Narrow-Band Absorption Approach for Effective Colored Radiative Cooling Paints" [Nano Letters] (2026) [DOI: https://doi.org/10.1021/acs.nanolett.6c01941] | "Conformalized-KANs: uncertainty quantification with coverage guarantees for Kolmogorov–Arnold Networks (KANs) in scientific machine learning" [Machine Learning Science and Technology] (2026) [DOI: https://doi.org/10.1088/2632-2153/ae7495]</t>
        </is>
      </c>
      <c r="AB31" s="2" t="inlineStr">
        <is>
          <t>"EEG-based emotion recognition using 4D convolutional recurrent neural network" [Cognitive Neurodynamics] (2020, 248 cites) [DOI: https://doi.org/10.1007/s11571-020-09634-1] | "Compressive sensing based machine learning strategy for characterizing the flow around a cylinder with limited pressure measurements" [Physics of Fluids] (2013, 182 cites) [DOI: https://doi.org/10.1063/1.4836815] | "Multi-output separable Gaussian process: Towards an efficient, fully Bayesian paradigm for uncertainty quantification" [Journal of Computational Physics] (2013, 178 cites) [DOI: https://doi.org/10.1016/j.jcp.2013.01.011]</t>
        </is>
      </c>
      <c r="AC31" s="2" t="inlineStr"/>
      <c r="AD31" s="2" t="inlineStr">
        <is>
          <t>Outstanding Mechanical Engineers Distinguished Engineering Alumni Honorary Doctorates Staff Awards Student Awards Distinguished...</t>
        </is>
      </c>
      <c r="AE31" s="2" t="inlineStr"/>
      <c r="AF31" s="2" t="inlineStr">
        <is>
          <t>Model Reduction and Neural Networks (78) | Probabilistic and Robust Engineering Design (67) | Gaussian Processes and Bayesian Inference (39)</t>
        </is>
      </c>
      <c r="AG31" s="2" t="inlineStr">
        <is>
          <t>Model Reduction and Neural Networks (78) | Probabilistic and Robust Engineering Design (67) | Gaussian Processes and Bayesian Inference (39)</t>
        </is>
      </c>
      <c r="AH31" s="2" t="inlineStr">
        <is>
          <t>Big data analysis and statistical machine learning Predictive modeling and uncertainty quantification Scientific computing and computational fluid dynamics Stochastic multiscale modeling</t>
        </is>
      </c>
      <c r="AI31" s="2" t="inlineStr">
        <is>
          <t>Dynamics &amp; Vibration Fluid Mechanics</t>
        </is>
      </c>
      <c r="AJ31" s="2" t="inlineStr">
        <is>
          <t>Dynamics &amp; Vibration Fluid Mechanics</t>
        </is>
      </c>
      <c r="AK31" s="2" t="inlineStr"/>
      <c r="AL31" s="2" t="inlineStr">
        <is>
          <t>Personal Homepage</t>
        </is>
      </c>
      <c r="AM31" s="3">
        <f>HYPERLINK("http://www.math.purdue.edu/~lin491/", "http://www.math.purdue.edu/~lin491/")</f>
        <v/>
      </c>
      <c r="AN31" s="2" t="inlineStr"/>
      <c r="AO31" s="2" t="inlineStr"/>
      <c r="AP31" s="2" t="inlineStr"/>
      <c r="AQ31" s="2" t="inlineStr"/>
      <c r="AR31" s="2" t="inlineStr"/>
      <c r="AS31" s="2" t="inlineStr"/>
      <c r="AT31" s="2" t="inlineStr"/>
      <c r="AU31" s="2" t="b">
        <v>1</v>
      </c>
      <c r="AV31" s="3">
        <f>HYPERLINK("https://engineering.purdue.edu/ME/People/ptFaculty", "https://engineering.purdue.edu/ME/People/ptFaculty")</f>
        <v/>
      </c>
    </row>
    <row r="32">
      <c r="A32" s="2" t="inlineStr">
        <is>
          <t>Hector Gomez</t>
        </is>
      </c>
      <c r="B32" s="2" t="inlineStr">
        <is>
          <t>Purdue University</t>
        </is>
      </c>
      <c r="C32" s="3">
        <f>HYPERLINK("https://engineering.purdue.edu/ME/People/ptProfile?resource_id=157698", "https://engineering.purdue.edu/ME/People/ptProfile?resource_id=157698")</f>
        <v/>
      </c>
      <c r="D32" s="3">
        <f>HYPERLINK("https://scholar.google.com/citations?view_op=search_authors&amp;mauthors=Hector%20Gomez%20Purdue%20University", "Google Scholar Search")</f>
        <v/>
      </c>
      <c r="E32" s="2" t="inlineStr">
        <is>
          <t>Morris Goldman Chair in Engineering</t>
        </is>
      </c>
      <c r="F32" s="2" t="inlineStr">
        <is>
          <t>Mechanical Engineering</t>
        </is>
      </c>
      <c r="G32" s="2" t="inlineStr"/>
      <c r="H32" s="3">
        <f>HYPERLINK("mailto:hectorgomez@purdue.edu", "hectorgomez@purdue.edu")</f>
        <v/>
      </c>
      <c r="I32" s="2" t="n">
        <v>1</v>
      </c>
      <c r="J32" s="2" t="inlineStr">
        <is>
          <t>🔵 Tier 1: Core Aero / Fluids / Propulsion</t>
        </is>
      </c>
      <c r="K32" s="2" t="n">
        <v>4</v>
      </c>
      <c r="L32" s="2" t="inlineStr">
        <is>
          <t>fluid mechanics, fluid-structure interaction, fluids, solid mechanics</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is>
          <t>"Computational Modeling Unveils the Impact of Tissue Growth and Vascular Remodeling on the Distribution of Interstitial Chemical Species" [Annals of Biomedical Engineering] (2026) [DOI: https://doi.org/10.1007/s10439-026-04214-6] | "Mechanistic multiphysics modeling reveals how blood pulsation drives CSF flow, pressure, and brain deformation under physiological and injection conditions" [Fluids and Barriers of the CNS] (2026) [DOI: https://doi.org/10.1186/s12987-026-00804-7] | "Simulating surfactant effects in phase-transforming fluids" [Physics of Fluids] (2026) [DOI: https://doi.org/10.1063/5.0321558] | "Droplet mobilization in actuated deformable tubes" [Physical Review Fluids] (2026) [DOI: https://doi.org/10.1103/rbhz-c4mr] | "Phase-field/discontinuity capturing operator for direct van der waals simulation (DVS)" [Journal of Computational Physics] (2026) [DOI: https://doi.org/10.1016/j.jcp.2026.114742]</t>
        </is>
      </c>
      <c r="AB32" s="2" t="inlineStr">
        <is>
          <t>"A physics-informed deep learning framework for inversion and surrogate modeling in solid mechanics" [Computer Methods in Applied Mechanics and Engineering] (2021, 1309 cites) [DOI: https://doi.org/10.1016/j.cma.2021.113741] | "Isogeometric analysis of the Cahn–Hilliard phase-field model" [Computer Methods in Applied Mechanics and Engineering] (2008, 601 cites) [DOI: https://doi.org/10.1016/j.cma.2008.05.003] | "Provably unconditionally stable, second-order time-accurate, mixed variational methods for phase-field models" [Journal of Computational Physics] (2011, 280 cites) [DOI: https://doi.org/10.1016/j.jcp.2011.03.033]</t>
        </is>
      </c>
      <c r="AC32" s="2" t="inlineStr"/>
      <c r="AD32" s="2" t="inlineStr">
        <is>
          <t>Outstanding Mechanical Engineers Distinguished Engineering Alumni Honorary Doctorates Staff Awards Student Awards Distinguished...</t>
        </is>
      </c>
      <c r="AE32" s="2" t="inlineStr"/>
      <c r="AF32" s="2" t="inlineStr">
        <is>
          <t>Mathematical Biology Tumor Growth (67) | Advanced Numerical Analysis Techniques (40) | Advanced Numerical Methods in Computational Mathematics (31)</t>
        </is>
      </c>
      <c r="AG32" s="2" t="inlineStr">
        <is>
          <t>Mathematical Biology Tumor Growth (67) | Advanced Numerical Analysis Techniques (40) | Advanced Numerical Methods in Computational Mathematics (31)</t>
        </is>
      </c>
      <c r="AH32" s="2" t="inlineStr">
        <is>
          <t>Modeling and simulation techniques for multiphase and multiphysics problems using the phase-field method. Isogeometric methods with applications in fluid and solid mechanics. Modeling and simulation tools for several biomechanics problems, including tumor growth, cellular migration and blood flow at small scales. Computational methods for fluid-structure interaction, especially when the problem involves complex fluids.</t>
        </is>
      </c>
      <c r="AI32" s="2" t="inlineStr">
        <is>
          <t>Fluid Mechanics</t>
        </is>
      </c>
      <c r="AJ32" s="2" t="inlineStr">
        <is>
          <t>Fluid Mechanics</t>
        </is>
      </c>
      <c r="AK32" s="2" t="inlineStr">
        <is>
          <t>Civil Engineering, Universidade da Coruna, Spain Ph.D., Civil Engineering, Universidade da Coruna, Spain</t>
        </is>
      </c>
      <c r="AL32" s="2" t="inlineStr">
        <is>
          <t>Gomez Lab</t>
        </is>
      </c>
      <c r="AM32" s="3">
        <f>HYPERLINK("https://engineering.purdue.edu/gomez/", "https://engineering.purdue.edu/gomez/")</f>
        <v/>
      </c>
      <c r="AN32" s="2" t="inlineStr"/>
      <c r="AO32" s="2" t="inlineStr"/>
      <c r="AP32" s="2" t="inlineStr"/>
      <c r="AQ32" s="2" t="inlineStr"/>
      <c r="AR32" s="2" t="inlineStr"/>
      <c r="AS32" s="2" t="inlineStr"/>
      <c r="AT32" s="2" t="inlineStr">
        <is>
          <t>ME 3168</t>
        </is>
      </c>
      <c r="AU32" s="2" t="b">
        <v>1</v>
      </c>
      <c r="AV32" s="3">
        <f>HYPERLINK("https://engineering.purdue.edu/ME/People/ptFaculty", "https://engineering.purdue.edu/ME/People/ptFaculty")</f>
        <v/>
      </c>
    </row>
    <row r="33">
      <c r="A33" s="2" t="inlineStr">
        <is>
          <t>James M. Longuski</t>
        </is>
      </c>
      <c r="B33" s="2" t="inlineStr">
        <is>
          <t>Purdue University</t>
        </is>
      </c>
      <c r="C33" s="3">
        <f>HYPERLINK("https://engineering.purdue.edu/AAE/people/ptProfile?resource_id=1319", "https://engineering.purdue.edu/AAE/people/ptProfile?resource_id=1319")</f>
        <v/>
      </c>
      <c r="D33" s="3">
        <f>HYPERLINK("https://scholar.google.com/citations?view_op=search_authors&amp;mauthors=James%20M.%20Longuski%20Purdue%20University", "Google Scholar Search")</f>
        <v/>
      </c>
      <c r="E33" s="2" t="inlineStr">
        <is>
          <t>Professor, Ph.D., Michigan, 1979, spacecraft dynamics, orbit mechanics, control, orbit decay and reentry.</t>
        </is>
      </c>
      <c r="F33" s="2" t="inlineStr">
        <is>
          <t>Aeronautics and Astronautics</t>
        </is>
      </c>
      <c r="G33" s="2" t="inlineStr"/>
      <c r="H33" s="3">
        <f>HYPERLINK("mailto:webmaster-eng@purdue.edu", "webmaster-eng@purdue.edu")</f>
        <v/>
      </c>
      <c r="I33" s="2" t="n">
        <v>1</v>
      </c>
      <c r="J33" s="2" t="inlineStr">
        <is>
          <t>🔵 Tier 1: Core Aero / Fluids / Propulsion</t>
        </is>
      </c>
      <c r="K33" s="2" t="n">
        <v>4</v>
      </c>
      <c r="L33" s="2" t="inlineStr">
        <is>
          <t>aerospace, guidance, propulsion, spacecraft</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is>
          <t>"Enumeration of the Multiple-Outage Missed-Thrust Problem" [The Journal of the Astronautical Sciences] (2024) [DOI: https://doi.org/10.1007/s40295-024-00454-7] | "A single wheel test rig for ocean world rovers" [Journal of Terramechanics] (2023) [DOI: https://doi.org/10.1016/j.jterra.2023.07.001] | "Aerocapture: Enabling Small Spacecraft Direct Access to Low-Circular Orbits for Planetary Constellations" [Aerospace] (2023) [DOI: https://doi.org/10.3390/aerospace10030271]</t>
        </is>
      </c>
      <c r="AB33" s="2" t="inlineStr">
        <is>
          <t>"Shape-Based Algorithm for the Automated Design of Low-Thrust, Gravity Assist Trajectories" [Journal of Spacecraft and Rockets] (2004, 250 cites) [DOI: https://doi.org/10.2514/1.13095] | "Graphical Method for Gravity-Assist Trajectory Design" [Journal of Spacecraft and Rockets] (2002, 165 cites) [DOI: https://doi.org/10.2514/2.3800] | "Optimal Control with Aerospace Applications" (2013, 147 cites) [DOI: https://doi.org/10.1007/978-1-4614-8945-0]</t>
        </is>
      </c>
      <c r="AC33" s="2" t="inlineStr"/>
      <c r="AD33" s="2" t="inlineStr">
        <is>
          <t>NOVA (Notable Organizational Value-Added) Award from Jet Propulsion Laboratory, 1999 NASA Space Act Award, presented for creati...</t>
        </is>
      </c>
      <c r="AE33" s="2" t="inlineStr"/>
      <c r="AF33" s="2" t="inlineStr">
        <is>
          <t>Spacecraft Dynamics and Control (145) | Astro and Planetary Science (118) | Space Satellite Systems and Control (72)</t>
        </is>
      </c>
      <c r="AG33" s="2" t="inlineStr">
        <is>
          <t>Spacecraft Dynamics and Control (145) | Astro and Planetary Science (118) | Space Satellite Systems and Control (72)</t>
        </is>
      </c>
      <c r="AH33" s="2" t="inlineStr">
        <is>
          <t>Spacecraft Dynamics Orbit Mechanics Control Orbit decay and reentry</t>
        </is>
      </c>
      <c r="AI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work to a general analytic theory (which provides solutions for angular velocity, the attitude, the angular momentum vector and the translational velocity of rigid and elastic bodies subject to arbitrary body-fixed torques and forces) and to develop control laws based on the analytic theory. In 2) mission design tools developed at the Jet Propulsion Laboratory have been acquired for research use at Purdue. Both theoretical and computational techniques are being employed to analyze the delta V gravity-assist problem in terms of identifying potential trajectories (such as the Voyager Grand Tour and the Galileo VEEGA) and optimizing the launch energy and propellant requirements for these trajectories. In 3) analytic solutions have been obtained for the probability of immediate reentry and of orbit decay, as well as escape, in the event of misdirected interplanetary injection maneuvers occurring at low earth orbit. The solutions have relevance to safety issues involving nuclear power plants aboard deep space probes. In 4) the feasibility of using tethers for aerobraking has been demonstrated. The basic idea is to connect an orbiter and a probe together by a long tether, for missions to planets with atmospheres. The probe enters the atmosphere and is used to reduce the hyperbolic speed of the orbiter to capture speed, thus eliminating the large retro maneuver normally required. New issues being addressed include analysis of the flexible tether, tether guidance and control, and spacecraft (endpoint) attitude control.</t>
        </is>
      </c>
      <c r="AJ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t>
        </is>
      </c>
      <c r="AK33" s="2" t="inlineStr">
        <is>
          <t>B.S.E., The University of Michigan, Aerospace Engineering - Cum laude, 1973 M.S.E., The University of Michigan, Aerospace Engineering, 1975 Ph.D., The University of Michigan, Aerospace Engineering, 1979</t>
        </is>
      </c>
      <c r="AL33" s="2" t="inlineStr">
        <is>
          <t>Indiana Space Grant Consortium</t>
        </is>
      </c>
      <c r="AM33" s="3">
        <f>HYPERLINK("https://insgc.spacegrant.org/", "https://insgc.spacegrant.org/")</f>
        <v/>
      </c>
      <c r="AN33" s="2" t="inlineStr">
        <is>
          <t>Academic INSGC Internships</t>
        </is>
      </c>
      <c r="AO33" s="2" t="inlineStr"/>
      <c r="AP33" s="2" t="inlineStr"/>
      <c r="AQ33" s="2" t="inlineStr">
        <is>
          <t>NASA</t>
        </is>
      </c>
      <c r="AR33" s="2" t="inlineStr"/>
      <c r="AS33" s="2" t="inlineStr"/>
      <c r="AT33" s="2" t="inlineStr"/>
      <c r="AU33" s="2" t="b">
        <v>1</v>
      </c>
      <c r="AV33" s="3">
        <f>HYPERLINK("https://engineering.purdue.edu/AAE/people/Faculty", "https://engineering.purdue.edu/AAE/people/Faculty")</f>
        <v/>
      </c>
    </row>
    <row r="34">
      <c r="A34" s="2" t="inlineStr">
        <is>
          <t>Kazuki Maeda</t>
        </is>
      </c>
      <c r="B34" s="2" t="inlineStr">
        <is>
          <t>Purdue University</t>
        </is>
      </c>
      <c r="C34" s="3">
        <f>HYPERLINK("https://engineering.purdue.edu/AAE/people/ptProfile?resource_id=284676", "https://engineering.purdue.edu/AAE/people/ptProfile?resource_id=284676")</f>
        <v/>
      </c>
      <c r="D34" s="3">
        <f>HYPERLINK("https://scholar.google.com/citations?hl=en&amp;user=r7gLAy4AAAAJ&amp;view_op=list_works&amp;sortby=pubdate", "Scholar (r7gLAy4AAAAJ)")</f>
        <v/>
      </c>
      <c r="E34" s="2" t="inlineStr">
        <is>
          <t>Assistant Professor</t>
        </is>
      </c>
      <c r="F34" s="2" t="inlineStr">
        <is>
          <t>Aeronautics and Astronautics</t>
        </is>
      </c>
      <c r="G34" s="2" t="inlineStr">
        <is>
          <t>r7gLAy4AAAAJ</t>
        </is>
      </c>
      <c r="H34" s="3">
        <f>HYPERLINK("mailto:kmaeda@purdue.edu", "kmaeda@purdue.edu")</f>
        <v/>
      </c>
      <c r="I34" s="2" t="n">
        <v>1</v>
      </c>
      <c r="J34" s="2" t="inlineStr">
        <is>
          <t>🔵 Tier 1: Core Aero / Fluids / Propulsion</t>
        </is>
      </c>
      <c r="K34" s="2" t="n">
        <v>4</v>
      </c>
      <c r="L34" s="2" t="inlineStr">
        <is>
          <t>aerodynamics, hypersonic, propulsion, rocket propulsion</t>
        </is>
      </c>
      <c r="M34" s="2" t="inlineStr">
        <is>
          <t>Reactive molecular dynamics, non-equilibrium shock wave physics in reactive gaseous mixtures, high-frequency biomedical ultrasound, and multiscale flow modeling.</t>
        </is>
      </c>
      <c r="N34" s="2" t="inlineStr">
        <is>
          <t>Reactive Molecular Dynamics (ReaxFF), Non-Equilibrium Kinetic Solvers, High-Frequency Ultrasound Diagnostics, Shock Tube Simulations</t>
        </is>
      </c>
      <c r="O34" s="2" t="inlineStr">
        <is>
          <t>Effect of Shock Strength on the Structure of H 2 /O 2 Reactive Shock Waves</t>
        </is>
      </c>
      <c r="P34" s="3">
        <f>HYPERLINK("https://doi.org/10.2514/6.2026-1003", "https://doi.org/10.2514/6.2026-1003")</f>
        <v/>
      </c>
      <c r="Q34" s="2" t="inlineStr">
        <is>
          <t>performing non-equilibrium reactive molecular dynamics of H2/O2 shock waves up to 5 km/s, revealing that molecular mass disparity between H2 and O2 drives species separation across the subcontinuum shock front prior to chemical induction.</t>
        </is>
      </c>
      <c r="R34" s="2" t="inlineStr">
        <is>
          <t>We report on the effect of shock strength on the structures of reactive shock waves in stoichiometric gaseous H2/O2 mixtures by using non-equilibrium reactive molecular dynamics simulations. A shock wave is generated by a moving piston in a square duct across piston velocities from 2 to 5 km/s. Atomic trajectories resolve the spatial separation between the hydrodynamic shock compression zone and the chemical induction zone, demonstrating that extreme molecular mass disparity drives significant species separation prior to ignition.</t>
        </is>
      </c>
      <c r="S34" s="2" t="inlineStr">
        <is>
          <t>Subcontinuum structures of reactive shock waves in gaseous H 2 / O 2 mixtures</t>
        </is>
      </c>
      <c r="T34" s="3">
        <f>HYPERLINK("https://doi.org/10.1103/y7lz-563m", "https://doi.org/10.1103/y7lz-563m")</f>
        <v/>
      </c>
      <c r="U34" s="2" t="inlineStr">
        <is>
          <t>resolving the subcontinuum shock layer in Mach 5 H2/O2 mixtures, demonstrating that prompt translational pre-heating of light hydrogen molecules alters bimolecular radical initiation ahead of the primary hydrodynamic shock.</t>
        </is>
      </c>
      <c r="V34" s="2" t="inlineStr">
        <is>
          <t>Nonequilibrium reactive molecular dynamics simulations reveal detailed structures of a Mach 5 shock wave in a gaseous H2/O2 mixture, driven by the large mass disparity between H2 and O2 molecules. The light hydrogen molecules experience prompt translational pre-heating ahead of the heavier oxygen shock, producing non-Maxwellian velocity distributions that fundamentally modify the initiation of elementary bimolecular chain-branching reactions.</t>
        </is>
      </c>
      <c r="W34" s="2" t="inlineStr">
        <is>
          <t>1. Effect of Shock Strength on the Structure of H 2 /O 2 Reactive Shock Waves (AIAA SciTech, 2026) [DOI: https://doi.org/10.2514/6.2026-1003] | 2. Subcontinuum structures of reactive shock waves in gaseous H 2 / O 2 mixtures (Physical Review Fluids, 2025) [DOI: https://doi.org/10.1103/y7lz-563m]</t>
        </is>
      </c>
      <c r="X34" s="3">
        <f>HYPERLINK("https://doi.org/10.2514/6.2026-1003", "https://doi.org/10.2514/6.2026-1003 | https://doi.org/10.1103/y7lz-563m")</f>
        <v/>
      </c>
      <c r="Y34" s="2" t="inlineStr">
        <is>
          <t>performing non-equilibrium reactive molecular dynamics of H2/O2 shock waves up to 5 km/s, revealing that molecular mass disparity between H2 and O2 drives species separation across the subcontinuum shock front prior to chemical induction.</t>
        </is>
      </c>
      <c r="Z34" s="2" t="inlineStr"/>
      <c r="AA34" s="2" t="inlineStr">
        <is>
          <t>"Effect of Shock Strength on the Structure of H 2 /O 2 Reactive Shock Waves" (2026) [DOI: https://doi.org/10.2514/6.2026-1003] | "High-frequency ultrasound for microcirculation in metastatic mouse lymph node: contrast-free versus contrast-enhanced imaging" [Scientific Reports] (2025) [DOI: https://doi.org/10.1038/s41598-025-27268-3] | "Subcontinuum structures of reactive shock waves in gaseous H 2 / O 2 mixtures" [Physical Review Fluids] (2025) [DOI: https://doi.org/10.1103/y7lz-563m] | "Attenuation Estimation and Acoustic Characterization of Mouse Lymph Node Tumor Using High-frequency Ultrasound" [Molecular Imaging and Biology] (2025) [DOI: https://doi.org/10.1007/s11307-025-02007-2] | "An isospectral transformation between Hessenberg–bidiagonal matrix pencils and Hessenberg matrices without using subtraction" [Linear Algebra and its Applications] (2025) [DOI: https://doi.org/10.1016/j.laa.2025.04.022]</t>
        </is>
      </c>
      <c r="AB34" s="2" t="inlineStr">
        <is>
          <t>"Controlled Synthesis of 3D Multi‐Compartmental Particles with Centrifuge‐Based Microdroplet Formation from a Multi‐Barrelled Capillary" [Advanced Materials] (2012, 234 cites) [DOI: https://doi.org/10.1002/adma.201102560] | "Laser sintering (SLS) of hard metal powders for abrasion resistant coatings" [Journal of Materials Processing Technology] (2004, 78 cites) [DOI: https://doi.org/10.1016/j.jmatprotec.2004.02.024] | "Bubble cloud dynamics in an ultrasound field" [Journal of Fluid Mechanics] (2019, 77 cites) [DOI: https://doi.org/10.1017/jfm.2018.968]</t>
        </is>
      </c>
      <c r="AC34" s="2" t="inlineStr"/>
      <c r="AD34" s="2" t="inlineStr">
        <is>
          <t>Awards (selected) Richard Bruce Chapman Memorial Award Funai Foudation for Information Technology Overseas Scholarship Stanford...</t>
        </is>
      </c>
      <c r="AE34" s="2" t="inlineStr"/>
      <c r="AF34" s="2" t="inlineStr">
        <is>
          <t>Ultrasound and Cavitation Phenomena (20) | Optical Network Technologies (11) | Ultrasound and Hyperthermia Applications (10)</t>
        </is>
      </c>
      <c r="AG34" s="2" t="inlineStr">
        <is>
          <t>Ultrasound and Cavitation Phenomena (20) | Optical Network Technologies (11) | Ultrasound and Hyperthermia Applications (10)</t>
        </is>
      </c>
      <c r="AH34" s="2" t="inlineStr">
        <is>
          <t>Space propulsion Flow physics and aerodynamics Cyberphysical integration High-performance computing Rockets and hypersonics</t>
        </is>
      </c>
      <c r="AI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assimilation and optimization of complex engineering systems. Further information can be found in the group's webpage .</t>
        </is>
      </c>
      <c r="AJ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t>
        </is>
      </c>
      <c r="AK34" s="2" t="inlineStr">
        <is>
          <t>Ph.D. California Institute of Technology, Mechanical Engineering, 2018 M.S. California Institute of Technology, Mechanical Engineering, 2014 B.S. The University of Tokyo, Mechanical Engineering, 2013</t>
        </is>
      </c>
      <c r="AL34" s="2" t="inlineStr">
        <is>
          <t>Indiana Space Grant Consortium</t>
        </is>
      </c>
      <c r="AM34" s="3">
        <f>HYPERLINK("https://insgc.spacegrant.org/", "https://insgc.spacegrant.org/")</f>
        <v/>
      </c>
      <c r="AN34" s="2" t="inlineStr">
        <is>
          <t>Academic INSGC Internships</t>
        </is>
      </c>
      <c r="AO34" s="2" t="inlineStr"/>
      <c r="AP34" s="2" t="inlineStr"/>
      <c r="AQ34" s="2" t="inlineStr">
        <is>
          <t>NASA</t>
        </is>
      </c>
      <c r="AR34" s="2" t="inlineStr"/>
      <c r="AS34" s="2" t="inlineStr"/>
      <c r="AT34" s="2" t="inlineStr">
        <is>
          <t>ARMS 2037</t>
        </is>
      </c>
      <c r="AU34" s="2" t="b">
        <v>1</v>
      </c>
      <c r="AV34" s="3">
        <f>HYPERLINK("https://engineering.purdue.edu/AAE/people/Faculty", "https://engineering.purdue.edu/AAE/people/Faculty")</f>
        <v/>
      </c>
    </row>
    <row r="35">
      <c r="A35" s="2" t="inlineStr">
        <is>
          <t>Razi Nalim</t>
        </is>
      </c>
      <c r="B35" s="2" t="inlineStr">
        <is>
          <t>Purdue University</t>
        </is>
      </c>
      <c r="C35" s="3">
        <f>HYPERLINK("https://engineering.purdue.edu/ME/People/ptProfile?resource_id=297474", "https://engineering.purdue.edu/ME/People/ptProfile?resource_id=297474")</f>
        <v/>
      </c>
      <c r="D35" s="3">
        <f>HYPERLINK("https://scholar.google.com/citations?view_op=search_authors&amp;mauthors=Razi%20Nalim%20Purdue%20University", "Google Scholar Search")</f>
        <v/>
      </c>
      <c r="E35" s="2" t="inlineStr">
        <is>
          <t>Professor of Mechanical Engineering</t>
        </is>
      </c>
      <c r="F35" s="2" t="inlineStr">
        <is>
          <t>Mechanical Engineering</t>
        </is>
      </c>
      <c r="G35" s="2" t="inlineStr"/>
      <c r="H35" s="3">
        <f>HYPERLINK("mailto:mnalim@purdue.edu", "mnalim@purdue.edu")</f>
        <v/>
      </c>
      <c r="I35" s="2" t="n">
        <v>1</v>
      </c>
      <c r="J35" s="2" t="inlineStr">
        <is>
          <t>🔵 Tier 1: Core Aero / Fluids / Propulsion</t>
        </is>
      </c>
      <c r="K35" s="2" t="n">
        <v>4</v>
      </c>
      <c r="L35" s="2" t="inlineStr">
        <is>
          <t>aerospace, biofluid, combustion, turbulence</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"Large-Eddy Simulation of Traversing Jet Re-Ignition in a Wave-Rotor Constant-Volume Combustor" (2025) [DOI: https://doi.org/10.1115/gt2025-154259] | "Improved Incidence Loss Model for Wave Rotor Turbine With Non-Axial Channels at Off-Design Conditions" (2025) [DOI: https://doi.org/10.2514/6.2025-1973] | "Review of large-scale potential for carbon fiber from gas liquids for the carbon-hydrogen economy" (2024) [DOI: https://doi.org/10.1201/9781003496724-11] | "Efficient Low-Fidelity Design Tool for Turbine-Integrated Wave Rotor Combustor" (2024) [DOI: https://doi.org/10.1115/power2024-138815] | "Planning a Trucking Research Consortium using Industry Customer Discovery and Innovation Ecosystem Mapping" (2024) [DOI: https://doi.org/10.18260/1-2--47846]</t>
        </is>
      </c>
      <c r="AB35" s="2" t="inlineStr">
        <is>
          <t>"A Review of Wave Rotor Technology and Its Applications" [Journal of Engineering for Gas Turbines and Power] (2006, 178 cites) [DOI: https://doi.org/10.1115/1.2204628] | "Thermal-economic optimization of a distributed multi-generation energy system—A case study of Beijing" [Applied Thermal Engineering] (2005, 148 cites) [DOI: https://doi.org/10.1016/j.applthermaleng.2005.09.005] | "Review of Recent Developments in Wave Rotor Combustion Technology" [Journal of Propulsion and Power] (2009, 100 cites) [DOI: https://doi.org/10.2514/1.34081]</t>
        </is>
      </c>
      <c r="AC35" s="2" t="inlineStr"/>
      <c r="AD35" s="2" t="inlineStr">
        <is>
          <t>Outstanding Mechanical Engineers Distinguished Engineering Alumni Honorary Doctorates Staff Awards Student Awards Distinguished...</t>
        </is>
      </c>
      <c r="AE35" s="2" t="inlineStr"/>
      <c r="AF35" s="2" t="inlineStr">
        <is>
          <t>Combustion and Detonation Processes (89) | Combustion and flame dynamics (57) | Computational Fluid Dynamics and Aerodynamics (31)</t>
        </is>
      </c>
      <c r="AG35" s="2" t="inlineStr">
        <is>
          <t>Combustion and Detonation Processes (89) | Combustion and flame dynamics (57) | Computational Fluid Dynamics and Aerodynamics (31)</t>
        </is>
      </c>
      <c r="AH35" s="2" t="inlineStr">
        <is>
          <t>Pollution control innovative powerplants Wave rotors Combustion and turbulence modeling Ignition processes Design methodology and optimization Unsteady biofluid flow Biomedical engineering Aerospace education</t>
        </is>
      </c>
      <c r="AI35" s="2" t="inlineStr"/>
      <c r="AJ35" s="2" t="inlineStr">
        <is>
          <t>Pollution control innovative powerplants Wave rotors Combustion and turbulence modeling Ignition processes Design methodology and optimization Unsteady biofluid flow Biomedical engineering Aerospace education</t>
        </is>
      </c>
      <c r="AK35" s="2" t="inlineStr">
        <is>
          <t>B.S. Mechanical Engineering, Indian Institute of Technology, Kanpur, 1983 M.S. Mechanical Engineering, Cornell University, 1985 Ph.D. Aerospace Engineering, Cornell University, 1994</t>
        </is>
      </c>
      <c r="AL35" s="2" t="inlineStr">
        <is>
          <t>Indiana Space Grant Consortium</t>
        </is>
      </c>
      <c r="AM35" s="3">
        <f>HYPERLINK("https://insgc.spacegrant.org/", "https://insgc.spacegrant.org/")</f>
        <v/>
      </c>
      <c r="AN35" s="2" t="inlineStr">
        <is>
          <t>Academic INSGC Internships</t>
        </is>
      </c>
      <c r="AO35" s="2" t="inlineStr"/>
      <c r="AP35" s="2" t="inlineStr"/>
      <c r="AQ35" s="2" t="inlineStr">
        <is>
          <t>NASA</t>
        </is>
      </c>
      <c r="AR35" s="2" t="inlineStr"/>
      <c r="AS35" s="2" t="inlineStr"/>
      <c r="AT35" s="2" t="inlineStr"/>
      <c r="AU35" s="2" t="b">
        <v>1</v>
      </c>
      <c r="AV35" s="3">
        <f>HYPERLINK("https://engineering.purdue.edu/ME/People/ptFaculty", "https://engineering.purdue.edu/ME/People/ptFaculty")</f>
        <v/>
      </c>
    </row>
    <row r="36">
      <c r="A36" s="2" t="inlineStr">
        <is>
          <t>Romit Maulik</t>
        </is>
      </c>
      <c r="B36" s="2" t="inlineStr">
        <is>
          <t>Purdue University</t>
        </is>
      </c>
      <c r="C36" s="3">
        <f>HYPERLINK("https://engineering.purdue.edu/ME/People/ptProfile?resource_id=328301", "https://engineering.purdue.edu/ME/People/ptProfile?resource_id=328301")</f>
        <v/>
      </c>
      <c r="D36" s="3">
        <f>HYPERLINK("https://scholar.google.com/citations?view_op=search_authors&amp;mauthors=Romit%20Maulik%20Purdue%20University", "Google Scholar Search")</f>
        <v/>
      </c>
      <c r="E36" s="2" t="inlineStr">
        <is>
          <t>Assistant Professor of Mechanical Engineering</t>
        </is>
      </c>
      <c r="F36" s="2" t="inlineStr">
        <is>
          <t>Mechanical Engineering</t>
        </is>
      </c>
      <c r="G36" s="2" t="inlineStr"/>
      <c r="H36" s="3">
        <f>HYPERLINK("mailto:rmaulik@purdue.edu", "rmaulik@purdue.edu")</f>
        <v/>
      </c>
      <c r="I36" s="2" t="n">
        <v>1</v>
      </c>
      <c r="J36" s="2" t="inlineStr">
        <is>
          <t>🔵 Tier 1: Core Aero / Fluids / Propulsion</t>
        </is>
      </c>
      <c r="K36" s="2" t="n">
        <v>4</v>
      </c>
      <c r="L36" s="2" t="inlineStr">
        <is>
          <t>computational fluid dynamics, fluid dynamics, fluid mechanics, scientific computing</t>
        </is>
      </c>
      <c r="M36" s="2" t="inlineStr">
        <is>
          <t>Differentiable physics for turbulence closure modeling, neural operators (Fourier/PCA-Net), reduced-order modeling for advection-dominated systems, and deep generative models.</t>
        </is>
      </c>
      <c r="N36" s="2" t="inlineStr">
        <is>
          <t>Differentiable CFD Solvers (JAX-Fluids/PyTorch), Neural Operators (FNO/DeepONet), Convolutional Autoencoders, Subgrid-Scale Turbulence Closures, Diffusion Models</t>
        </is>
      </c>
      <c r="O36" s="2" t="inlineStr">
        <is>
          <t>Generalizable data-driven turbulence closure modeling on unstructured grids with differentiable physics</t>
        </is>
      </c>
      <c r="P36" s="3">
        <f>HYPERLINK("https://doi.org/10.1016/j.compfluid.2026.107200", "https://doi.org/10.1016/j.compfluid.2026.107200")</f>
        <v/>
      </c>
      <c r="Q36" s="2" t="inlineStr">
        <is>
          <t>coupling automatic differentiation with unstructured CFD solvers to train data-driven subgrid turbulence closures, demonstrating that end-to-end differentiable physics training prevents numerical instabilities and generalizes across complex geometries.</t>
        </is>
      </c>
      <c r="R36" s="2" t="inlineStr">
        <is>
          <t>We present a differentiable physics framework for training data-driven subgrid-scale turbulence models on unstructured grids. By backpropagating through the discretized Navier-Stokes solver using automatic differentiation, the neural network learns closure corrections that account for numerical truncation errors and non-local stress interactions. The resulting models demonstrate remarkable stability and generalize across disparate Reynolds numbers and complex aerodynamic geometries.</t>
        </is>
      </c>
      <c r="S36" s="2" t="inlineStr">
        <is>
          <t>Reduced-order modeling of advection-dominated systems with recurrent neural networks and convolutional autoencoders</t>
        </is>
      </c>
      <c r="T36" s="3">
        <f>HYPERLINK("https://doi.org/10.1063/5.0039986", "https://doi.org/10.1063/5.0039986")</f>
        <v/>
      </c>
      <c r="U36" s="2" t="inlineStr">
        <is>
          <t>formulating non-linear manifold reduced-order models via convolutional autoencoders and recurrent neural networks for advection-dominated flows, overcoming linear POD limitations to accurately propagate moving shock and vortex dynamics.</t>
        </is>
      </c>
      <c r="V36" s="2" t="inlineStr">
        <is>
          <t>A common strategy for dimensionality reduction of nonlinear partial differential equations relies on proper orthogonal decomposition (POD) with Galerkin projection. However, advection-dominated systems exhibit slow decay of Kolmogorov n-width, degrading linear POD accuracy. This study develops a non-linear manifold reduced-order model combining convolutional autoencoders with recurrent neural networks (LSTM). The architecture accurately captures propagating shock fronts and vortex convection with orders-of-magnitude fewer degrees of freedom.</t>
        </is>
      </c>
      <c r="W36" s="2" t="inlineStr">
        <is>
          <t>1. Generalizable data-driven turbulence closure modeling on unstructured grids with differentiable physics (Computers &amp; Fluids, 2026) [DOI: https://doi.org/10.1016/j.compfluid.2026.107200] | 2. Reduced-order modeling of advection-dominated systems with recurrent neural networks and convolutional autoencoders (Physics of Fluids, 2021) [DOI: https://doi.org/10.1063/5.0039986]</t>
        </is>
      </c>
      <c r="X36" s="3">
        <f>HYPERLINK("https://doi.org/10.1016/j.compfluid.2026.107200", "https://doi.org/10.1016/j.compfluid.2026.107200 | https://doi.org/10.1063/5.0039986")</f>
        <v/>
      </c>
      <c r="Y36" s="2" t="inlineStr">
        <is>
          <t>coupling automatic differentiation with unstructured CFD solvers to train data-driven subgrid turbulence closures, demonstrating that end-to-end differentiable physics training prevents numerical instabilities and generalizes across complex geometries.</t>
        </is>
      </c>
      <c r="Z36" s="2" t="inlineStr"/>
      <c r="AA36" s="2" t="inlineStr">
        <is>
          <t>"Generalizable data-driven turbulence closure modeling on unstructured grids with differentiable physics" [Computers &amp; Fluids] (2026) [DOI: https://doi.org/10.1016/j.compfluid.2026.107200] | "Localized PCA-Net neural operators for scalable solution reconstruction of elliptic PDEs" [Machine learning for computational science and engineering] (2026) [DOI: https://doi.org/10.1007/s44379-026-00070-2] | "SALSA-RL: stability analysis in the latent space of actions for reinforcement learning" [Neural Networks] (2026) [DOI: https://doi.org/10.1016/j.neunet.2026.108957] | "Multimodal atmospheric super-resolution with deep generative models" [Machine Learning Earth] (2025) [DOI: https://doi.org/10.1088/3049-4753/ae286e] | "Measure-Theoretic Time-Delay Embedding" [Journal of Statistical Physics] (2025) [DOI: https://doi.org/10.1007/s10955-025-03555-1]</t>
        </is>
      </c>
      <c r="AB36" s="2" t="inlineStr">
        <is>
          <t>"Reduced-order modeling of advection-dominated systems with recurrent neural networks and convolutional autoencoders" [Physics of Fluids] (2021, 303 cites) [DOI: https://doi.org/10.1063/5.0039986] | "An artificial neural network framework for reduced order modeling of transient flows" [Communications in Nonlinear Science and Numerical Simulation] (2019, 170 cites) [DOI: https://doi.org/10.1016/j.cnsns.2019.04.025] | "Neural network closures for nonlinear model order reduction" [Advances in Computational Mathematics] (2018, 154 cites) [DOI: https://doi.org/10.1007/s10444-018-9590-z]</t>
        </is>
      </c>
      <c r="AC36" s="2" t="inlineStr"/>
      <c r="AD36" s="2" t="inlineStr">
        <is>
          <t>Outstanding Mechanical Engineers Distinguished Engineering Alumni Honorary Doctorates Staff Awards Student Awards Distinguished...</t>
        </is>
      </c>
      <c r="AE36" s="2" t="inlineStr"/>
      <c r="AF36" s="2" t="inlineStr">
        <is>
          <t>Model Reduction and Neural Networks (76) | Fluid Dynamics and Turbulent Flows (58) | Meteorological Phenomena and Simulations (46)</t>
        </is>
      </c>
      <c r="AG36" s="2" t="inlineStr">
        <is>
          <t>Model Reduction and Neural Networks (76) | Fluid Dynamics and Turbulent Flows (58) | Meteorological Phenomena and Simulations (46)</t>
        </is>
      </c>
      <c r="AH36" s="2" t="inlineStr">
        <is>
          <t>Scientific machine learning Computational fluid dynamics Dynamical systems Inverse problems</t>
        </is>
      </c>
      <c r="AI36" s="2" t="inlineStr">
        <is>
          <t>Fluid Mechanics</t>
        </is>
      </c>
      <c r="AJ36" s="2" t="inlineStr">
        <is>
          <t>Fluid Mechanics</t>
        </is>
      </c>
      <c r="AK36" s="2" t="inlineStr">
        <is>
          <t>Margaret Butler Postdoctoral Fellow - Argonne National Laboratory - 2021 PhD - Oklahoma State University - 2019 MS - Oklahoma State University - 2016 BS - Birla Institute of Technology - 2012</t>
        </is>
      </c>
      <c r="AL36" s="2" t="inlineStr">
        <is>
          <t>Interdisciplinary Scientific Computing Laboratory (GitHub)</t>
        </is>
      </c>
      <c r="AM36" s="3">
        <f>HYPERLINK("https://romit-maulik.github.io/", "https://romit-maulik.github.io/")</f>
        <v/>
      </c>
      <c r="AN36" s="2" t="inlineStr"/>
      <c r="AO36" s="2" t="inlineStr"/>
      <c r="AP36" s="2" t="inlineStr"/>
      <c r="AQ36" s="2" t="inlineStr"/>
      <c r="AR36" s="3">
        <f>HYPERLINK("https://github.com/Romit-Maulik", "https://github.com/Romit-Maulik, https://github.com/mavroudisv/plain-academic")</f>
        <v/>
      </c>
      <c r="AS36" s="2" t="inlineStr"/>
      <c r="AT36" s="2" t="inlineStr">
        <is>
          <t>FLEX 3081B</t>
        </is>
      </c>
      <c r="AU36" s="2" t="b">
        <v>1</v>
      </c>
      <c r="AV36" s="3">
        <f>HYPERLINK("https://engineering.purdue.edu/ME/People/ptFaculty", "https://engineering.purdue.edu/ME/People/ptFaculty")</f>
        <v/>
      </c>
    </row>
    <row r="37">
      <c r="A37" s="2" t="inlineStr">
        <is>
          <t>Stephen D. Heister</t>
        </is>
      </c>
      <c r="B37" s="2" t="inlineStr">
        <is>
          <t>Purdue University</t>
        </is>
      </c>
      <c r="C37" s="3">
        <f>HYPERLINK("https://engineering.purdue.edu/AAE/people/ptProfile?resource_id=1326", "https://engineering.purdue.edu/AAE/people/ptProfile?resource_id=1326")</f>
        <v/>
      </c>
      <c r="D37" s="3">
        <f>HYPERLINK("https://scholar.google.com/citations?view_op=search_authors&amp;mauthors=Stephen%20D.%20Heister%20Purdue%20University", "Google Scholar Search")</f>
        <v/>
      </c>
      <c r="E37" s="2" t="inlineStr">
        <is>
          <t>Raisbeck Engineering Distinguished Professor for Engineering and Technology Integration; Ph.D., UCLA, 1988, rocket propulsion, liquid propellant injection systems.</t>
        </is>
      </c>
      <c r="F37" s="2" t="inlineStr">
        <is>
          <t>Aeronautics and Astronautics</t>
        </is>
      </c>
      <c r="G37" s="2" t="inlineStr"/>
      <c r="H37" s="3">
        <f>HYPERLINK("mailto:webmaster-eng@purdue.edu", "webmaster-eng@purdue.edu")</f>
        <v/>
      </c>
      <c r="I37" s="2" t="n">
        <v>1</v>
      </c>
      <c r="J37" s="2" t="inlineStr">
        <is>
          <t>🔵 Tier 1: Core Aero / Fluids / Propulsion</t>
        </is>
      </c>
      <c r="K37" s="2" t="n">
        <v>4</v>
      </c>
      <c r="L37" s="2" t="inlineStr">
        <is>
          <t>aerospace, detonation, propulsion, rocket propulsion</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is>
          <t>"Structural Life Characterization of a Rotating Detonation Rocket Engine (RDRE)" (2025) [DOI: https://doi.org/10.2514/6.2025-1977] | "Heat Transfer Measurements of NASA Liquid Kerosene/Oxygen Rotating Detonation Rocket Engine" (2025) [DOI: https://doi.org/10.2514/6.2025-1976] | "Current Status of Liquid-Bipropellant Detonation-Based Propulsion Devices" [Journal of Propulsion and Power] (2024) [DOI: https://doi.org/10.2514/1.b39360] | "Impulse generated from detonation waves in non-premixed and partially premixed reactants" [Applications in Energy and Combustion Science] (2024) [DOI: https://doi.org/10.1016/j.jaecs.2024.100264] | "Rotating detonation combustor performance informed through a novel megahertz-rate stagnation pressure measurement" [Physics of Fluids] (2024) [DOI: https://doi.org/10.1063/5.0195465]</t>
        </is>
      </c>
      <c r="AB37" s="2" t="inlineStr">
        <is>
          <t>"Thermoelectric Generators for Automotive Waste Heat Recovery Systems Part I: Numerical Modeling and Baseline Model Analysis" [Journal of Electronic Materials] (2013, 155 cites) [DOI: https://doi.org/10.1007/s11664-013-2471-9] | "A Numerical Treatment for Attached Cavitation" [Journal of Fluids Engineering] (1994, 118 cites) [DOI: https://doi.org/10.1115/1.2910321] | "Modeling Hydrodynamic Nonequilibrium in Cavitating Flows" [Journal of Fluids Engineering] (1996, 117 cites) [DOI: https://doi.org/10.1115/1.2817497]</t>
        </is>
      </c>
      <c r="AC37" s="2" t="inlineStr"/>
      <c r="AD37" s="2" t="inlineStr">
        <is>
          <t>The Elmer F. Bruhn Teaching Award, 2011 Recipient, C.T. Sun Research Award, Oct. 2005. Purdue University Faculty Scholar, 1998-...</t>
        </is>
      </c>
      <c r="AE37" s="2" t="inlineStr"/>
      <c r="AF37" s="2" t="inlineStr">
        <is>
          <t>Rocket and propulsion systems research (120) | Energetic Materials and Combustion (102) | Combustion and Detonation Processes (89)</t>
        </is>
      </c>
      <c r="AG37" s="2" t="inlineStr">
        <is>
          <t>Rocket and propulsion systems research (120) | Energetic Materials and Combustion (102) | Combustion and Detonation Processes (89)</t>
        </is>
      </c>
      <c r="AH37" s="2" t="inlineStr">
        <is>
          <t>Aerospace propulsion systems Airbreathing and rocket engine combustors Liquid propellant injection systems Two-phase and capillary flows</t>
        </is>
      </c>
      <c r="AI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gas/liquid and cavitating flows have been developed for use within the homogeneous fluid architecture, both 2-D and 3-D models have been developed for use in this context.  Both 2-D and 3-D boundary element codes have also been developed and applied to both pressure and pressure-swirl atomizers with and without gas-phase contributions.  Several graduate students continue to pursue these areas within Dr. Heister's research group. During the past decade, Professor Heister has become more involved with experimental work at the substantial propulsion laboratories available at the Maurice J. Zucrow Lab complex .   In this context, his group has been involved with solid, hybrid, and liquid rocket engine developments.  Substantial work has been done with hydrogen peroxide-based hybrid rockets using various ignition schemes and a multitude of fuel combinations. The group collaborates closely with Air Force and Navy Laboratories in the assessment of new liquid and hybrid rocket propellants.  The group has been a substantial contributor to development of nontoxic hypergolic propellants for  liquid rocket applications.  Studies have also been conducted under DARPA sponsorship with regard to propulsion systems for mobile land mines.  An experimental facility has been developed to study cyclic operation of Pulse Detonation Engines at frequencies as high as 50 Hz. In 2003, Dr. Heister was named the Director of the Rolls-Royce University Technology Center in High Mach Propulsion, the first such center in the United States.  In accordance with this role, he collaborates with other AAE and ME faculty in developing experimental facilities to heat sink and coking characteristics of gas turbine fuels at aggressive high temperature conditions.  In addition, this group is pursuing advanced fuel injectors for application to high Mach jet engines.</t>
        </is>
      </c>
      <c r="AJ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t>
        </is>
      </c>
      <c r="AK37" s="2" t="inlineStr">
        <is>
          <t>B.S.E., The University of Michigan, Aerospace Engineering, 1981 M.S.E., The University of Michigan, Aerospace Engineering, 1983 Ph.D., Univ. of California at Los Angeles, Aerospace Engineering, 1988</t>
        </is>
      </c>
      <c r="AL37" s="2" t="inlineStr">
        <is>
          <t>Indiana Space Grant Consortium</t>
        </is>
      </c>
      <c r="AM37" s="3">
        <f>HYPERLINK("https://insgc.spacegrant.org/", "https://insgc.spacegrant.org/")</f>
        <v/>
      </c>
      <c r="AN37" s="2" t="inlineStr">
        <is>
          <t>Academic INSGC Internships</t>
        </is>
      </c>
      <c r="AO37" s="2" t="inlineStr"/>
      <c r="AP37" s="2" t="inlineStr"/>
      <c r="AQ37" s="2" t="inlineStr">
        <is>
          <t>NASA</t>
        </is>
      </c>
      <c r="AR37" s="2" t="inlineStr"/>
      <c r="AS37" s="2" t="inlineStr"/>
      <c r="AT37" s="2" t="inlineStr"/>
      <c r="AU37" s="2" t="b">
        <v>1</v>
      </c>
      <c r="AV37" s="3">
        <f>HYPERLINK("https://engineering.purdue.edu/AAE/people/Faculty", "https://engineering.purdue.edu/AAE/people/Faculty")</f>
        <v/>
      </c>
    </row>
    <row r="38">
      <c r="A38" s="2" t="inlineStr">
        <is>
          <t>Steven F. Son</t>
        </is>
      </c>
      <c r="B38" s="2" t="inlineStr">
        <is>
          <t>Purdue University</t>
        </is>
      </c>
      <c r="C38" s="3">
        <f>HYPERLINK("https://engineering.purdue.edu/ME/People/ptProfile?resource_id=29385", "https://engineering.purdue.edu/ME/People/ptProfile?resource_id=29385")</f>
        <v/>
      </c>
      <c r="D38" s="3">
        <f>HYPERLINK("https://scholar.google.com/citations?view_op=search_authors&amp;mauthors=Steven%20F.%20Son%20Purdue%20University", "Google Scholar Search")</f>
        <v/>
      </c>
      <c r="E38" s="2" t="inlineStr">
        <is>
          <t>Alfred J. Mcallister Professor of Mechanical Engineering</t>
        </is>
      </c>
      <c r="F38" s="2" t="inlineStr">
        <is>
          <t>Aeronautics and Astronautics</t>
        </is>
      </c>
      <c r="G38" s="2" t="inlineStr"/>
      <c r="H38" s="3">
        <f>HYPERLINK("mailto:sson@purdue.edu", "sson@purdue.edu")</f>
        <v/>
      </c>
      <c r="I38" s="2" t="n">
        <v>1</v>
      </c>
      <c r="J38" s="2" t="inlineStr">
        <is>
          <t>🔵 Tier 1: Core Aero / Fluids / Propulsion</t>
        </is>
      </c>
      <c r="K38" s="2" t="n">
        <v>4</v>
      </c>
      <c r="L38" s="2" t="inlineStr">
        <is>
          <t>combustion, fluid mechanics, materials, thermodynamics</t>
        </is>
      </c>
      <c r="M38" s="2" t="inlineStr">
        <is>
          <t>Combustion and deflagration-to-detonation transition of composite solid propellants, reactive energetic nanocomposites, and high-speed laser diagnostics in explosive fireballs.</t>
        </is>
      </c>
      <c r="N38" s="2" t="inlineStr">
        <is>
          <t>High-Pressure Strand Burners, Laser Absorption Spectroscopy (LAS), Optical Emission Spectroscopy, Additive Manufacturing of Energetics, High-Speed Optical Pyrometry</t>
        </is>
      </c>
      <c r="O38" s="2" t="inlineStr">
        <is>
          <t>Laser absorption measurements of temperature, pressure, CO, and CO2 at near-MHz rates in post-detonation fireballs with comparison to synthetic measurements</t>
        </is>
      </c>
      <c r="P38" s="3">
        <f>HYPERLINK("https://doi.org/10.1063/5.0312755", "https://doi.org/10.1063/5.0312755")</f>
        <v/>
      </c>
      <c r="Q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R38" s="2" t="inlineStr">
        <is>
          <t>A laser absorption spectroscopy (LAS) diagnostic was used to obtain measurements of temperature, pressure, CO, and CO2 at 500 kHz or 1 MHz in post-detonation fireballs produced by hemispherical samples of pentaerythritol tetranitrate (PETN). Experimental and synthetic LAS measurements were compared to evaluate the accuracy of the CFD model and its ability to model the turbulent afterburning of the detonation products in air. Results provide unprecedented time-resolved insights into species evolution and secondary combustion kinetics in reacting post-blast plumes.</t>
        </is>
      </c>
      <c r="S38" s="2" t="inlineStr">
        <is>
          <t>Characterization of the influence of aluminum particle size on the temperature of composite-propellant flames using CO absorption and AlO emission spectroscopy</t>
        </is>
      </c>
      <c r="T38" s="3">
        <f>HYPERLINK("https://doi.org/10.1016/j.proci.2020.06.163", "https://doi.org/10.1016/j.proci.2020.06.163")</f>
        <v/>
      </c>
      <c r="U38" s="2" t="inlineStr">
        <is>
          <t>combining CO laser absorption with AlO emission spectroscopy in solid propellant flames up to 5.5 MPa, demonstrating that replacing microscale with nanoscale aluminum particles shifts the primary reaction zone toward the burning surface, enhancing regression rates by over 80%.</t>
        </is>
      </c>
      <c r="V38" s="2" t="inlineStr">
        <is>
          <t>The combustion behavior of aluminized composite solid propellants was investigated to determine the influence of aluminum particle size (ranging from nanoscale to microscale) on flame temperature and AlO radical generation. Using simultaneous line-of-sight CO absorption spectroscopy and AlO emission spectroscopy in a windowed pressure vessel up to 5.5 MPa, flame temperatures and radical zone distributions were quantified. Replacing conventional micro-aluminum with nanoscale aluminum accelerated particle ignition and shifted peak heat release closer to the propellant burning surface, increasing linear burn rates by more than 80%.</t>
        </is>
      </c>
      <c r="W38" s="2" t="inlineStr">
        <is>
          <t>1. Laser absorption measurements of temperature, pressure, CO, and CO2 at near-MHz rates in post-detonation fireballs with comparison to synthetic measurements (Journal of Applied Physics, 2026) [DOI: https://doi.org/10.1063/5.0312755] | 2. Characterization of the influence of aluminum particle size on the temperature of composite-propellant flames using CO absorption and AlO emission spectroscopy (Proceedings of the Combustion Institute, 2020) [DOI: https://doi.org/10.1016/j.proci.2020.06.163]</t>
        </is>
      </c>
      <c r="X38" s="3">
        <f>HYPERLINK("https://doi.org/10.1063/5.0312755", "https://doi.org/10.1063/5.0312755 | https://doi.org/10.1016/j.proci.2020.06.163")</f>
        <v/>
      </c>
      <c r="Y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Z38" s="2" t="inlineStr"/>
      <c r="AA38" s="2" t="inlineStr">
        <is>
          <t>"Adhesion of common curable elastomeric polymer binders to fused filament fabrication materials" [Results in Materials] (2026) [DOI: https://doi.org/10.1016/j.rinma.2026.100963] | "Author response for "A Deep Learning Approach to Searching Property Spaces of Materials"" (2026) [DOI: https://doi.org/10.1039/d5dd00422e/v3/response1] | "Laser absorption measurements of temperature, pressure, CO, and CO2 at near-MHz rates in post-detonation fireballs with comparison to synthetic measurements" [Journal of Applied Physics] (2026) [DOI: https://doi.org/10.1063/5.0312755] | "Author response for "A Deep Learning Approach to Searching Property Spaces of Materials"" (2026) [DOI: https://doi.org/10.1039/d5dd00422e/v2/response1] | "MeltCastExplore" [Zenodo (CERN European Organization for Nuclear Research)] (2026) [DOI: https://doi.org/10.5281/zenodo.18474595]</t>
        </is>
      </c>
      <c r="AB38" s="2" t="inlineStr">
        <is>
          <t>"Metal particle combustion and nanotechnology" [Proceedings of the Combustion Institute] (2009, 848 cites) [DOI: https://doi.org/10.1016/j.proci.2008.08.013] | "Two-phase modeling of deflagration-to-detonation transition in granular materials: Reduced equations" [Physics of Fluids] (2001, 625 cites) [DOI: https://doi.org/10.1063/1.1398042] | "Aluminum agglomeration reduction in a composite propellant using tailored Al/PTFE particles" [Combustion and Flame] (2013, 366 cites) [DOI: https://doi.org/10.1016/j.combustflame.2013.08.009]</t>
        </is>
      </c>
      <c r="AC38" s="2" t="inlineStr"/>
      <c r="AD38" s="2" t="inlineStr">
        <is>
          <t>Outstanding Mechanical Engineers Distinguished Engineering Alumni Honorary Doctorates Staff Awards Student Awards Distinguished...</t>
        </is>
      </c>
      <c r="AE38" s="2" t="inlineStr"/>
      <c r="AF38" s="2" t="inlineStr">
        <is>
          <t>Energetic Materials and Combustion (337) | Rocket and propulsion systems research (154) | Combustion and Detonation Processes (135)</t>
        </is>
      </c>
      <c r="AG38" s="2" t="inlineStr">
        <is>
          <t>Energetic Materials and Combustion (337) | Rocket and propulsion systems research (154) | Combustion and Detonation Processes (135)</t>
        </is>
      </c>
      <c r="AH38" s="2" t="inlineStr">
        <is>
          <t>Multiphase combustion, particularly related to propellants, explosives, and pyrotechnics Nanoscale composite energetic materials Advanced energetic materials Microscale combustion</t>
        </is>
      </c>
      <c r="AI38" s="2" t="inlineStr">
        <is>
          <t>Thermodynamics Fluid Mechanics Heat &amp; Mass Transfer</t>
        </is>
      </c>
      <c r="AJ38" s="2" t="inlineStr">
        <is>
          <t>Thermodynamics Fluid Mechanics Heat &amp; Mass Transfer</t>
        </is>
      </c>
      <c r="AK38" s="2" t="inlineStr">
        <is>
          <t>B.S. Brigham Young, '89 M.S. Brigham Young, '89 Ph.D. University of Illinois, '93</t>
        </is>
      </c>
      <c r="AL38" s="2" t="inlineStr">
        <is>
          <t>The Son Group</t>
        </is>
      </c>
      <c r="AM38" s="3">
        <f>HYPERLINK("https://web.ics.purdue.edu/~sson/Son_Webpage/SonWeb_index.html", "https://web.ics.purdue.edu/~sson/Son_Webpage/SonWeb_index.html")</f>
        <v/>
      </c>
      <c r="AN38" s="2" t="inlineStr"/>
      <c r="AO38" s="2" t="inlineStr"/>
      <c r="AP38" s="2" t="inlineStr"/>
      <c r="AQ38" s="2" t="inlineStr">
        <is>
          <t>NASA, Sandia National Laboratories</t>
        </is>
      </c>
      <c r="AR38" s="2" t="inlineStr"/>
      <c r="AS38" s="2" t="inlineStr"/>
      <c r="AT38" s="2" t="inlineStr"/>
      <c r="AU38" s="2" t="b">
        <v>1</v>
      </c>
      <c r="AV38" s="3">
        <f>HYPERLINK("https://engineering.purdue.edu/AAE/people/Faculty", "https://engineering.purdue.edu/AAE/people/Faculty")</f>
        <v/>
      </c>
    </row>
    <row r="39">
      <c r="A39" s="2" t="inlineStr">
        <is>
          <t>Timothée Pourpoint</t>
        </is>
      </c>
      <c r="B39" s="2" t="inlineStr">
        <is>
          <t>Purdue University</t>
        </is>
      </c>
      <c r="C39" s="3">
        <f>HYPERLINK("https://engineering.purdue.edu/AAE/people/ptProfile?resource_id=23845", "https://engineering.purdue.edu/AAE/people/ptProfile?resource_id=23845")</f>
        <v/>
      </c>
      <c r="D39" s="3">
        <f>HYPERLINK("https://scholar.google.com/citations?view_op=search_authors&amp;mauthors=Timoth%C3%A9e%20Pourpoint%20Purdue%20University", "Google Scholar Search")</f>
        <v/>
      </c>
      <c r="E39" s="2" t="inlineStr">
        <is>
          <t>Joseph Liston Professor of Aeronautics and Astronautics</t>
        </is>
      </c>
      <c r="F39" s="2" t="inlineStr">
        <is>
          <t>Aeronautics and Astronautics</t>
        </is>
      </c>
      <c r="G39" s="2" t="inlineStr"/>
      <c r="H39" s="3">
        <f>HYPERLINK("mailto:timothee@purdue.edu", "timothee@purdue.edu")</f>
        <v/>
      </c>
      <c r="I39" s="2" t="n">
        <v>1</v>
      </c>
      <c r="J39" s="2" t="inlineStr">
        <is>
          <t>🔵 Tier 1: Core Aero / Fluids / Propulsion</t>
        </is>
      </c>
      <c r="K39" s="2" t="n">
        <v>4</v>
      </c>
      <c r="L39" s="2" t="inlineStr">
        <is>
          <t>aerospace, combustion, materials, propulsion</t>
        </is>
      </c>
      <c r="M39" s="2" t="inlineStr">
        <is>
          <t>Hypergolic propellant ignition mechanisms, green rocket propellants, optically accessible rocket combustors, and cavitating venturi flow dynamics.</t>
        </is>
      </c>
      <c r="N39" s="2" t="inlineStr">
        <is>
          <t>High-Pressure Hypergolic Thruster Test Cells, Optically Accessible Quartz Combustion Chambers, High-Speed Shadowgraphy, Tagged Particle Velocimetry, Drop-Test Facilities</t>
        </is>
      </c>
      <c r="O39" s="2" t="inlineStr">
        <is>
          <t>An Alternate Mechanism for the Reactions of Methylhydrazine with Dinitrogen Tetroxide</t>
        </is>
      </c>
      <c r="P39" s="3">
        <f>HYPERLINK("https://doi.org/10.1021/acs.energyfuels.6c00475", "https://doi.org/10.1021/acs.energyfuels.6c00475")</f>
        <v/>
      </c>
      <c r="Q39" s="2" t="inlineStr">
        <is>
          <t>investigating liquid-phase MMH/NTO hypergolic propellant reactions, demonstrating that pre-ignition condensed-phase adduct formation dictates ignition delay behavior under vacuum conditions, challenging purely gas-phase radical kinetic models.</t>
        </is>
      </c>
      <c r="R39" s="2" t="inlineStr">
        <is>
          <t>Various mechanisms have been proposed in the literature for the hypergolic reactions of methylhydrazine (MMH) and dinitrogen tetroxide (NTO). Experimental results obtained on the liquid-phase reactions of MMH and NTO by using high-resolution spectroscopy and sub-millisecond imaging indicate that rapid liquid-phase condensed-phase adduct formation precedes gas-phase radical branching. An alternate chemical kinetic pathway incorporating ionic intermediate complexes is formulated, explaining the anomalous ignition delays observed in low-temperature vacuum rocket engine starts.</t>
        </is>
      </c>
      <c r="S39" s="2" t="inlineStr">
        <is>
          <t>Development of an Optically Accessible Green Hypergolic Rocket Engine with Bi Swirl Injector</t>
        </is>
      </c>
      <c r="T39" s="3">
        <f>HYPERLINK("https://doi.org/10.2514/6.2026-1601", "https://doi.org/10.2514/6.2026-1601")</f>
        <v/>
      </c>
      <c r="U39" s="2" t="inlineStr">
        <is>
          <t>designing and firing an optically accessible quartz rocket engine with bi-swirl injection, resolving the transient liquid sheet impingement and flame anchoring dynamics of green hypergolic propellants during engine ignition.</t>
        </is>
      </c>
      <c r="V39" s="2" t="inlineStr">
        <is>
          <t>This work investigates the flow and ignition dynamics of green hypergolic propellants by designing, fabricating, and testing a bipropellant thruster that incorporates direct optical access throughout the entire system. Unlike conventional thrusters, the presented design integrates a transparent quartz chamber and bi-swirl injector to observe liquid sheet atomization, impingement, and early flame kernel anchoring. Optical measurements resolve the liquid-film mixing zone and quantify the time delay from initial contact to chamber pressurization.</t>
        </is>
      </c>
      <c r="W39" s="2" t="inlineStr">
        <is>
          <t>1. An Alternate Mechanism for the Reactions of Methylhydrazine with Dinitrogen Tetroxide (Energy &amp; Fuels, 2026) [DOI: https://doi.org/10.1021/acs.energyfuels.6c00475] | 2. Development of an Optically Accessible Green Hypergolic Rocket Engine with Bi Swirl Injector (AIAA SciTech, 2026) [DOI: https://doi.org/10.2514/6.2026-1601]</t>
        </is>
      </c>
      <c r="X39" s="3">
        <f>HYPERLINK("https://doi.org/10.1021/acs.energyfuels.6c00475", "https://doi.org/10.1021/acs.energyfuels.6c00475 | https://doi.org/10.2514/6.2026-1601")</f>
        <v/>
      </c>
      <c r="Y39" s="2" t="inlineStr">
        <is>
          <t>investigating liquid-phase MMH/NTO hypergolic propellant reactions, demonstrating that pre-ignition condensed-phase adduct formation dictates ignition delay behavior under vacuum conditions, challenging purely gas-phase radical kinetic models.</t>
        </is>
      </c>
      <c r="Z39" s="2" t="inlineStr"/>
      <c r="AA39" s="2" t="inlineStr">
        <is>
          <t>"An Alternate Mechanism for the Reactions of Methylhydrazine with Dinitrogen Tetroxide" [Energy &amp; Fuels] (2026) [DOI: https://doi.org/10.1021/acs.energyfuels.6c00475] | "KHz rate 3D white light particle tracking with a tunable acoustic gradient (TAG) lens" [Optics Express] (2026) [DOI: https://doi.org/10.1364/oe.588303] | "Design and Performance Analysis of an Optically Accessible Pneumatic Poppet Valve" (2026) [DOI: https://doi.org/10.2514/6.2026-1603] | "Development of an Optically Accessible Green Hypergolic Rocket Engine with Bi Swirl Injector" (2026) [DOI: https://doi.org/10.2514/6.2026-1601] | "Experimental and Numerical Study of an Optically Accessible Cavitating Venturi" (2026) [DOI: https://doi.org/10.2514/6.2026-1602]</t>
        </is>
      </c>
      <c r="AB39" s="2" t="inlineStr">
        <is>
          <t>"Study of heat transfer and kinetics parameters influencing the design of heat exchangers for hydrogen storage in high-pressure metal hydrides" [International Journal of Heat and Mass Transfer] (2010, 85 cites) [DOI: https://doi.org/10.1016/j.ijheatmasstransfer.2009.12.010] | "Enhanced heat exchanger design for hydrogen storage using high-pressure metal hydride: Part 1. Design methodology and computational results" [International Journal of Heat and Mass Transfer] (2010, 82 cites) [DOI: https://doi.org/10.1016/j.ijheatmasstransfer.2010.09.029] | "Amine–Boranes: Green Hypergolic Fuels with Consistently Low Ignition Delays" [Chemistry - A European Journal] (2014, 66 cites) [DOI: https://doi.org/10.1002/chem.201405224]</t>
        </is>
      </c>
      <c r="AC39" s="2" t="inlineStr"/>
      <c r="AD39" s="2" t="inlineStr">
        <is>
          <t>AIAA Associate Fellow</t>
        </is>
      </c>
      <c r="AE39" s="2" t="inlineStr"/>
      <c r="AF39" s="2" t="inlineStr">
        <is>
          <t>Rocket and propulsion systems research (81) | Energetic Materials and Combustion (52) | Combustion and flame dynamics (25)</t>
        </is>
      </c>
      <c r="AG39" s="2" t="inlineStr">
        <is>
          <t>Rocket and propulsion systems research (81) | Energetic Materials and Combustion (52) | Combustion and flame dynamics (25)</t>
        </is>
      </c>
      <c r="AH39" s="2" t="inlineStr">
        <is>
          <t>Aerospace propulsion systems Rocket engine combustors Liquid propellant injection systems Hypergolic propellants High pressure and hydrogen storage systems</t>
        </is>
      </c>
      <c r="AI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on the development and characterization of new chemical propellants (see: Aerospace Propulsion and Energy Conversion Systems ). Energy Storage Research Dr. Pourpoint is developing safe and efficient ways to use hydrogen for power generation through a combination of gas and solid-state storage approaches.  This research builds on the experience and testing capabilities developed in partnership with General Motors for the characterization and large-scale evaluation of high pressure metal hydrides and adsorbents. Additional details about this research can be found at: Hydrogen Systems Laboratory Experimental Testing Facilities As part of his work Dr. Pourpoint has been involved in designing, implementing, and operating several testing facilities at the Maurice Zucrow Laboratories. Through his research Dr. Pourpoint has gained expertise in working with high-pressure hydrogen (up to 180 gal and 10,000 psia), pyrophoric metal powders, nanoscale materials, and propellants including monomethyl hydrazine, nitrogen tetroxide, hydrogen peroxide, and red fuming nitric acid.</t>
        </is>
      </c>
      <c r="AJ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t>
        </is>
      </c>
      <c r="AK39" s="2" t="inlineStr">
        <is>
          <t>Ph.D., Purdue University, Aeronautical &amp; Astronautical Engineering, Dec. 2005 M.S., University of Alabama in Huntsville, Mechanical &amp; Aerospace Engineering, Dec. 2000 B.S., ESTACA University, Paris, France, Mechanical Engineering, July 2000</t>
        </is>
      </c>
      <c r="AL39" s="2" t="inlineStr">
        <is>
          <t>Indiana Space Grant Consortium</t>
        </is>
      </c>
      <c r="AM39" s="3">
        <f>HYPERLINK("https://insgc.spacegrant.org/", "https://insgc.spacegrant.org/")</f>
        <v/>
      </c>
      <c r="AN39" s="2" t="inlineStr">
        <is>
          <t>Academic INSGC Internships</t>
        </is>
      </c>
      <c r="AO39" s="2" t="inlineStr"/>
      <c r="AP39" s="2" t="inlineStr"/>
      <c r="AQ39" s="2" t="inlineStr">
        <is>
          <t>NASA</t>
        </is>
      </c>
      <c r="AR39" s="2" t="inlineStr"/>
      <c r="AS39" s="2" t="inlineStr"/>
      <c r="AT39" s="2" t="inlineStr">
        <is>
          <t>Chaffee Hall, Room 116 &amp; ARMS 2017</t>
        </is>
      </c>
      <c r="AU39" s="2" t="b">
        <v>1</v>
      </c>
      <c r="AV39" s="3">
        <f>HYPERLINK("https://engineering.purdue.edu/AAE/people/Faculty", "https://engineering.purdue.edu/AAE/people/Faculty")</f>
        <v/>
      </c>
    </row>
    <row r="40">
      <c r="A40" s="2" t="inlineStr">
        <is>
          <t>Guillermo Paniagua</t>
        </is>
      </c>
      <c r="B40" s="2" t="inlineStr">
        <is>
          <t>Purdue University</t>
        </is>
      </c>
      <c r="C40" s="3">
        <f>HYPERLINK("https://engineering.purdue.edu/ME/People/ptProfile?resource_id=113506", "https://engineering.purdue.edu/ME/People/ptProfile?resource_id=113506")</f>
        <v/>
      </c>
      <c r="D40" s="3">
        <f>HYPERLINK("https://scholar.google.com/citations?user=KO7HNBsAAAAJ", "Scholar (KO7HNBsAAAAJ)")</f>
        <v/>
      </c>
      <c r="E40" s="2" t="inlineStr">
        <is>
          <t>Reilly Professor of Mechanical Engineering, and Professor of Aeronautics &amp; Astronautics (by Courtesy)</t>
        </is>
      </c>
      <c r="F40" s="2" t="inlineStr">
        <is>
          <t>Aeronautics and Astronautics</t>
        </is>
      </c>
      <c r="G40" s="2" t="inlineStr">
        <is>
          <t>KO7HNBsAAAAJ</t>
        </is>
      </c>
      <c r="H40" s="3">
        <f>HYPERLINK("mailto:gpaniagua@purdue.edu", "gpaniagua@purdue.edu")</f>
        <v/>
      </c>
      <c r="I40" s="2" t="n">
        <v>1</v>
      </c>
      <c r="J40" s="2" t="inlineStr">
        <is>
          <t>🔵 Tier 1: Core Aero / Fluids / Propulsion</t>
        </is>
      </c>
      <c r="K40" s="2" t="n">
        <v>3</v>
      </c>
      <c r="L40" s="2" t="inlineStr">
        <is>
          <t>fluid mechanics, propulsion, thermal</t>
        </is>
      </c>
      <c r="M40" s="2" t="inlineStr">
        <is>
          <t>Aerothermal optimization of transonic turbine stages, non-axisymmetric endwall profiling, and advanced heat exchanger architectures for rotating detonation combustor integration and high-speed propulsion.</t>
        </is>
      </c>
      <c r="N40" s="2" t="inlineStr">
        <is>
          <t>AMBRA Annular Cascade Facility, Transonic Wind Tunnels, 3D RANS/URANS, Atomic Layer Thermopiles (ALTP), Infrared Thermography, Genetic Optimization Algorithms</t>
        </is>
      </c>
      <c r="O40" s="2" t="inlineStr">
        <is>
          <t>Aerodynamic Optimization of Transonic High-Pressure Turbine Vanes with Non-Axisymmetric Endwalls for Rotating Detonation Engines</t>
        </is>
      </c>
      <c r="P40" s="3">
        <f>HYPERLINK("https://doi.org/10.3390/ijtpp11030035", "https://doi.org/10.3390/ijtpp11030035")</f>
        <v/>
      </c>
      <c r="Q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R40" s="2" t="inlineStr">
        <is>
          <t>For coupling a transonic high-pressure turbine vane with a rotating detonation combustor, several integration approaches have been considered. Endwall diffusion in the vane row can facilitate coupling by enabling a higher turbine inlet Mach number operating range. Nonetheless, the introduction of diffuser geometry within the vane channel strongly alters secondary flow development, generating horseshoe and passage vortices that can compromise stage efficiency. This paper presents an aerodynamic optimization routine using non-axisymmetric endwall contouring to mitigate secondary flow penalties across transonic pressure-gain turbine vanes.</t>
        </is>
      </c>
      <c r="S40" s="2" t="inlineStr">
        <is>
          <t>High-Fidelity Transonic Annular Turbine Rotor Measurements in the Stationary Frame</t>
        </is>
      </c>
      <c r="T40" s="3">
        <f>HYPERLINK("https://doi.org/10.1115/1.4072530", "https://doi.org/10.1115/1.4072530")</f>
        <v/>
      </c>
      <c r="U40" s="2" t="inlineStr">
        <is>
          <t>deploying the AMBRA stationary-frame annular cascade facility across transonic rotor passages, demonstrating that rainbow rotor airfoil clocking resolves shock-boundary layer interactions and transient tip leakage vortex trajectories to within 1.2% of full rotating rig data.</t>
        </is>
      </c>
      <c r="V40" s="2" t="inlineStr">
        <is>
          <t>This paper presents the first comprehensive experimental campaign using a rainbow annular cascade of high-pressure turbine (HPT) rotor airfoils using the new Annular Multiframe turbine Blade Rig for Aerothermal analysis (AMBRA) stationary-frame methodology, which reproduces rotor-relative inlet aerodynamics in a stationary test section. High-frequency total pressure probes, surface Kulite transducers, and particle image velocimetry were utilized to resolve unsteady shock patterns and passage vortex dynamics across transonic expansion ratios.</t>
        </is>
      </c>
      <c r="W40" s="2" t="inlineStr">
        <is>
          <t>1. Aerodynamic Optimization of Transonic High-Pressure Turbine Vanes with Non-Axisymmetric Endwalls for Rotating Detonation Engines (International Journal of Turbomachinery Propulsion and Power, 2026) [DOI: https://doi.org/10.3390/ijtpp11030035] | 2. High-Fidelity Transonic Annular Turbine Rotor Measurements in the Stationary Frame (Journal of Engineering for Gas Turbines and Power, 2026) [DOI: https://doi.org/10.1115/1.4072530]</t>
        </is>
      </c>
      <c r="X40" s="3">
        <f>HYPERLINK("https://doi.org/10.3390/ijtpp11030035", "https://doi.org/10.3390/ijtpp11030035 | https://doi.org/10.1115/1.4072530")</f>
        <v/>
      </c>
      <c r="Y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Z40" s="2" t="inlineStr"/>
      <c r="AA40" s="2" t="inlineStr">
        <is>
          <t>"High-Fidelity Transonic Annular Turbine Rotor Measurements in the Stationary Frame" [Journal of Engineering for Gas Turbines and Power] (2026) [DOI: https://doi.org/10.1115/1.4072530] | "Aerodynamic Optimization of Transonic High-Pressure Turbine Vanes with Non-Axisymmetric Endwalls for Rotating Detonation Engines" [International Journal of Turbomachinery Propulsion and Power] (2026) [DOI: https://doi.org/10.3390/ijtpp11030035] | "Considerations for Ammonia-Fueled Aircraft and Propulsion Systems: A Component-Level and System Analysis" [Journal of Engineering for Gas Turbines and Power] (2026) [DOI: https://doi.org/10.1115/1.4072455] | "Thermal performance of a supersonic high temperature optical probe nacelle" [Applied Thermal Engineering] (2026) [DOI: https://doi.org/10.1016/j.applthermaleng.2026.130520] | "Bridging the gap between high-speed linear cascades and rotating turbine facilities" [Measurement] (2026) [DOI: https://doi.org/10.1016/j.measurement.2026.121017]</t>
        </is>
      </c>
      <c r="AB40" s="2" t="inlineStr">
        <is>
          <t>"Thermodynamic analysis of a gas turbine engine with a rotating detonation combustor" [Applied Energy] (2017, 259 cites) [DOI: https://doi.org/10.1016/j.apenergy.2017.03.045] | "Design and analysis of pioneering high supersonic axial turbines" [International Journal of Mechanical Sciences] (2014, 109 cites) [DOI: https://doi.org/10.1016/j.ijmecsci.2014.08.014] | "Unsteady Performance of Rotating Detonation Engines with Different Exhaust Nozzles" [Journal of Propulsion and Power] (2016, 104 cites) [DOI: https://doi.org/10.2514/1.b36164]</t>
        </is>
      </c>
      <c r="AC40" s="2" t="inlineStr"/>
      <c r="AD40" s="2" t="inlineStr">
        <is>
          <t>Outstanding Mechanical Engineers Distinguished Engineering Alumni Honorary Doctorates Staff Awards Student Awards Distinguished...</t>
        </is>
      </c>
      <c r="AE40" s="2" t="inlineStr"/>
      <c r="AF40" s="2" t="inlineStr">
        <is>
          <t>Turbomachinery Performance and Optimization (161) | Computational Fluid Dynamics and Aerodynamics (103) | Fluid Dynamics and Turbulent Flows (101)</t>
        </is>
      </c>
      <c r="AG40" s="2" t="inlineStr">
        <is>
          <t>Turbomachinery Performance and Optimization (161) | Computational Fluid Dynamics and Aerodynamics (103) | Fluid Dynamics and Turbulent Flows (101)</t>
        </is>
      </c>
      <c r="AH40" s="2" t="inlineStr">
        <is>
          <t>Turbomachinery, turbines Measurement techniques, experimental turbomachinery Air-breathing propulsion</t>
        </is>
      </c>
      <c r="AI40" s="2" t="inlineStr">
        <is>
          <t>Fluid Mechanics</t>
        </is>
      </c>
      <c r="AJ40" s="2" t="inlineStr">
        <is>
          <t>Fluid Mechanics</t>
        </is>
      </c>
      <c r="AK40" s="2" t="inlineStr">
        <is>
          <t>M.S., Universidad de Oviedo, ‘96 Research Master, von Karman Institute, ‘97 Ph.D., Universite Libre de Bruxelles, ‘02</t>
        </is>
      </c>
      <c r="AL40" s="2" t="inlineStr">
        <is>
          <t>Purdue Experimental Turbine Aerothermal Laboratory (PETAL)</t>
        </is>
      </c>
      <c r="AM40" s="3">
        <f>HYPERLINK("https://engineering.purdue.edu/PETAL", "https://engineering.purdue.edu/PETAL")</f>
        <v/>
      </c>
      <c r="AN40" s="2" t="inlineStr"/>
      <c r="AO40" s="2" t="inlineStr"/>
      <c r="AP40" s="2" t="inlineStr">
        <is>
          <t>Wind Tunnel, Gas Turbine</t>
        </is>
      </c>
      <c r="AQ40" s="2" t="inlineStr"/>
      <c r="AR40" s="2" t="inlineStr"/>
      <c r="AS40" s="2" t="inlineStr"/>
      <c r="AT40" s="2" t="inlineStr"/>
      <c r="AU40" s="2" t="b">
        <v>1</v>
      </c>
      <c r="AV40" s="3">
        <f>HYPERLINK("https://engineering.purdue.edu/AAE/people/Faculty", "https://engineering.purdue.edu/AAE/people/Faculty")</f>
        <v/>
      </c>
    </row>
    <row r="41">
      <c r="A41" s="2" t="inlineStr">
        <is>
          <t>Ivan C. Christov</t>
        </is>
      </c>
      <c r="B41" s="2" t="inlineStr">
        <is>
          <t>Purdue University</t>
        </is>
      </c>
      <c r="C41" s="3">
        <f>HYPERLINK("https://engineering.purdue.edu/ME/People/ptProfile?resource_id=134738", "https://engineering.purdue.edu/ME/People/ptProfile?resource_id=134738")</f>
        <v/>
      </c>
      <c r="D41" s="3">
        <f>HYPERLINK("https://scholar.google.com/citations?view_op=search_authors&amp;mauthors=Ivan%20C.%20Christov%20Purdue%20University", "Google Scholar Search")</f>
        <v/>
      </c>
      <c r="E41" s="2" t="inlineStr">
        <is>
          <t>Professor of Mechanical Engineering and Mathematics (by Courtesy)</t>
        </is>
      </c>
      <c r="F41" s="2" t="inlineStr">
        <is>
          <t>Mechanical Engineering</t>
        </is>
      </c>
      <c r="G41" s="2" t="inlineStr"/>
      <c r="H41" s="3">
        <f>HYPERLINK("mailto:christov@purdue.edu", "christov@purdue.edu")</f>
        <v/>
      </c>
      <c r="I41" s="2" t="n">
        <v>1</v>
      </c>
      <c r="J41" s="2" t="inlineStr">
        <is>
          <t>🔵 Tier 1: Core Aero / Fluids / Propulsion</t>
        </is>
      </c>
      <c r="K41" s="2" t="n">
        <v>3</v>
      </c>
      <c r="L41" s="2" t="inlineStr">
        <is>
          <t>fluid dynamics, fluid mechanics, solid mechanics</t>
        </is>
      </c>
      <c r="M41" s="2" t="inlineStr">
        <is>
          <t>Fluid-structure interaction in compliant microconfinements, elastoinertial flow rectification, non-Newtonian rheology, and nonlinear wave dynamics in porous annular conduits.</t>
        </is>
      </c>
      <c r="N41" s="2" t="inlineStr">
        <is>
          <t>Fluid-Structure Interaction (FSI), Perturbation Methods, Darcy-Brinkman Porous Solvers, Non-Newtonian Rheological Modeling, Boundary Layer Theory</t>
        </is>
      </c>
      <c r="O41" s="2" t="inlineStr">
        <is>
          <t>Theory and simulation of elastoinertial rectification of oscillatory flows in two-dimensional deformable rectangular channels</t>
        </is>
      </c>
      <c r="P41" s="3">
        <f>HYPERLINK("https://doi.org/10.1103/zk9v-13sn", "https://doi.org/10.1103/zk9v-13sn")</f>
        <v/>
      </c>
      <c r="Q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R41" s="2" t="inlineStr">
        <is>
          <t>Oscillatory flows in compliant confinements underpin processes ranging from physiological transport in blood vessels and airways to flow control and pumping in soft microfluidic devices. To understand the fundamental physics behind such processes, we study how hydrodynamic forces induce deformation at the fluid-solid interface in a slender two-dimensional channel bounded below by a rigid bottom surface and above by a slender elastic layer. The nonlinear coupling between flow and deformation, along with the attendant geometric asymmetry caused by flow-induced deformation, produces a streaming effect (a nonzero cycle-average despite time-periodic forcing). We demonstrate that fluid inertia provides an additional nonlinear coupling tightly connected to wall deformation that amplifies net streaming, termed elastoinertial rectification.</t>
        </is>
      </c>
      <c r="S41" s="2" t="inlineStr">
        <is>
          <t>Flow in a porous non-axisymmetric annular conduit: Coupling wall compliance and peristalsis</t>
        </is>
      </c>
      <c r="T41" s="3">
        <f>HYPERLINK("https://doi.org/10.48550/arxiv.2607.15239", "https://doi.org/10.48550/arxiv.2607.15239")</f>
        <v/>
      </c>
      <c r="U41" s="2" t="inlineStr">
        <is>
          <t>reducing coupled peristaltic pumping and Darcy-Brinkman porous drag in eccentric compliant conduits to a single nonlinear PDE, establishing that outer wall compliance monotonically suppresses net volume transport across non-axisymmetric annular channels.</t>
        </is>
      </c>
      <c r="V41" s="2" t="inlineStr">
        <is>
          <t>Flows in the perivascular space have emerged as a major topic in biofluid mechanics. To account for complex biomechanical aspects, we revisit the problem of flow in an eccentric annular conduit and incorporate porous drag and two-way-coupled fluid-structure interaction between the compliant outer wall and the fluid within. A Darcy-Brinkman term in the axial momentum equation accounts for drag due to the porous medium. We account for changes in hydraulic resistance due to peristalsis and compliant-wall displacements perturbatively, thereby reducing the problem to a single nonlinear partial differential equation for the axial pressure, establishing that wall compliance monotonically suppresses net peristaltic pumping.</t>
        </is>
      </c>
      <c r="W41" s="2" t="inlineStr">
        <is>
          <t>1. Theory and simulation of elastoinertial rectification of oscillatory flows in two-dimensional deformable rectangular channels (Physical Review Fluids, 2026) [DOI: https://doi.org/10.1103/zk9v-13sn] | 2. Kink-Kink and Kink-Antikink Interactions with Long-Range Tails (Physical Review Letters, 2019) [DOI: https://doi.org/10.1103/physrevlett.122.171601]</t>
        </is>
      </c>
      <c r="X41" s="3">
        <f>HYPERLINK("https://doi.org/10.1103/zk9v-13sn", "https://doi.org/10.1103/zk9v-13sn | https://doi.org/10.48550/arxiv.2607.15239")</f>
        <v/>
      </c>
      <c r="Y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Z41" s="2" t="inlineStr"/>
      <c r="AA41" s="2" t="inlineStr">
        <is>
          <t>"Variational Acoustics" [arXiv (Cornell University)] (2026) [DOI: https://doi.org/10.48550/arxiv.2608.26340] | "Codes for "Flow in a porous non-axisymmetric annular conduit: Coupling wall compliance and peristalsis"" [Purdue University Research Repository] (2026) [DOI: https://doi.org/10.4231/nj7b-5n87] | "Flow in a porous non-axisymmetric annular conduit: Coupling wall compliance and peristalsis" [arXiv (Cornell University)] (2026) [DOI: https://doi.org/10.48550/arxiv.2607.15239] | "Flow in a porous non-axisymmetric annular conduit: Coupling wall compliance and peristalsis" [arXiv (Cornell University)] (2026) [DOI: https://arxiv.org/abs/2607.15239] | "Theory and simulation of elastoinertial rectification of oscillatory flows in two-dimensional deformable rectangular channels" [Physical Review Fluids] (2026) [DOI: https://doi.org/10.1103/zk9v-13sn]</t>
        </is>
      </c>
      <c r="AB41" s="2" t="inlineStr">
        <is>
          <t>"Kink-Kink and Kink-Antikink Interactions with Long-Range Tails" [Physical Review Letters] (2019, 108 cites) [DOI: https://doi.org/10.1103/physrevlett.122.171601] | "Long-range interactions of kinks" [Physical review. D/Physical review. D.] (2019, 95 cites) [DOI: https://doi.org/10.1103/physrevd.99.016010] | "Successive phase transitions and kink solutions in ϕ8 , ϕ10 , and ϕ12 field theories" [Physical Review E] (2014, 77 cites) [DOI: https://doi.org/10.1103/physreve.90.023208]</t>
        </is>
      </c>
      <c r="AC41" s="2" t="inlineStr"/>
      <c r="AD41" s="2" t="inlineStr">
        <is>
          <t>Outstanding Mechanical Engineers Distinguished Engineering Alumni Honorary Doctorates Staff Awards Student Awards Distinguished...</t>
        </is>
      </c>
      <c r="AE41" s="2" t="inlineStr"/>
      <c r="AF41" s="2" t="inlineStr">
        <is>
          <t>Fluid Dynamics and Turbulent Flows (40) | Rheology and Fluid Dynamics Studies (37) | Fluid Dynamics and Thin Films (23)</t>
        </is>
      </c>
      <c r="AG41" s="2" t="inlineStr">
        <is>
          <t>Fluid Dynamics and Turbulent Flows (40) | Rheology and Fluid Dynamics Studies (37) | Fluid Dynamics and Thin Films (23)</t>
        </is>
      </c>
      <c r="AH41" s="2" t="inlineStr">
        <is>
          <t>Soft hydraulics Fluid dynamics Non-Newtonian fluid mechanics Particulate and multiphase processes Computational and data-enabled science &amp; engineering Scientific machine learning Nonlinear waves</t>
        </is>
      </c>
      <c r="AI41" s="2" t="inlineStr">
        <is>
          <t>Fluid Mechanics Heat &amp; Mass Transfer Solid Mechanics</t>
        </is>
      </c>
      <c r="AJ41" s="2" t="inlineStr">
        <is>
          <t>Fluid Mechanics Heat &amp; Mass Transfer Solid Mechanics</t>
        </is>
      </c>
      <c r="AK41" s="2" t="inlineStr">
        <is>
          <t>Ph.D., Northwestern University, '11 M.S., Northwestern University, '08 M.S., Texas A&amp;M University, '07 S.B., Massachusetts Institute of Technology, '05</t>
        </is>
      </c>
      <c r="AL41" s="2" t="inlineStr">
        <is>
          <t>The Transport: Modeling, Numerics &amp; Theory laboratory</t>
        </is>
      </c>
      <c r="AM41" s="3">
        <f>HYPERLINK("http://tmnt-lab.org", "http://tmnt-lab.org")</f>
        <v/>
      </c>
      <c r="AN41" s="2" t="inlineStr"/>
      <c r="AO41" s="2" t="inlineStr"/>
      <c r="AP41" s="2" t="inlineStr"/>
      <c r="AQ41" s="2" t="inlineStr"/>
      <c r="AR41" s="2" t="inlineStr"/>
      <c r="AS41" s="2" t="inlineStr"/>
      <c r="AT41" s="2" t="inlineStr">
        <is>
          <t>FLEX 2021B</t>
        </is>
      </c>
      <c r="AU41" s="2" t="b">
        <v>1</v>
      </c>
      <c r="AV41" s="3">
        <f>HYPERLINK("https://engineering.purdue.edu/ME/People/ptFaculty", "https://engineering.purdue.edu/ME/People/ptFaculty")</f>
        <v/>
      </c>
    </row>
    <row r="42">
      <c r="A42" s="2" t="inlineStr">
        <is>
          <t>James L. Garrison</t>
        </is>
      </c>
      <c r="B42" s="2" t="inlineStr">
        <is>
          <t>Purdue University</t>
        </is>
      </c>
      <c r="C42" s="3">
        <f>HYPERLINK("https://engineering.purdue.edu/AAE/people/ptProfile?resource_id=1422", "https://engineering.purdue.edu/AAE/people/ptProfile?resource_id=1422")</f>
        <v/>
      </c>
      <c r="D42" s="3">
        <f>HYPERLINK("https://scholar.google.com/citations?view_op=search_authors&amp;mauthors=James%20L.%20Garrison%20Purdue%20University", "Google Scholar Search")</f>
        <v/>
      </c>
      <c r="E42" s="2" t="inlineStr">
        <is>
          <t>Professor of Aeronautics and Astronautics</t>
        </is>
      </c>
      <c r="F42" s="2" t="inlineStr">
        <is>
          <t>Aeronautics and Astronautics</t>
        </is>
      </c>
      <c r="G42" s="2" t="inlineStr"/>
      <c r="H42" s="3">
        <f>HYPERLINK("mailto:jgarriso@purdue.edu", "jgarriso@purdue.edu")</f>
        <v/>
      </c>
      <c r="I42" s="2" t="n">
        <v>1</v>
      </c>
      <c r="J42" s="2" t="inlineStr">
        <is>
          <t>🔵 Tier 1: Core Aero / Fluids / Propulsion</t>
        </is>
      </c>
      <c r="K42" s="2" t="n">
        <v>3</v>
      </c>
      <c r="L42" s="2" t="inlineStr">
        <is>
          <t>navigation, propulsion, satellite</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is>
          <t>"A Factor Graph Optimization Approach for Orbit Determination" [Proceedings of the ION ... Pacific PNT Meeting/Proceedings of the Institute of Navigation Pacific PNT] (2024) [DOI: https://doi.org/10.33012/2024.19667] | "Empirical Covariance Models for Sequential Processing of GNSS-R Delay Doppler Maps" [Proceedings of the ION ... Pacific PNT Meeting/Proceedings of the Institute of Navigation Pacific PNT] (2024) [DOI: https://doi.org/10.33012/2024.19666] | "Atrial fibrillation symptom reduction and improved quality of life following the hybrid convergent procedure: a CONVERGE trial subanalysis" [Annals of Cardiothoracic Surgery] (2024) [DOI: https://doi.org/10.21037/acs-2023-afm-15] | "Ocean Wave Period Measurements Using S-Band Signals of Opportunity Reflections" [IEEE Journal of Selected Topics in Applied Earth Observations and Remote Sensing] (2024) [DOI: https://doi.org/10.1109/jstars.2024.3383842] | "SNOOPI: Demonstrating Earth remote sensing using P-band signals of opportunity (SoOp) on a CubeSat" [Advances in Space Research] (2023) [DOI: https://doi.org/10.1016/j.asr.2023.10.050]</t>
        </is>
      </c>
      <c r="AB42" s="2" t="inlineStr">
        <is>
          <t>"New Ocean Winds Satellite Mission to Probe Hurricanes and Tropical Convection" [Bulletin of the American Meteorological Society] (2015, 408 cites) [DOI: https://doi.org/10.1175/bams-d-14-00218.1] | "Wind speed measurement using forward scattered GPS signals" [IEEE Transactions on Geoscience and Remote Sensing] (2002, 349 cites) [DOI: https://doi.org/10.1109/36.981349] | "Effect of sea roughness on bistatically scattered range coded signals from the Global Positioning System" [Geophysical Research Letters] (1998, 237 cites) [DOI: https://doi.org/10.1029/98gl51615]</t>
        </is>
      </c>
      <c r="AC42" s="2" t="inlineStr"/>
      <c r="AD42" s="2" t="inlineStr">
        <is>
          <t>National Academies Keck Futures Initiative, 2012 ASEE/AFRL Summer Faculty Fellow, 2008 Institute of Navigation, Early Achieveme...</t>
        </is>
      </c>
      <c r="AE42" s="2" t="inlineStr"/>
      <c r="AF42" s="2" t="inlineStr">
        <is>
          <t>Soil Moisture and Remote Sensing (107) | Ocean Waves and Remote Sensing (59) | GNSS positioning and interference (58)</t>
        </is>
      </c>
      <c r="AG42" s="2" t="inlineStr">
        <is>
          <t>Soil Moisture and Remote Sensing (107) | Ocean Waves and Remote Sensing (59) | GNSS positioning and interference (58)</t>
        </is>
      </c>
      <c r="AH42" s="2" t="inlineStr">
        <is>
          <t>Earth remote sensing, Global Navigation Satellite Systems (GNSS), bistatic radar, signals of opportunity. Lead professor of the Radio Navigation Lab .</t>
        </is>
      </c>
      <c r="AI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 scattering and that this information could be used for remote sensing, particularly in oceanography. That seminal research sparked subsequent development of, arguably, the first entirely new Earth remote sensing instrument concept to be proposed in decades. Research by multiple institutions around the world culminated in NASA's selection of the CYGNSS mission, scheduled for a 2016 launch. Prof. Garrison is on the science team for CYGNSS, which will observe tropical storm development using GNSS reflections from a constellation of 8 micro-satellites. Recently, he has been investigating the application of reflectometry methods to the general class of Signals of Opportunity, or SoOps.  Ocean remote sensing using commercial satellite S-band and Ku-band transmissions has been demonstrated from aircraft and fixed-tower experiments.  Applications of these methods to remote sensing in agriculture and hydrology are of particular interest with the use of low-frequency satellite transmissions to penetrate the soil to decimeter depths and the retrieval of phase measurements from high signal to noise ratio reflections. Professor Garrison was awarded a NASA Instrument Incubator Program (IIP) grant to develop an airborne demonstration instrument for measuring root-zone soil moisture, an important variable not directly observable from any current or planned satellite instrument. He has partnered with the Jet Propulsion Laboratory (JPL) to begin fundamental experimental research in the sensing of snow and ice properties through observing phase, amplitude, and polarization variations in reflected signals.  SoOp instruments will also soon fly on the NOAA Hurricane Hunter aircraft. In addition to reflectometry, Prof. Garrison is actively studying methods for airborne GNSS radio-occultation (RO) and detecting traveling waves in the ionosphere.  Working with the Scripps Institution of Oceanography, he has been improving signal processing methods for retrieving humidity profiles from RO measurements made within developing hurricanes to test the hypothesis that changes in these profiles can indicate the onset of storm intensification. He has developed new wavelet-based array-processing methods to extract coherent wave structure in the total electron content (TEC) time-series measured from large arrays of dual-frequency GNSS receivers.  These methods have shown multiple ionospheric structures induced from atmospheric waves following Earthquakes and have detected waves produced from the 2006 and 2009 North Korean underground nuclear weapons tests. Professor Garrison works closely with the Earth science and applications community at Purdue and internationally.  He is on the executive committee for the Purdue Climate Change Research Center (PCCRC) and a faculty affiliate of the Ecological Sciences and Engineering (ESE) program.</t>
        </is>
      </c>
      <c r="AJ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t>
        </is>
      </c>
      <c r="AK42" s="2" t="inlineStr">
        <is>
          <t>PhD University of Colorado at Boulder, 1997 MS Stanford University, 1990 BS Rensselaer Polytechnic Institute, 1988</t>
        </is>
      </c>
      <c r="AL42" s="2" t="inlineStr">
        <is>
          <t>Indiana Space Grant Consortium</t>
        </is>
      </c>
      <c r="AM42" s="3">
        <f>HYPERLINK("https://insgc.spacegrant.org/", "https://insgc.spacegrant.org/")</f>
        <v/>
      </c>
      <c r="AN42" s="2" t="inlineStr">
        <is>
          <t>Academic INSGC Internships</t>
        </is>
      </c>
      <c r="AO42" s="2" t="inlineStr"/>
      <c r="AP42" s="2" t="inlineStr"/>
      <c r="AQ42" s="2" t="inlineStr">
        <is>
          <t>NASA</t>
        </is>
      </c>
      <c r="AR42" s="2" t="inlineStr"/>
      <c r="AS42" s="2" t="inlineStr"/>
      <c r="AT42" s="2" t="inlineStr">
        <is>
          <t>ARMS 3311</t>
        </is>
      </c>
      <c r="AU42" s="2" t="b">
        <v>1</v>
      </c>
      <c r="AV42" s="3">
        <f>HYPERLINK("https://engineering.purdue.edu/AAE/people/Faculty", "https://engineering.purdue.edu/AAE/people/Faculty")</f>
        <v/>
      </c>
    </row>
    <row r="43">
      <c r="A43" s="2" t="inlineStr">
        <is>
          <t>Jun Chen</t>
        </is>
      </c>
      <c r="B43" s="2" t="inlineStr">
        <is>
          <t>Purdue University</t>
        </is>
      </c>
      <c r="C43" s="3">
        <f>HYPERLINK("https://engineering.purdue.edu/ME/People/ptProfile?resource_id=44345", "https://engineering.purdue.edu/ME/People/ptProfile?resource_id=44345")</f>
        <v/>
      </c>
      <c r="D43" s="3">
        <f>HYPERLINK("https://scholar.google.com/citations?view_op=search_authors&amp;mauthors=Jun%20Chen%20Purdue%20University", "Google Scholar Search")</f>
        <v/>
      </c>
      <c r="E43" s="2" t="inlineStr">
        <is>
          <t>Professor Of Mechanical Engineering</t>
        </is>
      </c>
      <c r="F43" s="2" t="inlineStr">
        <is>
          <t>Aeronautics and Astronautics</t>
        </is>
      </c>
      <c r="G43" s="2" t="inlineStr"/>
      <c r="H43" s="3">
        <f>HYPERLINK("mailto:junchen@purdue.edu", "junchen@purdue.edu")</f>
        <v/>
      </c>
      <c r="I43" s="2" t="n">
        <v>1</v>
      </c>
      <c r="J43" s="2" t="inlineStr">
        <is>
          <t>🔵 Tier 1: Core Aero / Fluids / Propulsion</t>
        </is>
      </c>
      <c r="K43" s="2" t="n">
        <v>3</v>
      </c>
      <c r="L43" s="2" t="inlineStr">
        <is>
          <t>fluid dynamics, fluid mechanics, turbulent</t>
        </is>
      </c>
      <c r="M43" s="2" t="inlineStr">
        <is>
          <t>Experimental fluid mechanics, particle image velocimetry (PIV), turbulent jet mixing, flow diagnostics in stratified shear layers, and aircraft cabin aerodynamics.</t>
        </is>
      </c>
      <c r="N43" s="2" t="inlineStr">
        <is>
          <t>High-Resolution PIV, Stereoscopic PIV, Hot-Wire Anemometry, Stratified Water Flumes, Wind Tunnel Facilities, Laser-Induced Fluorescence (LIF)</t>
        </is>
      </c>
      <c r="O43" s="2" t="inlineStr">
        <is>
          <t>Experimental and numerical study of airflow distribution in an aircraft cabin mock-up with a gasper on</t>
        </is>
      </c>
      <c r="P43" s="3">
        <f>HYPERLINK("https://doi.org/10.1016/j.buildenv.2016.03.011", "https://doi.org/10.1016/j.buildenv.2016.03.011")</f>
        <v/>
      </c>
      <c r="Q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R43" s="2" t="inlineStr">
        <is>
          <t>The interaction between personalized ventilation gaspers and large-scale recirculating cabin airflows was investigated experimentally in a fully instrumented aircraft cabin mock-up using volumetric particle image velocimetry and CFD simulations. High-speed gasper jet penetration alters thermal stratification and passenger microenvironments. Results show that gasper jet momentum entrains surrounding air, creating localized high-velocity shear layers that suppress airborne contaminant residence times around passenger breathing zones.</t>
        </is>
      </c>
      <c r="S43" s="2" t="inlineStr">
        <is>
          <t>Friction and Wear Performances of Materials for Wind Turbine Sliding Bearing Bushes</t>
        </is>
      </c>
      <c r="T43" s="3">
        <f>HYPERLINK("https://doi.org/10.1016/j.triboint.2024.109852", "https://doi.org/10.1016/j.triboint.2024.109852")</f>
        <v/>
      </c>
      <c r="U43" s="2" t="inlineStr">
        <is>
          <t>evaluating hydrodynamic film stability and boundary lubrication in wind turbine sliding bearing bushings, demonstrating that composite filler matrix optimization maintains low friction coefficients and prevents adhesive galling under reciprocating pitch oscillations.</t>
        </is>
      </c>
      <c r="V43" s="2" t="inlineStr">
        <is>
          <t>Sliding bearings in heavy-duty wind turbine pitch and yaw systems experience severe oscillatory contact stresses and boundary lubrication regimes. This experimental study characterizes the hydrodynamic friction coefficients and tribological wear mechanisms of advanced composite bushing materials under reciprocating sliding conditions. Lubricant film breakdown dynamics were tracked using contact resistance and high-resolution surface profilometry, establishing design criteria for minimizing maintenance in multi-megawatt offshore turbines.</t>
        </is>
      </c>
      <c r="W43" s="2" t="inlineStr">
        <is>
          <t>1. Experimental and numerical study of airflow distribution in an aircraft cabin mock-up with a gasper on (Building and Environment, 2016) [DOI: https://doi.org/10.1016/j.buildenv.2016.03.011] | 2. Anisotropy development in isotropic turbulence subjected to off-axis rotation (Physical Review Fluids, 2026) [DOI: https://doi.org/10.1103/2s9k-9gr3]</t>
        </is>
      </c>
      <c r="X43" s="3">
        <f>HYPERLINK("https://doi.org/10.1016/j.buildenv.2016.03.011", "https://doi.org/10.1016/j.buildenv.2016.03.011 | https://doi.org/10.1016/j.triboint.2024.109852")</f>
        <v/>
      </c>
      <c r="Y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Z43" s="2" t="inlineStr"/>
      <c r="AA43" s="2" t="inlineStr">
        <is>
          <t>"Anisotropy development in isotropic turbulence subjected to off-axis rotation" [Physical Review Fluids] (2026) [DOI: https://doi.org/10.1103/2s9k-9gr3] | "Optimization of Planting Concrete Thickness and Grass Species for Roadbed Side Slopes" [Materials] (2025) [DOI: https://doi.org/10.3390/ma18204694] | "Impact of Variability in Blade Manufacturing on Transonic Compressor Rotor Performance" [Journal of Marine Science and Engineering] (2025) [DOI: https://doi.org/10.3390/jmse13101907] | "Electrically assisted bulging process of Ti-6Al-4V cylinder with small aspect ratio: mechanical properties and microstructure characteristics" [The International Journal of Advanced Manufacturing Technology] (2025) [DOI: https://doi.org/10.1007/s00170-025-16586-5] | "Individual Fish Broadband Echo Recognition Method and Performance Analysis Oriented to Aquaculture Scenarios" [Fishes] (2025) [DOI: https://doi.org/10.3390/fishes10080391]</t>
        </is>
      </c>
      <c r="AB43" s="2" t="inlineStr">
        <is>
          <t>"Experimental and numerical study of airflow distribution in an aircraft cabin mock-up with a gasper on" [Journal of Building Performance Simulation] (2016, 62 cites) [DOI: https://doi.org/10.1080/19401493.2015.1126762] | "Experimental characterization of granite damage using nonlinear ultrasonic techniques" [NDT &amp; E International] (2014, 46 cites) [DOI: https://doi.org/10.1016/j.ndteint.2014.06.005] | "Permeability Loss of Open-Graded Friction Course Mixtures due to Deformation-Related and Particle-Related Clogging: Understanding from a Laboratory Investigation" [Journal of Materials in Civil Engineering] (2015, 41 cites) [DOI: https://doi.org/10.1061/(asce)mt.1943-5533.0001282]</t>
        </is>
      </c>
      <c r="AC43" s="2" t="inlineStr"/>
      <c r="AD43" s="2" t="inlineStr">
        <is>
          <t>Outstanding Mechanical Engineers Distinguished Engineering Alumni Honorary Doctorates Staff Awards Student Awards Distinguished...</t>
        </is>
      </c>
      <c r="AE43" s="2" t="inlineStr"/>
      <c r="AF43" s="2" t="inlineStr">
        <is>
          <t>Experimental Fluid Dynamics and PIV (65)</t>
        </is>
      </c>
      <c r="AG43" s="2" t="inlineStr">
        <is>
          <t>Experimental Fluid Dynamics and PIV (65)</t>
        </is>
      </c>
      <c r="AH43" s="2" t="inlineStr">
        <is>
          <t>Experimental fluid dynamics Development of flow diagnostic techniques Flow dynamics in stratified environment Turbulent flow measurements and modeling</t>
        </is>
      </c>
      <c r="AI43" s="2" t="inlineStr">
        <is>
          <t>Fluid Mechanics Heat &amp; Mass Transfer</t>
        </is>
      </c>
      <c r="AJ43" s="2" t="inlineStr">
        <is>
          <t>Fluid Mechanics Heat &amp; Mass Transfer</t>
        </is>
      </c>
      <c r="AK43" s="2" t="inlineStr">
        <is>
          <t>B.S., Beijing University of Aero. &amp; Astro., '94 M.S., Beijing University of Aero. &amp; Astro., '97 Ph.D., Johns Hopkins University., '04</t>
        </is>
      </c>
      <c r="AL43" s="2" t="inlineStr">
        <is>
          <t>Personal Homepage</t>
        </is>
      </c>
      <c r="AM43" s="3">
        <f>HYPERLINK("https://engineering.purdue.edu/~chen220", "https://engineering.purdue.edu/~chen220")</f>
        <v/>
      </c>
      <c r="AN43" s="2" t="inlineStr"/>
      <c r="AO43" s="2" t="inlineStr"/>
      <c r="AP43" s="2" t="inlineStr"/>
      <c r="AQ43" s="2" t="inlineStr"/>
      <c r="AR43" s="2" t="inlineStr"/>
      <c r="AS43" s="2" t="inlineStr"/>
      <c r="AT43" s="2" t="inlineStr"/>
      <c r="AU43" s="2" t="b">
        <v>1</v>
      </c>
      <c r="AV43" s="3">
        <f>HYPERLINK("https://engineering.purdue.edu/AAE/people/Faculty", "https://engineering.purdue.edu/AAE/people/Faculty")</f>
        <v/>
      </c>
    </row>
    <row r="44">
      <c r="A44" s="2" t="inlineStr">
        <is>
          <t>Mark Lewis</t>
        </is>
      </c>
      <c r="B44" s="2" t="inlineStr">
        <is>
          <t>Purdue University</t>
        </is>
      </c>
      <c r="C44" s="3">
        <f>HYPERLINK("https://engineering.purdue.edu/AAE/people/ptProfile?resource_id=255151", "https://engineering.purdue.edu/AAE/people/ptProfile?resource_id=255151")</f>
        <v/>
      </c>
      <c r="D44" s="3">
        <f>HYPERLINK("https://scholar.google.com/citations?view_op=search_authors&amp;mauthors=Mark%20Lewis%20Purdue%20University", "Google Scholar Search")</f>
        <v/>
      </c>
      <c r="E44" s="2" t="inlineStr">
        <is>
          <t>CEO of Purdue Applied Research Institute (PARI); Professor of Aeronautics and Astronautics</t>
        </is>
      </c>
      <c r="F44" s="2" t="inlineStr">
        <is>
          <t>Aeronautics and Astronautics</t>
        </is>
      </c>
      <c r="G44" s="2" t="inlineStr"/>
      <c r="H44" s="3">
        <f>HYPERLINK("mailto:lewis619@purdue.edu", "lewis619@purdue.edu")</f>
        <v/>
      </c>
      <c r="I44" s="2" t="n">
        <v>1</v>
      </c>
      <c r="J44" s="2" t="inlineStr">
        <is>
          <t>🔵 Tier 1: Core Aero / Fluids / Propulsion</t>
        </is>
      </c>
      <c r="K44" s="2" t="n">
        <v>3</v>
      </c>
      <c r="L44" s="2" t="inlineStr">
        <is>
          <t>aerodynamics, hypersonic, propulsion</t>
        </is>
      </c>
      <c r="M44" s="2" t="inlineStr">
        <is>
          <t>Hypersonic vehicle design, waverider aerodynamics, scramjet airframe-engine integration, and aerothermodynamic performance optimization across high Mach numbers.</t>
        </is>
      </c>
      <c r="N44" s="2" t="inlineStr">
        <is>
          <t>Waverider Inverse Design Solvers, Scramjet Airframe-Engine Integration Tools, Taylor-Maccoll Conical Shock Solvers, Hypersonic Aerodynamic Codes</t>
        </is>
      </c>
      <c r="O44" s="2" t="inlineStr">
        <is>
          <t>Analytical Off-Design Lift-to-Drag-Ratio Analysis for Hypersonic Waveriders</t>
        </is>
      </c>
      <c r="P44" s="3">
        <f>HYPERLINK("https://doi.org/10.2514/2.2612", "https://doi.org/10.2514/2.2612")</f>
        <v/>
      </c>
      <c r="Q44" s="2" t="inlineStr">
        <is>
          <t>deriving analytical off-design lift-to-drag formulations for conical-flow hypersonic waveriders, establishing that high aerodynamic efficiency is preserved across broad off-design Mach number envelopes.</t>
        </is>
      </c>
      <c r="R44" s="2" t="inlineStr">
        <is>
          <t>An analytical method is developed to estimate the off-design lift-to-drag ratio (L/D) of hypersonic waveriders derived from conical flow fields. The method accounts for shock detachment, surface pressure changes, and skin-friction variation across Mach numbers and angles of attack. Results show that waveriders maintain high aerodynamic efficiency over broad Mach number envelopes, providing essential guidelines for flight vehicle trajectory optimization and thermal protection sizing.</t>
        </is>
      </c>
      <c r="S44" s="2" t="inlineStr">
        <is>
          <t>Quasi-One-Dimensional High-Speed Engine Model with Finite-Rate Chemistry</t>
        </is>
      </c>
      <c r="T44" s="3">
        <f>HYPERLINK("https://doi.org/10.2514/2.5855", "https://doi.org/10.2514/2.5855")</f>
        <v/>
      </c>
      <c r="U44" s="2" t="inlineStr">
        <is>
          <t>coupling quasi-one-dimensional gas dynamics with finite-rate chemical kinetics for scramjets, demonstrating that finite-rate mixing and dissociation losses impose strict upper bounds on net thrust between Mach 4 and 10.</t>
        </is>
      </c>
      <c r="V44" s="2" t="inlineStr">
        <is>
          <t>A quasi-one-dimensional scramjet cycle model incorporating finite-rate chemical kinetics and area variation was developed to analyze the performance of dual-mode ramjet/scramjet engines. The model accounts for finite-rate fuel-air mixing, shock train pressure rise, and dissociation losses in the nozzle, quantifying the sensitivity of specific impulse to combustor length and fuel injection Mach numbers across Mach 4 to 10 flight trajectories.</t>
        </is>
      </c>
      <c r="W44" s="2" t="inlineStr">
        <is>
          <t>1. Analytical Off-Design Lift-to-Drag-Ratio Analysis for Hypersonic Waveriders (Journal of Aircraft, 2000) [DOI: https://doi.org/10.2514/2.2612] | 2. Quasi-One-Dimensional High-Speed Engine Model with Finite-Rate Chemistry (Journal of Propulsion and Power, 2001) [DOI: https://doi.org/10.2514/2.5855]</t>
        </is>
      </c>
      <c r="X44" s="3">
        <f>HYPERLINK("https://doi.org/10.2514/2.2612", "https://doi.org/10.2514/2.2612 | https://doi.org/10.2514/2.5855")</f>
        <v/>
      </c>
      <c r="Y44" s="2" t="inlineStr">
        <is>
          <t>deriving analytical off-design lift-to-drag formulations for conical-flow hypersonic waveriders, establishing that high aerodynamic efficiency is preserved across broad off-design Mach number envelopes.</t>
        </is>
      </c>
      <c r="Z44" s="2" t="inlineStr"/>
      <c r="AA44" s="2" t="inlineStr">
        <is>
          <t>"Guide-wheel railways" (2025) [DOI: https://doi.org/10.4324/9781003668473_ch05] | "Canal railways and the coming of the iron rail" (2025) [DOI: https://doi.org/10.4324/9781003668473_ch15] | "Exploring the Structural Transformation of Zirconia Films" [Bulletin of the American Physical Society] (2019) [DOI: https://meetings.aps.org/Meeting/MAR19/Session/G70.82] | "The Failed Quest for Total Surveillance: The Internal Security Service in Austria-Hungary During World War I" [I.B.Tauris eBooks] (2018) [DOI: https://doi.org/10.5040/9781350989870.ch-001] | "The Second World War and the British Machine Tool Industry" (2017) [DOI: https://doi.org/10.4324/9781315262949-6]</t>
        </is>
      </c>
      <c r="AB44" s="2" t="inlineStr">
        <is>
          <t>"Urban Wages and Labor Market Agglomeration" [Journal of Urban Economics] (2002, 205 cites) [DOI: https://doi.org/10.1006/juec.2001.2257] | "Quasi-One-Dimensional High-Speed Engine Model with Finite-Rate Chemistry" [Journal of Propulsion and Power] (2001, 151 cites) [DOI: https://doi.org/10.2514/2.5889] | "Optimising the thermohydraulic performance of rough surfaces" [International Journal of Heat and Mass Transfer] (1975, 142 cites) [DOI: https://doi.org/10.1016/0017-9310(75)90232-x]</t>
        </is>
      </c>
      <c r="AC44" s="2" t="inlineStr"/>
      <c r="AD44" s="2" t="inlineStr"/>
      <c r="AE44" s="2" t="inlineStr"/>
      <c r="AF44" s="2" t="inlineStr">
        <is>
          <t>Hypersonics, Scramjets and High-Speed Aerodynamics (273)</t>
        </is>
      </c>
      <c r="AG44" s="2" t="inlineStr">
        <is>
          <t>Hypersonics, Scramjets and High-Speed Aerodynamics (273)</t>
        </is>
      </c>
      <c r="AH44" s="2" t="inlineStr">
        <is>
          <t>Hypersonics Edit var myPronunciation=document.getElementById("pronunciation");
    function play() {
    myPronunciation.play();
    }
    function pause() {
    myPronunciation.pause();
    }</t>
        </is>
      </c>
      <c r="AI44" s="2" t="inlineStr"/>
      <c r="AJ44" s="2" t="inlineStr">
        <is>
          <t>Hypersonics Edit var myPronunciation=document.getElementById("pronunciation");
    function play() {
    myPronunciation.play();
    }
    function pause() {
    myPronunciation.pause();
    }</t>
        </is>
      </c>
      <c r="AK44" s="2" t="inlineStr"/>
      <c r="AL44" s="2" t="inlineStr">
        <is>
          <t>Indiana Space Grant Consortium</t>
        </is>
      </c>
      <c r="AM44" s="3">
        <f>HYPERLINK("https://insgc.spacegrant.org/", "https://insgc.spacegrant.org/")</f>
        <v/>
      </c>
      <c r="AN44" s="2" t="inlineStr">
        <is>
          <t>Academic INSGC Internships</t>
        </is>
      </c>
      <c r="AO44" s="2" t="inlineStr"/>
      <c r="AP44" s="2" t="inlineStr"/>
      <c r="AQ44" s="2" t="inlineStr">
        <is>
          <t>NASA</t>
        </is>
      </c>
      <c r="AR44" s="2" t="inlineStr"/>
      <c r="AS44" s="2" t="inlineStr"/>
      <c r="AT44" s="2" t="inlineStr"/>
      <c r="AU44" s="2" t="b">
        <v>1</v>
      </c>
      <c r="AV44" s="3">
        <f>HYPERLINK("https://engineering.purdue.edu/AAE/people/Faculty", "https://engineering.purdue.edu/AAE/people/Faculty")</f>
        <v/>
      </c>
    </row>
    <row r="45">
      <c r="A45" s="2" t="inlineStr">
        <is>
          <t>Vikas Tomar</t>
        </is>
      </c>
      <c r="B45" s="2" t="inlineStr">
        <is>
          <t>Purdue University</t>
        </is>
      </c>
      <c r="C45" s="3">
        <f>HYPERLINK("https://engineering.purdue.edu/AAE/people/ptProfile?resource_id=55699", "https://engineering.purdue.edu/AAE/people/ptProfile?resource_id=55699")</f>
        <v/>
      </c>
      <c r="D45" s="3">
        <f>HYPERLINK("https://scholar.google.com/citations?user=rI7TKPYAAAAJ&amp;hl=en&amp;oi=ao", "Scholar (rI7TKPYAAAAJ)")</f>
        <v/>
      </c>
      <c r="E45" s="2" t="inlineStr">
        <is>
          <t>Professor</t>
        </is>
      </c>
      <c r="F45" s="2" t="inlineStr">
        <is>
          <t>Aeronautics and Astronautics</t>
        </is>
      </c>
      <c r="G45" s="2" t="inlineStr">
        <is>
          <t>rI7TKPYAAAAJ</t>
        </is>
      </c>
      <c r="H45" s="3">
        <f>HYPERLINK("mailto:tomar@purdue.edu", "tomar@purdue.edu")</f>
        <v/>
      </c>
      <c r="I45" s="2" t="n">
        <v>1</v>
      </c>
      <c r="J45" s="2" t="inlineStr">
        <is>
          <t>🔵 Tier 1: Core Aero / Fluids / Propulsion</t>
        </is>
      </c>
      <c r="K45" s="2" t="n">
        <v>3</v>
      </c>
      <c r="L45" s="2" t="inlineStr">
        <is>
          <t>autonomous, hypersonic, materials</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is>
          <t>"Influence of nanoclay on the structure–property relationships of ionic liquid cured epoxy nanocomposites" [Polymer] (2026) [DOI: https://doi.org/10.1016/j.polymer.2026.130622] | "Subsurface Fracture Mapping in Adhesive Interfaces Using Terahertz Spectroscopy" [Materials] (2026) [DOI: https://doi.org/10.3390/ma19020388] | "Measurement of elastic–plastic shock propagation and phase transition using multi-point time-gated Raman spectroscopy" [Journal of Applied Physics] (2025) [DOI: https://doi.org/10.1063/5.0282508] | "DegradAI: A scalable framework for early battery health diagnosis from limited data" [npj Clean Energy] (2025) [DOI: https://doi.org/10.1038/s44406-025-00008-2] | "Low Data Machine Learning Framework for Accelerated Lithium-Ion Battery Degradation Prediction" [ECS Meeting Abstracts] (2025) [DOI: https://doi.org/10.1149/ma2025-018828mtgabs]</t>
        </is>
      </c>
      <c r="AB45" s="2" t="inlineStr">
        <is>
          <t>"Bounds for element size in a variable stiffness cohesive finite element model" [International Journal for Numerical Methods in Engineering] (2004, 192 cites) [DOI: https://doi.org/10.1002/nme.1138] | "Nanoindentation based properties of Inconel 718 at elevated temperatures: A comparison of conventional versus additively manufactured samples" [International Journal of Plasticity] (2019, 116 cites) [DOI: https://doi.org/10.1016/j.ijplas.2019.04.018] | "Micromechanical Simulation of Dynamic Fracture Using the Cohesive Finite Element Method" [Journal of Engineering Materials and Technology] (2004, 100 cites) [DOI: https://doi.org/10.1115/1.1647127]</t>
        </is>
      </c>
      <c r="AC45" s="2" t="inlineStr"/>
      <c r="AD45" s="2" t="inlineStr">
        <is>
          <t>• 2025 Featured Paper (chosen by the editors among all aubmitted and accepted papers) in the Journal of Applied Physics (with M...</t>
        </is>
      </c>
      <c r="AE45" s="2" t="inlineStr"/>
      <c r="AF45" s="2" t="inlineStr">
        <is>
          <t>High-Velocity Impact and Material Behavior (36) | Advanced ceramic materials synthesis (34) | Metal and Thin Film Mechanics (28)</t>
        </is>
      </c>
      <c r="AG45" s="2" t="inlineStr">
        <is>
          <t>High-Velocity Impact and Material Behavior (36) | Advanced ceramic materials synthesis (34) | Metal and Thin Film Mechanics (28)</t>
        </is>
      </c>
      <c r="AH45" s="2" t="inlineStr">
        <is>
          <t>Emphasis is on engineering and science of materials in extreme environments with specific projects currently focusing on; 1. Non-equilibrium Phenomenon in Matter: Application of Nanosecond Multipoint Raman Spectroscopy and data science for understanding/describing shock as well as low velocity fracture/sensitivity to damage. Use of such knowledge in domains such as Physiology, Hypersonics, Anti Shock Designs,  Space Solutions, Additive Manufacturing etc. 2. Autonomy Energy Intelligence: Use of data science for combined edge-cloud solutions for deploying high voltage batteries in sensitive applications with emphasis on extreme events such as nail puncture-high voltage shock-rapid temperature events etc. Use of such knowledge for Physical AI Solutions for Autonomy, Artificial General Intelligence, Large Scale Autonomous Manufacturing etc</t>
        </is>
      </c>
      <c r="AI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with specific projects currently focusing on; 1. Non-equilibrium Phenomenon in Matter: Application of Nanosecond Multipoint Raman Spectroscopy and data science to understand/describe shock as well as low velocity fracture/sensitivity to damage. Use of such knowledge in domains such as Physiology, Hypersonics, Anti-Shock Designs, Space Solutions, Additive Manufacturing, etc. 2. Autonomy Energy Intelligence: Use of data science for combined edge-cloud solutions for deploying high voltage batteries in sensitive applications, emphasizing extreme events such as nail puncture-high voltage shock-rapid temperature events, etc. Use of such knowledge for Physical AI Solutions for Autonomy, Artificial General Intelligence, Large Scale Autonomous Manufacturing etc Lab Director, Prof. Tomar started his career as an assistant professor in January 2006 after graduating from Georgia Tech with PhD in Mechanical Engineering in December 2005. He was promoted to full professor in 2016 at Purdue University. Lab has graduated 17 PhDs, 27 MS-Thesis students, and multiple non-thesis/undergrad special topic research project students. Lab has published over 400 publications, filed 11 research patents/disclosures (awarded 6 patents), written 2 published books, and edited 5 research volumes. The lab has been part of multiple externally funded projects from Industry, the Office of Naval Research (ONR), the Naval Surface Warfare Center, the National Science Foundation (NSF), the Department of Energy (DoE), ARMY, and Air Force Office of Scientific Research (AFoSR). Lab excellence in research has been recognized by several awards including the VAJRA award from Govt of India, the AFoSR Young Investigator Award for high-temperature interface thermomechanics, the American Society of Mechanical Engineers (ASME) Orr Early Career Award for excellence in fracture and fatigue, The Mineral, Metal, and Materials Societies (TMS) early career faculty fellow-honorable mention award for materials research, inaugural Elsevier Material Science and Engineering journals Early Career Young Researcher Award for Interface Mechanics, Purdue Seeds for Success Awards (2017, 2018, 2020), Purdue CT Sun Research award, Purdue University Faculty Scholar Award, and multiple other best paper awards. For his contribution to the profession, Dr. Tomar was elected an ASME Fellow in 2016 and an American Institute of Aeronautics and Astronautics (AIAA) Associate Fellow in 2015. He has been bestowed with multiple mentorship and teaching awards including the Indiana LSAMP Outstanding Mentor Award, Purdue School of Aeronautics Best Undergraduate Teacher Gustafson award etc. He has organized numerous conferences as track chair and conference co-organizer with various Editor-in-Chief and Associate Editor positions at reputed journals. Lab student members have won multiple research and service awards at the undergraduate and graduate level including the Mitchell Scholarship award to Milad Alucozai which is first ever awarded in Purdue undergraduate education history, the NASA RASC-AL award to an undergraduate team, the NSF best poster award with grad student Ming Gan, Best paper awards at TMS with Bing Li and Abhijeet Dhiman, Chorafus foundation best PhD dissertation finalist to Ming Gan, College of Engineering outstanding service award to Devendra Verma, and numerous other student awards such as Blissland Dissertation Fellowship, Purdue's Nominee for external Best Master's Thesis competitions, multiple Lynn Fellowships, and finally numerous student conference travel awards sponsored by organizations across the world. Students after graduation have enjoyed successful careers in academia US government agencies national labs and industry. Several lab alumni have either tenured or tenure-track faculty positions in universities in the USA, Mexico, India, China, and S Korea.</t>
        </is>
      </c>
      <c r="AJ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
        </is>
      </c>
      <c r="AK45" s="2" t="inlineStr">
        <is>
          <t>MBA, University of California, Berkeley, Haas School of Management, June 2023 Ph.D., Georgia Institute of Technology, Atlanta, GA, December 2005 M. Tech., Indian Institute of Technology-Madras, Chennai, India, May 2001 B. Tech., National Institute of Technology, Kurukshetra, India, May 1998</t>
        </is>
      </c>
      <c r="AL45" s="2" t="inlineStr">
        <is>
          <t>Indiana Space Grant Consortium</t>
        </is>
      </c>
      <c r="AM45" s="3">
        <f>HYPERLINK("https://insgc.spacegrant.org/", "https://insgc.spacegrant.org/")</f>
        <v/>
      </c>
      <c r="AN45" s="2" t="inlineStr">
        <is>
          <t>Academic INSGC Internships</t>
        </is>
      </c>
      <c r="AO45" s="2" t="inlineStr"/>
      <c r="AP45" s="2" t="inlineStr"/>
      <c r="AQ45" s="2" t="inlineStr">
        <is>
          <t>NASA</t>
        </is>
      </c>
      <c r="AR45" s="2" t="inlineStr"/>
      <c r="AS45" s="2" t="inlineStr"/>
      <c r="AT45" s="2" t="inlineStr">
        <is>
          <t>ARMS 2033</t>
        </is>
      </c>
      <c r="AU45" s="2" t="b">
        <v>1</v>
      </c>
      <c r="AV45" s="3">
        <f>HYPERLINK("https://engineering.purdue.edu/AAE/people/Faculty", "https://engineering.purdue.edu/AAE/people/Faculty")</f>
        <v/>
      </c>
    </row>
    <row r="46">
      <c r="A46" s="2" t="inlineStr">
        <is>
          <t>Benxin Wu</t>
        </is>
      </c>
      <c r="B46" s="2" t="inlineStr">
        <is>
          <t>Purdue University</t>
        </is>
      </c>
      <c r="C46" s="3">
        <f>HYPERLINK("https://engineering.purdue.edu/ME/People/ptProfile?resource_id=117606", "https://engineering.purdue.edu/ME/People/ptProfile?resource_id=117606")</f>
        <v/>
      </c>
      <c r="D46" s="3">
        <f>HYPERLINK("https://scholar.google.com/citations?view_op=search_authors&amp;mauthors=Benxin%20Wu%20Purdue%20University", "Google Scholar Search")</f>
        <v/>
      </c>
      <c r="E46" s="2" t="inlineStr">
        <is>
          <t>Professor of Mechanical Engineering</t>
        </is>
      </c>
      <c r="F46" s="2" t="inlineStr">
        <is>
          <t>Mechanical Engineering</t>
        </is>
      </c>
      <c r="G46" s="2" t="inlineStr"/>
      <c r="H46" s="3">
        <f>HYPERLINK("mailto:wu65@purdue.edu", "wu65@purdue.edu")</f>
        <v/>
      </c>
      <c r="I46" s="2" t="n">
        <v>1</v>
      </c>
      <c r="J46" s="2" t="inlineStr">
        <is>
          <t>🔵 Tier 1: Core Aero / Fluids / Propulsion</t>
        </is>
      </c>
      <c r="K46" s="2" t="n">
        <v>2</v>
      </c>
      <c r="L46" s="2" t="inlineStr">
        <is>
          <t>fluid mechanics, materials</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is>
          <t>"Confinement-induced laser attenuation in multi-pulse ablation with high-intensity nanosecond laser" [Manufacturing Letters] (2026) [DOI: https://doi.org/10.1016/j.mfglet.2026.08.094] | "Double-front plasma produced from high-intensity nanosecond laser ablation of aluminum: Time-resolved imaging and hydrodynamic modeling" [Journal of Applied Physics] (2026) [DOI: https://doi.org/10.1063/5.0333327]</t>
        </is>
      </c>
      <c r="AB46" s="2" t="inlineStr">
        <is>
          <t>"Double-front plasma produced from high-intensity nanosecond laser ablation of aluminum: Time-resolved imaging and hydrodynamic modeling" [Journal of Applied Physics] (2026, 1 cites) [DOI: https://doi.org/10.1063/5.0333327] | "Confinement-induced laser attenuation in multi-pulse ablation with high-intensity nanosecond laser" [Manufacturing Letters] (2026, 0 cites) [DOI: https://doi.org/10.1016/j.mfglet.2026.08.094]</t>
        </is>
      </c>
      <c r="AC46" s="2" t="inlineStr"/>
      <c r="AD46" s="2" t="inlineStr">
        <is>
          <t>Outstanding Mechanical Engineers Distinguished Engineering Alumni Honorary Doctorates Staff Awards Student Awards Distinguished...</t>
        </is>
      </c>
      <c r="AE46" s="2" t="inlineStr"/>
      <c r="AF46" s="2" t="inlineStr">
        <is>
          <t>Laser Material Processing Techniques (2) | Space Satellite Systems and Control (1) | Laser-induced spectroscopy and plasma (1)</t>
        </is>
      </c>
      <c r="AG46" s="2" t="inlineStr">
        <is>
          <t>Laser Material Processing Techniques (2) | Space Satellite Systems and Control (1) | Laser-induced spectroscopy and plasma (1)</t>
        </is>
      </c>
      <c r="AH46" s="2" t="inlineStr">
        <is>
          <t>Laser-matter interactions Laser-induced plasma and laser-plasma interaction Laser applications in manufacturing, materials processing, and other areas</t>
        </is>
      </c>
      <c r="AI46" s="2" t="inlineStr">
        <is>
          <t>Fluid Mechanics Systems, Measurements &amp; Controls</t>
        </is>
      </c>
      <c r="AJ46" s="2" t="inlineStr">
        <is>
          <t>Fluid Mechanics Systems, Measurements &amp; Controls</t>
        </is>
      </c>
      <c r="AK46" s="2" t="inlineStr">
        <is>
          <t>Ph.D., Purdue University, 2007 M.S., University of Missouri-Rolla, 2003 B.Eng., Tsinghua University, 2001</t>
        </is>
      </c>
      <c r="AL46" s="2" t="inlineStr">
        <is>
          <t>Indiana Space Grant Consortium</t>
        </is>
      </c>
      <c r="AM46" s="3">
        <f>HYPERLINK("https://insgc.spacegrant.org/", "https://insgc.spacegrant.org/")</f>
        <v/>
      </c>
      <c r="AN46" s="2" t="inlineStr">
        <is>
          <t>Academic INSGC Internships</t>
        </is>
      </c>
      <c r="AO46" s="2" t="inlineStr"/>
      <c r="AP46" s="2" t="inlineStr"/>
      <c r="AQ46" s="2" t="inlineStr">
        <is>
          <t>NASA</t>
        </is>
      </c>
      <c r="AR46" s="2" t="inlineStr"/>
      <c r="AS46" s="2" t="inlineStr"/>
      <c r="AT46" s="2" t="inlineStr">
        <is>
          <t>ME G091 &amp; 2550NW</t>
        </is>
      </c>
      <c r="AU46" s="2" t="b">
        <v>1</v>
      </c>
      <c r="AV46" s="3">
        <f>HYPERLINK("https://engineering.purdue.edu/ME/People/ptFaculty", "https://engineering.purdue.edu/ME/People/ptFaculty")</f>
        <v/>
      </c>
    </row>
    <row r="47">
      <c r="A47" s="2" t="inlineStr">
        <is>
          <t>Gregory M. Shaver</t>
        </is>
      </c>
      <c r="B47" s="2" t="inlineStr">
        <is>
          <t>Purdue University</t>
        </is>
      </c>
      <c r="C47" s="3">
        <f>HYPERLINK("https://engineering.purdue.edu/ME/People/ptProfile?resource_id=29361", "https://engineering.purdue.edu/ME/People/ptProfile?resource_id=29361")</f>
        <v/>
      </c>
      <c r="D47" s="3">
        <f>HYPERLINK("https://scholar.google.com/citations?view_op=search_authors&amp;mauthors=Gregory%20M.%20Shaver%20Purdue%20University", "Google Scholar Search")</f>
        <v/>
      </c>
      <c r="E47" s="2" t="inlineStr">
        <is>
          <t>Director of Herrick Labs; Reilly Professor of Mechanical Engineering</t>
        </is>
      </c>
      <c r="F47" s="2" t="inlineStr">
        <is>
          <t>Mechanical Engineering</t>
        </is>
      </c>
      <c r="G47" s="2" t="inlineStr"/>
      <c r="H47" s="3">
        <f>HYPERLINK("mailto:gshaver@purdue.edu", "gshaver@purdue.edu")</f>
        <v/>
      </c>
      <c r="I47" s="2" t="n">
        <v>1</v>
      </c>
      <c r="J47" s="2" t="inlineStr">
        <is>
          <t>🔵 Tier 1: Core Aero / Fluids / Propulsion</t>
        </is>
      </c>
      <c r="K47" s="2" t="n">
        <v>2</v>
      </c>
      <c r="L47" s="2" t="inlineStr">
        <is>
          <t>combustion, thermodynamics</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is>
          <t>"Robust MIMO air handling control for eboosted off-road hybrid diesel powertrain" [International Journal of Engine Research] (2026) [DOI: https://doi.org/10.1177/14680874261473817] | "Experimental analysis of combustion stability and cycle-to-cycle variability in an off-road compression ignition engine fueled with biodiesel ethanol blends: Up to 50% ethanol" [Fuel] (2026) [DOI: https://doi.org/10.1016/j.fuel.2026.141185] | "Trajectory tracking in autonomous racing using a reduced-order feedback-linearized MPC framework" [Control Engineering Practice] (2026) [DOI: https://doi.org/10.1016/j.conengprac.2026.107036] | "Modeling and analysis of unilateral rigid impacts in a universal joint with clearance" [Nonlinear Dynamics] (2026) [DOI: https://doi.org/10.1007/s11071-025-12172-2] | "Real-time detection of linear and nonlinear resonance modes in automatic transmission driveline: A novel algorithm for enhanced reliability" [Journal of Mechanical Science and Technology] (2025) [DOI: https://doi.org/10.1007/s12206-025-0701-8]</t>
        </is>
      </c>
      <c r="AB47" s="2" t="inlineStr">
        <is>
          <t>"Physically-based reduced-order capacity loss model for graphite anodes in Li-ion battery cells" [Journal of Power Sources] (2017, 169 cites) [DOI: https://doi.org/10.1016/j.jpowsour.2016.12.099] | "Lessons Learned: Implementing the Case Teaching Method in a Mechanical Engineering Course" [Journal of Engineering Education] (2010, 166 cites) [DOI: https://doi.org/10.1002/j.2168-9830.2010.tb01042.x] | "Modeling cycle-to-cycle dynamics and mode transition in HCCI engines with variable valve actuation" [Control Engineering Practice] (2005, 99 cites) [DOI: https://doi.org/10.1016/j.conengprac.2005.04.009]</t>
        </is>
      </c>
      <c r="AC47" s="2" t="inlineStr"/>
      <c r="AD47" s="2" t="inlineStr">
        <is>
          <t>Outstanding Mechanical Engineers Distinguished Engineering Alumni Honorary Doctorates Staff Awards Student Awards Distinguished...</t>
        </is>
      </c>
      <c r="AE47" s="2" t="inlineStr"/>
      <c r="AF47" s="2" t="inlineStr">
        <is>
          <t>Advanced Combustion Engine Technologies (98) | Vehicle emissions and performance (57) | Biodiesel Production and Applications (29)</t>
        </is>
      </c>
      <c r="AG47" s="2" t="inlineStr">
        <is>
          <t>Advanced Combustion Engine Technologies (98) | Vehicle emissions and performance (57) | Biodiesel Production and Applications (29)</t>
        </is>
      </c>
      <c r="AH47" s="2" t="inlineStr">
        <is>
          <t>Model-based system and control design of commercial vehicle power trains Connected and automated commercial vehicles Internal combustion engine &amp; after-treatment system design and controls Flexible valve actuation in diesel and natural gas engines</t>
        </is>
      </c>
      <c r="AI47" s="2" t="inlineStr">
        <is>
          <t>Thermodynamics Systems, Measurements &amp; Controls</t>
        </is>
      </c>
      <c r="AJ47" s="2" t="inlineStr">
        <is>
          <t>Thermodynamics Systems, Measurements &amp; Controls</t>
        </is>
      </c>
      <c r="AK47" s="2" t="inlineStr">
        <is>
          <t>Ph.D. Stanford, '05 M.S. Stanford, '04 B.S. Purdue, '00</t>
        </is>
      </c>
      <c r="AL47" s="2" t="inlineStr">
        <is>
          <t>Personal Homepage</t>
        </is>
      </c>
      <c r="AM47" s="3">
        <f>HYPERLINK("http://www.gregshaver.com/", "http://www.gregshaver.com/")</f>
        <v/>
      </c>
      <c r="AN47" s="2" t="inlineStr"/>
      <c r="AO47" s="2" t="inlineStr"/>
      <c r="AP47" s="2" t="inlineStr"/>
      <c r="AQ47" s="2" t="inlineStr"/>
      <c r="AR47" s="2" t="inlineStr"/>
      <c r="AS47" s="2" t="inlineStr"/>
      <c r="AT47" s="2" t="inlineStr"/>
      <c r="AU47" s="2" t="b">
        <v>1</v>
      </c>
      <c r="AV47" s="3">
        <f>HYPERLINK("https://engineering.purdue.edu/ME/People/ptFaculty", "https://engineering.purdue.edu/ME/People/ptFaculty")</f>
        <v/>
      </c>
    </row>
    <row r="48">
      <c r="A48" s="2" t="inlineStr">
        <is>
          <t>Jamie Canino</t>
        </is>
      </c>
      <c r="B48" s="2" t="inlineStr">
        <is>
          <t>Purdue University</t>
        </is>
      </c>
      <c r="C48" s="3">
        <f>HYPERLINK("https://engineering.purdue.edu/AAE/people/ptProfile?resource_id=285032", "https://engineering.purdue.edu/AAE/people/ptProfile?resource_id=285032")</f>
        <v/>
      </c>
      <c r="D48" s="3">
        <f>HYPERLINK("https://scholar.google.com/citations?view_op=search_authors&amp;mauthors=Jamie%20Canino%20Purdue%20University", "Google Scholar Search")</f>
        <v/>
      </c>
      <c r="E48" s="2" t="inlineStr">
        <is>
          <t>Associate Professor of Engineering Practice</t>
        </is>
      </c>
      <c r="F48" s="2" t="inlineStr">
        <is>
          <t>Aeronautics and Astronautics</t>
        </is>
      </c>
      <c r="G48" s="2" t="inlineStr"/>
      <c r="H48" s="3">
        <f>HYPERLINK("mailto:canino@purdue.edu", "canino@purdue.edu")</f>
        <v/>
      </c>
      <c r="I48" s="2" t="n">
        <v>1</v>
      </c>
      <c r="J48" s="2" t="inlineStr">
        <is>
          <t>🔵 Tier 1: Core Aero / Fluids / Propulsion</t>
        </is>
      </c>
      <c r="K48" s="2" t="n">
        <v>2</v>
      </c>
      <c r="L48" s="2" t="inlineStr">
        <is>
          <t>propulsion, rocket propulsion</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is>
          <t>"Optimization of Lenz-Type VAWT Geometries with Computational Fluid Dynamics" [AIAA SCITECH 2023 Forum] (2023) [DOI: https://doi.org/10.2514/6.2023-0017]</t>
        </is>
      </c>
      <c r="AB48" s="2" t="inlineStr">
        <is>
          <t>"Computational Modelling of Rocket Injector Internal Flows" (2007, 6 cites) [DOI: https://doi.org/10.2514/6.2007-5571] | "Optimization of Lenz-Type VAWT Geometries with Computational Fluid Dynamics" [AIAA SCITECH 2023 Forum] (2023, 0 cites) [DOI: https://doi.org/10.2514/6.2023-0017]</t>
        </is>
      </c>
      <c r="AC48" s="2" t="inlineStr"/>
      <c r="AD48" s="2" t="inlineStr"/>
      <c r="AE48" s="2" t="inlineStr"/>
      <c r="AF48" s="2" t="inlineStr">
        <is>
          <t>Advanced Combustion Engine Technologies (1) | Combustion and flame dynamics (1) | Wind Energy Research and Development (1)</t>
        </is>
      </c>
      <c r="AG48" s="2" t="inlineStr">
        <is>
          <t>Advanced Combustion Engine Technologies (1) | Combustion and flame dynamics (1) | Wind Energy Research and Development (1)</t>
        </is>
      </c>
      <c r="AH48" s="2" t="inlineStr">
        <is>
          <t>Engineering Education, Undergraduate Mentoring, Rocket Propulsion Edit var myPronunciation=document.getElementById("pronunciation");
    function play() {
    myPronunciation.play();
    }
    function pause() {
    myPronunciation.pause();
    }</t>
        </is>
      </c>
      <c r="AI48" s="2" t="inlineStr"/>
      <c r="AJ48" s="2" t="inlineStr">
        <is>
          <t>Engineering Education, Undergraduate Mentoring, Rocket Propulsion Edit var myPronunciation=document.getElementById("pronunciation");
    function play() {
    myPronunciation.play();
    }
    function pause() {
    myPronunciation.pause();
    }</t>
        </is>
      </c>
      <c r="AK48" s="2" t="inlineStr"/>
      <c r="AL48" s="2" t="inlineStr">
        <is>
          <t>Indiana Space Grant Consortium</t>
        </is>
      </c>
      <c r="AM48" s="3">
        <f>HYPERLINK("https://insgc.spacegrant.org/", "https://insgc.spacegrant.org/")</f>
        <v/>
      </c>
      <c r="AN48" s="2" t="inlineStr">
        <is>
          <t>Academic INSGC Internships</t>
        </is>
      </c>
      <c r="AO48" s="2" t="inlineStr"/>
      <c r="AP48" s="2" t="inlineStr"/>
      <c r="AQ48" s="2" t="inlineStr">
        <is>
          <t>NASA</t>
        </is>
      </c>
      <c r="AR48" s="2" t="inlineStr"/>
      <c r="AS48" s="2" t="inlineStr"/>
      <c r="AT48" s="2" t="inlineStr">
        <is>
          <t>ARMS 3209</t>
        </is>
      </c>
      <c r="AU48" s="2" t="b">
        <v>1</v>
      </c>
      <c r="AV48" s="3">
        <f>HYPERLINK("https://engineering.purdue.edu/AAE/people/Faculty", "https://engineering.purdue.edu/AAE/people/Faculty")</f>
        <v/>
      </c>
    </row>
    <row r="49">
      <c r="A49" s="2" t="inlineStr">
        <is>
          <t>Leifur Leifsson</t>
        </is>
      </c>
      <c r="B49" s="2" t="inlineStr">
        <is>
          <t>Purdue University</t>
        </is>
      </c>
      <c r="C49" s="3">
        <f>HYPERLINK("https://engineering.purdue.edu/AAE/people/ptProfile?resource_id=256632", "https://engineering.purdue.edu/AAE/people/ptProfile?resource_id=256632")</f>
        <v/>
      </c>
      <c r="D49" s="3">
        <f>HYPERLINK("https://scholar.google.com/citations?view_op=search_authors&amp;mauthors=Leifur%20Leifsson%20Purdue%20University", "Google Scholar Search")</f>
        <v/>
      </c>
      <c r="E49" s="2" t="inlineStr">
        <is>
          <t>Associate Professor</t>
        </is>
      </c>
      <c r="F49" s="2" t="inlineStr">
        <is>
          <t>Aeronautics and Astronautics</t>
        </is>
      </c>
      <c r="G49" s="2" t="inlineStr"/>
      <c r="H49" s="3">
        <f>HYPERLINK("mailto:leifur@purdue.edu", "leifur@purdue.edu")</f>
        <v/>
      </c>
      <c r="I49" s="2" t="n">
        <v>1</v>
      </c>
      <c r="J49" s="2" t="inlineStr">
        <is>
          <t>🔵 Tier 1: Core Aero / Fluids / Propulsion</t>
        </is>
      </c>
      <c r="K49" s="2" t="n">
        <v>2</v>
      </c>
      <c r="L49" s="2" t="inlineStr">
        <is>
          <t>aerospace, fluid-structure interaction</t>
        </is>
      </c>
      <c r="M49" s="2" t="inlineStr">
        <is>
          <t>Surrogate-based aerodynamic shape optimization, multi-fidelity modeling, Bayesian optimization with surface pressure physics, and robust design under aerodynamic uncertainty.</t>
        </is>
      </c>
      <c r="N49" s="2" t="inlineStr">
        <is>
          <t>Gaussian Process / Kriging Surrogates, Bayesian Optimization, Multi-Fidelity CFD, Surface-Pressure Autoencoders, Adjoint Aerodynamic Solvers</t>
        </is>
      </c>
      <c r="O49" s="2" t="inlineStr">
        <is>
          <t>Efficient Design of Airfoil Shapes Using Surface Pressure–Informed Bayesian Optimization</t>
        </is>
      </c>
      <c r="P49" s="3">
        <f>HYPERLINK("https://doi.org/10.2514/6.2026-0148", "https://doi.org/10.2514/6.2026-0148")</f>
        <v/>
      </c>
      <c r="Q49" s="2" t="inlineStr">
        <is>
          <t>developing surface pressure-informed Bayesian optimization with autoencoders for transonic airfoils, demonstrating that encoding physical pressure distribution features into surrogate models reduces optimization CFD evaluations by 40%.</t>
        </is>
      </c>
      <c r="R49" s="2" t="inlineStr">
        <is>
          <t>Aerodynamic shape optimization of airfoil shapes is an essential part of the aircraft design process but is computationally demanding when high-fidelity CFD simulations are required. This paper introduces a surface pressure-informed Bayesian optimization framework where latent features of surface pressure distributions are extracted using convolutional autoencoders and integrated into Gaussian process surrogate models. Incorporating physical pressure field information accelerates convergence to transonic drag-divergence optima by over 40% compared to standard black-box Bayesian optimization.</t>
        </is>
      </c>
      <c r="S49" s="2" t="inlineStr">
        <is>
          <t>Surrogate-based aerodynamic shape optimization for delaying airfoil dynamic stall using Kriging regression and infill criteria</t>
        </is>
      </c>
      <c r="T49" s="3">
        <f>HYPERLINK("https://doi.org/10.1016/j.ast.2021.106555", "https://doi.org/10.1016/j.ast.2021.106555")</f>
        <v/>
      </c>
      <c r="U49" s="2" t="inlineStr">
        <is>
          <t>applying Kriging surrogate models and infill criteria to unsteady pitching airfoils, demonstrating that optimized leading-edge curvature delays dynamic stall vortex shedding and reduces peak nose-down pitching moment spikes by 35%.</t>
        </is>
      </c>
      <c r="V49" s="2" t="inlineStr">
        <is>
          <t>Airfoil dynamic stall is characterized by the shedding of an energetic leading-edge vortex, causing severe pitching moment fluctuations and structural fatigue in rotorcraft blades. This study presents a surrogate-based shape optimization framework utilizing Kriging regression coupled with expected improvement infill criteria to delay dynamic stall onset. Unsteady RANS simulations of pitching airfoils validate that optimized leading-edge profiles suppress dynamic stall vortex formation, reducing peak nose-down pitching moment by over 35%.</t>
        </is>
      </c>
      <c r="W49" s="2" t="inlineStr">
        <is>
          <t>1. Efficient Design of Airfoil Shapes Using Surface Pressure–Informed Bayesian Optimization (AIAA SciTech, 2026) [DOI: https://doi.org/10.2514/6.2026-0148] | 2. Surrogate-based aerodynamic shape optimization for delaying airfoil dynamic stall using Kriging regression and infill criteria (Aerospace Science and Technology, 2021) [DOI: https://doi.org/10.1016/j.ast.2021.106555]</t>
        </is>
      </c>
      <c r="X49" s="3">
        <f>HYPERLINK("https://doi.org/10.2514/6.2026-0148", "https://doi.org/10.2514/6.2026-0148 | https://doi.org/10.1016/j.ast.2021.106555")</f>
        <v/>
      </c>
      <c r="Y49" s="2" t="inlineStr">
        <is>
          <t>developing surface pressure-informed Bayesian optimization with autoencoders for transonic airfoils, demonstrating that encoding physical pressure distribution features into surrogate models reduces optimization CFD evaluations by 40%.</t>
        </is>
      </c>
      <c r="Z49" s="2" t="inlineStr"/>
      <c r="AA49" s="2" t="inlineStr">
        <is>
          <t>"Adaptive Hyperparameter Optimization Strategies for Neural Network Models in Engineering Design Optimization" [Journal of Aerospace Information Systems] (2026) [DOI: https://doi.org/10.2514/1.i011839] | "Special Issue: Data-Driven Design Under Uncertainty" [Journal of Mechanical Design] (2026) [DOI: https://doi.org/10.1115/1.4070968] | "Efficient Design of Airfoil Shapes Using Surface Pressure–Informed Bayesian Optimization" (2026) [DOI: https://doi.org/10.2514/6.2026-0148] | "Aerodynamic Uncertainty Analysis of the Common Research Model Wing Using Autoencoders" (2026) [DOI: https://doi.org/10.2514/6.2026-1208] | "Efficient Design Under Uncertainty of Spacecraft and Trajectory Systems Using Gaussian Process Surrogates" (2026) [DOI: https://doi.org/10.2514/6.2026-1790]</t>
        </is>
      </c>
      <c r="AB49" s="2" t="inlineStr">
        <is>
          <t>"Surrogate-Based Methods" [Studies in computational intelligence] (2011, 257 cites) [DOI: https://doi.org/10.1007/978-3-642-20859-1_3] | "Surrogate-based aerodynamic shape optimization for delaying airfoil dynamic stall using Kriging regression and infill criteria" [Aerospace Science and Technology] (2021, 120 cites) [DOI: https://doi.org/10.1016/j.ast.2021.106555] | "Surrogate-Based Aerodynamic Shape Optimization by Variable-Resolution Models" [AIAA Journal] (2012, 111 cites) [DOI: https://doi.org/10.2514/1.j051583]</t>
        </is>
      </c>
      <c r="AC49" s="2" t="inlineStr"/>
      <c r="AD49" s="2" t="inlineStr">
        <is>
          <t>NSF Early CAREER Award, NSF/CMMI/EDSE, February 2019 Best Paper Award, ASME Journal of Nondestructive Evaluation, 2019 Research...</t>
        </is>
      </c>
      <c r="AE49" s="2" t="inlineStr"/>
      <c r="AF49" s="2" t="inlineStr">
        <is>
          <t>Advanced Multi-Objective Optimization Algorithms (155) | Probabilistic and Robust Engineering Design (107) | Microwave Engineering and Waveguides (66)</t>
        </is>
      </c>
      <c r="AG49" s="2" t="inlineStr">
        <is>
          <t>Advanced Multi-Objective Optimization Algorithms (155) | Probabilistic and Robust Engineering Design (107) | Microwave Engineering and Waveguides (66)</t>
        </is>
      </c>
      <c r="AH49" s="2" t="inlineStr">
        <is>
          <t>Computational aerospace engineering design; Multidisciplinary design optimization; Surrogate-based modeling and optimization; Uncertainty quantification; Scientific machine learning; Multifidelity methods</t>
        </is>
      </c>
      <c r="AI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 Edit var myPronunciation=document.getElementById("pronunciation");
    function play() {
    myPronunciation.play();
    }
    function pause() {
    myPronunciation.pause();
    }</t>
        </is>
      </c>
      <c r="AJ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t>
        </is>
      </c>
      <c r="AK49" s="2" t="inlineStr">
        <is>
          <t>C.Sc. University of Iceland, Mechanical and Industrial Engineering, 1999 M.Sc. University of Iceland, Mechanical Engineering, 2000 Ph.D. Virginia Tech, Aerospace Engineering, 2006</t>
        </is>
      </c>
      <c r="AL49" s="2" t="inlineStr">
        <is>
          <t>Indiana Space Grant Consortium</t>
        </is>
      </c>
      <c r="AM49" s="3">
        <f>HYPERLINK("https://insgc.spacegrant.org/", "https://insgc.spacegrant.org/")</f>
        <v/>
      </c>
      <c r="AN49" s="2" t="inlineStr">
        <is>
          <t>Academic INSGC Internships</t>
        </is>
      </c>
      <c r="AO49" s="2" t="inlineStr"/>
      <c r="AP49" s="2" t="inlineStr"/>
      <c r="AQ49" s="2" t="inlineStr">
        <is>
          <t>NASA</t>
        </is>
      </c>
      <c r="AR49" s="2" t="inlineStr"/>
      <c r="AS49" s="2" t="inlineStr"/>
      <c r="AT49" s="2" t="inlineStr">
        <is>
          <t>ARMS 3229</t>
        </is>
      </c>
      <c r="AU49" s="2" t="b">
        <v>1</v>
      </c>
      <c r="AV49" s="3">
        <f>HYPERLINK("https://engineering.purdue.edu/AAE/people/Faculty", "https://engineering.purdue.edu/AAE/people/Faculty")</f>
        <v/>
      </c>
    </row>
    <row r="50">
      <c r="A50" s="2" t="inlineStr">
        <is>
          <t>Nicole Key</t>
        </is>
      </c>
      <c r="B50" s="2" t="inlineStr">
        <is>
          <t>Purdue University</t>
        </is>
      </c>
      <c r="C50" s="3">
        <f>HYPERLINK("https://engineering.purdue.edu/ME/People/ptProfile?resource_id=34222", "https://engineering.purdue.edu/ME/People/ptProfile?resource_id=34222")</f>
        <v/>
      </c>
      <c r="D50" s="3">
        <f>HYPERLINK("https://scholar.google.com/citations?view_op=search_authors&amp;mauthors=Nicole%20Key%20Purdue%20University", "Google Scholar Search")</f>
        <v/>
      </c>
      <c r="E50" s="2" t="inlineStr">
        <is>
          <t>Avrum and Joyce Gray Professor in Entrepreneurship and Innovation; Associate Head for Graduate Studies; Professor of Aeronautics &amp; Astronautics</t>
        </is>
      </c>
      <c r="F50" s="2" t="inlineStr">
        <is>
          <t>Aeronautics and Astronautics</t>
        </is>
      </c>
      <c r="G50" s="2" t="inlineStr"/>
      <c r="H50" s="3">
        <f>HYPERLINK("mailto:nkey@purdue.edu", "nkey@purdue.edu")</f>
        <v/>
      </c>
      <c r="I50" s="2" t="n">
        <v>1</v>
      </c>
      <c r="J50" s="2" t="inlineStr">
        <is>
          <t>🔵 Tier 1: Core Aero / Fluids / Propulsion</t>
        </is>
      </c>
      <c r="K50" s="2" t="n">
        <v>2</v>
      </c>
      <c r="L50" s="2" t="inlineStr">
        <is>
          <t>fluid mechanics, thermal</t>
        </is>
      </c>
      <c r="M50" s="2" t="inlineStr">
        <is>
          <t>Experimental aeromechanics, acoustic clocking, and unsteady rotor-stator forced response under circumferential total pressure inlet distortion in multi-stage axial and centrifugal compressors.</t>
        </is>
      </c>
      <c r="N50" s="2" t="inlineStr">
        <is>
          <t>Purdue Single-Stage Centrifugal Compressor (SSCC), Multi-Stage Axial Research Compressor, High-Frequency Pressure Transducers, Laser Doppler Velocimetry (LDV), Full-Annulus URANS</t>
        </is>
      </c>
      <c r="O50" s="2" t="inlineStr">
        <is>
          <t>Effect of Inlet Distortion Reduced Frequency on Centrifugal Compressor Performance and Stability</t>
        </is>
      </c>
      <c r="P50" s="3">
        <f>HYPERLINK("https://doi.org/10.2514/1.j066481", "https://doi.org/10.2514/1.j066481")</f>
        <v/>
      </c>
      <c r="Q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R50" s="2" t="inlineStr">
        <is>
          <t>Characterizing the circumferential angle of inlet total pressure distortion by which a compressor responds in both performance and stability changes is paramount for inlet-gas turbine integration. Past computational simulations for centrifugal compressors have shown that the acoustic propagation time of information through the rotor passage over the dwell time of the rotor in the distorted state dictates this response to distortion. This is known as the acoustic reduced frequency, and a critical value has been shown computationally for centrifugal compressors to be unity. This effort utilizes the Single Stage Centrifugal Compressor at Purdue University to validate this critical value and behavior experimentally utilizing once-per-rev total pressure distortion screens. The compressor was mapped at 80, 90, and 100% corrected speed, which corresponded to subsonic, transonic, and supersonic relative-frame inlet flow Mach numbers. The efficiency of the compressor was minimally affected at transonic and supersonic operation by distortions with reduced frequencies greater than one and then exponentially decayed as distortion extents were increased, causing the reduced frequency to drop below unity.</t>
        </is>
      </c>
      <c r="S50" s="2" t="inlineStr">
        <is>
          <t>Small Random Aerodynamic Mistuning and Its Effect on Compressor Rotor Forced Response</t>
        </is>
      </c>
      <c r="T50" s="3">
        <f>HYPERLINK("https://doi.org/10.2514/1.b39968", "https://doi.org/10.2514/1.b39968")</f>
        <v/>
      </c>
      <c r="U50" s="2" t="inlineStr">
        <is>
          <t>conducting semi-analytical cascade modeling and Monte Carlo simulations on a three-stage axial compressor, demonstrating that random aerodynamic mistuning alters blade-to-blade aeroelastic damping and amplifies peak forced response vibrations by up to 22%.</t>
        </is>
      </c>
      <c r="V50" s="2" t="inlineStr">
        <is>
          <t>Small blade-to-blade geometric differences in compressor rotors are always present due to manufacturing tolerances and operational wear. These variations affect both the structural response and aerodynamic response of the rotor, known as structural mistuning and aerodynamic mistuning, respectively. A semi-analytical flat-plate cascade model was developed to quantify the aerodynamic mistuning matrix with random blade spacing variation. Monte Carlo simulations based on a three-stage axial research compressor were conducted to study the effect of small random blade spacing variation on blade forced response. Results reveal that while structural mistuning dominates rotor resonant frequencies, aerodynamic mistuning redistributes modal damping, increasing peak blade vibratory stress by up to 22%.</t>
        </is>
      </c>
      <c r="W50" s="2" t="inlineStr">
        <is>
          <t>1. Effect of Inlet Distortion Reduced Frequency on Centrifugal Compressor Performance and Stability (AIAA Journal, 2026) [DOI: https://doi.org/10.2514/1.j066481] | 2. Small Random Aerodynamic Mistuning and Its Effect on Compressor Rotor Forced Response (Journal of Propulsion and Power, 2026) [DOI: https://doi.org/10.2514/1.b39968]</t>
        </is>
      </c>
      <c r="X50" s="3">
        <f>HYPERLINK("https://doi.org/10.2514/1.j066481", "https://doi.org/10.2514/1.j066481 | https://doi.org/10.2514/1.b39968")</f>
        <v/>
      </c>
      <c r="Y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Z50" s="2" t="inlineStr"/>
      <c r="AA50" s="2" t="inlineStr">
        <is>
          <t>"AERODYNAMIC CLOCKING ASSOCIATED WITH COMPRESSOR INLET CONDITIONS AND ITS EFFECT ON EMBEDDED ROTOR FORCED RESPONSE" [Zenodo (CERN European Organization for Nuclear Research)] (2026) [DOI: https://doi.org/10.5281/zenodo.20005475] | "AERODYNAMIC CLOCKING ASSOCIATED WITH COMPRESSOR INLET CONDITIONS AND ITS EFFECT ON EMBEDDED ROTOR FORCED RESPONSE" [Zenodo (CERN European Organization for Nuclear Research)] (2026) [DOI: https://doi.org/10.5281/zenodo.20005474] | "Effect of Inlet Distortion Reduced Frequency on Centrifugal Compressor Performance and Stability" [AIAA Journal] (2026) [DOI: https://doi.org/10.2514/1.j066481] | "Small Random Aerodynamic Mistuning and Its Effect on Compressor Rotor Forced Response" [Journal of Propulsion and Power] (2026) [DOI: https://doi.org/10.2514/1.b39968] | "A Flow Physics Approach to Determining Critical Angle of Inlet Total Pressure Distortion for a Centrifugal Compressor" [Journal of Engineering for Gas Turbines and Power] (2025) [DOI: https://doi.org/10.1115/1.4070057]</t>
        </is>
      </c>
      <c r="AB50" s="2" t="inlineStr">
        <is>
          <t>"Comparison of Turbine Tip Leakage Flow for Flat Tip and Squealer Tip Geometries at High-Speed Conditions" [Journal of Turbomachinery] (2004, 167 cites) [DOI: https://doi.org/10.1115/1.2162183] | "Comparison of Turbine Tip Leakage Flow for Flat Tip and Squealer Tip Geometries at High-Speed Conditions" (2004, 94 cites) [DOI: https://doi.org/10.1115/gt2004-53979] | "Mistuned Forced Response Predictions of an Embedded Rotor in a Multistage Compressor" [Journal of Turbomachinery] (2015, 40 cites) [DOI: https://doi.org/10.1115/1.4032164]</t>
        </is>
      </c>
      <c r="AC50" s="2" t="inlineStr"/>
      <c r="AD50" s="2" t="inlineStr">
        <is>
          <t>Outstanding Mechanical Engineers Distinguished Engineering Alumni Honorary Doctorates Staff Awards Student Awards Distinguished...</t>
        </is>
      </c>
      <c r="AE50" s="2" t="inlineStr"/>
      <c r="AF50" s="2" t="inlineStr">
        <is>
          <t>Turbomachinery Performance and Optimization (152) | Refrigeration and Air Conditioning Technologies (62) | Heat Transfer Mechanisms (43)</t>
        </is>
      </c>
      <c r="AG50" s="2" t="inlineStr">
        <is>
          <t>Turbomachinery Performance and Optimization (152) | Refrigeration and Air Conditioning Technologies (62) | Heat Transfer Mechanisms (43)</t>
        </is>
      </c>
      <c r="AH50" s="2" t="inlineStr">
        <is>
          <t>Aerothermal aspects of turbomachinery Axial and radial compressor performance Experimental methods in fluid mechanics</t>
        </is>
      </c>
      <c r="AI50" s="2" t="inlineStr">
        <is>
          <t>Fluid Mechanics</t>
        </is>
      </c>
      <c r="AJ50" s="2" t="inlineStr">
        <is>
          <t>Fluid Mechanics</t>
        </is>
      </c>
      <c r="AK50" s="2" t="inlineStr">
        <is>
          <t>B.S., Purdue, '00 M.S.E., Purdue, '02 Ph.D., Purdue, '07</t>
        </is>
      </c>
      <c r="AL50" s="2" t="inlineStr">
        <is>
          <t>High Speed Compressor Research</t>
        </is>
      </c>
      <c r="AM50" s="3">
        <f>HYPERLINK("http://engineering.purdue.edu/Turbo_Research/", "http://engineering.purdue.edu/Turbo_Research/")</f>
        <v/>
      </c>
      <c r="AN50" s="2" t="inlineStr"/>
      <c r="AO50" s="2" t="inlineStr"/>
      <c r="AP50" s="2" t="inlineStr"/>
      <c r="AQ50" s="2" t="inlineStr"/>
      <c r="AR50" s="2" t="inlineStr"/>
      <c r="AS50" s="2" t="inlineStr"/>
      <c r="AT50" s="2" t="inlineStr">
        <is>
          <t>ZUCR 126, ME 2149</t>
        </is>
      </c>
      <c r="AU50" s="2" t="b">
        <v>1</v>
      </c>
      <c r="AV50" s="3">
        <f>HYPERLINK("https://engineering.purdue.edu/AAE/people/Faculty", "https://engineering.purdue.edu/AAE/people/Faculty")</f>
        <v/>
      </c>
    </row>
    <row r="51">
      <c r="A51" s="2" t="inlineStr">
        <is>
          <t>Sascha Ranftl</t>
        </is>
      </c>
      <c r="B51" s="2" t="inlineStr">
        <is>
          <t>Purdue University</t>
        </is>
      </c>
      <c r="C51" s="3">
        <f>HYPERLINK("https://engineering.purdue.edu/ME/People/ptProfile?resource_id=324341", "https://engineering.purdue.edu/ME/People/ptProfile?resource_id=324341")</f>
        <v/>
      </c>
      <c r="D51" s="3">
        <f>HYPERLINK("https://scholar.google.com/citations?user=IKgNChQAAAAJ", "Scholar (IKgNChQAAAAJ)")</f>
        <v/>
      </c>
      <c r="E51" s="2" t="inlineStr">
        <is>
          <t>Assistant Professor of Mechanical Engineering</t>
        </is>
      </c>
      <c r="F51" s="2" t="inlineStr">
        <is>
          <t>Mechanical Engineering</t>
        </is>
      </c>
      <c r="G51" s="2" t="inlineStr">
        <is>
          <t>IKgNChQAAAAJ</t>
        </is>
      </c>
      <c r="H51" s="3">
        <f>HYPERLINK("mailto:sranftl@purdue.edu", "sranftl@purdue.edu")</f>
        <v/>
      </c>
      <c r="I51" s="2" t="n">
        <v>1</v>
      </c>
      <c r="J51" s="2" t="inlineStr">
        <is>
          <t>🔵 Tier 1: Core Aero / Fluids / Propulsion</t>
        </is>
      </c>
      <c r="K51" s="2" t="n">
        <v>2</v>
      </c>
      <c r="L51" s="2" t="inlineStr">
        <is>
          <t>fluid mechanics, scientific computing</t>
        </is>
      </c>
      <c r="M51" s="2" t="inlineStr">
        <is>
          <t>Physics-informed Bayesian machine learning, physics-consistent Gaussian processes, uncertainty quantification in computational mechanics, and cardiovascular hemodynamics.</t>
        </is>
      </c>
      <c r="N51" s="2" t="inlineStr">
        <is>
          <t>Physics-Consistent Gaussian Processes (PC-GPs), Bayesian Uncertainty Quantification, Markov Chain Monte Carlo (MCMC), Patient-Specific Hemodynamic Solvers, Fenics</t>
        </is>
      </c>
      <c r="O51" s="2" t="inlineStr">
        <is>
          <t>Parameter Learning With Physics-Consistent Gaussian Processes</t>
        </is>
      </c>
      <c r="P51" s="3">
        <f>HYPERLINK("https://doi.org/10.5281/zenodo.20392037", "https://doi.org/10.5281/zenodo.20392037")</f>
        <v/>
      </c>
      <c r="Q51" s="2" t="inlineStr">
        <is>
          <t>embedding linear differential operator constraints into Gaussian process kernel covariance structures, enabling physics-consistent parameter inference and certified uncertainty bounds from sparse noisy observations.</t>
        </is>
      </c>
      <c r="R51" s="2" t="inlineStr">
        <is>
          <t>Hybrid approaches combining differential equations and machine learning, known as physics-informed machine learning, aim to incorporate known physical laws into data-driven models. Gaussian processes (GPs) are particularly attractive because they provide flexible non-parametric functional priors and closed-form posterior distributions. In this work, we develop physics-consistent Gaussian processes that embed differential operator constraints directly into the kernel covariance structure, enabling robust parameter estimation and rigorous uncertainty quantification from sparse physical data.</t>
        </is>
      </c>
      <c r="S51" s="2" t="inlineStr">
        <is>
          <t>A Bayesian approach to blood rheological uncertainties in aortic hemodynamics</t>
        </is>
      </c>
      <c r="T51" s="3">
        <f>HYPERLINK("https://doi.org/10.1002/cnm.3576", "https://doi.org/10.1002/cnm.3576")</f>
        <v/>
      </c>
      <c r="U51" s="2" t="inlineStr">
        <is>
          <t>applying Bayesian Markov Chain Monte Carlo uncertainty quantification to patient-specific thoracic aortic hemodynamics, establishing how non-Newtonian blood rheology variations affect wall shear stress and oscillatory shear indices in recirculating flow.</t>
        </is>
      </c>
      <c r="V51" s="2" t="inlineStr">
        <is>
          <t>Patient-specific computational hemodynamics requires model assumptions regarding geometry, inflow waveforms, and blood rheology. This work presents a Bayesian uncertainty quantification framework to assess the impact of non-Newtonian blood rheology parameters on wall shear stress (WSS) distributions in the human thoracic aorta. High-fidelity CFD simulations integrated with Markov Chain Monte Carlo sampling reveal that rheological parameter uncertainty significantly affects oscillatory shear index predictions in low-shear recirculation zones.</t>
        </is>
      </c>
      <c r="W51" s="2" t="inlineStr">
        <is>
          <t>1. Parameter Learning With Physics-Consistent Gaussian Processes (Zenodo / arXiv, 2026) [DOI: https://doi.org/10.5281/zenodo.20392037] | 2. A Bayesian approach to blood rheological uncertainties in aortic hemodynamics (International Journal for Numerical Methods in Biomedical Engineering, 2022) [DOI: https://doi.org/10.1002/cnm.3576]</t>
        </is>
      </c>
      <c r="X51" s="3">
        <f>HYPERLINK("https://doi.org/10.5281/zenodo.20392037", "https://doi.org/10.5281/zenodo.20392037 | https://doi.org/10.1002/cnm.3576")</f>
        <v/>
      </c>
      <c r="Y51" s="2" t="inlineStr">
        <is>
          <t>embedding linear differential operator constraints into Gaussian process kernel covariance structures, enabling physics-consistent parameter inference and certified uncertainty bounds from sparse noisy observations.</t>
        </is>
      </c>
      <c r="Z51" s="2" t="inlineStr"/>
      <c r="AA51" s="2" t="inlineStr">
        <is>
          <t>"Parameter Learning With Physics-Consistent Gaussian Processes" [Zenodo (CERN European Organization for Nuclear Research)] (2026) [DOI: https://doi.org/10.5281/zenodo.20392037] | "Parameter Learning With Physics-Consistent Gaussian Processes" [Zenodo (CERN European Organization for Nuclear Research)] (2026) [DOI: https://doi.org/10.5281/zenodo.21864854] | "Uncertainty quantification in mechanics: A unified Bayesian perspective" [arXiv (Cornell University)] (2026) [DOI: https://doi.org/10.48550/arxiv.2607.18734] | "Uncertainty quantification in mechanics: A unified Bayesian perspective" [arXiv (Cornell University)] (2026) [DOI: https://arxiv.org/abs/2607.18734] | "Parameter Learning With Physics-Consistent Gaussian Processes" [Zenodo (CERN European Organization for Nuclear Research)] (2026) [DOI: https://doi.org/10.5281/zenodo.20392038]</t>
        </is>
      </c>
      <c r="AB51" s="2" t="inlineStr">
        <is>
          <t>"Femtosecond photoexcitation dynamics inside a quantum solvent" [Nature Communications] (2018, 38 cites) [DOI: https://doi.org/10.1038/s41467-018-06413-9] | "A neural network-based material cell for elastoplasticity and its performance in FE analyses of boundary value problems" [International Journal of Plasticity] (2023, 25 cites) [DOI: https://doi.org/10.1016/j.ijplas.2023.103811] | "A Bayesian approach to blood rheological uncertainties in aortic hemodynamics" [International Journal for Numerical Methods in Biomedical Engineering] (2022, 18 cites) [DOI: https://doi.org/10.1002/cnm.3576]</t>
        </is>
      </c>
      <c r="AC51" s="2" t="inlineStr"/>
      <c r="AD51" s="2" t="inlineStr">
        <is>
          <t>Outstanding Mechanical Engineers Distinguished Engineering Alumni Honorary Doctorates Staff Awards Student Awards Distinguished...</t>
        </is>
      </c>
      <c r="AE51" s="2" t="inlineStr"/>
      <c r="AF51" s="2" t="inlineStr">
        <is>
          <t>Quantum, superfluid, helium dynamics (10) | Probabilistic and Robust Engineering Design (9) | Spectroscopy and Quantum Chemical Studies (9)</t>
        </is>
      </c>
      <c r="AG51" s="2" t="inlineStr">
        <is>
          <t>Quantum, superfluid, helium dynamics (10) | Probabilistic and Robust Engineering Design (9) | Spectroscopy and Quantum Chemical Studies (9)</t>
        </is>
      </c>
      <c r="AH51" s="2" t="inlineStr">
        <is>
          <t>Scientific machine learning Bayesian probability theory Uncertainty quantification Data analysis Scientific computing Computational physics &amp; engineering Machine learning applications in engineering</t>
        </is>
      </c>
      <c r="AI51" s="2" t="inlineStr">
        <is>
          <t>Fluid Mechanics</t>
        </is>
      </c>
      <c r="AJ51" s="2" t="inlineStr">
        <is>
          <t>Fluid Mechanics</t>
        </is>
      </c>
      <c r="AK51" s="2" t="inlineStr">
        <is>
          <t>Postdoctoral fellow, Division of Applied Mathematics, Brown University, '25 Postdoctoral fellow, Courant Institute, New York University, '24 Ph.D., Institute of Theoretical &amp; Computational Physics, TU Graz, Austria, '21 Diplom-Ingenieur., Engineering Physics, TU Graz, Austria, '17</t>
        </is>
      </c>
      <c r="AL51" s="2" t="inlineStr">
        <is>
          <t>Personal Website</t>
        </is>
      </c>
      <c r="AM51" s="3">
        <f>HYPERLINK("https://sites.google.com/view/sascha-ranftl", "https://sites.google.com/view/sascha-ranftl")</f>
        <v/>
      </c>
      <c r="AN51" s="2" t="inlineStr">
        <is>
          <t>More About me News Open Positions Publications Contact</t>
        </is>
      </c>
      <c r="AO51" s="2" t="inlineStr"/>
      <c r="AP51" s="2" t="inlineStr">
        <is>
          <t>Supercomputer</t>
        </is>
      </c>
      <c r="AQ51" s="2" t="inlineStr"/>
      <c r="AR51" s="2" t="inlineStr"/>
      <c r="AS51" s="2" t="inlineStr"/>
      <c r="AT51" s="2" t="inlineStr"/>
      <c r="AU51" s="2" t="b">
        <v>1</v>
      </c>
      <c r="AV51" s="3">
        <f>HYPERLINK("https://engineering.purdue.edu/ME/People/ptFaculty", "https://engineering.purdue.edu/ME/People/ptFaculty")</f>
        <v/>
      </c>
    </row>
    <row r="52">
      <c r="A52" s="2" t="inlineStr">
        <is>
          <t>William Anderson</t>
        </is>
      </c>
      <c r="B52" s="2" t="inlineStr">
        <is>
          <t>Purdue University</t>
        </is>
      </c>
      <c r="C52" s="3">
        <f>HYPERLINK("https://engineering.purdue.edu/AAE/people/ptProfile?resource_id=1333", "https://engineering.purdue.edu/AAE/people/ptProfile?resource_id=1333")</f>
        <v/>
      </c>
      <c r="D52" s="3">
        <f>HYPERLINK("https://scholar.google.com/citations?view_op=search_authors&amp;mauthors=William%20Anderson%20Purdue%20University", "Google Scholar Search")</f>
        <v/>
      </c>
      <c r="E52" s="2" t="inlineStr">
        <is>
          <t>Professor; Ph.D. The Pennsylvania State University 1996. Chemical propulsion and design methodologies</t>
        </is>
      </c>
      <c r="F52" s="2" t="inlineStr">
        <is>
          <t>Aeronautics and Astronautics</t>
        </is>
      </c>
      <c r="G52" s="2" t="inlineStr"/>
      <c r="H52" s="3">
        <f>HYPERLINK("mailto:webmaster-eng@purdue.edu", "webmaster-eng@purdue.edu")</f>
        <v/>
      </c>
      <c r="I52" s="2" t="n">
        <v>1</v>
      </c>
      <c r="J52" s="2" t="inlineStr">
        <is>
          <t>🔵 Tier 1: Core Aero / Fluids / Propulsion</t>
        </is>
      </c>
      <c r="K52" s="2" t="n">
        <v>2</v>
      </c>
      <c r="L52" s="2" t="inlineStr">
        <is>
          <t>combustion, propulsion</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is>
          <t>"Defining stem diameter categories for forage‐type bermudagrass" [Crop Forage &amp; Turfgrass Management] (2026) [DOI: https://doi.org/10.1002/cft2.70095] | "Pilot Study: Prospective, First-in-human Clinical Evaluation of a Novel Tissue Apposition Device (ENIVO) Following Simple Unilateral Mastectomy" [Plastic &amp; Reconstructive Surgery Global Open] (2025) [DOI: https://doi.org/10.1097/gox.0000000000007027] | "Evaluating the degree day model for timing insecticide applications to suppress the bermudagrass stem maggot" [Crop Forage &amp; Turfgrass Management] (2025) [DOI: https://doi.org/10.1002/cft2.70056] | "Whole-genome resequencing of a global collection of Napier grass ( Cenchrus purpureus ) to explore global population structure and QTL governing yield and feed quality traits" [G3 Genes Genomes Genetics] (2025) [DOI: https://doi.org/10.1093/g3journal/jkaf113] | "Evaluating the agronomic and economic benefit of including spinosad with and without pyrethroid insecticides in bermudagrass stem maggot treatments" [Crop Forage &amp; Turfgrass Management] (2024) [DOI: https://doi.org/10.1002/cft2.70011]</t>
        </is>
      </c>
      <c r="AB52" s="2" t="inlineStr">
        <is>
          <t>"Human Papillomavirus and Rising Oropharyngeal Cancer Incidence in the United States" [Journal of Clinical Oncology] (2011, 3646 cites) [DOI: https://doi.org/10.1200/jco.2011.36.4596] | "Patterns of Cancer Incidence, Mortality, and Prevalence Across Five Continents: Defining Priorities to Reduce Cancer Disparities in Different Geographic Regions of the World" [Journal of Clinical Oncology] (2006, 3462 cites) [DOI: https://doi.org/10.1200/jco.2005.05.2308] | "Cardiovascular Risk Associated with Celecoxib in a Clinical Trial for Colorectal Adenoma Prevention" [New England Journal of Medicine] (2005, 2058 cites) [DOI: https://doi.org/10.1056/nejmoa050405]</t>
        </is>
      </c>
      <c r="AC52" s="2" t="inlineStr"/>
      <c r="AD52" s="2" t="inlineStr">
        <is>
          <t>Global Engineering Program Director 2011 - 2014 Associate Fellow, American Institute of Aeronautics and Astronautics (AIAA), 20...</t>
        </is>
      </c>
      <c r="AE52" s="2" t="inlineStr"/>
      <c r="AF52" s="2" t="inlineStr">
        <is>
          <t>Global Cancer Incidence and Screening (66) | Cancer Risks and Factors (60) | Economic and Financial Impacts of Cancer (59)</t>
        </is>
      </c>
      <c r="AG52" s="2" t="inlineStr">
        <is>
          <t>Global Cancer Incidence and Screening (66) | Cancer Risks and Factors (60) | Economic and Financial Impacts of Cancer (59)</t>
        </is>
      </c>
      <c r="AH52" s="2" t="inlineStr">
        <is>
          <t>Chemical propulsion and design methodologies</t>
        </is>
      </c>
      <c r="AI52" s="2" t="inlineStr">
        <is>
          <t>Measurement and modeling of combustion dynamics, rocket engine design.</t>
        </is>
      </c>
      <c r="AJ52" s="2" t="inlineStr">
        <is>
          <t>Measurement and modeling of combustion dynamics, rocket engine design.</t>
        </is>
      </c>
      <c r="AK52" s="2" t="inlineStr">
        <is>
          <t>Ph.D., Mechanical Engineering, The Pennsylvania State University, 1996 M.S., Chemical Engineering, University of Arizona, 1984 B.S., Chemistry, Arizona State University, 1979</t>
        </is>
      </c>
      <c r="AL52" s="2" t="inlineStr">
        <is>
          <t>Indiana Space Grant Consortium</t>
        </is>
      </c>
      <c r="AM52" s="3">
        <f>HYPERLINK("https://insgc.spacegrant.org/", "https://insgc.spacegrant.org/")</f>
        <v/>
      </c>
      <c r="AN52" s="2" t="inlineStr">
        <is>
          <t>Academic INSGC Internships</t>
        </is>
      </c>
      <c r="AO52" s="2" t="inlineStr"/>
      <c r="AP52" s="2" t="inlineStr"/>
      <c r="AQ52" s="2" t="inlineStr">
        <is>
          <t>NASA</t>
        </is>
      </c>
      <c r="AR52" s="2" t="inlineStr"/>
      <c r="AS52" s="2" t="inlineStr"/>
      <c r="AT52" s="2" t="inlineStr"/>
      <c r="AU52" s="2" t="b">
        <v>1</v>
      </c>
      <c r="AV52" s="3">
        <f>HYPERLINK("https://engineering.purdue.edu/AAE/people/Faculty", "https://engineering.purdue.edu/AAE/people/Faculty")</f>
        <v/>
      </c>
    </row>
    <row r="53">
      <c r="A53" s="2" t="inlineStr">
        <is>
          <t>Ryan Houim</t>
        </is>
      </c>
      <c r="B53" s="2" t="inlineStr">
        <is>
          <t>Purdue University</t>
        </is>
      </c>
      <c r="C53" s="3">
        <f>HYPERLINK("https://engineering.purdue.edu/AAE/people/ptProfile?resource_id=323130", "https://engineering.purdue.edu/AAE/people/ptProfile?resource_id=323130")</f>
        <v/>
      </c>
      <c r="D53" s="3">
        <f>HYPERLINK("https://scholar.google.com/citations?view_op=search_authors&amp;mauthors=Ryan%20Houim%20Purdue%20University", "Google Scholar Search")</f>
        <v/>
      </c>
      <c r="E53" s="2" t="inlineStr">
        <is>
          <t>Associate Professor</t>
        </is>
      </c>
      <c r="F53" s="2" t="inlineStr">
        <is>
          <t>Aeronautics and Astronautics</t>
        </is>
      </c>
      <c r="G53" s="2" t="inlineStr"/>
      <c r="H53" s="3">
        <f>HYPERLINK("mailto:webmaster-eng@purdue.edu", "webmaster-eng@purdue.edu")</f>
        <v/>
      </c>
      <c r="I53" s="2" t="n">
        <v>1</v>
      </c>
      <c r="J53" s="2" t="inlineStr">
        <is>
          <t>🔵 Tier 1: Core Aero / Fluids / Propulsion</t>
        </is>
      </c>
      <c r="K53" s="2" t="n">
        <v>0</v>
      </c>
      <c r="L53" s="2" t="inlineStr"/>
      <c r="M53" s="2" t="inlineStr">
        <is>
          <t>Multiphase combustion, Eulerian quadrature-based moment methods, explosive dust detonation, and turbulent post-blast reacting flow simulations in heterogeneous energetic mixtures.</t>
        </is>
      </c>
      <c r="N53" s="2" t="inlineStr">
        <is>
          <t>Quadrature-Based Moment Methods (QBMM), Compressible Navier-Stokes with Particle Drag, High-Resolution Shock Capturing (WENO), Diffuse Back-Illumination Extinction Imaging (DBI-EI)</t>
        </is>
      </c>
      <c r="O53" s="2" t="inlineStr">
        <is>
          <t>A robust high-resolution algorithm for quadrature-based moment methods applied to high-speed polydisperse multiphase flows</t>
        </is>
      </c>
      <c r="P53" s="3">
        <f>HYPERLINK("https://doi.org/10.48550/arxiv.2603.13697", "https://doi.org/10.48550/arxiv.2603.13697")</f>
        <v/>
      </c>
      <c r="Q53" s="2" t="inlineStr">
        <is>
          <t>developing a realizability-preserving Eulerian quadrature-based moment method for high-speed compressible granular flows, demonstrating that kinetic moment flux limiting prevents non-physical particle clustering across Mach 3+ blast shock fronts.</t>
        </is>
      </c>
      <c r="R53" s="2" t="inlineStr">
        <is>
          <t>A high-resolution Eulerian method for simulating high-speed polydisperse granular multiphase flows has been developed. The governing equations include a compressible gas that is coupled to mass-based moment equations for a polydisperse granular flow derived from the generalized population balance equation. To ensure numerical stability across strong shock waves and contact discontinuities, a realizability-preserving flux limiter and high-order kinetic reconstruction scheme are implemented. The resulting framework prevents unphysical delta-shock concentrations and accurately predicts particle trajectory crossing in supersonic particulate blast environments.</t>
        </is>
      </c>
      <c r="S53" s="2" t="inlineStr">
        <is>
          <t>Megahertz Rate Optical Diagnostics of Explosively Generated Soot</t>
        </is>
      </c>
      <c r="T53" s="3">
        <f>HYPERLINK("https://doi.org/10.1002/prep.70019", "https://doi.org/10.1002/prep.70019")</f>
        <v/>
      </c>
      <c r="U53" s="2" t="inlineStr">
        <is>
          <t>deploying diffuse back-illumination extinction imaging at megahertz rates in explosive fireballs, demonstrating that condensed carbon soot undergoes primary agglomeration and optical extinction decay within the initial 50 microseconds following detonation shock arrival.</t>
        </is>
      </c>
      <c r="V53" s="2" t="inlineStr">
        <is>
          <t>Detonation of a solid explosive produces a turbulent and luminous post-detonation fireball containing condensed carbon soot. Diagnostics of soot dynamics are needed for model validation and to interpret emission signals. Diffuse back-illumination extinction imaging (DBI-EI) and laser-induced incandescence were implemented at megahertz frame rates to capture the spatial distribution and volume fraction of soot in expanding explosive plumes. The measurements reveal rapid soot agglomeration occurring within the first 50 microseconds post-detonation, providing benchmark datasets for turbulent soot kinetics in multiphase detonations.</t>
        </is>
      </c>
      <c r="W53" s="2" t="inlineStr">
        <is>
          <t>1. A robust high-resolution algorithm for quadrature-based moment methods applied to high-speed polydisperse multiphase flows (Journal of Computational Physics / arXiv, 2026) [DOI: https://doi.org/10.48550/arxiv.2603.13697] | 2. Megahertz Rate Optical Diagnostics of Explosively Generated Soot (Propellants Explosives Pyrotechnics, 2025) [DOI: https://doi.org/10.1002/prep.70019]</t>
        </is>
      </c>
      <c r="X53" s="3">
        <f>HYPERLINK("https://doi.org/10.48550/arxiv.2603.13697", "https://doi.org/10.48550/arxiv.2603.13697 | https://doi.org/10.1002/prep.70019")</f>
        <v/>
      </c>
      <c r="Y53" s="2" t="inlineStr">
        <is>
          <t>developing a realizability-preserving Eulerian quadrature-based moment method for high-speed compressible granular flows, demonstrating that kinetic moment flux limiting prevents non-physical particle clustering across Mach 3+ blast shock fronts.</t>
        </is>
      </c>
      <c r="Z53" s="2" t="inlineStr"/>
      <c r="AA53" s="2" t="inlineStr">
        <is>
          <t>"A robust high-resolution algorithm for quadrature-based moment methods applied to high-speed polydisperse multiphase flows" [Iowa State University Digital Repository (Iowa State University)] (2026) [DOI: https://doi.org/10.48550/arxiv.2603.13697] | "A robust high-resolution algorithm for quadrature-based moment methods applied to high-speed polydisperse multiphase flows" [arXiv (Cornell University)] (2026) [DOI: http://arxiv.org/abs/2603.13697] | "Megahertz Rate Optical Diagnostics of Explosively Generated Soot" [Propellants Explosives Pyrotechnics] (2025) [DOI: https://doi.org/10.1002/prep.70019] | "Particle and fluid time scales in a spherical multiphase blast flow" [Shock Waves] (2025) [DOI: https://doi.org/10.1007/s00193-024-01207-z] | "Aluminum Powder Oxidation in a Hydrogen-Oxygen Post-Detonation Environment" (2025) [DOI: https://doi.org/10.2514/6.2025-2534]</t>
        </is>
      </c>
      <c r="AB53" s="2" t="inlineStr">
        <is>
          <t>"Formation and evolution of distorted tulip flames" [Combustion and Flame] (2015, 271 cites) [DOI: https://doi.org/10.1016/j.combustflame.2015.08.020] | "Effects of pressure waves on the stability of flames propagating in tubes" [Proceedings of the Combustion Institute] (2016, 174 cites) [DOI: https://doi.org/10.1016/j.proci.2016.06.126] | "Effect of decreasing blockage ratio on DDT in small channels with obstacles" [Combustion and Flame] (2016, 157 cites) [DOI: https://doi.org/10.1016/j.combustflame.2016.07.029]</t>
        </is>
      </c>
      <c r="AC53" s="2" t="inlineStr"/>
      <c r="AD53" s="2" t="inlineStr"/>
      <c r="AE53" s="2" t="inlineStr"/>
      <c r="AF53" s="2" t="inlineStr">
        <is>
          <t>Combustion and Detonation Processes (62) | Energetic Materials and Combustion (32) | Computational Fluid Dynamics and Aerodynamics (21)</t>
        </is>
      </c>
      <c r="AG53" s="2" t="inlineStr">
        <is>
          <t>Combustion and Detonation Processes (62) | Energetic Materials and Combustion (32) | Computational Fluid Dynamics and Aerodynamics (21)</t>
        </is>
      </c>
      <c r="AH53" s="2" t="inlineStr"/>
      <c r="AI53" s="2" t="inlineStr"/>
      <c r="AJ53" s="2" t="inlineStr"/>
      <c r="AK53" s="2" t="inlineStr"/>
      <c r="AL53" s="2" t="inlineStr">
        <is>
          <t>Indiana Space Grant Consortium</t>
        </is>
      </c>
      <c r="AM53" s="3">
        <f>HYPERLINK("https://insgc.spacegrant.org/", "https://insgc.spacegrant.org/")</f>
        <v/>
      </c>
      <c r="AN53" s="2" t="inlineStr">
        <is>
          <t>Academic INSGC Internships</t>
        </is>
      </c>
      <c r="AO53" s="2" t="inlineStr"/>
      <c r="AP53" s="2" t="inlineStr"/>
      <c r="AQ53" s="2" t="inlineStr">
        <is>
          <t>NASA</t>
        </is>
      </c>
      <c r="AR53" s="2" t="inlineStr"/>
      <c r="AS53" s="2" t="inlineStr"/>
      <c r="AT53" s="2" t="inlineStr"/>
      <c r="AU53" s="2" t="b">
        <v>0</v>
      </c>
      <c r="AV53" s="3">
        <f>HYPERLINK("https://engineering.purdue.edu/AAE/people/Faculty", "https://engineering.purdue.edu/AAE/people/Faculty")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AM7" r:id="rId44"/>
    <hyperlink xmlns:r="http://schemas.openxmlformats.org/officeDocument/2006/relationships" ref="AV7" r:id="rId45"/>
    <hyperlink xmlns:r="http://schemas.openxmlformats.org/officeDocument/2006/relationships" ref="C8" r:id="rId46"/>
    <hyperlink xmlns:r="http://schemas.openxmlformats.org/officeDocument/2006/relationships" ref="D8" r:id="rId47"/>
    <hyperlink xmlns:r="http://schemas.openxmlformats.org/officeDocument/2006/relationships" ref="H8" r:id="rId48"/>
    <hyperlink xmlns:r="http://schemas.openxmlformats.org/officeDocument/2006/relationships" ref="P8" r:id="rId49"/>
    <hyperlink xmlns:r="http://schemas.openxmlformats.org/officeDocument/2006/relationships" ref="T8" r:id="rId50"/>
    <hyperlink xmlns:r="http://schemas.openxmlformats.org/officeDocument/2006/relationships" ref="X8" r:id="rId51"/>
    <hyperlink xmlns:r="http://schemas.openxmlformats.org/officeDocument/2006/relationships" ref="AM8" r:id="rId52"/>
    <hyperlink xmlns:r="http://schemas.openxmlformats.org/officeDocument/2006/relationships" ref="AV8" r:id="rId53"/>
    <hyperlink xmlns:r="http://schemas.openxmlformats.org/officeDocument/2006/relationships" ref="C9" r:id="rId54"/>
    <hyperlink xmlns:r="http://schemas.openxmlformats.org/officeDocument/2006/relationships" ref="D9" r:id="rId55"/>
    <hyperlink xmlns:r="http://schemas.openxmlformats.org/officeDocument/2006/relationships" ref="H9" r:id="rId56"/>
    <hyperlink xmlns:r="http://schemas.openxmlformats.org/officeDocument/2006/relationships" ref="P9" r:id="rId57"/>
    <hyperlink xmlns:r="http://schemas.openxmlformats.org/officeDocument/2006/relationships" ref="T9" r:id="rId58"/>
    <hyperlink xmlns:r="http://schemas.openxmlformats.org/officeDocument/2006/relationships" ref="X9" r:id="rId59"/>
    <hyperlink xmlns:r="http://schemas.openxmlformats.org/officeDocument/2006/relationships" ref="AM9" r:id="rId60"/>
    <hyperlink xmlns:r="http://schemas.openxmlformats.org/officeDocument/2006/relationships" ref="AV9" r:id="rId61"/>
    <hyperlink xmlns:r="http://schemas.openxmlformats.org/officeDocument/2006/relationships" ref="C10" r:id="rId62"/>
    <hyperlink xmlns:r="http://schemas.openxmlformats.org/officeDocument/2006/relationships" ref="D10" r:id="rId63"/>
    <hyperlink xmlns:r="http://schemas.openxmlformats.org/officeDocument/2006/relationships" ref="H10" r:id="rId64"/>
    <hyperlink xmlns:r="http://schemas.openxmlformats.org/officeDocument/2006/relationships" ref="P10" r:id="rId65"/>
    <hyperlink xmlns:r="http://schemas.openxmlformats.org/officeDocument/2006/relationships" ref="T10" r:id="rId66"/>
    <hyperlink xmlns:r="http://schemas.openxmlformats.org/officeDocument/2006/relationships" ref="X10" r:id="rId67"/>
    <hyperlink xmlns:r="http://schemas.openxmlformats.org/officeDocument/2006/relationships" ref="AM10" r:id="rId68"/>
    <hyperlink xmlns:r="http://schemas.openxmlformats.org/officeDocument/2006/relationships" ref="AV10" r:id="rId69"/>
    <hyperlink xmlns:r="http://schemas.openxmlformats.org/officeDocument/2006/relationships" ref="C11" r:id="rId70"/>
    <hyperlink xmlns:r="http://schemas.openxmlformats.org/officeDocument/2006/relationships" ref="D11" r:id="rId71"/>
    <hyperlink xmlns:r="http://schemas.openxmlformats.org/officeDocument/2006/relationships" ref="H11" r:id="rId72"/>
    <hyperlink xmlns:r="http://schemas.openxmlformats.org/officeDocument/2006/relationships" ref="P11" r:id="rId73"/>
    <hyperlink xmlns:r="http://schemas.openxmlformats.org/officeDocument/2006/relationships" ref="T11" r:id="rId74"/>
    <hyperlink xmlns:r="http://schemas.openxmlformats.org/officeDocument/2006/relationships" ref="X11" r:id="rId75"/>
    <hyperlink xmlns:r="http://schemas.openxmlformats.org/officeDocument/2006/relationships" ref="AM11" r:id="rId76"/>
    <hyperlink xmlns:r="http://schemas.openxmlformats.org/officeDocument/2006/relationships" ref="AV11" r:id="rId77"/>
    <hyperlink xmlns:r="http://schemas.openxmlformats.org/officeDocument/2006/relationships" ref="C12" r:id="rId78"/>
    <hyperlink xmlns:r="http://schemas.openxmlformats.org/officeDocument/2006/relationships" ref="D12" r:id="rId79"/>
    <hyperlink xmlns:r="http://schemas.openxmlformats.org/officeDocument/2006/relationships" ref="H12" r:id="rId80"/>
    <hyperlink xmlns:r="http://schemas.openxmlformats.org/officeDocument/2006/relationships" ref="P12" r:id="rId81"/>
    <hyperlink xmlns:r="http://schemas.openxmlformats.org/officeDocument/2006/relationships" ref="T12" r:id="rId82"/>
    <hyperlink xmlns:r="http://schemas.openxmlformats.org/officeDocument/2006/relationships" ref="X12" r:id="rId83"/>
    <hyperlink xmlns:r="http://schemas.openxmlformats.org/officeDocument/2006/relationships" ref="AM12" r:id="rId84"/>
    <hyperlink xmlns:r="http://schemas.openxmlformats.org/officeDocument/2006/relationships" ref="AV12" r:id="rId85"/>
    <hyperlink xmlns:r="http://schemas.openxmlformats.org/officeDocument/2006/relationships" ref="C13" r:id="rId86"/>
    <hyperlink xmlns:r="http://schemas.openxmlformats.org/officeDocument/2006/relationships" ref="D13" r:id="rId87"/>
    <hyperlink xmlns:r="http://schemas.openxmlformats.org/officeDocument/2006/relationships" ref="H13" r:id="rId88"/>
    <hyperlink xmlns:r="http://schemas.openxmlformats.org/officeDocument/2006/relationships" ref="P13" r:id="rId89"/>
    <hyperlink xmlns:r="http://schemas.openxmlformats.org/officeDocument/2006/relationships" ref="T13" r:id="rId90"/>
    <hyperlink xmlns:r="http://schemas.openxmlformats.org/officeDocument/2006/relationships" ref="X13" r:id="rId91"/>
    <hyperlink xmlns:r="http://schemas.openxmlformats.org/officeDocument/2006/relationships" ref="AM13" r:id="rId92"/>
    <hyperlink xmlns:r="http://schemas.openxmlformats.org/officeDocument/2006/relationships" ref="AV13" r:id="rId93"/>
    <hyperlink xmlns:r="http://schemas.openxmlformats.org/officeDocument/2006/relationships" ref="C14" r:id="rId94"/>
    <hyperlink xmlns:r="http://schemas.openxmlformats.org/officeDocument/2006/relationships" ref="D14" r:id="rId95"/>
    <hyperlink xmlns:r="http://schemas.openxmlformats.org/officeDocument/2006/relationships" ref="H14" r:id="rId96"/>
    <hyperlink xmlns:r="http://schemas.openxmlformats.org/officeDocument/2006/relationships" ref="P14" r:id="rId97"/>
    <hyperlink xmlns:r="http://schemas.openxmlformats.org/officeDocument/2006/relationships" ref="T14" r:id="rId98"/>
    <hyperlink xmlns:r="http://schemas.openxmlformats.org/officeDocument/2006/relationships" ref="X14" r:id="rId99"/>
    <hyperlink xmlns:r="http://schemas.openxmlformats.org/officeDocument/2006/relationships" ref="AM14" r:id="rId100"/>
    <hyperlink xmlns:r="http://schemas.openxmlformats.org/officeDocument/2006/relationships" ref="AV14" r:id="rId101"/>
    <hyperlink xmlns:r="http://schemas.openxmlformats.org/officeDocument/2006/relationships" ref="C15" r:id="rId102"/>
    <hyperlink xmlns:r="http://schemas.openxmlformats.org/officeDocument/2006/relationships" ref="D15" r:id="rId103"/>
    <hyperlink xmlns:r="http://schemas.openxmlformats.org/officeDocument/2006/relationships" ref="H15" r:id="rId104"/>
    <hyperlink xmlns:r="http://schemas.openxmlformats.org/officeDocument/2006/relationships" ref="P15" r:id="rId105"/>
    <hyperlink xmlns:r="http://schemas.openxmlformats.org/officeDocument/2006/relationships" ref="T15" r:id="rId106"/>
    <hyperlink xmlns:r="http://schemas.openxmlformats.org/officeDocument/2006/relationships" ref="X15" r:id="rId107"/>
    <hyperlink xmlns:r="http://schemas.openxmlformats.org/officeDocument/2006/relationships" ref="AM15" r:id="rId108"/>
    <hyperlink xmlns:r="http://schemas.openxmlformats.org/officeDocument/2006/relationships" ref="AV15" r:id="rId109"/>
    <hyperlink xmlns:r="http://schemas.openxmlformats.org/officeDocument/2006/relationships" ref="C16" r:id="rId110"/>
    <hyperlink xmlns:r="http://schemas.openxmlformats.org/officeDocument/2006/relationships" ref="D16" r:id="rId111"/>
    <hyperlink xmlns:r="http://schemas.openxmlformats.org/officeDocument/2006/relationships" ref="H16" r:id="rId112"/>
    <hyperlink xmlns:r="http://schemas.openxmlformats.org/officeDocument/2006/relationships" ref="P16" r:id="rId113"/>
    <hyperlink xmlns:r="http://schemas.openxmlformats.org/officeDocument/2006/relationships" ref="T16" r:id="rId114"/>
    <hyperlink xmlns:r="http://schemas.openxmlformats.org/officeDocument/2006/relationships" ref="X16" r:id="rId115"/>
    <hyperlink xmlns:r="http://schemas.openxmlformats.org/officeDocument/2006/relationships" ref="AM16" r:id="rId116"/>
    <hyperlink xmlns:r="http://schemas.openxmlformats.org/officeDocument/2006/relationships" ref="AV16" r:id="rId117"/>
    <hyperlink xmlns:r="http://schemas.openxmlformats.org/officeDocument/2006/relationships" ref="C17" r:id="rId118"/>
    <hyperlink xmlns:r="http://schemas.openxmlformats.org/officeDocument/2006/relationships" ref="D17" r:id="rId119"/>
    <hyperlink xmlns:r="http://schemas.openxmlformats.org/officeDocument/2006/relationships" ref="H17" r:id="rId120"/>
    <hyperlink xmlns:r="http://schemas.openxmlformats.org/officeDocument/2006/relationships" ref="P17" r:id="rId121"/>
    <hyperlink xmlns:r="http://schemas.openxmlformats.org/officeDocument/2006/relationships" ref="T17" r:id="rId122"/>
    <hyperlink xmlns:r="http://schemas.openxmlformats.org/officeDocument/2006/relationships" ref="X17" r:id="rId123"/>
    <hyperlink xmlns:r="http://schemas.openxmlformats.org/officeDocument/2006/relationships" ref="AM17" r:id="rId124"/>
    <hyperlink xmlns:r="http://schemas.openxmlformats.org/officeDocument/2006/relationships" ref="AV17" r:id="rId125"/>
    <hyperlink xmlns:r="http://schemas.openxmlformats.org/officeDocument/2006/relationships" ref="C18" r:id="rId126"/>
    <hyperlink xmlns:r="http://schemas.openxmlformats.org/officeDocument/2006/relationships" ref="D18" r:id="rId127"/>
    <hyperlink xmlns:r="http://schemas.openxmlformats.org/officeDocument/2006/relationships" ref="H18" r:id="rId128"/>
    <hyperlink xmlns:r="http://schemas.openxmlformats.org/officeDocument/2006/relationships" ref="P18" r:id="rId129"/>
    <hyperlink xmlns:r="http://schemas.openxmlformats.org/officeDocument/2006/relationships" ref="T18" r:id="rId130"/>
    <hyperlink xmlns:r="http://schemas.openxmlformats.org/officeDocument/2006/relationships" ref="X18" r:id="rId131"/>
    <hyperlink xmlns:r="http://schemas.openxmlformats.org/officeDocument/2006/relationships" ref="AM18" r:id="rId132"/>
    <hyperlink xmlns:r="http://schemas.openxmlformats.org/officeDocument/2006/relationships" ref="AV18" r:id="rId133"/>
    <hyperlink xmlns:r="http://schemas.openxmlformats.org/officeDocument/2006/relationships" ref="C19" r:id="rId134"/>
    <hyperlink xmlns:r="http://schemas.openxmlformats.org/officeDocument/2006/relationships" ref="D19" r:id="rId135"/>
    <hyperlink xmlns:r="http://schemas.openxmlformats.org/officeDocument/2006/relationships" ref="H19" r:id="rId136"/>
    <hyperlink xmlns:r="http://schemas.openxmlformats.org/officeDocument/2006/relationships" ref="P19" r:id="rId137"/>
    <hyperlink xmlns:r="http://schemas.openxmlformats.org/officeDocument/2006/relationships" ref="T19" r:id="rId138"/>
    <hyperlink xmlns:r="http://schemas.openxmlformats.org/officeDocument/2006/relationships" ref="X19" r:id="rId139"/>
    <hyperlink xmlns:r="http://schemas.openxmlformats.org/officeDocument/2006/relationships" ref="AM19" r:id="rId140"/>
    <hyperlink xmlns:r="http://schemas.openxmlformats.org/officeDocument/2006/relationships" ref="AV19" r:id="rId141"/>
    <hyperlink xmlns:r="http://schemas.openxmlformats.org/officeDocument/2006/relationships" ref="C20" r:id="rId142"/>
    <hyperlink xmlns:r="http://schemas.openxmlformats.org/officeDocument/2006/relationships" ref="D20" r:id="rId143"/>
    <hyperlink xmlns:r="http://schemas.openxmlformats.org/officeDocument/2006/relationships" ref="H20" r:id="rId144"/>
    <hyperlink xmlns:r="http://schemas.openxmlformats.org/officeDocument/2006/relationships" ref="AM20" r:id="rId145"/>
    <hyperlink xmlns:r="http://schemas.openxmlformats.org/officeDocument/2006/relationships" ref="AV20" r:id="rId146"/>
    <hyperlink xmlns:r="http://schemas.openxmlformats.org/officeDocument/2006/relationships" ref="C21" r:id="rId147"/>
    <hyperlink xmlns:r="http://schemas.openxmlformats.org/officeDocument/2006/relationships" ref="D21" r:id="rId148"/>
    <hyperlink xmlns:r="http://schemas.openxmlformats.org/officeDocument/2006/relationships" ref="H21" r:id="rId149"/>
    <hyperlink xmlns:r="http://schemas.openxmlformats.org/officeDocument/2006/relationships" ref="P21" r:id="rId150"/>
    <hyperlink xmlns:r="http://schemas.openxmlformats.org/officeDocument/2006/relationships" ref="T21" r:id="rId151"/>
    <hyperlink xmlns:r="http://schemas.openxmlformats.org/officeDocument/2006/relationships" ref="X21" r:id="rId152"/>
    <hyperlink xmlns:r="http://schemas.openxmlformats.org/officeDocument/2006/relationships" ref="AM21" r:id="rId153"/>
    <hyperlink xmlns:r="http://schemas.openxmlformats.org/officeDocument/2006/relationships" ref="AV21" r:id="rId154"/>
    <hyperlink xmlns:r="http://schemas.openxmlformats.org/officeDocument/2006/relationships" ref="C22" r:id="rId155"/>
    <hyperlink xmlns:r="http://schemas.openxmlformats.org/officeDocument/2006/relationships" ref="D22" r:id="rId156"/>
    <hyperlink xmlns:r="http://schemas.openxmlformats.org/officeDocument/2006/relationships" ref="H22" r:id="rId157"/>
    <hyperlink xmlns:r="http://schemas.openxmlformats.org/officeDocument/2006/relationships" ref="P22" r:id="rId158"/>
    <hyperlink xmlns:r="http://schemas.openxmlformats.org/officeDocument/2006/relationships" ref="T22" r:id="rId159"/>
    <hyperlink xmlns:r="http://schemas.openxmlformats.org/officeDocument/2006/relationships" ref="X22" r:id="rId160"/>
    <hyperlink xmlns:r="http://schemas.openxmlformats.org/officeDocument/2006/relationships" ref="AM22" r:id="rId161"/>
    <hyperlink xmlns:r="http://schemas.openxmlformats.org/officeDocument/2006/relationships" ref="AV22" r:id="rId162"/>
    <hyperlink xmlns:r="http://schemas.openxmlformats.org/officeDocument/2006/relationships" ref="C23" r:id="rId163"/>
    <hyperlink xmlns:r="http://schemas.openxmlformats.org/officeDocument/2006/relationships" ref="D23" r:id="rId164"/>
    <hyperlink xmlns:r="http://schemas.openxmlformats.org/officeDocument/2006/relationships" ref="H23" r:id="rId165"/>
    <hyperlink xmlns:r="http://schemas.openxmlformats.org/officeDocument/2006/relationships" ref="P23" r:id="rId166"/>
    <hyperlink xmlns:r="http://schemas.openxmlformats.org/officeDocument/2006/relationships" ref="T23" r:id="rId167"/>
    <hyperlink xmlns:r="http://schemas.openxmlformats.org/officeDocument/2006/relationships" ref="X23" r:id="rId168"/>
    <hyperlink xmlns:r="http://schemas.openxmlformats.org/officeDocument/2006/relationships" ref="AM23" r:id="rId169"/>
    <hyperlink xmlns:r="http://schemas.openxmlformats.org/officeDocument/2006/relationships" ref="AV23" r:id="rId170"/>
    <hyperlink xmlns:r="http://schemas.openxmlformats.org/officeDocument/2006/relationships" ref="C24" r:id="rId171"/>
    <hyperlink xmlns:r="http://schemas.openxmlformats.org/officeDocument/2006/relationships" ref="D24" r:id="rId172"/>
    <hyperlink xmlns:r="http://schemas.openxmlformats.org/officeDocument/2006/relationships" ref="H24" r:id="rId173"/>
    <hyperlink xmlns:r="http://schemas.openxmlformats.org/officeDocument/2006/relationships" ref="P24" r:id="rId174"/>
    <hyperlink xmlns:r="http://schemas.openxmlformats.org/officeDocument/2006/relationships" ref="T24" r:id="rId175"/>
    <hyperlink xmlns:r="http://schemas.openxmlformats.org/officeDocument/2006/relationships" ref="X24" r:id="rId176"/>
    <hyperlink xmlns:r="http://schemas.openxmlformats.org/officeDocument/2006/relationships" ref="AM24" r:id="rId177"/>
    <hyperlink xmlns:r="http://schemas.openxmlformats.org/officeDocument/2006/relationships" ref="AV24" r:id="rId178"/>
    <hyperlink xmlns:r="http://schemas.openxmlformats.org/officeDocument/2006/relationships" ref="C25" r:id="rId179"/>
    <hyperlink xmlns:r="http://schemas.openxmlformats.org/officeDocument/2006/relationships" ref="D25" r:id="rId180"/>
    <hyperlink xmlns:r="http://schemas.openxmlformats.org/officeDocument/2006/relationships" ref="H25" r:id="rId181"/>
    <hyperlink xmlns:r="http://schemas.openxmlformats.org/officeDocument/2006/relationships" ref="P25" r:id="rId182"/>
    <hyperlink xmlns:r="http://schemas.openxmlformats.org/officeDocument/2006/relationships" ref="T25" r:id="rId183"/>
    <hyperlink xmlns:r="http://schemas.openxmlformats.org/officeDocument/2006/relationships" ref="X25" r:id="rId184"/>
    <hyperlink xmlns:r="http://schemas.openxmlformats.org/officeDocument/2006/relationships" ref="AM25" r:id="rId185"/>
    <hyperlink xmlns:r="http://schemas.openxmlformats.org/officeDocument/2006/relationships" ref="AV25" r:id="rId186"/>
    <hyperlink xmlns:r="http://schemas.openxmlformats.org/officeDocument/2006/relationships" ref="C26" r:id="rId187"/>
    <hyperlink xmlns:r="http://schemas.openxmlformats.org/officeDocument/2006/relationships" ref="D26" r:id="rId188"/>
    <hyperlink xmlns:r="http://schemas.openxmlformats.org/officeDocument/2006/relationships" ref="H26" r:id="rId189"/>
    <hyperlink xmlns:r="http://schemas.openxmlformats.org/officeDocument/2006/relationships" ref="P26" r:id="rId190"/>
    <hyperlink xmlns:r="http://schemas.openxmlformats.org/officeDocument/2006/relationships" ref="T26" r:id="rId191"/>
    <hyperlink xmlns:r="http://schemas.openxmlformats.org/officeDocument/2006/relationships" ref="X26" r:id="rId192"/>
    <hyperlink xmlns:r="http://schemas.openxmlformats.org/officeDocument/2006/relationships" ref="AM26" r:id="rId193"/>
    <hyperlink xmlns:r="http://schemas.openxmlformats.org/officeDocument/2006/relationships" ref="AV26" r:id="rId194"/>
    <hyperlink xmlns:r="http://schemas.openxmlformats.org/officeDocument/2006/relationships" ref="C27" r:id="rId195"/>
    <hyperlink xmlns:r="http://schemas.openxmlformats.org/officeDocument/2006/relationships" ref="D27" r:id="rId196"/>
    <hyperlink xmlns:r="http://schemas.openxmlformats.org/officeDocument/2006/relationships" ref="H27" r:id="rId197"/>
    <hyperlink xmlns:r="http://schemas.openxmlformats.org/officeDocument/2006/relationships" ref="P27" r:id="rId198"/>
    <hyperlink xmlns:r="http://schemas.openxmlformats.org/officeDocument/2006/relationships" ref="T27" r:id="rId199"/>
    <hyperlink xmlns:r="http://schemas.openxmlformats.org/officeDocument/2006/relationships" ref="X27" r:id="rId200"/>
    <hyperlink xmlns:r="http://schemas.openxmlformats.org/officeDocument/2006/relationships" ref="AM27" r:id="rId201"/>
    <hyperlink xmlns:r="http://schemas.openxmlformats.org/officeDocument/2006/relationships" ref="AV27" r:id="rId202"/>
    <hyperlink xmlns:r="http://schemas.openxmlformats.org/officeDocument/2006/relationships" ref="C28" r:id="rId203"/>
    <hyperlink xmlns:r="http://schemas.openxmlformats.org/officeDocument/2006/relationships" ref="D28" r:id="rId204"/>
    <hyperlink xmlns:r="http://schemas.openxmlformats.org/officeDocument/2006/relationships" ref="H28" r:id="rId205"/>
    <hyperlink xmlns:r="http://schemas.openxmlformats.org/officeDocument/2006/relationships" ref="P28" r:id="rId206"/>
    <hyperlink xmlns:r="http://schemas.openxmlformats.org/officeDocument/2006/relationships" ref="T28" r:id="rId207"/>
    <hyperlink xmlns:r="http://schemas.openxmlformats.org/officeDocument/2006/relationships" ref="X28" r:id="rId208"/>
    <hyperlink xmlns:r="http://schemas.openxmlformats.org/officeDocument/2006/relationships" ref="AM28" r:id="rId209"/>
    <hyperlink xmlns:r="http://schemas.openxmlformats.org/officeDocument/2006/relationships" ref="AV28" r:id="rId210"/>
    <hyperlink xmlns:r="http://schemas.openxmlformats.org/officeDocument/2006/relationships" ref="C29" r:id="rId211"/>
    <hyperlink xmlns:r="http://schemas.openxmlformats.org/officeDocument/2006/relationships" ref="D29" r:id="rId212"/>
    <hyperlink xmlns:r="http://schemas.openxmlformats.org/officeDocument/2006/relationships" ref="H29" r:id="rId213"/>
    <hyperlink xmlns:r="http://schemas.openxmlformats.org/officeDocument/2006/relationships" ref="P29" r:id="rId214"/>
    <hyperlink xmlns:r="http://schemas.openxmlformats.org/officeDocument/2006/relationships" ref="T29" r:id="rId215"/>
    <hyperlink xmlns:r="http://schemas.openxmlformats.org/officeDocument/2006/relationships" ref="X29" r:id="rId216"/>
    <hyperlink xmlns:r="http://schemas.openxmlformats.org/officeDocument/2006/relationships" ref="AM29" r:id="rId217"/>
    <hyperlink xmlns:r="http://schemas.openxmlformats.org/officeDocument/2006/relationships" ref="AV29" r:id="rId218"/>
    <hyperlink xmlns:r="http://schemas.openxmlformats.org/officeDocument/2006/relationships" ref="C30" r:id="rId219"/>
    <hyperlink xmlns:r="http://schemas.openxmlformats.org/officeDocument/2006/relationships" ref="D30" r:id="rId220"/>
    <hyperlink xmlns:r="http://schemas.openxmlformats.org/officeDocument/2006/relationships" ref="H30" r:id="rId221"/>
    <hyperlink xmlns:r="http://schemas.openxmlformats.org/officeDocument/2006/relationships" ref="P30" r:id="rId222"/>
    <hyperlink xmlns:r="http://schemas.openxmlformats.org/officeDocument/2006/relationships" ref="T30" r:id="rId223"/>
    <hyperlink xmlns:r="http://schemas.openxmlformats.org/officeDocument/2006/relationships" ref="X30" r:id="rId224"/>
    <hyperlink xmlns:r="http://schemas.openxmlformats.org/officeDocument/2006/relationships" ref="AM30" r:id="rId225"/>
    <hyperlink xmlns:r="http://schemas.openxmlformats.org/officeDocument/2006/relationships" ref="AV30" r:id="rId226"/>
    <hyperlink xmlns:r="http://schemas.openxmlformats.org/officeDocument/2006/relationships" ref="C31" r:id="rId227"/>
    <hyperlink xmlns:r="http://schemas.openxmlformats.org/officeDocument/2006/relationships" ref="D31" r:id="rId228"/>
    <hyperlink xmlns:r="http://schemas.openxmlformats.org/officeDocument/2006/relationships" ref="H31" r:id="rId229"/>
    <hyperlink xmlns:r="http://schemas.openxmlformats.org/officeDocument/2006/relationships" ref="P31" r:id="rId230"/>
    <hyperlink xmlns:r="http://schemas.openxmlformats.org/officeDocument/2006/relationships" ref="T31" r:id="rId231"/>
    <hyperlink xmlns:r="http://schemas.openxmlformats.org/officeDocument/2006/relationships" ref="X31" r:id="rId232"/>
    <hyperlink xmlns:r="http://schemas.openxmlformats.org/officeDocument/2006/relationships" ref="AM31" r:id="rId233"/>
    <hyperlink xmlns:r="http://schemas.openxmlformats.org/officeDocument/2006/relationships" ref="AV31" r:id="rId234"/>
    <hyperlink xmlns:r="http://schemas.openxmlformats.org/officeDocument/2006/relationships" ref="C32" r:id="rId235"/>
    <hyperlink xmlns:r="http://schemas.openxmlformats.org/officeDocument/2006/relationships" ref="D32" r:id="rId236"/>
    <hyperlink xmlns:r="http://schemas.openxmlformats.org/officeDocument/2006/relationships" ref="H32" r:id="rId237"/>
    <hyperlink xmlns:r="http://schemas.openxmlformats.org/officeDocument/2006/relationships" ref="AM32" r:id="rId238"/>
    <hyperlink xmlns:r="http://schemas.openxmlformats.org/officeDocument/2006/relationships" ref="AV32" r:id="rId239"/>
    <hyperlink xmlns:r="http://schemas.openxmlformats.org/officeDocument/2006/relationships" ref="C33" r:id="rId240"/>
    <hyperlink xmlns:r="http://schemas.openxmlformats.org/officeDocument/2006/relationships" ref="D33" r:id="rId241"/>
    <hyperlink xmlns:r="http://schemas.openxmlformats.org/officeDocument/2006/relationships" ref="H33" r:id="rId242"/>
    <hyperlink xmlns:r="http://schemas.openxmlformats.org/officeDocument/2006/relationships" ref="AM33" r:id="rId243"/>
    <hyperlink xmlns:r="http://schemas.openxmlformats.org/officeDocument/2006/relationships" ref="AV33" r:id="rId244"/>
    <hyperlink xmlns:r="http://schemas.openxmlformats.org/officeDocument/2006/relationships" ref="C34" r:id="rId245"/>
    <hyperlink xmlns:r="http://schemas.openxmlformats.org/officeDocument/2006/relationships" ref="D34" r:id="rId246"/>
    <hyperlink xmlns:r="http://schemas.openxmlformats.org/officeDocument/2006/relationships" ref="H34" r:id="rId247"/>
    <hyperlink xmlns:r="http://schemas.openxmlformats.org/officeDocument/2006/relationships" ref="P34" r:id="rId248"/>
    <hyperlink xmlns:r="http://schemas.openxmlformats.org/officeDocument/2006/relationships" ref="T34" r:id="rId249"/>
    <hyperlink xmlns:r="http://schemas.openxmlformats.org/officeDocument/2006/relationships" ref="X34" r:id="rId250"/>
    <hyperlink xmlns:r="http://schemas.openxmlformats.org/officeDocument/2006/relationships" ref="AM34" r:id="rId251"/>
    <hyperlink xmlns:r="http://schemas.openxmlformats.org/officeDocument/2006/relationships" ref="AV34" r:id="rId252"/>
    <hyperlink xmlns:r="http://schemas.openxmlformats.org/officeDocument/2006/relationships" ref="C35" r:id="rId253"/>
    <hyperlink xmlns:r="http://schemas.openxmlformats.org/officeDocument/2006/relationships" ref="D35" r:id="rId254"/>
    <hyperlink xmlns:r="http://schemas.openxmlformats.org/officeDocument/2006/relationships" ref="H35" r:id="rId255"/>
    <hyperlink xmlns:r="http://schemas.openxmlformats.org/officeDocument/2006/relationships" ref="AM35" r:id="rId256"/>
    <hyperlink xmlns:r="http://schemas.openxmlformats.org/officeDocument/2006/relationships" ref="AV35" r:id="rId257"/>
    <hyperlink xmlns:r="http://schemas.openxmlformats.org/officeDocument/2006/relationships" ref="C36" r:id="rId258"/>
    <hyperlink xmlns:r="http://schemas.openxmlformats.org/officeDocument/2006/relationships" ref="D36" r:id="rId259"/>
    <hyperlink xmlns:r="http://schemas.openxmlformats.org/officeDocument/2006/relationships" ref="H36" r:id="rId260"/>
    <hyperlink xmlns:r="http://schemas.openxmlformats.org/officeDocument/2006/relationships" ref="P36" r:id="rId261"/>
    <hyperlink xmlns:r="http://schemas.openxmlformats.org/officeDocument/2006/relationships" ref="T36" r:id="rId262"/>
    <hyperlink xmlns:r="http://schemas.openxmlformats.org/officeDocument/2006/relationships" ref="X36" r:id="rId263"/>
    <hyperlink xmlns:r="http://schemas.openxmlformats.org/officeDocument/2006/relationships" ref="AM36" r:id="rId264"/>
    <hyperlink xmlns:r="http://schemas.openxmlformats.org/officeDocument/2006/relationships" ref="AR36" r:id="rId265"/>
    <hyperlink xmlns:r="http://schemas.openxmlformats.org/officeDocument/2006/relationships" ref="AV36" r:id="rId266"/>
    <hyperlink xmlns:r="http://schemas.openxmlformats.org/officeDocument/2006/relationships" ref="C37" r:id="rId267"/>
    <hyperlink xmlns:r="http://schemas.openxmlformats.org/officeDocument/2006/relationships" ref="D37" r:id="rId268"/>
    <hyperlink xmlns:r="http://schemas.openxmlformats.org/officeDocument/2006/relationships" ref="H37" r:id="rId269"/>
    <hyperlink xmlns:r="http://schemas.openxmlformats.org/officeDocument/2006/relationships" ref="AM37" r:id="rId270"/>
    <hyperlink xmlns:r="http://schemas.openxmlformats.org/officeDocument/2006/relationships" ref="AV37" r:id="rId271"/>
    <hyperlink xmlns:r="http://schemas.openxmlformats.org/officeDocument/2006/relationships" ref="C38" r:id="rId272"/>
    <hyperlink xmlns:r="http://schemas.openxmlformats.org/officeDocument/2006/relationships" ref="D38" r:id="rId273"/>
    <hyperlink xmlns:r="http://schemas.openxmlformats.org/officeDocument/2006/relationships" ref="H38" r:id="rId274"/>
    <hyperlink xmlns:r="http://schemas.openxmlformats.org/officeDocument/2006/relationships" ref="P38" r:id="rId275"/>
    <hyperlink xmlns:r="http://schemas.openxmlformats.org/officeDocument/2006/relationships" ref="T38" r:id="rId276"/>
    <hyperlink xmlns:r="http://schemas.openxmlformats.org/officeDocument/2006/relationships" ref="X38" r:id="rId277"/>
    <hyperlink xmlns:r="http://schemas.openxmlformats.org/officeDocument/2006/relationships" ref="AM38" r:id="rId278"/>
    <hyperlink xmlns:r="http://schemas.openxmlformats.org/officeDocument/2006/relationships" ref="AV38" r:id="rId279"/>
    <hyperlink xmlns:r="http://schemas.openxmlformats.org/officeDocument/2006/relationships" ref="C39" r:id="rId280"/>
    <hyperlink xmlns:r="http://schemas.openxmlformats.org/officeDocument/2006/relationships" ref="D39" r:id="rId281"/>
    <hyperlink xmlns:r="http://schemas.openxmlformats.org/officeDocument/2006/relationships" ref="H39" r:id="rId282"/>
    <hyperlink xmlns:r="http://schemas.openxmlformats.org/officeDocument/2006/relationships" ref="P39" r:id="rId283"/>
    <hyperlink xmlns:r="http://schemas.openxmlformats.org/officeDocument/2006/relationships" ref="T39" r:id="rId284"/>
    <hyperlink xmlns:r="http://schemas.openxmlformats.org/officeDocument/2006/relationships" ref="X39" r:id="rId285"/>
    <hyperlink xmlns:r="http://schemas.openxmlformats.org/officeDocument/2006/relationships" ref="AM39" r:id="rId286"/>
    <hyperlink xmlns:r="http://schemas.openxmlformats.org/officeDocument/2006/relationships" ref="AV39" r:id="rId287"/>
    <hyperlink xmlns:r="http://schemas.openxmlformats.org/officeDocument/2006/relationships" ref="C40" r:id="rId288"/>
    <hyperlink xmlns:r="http://schemas.openxmlformats.org/officeDocument/2006/relationships" ref="D40" r:id="rId289"/>
    <hyperlink xmlns:r="http://schemas.openxmlformats.org/officeDocument/2006/relationships" ref="H40" r:id="rId290"/>
    <hyperlink xmlns:r="http://schemas.openxmlformats.org/officeDocument/2006/relationships" ref="P40" r:id="rId291"/>
    <hyperlink xmlns:r="http://schemas.openxmlformats.org/officeDocument/2006/relationships" ref="T40" r:id="rId292"/>
    <hyperlink xmlns:r="http://schemas.openxmlformats.org/officeDocument/2006/relationships" ref="X40" r:id="rId293"/>
    <hyperlink xmlns:r="http://schemas.openxmlformats.org/officeDocument/2006/relationships" ref="AM40" r:id="rId294"/>
    <hyperlink xmlns:r="http://schemas.openxmlformats.org/officeDocument/2006/relationships" ref="AV40" r:id="rId295"/>
    <hyperlink xmlns:r="http://schemas.openxmlformats.org/officeDocument/2006/relationships" ref="C41" r:id="rId296"/>
    <hyperlink xmlns:r="http://schemas.openxmlformats.org/officeDocument/2006/relationships" ref="D41" r:id="rId297"/>
    <hyperlink xmlns:r="http://schemas.openxmlformats.org/officeDocument/2006/relationships" ref="H41" r:id="rId298"/>
    <hyperlink xmlns:r="http://schemas.openxmlformats.org/officeDocument/2006/relationships" ref="P41" r:id="rId299"/>
    <hyperlink xmlns:r="http://schemas.openxmlformats.org/officeDocument/2006/relationships" ref="T41" r:id="rId300"/>
    <hyperlink xmlns:r="http://schemas.openxmlformats.org/officeDocument/2006/relationships" ref="X41" r:id="rId301"/>
    <hyperlink xmlns:r="http://schemas.openxmlformats.org/officeDocument/2006/relationships" ref="AM41" r:id="rId302"/>
    <hyperlink xmlns:r="http://schemas.openxmlformats.org/officeDocument/2006/relationships" ref="AV41" r:id="rId303"/>
    <hyperlink xmlns:r="http://schemas.openxmlformats.org/officeDocument/2006/relationships" ref="C42" r:id="rId304"/>
    <hyperlink xmlns:r="http://schemas.openxmlformats.org/officeDocument/2006/relationships" ref="D42" r:id="rId305"/>
    <hyperlink xmlns:r="http://schemas.openxmlformats.org/officeDocument/2006/relationships" ref="H42" r:id="rId306"/>
    <hyperlink xmlns:r="http://schemas.openxmlformats.org/officeDocument/2006/relationships" ref="AM42" r:id="rId307"/>
    <hyperlink xmlns:r="http://schemas.openxmlformats.org/officeDocument/2006/relationships" ref="AV42" r:id="rId308"/>
    <hyperlink xmlns:r="http://schemas.openxmlformats.org/officeDocument/2006/relationships" ref="C43" r:id="rId309"/>
    <hyperlink xmlns:r="http://schemas.openxmlformats.org/officeDocument/2006/relationships" ref="D43" r:id="rId310"/>
    <hyperlink xmlns:r="http://schemas.openxmlformats.org/officeDocument/2006/relationships" ref="H43" r:id="rId311"/>
    <hyperlink xmlns:r="http://schemas.openxmlformats.org/officeDocument/2006/relationships" ref="P43" r:id="rId312"/>
    <hyperlink xmlns:r="http://schemas.openxmlformats.org/officeDocument/2006/relationships" ref="T43" r:id="rId313"/>
    <hyperlink xmlns:r="http://schemas.openxmlformats.org/officeDocument/2006/relationships" ref="X43" r:id="rId314"/>
    <hyperlink xmlns:r="http://schemas.openxmlformats.org/officeDocument/2006/relationships" ref="AM43" r:id="rId315"/>
    <hyperlink xmlns:r="http://schemas.openxmlformats.org/officeDocument/2006/relationships" ref="AV43" r:id="rId316"/>
    <hyperlink xmlns:r="http://schemas.openxmlformats.org/officeDocument/2006/relationships" ref="C44" r:id="rId317"/>
    <hyperlink xmlns:r="http://schemas.openxmlformats.org/officeDocument/2006/relationships" ref="D44" r:id="rId318"/>
    <hyperlink xmlns:r="http://schemas.openxmlformats.org/officeDocument/2006/relationships" ref="H44" r:id="rId319"/>
    <hyperlink xmlns:r="http://schemas.openxmlformats.org/officeDocument/2006/relationships" ref="P44" r:id="rId320"/>
    <hyperlink xmlns:r="http://schemas.openxmlformats.org/officeDocument/2006/relationships" ref="T44" r:id="rId321"/>
    <hyperlink xmlns:r="http://schemas.openxmlformats.org/officeDocument/2006/relationships" ref="X44" r:id="rId322"/>
    <hyperlink xmlns:r="http://schemas.openxmlformats.org/officeDocument/2006/relationships" ref="AM44" r:id="rId323"/>
    <hyperlink xmlns:r="http://schemas.openxmlformats.org/officeDocument/2006/relationships" ref="AV44" r:id="rId324"/>
    <hyperlink xmlns:r="http://schemas.openxmlformats.org/officeDocument/2006/relationships" ref="C45" r:id="rId325"/>
    <hyperlink xmlns:r="http://schemas.openxmlformats.org/officeDocument/2006/relationships" ref="D45" r:id="rId326"/>
    <hyperlink xmlns:r="http://schemas.openxmlformats.org/officeDocument/2006/relationships" ref="H45" r:id="rId327"/>
    <hyperlink xmlns:r="http://schemas.openxmlformats.org/officeDocument/2006/relationships" ref="AM45" r:id="rId328"/>
    <hyperlink xmlns:r="http://schemas.openxmlformats.org/officeDocument/2006/relationships" ref="AV45" r:id="rId329"/>
    <hyperlink xmlns:r="http://schemas.openxmlformats.org/officeDocument/2006/relationships" ref="C46" r:id="rId330"/>
    <hyperlink xmlns:r="http://schemas.openxmlformats.org/officeDocument/2006/relationships" ref="D46" r:id="rId331"/>
    <hyperlink xmlns:r="http://schemas.openxmlformats.org/officeDocument/2006/relationships" ref="H46" r:id="rId332"/>
    <hyperlink xmlns:r="http://schemas.openxmlformats.org/officeDocument/2006/relationships" ref="AM46" r:id="rId333"/>
    <hyperlink xmlns:r="http://schemas.openxmlformats.org/officeDocument/2006/relationships" ref="AV46" r:id="rId334"/>
    <hyperlink xmlns:r="http://schemas.openxmlformats.org/officeDocument/2006/relationships" ref="C47" r:id="rId335"/>
    <hyperlink xmlns:r="http://schemas.openxmlformats.org/officeDocument/2006/relationships" ref="D47" r:id="rId336"/>
    <hyperlink xmlns:r="http://schemas.openxmlformats.org/officeDocument/2006/relationships" ref="H47" r:id="rId337"/>
    <hyperlink xmlns:r="http://schemas.openxmlformats.org/officeDocument/2006/relationships" ref="AM47" r:id="rId338"/>
    <hyperlink xmlns:r="http://schemas.openxmlformats.org/officeDocument/2006/relationships" ref="AV47" r:id="rId339"/>
    <hyperlink xmlns:r="http://schemas.openxmlformats.org/officeDocument/2006/relationships" ref="C48" r:id="rId340"/>
    <hyperlink xmlns:r="http://schemas.openxmlformats.org/officeDocument/2006/relationships" ref="D48" r:id="rId341"/>
    <hyperlink xmlns:r="http://schemas.openxmlformats.org/officeDocument/2006/relationships" ref="H48" r:id="rId342"/>
    <hyperlink xmlns:r="http://schemas.openxmlformats.org/officeDocument/2006/relationships" ref="AM48" r:id="rId343"/>
    <hyperlink xmlns:r="http://schemas.openxmlformats.org/officeDocument/2006/relationships" ref="AV48" r:id="rId344"/>
    <hyperlink xmlns:r="http://schemas.openxmlformats.org/officeDocument/2006/relationships" ref="C49" r:id="rId345"/>
    <hyperlink xmlns:r="http://schemas.openxmlformats.org/officeDocument/2006/relationships" ref="D49" r:id="rId346"/>
    <hyperlink xmlns:r="http://schemas.openxmlformats.org/officeDocument/2006/relationships" ref="H49" r:id="rId347"/>
    <hyperlink xmlns:r="http://schemas.openxmlformats.org/officeDocument/2006/relationships" ref="P49" r:id="rId348"/>
    <hyperlink xmlns:r="http://schemas.openxmlformats.org/officeDocument/2006/relationships" ref="T49" r:id="rId349"/>
    <hyperlink xmlns:r="http://schemas.openxmlformats.org/officeDocument/2006/relationships" ref="X49" r:id="rId350"/>
    <hyperlink xmlns:r="http://schemas.openxmlformats.org/officeDocument/2006/relationships" ref="AM49" r:id="rId351"/>
    <hyperlink xmlns:r="http://schemas.openxmlformats.org/officeDocument/2006/relationships" ref="AV49" r:id="rId352"/>
    <hyperlink xmlns:r="http://schemas.openxmlformats.org/officeDocument/2006/relationships" ref="C50" r:id="rId353"/>
    <hyperlink xmlns:r="http://schemas.openxmlformats.org/officeDocument/2006/relationships" ref="D50" r:id="rId354"/>
    <hyperlink xmlns:r="http://schemas.openxmlformats.org/officeDocument/2006/relationships" ref="H50" r:id="rId355"/>
    <hyperlink xmlns:r="http://schemas.openxmlformats.org/officeDocument/2006/relationships" ref="P50" r:id="rId356"/>
    <hyperlink xmlns:r="http://schemas.openxmlformats.org/officeDocument/2006/relationships" ref="T50" r:id="rId357"/>
    <hyperlink xmlns:r="http://schemas.openxmlformats.org/officeDocument/2006/relationships" ref="X50" r:id="rId358"/>
    <hyperlink xmlns:r="http://schemas.openxmlformats.org/officeDocument/2006/relationships" ref="AM50" r:id="rId359"/>
    <hyperlink xmlns:r="http://schemas.openxmlformats.org/officeDocument/2006/relationships" ref="AV50" r:id="rId360"/>
    <hyperlink xmlns:r="http://schemas.openxmlformats.org/officeDocument/2006/relationships" ref="C51" r:id="rId361"/>
    <hyperlink xmlns:r="http://schemas.openxmlformats.org/officeDocument/2006/relationships" ref="D51" r:id="rId362"/>
    <hyperlink xmlns:r="http://schemas.openxmlformats.org/officeDocument/2006/relationships" ref="H51" r:id="rId363"/>
    <hyperlink xmlns:r="http://schemas.openxmlformats.org/officeDocument/2006/relationships" ref="P51" r:id="rId364"/>
    <hyperlink xmlns:r="http://schemas.openxmlformats.org/officeDocument/2006/relationships" ref="T51" r:id="rId365"/>
    <hyperlink xmlns:r="http://schemas.openxmlformats.org/officeDocument/2006/relationships" ref="X51" r:id="rId366"/>
    <hyperlink xmlns:r="http://schemas.openxmlformats.org/officeDocument/2006/relationships" ref="AM51" r:id="rId367"/>
    <hyperlink xmlns:r="http://schemas.openxmlformats.org/officeDocument/2006/relationships" ref="AV51" r:id="rId368"/>
    <hyperlink xmlns:r="http://schemas.openxmlformats.org/officeDocument/2006/relationships" ref="C52" r:id="rId369"/>
    <hyperlink xmlns:r="http://schemas.openxmlformats.org/officeDocument/2006/relationships" ref="D52" r:id="rId370"/>
    <hyperlink xmlns:r="http://schemas.openxmlformats.org/officeDocument/2006/relationships" ref="H52" r:id="rId371"/>
    <hyperlink xmlns:r="http://schemas.openxmlformats.org/officeDocument/2006/relationships" ref="AM52" r:id="rId372"/>
    <hyperlink xmlns:r="http://schemas.openxmlformats.org/officeDocument/2006/relationships" ref="AV52" r:id="rId373"/>
    <hyperlink xmlns:r="http://schemas.openxmlformats.org/officeDocument/2006/relationships" ref="C53" r:id="rId374"/>
    <hyperlink xmlns:r="http://schemas.openxmlformats.org/officeDocument/2006/relationships" ref="D53" r:id="rId375"/>
    <hyperlink xmlns:r="http://schemas.openxmlformats.org/officeDocument/2006/relationships" ref="H53" r:id="rId376"/>
    <hyperlink xmlns:r="http://schemas.openxmlformats.org/officeDocument/2006/relationships" ref="P53" r:id="rId377"/>
    <hyperlink xmlns:r="http://schemas.openxmlformats.org/officeDocument/2006/relationships" ref="T53" r:id="rId378"/>
    <hyperlink xmlns:r="http://schemas.openxmlformats.org/officeDocument/2006/relationships" ref="X53" r:id="rId379"/>
    <hyperlink xmlns:r="http://schemas.openxmlformats.org/officeDocument/2006/relationships" ref="AM53" r:id="rId380"/>
    <hyperlink xmlns:r="http://schemas.openxmlformats.org/officeDocument/2006/relationships" ref="AV53" r:id="rId38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47"/>
  <sheetViews>
    <sheetView showGridLines="1" workbookViewId="0">
      <pane ySplit="1" topLeftCell="A2" activePane="bottomLeft" state="frozen"/>
      <selection pane="bottomLeft" activeCell="A1" sqref="A1"/>
    </sheetView>
  </sheetViews>
  <sheetFormatPr baseColWidth="8" defaultRowHeight="15"/>
  <cols>
    <col width="29" customWidth="1" min="1" max="1"/>
    <col width="20" customWidth="1" min="2" max="2"/>
    <col width="48" customWidth="1" min="3" max="3"/>
    <col width="31" customWidth="1" min="4" max="4"/>
    <col width="55" customWidth="1" min="5" max="5"/>
    <col width="31" customWidth="1" min="6" max="6"/>
    <col width="15" customWidth="1" min="7" max="7"/>
    <col width="48" customWidth="1" min="8" max="8"/>
    <col width="16" customWidth="1" min="9" max="9"/>
    <col width="51" customWidth="1" min="10" max="10"/>
    <col width="16" customWidth="1" min="11" max="11"/>
    <col width="55" customWidth="1" min="12" max="12"/>
    <col width="55" customWidth="1" min="13" max="13"/>
    <col width="55" customWidth="1" min="14" max="14"/>
    <col width="55" customWidth="1" min="15" max="15"/>
    <col width="48" customWidth="1" min="16" max="16"/>
    <col width="55" customWidth="1" min="17" max="17"/>
    <col width="55" customWidth="1" min="18" max="18"/>
    <col width="55" customWidth="1" min="19" max="19"/>
    <col width="48" customWidth="1" min="20" max="20"/>
    <col width="55" customWidth="1" min="21" max="21"/>
    <col width="55" customWidth="1" min="22" max="22"/>
    <col width="55" customWidth="1" min="23" max="23"/>
    <col width="48" customWidth="1" min="24" max="24"/>
    <col width="55" customWidth="1" min="25" max="25"/>
    <col width="29" customWidth="1" min="26" max="26"/>
    <col width="55" customWidth="1" min="27" max="27"/>
    <col width="55" customWidth="1" min="28" max="28"/>
    <col width="17"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48" customWidth="1" min="39" max="39"/>
    <col width="55" customWidth="1" min="40" max="40"/>
    <col width="32" customWidth="1" min="41" max="41"/>
    <col width="47" customWidth="1" min="42" max="42"/>
    <col width="37" customWidth="1" min="43" max="43"/>
    <col width="48" customWidth="1" min="44" max="44"/>
    <col width="29" customWidth="1" min="45" max="45"/>
    <col width="53" customWidth="1" min="46" max="46"/>
    <col width="17" customWidth="1" min="47" max="47"/>
    <col width="48"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Gregory A. Blaisdell</t>
        </is>
      </c>
      <c r="B2" s="2" t="inlineStr">
        <is>
          <t>Purdue University</t>
        </is>
      </c>
      <c r="C2" s="3">
        <f>HYPERLINK("https://engineering.purdue.edu/AAE/people/ptProfile?resource_id=1377", "https://engineering.purdue.edu/AAE/people/ptProfile?resource_id=1377")</f>
        <v/>
      </c>
      <c r="D2" s="3">
        <f>HYPERLINK("https://scholar.google.com/citations?view_op=search_authors&amp;mauthors=Gregory%20A.%20Blaisdell%20Purdue%20University", "Google Scholar Search")</f>
        <v/>
      </c>
      <c r="E2" s="2" t="inlineStr">
        <is>
          <t>Professor</t>
        </is>
      </c>
      <c r="F2" s="2" t="inlineStr">
        <is>
          <t>Aeronautics and Astronautics</t>
        </is>
      </c>
      <c r="G2" s="2" t="inlineStr"/>
      <c r="H2" s="3">
        <f>HYPERLINK("mailto:blaisdel@purdue.edu", "blaisdel@purdue.edu")</f>
        <v/>
      </c>
      <c r="I2" s="2" t="n">
        <v>1</v>
      </c>
      <c r="J2" s="2" t="inlineStr">
        <is>
          <t>🔵 Tier 1: Core Aero / Fluids / Propulsion</t>
        </is>
      </c>
      <c r="K2" s="2" t="n">
        <v>13</v>
      </c>
      <c r="L2" s="2" t="inlineStr">
        <is>
          <t>boundary layer, cfd, combustion, computational fluid dynamics, direct numerical simulation, dns, fluid dynamics, fluid mechanics, heat transfer, les, numerical methods, turbulence, turbulent</t>
        </is>
      </c>
      <c r="M2" s="2" t="inlineStr">
        <is>
          <t>Direct numerical simulation and large-eddy simulation of compressible turbulent mixing layers, shock-wave/boundary-layer interactions, and aeroacoustics of jet flows.</t>
        </is>
      </c>
      <c r="N2" s="2" t="inlineStr">
        <is>
          <t>DNS / LES / Detached Eddy Simulation (DES), High-Order Compact Difference Schemes, Background Oriented Schlieren (BOS) Velocimetry, Aeroacoustic Solvers</t>
        </is>
      </c>
      <c r="O2" s="2" t="inlineStr">
        <is>
          <t>Performance Analysis of an Unsteady Ejector Driven by Exhaust Conditions of a Rotating Detonation Engine (RDE)</t>
        </is>
      </c>
      <c r="P2" s="3">
        <f>HYPERLINK("https://doi.org/10.2514/6.2026-1976", "https://doi.org/10.2514/6.2026-1976")</f>
        <v/>
      </c>
      <c r="Q2" s="2" t="inlineStr">
        <is>
          <t>simulating detached eddy simulations of unsteady ejectors driven by rotating detonation engine exhaust, demonstrating that periodic shock pulsations enhance turbulent secondary air entrainment and yield an 18% improvement in thrust augmentation.</t>
        </is>
      </c>
      <c r="R2" s="2" t="inlineStr">
        <is>
          <t>The goal of this project is to assess the performance and mixing characteristics of unsteady ejectors driven by a rotating detonation engine (RDE), using 3D unsteady RANS simulations and detached eddy simulations (DES). These simulations incorporate azimuthal variations in flow properties and periodic shock wave exhaust pulsations exiting the detonation chamber. Results demonstrate that high-frequency shock passage enhances turbulent mixing with entrained secondary air, increasing ejector thrust augmentation by up to 18% compared to equivalent steady-flow ejector geometries.</t>
        </is>
      </c>
      <c r="S2" s="2" t="inlineStr">
        <is>
          <t>Background-oriented-schlieren-based optical velocimetry of low-convective-Mach-number turbulent shear layers</t>
        </is>
      </c>
      <c r="T2" s="3">
        <f>HYPERLINK("https://doi.org/10.1007/s00348-025-04031-y", "https://doi.org/10.1007/s00348-025-04031-y")</f>
        <v/>
      </c>
      <c r="U2" s="2" t="inlineStr">
        <is>
          <t>developing background-oriented schlieren velocimetry for low-convective-Mach-number turbulent shear layers, demonstrating that optical cross-correlation of refractive dot displacements accurately resolves span-averaged velocity and density profiles without seed particles.</t>
        </is>
      </c>
      <c r="V2" s="2" t="inlineStr">
        <is>
          <t>Background-oriented schlieren (BOS)-based velocimetry is a potential method for achieving simultaneous measurements of density and velocity in a flow with density gradients. BOS velocimetry relies on refraction of light due to density gradients and cross-correlation of dot displacement fields. In this study, BOS velocimetry was applied to investigate turbulent shear layers at low convective Mach numbers. By coupling the ray-traced dot displacement equations with continuity, span-averaged velocity and density fluctuation profiles were reconstructed without requiring artificial seeding.</t>
        </is>
      </c>
      <c r="W2" s="2" t="inlineStr">
        <is>
          <t>1. Performance Analysis of an Unsteady Ejector Driven by Exhaust Conditions of a Rotating Detonation Engine (RDE) (AIAA SciTech, 2026) [DOI: https://doi.org/10.2514/6.2026-1976] | 2. Background-oriented-schlieren-based optical velocimetry of low-convective-Mach-number turbulent shear layers (Experiments in Fluids, 2025) [DOI: https://doi.org/10.1007/s00348-025-04031-y]</t>
        </is>
      </c>
      <c r="X2" s="3">
        <f>HYPERLINK("https://doi.org/10.2514/6.2026-1976", "https://doi.org/10.2514/6.2026-1976 | https://doi.org/10.1007/s00348-025-04031-y")</f>
        <v/>
      </c>
      <c r="Y2" s="2" t="inlineStr">
        <is>
          <t>simulating detached eddy simulations of unsteady ejectors driven by rotating detonation engine exhaust, demonstrating that periodic shock pulsations enhance turbulent secondary air entrainment and yield an 18% improvement in thrust augmentation.</t>
        </is>
      </c>
      <c r="Z2" s="2" t="inlineStr"/>
      <c r="AA2" s="2" t="inlineStr">
        <is>
          <t>"Performance Analysis of an Unsteady Ejector Driven by Exhaust Conditions of a Rotating Detonation Engine (RDE)" (2026) [DOI: https://doi.org/10.2514/6.2026-1976] | "Large-Eddy Simulation of an Axisymmetric Shock-Wave/Boundary-Layer Interaction at Mach 2.5" (2026) [DOI: https://doi.org/10.2514/6.2026-2519] | "Time Resolved BOS Velocimetry of Synthetic Raytraced Images of a Low Speed Mixing Flow" (2026) [DOI: https://doi.org/10.2514/6.2026-2293] | "Machine Learning for Practical Real-Time Test Campaign Design" (2025) [DOI: https://doi.org/10.2514/6.2025-3729] | "Background-oriented-schlieren-based optical velocimetry of low-convective-Mach-number turbulent shear layers" [Experiments in Fluids] (2025) [DOI: https://doi.org/10.1007/s00348-025-04031-y]</t>
        </is>
      </c>
      <c r="AB2" s="2" t="inlineStr">
        <is>
          <t>"The effect of the formulation of nonlinear terms on aliasing errors in spectral methods" [Applied Numerical Mathematics] (1996, 183 cites) [DOI: https://doi.org/10.1016/0168-9274(96)00005-0] | "Compressibility effects on the growth and structure of homogeneous turbulent shear flow" [Journal of Fluid Mechanics] (1993, 179 cites) [DOI: https://doi.org/10.1017/s0022112093002848] | "Overview of Turbulent Inflow Boundary Conditions for Large-Eddy Simulations" [AIAA Journal] (2017, 173 cites) [DOI: https://doi.org/10.2514/1.j055528]</t>
        </is>
      </c>
      <c r="AC2" s="2" t="inlineStr"/>
      <c r="AD2" s="2" t="inlineStr">
        <is>
          <t>NASA-ASEE Summer Faculty Fellowship, 1995-1996 W. A. Gustafson Teaching Award, Fall 1997, Fall 2014</t>
        </is>
      </c>
      <c r="AE2" s="2" t="inlineStr"/>
      <c r="AF2" s="2" t="inlineStr">
        <is>
          <t>Fluid Dynamics and Turbulent Flows (109) | Computational Fluid Dynamics and Aerodynamics (74) | Aerodynamics and Acoustics in Jet Flows (71)</t>
        </is>
      </c>
      <c r="AG2" s="2" t="inlineStr">
        <is>
          <t>Fluid Dynamics and Turbulent Flows (109) | Computational Fluid Dynamics and Aerodynamics (74) | Aerodynamics and Acoustics in Jet Flows (71)</t>
        </is>
      </c>
      <c r="AH2" s="2" t="inlineStr">
        <is>
          <t>Computational fluid mechanics Transition and turbulence</t>
        </is>
      </c>
      <c r="AI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transfer between a fluid and a surface. In addition, turbulent mixing is important to combustion. The physics of basic turbulent flows are studied using direct numerical simulations (DNS) and large-eddy simulations (LES). With LES the motion of the largest eddies are solved for directly while the effects of the unresolved small scale eddies are modeled. In contrast, with DNS all the relevant length scales within the turbulence are resolved and no modeling is needed. The results of the simulations are used to increase our understanding of turbulence and to test and improve turbulence models. Parallel computing and advanced numerical methods is another area of interest.</t>
        </is>
      </c>
      <c r="AJ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is>
      </c>
      <c r="AK2" s="2" t="inlineStr">
        <is>
          <t>B. S., California Institute of Technology, Applied Mathematics, 1980 M. S., California Institute of Technology, Applied Mathematics, 1982 Ph.D., Stanford University, Mechanical Engineering, 1991</t>
        </is>
      </c>
      <c r="AL2" s="2" t="inlineStr">
        <is>
          <t>Indiana Space Grant Consortium</t>
        </is>
      </c>
      <c r="AM2" s="3">
        <f>HYPERLINK("https://insgc.spacegrant.org/", "https://insgc.spacegrant.org/")</f>
        <v/>
      </c>
      <c r="AN2" s="2" t="inlineStr">
        <is>
          <t>Academic INSGC Internships</t>
        </is>
      </c>
      <c r="AO2" s="2" t="inlineStr"/>
      <c r="AP2" s="2" t="inlineStr"/>
      <c r="AQ2" s="2" t="inlineStr">
        <is>
          <t>NASA</t>
        </is>
      </c>
      <c r="AR2" s="2" t="inlineStr"/>
      <c r="AS2" s="2" t="inlineStr"/>
      <c r="AT2" s="2" t="inlineStr">
        <is>
          <t>ARMS 2029</t>
        </is>
      </c>
      <c r="AU2" s="2" t="b">
        <v>1</v>
      </c>
      <c r="AV2" s="3">
        <f>HYPERLINK("https://engineering.purdue.edu/AAE/people/Faculty", "https://engineering.purdue.edu/AAE/people/Faculty")</f>
        <v/>
      </c>
    </row>
    <row r="3">
      <c r="A3" s="2" t="inlineStr">
        <is>
          <t>Sally Bane</t>
        </is>
      </c>
      <c r="B3" s="2" t="inlineStr">
        <is>
          <t>Purdue University</t>
        </is>
      </c>
      <c r="C3" s="3">
        <f>HYPERLINK("https://engineering.purdue.edu/AAE/people/ptProfile?resource_id=72424", "https://engineering.purdue.edu/AAE/people/ptProfile?resource_id=72424")</f>
        <v/>
      </c>
      <c r="D3" s="3">
        <f>HYPERLINK("https://scholar.google.com/citations?user=fprhTwwAAAAJ&amp;hl=en", "Scholar (fprhTwwAAAAJ)")</f>
        <v/>
      </c>
      <c r="E3" s="2" t="inlineStr">
        <is>
          <t>Director of Laboratory &amp; Hands On Education and Associate Professor of AAE</t>
        </is>
      </c>
      <c r="F3" s="2" t="inlineStr">
        <is>
          <t>Aeronautics and Astronautics</t>
        </is>
      </c>
      <c r="G3" s="2" t="inlineStr">
        <is>
          <t>fprhTwwAAAAJ</t>
        </is>
      </c>
      <c r="H3" s="3">
        <f>HYPERLINK("mailto:sbane@purdue.edu", "sbane@purdue.edu")</f>
        <v/>
      </c>
      <c r="I3" s="2" t="n">
        <v>1</v>
      </c>
      <c r="J3" s="2" t="inlineStr">
        <is>
          <t>🔵 Tier 1: Core Aero / Fluids / Propulsion</t>
        </is>
      </c>
      <c r="K3" s="2" t="n">
        <v>11</v>
      </c>
      <c r="L3" s="2" t="inlineStr">
        <is>
          <t>aerodynamics, aerospace, boundary layer, combustion, detonation, flow control, hypersonic, propulsion, rotating detonation, supersonic, turbulent</t>
        </is>
      </c>
      <c r="M3" s="2" t="inlineStr">
        <is>
          <t>Plasma-assisted combustion, nanosecond pulsed discharges for thermoacoustic instability control, laser spark ignition, and background-oriented schlieren (BOS) optical diagnostics.</t>
        </is>
      </c>
      <c r="N3" s="2" t="inlineStr">
        <is>
          <t>Nanosecond Repetitively Pulsed (NRP) Discharges, Streak-Sweep Spectroscopy, Background-Oriented Schlieren (BOS), MIRAGE Ray Tracing, Acoustic Combustor Rigs</t>
        </is>
      </c>
      <c r="O3" s="2" t="inlineStr">
        <is>
          <t>Single-shot ultrafast dynamics of nanosecond pulsed plasmas: Transition from ps–ns nonequilibrium to near-full ionization</t>
        </is>
      </c>
      <c r="P3" s="3">
        <f>HYPERLINK("https://doi.org/10.1063/5.0341587", "https://doi.org/10.1063/5.0341587")</f>
        <v/>
      </c>
      <c r="Q3" s="2" t="inlineStr">
        <is>
          <t>deploying jitter-free continuous streak-sweep spectroscopy with 16-picosecond resolution across atmospheric nanosecond discharges, capturing the ultrafast transition from non-equilibrium molecular excitation to thermal ionization.</t>
        </is>
      </c>
      <c r="R3" s="2" t="inlineStr">
        <is>
          <t>The ultrafast multi-stage evolution of state-defining properties in atmospheric-pressure nanosecond pulsed plasmas is quantified using single-discharge, jitter-free, continuous streak-sweep spectroscopy of N2(C -&gt; B) molecular and N+/O+ ionic species with a single-shot time resolution as short as 16 ps. Measurements capture the sub-nanosecond breakdown dynamics and transition from non-equilibrium electronic excitation to full thermal ionization, providing critical kinetic data for plasma-assisted ignition and high-speed flow actuation.</t>
        </is>
      </c>
      <c r="S3" s="2" t="inlineStr">
        <is>
          <t>BOS/schlieren synthetic image generation via MIRAGE (MATLAB implementation of ray tracing for analysis of variable density Gradient Environments)</t>
        </is>
      </c>
      <c r="T3" s="3">
        <f>HYPERLINK("https://doi.org/10.1088/1361-6501/ae4f0a", "https://doi.org/10.1088/1361-6501/ae4f0a")</f>
        <v/>
      </c>
      <c r="U3" s="2" t="inlineStr">
        <is>
          <t>creating the open-source MIRAGE ray-tracing tool for synthetic BOS and schlieren image generation, demonstrating quantitative evaluation of optical distortion and density gradient sensitivity across complex 3D aerodynamic fields.</t>
        </is>
      </c>
      <c r="V3" s="2" t="inlineStr">
        <is>
          <t>This work presents a MATLAB-based, open source tool for generating synthetic images, e.g. background oriented schlieren (BOS), in non-homogeneous refractive index field environments induced by the presence of density gradients. The tool allows the user to model their specific optical setup, including lens focal lengths, background patterns, and camera aperture sizes, and trace rays through 3D CFD density fields to quantitatively evaluate parallax, refractive distortion, and measurement sensitivity.</t>
        </is>
      </c>
      <c r="W3" s="2" t="inlineStr">
        <is>
          <t>1. Single-shot ultrafast dynamics of nanosecond pulsed plasmas: Transition from ps–ns nonequilibrium to near-full ionization (Applied Physics Letters, 2026) [DOI: https://doi.org/10.1063/5.0341587] | 2. BOS/schlieren synthetic image generation via MIRAGE (MATLAB implementation of ray tracing for analysis of variable density Gradient Environments) (Measurement Science and Technology, 2026) [DOI: https://doi.org/10.1088/1361-6501/ae4f0a]</t>
        </is>
      </c>
      <c r="X3" s="3">
        <f>HYPERLINK("https://doi.org/10.1063/5.0341587", "https://doi.org/10.1063/5.0341587 | https://doi.org/10.1088/1361-6501/ae4f0a")</f>
        <v/>
      </c>
      <c r="Y3" s="2" t="inlineStr">
        <is>
          <t>deploying jitter-free continuous streak-sweep spectroscopy with 16-picosecond resolution across atmospheric nanosecond discharges, capturing the ultrafast transition from non-equilibrium molecular excitation to thermal ionization.</t>
        </is>
      </c>
      <c r="Z3" s="2" t="inlineStr"/>
      <c r="AA3" s="2" t="inlineStr">
        <is>
          <t>"Single-shot ultrafast dynamics of nanosecond pulsed plasmas: Transition from ps–ns nonequilibrium to near-full ionization" [Applied Physics Letters] (2026) [DOI: https://doi.org/10.1063/5.0341587] | "BOS/schlieren synthetic image generation via MIRAGE (MATLAB implementation of ray tracing for analysis of variable density Gradient Environments)" [Measurement Science and Technology] (2026) [DOI: https://doi.org/10.1088/1361-6501/ae4f0a] | "Active Control Strategies Using NRP Discharges for Thermoacoustic Instability Control in Methane-Air Atmospheric Combustion System" (2026) [DOI: https://doi.org/10.2514/6.2026-0398] | "Time Resolved BOS Velocimetry of Synthetic Raytraced Images of a Low Speed Mixing Flow" (2026) [DOI: https://doi.org/10.2514/6.2026-2293] | "Background-oriented-schlieren-based optical velocimetry of low-convective-Mach-number turbulent shear layers" [Experiments in Fluids] (2025) [DOI: https://doi.org/10.1007/s00348-025-04031-y]</t>
        </is>
      </c>
      <c r="AB3" s="2" t="inlineStr">
        <is>
          <t>"Investigation of the effect of electrode geometry on spark ignition" [Combustion and Flame] (2014, 87 cites) [DOI: https://doi.org/10.1016/j.combustflame.2014.07.017] | "Statistical analysis of electrostatic spark ignition of lean H2/O2/Ar mixtures" [International Journal of Hydrogen Energy] (2010, 69 cites) [DOI: https://doi.org/10.1016/j.ijhydene.2010.05.082] | "Experimental investigation of spark ignition energy in kerosene, hexane, and hydrogen" [Journal of Loss Prevention in the Process Industries] (2011, 68 cites) [DOI: https://doi.org/10.1016/j.jlp.2011.03.007]</t>
        </is>
      </c>
      <c r="AC3" s="2" t="inlineStr"/>
      <c r="AD3" s="2" t="inlineStr"/>
      <c r="AE3" s="2" t="inlineStr"/>
      <c r="AF3" s="2" t="inlineStr">
        <is>
          <t>Plasma Applications and Diagnostics (34) | Plasma and Flow Control in Aerodynamics (28) | Combustion and Detonation Processes (24)</t>
        </is>
      </c>
      <c r="AG3" s="2" t="inlineStr">
        <is>
          <t>Plasma Applications and Diagnostics (34) | Plasma and Flow Control in Aerodynamics (28) | Combustion and Detonation Processes (24)</t>
        </is>
      </c>
      <c r="AH3" s="2" t="inlineStr">
        <is>
          <t>1. Plasmas for combustion and flow control nano-second repetitively pulsed (NRP) plasmas - generation and spectroscopic measurements plasma-assisted ignition (PAI) and combustion (PAC) plasma control of high-speed flows, shock wave/boundary layer interaction 2. Physics of supersonic and hypersonic turbulent flows and passive and active flow control 3. Optical methods for high-speed flow and combustion visualization and measurement PIV, BOS, schlieren image velocimetry (SIV) numerical tools for optical system modeling and design 4. Experimental combustion and propulsion ignition detonations and flame acceleration rotating detonation engines</t>
        </is>
      </c>
      <c r="AI3" s="2" t="inlineStr">
        <is>
          <t>Nonequilibrium plasmas, hypersonic and supersonic aerodynamics and flow control, optical and spectroscopic diagnostics, combustion and detonation dynamics</t>
        </is>
      </c>
      <c r="AJ3" s="2" t="inlineStr">
        <is>
          <t>Nonequilibrium plasmas, hypersonic and supersonic aerodynamics and flow control, optical and spectroscopic diagnostics, combustion and detonation dynamics</t>
        </is>
      </c>
      <c r="AK3" s="2" t="inlineStr">
        <is>
          <t>B.S., University of Virginia, Aerospace Engineering, 2004 M.S., California Institute of Technology, Aeronautics, 2005 Ph.D., California Institute of Technology, Aeronautics, 2010</t>
        </is>
      </c>
      <c r="AL3" s="2" t="inlineStr">
        <is>
          <t>Indiana Space Grant Consortium</t>
        </is>
      </c>
      <c r="AM3" s="3">
        <f>HYPERLINK("https://insgc.spacegrant.org/", "https://insgc.spacegrant.org/")</f>
        <v/>
      </c>
      <c r="AN3" s="2" t="inlineStr">
        <is>
          <t>Academic INSGC Internships</t>
        </is>
      </c>
      <c r="AO3" s="2" t="inlineStr"/>
      <c r="AP3" s="2" t="inlineStr"/>
      <c r="AQ3" s="2" t="inlineStr">
        <is>
          <t>NASA</t>
        </is>
      </c>
      <c r="AR3" s="2" t="inlineStr"/>
      <c r="AS3" s="2" t="inlineStr"/>
      <c r="AT3" s="2" t="inlineStr">
        <is>
          <t>ARMS 3219</t>
        </is>
      </c>
      <c r="AU3" s="2" t="b">
        <v>1</v>
      </c>
      <c r="AV3" s="3">
        <f>HYPERLINK("https://engineering.purdue.edu/AAE/people/Faculty", "https://engineering.purdue.edu/AAE/people/Faculty")</f>
        <v/>
      </c>
    </row>
    <row r="4">
      <c r="A4" s="2" t="inlineStr">
        <is>
          <t>Carson Slabaugh</t>
        </is>
      </c>
      <c r="B4" s="2" t="inlineStr">
        <is>
          <t>Purdue University</t>
        </is>
      </c>
      <c r="C4" s="3">
        <f>HYPERLINK("https://engineering.purdue.edu/AAE/people/ptProfile?resource_id=124958", "https://engineering.purdue.edu/AAE/people/ptProfile?resource_id=124958")</f>
        <v/>
      </c>
      <c r="D4" s="3">
        <f>HYPERLINK("https://scholar.google.com/citations?view_op=search_authors&amp;mauthors=Carson%20Slabaugh%20Purdue%20University", "Google Scholar Search")</f>
        <v/>
      </c>
      <c r="E4" s="2" t="inlineStr">
        <is>
          <t>Paula Feuer Professor of Aeronautics and Astronautics</t>
        </is>
      </c>
      <c r="F4" s="2" t="inlineStr">
        <is>
          <t>Aeronautics and Astronautics</t>
        </is>
      </c>
      <c r="G4" s="2" t="inlineStr"/>
      <c r="H4" s="3">
        <f>HYPERLINK("mailto:cslabau@purdue.edu", "cslabau@purdue.edu")</f>
        <v/>
      </c>
      <c r="I4" s="2" t="n">
        <v>1</v>
      </c>
      <c r="J4" s="2" t="inlineStr">
        <is>
          <t>🔵 Tier 1: Core Aero / Fluids / Propulsion</t>
        </is>
      </c>
      <c r="K4" s="2" t="n">
        <v>10</v>
      </c>
      <c r="L4" s="2" t="inlineStr">
        <is>
          <t>combustion, detonation, energy systems, fluid mechanics, multiphase flow, propulsion, reacting flow, rotating detonation, turbulence, turbulent</t>
        </is>
      </c>
      <c r="M4" s="2" t="inlineStr">
        <is>
          <t>High-pressure gas turbine combustion, rotating detonation engines (RDE), supersonic dual-mode ramjets, and MHz-rate planar optical/laser diagnostics in reacting flows.</t>
        </is>
      </c>
      <c r="N4" s="2" t="inlineStr">
        <is>
          <t>Rotating Detonation Combustors, Dual-Mode Scramjet Rigs, 2 MHz Schlieren, 250 kHz Chemiluminescence, Femtosecond/Picosecond Coherent Anti-Stokes Raman Scattering (CARS), High-Speed PIV</t>
        </is>
      </c>
      <c r="O4" s="2" t="inlineStr">
        <is>
          <t>High-Speed Diagnostics in a Natural Gas–Air Rotating Detonation Engine</t>
        </is>
      </c>
      <c r="P4" s="3">
        <f>HYPERLINK("https://doi.org/10.2514/1.b37740", "https://doi.org/10.2514/1.b37740")</f>
        <v/>
      </c>
      <c r="Q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R4" s="2" t="inlineStr">
        <is>
          <t>A natural-gas-fueled rotating detonation engine was operated at flow conditions typical of gas turbine engines. High-speed broadband chemiluminescence images, particle image velocimetry (PIV), and dynamic pressure measurements were used to characterize the combustion process. A parametric survey was performed across air mass flow rates from 0.45 to 1.15 kg/s and equivalence ratios from 0.6 to 1.4. The engine operated stably with one or two detonation waves propagating at velocities between 1350 and 1720 m/s (58-75% of the Chapman-Jouguet velocity), capturing the transient detonation wave propagation and reactant fill region dynamics.</t>
        </is>
      </c>
      <c r="S4" s="2" t="inlineStr">
        <is>
          <t>Operating Mode Influence on Heat Release in an Axisymmetric Dual-Mode Ramjet</t>
        </is>
      </c>
      <c r="T4" s="3">
        <f>HYPERLINK("https://doi.org/10.2514/1.j067064", "https://doi.org/10.2514/1.j067064")</f>
        <v/>
      </c>
      <c r="U4" s="2" t="inlineStr">
        <is>
          <t>formulating a coupled one-dimensional flow model and multistage optimizer for an axisymmetric dual-mode ramjet, demonstrating how shock-train migration and boundary layer pre-combustion shock interactions shift heat release profiles between subsonic and supersonic combustion regimes.</t>
        </is>
      </c>
      <c r="V4" s="2" t="inlineStr">
        <is>
          <t>A thermally perfect, one-dimensional model that is capable of evaluating flow properties along the isolator and combustor of a dual-mode ramjet operating in either a ramjet or scramjet mode is described. The model is incorporated into a multistage optimizer that computes an estimated fuel-burning profile and pressure rise distribution to reproduce experimental wall pressure data. By applying the method to an axisymmetric dual-mode ramjet across multiple equivalence ratios, the transition from shock-train-dominated ramjet combustion to supersonic heat addition is mapped, quantifying the thermodynamic trade-offs between isolator boundary layer separation and combustion efficiency.</t>
        </is>
      </c>
      <c r="W4" s="2" t="inlineStr">
        <is>
          <t>1. High-Speed Diagnostics in a Natural Gas–Air Rotating Detonation Engine (Journal of Propulsion and Power, 2020) [DOI: https://doi.org/10.2514/1.b37740] | 2. Operating Mode Influence on Heat Release in an Axisymmetric Dual-Mode Ramjet (AIAA Journal, 2026) [DOI: https://doi.org/10.2514/1.j067064]</t>
        </is>
      </c>
      <c r="X4" s="3">
        <f>HYPERLINK("https://doi.org/10.2514/1.b37740", "https://doi.org/10.2514/1.b37740 | https://doi.org/10.2514/1.j067064")</f>
        <v/>
      </c>
      <c r="Y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Z4" s="2" t="inlineStr"/>
      <c r="AA4" s="2" t="inlineStr">
        <is>
          <t>"Operating Mode Influence on Heat Release in an Axisymmetric Dual-Mode Ramjet" [AIAA Journal] (2026) [DOI: https://doi.org/10.2514/1.j067064] | "Coherent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"Detonation Wave Interactions with Stratified Gas Layers" (2026) [DOI: https://doi.org/10.2514/6.2026-1015] | "Multiphase and Non-Equilibrium Effects in Highly Fuel-Rich Solid Fuel Gas Generators" (2026) [DOI: https://doi.org/10.2514/6.2026-0392]</t>
        </is>
      </c>
      <c r="AB4" s="2" t="inlineStr">
        <is>
          <t>"3 kHz PIV/OH-PLIF measurements in a gas turbine combustor at elevated pressure" [Proceedings of the Combustion Institute] (2014, 89 cites) [DOI: https://doi.org/10.1016/j.proci.2014.06.090] | "High-Speed Diagnostics in a Natural Gas–Air Rotating Detonation Engine" [Journal of Propulsion and Power] (2020, 69 cites) [DOI: https://doi.org/10.2514/1.b37740] | "Flow and performance analysis of a natural gas-air rotating detonation engine with high-speed velocimetry" [Combustion and Flame] (2021, 60 cites) [DOI: https://doi.org/10.1016/j.combustflame.2021.111549]</t>
        </is>
      </c>
      <c r="AC4" s="2" t="inlineStr"/>
      <c r="AD4" s="2" t="inlineStr"/>
      <c r="AE4" s="2" t="inlineStr"/>
      <c r="AF4" s="2" t="inlineStr">
        <is>
          <t>Combustion and flame dynamics (74) | Combustion and Detonation Processes (54) | Advanced Combustion Engine Technologies (38)</t>
        </is>
      </c>
      <c r="AG4" s="2" t="inlineStr">
        <is>
          <t>Combustion and flame dynamics (74) | Combustion and Detonation Processes (54) | Advanced Combustion Engine Technologies (38)</t>
        </is>
      </c>
      <c r="AH4" s="2" t="inlineStr">
        <is>
          <t>Prof. Slabaugh's research is focused on the physics of fluid mechanics and combustion in the operating regimes of advanced propulsion and energy systems.  Ongoing projects cover a wide spectrum of topics; from fundamental exploration of turbulence-chemistry interactions to development of advanced combustion technologies for liquid rocket engines.  The group also maintains a continuous effort in the advancement of high-bandwidth (typically, laser-based) measurement techniques to non-intrusively probe the physics of these complex, reacting flows.  Please visit our website for more information about the group and our work.</t>
        </is>
      </c>
      <c r="AI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myPronunciation.play();
    }
    function pause() {
    myPronunciation.pause();
    }</t>
        </is>
      </c>
      <c r="AJ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t>
        </is>
      </c>
      <c r="AK4" s="2" t="inlineStr">
        <is>
          <t>Ph.D., Purdue University, 2014 M.S., University of Central Florida, 2010 B.S., University of Central Florida, 2009</t>
        </is>
      </c>
      <c r="AL4" s="2" t="inlineStr">
        <is>
          <t>Indiana Space Grant Consortium</t>
        </is>
      </c>
      <c r="AM4" s="3">
        <f>HYPERLINK("https://insgc.spacegrant.org/", "https://insgc.spacegrant.org/")</f>
        <v/>
      </c>
      <c r="AN4" s="2" t="inlineStr">
        <is>
          <t>Academic INSGC Internships</t>
        </is>
      </c>
      <c r="AO4" s="2" t="inlineStr"/>
      <c r="AP4" s="2" t="inlineStr"/>
      <c r="AQ4" s="2" t="inlineStr">
        <is>
          <t>NASA</t>
        </is>
      </c>
      <c r="AR4" s="2" t="inlineStr"/>
      <c r="AS4" s="2" t="inlineStr"/>
      <c r="AT4" s="2" t="inlineStr">
        <is>
          <t>ARMS 2035 and ZL3 106</t>
        </is>
      </c>
      <c r="AU4" s="2" t="b">
        <v>1</v>
      </c>
      <c r="AV4" s="3">
        <f>HYPERLINK("https://engineering.purdue.edu/AAE/people/Faculty", "https://engineering.purdue.edu/AAE/people/Faculty")</f>
        <v/>
      </c>
    </row>
    <row r="5">
      <c r="A5" s="2" t="inlineStr">
        <is>
          <t>Steven P. Schneider</t>
        </is>
      </c>
      <c r="B5" s="2" t="inlineStr">
        <is>
          <t>Purdue University</t>
        </is>
      </c>
      <c r="C5" s="3">
        <f>HYPERLINK("https://engineering.purdue.edu/AAE/people/ptProfile?resource_id=1274", "https://engineering.purdue.edu/AAE/people/ptProfile?resource_id=1274")</f>
        <v/>
      </c>
      <c r="D5" s="3">
        <f>HYPERLINK("https://scholar.google.com/citations?view_op=search_authors&amp;mauthors=Steven%20P.%20Schneider%20Purdue%20University", "Google Scholar Search")</f>
        <v/>
      </c>
      <c r="E5" s="2" t="inlineStr">
        <is>
          <t>Professor</t>
        </is>
      </c>
      <c r="F5" s="2" t="inlineStr">
        <is>
          <t>Aeronautics and Astronautics</t>
        </is>
      </c>
      <c r="G5" s="2" t="inlineStr"/>
      <c r="H5" s="3">
        <f>HYPERLINK("mailto:steves@purdue.edu", "steves@purdue.edu")</f>
        <v/>
      </c>
      <c r="I5" s="2" t="n">
        <v>1</v>
      </c>
      <c r="J5" s="2" t="inlineStr">
        <is>
          <t>🔵 Tier 1: Core Aero / Fluids / Propulsion</t>
        </is>
      </c>
      <c r="K5" s="2" t="n">
        <v>10</v>
      </c>
      <c r="L5" s="2" t="inlineStr">
        <is>
          <t>aerothermodynamics, boundary layer, entry vehicles, heat transfer, hypersonic, supersonic, thermal, thermodynamics, turbulence, turbulent</t>
        </is>
      </c>
      <c r="M5" s="2" t="inlineStr">
        <is>
          <t>Hypersonic boundary-layer transition, quiet-flow wind tunnel design, second-mode instability attenuation, and surface roughness effects on flared cones at Mach 6.</t>
        </is>
      </c>
      <c r="N5" s="2" t="inlineStr">
        <is>
          <t>Boeing/AFOSR Mach-6 Quiet Tunnel (BAM6QT), Fast-Response Pressure Transducers (PCB/Kulite), Temperature-Sensitive Paint (TSP), High-Speed Schlieren, Linear Stability Theory (e^N)</t>
        </is>
      </c>
      <c r="O5" s="2" t="inlineStr">
        <is>
          <t>Second-Mode Transition on Flared Cone In Mach-6 Quiet Flow</t>
        </is>
      </c>
      <c r="P5" s="3">
        <f>HYPERLINK("https://doi.org/10.2514/1.a36439", "https://doi.org/10.2514/1.a36439")</f>
        <v/>
      </c>
      <c r="Q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R5" s="2" t="inlineStr">
        <is>
          <t>Hypersonic boundary-layer transition was characterized on a flared cone geometry in the Boeing/AFOSR Mach-6 Quiet Tunnel. Experiments in low-disturbance, quiet flow at five unit Reynolds numbers from 9.0e6 to 13.5e6 m^-1 measured a hot-cold-hot streak pattern with azimuthal wavenumber m = 14 to 18 using temperature-sensitive paint. High-frequency surface pressure transducers captured second-mode wave packets with frequencies between 280 and 340 kHz, providing flight-relevant benchmark transition data without the acoustic contamination present in conventional noisy hypersonic wind tunnels.</t>
        </is>
      </c>
      <c r="S5" s="2" t="inlineStr">
        <is>
          <t>Measurements of an axisymmetric hypersonic shear-layer instability on a cone-cylinder-flare in quiet flow</t>
        </is>
      </c>
      <c r="T5" s="3">
        <f>HYPERLINK("https://doi.org/10.1103/physrevfluids.8.083903", "https://doi.org/10.1103/physrevfluids.8.083903")</f>
        <v/>
      </c>
      <c r="U5" s="2" t="inlineStr">
        <is>
          <t>performing quiet-flow experiments on a cone-cylinder-flare at Mach 6, demonstrating that free shear-layer instabilities over the shock-induced separation bubble exhibit higher amplification rates than attached boundary-layer acoustic modes, triggering premature turbulent breakdown.</t>
        </is>
      </c>
      <c r="V5" s="2" t="inlineStr">
        <is>
          <t>Compression corners are commonly present along aircraft, such as at control surfaces, and can cause shock/boundary-layer interactions when the vehicle moves at supersonic or hypersonic speeds. By generating a separation bubble at the corner, a shear layer is present in the flow, which can potentially destabilize and cause early transition. Measurements on an axisymmetric cone-cylinder-flare model were obtained in the Boeing/AFOSR Mach-6 Quiet Tunnel under quiet flow conditions. High-speed surface pressure measurements along the flare resolved shear-layer instability modes, confirming that free shear-layer amplification exceeds attached boundary-layer second-mode growth rates.</t>
        </is>
      </c>
      <c r="W5" s="2" t="inlineStr">
        <is>
          <t>1. Second-Mode Transition on Flared Cone In Mach-6 Quiet Flow (Journal of Spacecraft and Rockets, 2025) [DOI: https://doi.org/10.2514/1.a36439] | 2. Measurements of an axisymmetric hypersonic shear-layer instability on a cone-cylinder-flare in quiet flow (Physical Review Fluids, 2023) [DOI: https://doi.org/10.1103/physrevfluids.8.083903]</t>
        </is>
      </c>
      <c r="X5" s="3">
        <f>HYPERLINK("https://doi.org/10.2514/1.a36439", "https://doi.org/10.2514/1.a36439 | https://doi.org/10.1103/physrevfluids.8.083903")</f>
        <v/>
      </c>
      <c r="Y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Z5" s="2" t="inlineStr"/>
      <c r="AA5" s="2" t="inlineStr">
        <is>
          <t>"Second-Mode Transition on Flared Cone In Mach-6 Quiet Flow" [Journal of Spacecraft and Rockets] (2025) [DOI: https://doi.org/10.2514/1.a36439] | "362 Dissecting immune evasion in pediatric brain tumors through organoid models and multiplex immune profiling" [Regular and Young Investigator Award Abstracts] (2025) [DOI: https://doi.org/10.1136/jitc-2025-sitc2025.0362] | "A Review of the Design of Cone-Cylinder-Flare Geometries for Stability Analyses and Conventional/Quiet Wind Tunnel Tests" [arXiv (Cornell University)] (2025) [DOI: https://doi.org/10.48550/arxiv.2509.10411] | "Centerline Focusing of Disturbances From Nozzle Wall Discontinuities in a Mach 6 Quiet Tunnel" (2025) [DOI: https://doi.org/10.2514/6.2025-3616] | "Measurements of an axisymmetric hypersonic shear-layer instability on a cone-cylinder-flare in quiet flow" [Physical Review Fluids] (2023) [DOI: https://doi.org/10.1103/physrevfluids.8.083903]</t>
        </is>
      </c>
      <c r="AB5" s="2" t="inlineStr">
        <is>
          <t>"Hypersonic laminar–turbulent transition on circular cones and scramjet forebodies" [Progress in Aerospace Sciences] (2004, 456 cites) [DOI: https://doi.org/10.1016/j.paerosci.2003.11.001] | "Effects of High-Speed Tunnel Noise on Laminar-Turbulent Transition" [Journal of Spacecraft and Rockets] (2001, 383 cites) [DOI: https://doi.org/10.2514/2.3705] | "Effects of Roughness on Hypersonic Boundary-Layer Transition" [Journal of Spacecraft and Rockets] (2008, 363 cites) [DOI: https://doi.org/10.2514/1.29713]</t>
        </is>
      </c>
      <c r="AC5" s="2" t="inlineStr"/>
      <c r="AD5" s="2" t="inlineStr">
        <is>
          <t>Fellow, AIAA AIAA Ground Testing Award, 2012</t>
        </is>
      </c>
      <c r="AE5" s="2" t="inlineStr"/>
      <c r="AF5" s="2" t="inlineStr">
        <is>
          <t>Fluid Dynamics and Turbulent Flows (173) | Computational Fluid Dynamics and Aerodynamics (106) | Gas Dynamics and Kinetic Theory (75)</t>
        </is>
      </c>
      <c r="AG5" s="2" t="inlineStr">
        <is>
          <t>Fluid Dynamics and Turbulent Flows (173) | Computational Fluid Dynamics and Aerodynamics (106) | Gas Dynamics and Kinetic Theory (75)</t>
        </is>
      </c>
      <c r="AH5" s="2" t="inlineStr">
        <is>
          <t>Hypersonic and supersonic laminar-turbulent transition Low-disturbance wind tunnels and associated instrumentation</t>
        </is>
      </c>
      <c r="AI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contaminated by facility noise, such as that radiating from the turbulent boundary layers normally present on the test-section walls of supersonic tunnels. Just as at low speeds, reliable experimental progress requires low-turbulence wind tunnels with noise levels comparable to those in flight. Mechanism-based prediction methods are being developed to reduce the uncertainty in predicting transition on future flight vehicles.  Measurements of the instability mechanisms leading to transition are being carried out to support the development and validation of these new methods.  However, no single wind tunnel can simultaneously simulate all aspects of transition in flight, including Mach number, Reynolds number, enthalpy, freestream disturbances, surface ablation and so on.  Furthermore, although computational advances are critical, all computations require models that must be based on experimental results.  Effective progress requires cooperation between theory, computation and experiment, and also between system designers and researchers. Prof. Schneider continues to focus on hypersonic transition and the development of quiet tunnels, while also serving as a senior technical expert in aerothermodynamics.  Prof. Jewell now leads the Mach-6 quiet tunnel, and Prof. Chynoweth leads the development of the new Mach-8 quiet tunnel.  Prof. Schneider has moved into a supporting role as part of a long phased retirement.  He is no longer serving as an advisor to new graduate students.</t>
        </is>
      </c>
      <c r="AJ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t>
        </is>
      </c>
      <c r="AK5" s="2" t="inlineStr">
        <is>
          <t>B.S.	─ Caltech, Engineering and Applied Science, with Honor, June 1981 M.S.	─ Caltech, Aeronautics, June 1984 Ph.D.	─ Caltech, Aeronautics, March 1989</t>
        </is>
      </c>
      <c r="AL5" s="2" t="inlineStr">
        <is>
          <t>Indiana Space Grant Consortium</t>
        </is>
      </c>
      <c r="AM5" s="3">
        <f>HYPERLINK("https://insgc.spacegrant.org/", "https://insgc.spacegrant.org/")</f>
        <v/>
      </c>
      <c r="AN5" s="2" t="inlineStr">
        <is>
          <t>Academic INSGC Internships</t>
        </is>
      </c>
      <c r="AO5" s="2" t="inlineStr"/>
      <c r="AP5" s="2" t="inlineStr"/>
      <c r="AQ5" s="2" t="inlineStr">
        <is>
          <t>NASA</t>
        </is>
      </c>
      <c r="AR5" s="2" t="inlineStr"/>
      <c r="AS5" s="2" t="inlineStr"/>
      <c r="AT5" s="2" t="inlineStr">
        <is>
          <t>Room 13C AERO (Hangar 3) &amp; ARMS 3216</t>
        </is>
      </c>
      <c r="AU5" s="2" t="b">
        <v>1</v>
      </c>
      <c r="AV5" s="3">
        <f>HYPERLINK("https://engineering.purdue.edu/AAE/people/Faculty", "https://engineering.purdue.edu/AAE/people/Faculty")</f>
        <v/>
      </c>
    </row>
    <row r="6">
      <c r="A6" s="2" t="inlineStr">
        <is>
          <t>Joseph S. Jewell</t>
        </is>
      </c>
      <c r="B6" s="2" t="inlineStr">
        <is>
          <t>Purdue University</t>
        </is>
      </c>
      <c r="C6" s="3">
        <f>HYPERLINK("https://engineering.purdue.edu/AAE/people/ptProfile?resource_id=221718", "https://engineering.purdue.edu/AAE/people/ptProfile?resource_id=221718")</f>
        <v/>
      </c>
      <c r="D6" s="3">
        <f>HYPERLINK("https://scholar.google.com/citations?hl=en&amp;user=NZ7cWNwAAAAJ", "Scholar (NZ7cWNwAAAAJ)")</f>
        <v/>
      </c>
      <c r="E6" s="2" t="inlineStr">
        <is>
          <t>[On leave for Federal service as of Dec 2025] John Bogdanoff Professor of Aeronautics and Astronautics</t>
        </is>
      </c>
      <c r="F6" s="2" t="inlineStr">
        <is>
          <t>Aeronautics and Astronautics</t>
        </is>
      </c>
      <c r="G6" s="2" t="inlineStr">
        <is>
          <t>NZ7cWNwAAAAJ</t>
        </is>
      </c>
      <c r="H6" s="3">
        <f>HYPERLINK("mailto:jsjewell@purdue.edu", "jsjewell@purdue.edu")</f>
        <v/>
      </c>
      <c r="I6" s="2" t="n">
        <v>1</v>
      </c>
      <c r="J6" s="2" t="inlineStr">
        <is>
          <t>🔵 Tier 1: Core Aero / Fluids / Propulsion</t>
        </is>
      </c>
      <c r="K6" s="2" t="n">
        <v>9</v>
      </c>
      <c r="L6" s="2" t="inlineStr">
        <is>
          <t>aerodynamics, aerospace, aerothermodynamics, boundary layer, fluid mechanics, hypersonic, spacecraft, thermodynamics, turbulence</t>
        </is>
      </c>
      <c r="M6" s="2" t="inlineStr">
        <is>
          <t>Hypersonic boundary-layer transition, focused laser differential interferometry (FLDI), FLEET velocimetry, and waverider inlet unstart at Mach 6 in quiet wind tunnels.</t>
        </is>
      </c>
      <c r="N6" s="2" t="inlineStr">
        <is>
          <t>Boeing/AFOSR Mach 6 Quiet Tunnel, Femtosecond Laser Electronic Excitation Tagging (FLEET), Focused Laser Differential Interferometry (FLDI), Fast-Response Pressure Transducers, High-Speed Schlieren</t>
        </is>
      </c>
      <c r="O6" s="2" t="inlineStr">
        <is>
          <t>100 kHz-rate femtosecond laser electronic excitation tagging velocimetry in Mach 6 quiet flow</t>
        </is>
      </c>
      <c r="P6" s="3">
        <f>HYPERLINK("https://doi.org/10.1364/ao.604902", "https://doi.org/10.1364/ao.604902")</f>
        <v/>
      </c>
      <c r="Q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R6" s="2" t="inlineStr">
        <is>
          <t>Velocity measurements in high-speed flows are critical for the understanding and predictive modeling of instabilities in laminar and transitional boundary layers. Femtosecond laser electronic excitation tagging (FLEET) velocimetry is a robust seedless method for measuring velocity while only requiring pure molecular nitrogen or air. In this study, 100 kHz-rate FLEET velocimetry was developed and applied in the Boeing/AFOSR Mach 6 Quiet Tunnel at Purdue University. The system resolved transient velocity profiles across the quiet-flow boundary layer, demonstrating the capability to capture high-frequency acoustic wave perturbations without particulate seed seeding.</t>
        </is>
      </c>
      <c r="S6" s="2" t="inlineStr">
        <is>
          <t>Onset of separation unsteadiness in hypersonic shock–boundary-layer interaction on a cone-step</t>
        </is>
      </c>
      <c r="T6" s="3">
        <f>HYPERLINK("https://doi.org/10.1017/jfm.2026.11284", "https://doi.org/10.1017/jfm.2026.11284")</f>
        <v/>
      </c>
      <c r="U6" s="2" t="inlineStr">
        <is>
          <t>characterizing Mach 6 shock-boundary-layer interactions on a cone-step under quiet-flow conditions, identifying the critical Reynolds number boundary that triggers the onset of self-sustained separation bubble unsteadiness and large-scale pressure pulsations.</t>
        </is>
      </c>
      <c r="V6" s="2" t="inlineStr">
        <is>
          <t>Shock-boundary-layer interactions on hypersonic cone-step flows exhibit a range of intrinsic unsteady behaviours, from shear-layer oscillations to large-scale pulsations. This work investigates the unsteadiness in a cone-step geometry at Mach 6 under quiet-flow conditions at different free-stream Reynolds numbers. High-frequency PCB surface pressure sensors and fast-response schlieren imaging uncover the threshold free-stream Reynolds number at which the separation bubble transitions from stationary laminar separation to self-sustained oscillatory pulsation.</t>
        </is>
      </c>
      <c r="W6" s="2" t="inlineStr">
        <is>
          <t>1. 100 kHz-rate femtosecond laser electronic excitation tagging velocimetry in Mach 6 quiet flow (Applied Optics, 2026) [DOI: https://doi.org/10.1364/ao.604902] | 2. Onset of separation unsteadiness in hypersonic shock–boundary-layer interaction on a cone-step (Journal of Fluid Mechanics, 2026) [DOI: https://doi.org/10.1017/jfm.2026.11284]</t>
        </is>
      </c>
      <c r="X6" s="3">
        <f>HYPERLINK("https://doi.org/10.1364/ao.604902", "https://doi.org/10.1364/ao.604902 | https://doi.org/10.1017/jfm.2026.11284")</f>
        <v/>
      </c>
      <c r="Y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Z6" s="2" t="inlineStr"/>
      <c r="AA6" s="2" t="inlineStr">
        <is>
          <t>"Global Measurements of Unstart in an Internal Osculating Waverider Inlet" [AIAA Journal] (2026) [DOI: https://doi.org/10.2514/1.j067385] | "100 kHz-rate femtosecond laser electronic excitation tagging velocimetry in Mach 6 quiet flow" [Applied Optics] (2026) [DOI: https://doi.org/10.1364/ao.604902] | "Characterizing the Response of Focused Laser Differential Interferometry to Mixed-Mode Hypersonic Instabilities" [AIAA Journal] (2026) [DOI: https://doi.org/10.2514/1.j067275] | "Onset of separation unsteadiness in hypersonic shock–boundary-layer interaction on a cone-step" [Journal of Fluid Mechanics] (2026) [DOI: https://doi.org/10.1017/jfm.2026.11284] | "Investigation of a Busemann Intake at Negative Angle of Attack" [Journal of Spacecraft and Rockets] (2025) [DOI: https://doi.org/10.2514/1.a36358]</t>
        </is>
      </c>
      <c r="AB6" s="2" t="inlineStr">
        <is>
          <t>"Nose-Tip Bluntness Effects on Transition at Hypersonic Speeds" [Journal of Spacecraft and Rockets] (2018, 103 cites) [DOI: https://doi.org/10.2514/1.a34277] | "Boundary-Layer Stability Analysis for Stetson’s Mach 6 Blunt-Cone Experiments" [Journal of Spacecraft and Rockets] (2016, 92 cites) [DOI: https://doi.org/10.2514/1.a33619] | "Nonmodal Growth of Traveling Waves on Blunt Cones at Hypersonic Speeds" [AIAA Journal] (2019, 69 cites) [DOI: https://doi.org/10.2514/1.j058290]</t>
        </is>
      </c>
      <c r="AC6" s="2" t="inlineStr"/>
      <c r="AD6" s="2" t="inlineStr">
        <is>
          <t>Appointments **[on leave of absence from Purdue/PARI from Dec 2025] Federal Service , Dec 2025-present John Bogdanoff Professor...</t>
        </is>
      </c>
      <c r="AE6" s="2" t="inlineStr"/>
      <c r="AF6" s="2" t="inlineStr">
        <is>
          <t>Fluid Dynamics and Turbulent Flows (117) | Computational Fluid Dynamics and Aerodynamics (97) | Gas Dynamics and Kinetic Theory (59)</t>
        </is>
      </c>
      <c r="AG6" s="2" t="inlineStr">
        <is>
          <t>Fluid Dynamics and Turbulent Flows (117) | Computational Fluid Dynamics and Aerodynamics (97) | Gas Dynamics and Kinetic Theory (59)</t>
        </is>
      </c>
      <c r="AH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I6" s="2" t="inlineStr"/>
      <c r="AJ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K6" s="2" t="inlineStr">
        <is>
          <t>B.S., California Institute of Technology, Aeronautics and History, with Honor, 2004 M.S.E., University of Michigan, Aerospace Engineering, 2005 M.Sc., University of Oxford, Engineering Science (by Research), 2008 Ph.D., California Institute of Technology, Aeronautics, 2014</t>
        </is>
      </c>
      <c r="AL6" s="2" t="inlineStr">
        <is>
          <t>Indiana Space Grant Consortium</t>
        </is>
      </c>
      <c r="AM6" s="3">
        <f>HYPERLINK("https://insgc.spacegrant.org/", "https://insgc.spacegrant.org/")</f>
        <v/>
      </c>
      <c r="AN6" s="2" t="inlineStr">
        <is>
          <t>Academic INSGC Internships</t>
        </is>
      </c>
      <c r="AO6" s="2" t="inlineStr"/>
      <c r="AP6" s="2" t="inlineStr"/>
      <c r="AQ6" s="2" t="inlineStr">
        <is>
          <t>NASA</t>
        </is>
      </c>
      <c r="AR6" s="2" t="inlineStr"/>
      <c r="AS6" s="2" t="inlineStr"/>
      <c r="AT6" s="2" t="inlineStr">
        <is>
          <t>Aerospace Sciences Lab (AERO) Room 13B &amp; ARMS 3216</t>
        </is>
      </c>
      <c r="AU6" s="2" t="b">
        <v>1</v>
      </c>
      <c r="AV6" s="3">
        <f>HYPERLINK("https://engineering.purdue.edu/AAE/people/Faculty", "https://engineering.purdue.edu/AAE/people/Faculty")</f>
        <v/>
      </c>
    </row>
    <row r="7">
      <c r="A7" s="2" t="inlineStr">
        <is>
          <t>Huidan (Whitney) Yu</t>
        </is>
      </c>
      <c r="B7" s="2" t="inlineStr">
        <is>
          <t>Purdue University</t>
        </is>
      </c>
      <c r="C7" s="3">
        <f>HYPERLINK("https://engineering.purdue.edu/ME/People/ptProfile?resource_id=294620", "https://engineering.purdue.edu/ME/People/ptProfile?resource_id=294620")</f>
        <v/>
      </c>
      <c r="D7" s="3">
        <f>HYPERLINK("https://scholar.google.com/citations?view_op=search_authors&amp;mauthors=Huidan%20%28Whitney%29%20Yu%20Purdue%20University", "Google Scholar Search")</f>
        <v/>
      </c>
      <c r="E7" s="2" t="inlineStr">
        <is>
          <t>Professor of Mechanical Engineering</t>
        </is>
      </c>
      <c r="F7" s="2" t="inlineStr">
        <is>
          <t>Mechanical Engineering</t>
        </is>
      </c>
      <c r="G7" s="2" t="inlineStr"/>
      <c r="H7" s="3">
        <f>HYPERLINK("mailto:yu597@purdue.edu", "yu597@purdue.edu")</f>
        <v/>
      </c>
      <c r="I7" s="2" t="n">
        <v>1</v>
      </c>
      <c r="J7" s="2" t="inlineStr">
        <is>
          <t>🔵 Tier 1: Core Aero / Fluids / Propulsion</t>
        </is>
      </c>
      <c r="K7" s="2" t="n">
        <v>8</v>
      </c>
      <c r="L7" s="2" t="inlineStr">
        <is>
          <t>aerospace, cfd, dns, fluid dynamics, fluid mechanics, les, microfluidics, turbulence</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is>
          <t>"Uncertainty Analysis for Blood Flow Simulation With Image Segmentation and Numerical Inputs" [Journal of Verification Validation and Uncertainty Quantification] (2025) [DOI: https://doi.org/10.1115/1.4071944] | "Cultivating Logical Problem-Solving in Undergraduate Thermodynamics through Structured Instruction#" (2025) [DOI: https://doi.org/10.1109/istem-ed65612.2025.11129360] | "A Comprehensive Review of Mock Circulation Loop Systems for Experimental Hemodynamics of Cardiovascular Diseases" [Fluids] (2025) [DOI: https://doi.org/10.3390/fluids10070166] | "Evaluating compliance in three-dimensional-printed polymeric vascular grafts compared to human arteries and commercial grafts in a mock circulation loop compliance in three-dimensional-printed polymeric vascular grafts" [JVS Vascular Science] (2025) [DOI: https://doi.org/10.1016/j.jvssci.2025.100291] | "Image-Based Computational and Experimental Biomedical Flows" [Fluids] (2024) [DOI: https://doi.org/10.3390/fluids9100227]</t>
        </is>
      </c>
      <c r="AB7" s="2" t="inlineStr">
        <is>
          <t>"DNS and LES of decaying isotropic turbulence with and without frame rotation using lattice Boltzmann method" [Journal of Computational Physics] (2005, 277 cites) [DOI: https://doi.org/10.1016/j.jcp.2005.03.022] | "LES of turbulent square jet flow using an MRT lattice Boltzmann model" [Computers &amp; Fluids] (2006, 184 cites) [DOI: https://doi.org/10.1016/j.compfluid.2005.04.009] | "Lattice Boltzmann simulations of decaying homogeneous isotropic turbulence" [Physical Review E] (2005, 108 cites) [DOI: https://doi.org/10.1103/physreve.71.016708]</t>
        </is>
      </c>
      <c r="AC7" s="2" t="inlineStr"/>
      <c r="AD7" s="2" t="inlineStr">
        <is>
          <t>Outstanding Mechanical Engineers Distinguished Engineering Alumni Honorary Doctorates Staff Awards Student Awards Distinguished...</t>
        </is>
      </c>
      <c r="AE7" s="2" t="inlineStr"/>
      <c r="AF7" s="2" t="inlineStr">
        <is>
          <t>Lattice Boltzmann Simulation Studies (35) | Fluid Dynamics and Turbulent Flows (21) | Aerosol Filtration and Electrostatic Precipitation (11)</t>
        </is>
      </c>
      <c r="AG7" s="2" t="inlineStr">
        <is>
          <t>Lattice Boltzmann Simulation Studies (35) | Fluid Dynamics and Turbulent Flows (21) | Aerosol Filtration and Electrostatic Precipitation (11)</t>
        </is>
      </c>
      <c r="AH7" s="2" t="inlineStr">
        <is>
          <t>Image-based computational and experimental fluid dynamics for porous-media and biomedical flows Translational research integrating high-performance CFD, image-based and physics-informed machine-learning, and uncertainty quantification to address unmet clinical needs GPU-parallelized lattice Boltzmann method for DNS and LES of turbulence Micro-bubble coalescence and detachment in microfluidics</t>
        </is>
      </c>
      <c r="AI7" s="2" t="inlineStr">
        <is>
          <t>Fluid Mechanics</t>
        </is>
      </c>
      <c r="AJ7" s="2" t="inlineStr">
        <is>
          <t>Fluid Mechanics</t>
        </is>
      </c>
      <c r="AK7" s="2" t="inlineStr">
        <is>
          <t>Ph.D. Aerospace Engineering, Texas A&amp;M University Ph.D. Physics, Peking University, China B.S. Physics, Zhejiang Normal University, China</t>
        </is>
      </c>
      <c r="AL7" s="2" t="inlineStr">
        <is>
          <t>Dr. Huidan (Whitney) Yu's Website</t>
        </is>
      </c>
      <c r="AM7" s="3">
        <f>HYPERLINK("https://engineering.purdue.edu/YuLab/", "https://engineering.purdue.edu/YuLab/")</f>
        <v/>
      </c>
      <c r="AN7" s="2" t="inlineStr">
        <is>
          <t>No open positions as of now</t>
        </is>
      </c>
      <c r="AO7" s="2" t="inlineStr"/>
      <c r="AP7" s="2" t="inlineStr"/>
      <c r="AQ7" s="2" t="inlineStr"/>
      <c r="AR7" s="2" t="inlineStr"/>
      <c r="AS7" s="2" t="inlineStr"/>
      <c r="AT7" s="2" t="inlineStr">
        <is>
          <t>SL 260H</t>
        </is>
      </c>
      <c r="AU7" s="2" t="b">
        <v>1</v>
      </c>
      <c r="AV7" s="3">
        <f>HYPERLINK("https://engineering.purdue.edu/ME/People/ptFaculty", "https://engineering.purdue.edu/ME/People/ptFaculty")</f>
        <v/>
      </c>
    </row>
    <row r="8">
      <c r="A8" s="2" t="inlineStr">
        <is>
          <t>Jay P. Gore</t>
        </is>
      </c>
      <c r="B8" s="2" t="inlineStr">
        <is>
          <t>Purdue University</t>
        </is>
      </c>
      <c r="C8" s="3">
        <f>HYPERLINK("https://engineering.purdue.edu/ME/People/Areas/ptProfile?resource_id=9892&amp;group_id=11989", "https://engineering.purdue.edu/ME/People/Areas/ptProfile?resource_id=9892&amp;group_id=11989")</f>
        <v/>
      </c>
      <c r="D8" s="3">
        <f>HYPERLINK("https://scholar.google.com/citations?view_op=search_authors&amp;mauthors=Jay%20P.%20Gore%20Purdue%20University", "Google Scholar Search")</f>
        <v/>
      </c>
      <c r="E8" s="2" t="inlineStr">
        <is>
          <t>Reilly Professor in Combustion Engineering</t>
        </is>
      </c>
      <c r="F8" s="2" t="inlineStr">
        <is>
          <t>Aeronautics and Astronautics</t>
        </is>
      </c>
      <c r="G8" s="2" t="inlineStr"/>
      <c r="H8" s="3">
        <f>HYPERLINK("mailto:gore@purdue.edu", "gore@purdue.edu")</f>
        <v/>
      </c>
      <c r="I8" s="2" t="n">
        <v>1</v>
      </c>
      <c r="J8" s="2" t="inlineStr">
        <is>
          <t>🔵 Tier 1: Core Aero / Fluids / Propulsion</t>
        </is>
      </c>
      <c r="K8" s="2" t="n">
        <v>8</v>
      </c>
      <c r="L8" s="2" t="inlineStr">
        <is>
          <t>combustion, fluid mechanics, heat transfer, materials, radiation, reacting flow, thermodynamics, turbulent</t>
        </is>
      </c>
      <c r="M8" s="2" t="inlineStr">
        <is>
          <t>Rotating detonation combustors with passive Tesla valve back-pressure suppression, turbulent flame radiation, and carbon-free fuel combustion (hydrogen, syngas, and ammonia).</t>
        </is>
      </c>
      <c r="N8" s="2" t="inlineStr">
        <is>
          <t>High-Fidelity Reacting Flow CFD, Rotating Detonation Combustor Rigs, Chemiluminescence Imaging, Tesla Valve Fluidic Diodes, Thermal Radiation Modeling</t>
        </is>
      </c>
      <c r="O8" s="2" t="inlineStr">
        <is>
          <t>RDE Combustor with Tesla Valve Injectors for Suppression of Back Pressure Oscillations</t>
        </is>
      </c>
      <c r="P8" s="3">
        <f>HYPERLINK("https://doi.org/10.2514/6.2026-0595", "https://doi.org/10.2514/6.2026-0595")</f>
        <v/>
      </c>
      <c r="Q8" s="2" t="inlineStr">
        <is>
          <t>incorporating multistage Tesla valve fluidic injectors into rotating detonation engine combustors, demonstrating that fluidic diodicity attenuates detonation-induced backpressure pulses into the fuel plenum by over 45% without mechanical moving parts.</t>
        </is>
      </c>
      <c r="R8" s="2" t="inlineStr">
        <is>
          <t>This study presents a computational investigation of a Rotating Detonation Engine (RDE) integrated with Tesla valve-based injectors to mitigate backpressure induced by the detonation wave. The RDE configuration includes an inlet, a plenum, and a deflagration-to-detonation combustion chamber. Detonation wave passage produces strong adverse pressure pulses that can disrupt upstream fuel-air injection and cause feed plenum instability. By exploiting the diodicity of multistage Tesla valves, reverse flow into the reactant manifolds was attenuated by over 45% without requiring mechanical check valves, preserving steady inlet mass flow into the detonation channel.</t>
        </is>
      </c>
      <c r="S8" s="2" t="inlineStr">
        <is>
          <t>A Numerical Study of Tesla Valve Integration Into Rotating Detonation Engines</t>
        </is>
      </c>
      <c r="T8" s="3">
        <f>HYPERLINK("https://doi.org/10.1115/imece2025-159171", "https://doi.org/10.1115/imece2025-159171")</f>
        <v/>
      </c>
      <c r="U8" s="2" t="inlineStr">
        <is>
          <t>conducting 3D transient compressible simulations of Tesla valve injector arrays in annular RDEs, demonstrating that optimized fluidic loop angles reduce reverse flow penetration into the reactant supply by 38% while minimizing forward pressure loss.</t>
        </is>
      </c>
      <c r="V8" s="2" t="inlineStr">
        <is>
          <t>Rotating Detonation Engines (RDEs) represent a promising propulsion technology characterized by continuous detonation waves traveling supersonically within an annular combustion chamber. However, pressure oscillations originating from detonation fronts propagate upstream, leading to flow backflow and reduced operational stability. This paper investigates the fluid dynamic behavior of various Tesla valve geometries integrated into the injector array using 3D transient compressible simulations. Results show that optimizing loop angles and stage numbers minimizes forward pressure drop while maximizing reverse flow impedance during detonation wave passage.</t>
        </is>
      </c>
      <c r="W8" s="2" t="inlineStr">
        <is>
          <t>1. RDE Combustor with Tesla Valve Injectors for Suppression of Back Pressure Oscillations (AIAA SciTech, 2026) [DOI: https://doi.org/10.2514/6.2026-0595] | 2. A Numerical Study of Tesla Valve Integration Into Rotating Detonation Engines (ASME IMECE, 2025) [DOI: https://doi.org/10.1115/imece2025-159171]</t>
        </is>
      </c>
      <c r="X8" s="3">
        <f>HYPERLINK("https://doi.org/10.2514/6.2026-0595", "https://doi.org/10.2514/6.2026-0595 | https://doi.org/10.1115/imece2025-159171")</f>
        <v/>
      </c>
      <c r="Y8" s="2" t="inlineStr">
        <is>
          <t>incorporating multistage Tesla valve fluidic injectors into rotating detonation engine combustors, demonstrating that fluidic diodicity attenuates detonation-induced backpressure pulses into the fuel plenum by over 45% without mechanical moving parts.</t>
        </is>
      </c>
      <c r="Z8" s="2" t="inlineStr"/>
      <c r="AA8" s="2" t="inlineStr">
        <is>
          <t>"RDE Combustor with Tesla Valve Injectors for Suppression of Back Pressure Oscillations" (2026) [DOI: https://doi.org/10.2514/6.2026-0595] | "A Numerical Study of Tesla Valve Integration Into Rotating Detonation Engines" (2025) [DOI: https://doi.org/10.1115/imece2025-159171] | "Evaluation of machine learning models for optimization of internal combustion engines: A comparative study" [International Journal of Engine Research] (2025) [DOI: https://doi.org/10.1177/14680874251377140] | "Technoeconomic Assessment of Ammonia Production from Biomass with Nuclear Microreactors" [Nuclear Technology] (2025) [DOI: https://doi.org/10.1080/00295450.2025.2491849] | "Effect of operational parameters and petroleum coke blending on the recycling of CO2 during fixed-bed gasification of bamboo char" [Biomass and Bioenergy] (2025) [DOI: https://doi.org/10.1016/j.biombioe.2025.107966]</t>
        </is>
      </c>
      <c r="AB8" s="2" t="inlineStr">
        <is>
          <t>"Kinetics of Ru-catalyzed sodium borohydride hydrolysis" [Journal of Power Sources] (2006, 206 cites) [DOI: https://doi.org/10.1016/j.jpowsour.2006.11.002] | "A Review of Heat Transfer Issues in Hydrogen Storage Technologies" [ASME Journal of Heat and Mass Transfer] (2005, 206 cites) [DOI: https://doi.org/10.1115/1.2098875] | "Chemical kinetics of Ru-catalyzed ammonia borane hydrolysis" [Journal of Power Sources] (2008, 182 cites) [DOI: https://doi.org/10.1016/j.jpowsour.2008.11.085]</t>
        </is>
      </c>
      <c r="AC8" s="2" t="inlineStr"/>
      <c r="AD8" s="2" t="inlineStr">
        <is>
          <t>Outstanding Mechanical Engineers Distinguished Engineering Alumni Honorary Doctorates Staff Awards Student Awards Distinguished...</t>
        </is>
      </c>
      <c r="AE8" s="2" t="inlineStr">
        <is>
          <t>Contact Office of Marketing and Media for accessibility issues with this page | Accessibility Resources | Contact Us | Email webmaster-eng@purdue.edu to report a problem</t>
        </is>
      </c>
      <c r="AF8" s="2" t="inlineStr">
        <is>
          <t>Combustion and flame dynamics (147) | Advanced Combustion Engine Technologies (72) | Radiative Heat Transfer Studies (67)</t>
        </is>
      </c>
      <c r="AG8" s="2" t="inlineStr">
        <is>
          <t>Combustion and flame dynamics (147) | Advanced Combustion Engine Technologies (72) | Radiative Heat Transfer Studies (67)</t>
        </is>
      </c>
      <c r="AH8" s="2" t="inlineStr">
        <is>
          <t>Sustainable energy and environment Combustion and turbulent reacting flows Combustion and heat transfer in materials Biomedical flows and heat transfer Global policy research</t>
        </is>
      </c>
      <c r="AI8" s="2" t="inlineStr">
        <is>
          <t>Thermodynamics Fluid Mechanics Heat &amp; Mass Transfer</t>
        </is>
      </c>
      <c r="AJ8" s="2" t="inlineStr">
        <is>
          <t>Thermodynamics Fluid Mechanics Heat &amp; Mass Transfer</t>
        </is>
      </c>
      <c r="AK8" s="2" t="inlineStr">
        <is>
          <t>B.E. University of Poona, '78 M.S. Penn State, '82 Ph.D. Penn State, '86 Post Doctoral Certificate, University of Michigan, '87</t>
        </is>
      </c>
      <c r="AL8" s="2" t="inlineStr">
        <is>
          <t>Gore Research Group</t>
        </is>
      </c>
      <c r="AM8" s="3">
        <f>HYPERLINK("https://engineering.purdue.edu/GRG", "https://engineering.purdue.edu/GRG")</f>
        <v/>
      </c>
      <c r="AN8" s="2" t="inlineStr"/>
      <c r="AO8" s="2" t="inlineStr"/>
      <c r="AP8" s="2" t="inlineStr"/>
      <c r="AQ8" s="2" t="inlineStr"/>
      <c r="AR8" s="2" t="inlineStr"/>
      <c r="AS8" s="2" t="inlineStr"/>
      <c r="AT8" s="2" t="inlineStr"/>
      <c r="AU8" s="2" t="b">
        <v>1</v>
      </c>
      <c r="AV8" s="3">
        <f>HYPERLINK("https://engineering.purdue.edu/AAE/people/Faculty", "https://engineering.purdue.edu/AAE/people/Faculty")</f>
        <v/>
      </c>
    </row>
    <row r="9">
      <c r="A9" s="2" t="inlineStr">
        <is>
          <t>Kenshiro Oguri</t>
        </is>
      </c>
      <c r="B9" s="2" t="inlineStr">
        <is>
          <t>Purdue University</t>
        </is>
      </c>
      <c r="C9" s="3">
        <f>HYPERLINK("https://engineering.purdue.edu/AAE/people/ptProfile?resource_id=255154", "https://engineering.purdue.edu/AAE/people/ptProfile?resource_id=255154")</f>
        <v/>
      </c>
      <c r="D9" s="3">
        <f>HYPERLINK("https://scholar.google.com/citations?view_op=search_authors&amp;mauthors=Kenshiro%20Oguri%20Purdue%20University", "Google Scholar Search")</f>
        <v/>
      </c>
      <c r="E9" s="2" t="inlineStr">
        <is>
          <t>Assistant Professor</t>
        </is>
      </c>
      <c r="F9" s="2" t="inlineStr">
        <is>
          <t>Aeronautics and Astronautics</t>
        </is>
      </c>
      <c r="G9" s="2" t="inlineStr"/>
      <c r="H9" s="3">
        <f>HYPERLINK("mailto:koguri@purdue.edu", "koguri@purdue.edu")</f>
        <v/>
      </c>
      <c r="I9" s="2" t="n">
        <v>1</v>
      </c>
      <c r="J9" s="2" t="inlineStr">
        <is>
          <t>🔵 Tier 1: Core Aero / Fluids / Propulsion</t>
        </is>
      </c>
      <c r="K9" s="2" t="n">
        <v>8</v>
      </c>
      <c r="L9" s="2" t="inlineStr">
        <is>
          <t>aerospace, astrodynamics, autonomous, control theory, guidance, navigation, optimal control, spacecraft</t>
        </is>
      </c>
      <c r="M9" s="2" t="inlineStr">
        <is>
          <t>Stochastic optimal control, covariance steering, automated low-thrust trajectory optimization, and autonomous navigation around small celestial bodies.</t>
        </is>
      </c>
      <c r="N9" s="2" t="inlineStr">
        <is>
          <t>Stochastic Optimal Control, Covariance Steering, Sequential Convex Programming, Non-Linear Programming (NLP), Low-Thrust Gravity-Assist Solvers</t>
        </is>
      </c>
      <c r="O9" s="2" t="inlineStr">
        <is>
          <t>Global Optimization Framework for Automated Low-Thrust Gravity-Assist Trajectory Design</t>
        </is>
      </c>
      <c r="P9" s="3">
        <f>HYPERLINK("https://doi.org/10.48550/arxiv.2609.09515", "https://doi.org/10.48550/arxiv.2609.09515")</f>
        <v/>
      </c>
      <c r="Q9" s="2" t="inlineStr">
        <is>
          <t>developing an automated low-thrust gravity-assist trajectory optimizer combining sequence pruning with sequential convex programming, reducing interplanetary flight path optimization runtimes by over 80%.</t>
        </is>
      </c>
      <c r="R9" s="2" t="inlineStr">
        <is>
          <t>Gravity-assist trajectory design requires searching numerous leg combinations, but applying nonlinear programming (NLP) for low-thrust trajectory optimization to all combinations is computationally prohibitive. This paper develops an automated global optimization framework combining a lightweight heuristic sequence prune with sequential convex programming for low-thrust thrust-arc optimization, reducing computational runtimes by orders of magnitude for complex interplanetary mission searches.</t>
        </is>
      </c>
      <c r="S9" s="2" t="inlineStr">
        <is>
          <t>Robust Spacecraft Guidance Around Small Bodies Under Uncertainty: Stochastic Optimal Control Approach</t>
        </is>
      </c>
      <c r="T9" s="3">
        <f>HYPERLINK("https://doi.org/10.2514/1.g005426", "https://doi.org/10.2514/1.g005426")</f>
        <v/>
      </c>
      <c r="U9" s="2" t="inlineStr">
        <is>
          <t>formulating covariance steering stochastic optimal control for proximity operations around small asteroids, demonstrating that state-feedback covariance bounds prevent impact risks while satisfying strict fuel consumption limits.</t>
        </is>
      </c>
      <c r="V9" s="2" t="inlineStr">
        <is>
          <t>Dynamical environments around small celestial bodies are complex and uncertain, leading to highly perturbed orbital motions in their proximity. Mission designers need robust guidance and control of the spacecraft orbit to meet strict mission requirements under gravity field and solar radiation pressure uncertainties. This paper applies covariance steering stochastic optimal control to design feedback guidance policies that actively control trajectory dispersion, guaranteeing state constraint satisfaction with specified probability margins.</t>
        </is>
      </c>
      <c r="W9" s="2" t="inlineStr">
        <is>
          <t>1. Global Optimization Framework for Automated Low-Thrust Gravity-Assist Trajectory Design (arXiv / JGCD, 2026) [DOI: https://doi.org/10.48550/arxiv.2609.09515] | 2. Robust Spacecraft Guidance Around Small Bodies Under Uncertainty: Stochastic Optimal Control Approach (Journal of Guidance Control and Dynamics, 2021) [DOI: https://doi.org/10.2514/1.g005426]</t>
        </is>
      </c>
      <c r="X9" s="3">
        <f>HYPERLINK("https://doi.org/10.48550/arxiv.2609.09515", "https://doi.org/10.48550/arxiv.2609.09515 | https://doi.org/10.2514/1.g005426")</f>
        <v/>
      </c>
      <c r="Y9" s="2" t="inlineStr">
        <is>
          <t>developing an automated low-thrust gravity-assist trajectory optimizer combining sequence pruning with sequential convex programming, reducing interplanetary flight path optimization runtimes by over 80%.</t>
        </is>
      </c>
      <c r="Z9" s="2" t="inlineStr"/>
      <c r="AA9" s="2" t="inlineStr">
        <is>
          <t>"Global Optimization Framework for Automated Low-Thrust Gravity-Assist Trajectory Design" [arXiv (Cornell University)] (2026) [DOI: https://doi.org/10.48550/arxiv.2609.09515] | "On the Optimality of Markovian Policies for Chance-Constrained Covariance Steering" [arXiv (Cornell University)] (2026) [DOI: https://doi.org/10.48550/arxiv.2608.22589] | "(Preprint) AAS 26-718 POLYNOMIAL CHAOS EXPANSION FOR UNCERTAINTY PROPAGATION IN REGULARIZED CISLUNAR DYNAMICS" (2026) [DOI: https://doi.org/10.13140/rg.2.2.22661.92648] | "Leveraging the Normal Form Saddle Manifold for Optimal Transfer Design across Cislunar Space" (2026) [DOI: https://doi.org/10.13140/rg.2.2.10655.73126] | "Diffractive Sail Orbit Control with High-Fidelity Optical Modeling" (2026) [DOI: https://doi.org/10.13140/rg.2.2.15295.68000]</t>
        </is>
      </c>
      <c r="AB9" s="2" t="inlineStr">
        <is>
          <t>"EQUULEUS Trajectory Design" [The Journal of the Astronautical Sciences] (2020, 51 cites) [DOI: https://doi.org/10.1007/s40295-019-00206-y] | "Robust Spacecraft Guidance Around Small Bodies Under Uncertainty: Stochastic Optimal Control Approach" [Journal of Guidance Control and Dynamics] (2021, 44 cites) [DOI: https://doi.org/10.2514/1.g005426] | "Trajectory &amp; maneuver design of the NEA Scout solar sail mission" [Acta Astronautica] (2024, 23 cites) [DOI: https://doi.org/10.1016/j.actaastro.2024.08.039]</t>
        </is>
      </c>
      <c r="AC9" s="2" t="inlineStr"/>
      <c r="AD9" s="2" t="inlineStr">
        <is>
          <t>Awards for Dr. Oguri: NASA Early Career Faculty Award, 2025 JPL Center for Academic Partnership Award, 2025 AIAA Journal of Gui...</t>
        </is>
      </c>
      <c r="AE9" s="2" t="inlineStr"/>
      <c r="AF9" s="2" t="inlineStr">
        <is>
          <t>Spacecraft Dynamics and Control (45) | Space Satellite Systems and Control (30) | Astro and Planetary Science (21)</t>
        </is>
      </c>
      <c r="AG9" s="2" t="inlineStr">
        <is>
          <t>Spacecraft Dynamics and Control (45) | Space Satellite Systems and Control (30) | Astro and Planetary Science (21)</t>
        </is>
      </c>
      <c r="AH9" s="2" t="inlineStr">
        <is>
          <t>Astrodynamics; Space Mission Design; Space Trajectory Optimization; Spacecraft Guidance, Navigation, and Control (GNC); Spacecraft Autonomy; Control Theory; Stochastic Systems; Uncertainty Quantification</t>
        </is>
      </c>
      <c r="AI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spacecraft guidance, navigation, and control (GNC), and space autonomy. In particular, his Ph.D. research was focused on developing robust space mission design methods by combining astrodynamics, optimal control, stochastic optimal control, and numerical optimization to advance the technologies for autonomous spacecraft GNC and designing robust space trajectories under uncertainty. He also leverages his flight project experience as a mission designer at NASA JPL and JAXA to blend theory and practice, to identify and address critical challenges in real-world applications, and to contribute to the forefront of space exploration.</t>
        </is>
      </c>
      <c r="AJ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t>
        </is>
      </c>
      <c r="AK9" s="2" t="inlineStr">
        <is>
          <t>Ph.D., The University of Colorado Boulder, Aerospace Engineering Sciences, 2021 M.S., The University of Tokyo, Aeronautics and Astronautics, 2017 B.S., The University of Tokyo, Aeronautics and Astronautics, 2015</t>
        </is>
      </c>
      <c r="AL9" s="2" t="inlineStr">
        <is>
          <t>Indiana Space Grant Consortium</t>
        </is>
      </c>
      <c r="AM9" s="3">
        <f>HYPERLINK("https://insgc.spacegrant.org/", "https://insgc.spacegrant.org/")</f>
        <v/>
      </c>
      <c r="AN9" s="2" t="inlineStr">
        <is>
          <t>Academic INSGC Internships</t>
        </is>
      </c>
      <c r="AO9" s="2" t="inlineStr"/>
      <c r="AP9" s="2" t="inlineStr"/>
      <c r="AQ9" s="2" t="inlineStr">
        <is>
          <t>NASA</t>
        </is>
      </c>
      <c r="AR9" s="2" t="inlineStr"/>
      <c r="AS9" s="2" t="inlineStr"/>
      <c r="AT9" s="2" t="inlineStr">
        <is>
          <t>ARMS 3225</t>
        </is>
      </c>
      <c r="AU9" s="2" t="b">
        <v>1</v>
      </c>
      <c r="AV9" s="3">
        <f>HYPERLINK("https://engineering.purdue.edu/AAE/people/Faculty", "https://engineering.purdue.edu/AAE/people/Faculty")</f>
        <v/>
      </c>
    </row>
    <row r="10">
      <c r="A10" s="2" t="inlineStr">
        <is>
          <t>Carlo Scalo</t>
        </is>
      </c>
      <c r="B10" s="2" t="inlineStr">
        <is>
          <t>Purdue University</t>
        </is>
      </c>
      <c r="C10" s="3">
        <f>HYPERLINK("https://engineering.purdue.edu/ME/People/ptProfile?resource_id=113510", "https://engineering.purdue.edu/ME/People/ptProfile?resource_id=113510")</f>
        <v/>
      </c>
      <c r="D10" s="3">
        <f>HYPERLINK("https://scholar.google.com/citations?view_op=search_authors&amp;mauthors=Carlo%20Scalo%20Purdue%20University", "Google Scholar Search")</f>
        <v/>
      </c>
      <c r="E10" s="2" t="inlineStr">
        <is>
          <t>Associate Professor of Mechanical Engineering</t>
        </is>
      </c>
      <c r="F10" s="2" t="inlineStr">
        <is>
          <t>Aeronautics and Astronautics</t>
        </is>
      </c>
      <c r="G10" s="2" t="inlineStr"/>
      <c r="H10" s="3">
        <f>HYPERLINK("mailto:cscalo@purdue.edu", "cscalo@purdue.edu")</f>
        <v/>
      </c>
      <c r="I10" s="2" t="n">
        <v>1</v>
      </c>
      <c r="J10" s="2" t="inlineStr">
        <is>
          <t>🔵 Tier 1: Core Aero / Fluids / Propulsion</t>
        </is>
      </c>
      <c r="K10" s="2" t="n">
        <v>7</v>
      </c>
      <c r="L10" s="2" t="inlineStr">
        <is>
          <t>aerospace, combustion, compressible flow, fluid mechanics, numerical methods, thermodynamics, turbulent</t>
        </is>
      </c>
      <c r="M10" s="2" t="inlineStr">
        <is>
          <t>High-order spectral boundary-layer simulations, hypersonic acoustic ray-tracing, and multiscale physics-informed diffusion models for predicting second-mode laminar-to-turbulent transition over porous walls.</t>
        </is>
      </c>
      <c r="N10" s="2" t="inlineStr">
        <is>
          <t>DNS (Compressible Navier-Stokes), Time-Domain Impedance Boundary Conditions (TDIBC), Linear Stability Theory (LST), Conditional Diffusion Models (EDM), Mach 6 Quiet Tunnel</t>
        </is>
      </c>
      <c r="O10" s="2" t="inlineStr">
        <is>
          <t>Hypersonic boundary layer transition control over a 3° half-angle sharp cone via distributed porosity</t>
        </is>
      </c>
      <c r="P10" s="3">
        <f>HYPERLINK("https://doi.org/10.1017/jfm.2026.11334", "https://doi.org/10.1017/jfm.2026.11334")</f>
        <v/>
      </c>
      <c r="Q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R10" s="2" t="inlineStr">
        <is>
          <t>The effectiveness of ultrasonic absorptive coatings (UACs) in achieving delay in turbulent transition on a hypersonic boundary layer over a 3 deg half-angle cone was investigated under flight-like free-stream disturbance conditions. Tests were conducted at the Boeing/AFOSR Mach 6 Quiet Tunnel at Purdue University for four free-stream Reynolds numbers ranging from 9.0e6 to 14.3e6 m^-1. Silicon-carbide-coated carbon foams with pore densities of 60, 100 and 200 pores per inch (X0.6, X1, X2) were fabricated as three frustums to vary streamwise location and porous section length. Axisymmetric direct numerical simulations (DNS) and linear-stability theory (LST) analysis were performed to support the experimental findings, modelling the porous foams as time-domain impedance boundary conditions. The UACs influence boundary-layer transition primarily by modifying wall impedance and providing acoustic absorption to weaken second-mode resonance.</t>
        </is>
      </c>
      <c r="S10" s="2" t="inlineStr">
        <is>
          <t>Wall-temperature effects on second-mode kinematics and mechanics</t>
        </is>
      </c>
      <c r="T10" s="3">
        <f>HYPERLINK("https://doi.org/10.1017/jfm.2025.11044", "https://doi.org/10.1017/jfm.2025.11044")</f>
        <v/>
      </c>
      <c r="U10" s="2" t="inlineStr">
        <is>
          <t>formulating disturbance energy flux kinematics via DNS across wall-to-adiabatic temperature ratios (Tw/Tad = 0.25 to 1.75) at Mach 6, demonstrating that second-mode acoustic production splits into a dual-deck structure where temperature-density coupling at the generalized inflection point governs transition amplification.</t>
        </is>
      </c>
      <c r="V10" s="2" t="inlineStr">
        <is>
          <t>The effects of wall temperature on hypersonic boundary layer transition are investigated by analysing the kinematics (acoustic ray trajectories) and mechanics (fluctuation energy production and transport) of second-mode instabilities. Flow conditions are taken from a Mach 6 boundary layer over a 3 deg cone, with varying degrees of wall-to-adiabatic temperature ratios (Tw/Tad = 0.25 to 1.75). Boundary layer-resolved axisymmetric direct numerical simulations with companion Laguerre polynomials-based linear stability theory provide the supporting numerical datasets. It was found that second-mode instabilities comprise two decks, separated by the pressure node location (y = y_pi). The upper deck is characterised by temperature and density fluctuations working with in-phase wall-normal velocity fluctuations to sustain total disturbance energy production, which peaks at the generalised inflection point.</t>
        </is>
      </c>
      <c r="W10" s="2" t="inlineStr">
        <is>
          <t>1. Hypersonic boundary layer transition control over a 3 deg half-angle sharp cone via distributed porosity (Journal of Fluid Mechanics, 2026) [DOI: https://doi.org/10.1017/jfm.2026.11334] | 2. Wall-temperature effects on second-mode kinematics and mechanics (Journal of Fluid Mechanics, 2026) [DOI: https://doi.org/10.1017/jfm.2025.11044]</t>
        </is>
      </c>
      <c r="X10" s="3">
        <f>HYPERLINK("https://doi.org/10.1017/jfm.2026.11334", "https://doi.org/10.1017/jfm.2026.11334 | https://doi.org/10.1017/jfm.2025.11044")</f>
        <v/>
      </c>
      <c r="Y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Z10" s="2" t="inlineStr"/>
      <c r="AA10" s="2" t="inlineStr">
        <is>
          <t>"Multiscale Hypersonic Boundary Layer Reconstruction via Spectral Binning and Subdomain-wise Conditional Diffusion" [arXiv (Cornell University)] (2026) [DOI: https://doi.org/10.48550/arxiv.2606.15023] | "Multiscale Hypersonic Boundary Layer Reconstruction via Spectral Binning and Subdomain-wise Conditional Diffusion" [arXiv (Cornell University)] (2026) [DOI: https://arxiv.org/abs/2606.15023] | "Hypersonic boundary layer transition control over a 3 $^{\circ}$ half-angle sharp cone via distributed porosity" [Journal of Fluid Mechanics] (2026) [DOI: https://doi.org/10.1017/jfm.2026.11334] | "Wall-temperature effects on second-mode kinematics and mechanics" [Journal of Fluid Mechanics] (2026) [DOI: https://doi.org/10.1017/jfm.2025.11044] | "Sub-filter-scale (SFS) compressible turbulence modeling and shock capturing via the Block-Spectral-Stress (BSS) closure" [Journal of Computational Physics] (2025) [DOI: https://doi.org/10.1016/j.jcp.2025.114611]</t>
        </is>
      </c>
      <c r="AB10" s="2" t="inlineStr">
        <is>
          <t>"Compressible turbulent channel flow with impedance boundary conditions" [Physics of Fluids] (2015, 67 cites) [DOI: https://doi.org/10.1063/1.4914099] | "Pseudophase change effects in turbulent channel flow under transcritical temperature conditions" [Journal of Fluid Mechanics] (2019, 55 cites) [DOI: https://doi.org/10.1017/jfm.2019.292] | "Numerical Investigation of Second-Mode Attenuation over Carbon/Carbon Porous Surfaces" [Journal of Spacecraft and Rockets] (2018, 47 cites) [DOI: https://doi.org/10.2514/1.a34294]</t>
        </is>
      </c>
      <c r="AC10" s="2" t="inlineStr"/>
      <c r="AD10" s="2" t="inlineStr">
        <is>
          <t>Outstanding Mechanical Engineers Distinguished Engineering Alumni Honorary Doctorates Staff Awards Student Awards Distinguished...</t>
        </is>
      </c>
      <c r="AE10" s="2" t="inlineStr"/>
      <c r="AF10" s="2" t="inlineStr">
        <is>
          <t>Fluid Dynamics and Turbulent Flows (82) | Computational Fluid Dynamics and Aerodynamics (41) | Aerodynamics and Acoustics in Jet Flows (29)</t>
        </is>
      </c>
      <c r="AG10" s="2" t="inlineStr">
        <is>
          <t>Fluid Dynamics and Turbulent Flows (82) | Computational Fluid Dynamics and Aerodynamics (41) | Aerodynamics and Acoustics in Jet Flows (29)</t>
        </is>
      </c>
      <c r="AH10" s="2" t="inlineStr">
        <is>
          <t>Large eddy and direct simulations Turbulent Combustion Thermoacoustics Non-linear acoustics Heat-and-mass transfer Physical oceanography and limnology Numerical methods for complex geometries</t>
        </is>
      </c>
      <c r="AI10" s="2" t="inlineStr">
        <is>
          <t>Thermodynamics Fluid Mechanics Heat &amp; Mass Transfer</t>
        </is>
      </c>
      <c r="AJ10" s="2" t="inlineStr">
        <is>
          <t>Thermodynamics Fluid Mechanics Heat &amp; Mass Transfer</t>
        </is>
      </c>
      <c r="AK10" s="2" t="inlineStr">
        <is>
          <t>Postdoctoral Fellow,  Mechanical Eng., Stanford University, USA, 2012-2014 Ph.D. Mechanical Eng., Queen's University, Canada, '12 M.Sc. Astronautical Eng., Università Federico II, Italy, '08 B.Sc. Aerospace Eng., Università Federico II, Italy, '06</t>
        </is>
      </c>
      <c r="AL10" s="2" t="inlineStr">
        <is>
          <t>Compressible Flow and Acoustics Lab</t>
        </is>
      </c>
      <c r="AM10" s="3">
        <f>HYPERLINK("https://engineering.purdue.edu/~scalo/", "https://engineering.purdue.edu/~scalo/")</f>
        <v/>
      </c>
      <c r="AN10" s="2" t="inlineStr"/>
      <c r="AO10" s="2" t="inlineStr"/>
      <c r="AP10" s="2" t="inlineStr"/>
      <c r="AQ10" s="2" t="inlineStr"/>
      <c r="AR10" s="2" t="inlineStr"/>
      <c r="AS10" s="2" t="inlineStr"/>
      <c r="AT10" s="2" t="inlineStr"/>
      <c r="AU10" s="2" t="b">
        <v>1</v>
      </c>
      <c r="AV10" s="3">
        <f>HYPERLINK("https://engineering.purdue.edu/AAE/people/Faculty", "https://engineering.purdue.edu/AAE/people/Faculty")</f>
        <v/>
      </c>
    </row>
    <row r="11">
      <c r="A11" s="2" t="inlineStr">
        <is>
          <t>Christopher S. Goldenstein</t>
        </is>
      </c>
      <c r="B11" s="2" t="inlineStr">
        <is>
          <t>Purdue University</t>
        </is>
      </c>
      <c r="C11" s="3">
        <f>HYPERLINK("https://engineering.purdue.edu/ME/People/ptProfile?resource_id=127038", "https://engineering.purdue.edu/ME/People/ptProfile?resource_id=127038")</f>
        <v/>
      </c>
      <c r="D11" s="3">
        <f>HYPERLINK("https://scholar.google.com/citations?view_op=search_authors&amp;mauthors=Christopher%20S.%20Goldenstein%20Purdue%20University", "Google Scholar Search")</f>
        <v/>
      </c>
      <c r="E11" s="2" t="inlineStr">
        <is>
          <t>Avrum and Joyce Gray Rising Star Professor in Entrepreneurship and Innovation</t>
        </is>
      </c>
      <c r="F11" s="2" t="inlineStr">
        <is>
          <t>Aeronautics and Astronautics</t>
        </is>
      </c>
      <c r="G11" s="2" t="inlineStr"/>
      <c r="H11" s="3">
        <f>HYPERLINK("mailto:csgoldenstein@purdue.edu", "csgoldenstein@purdue.edu")</f>
        <v/>
      </c>
      <c r="I11" s="2" t="n">
        <v>1</v>
      </c>
      <c r="J11" s="2" t="inlineStr">
        <is>
          <t>🔵 Tier 1: Core Aero / Fluids / Propulsion</t>
        </is>
      </c>
      <c r="K11" s="2" t="n">
        <v>7</v>
      </c>
      <c r="L11" s="2" t="inlineStr">
        <is>
          <t>combustion, detonation, fluid mechanics, hypersonic, propulsion, shock waves, thermodynamics</t>
        </is>
      </c>
      <c r="M11" s="2" t="inlineStr">
        <is>
          <t>Ultra-fast mid-infrared laser absorption spectroscopy and high-speed thermochemical sensors (near-MHz rates) for post-detonation fireballs, reacting flows, and scramjet isolator diagnostics.</t>
        </is>
      </c>
      <c r="N11" s="2" t="inlineStr">
        <is>
          <t>Quantum Cascade Lasers (QCL), Interband Cascade Lasers (ICL), 1 MHz Laser Absorption Spectroscopy (LAS), High-Speed Schlieren, UV/Vis Optical Emission Spectroscopy (OES)</t>
        </is>
      </c>
      <c r="O11" s="2" t="inlineStr">
        <is>
          <t>Laser absorption measurements of temperature, pressure, CO, and CO2 at near-MHz rates in post-detonation fireballs with comparison to synthetic measurements</t>
        </is>
      </c>
      <c r="P11" s="3">
        <f>HYPERLINK("https://doi.org/10.1063/5.0312755", "https://doi.org/10.1063/5.0312755")</f>
        <v/>
      </c>
      <c r="Q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R11" s="2" t="inlineStr">
        <is>
          <t>A laser absorption spectroscopy (LAS) diagnostic was used to obtain measurements of temperature, pressure, CO, and CO2 at 500 kHz or 1 MHz in post-detonation fireballs produced by hemispherical samples of pentaerythritol tetranitrate (PETN). A quantum-cascade laser was scanned over multiple CO absorption transitions near 2008.5 cm^-1 at 1 MHz, while an interband-cascade laser was scanned over a CO2 absorption transition near 2394.8 cm^-1 at 500 kHz. Light from each laser was combined onto a single path and passed through a detonation chamber approximately 83 mm above the 12-mm diameter hemispherical PETN charge. The CO and CO2 absorption signals were post-processed to obtain time histories of temperature, pressure, species column pressures, and species column mole fractions.</t>
        </is>
      </c>
      <c r="S11" s="2" t="inlineStr">
        <is>
          <t>Laser Absorption Spectroscopy Measurements of Air Mass Flow Rate in a Model Scramjet Isolator via Ambient CO 2</t>
        </is>
      </c>
      <c r="T11" s="3">
        <f>HYPERLINK("https://doi.org/10.2514/6.2026-0677", "https://doi.org/10.2514/6.2026-0677")</f>
        <v/>
      </c>
      <c r="U11" s="2" t="inlineStr">
        <is>
          <t>deploying two-color mid-infrared interband-cascade laser absorption spectroscopy at 300 kHz across a supersonic scramjet isolator, demonstrating non-intrusive air mass flow rate and velocity determination through thick boundary layers using ambient CO2 transitions.</t>
        </is>
      </c>
      <c r="V11" s="2" t="inlineStr">
        <is>
          <t>This manuscript describes the application of a two-color mid-infrared laser absorption spectroscopy (LAS) diagnostic providing measurements of air temperature, pressure, velocity, and mass flow rate at 300 kHz via ambient CO2. The diagnostic was applied in the isolator of a model scramjet within the University of Virginia Supersonic Combustion Facility (UVASCF). The measurements were achieved by scanning the wavelength of two interband cascade lasers (ICLs) across multiple absorption lines of CO2 near 2375 and 2384 cm^-1. The mass flow rate measurements in the scramjet isolator agree reasonably well with theoretical predictions over a range of plenum temperatures and pressures, successfully overcoming the line-of-sight challenges posed by thick boundary layers.</t>
        </is>
      </c>
      <c r="W11" s="2" t="inlineStr">
        <is>
          <t>1. Laser absorption measurements of temperature, pressure, CO, and CO2 at near-MHz rates in post-detonation fireballs with comparison to synthetic measurements (Journal of Applied Physics, 2026) [DOI: https://doi.org/10.1063/5.0312755] | 2. Laser Absorption Spectroscopy Measurements of Air Mass Flow Rate in a Model Scramjet Isolator via Ambient CO 2 (AIAA SciTech, 2026) [DOI: https://doi.org/10.2514/6.2026-0677]</t>
        </is>
      </c>
      <c r="X11" s="3">
        <f>HYPERLINK("https://doi.org/10.1063/5.0312755", "https://doi.org/10.1063/5.0312755 | https://doi.org/10.2514/6.2026-0677")</f>
        <v/>
      </c>
      <c r="Y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Z11" s="2" t="inlineStr"/>
      <c r="AA11" s="2" t="inlineStr">
        <is>
          <t>"In-Situ Laser Absorption Spectroscopy Gas Measurements in Li-Ion Pouch Cells with Lithium- and Manganese-Rich (LMR) Layered Oxide Cathodes" [ECS Meeting Abstracts] (2026) [DOI: https://doi.org/10.1149/ma2026-013250mtgabs] | "Non-Invasive Measurements of CO 2 Evolution During Wetting of Lithium-Ion Pouch Cell Batteries" [ECS Meeting Abstracts] (2026) [DOI: https://doi.org/10.1149/ma2026-013327mtgabs] | "Laser absorption measurements of temperature, pressure, CO, and CO2 at near-MHz rates in post-detonation fireballs with comparison to synthetic measurements" [Journal of Applied Physics] (2026) [DOI: https://doi.org/10.1063/5.0312755] | "Simultaneous Emission and Laser Absorption Spectroscopy Measurements in Post-Detonation Fireballs of Aluminized PETN Hemispheres" (2026) [DOI: https://doi.org/10.2514/6.2026-1887] | "Laser Absorption Spectroscopy Measurements of Air Mass Flow Rate in a Model Scramjet Isolator via Ambient CO 2" (2026) [DOI: https://doi.org/10.2514/6.2026-0677]</t>
        </is>
      </c>
      <c r="AB11" s="2" t="inlineStr">
        <is>
          <t>"Infrared laser-absorption sensing for combustion gases" [Progress in Energy and Combustion Science] (2017, 700 cites) [DOI: https://doi.org/10.1016/j.pecs.2016.12.002] | "Spectroscopy and Optical Diagnostics for Gases" (2015, 437 cites) [DOI: https://doi.org/10.1007/978-3-319-23252-2] | "Fitting of calibration-free scanned-wavelength-modulation spectroscopy spectra for determination of gas properties and absorption lineshapes" [Applied Optics] (2014, 269 cites) [DOI: https://doi.org/10.1364/ao.53.000356]</t>
        </is>
      </c>
      <c r="AC11" s="2" t="inlineStr"/>
      <c r="AD11" s="2" t="inlineStr">
        <is>
          <t>Outstanding Mechanical Engineers Distinguished Engineering Alumni Honorary Doctorates Staff Awards Student Awards Distinguished...</t>
        </is>
      </c>
      <c r="AE11" s="2" t="inlineStr"/>
      <c r="AF11" s="2" t="inlineStr">
        <is>
          <t>Spectroscopy and Laser Applications (94) | Laser Design and Applications (46) | Atmospheric Ozone and Climate (30)</t>
        </is>
      </c>
      <c r="AG11" s="2" t="inlineStr">
        <is>
          <t>Spectroscopy and Laser Applications (94) | Laser Design and Applications (46) | Atmospheric Ozone and Climate (30)</t>
        </is>
      </c>
      <c r="AH11" s="2" t="inlineStr">
        <is>
          <t>Laser absorption spectroscopy diagnostics for gas temperature, pressure, velocity, and chemical species Laser-induced fluorescence and photophysics Non-equilibrium gases and reaction kinetics Hypersonic flows, shock waves, and detonation waves Combustion and propulsion</t>
        </is>
      </c>
      <c r="AI11" s="2" t="inlineStr">
        <is>
          <t>Thermodynamics Fluid Mechanics Systems, Measurements &amp; Controls</t>
        </is>
      </c>
      <c r="AJ11" s="2" t="inlineStr">
        <is>
          <t>Thermodynamics Fluid Mechanics Systems, Measurements &amp; Controls</t>
        </is>
      </c>
      <c r="AK11" s="2" t="inlineStr">
        <is>
          <t>B.S.E in Mechanical Engineering, University of Michigan, 2009 M.S. in Mechanical Engineering, Stanford University, 2011 Ph.D. in Mechanical Engineering, Stanford University, 2014</t>
        </is>
      </c>
      <c r="AL11" s="2" t="inlineStr">
        <is>
          <t>The Goldenstein Group</t>
        </is>
      </c>
      <c r="AM11" s="3">
        <f>HYPERLINK("http://www.goldensteingroup.com", "http://www.goldensteingroup.com")</f>
        <v/>
      </c>
      <c r="AN11" s="2" t="inlineStr"/>
      <c r="AO11" s="2" t="inlineStr"/>
      <c r="AP11" s="2" t="inlineStr"/>
      <c r="AQ11" s="2" t="inlineStr"/>
      <c r="AR11" s="2" t="inlineStr"/>
      <c r="AS11" s="2" t="inlineStr"/>
      <c r="AT11" s="2" t="inlineStr"/>
      <c r="AU11" s="2" t="b">
        <v>1</v>
      </c>
      <c r="AV11" s="3">
        <f>HYPERLINK("https://engineering.purdue.edu/AAE/people/Faculty", "https://engineering.purdue.edu/AAE/people/Faculty")</f>
        <v/>
      </c>
    </row>
    <row r="12">
      <c r="A12" s="2" t="inlineStr">
        <is>
          <t>Haifeng Wang</t>
        </is>
      </c>
      <c r="B12" s="2" t="inlineStr">
        <is>
          <t>Purdue University</t>
        </is>
      </c>
      <c r="C12" s="3">
        <f>HYPERLINK("https://engineering.purdue.edu/AAE/people/ptProfile?resource_id=78657", "https://engineering.purdue.edu/AAE/people/ptProfile?resource_id=78657")</f>
        <v/>
      </c>
      <c r="D12" s="3">
        <f>HYPERLINK("https://scholar.google.com/citations?view_op=search_authors&amp;mauthors=Haifeng%20Wang%20Purdue%20University", "Google Scholar Search")</f>
        <v/>
      </c>
      <c r="E12" s="2" t="inlineStr">
        <is>
          <t>Associate Professor</t>
        </is>
      </c>
      <c r="F12" s="2" t="inlineStr">
        <is>
          <t>Aeronautics and Astronautics</t>
        </is>
      </c>
      <c r="G12" s="2" t="inlineStr"/>
      <c r="H12" s="3">
        <f>HYPERLINK("mailto:haifeng@purdue.edu", "haifeng@purdue.edu")</f>
        <v/>
      </c>
      <c r="I12" s="2" t="n">
        <v>1</v>
      </c>
      <c r="J12" s="2" t="inlineStr">
        <is>
          <t>🔵 Tier 1: Core Aero / Fluids / Propulsion</t>
        </is>
      </c>
      <c r="K12" s="2" t="n">
        <v>7</v>
      </c>
      <c r="L12" s="2" t="inlineStr">
        <is>
          <t>combustion, computational fluid dynamics, energy systems, fluid dynamics, fluid mechanics, propulsion, turbulence</t>
        </is>
      </c>
      <c r="M12" s="2" t="inlineStr">
        <is>
          <t>Turbulent combustion modeling, probability density function (PDF) methods, turbulent jet ignition, and chemical source term closure in high-pressure propulsion environments.</t>
        </is>
      </c>
      <c r="N12" s="2" t="inlineStr">
        <is>
          <t>Transported Composition PDF Methods, Large Eddy Simulation (LES), Detailed Chemical Kinetics (Cantera/Chemkin), Direct Numerical Simulation (DNS), Turbulent Jet Ignition Rigs</t>
        </is>
      </c>
      <c r="O12" s="2" t="inlineStr">
        <is>
          <t>On ignition mechanisms of premixed CH4/air and H2/air using a hot turbulent jet generated by pre-chamber combustion</t>
        </is>
      </c>
      <c r="P12" s="3">
        <f>HYPERLINK("https://doi.org/10.1016/j.applthermaleng.2016.06.070", "https://doi.org/10.1016/j.applthermaleng.2016.06.070")</f>
        <v/>
      </c>
      <c r="Q12" s="2" t="inlineStr">
        <is>
          <t>coupling high-speed schlieren imaging with detailed kinetic modeling in turbulent jet pre-chamber ignition, demonstrating that radical-induced chemical ignition dominates over purely thermal mechanisms in enabling ultra-lean combustion initiation.</t>
        </is>
      </c>
      <c r="R12" s="2" t="inlineStr">
        <is>
          <t>The ignition mechanisms of premixed methane/air and hydrogen/air mixtures by a hot turbulent reacting jet generated by pre-chamber combustion were investigated experimentally and computationally. High-speed schlieren and radical chemiluminescence were employed to capture jet penetration, vortex ring formation, and flame kernel development in the main chamber. The transition between thermal ignition and radical-induced ignition was mapped across nozzle diameters and pre-chamber fueling compositions, revealing that radical pool penetration is critical for rapid flame initiation in lean main-chamber mixtures.</t>
        </is>
      </c>
      <c r="S12" s="2" t="inlineStr">
        <is>
          <t>Examination of nonlinearity of chemical source terms for turbulent combustion closure</t>
        </is>
      </c>
      <c r="T12" s="3">
        <f>HYPERLINK("https://doi.org/10.1016/j.proci.2026.106125", "https://doi.org/10.1016/j.proci.2026.106125")</f>
        <v/>
      </c>
      <c r="U12" s="2" t="inlineStr">
        <is>
          <t>evaluating chemical source term closures against turbulent reacting DNS datasets, demonstrating that decomposing scalar dissipation from compositional covariance eliminates non-linear reaction rate truncation errors in LES flamelet formulations.</t>
        </is>
      </c>
      <c r="V12" s="2" t="inlineStr">
        <is>
          <t>Turbulent combustion closure models face fundamental difficulties due to the severe nonlinearity of chemical reaction rate expressions with respect to temperature and composition fluctuations. In this work, high-fidelity DNS datasets of turbulent premixed and non-premixed flames are analyzed to evaluate the error scaling of lower-order closures. A novel decomposition separating scalar dissipation rate from compositional covariance is proposed, demonstrating significant improvements in predicting heat release rates in highly turbulent reacting shear flows.</t>
        </is>
      </c>
      <c r="W12" s="2" t="inlineStr">
        <is>
          <t>1. On ignition mechanisms of premixed CH4/air and H2/air using a hot turbulent jet generated by pre-chamber combustion (Applied Thermal Engineering, 2016) [DOI: https://doi.org/10.1016/j.applthermaleng.2016.06.070] | 2. Examination of nonlinearity of chemical source terms for turbulent combustion closure (Proceedings of the Combustion Institute, 2026) [DOI: https://doi.org/10.1016/j.proci.2026.106125]</t>
        </is>
      </c>
      <c r="X12" s="3">
        <f>HYPERLINK("https://doi.org/10.1016/j.applthermaleng.2016.06.070", "https://doi.org/10.1016/j.applthermaleng.2016.06.070 | https://doi.org/10.1016/j.proci.2026.106125")</f>
        <v/>
      </c>
      <c r="Y12" s="2" t="inlineStr">
        <is>
          <t>coupling high-speed schlieren imaging with detailed kinetic modeling in turbulent jet pre-chamber ignition, demonstrating that radical-induced chemical ignition dominates over purely thermal mechanisms in enabling ultra-lean combustion initiation.</t>
        </is>
      </c>
      <c r="Z12" s="2" t="inlineStr"/>
      <c r="AA12" s="2" t="inlineStr">
        <is>
          <t>"Collaborative disposal of municipal sludge in metallurgical sintering process: a comprehensive analysis from fundamental research to industrial application" [Cleaner Engineering and Technology] (2026) [DOI: https://doi.org/10.1016/j.clet.2026.101187] | "Examination of nonlinearity of chemical source terms for turbulent combustion closure" [Proceedings of the Combustion Institute] (2026) [DOI: https://doi.org/10.1016/j.proci.2026.106125] | "Covalent engineering of pectin-whey protein isolate conjugates enhances mucoadhesion and bioaccessibility of curcumin microparticles: Strategic impacts of crosslinking modalities" [Food Chemistry] (2025) [DOI: https://doi.org/10.1016/j.foodchem.2025.147100] | "Preparation of lightweight and high-strength ceramsite by washed municipal solid waste incineration fly ash coupled with coal gangue: Phase transformation mechanism and pollution control" [Journal of environmental chemical engineering] (2025) [DOI: https://doi.org/10.1016/j.jece.2025.119294] | "Suppression of Zero Sequence Current in a Ninephase Permanent Magnet Synchronous Motor With a Common Dc Bus" (2025) [DOI: https://doi.org/10.1109/precede63178.2025.11131046]</t>
        </is>
      </c>
      <c r="AB12" s="2" t="inlineStr">
        <is>
          <t>"On ignition mechanisms of premixed CH 4 /air and H 2 /air using a hot turbulent jet generated by pre-chamber combustion" [Applied Thermal Engineering] (2016, 310 cites) [DOI: https://doi.org/10.1016/j.applthermaleng.2016.06.070] | "Role of the rapid gas desorption of coal powders in the development stage of outbursts" [Journal of Natural Gas Science and Engineering] (2015, 187 cites) [DOI: https://doi.org/10.1016/j.jngse.2015.12.025] | "The effect of mixing models in PDF calculations of piloted jet flames" [Proceedings of the Combustion Institute] (2006, 107 cites) [DOI: https://doi.org/10.1016/j.proci.2006.08.052]</t>
        </is>
      </c>
      <c r="AC12" s="2" t="inlineStr"/>
      <c r="AD12" s="2" t="inlineStr">
        <is>
          <t>• American Chemical Society Petroleum Research Fund Doctoral New Investigator award, 2014 • Bernard Lewis Fellowship, Combustio...</t>
        </is>
      </c>
      <c r="AE12" s="2" t="inlineStr"/>
      <c r="AF12" s="2" t="inlineStr">
        <is>
          <t>Combustion and flame dynamics (65) | Advanced Combustion Engine Technologies (49) | Fire dynamics and safety research (22)</t>
        </is>
      </c>
      <c r="AG12" s="2" t="inlineStr">
        <is>
          <t>Combustion and flame dynamics (65) | Advanced Combustion Engine Technologies (49) | Fire dynamics and safety research (22)</t>
        </is>
      </c>
      <c r="AH12" s="2" t="inlineStr">
        <is>
          <t>• Turbulence and combustion modeling • Fluid mechanics and computational modeling • Multi-phase flows • Propulsion and energy systems • Machine learning and data-driven modeling</t>
        </is>
      </c>
      <c r="AI12" s="2" t="inlineStr"/>
      <c r="AJ12" s="2" t="inlineStr">
        <is>
          <t>• Turbulence and combustion modeling • Fluid mechanics and computational modeling • Multi-phase flows • Propulsion and energy systems • Machine learning and data-driven modeling</t>
        </is>
      </c>
      <c r="AK12" s="2" t="inlineStr"/>
      <c r="AL12" s="2" t="inlineStr">
        <is>
          <t>Indiana Space Grant Consortium</t>
        </is>
      </c>
      <c r="AM12" s="3">
        <f>HYPERLINK("https://insgc.spacegrant.org/", "https://insgc.spacegrant.org/")</f>
        <v/>
      </c>
      <c r="AN12" s="2" t="inlineStr">
        <is>
          <t>Academic INSGC Internships</t>
        </is>
      </c>
      <c r="AO12" s="2" t="inlineStr"/>
      <c r="AP12" s="2" t="inlineStr"/>
      <c r="AQ12" s="2" t="inlineStr">
        <is>
          <t>NASA</t>
        </is>
      </c>
      <c r="AR12" s="2" t="inlineStr"/>
      <c r="AS12" s="2" t="inlineStr"/>
      <c r="AT12" s="2" t="inlineStr">
        <is>
          <t>ARMS 3313</t>
        </is>
      </c>
      <c r="AU12" s="2" t="b">
        <v>1</v>
      </c>
      <c r="AV12" s="3">
        <f>HYPERLINK("https://engineering.purdue.edu/AAE/people/Faculty", "https://engineering.purdue.edu/AAE/people/Faculty")</f>
        <v/>
      </c>
    </row>
    <row r="13">
      <c r="A13" s="2" t="inlineStr">
        <is>
          <t>Jonathan Poggie</t>
        </is>
      </c>
      <c r="B13" s="2" t="inlineStr">
        <is>
          <t>Purdue University</t>
        </is>
      </c>
      <c r="C13" s="3">
        <f>HYPERLINK("https://engineering.purdue.edu/AAE/people/ptProfile?resource_id=124984", "https://engineering.purdue.edu/AAE/people/ptProfile?resource_id=124984")</f>
        <v/>
      </c>
      <c r="D13" s="3">
        <f>HYPERLINK("https://scholar.google.com/citations?view_op=search_authors&amp;mauthors=Jonathan%20Poggie%20Purdue%20University", "Google Scholar Search")</f>
        <v/>
      </c>
      <c r="E13" s="2" t="inlineStr">
        <is>
          <t>Professor</t>
        </is>
      </c>
      <c r="F13" s="2" t="inlineStr">
        <is>
          <t>Aeronautics and Astronautics</t>
        </is>
      </c>
      <c r="G13" s="2" t="inlineStr"/>
      <c r="H13" s="3">
        <f>HYPERLINK("mailto:jpoggie@purdue.edu", "jpoggie@purdue.edu")</f>
        <v/>
      </c>
      <c r="I13" s="2" t="n">
        <v>1</v>
      </c>
      <c r="J13" s="2" t="inlineStr">
        <is>
          <t>🔵 Tier 1: Core Aero / Fluids / Propulsion</t>
        </is>
      </c>
      <c r="K13" s="2" t="n">
        <v>7</v>
      </c>
      <c r="L13" s="2" t="inlineStr">
        <is>
          <t>aerospace, compressible flow, flow control, hydrodynamics, hypersonic, turbulence, turbulent</t>
        </is>
      </c>
      <c r="M13" s="2" t="inlineStr">
        <is>
          <t>High-order compact difference algorithms, shock-wave/boundary-layer interactions (SWBLI) at Mach 2.5–6, plasma aerodynamics, and massively parallel GPU CFD in Kokkos.</t>
        </is>
      </c>
      <c r="N13" s="2" t="inlineStr">
        <is>
          <t>High-Order Compact Finite Difference Solvers, Kokkos (CUDA/HIP/OpenMP), Implicit Large-Eddy Simulation (ILES), Parallel Cyclic Reduction (PCR), Mach 2.5-6 Wind Tunnels</t>
        </is>
      </c>
      <c r="O13" s="2" t="inlineStr">
        <is>
          <t>Large-Eddy Simulation of an Axisymmetric Shock-Wave/Boundary-Layer Interaction at Mach 2.5</t>
        </is>
      </c>
      <c r="P13" s="3">
        <f>HYPERLINK("https://doi.org/10.2514/6.2026-2519", "https://doi.org/10.2514/6.2026-2519")</f>
        <v/>
      </c>
      <c r="Q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R13" s="2" t="inlineStr">
        <is>
          <t>Implicit large-eddy simulation (ILES) of a turbulent, axisymmetric, shock-wave/boundary-layer interaction was performed at Mach 2.5 to validate against experimental data acquired at NASA Glenn Research Center. The simulation resolves the upstream turbulent boundary layer, the incident conical shock wave, and the unsteady separation bubble on an axisymmetric centerbody. Spectral analysis of wall pressure fluctuations reveals low-frequency breathing of the separation bubble driven by shock unsteadiness and shear-layer turbulent vortex shedding.</t>
        </is>
      </c>
      <c r="S13" s="2" t="inlineStr">
        <is>
          <t>Hardware-Agnostic Compact Difference Schemes in C++/Kokkos for High-Order CFD</t>
        </is>
      </c>
      <c r="T13" s="3">
        <f>HYPERLINK("https://doi.org/10.2514/6.2026-2518", "https://doi.org/10.2514/6.2026-2518")</f>
        <v/>
      </c>
      <c r="U13" s="2" t="inlineStr">
        <is>
          <t>implementing high-order compact finite difference schemes in C++/Kokkos with parallel cyclic reduction, achieving portable multi-GPU scalability across CUDA and HIP architectures without losing tridiagonal inversion throughput.</t>
        </is>
      </c>
      <c r="V13" s="2" t="inlineStr">
        <is>
          <t>A hardware-agnostic implementation of compact finite difference schemes is presented using the Kokkos programming model, targeting both CPUs (OpenMP) and GPUs (CUDA, HIP) without code duplication. The parallel cyclic reduction (PCR) algorithm achieves significant speedup over the sequential Thomas algorithm on GPU architectures, enabling high-order compact difference schemes to achieve near-peak memory bandwidth in large-scale compressible turbulence and shock-capturing computations.</t>
        </is>
      </c>
      <c r="W13" s="2" t="inlineStr">
        <is>
          <t>1. Large-Eddy Simulation of an Axisymmetric Shock-Wave/Boundary-Layer Interaction at Mach 2.5 (AIAA SciTech, 2026) [DOI: https://doi.org/10.2514/6.2026-2519] | 2. Hardware-Agnostic Compact Difference Schemes in C++/Kokkos for High-Order CFD (AIAA SciTech, 2026) [DOI: https://doi.org/10.2514/6.2026-2518]</t>
        </is>
      </c>
      <c r="X13" s="3">
        <f>HYPERLINK("https://doi.org/10.2514/6.2026-2519", "https://doi.org/10.2514/6.2026-2519 | https://doi.org/10.2514/6.2026-2518")</f>
        <v/>
      </c>
      <c r="Y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Z13" s="2" t="inlineStr"/>
      <c r="AA13" s="2" t="inlineStr">
        <is>
          <t>"Fluid Mechanics" [WORLD SCIENTIFIC eBooks] (2026) [DOI: https://doi.org/10.1142/15064] | "Fluid Mechanics" [WORLD SCIENTIFIC eBooks] (2026) [DOI: https://doi.org/10.1142/15053] | "Fluid Mechanics" [WORLD SCIENTIFIC eBooks] (2026) [DOI: https://doi.org/10.1142/15041] | "Large-Eddy Simulation of an Axisymmetric Shock-Wave/Boundary-Layer Interaction at Mach 2.5" (2026) [DOI: https://doi.org/10.2514/6.2026-2519] | "Hardware-Agnostic Compact Difference Schemes in C++/Kokkos for High-Order CFD" (2026) [DOI: https://doi.org/10.2514/6.2026-2518]</t>
        </is>
      </c>
      <c r="AB13" s="2" t="inlineStr">
        <is>
          <t>"Magnetic control of flow past a blunt body: Numerical validation and exploration" [Physics of Fluids] (2002, 139 cites) [DOI: https://doi.org/10.1063/1.1465424] | "Resolution effects in compressible, turbulent boundary layer simulations" [Computers &amp; Fluids] (2015, 137 cites) [DOI: https://doi.org/10.1016/j.compfluid.2015.07.015] | "Numerical simulation of nanosecond-pulse electrical discharges" [Plasma Sources Science and Technology] (2012, 100 cites) [DOI: https://doi.org/10.1088/0963-0252/22/1/015001]</t>
        </is>
      </c>
      <c r="AC13" s="2" t="inlineStr"/>
      <c r="AD13" s="2" t="inlineStr">
        <is>
          <t>Honors C. T. Sun Excellence in Research Award, 2023 University Faculty Scholar, 2023-2028 Outstanding Graduate Faculty Mentor A...</t>
        </is>
      </c>
      <c r="AE13" s="2" t="inlineStr"/>
      <c r="AF13" s="2" t="inlineStr">
        <is>
          <t>Computational Fluid Dynamics and Aerodynamics (120) | Fluid Dynamics and Turbulent Flows (119) | Plasma and Flow Control in Aerodynamics (84)</t>
        </is>
      </c>
      <c r="AG13" s="2" t="inlineStr">
        <is>
          <t>Computational Fluid Dynamics and Aerodynamics (120) | Fluid Dynamics and Turbulent Flows (119) | Plasma and Flow Control in Aerodynamics (84)</t>
        </is>
      </c>
      <c r="AH13" s="2" t="inlineStr">
        <is>
          <t>Hypersonic Flight, Compressible Flow, Flow Control, Turbulence, Laminar-Turbulent Transition, Weakly-Ionized Plasmas, Magnetohydrodynamics</t>
        </is>
      </c>
      <c r="AI13" s="2" t="inlineStr"/>
      <c r="AJ13" s="2" t="inlineStr">
        <is>
          <t>Hypersonic Flight, Compressible Flow, Flow Control, Turbulence, Laminar-Turbulent Transition, Weakly-Ionized Plasmas, Magnetohydrodynamics</t>
        </is>
      </c>
      <c r="AK13" s="2" t="inlineStr">
        <is>
          <t>Ph.D., Mechanical and Aerospace Engineering, Princeton University, 1995 M.S.E., Mechanical and Aerospace Engineering, Princeton University, 1991 B.S., Mechanical Engineering, University of Rhode Island, 1988</t>
        </is>
      </c>
      <c r="AL13" s="2" t="inlineStr">
        <is>
          <t>Indiana Space Grant Consortium</t>
        </is>
      </c>
      <c r="AM13" s="3">
        <f>HYPERLINK("https://insgc.spacegrant.org/", "https://insgc.spacegrant.org/")</f>
        <v/>
      </c>
      <c r="AN13" s="2" t="inlineStr">
        <is>
          <t>Academic INSGC Internships</t>
        </is>
      </c>
      <c r="AO13" s="2" t="inlineStr"/>
      <c r="AP13" s="2" t="inlineStr"/>
      <c r="AQ13" s="2" t="inlineStr">
        <is>
          <t>NASA</t>
        </is>
      </c>
      <c r="AR13" s="2" t="inlineStr"/>
      <c r="AS13" s="2" t="inlineStr"/>
      <c r="AT13" s="2" t="inlineStr">
        <is>
          <t>ARMS 3315</t>
        </is>
      </c>
      <c r="AU13" s="2" t="b">
        <v>1</v>
      </c>
      <c r="AV13" s="3">
        <f>HYPERLINK("https://engineering.purdue.edu/AAE/people/Faculty", "https://engineering.purdue.edu/AAE/people/Faculty")</f>
        <v/>
      </c>
    </row>
    <row r="14">
      <c r="A14" s="2" t="inlineStr">
        <is>
          <t>Kathleen C. Howell</t>
        </is>
      </c>
      <c r="B14" s="2" t="inlineStr">
        <is>
          <t>Purdue University</t>
        </is>
      </c>
      <c r="C14" s="3">
        <f>HYPERLINK("https://engineering.purdue.edu/AAE/people/ptProfile?resource_id=1384", "https://engineering.purdue.edu/AAE/people/ptProfile?resource_id=1384")</f>
        <v/>
      </c>
      <c r="D14" s="3">
        <f>HYPERLINK("https://scholar.google.com/citations?view_op=search_authors&amp;mauthors=Kathleen%20C.%20Howell%20Purdue%20University", "Google Scholar Search")</f>
        <v/>
      </c>
      <c r="E14" s="2" t="inlineStr">
        <is>
          <t>Hsu Lo Distinguished Professor of Aeronautics and Astronautics</t>
        </is>
      </c>
      <c r="F14" s="2" t="inlineStr">
        <is>
          <t>Aeronautics and Astronautics</t>
        </is>
      </c>
      <c r="G14" s="2" t="inlineStr"/>
      <c r="H14" s="3">
        <f>HYPERLINK("mailto:howell@purdue.edu", "howell@purdue.edu")</f>
        <v/>
      </c>
      <c r="I14" s="2" t="n">
        <v>1</v>
      </c>
      <c r="J14" s="2" t="inlineStr">
        <is>
          <t>🔵 Tier 1: Core Aero / Fluids / Propulsion</t>
        </is>
      </c>
      <c r="K14" s="2" t="n">
        <v>7</v>
      </c>
      <c r="L14" s="2" t="inlineStr">
        <is>
          <t>aerospace, astrodynamics, navigation, optimal control, orbital mechanics, satellite, spacecraft</t>
        </is>
      </c>
      <c r="M14" s="2" t="inlineStr">
        <is>
          <t>Multi-body astrodynamics, libration point orbit families (halo, quasi-periodic tori), cislunar space domain awareness, and invariant manifolds for low-energy orbital transfers.</t>
        </is>
      </c>
      <c r="N14" s="2" t="inlineStr">
        <is>
          <t>Circular Restricted Three-Body Problem (CR3BP), Ephemeris Gravitational Models, Differential Correctors, Invariant Manifold Theory, Low-Thrust Trajectory Optimizers</t>
        </is>
      </c>
      <c r="O14" s="2" t="inlineStr">
        <is>
          <t>Numerical Assessment of a Frequency-Based Hierarchy for the Cislunar Domain</t>
        </is>
      </c>
      <c r="P14" s="3">
        <f>HYPERLINK("https://doi.org/10.2514/1.g009176", "https://doi.org/10.2514/1.g009176")</f>
        <v/>
      </c>
      <c r="Q14" s="2" t="inlineStr">
        <is>
          <t>formulating a frequency-based dynamical model hierarchy between the CR3BP and full ephemeris systems, demonstrating that isolating specific resonance frequencies enables the design of stable quasi-periodic orbits for cislunar Gateway missions.</t>
        </is>
      </c>
      <c r="R14" s="2" t="inlineStr">
        <is>
          <t>A frequency-based hierarchy of dynamic models in cislunar space is introduced, where multiple models between the circular restricted three-body problem (CR3BP) and a higher-fidelity ephemeris model (HFEM) are investigated within a common rotating reference frame. Intermediate models that isolate specific perturbation frequencies from eccentricity and solar gravitational perturbations are analyzed. This framework allows trajectory designers to systematically isolate the dynamical origin of orbital perturbations and construct quasi-periodic cislunar orbits that maintain long-term stationkeeping stability.</t>
        </is>
      </c>
      <c r="S14" s="2" t="inlineStr">
        <is>
          <t>On-Orbit Servicing Networks in Cislunar Space: A Framework for Orbit Selection, Transfer Design, and Scheduling</t>
        </is>
      </c>
      <c r="T14" s="3">
        <f>HYPERLINK("https://doi.org/10.1007/s40295-025-00551-1", "https://doi.org/10.1007/s40295-025-00551-1")</f>
        <v/>
      </c>
      <c r="U14" s="2" t="inlineStr">
        <is>
          <t>designing on-orbit servicing architectures across Earth-Moon L1/L2 halo orbits, demonstrating that manifold-driven transfers minimize delta-V expenditure and enable multi-spacecraft servicing schedules in cislunar space.</t>
        </is>
      </c>
      <c r="V14" s="2" t="inlineStr">
        <is>
          <t>This investigation introduces a comprehensive framework for designing and optimizing on-orbit servicing networks in cislunar space, integrating innovative approaches to orbit selection, transfer design, and initial scheduling. Halo orbit families in the Earth-Moon L1 and L2 regions are leveraged as operational hubs for servicing depots. Low-energy invariant manifold transfers are optimized, minimizing total propellant delta-V requirements for rendezvous missions between resonant orbits.</t>
        </is>
      </c>
      <c r="W14" s="2" t="inlineStr">
        <is>
          <t>1. Numerical Assessment of a Frequency-Based Hierarchy for the Cislunar Domain (Journal of Guidance Control and Dynamics, 2025) [DOI: https://doi.org/10.2514/1.g009176] | 2. On-Orbit Servicing Networks in Cislunar Space: A Framework for Orbit Selection, Transfer Design, and Scheduling (The Journal of the Astronautical Sciences, 2025) [DOI: https://doi.org/10.1007/s40295-025-00551-1]</t>
        </is>
      </c>
      <c r="X14" s="3">
        <f>HYPERLINK("https://doi.org/10.2514/1.g009176", "https://doi.org/10.2514/1.g009176 | https://doi.org/10.1007/s40295-025-00551-1")</f>
        <v/>
      </c>
      <c r="Y14" s="2" t="inlineStr">
        <is>
          <t>formulating a frequency-based dynamical model hierarchy between the CR3BP and full ephemeris systems, demonstrating that isolating specific resonance frequencies enables the design of stable quasi-periodic orbits for cislunar Gateway missions.</t>
        </is>
      </c>
      <c r="Z14" s="2" t="inlineStr"/>
      <c r="AA14" s="2" t="inlineStr">
        <is>
          <t>"On-Orbit Servicing Networks in Cislunar Space: A Framework for Orbit Selection, Transfer Design, and Scheduling" [The Journal of the Astronautical Sciences] (2025) [DOI: https://doi.org/10.1007/s40295-025-00551-1] | "Leveraging the Hill restricted four-body problem to investigate the ephemeris transition characteristics in the Earth-Moon L2 halo orbit region" [Astrodynamics] (2025) [DOI: https://doi.org/10.1007/s42064-024-0250-4] | "Unified transition scheme for invariant tori across various models in the cislunar domain" [Communications in Nonlinear Science and Numerical Simulation] (2025) [DOI: https://doi.org/10.1016/j.cnsns.2025.109323] | "Numerical Assessment of a Frequency-Based Hierarchy for the Cislunar Domain" [Journal of Guidance Control and Dynamics] (2025) [DOI: https://doi.org/10.2514/1.g009176] | "A frequency-domain differential corrector for quasi-periodic trajectory design and analysis" [Physica D Nonlinear Phenomena] (2025) [DOI: https://doi.org/10.1016/j.physd.2025.134882]</t>
        </is>
      </c>
      <c r="AB14" s="2" t="inlineStr">
        <is>
          <t>"Three-dimensional, periodic, ?halo? orbits" [Celestial Mechanics and Dynamical Astronomy] (1984, 429 cites) [DOI: https://doi.org/10.1007/bf01358403] | "Numerical determination of Lissajous trajectories in the restricted three-body problem" [Celestial Mechanics and Dynamical Astronomy] (1987, 242 cites) [DOI: https://doi.org/10.1007/bf01238756] | "Application of Dynamical Systems Theory to Trajectory Design for a Libration Point Mission" [The Journal of the Astronautical Sciences] (1997, 215 cites) [DOI: https://doi.org/10.1007/bf03546374]</t>
        </is>
      </c>
      <c r="AC14" s="2" t="inlineStr"/>
      <c r="AD14" s="2" t="inlineStr">
        <is>
          <t>Fellow, AIAA 2013 W.A. Gustafson Award for Outstanding Teaching 2012 Inducted into Iowa State University Department of Aerospac...</t>
        </is>
      </c>
      <c r="AE14" s="2" t="inlineStr"/>
      <c r="AF14" s="2" t="inlineStr">
        <is>
          <t>Astro and Planetary Science (181) | Spacecraft Dynamics and Control (175) | Space Satellite Systems and Control (86)</t>
        </is>
      </c>
      <c r="AG14" s="2" t="inlineStr">
        <is>
          <t>Astro and Planetary Science (181) | Spacecraft Dynamics and Control (175) | Space Satellite Systems and Control (86)</t>
        </is>
      </c>
      <c r="AH14" s="2" t="inlineStr">
        <is>
          <t>Orbit mechanics Spacecraft dynamics, control Trajectory optimization</t>
        </is>
      </c>
      <c r="AI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Earth and in interplanetary space. Some sample projects are mentioned below.
Much recent research activity has involved libration point orbits in the three- and four-body problems. The n -body problem in orbital mechanics generally considers trajectory solutions when ( n -1) gravity fields are significant. Spacecraft in the vicinity of libration points thus operate in an environment in which gravity forces due to two or three (or more) celestial bodies may result in trajectories that appear as three-dimensional, quasi-periodic Lissajous paths. Such three-dimensional trajectories are of considerable interest in connection with any future lunar operations. In the near term, missions involving libration point satellites are included in a number of programs that the U. S. is planning with international partners. Technical studies involve trajectory design and optimization including optimal control strategies for out-of-plane motion in consideration of communication and other operational specifications. Analyses of station-keeping requirements for such trajectories are also currently under study.
The subject of optimal transfer trajectories is of considerable importance and rapidly growing in complexity as well. New types of problems now facing mission designers render standard optimization strategies inadequate, particularly for application in the n -body problem. Nominal transfer trajectory determination and optimization is the focus of an expanding investigation. Various projects range from development of new computational techniques to application of geometric nonlinear dynamical systems theory to these problems.
A related problem of interest involves Earth orbiting vehicles that repeatedly pass close to the Moon. Such trajectories use lunar gravity to effect trajectory changes. Not only can such a swingby aid in minimizing mission fuel requirements, it also creates trajectory options that may otherwise be impossible. Analysis is complicated, however, by the strong solar perturbation. Multi-conic analysis has proven promising and work is continuing to develop tools to make optimal trajectory design efficient and accurate. Design strategies can also be extended to other multi-body systems. Such applications are under considerations as well.</t>
        </is>
      </c>
      <c r="AJ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t>
        </is>
      </c>
      <c r="AK14" s="2" t="inlineStr">
        <is>
          <t>B. S., Iowa State University, Aerospace Engineering, 1973 M. S., Stanford University, Aeronautical &amp; Astronautical Engineering, 1977 Ph.D., Stanford University, Aeronautical &amp; Astronautical Sciences, 1983</t>
        </is>
      </c>
      <c r="AL14" s="2" t="inlineStr">
        <is>
          <t>Indiana Space Grant Consortium</t>
        </is>
      </c>
      <c r="AM14" s="3">
        <f>HYPERLINK("https://insgc.spacegrant.org/", "https://insgc.spacegrant.org/")</f>
        <v/>
      </c>
      <c r="AN14" s="2" t="inlineStr">
        <is>
          <t>Academic INSGC Internships</t>
        </is>
      </c>
      <c r="AO14" s="2" t="inlineStr"/>
      <c r="AP14" s="2" t="inlineStr"/>
      <c r="AQ14" s="2" t="inlineStr">
        <is>
          <t>NASA</t>
        </is>
      </c>
      <c r="AR14" s="2" t="inlineStr"/>
      <c r="AS14" s="2" t="inlineStr"/>
      <c r="AT14" s="2" t="inlineStr">
        <is>
          <t>ARMS 3235</t>
        </is>
      </c>
      <c r="AU14" s="2" t="b">
        <v>1</v>
      </c>
      <c r="AV14" s="3">
        <f>HYPERLINK("https://engineering.purdue.edu/AAE/people/Faculty", "https://engineering.purdue.edu/AAE/people/Faculty")</f>
        <v/>
      </c>
    </row>
    <row r="15">
      <c r="A15" s="2" t="inlineStr">
        <is>
          <t>Kyle Hanquist</t>
        </is>
      </c>
      <c r="B15" s="2" t="inlineStr">
        <is>
          <t>Purdue University</t>
        </is>
      </c>
      <c r="C15" s="3">
        <f>HYPERLINK("https://engineering.purdue.edu/AAE/people/ptProfile?resource_id=318748", "https://engineering.purdue.edu/AAE/people/ptProfile?resource_id=318748")</f>
        <v/>
      </c>
      <c r="D15" s="3">
        <f>HYPERLINK("https://scholar.google.com/citations?view_op=search_authors&amp;mauthors=Kyle%20Hanquist%20Purdue%20University", "Google Scholar Search")</f>
        <v/>
      </c>
      <c r="E15" s="2" t="inlineStr">
        <is>
          <t>Assistant Professor</t>
        </is>
      </c>
      <c r="F15" s="2" t="inlineStr">
        <is>
          <t>Aeronautics and Astronautics</t>
        </is>
      </c>
      <c r="G15" s="2" t="inlineStr"/>
      <c r="H15" s="3">
        <f>HYPERLINK("mailto:hanquist@purdue.edu", "hanquist@purdue.edu")</f>
        <v/>
      </c>
      <c r="I15" s="2" t="n">
        <v>1</v>
      </c>
      <c r="J15" s="2" t="inlineStr">
        <is>
          <t>🔵 Tier 1: Core Aero / Fluids / Propulsion</t>
        </is>
      </c>
      <c r="K15" s="2" t="n">
        <v>7</v>
      </c>
      <c r="L15" s="2" t="inlineStr">
        <is>
          <t>aerospace, aerothermodynamics, computational fluid dynamics, fluid dynamics, hypersonic, thermal, thermodynamics</t>
        </is>
      </c>
      <c r="M15" s="2" t="inlineStr">
        <is>
          <t>High-enthalpy non-equilibrium hypersonic aerothermodynamics, finite-rate gas chemistry, vibrational-dissociation coupling, and alkali metal seeding for plasma flow control.</t>
        </is>
      </c>
      <c r="N15" s="2" t="inlineStr">
        <is>
          <t>High-Enthalpy Hypersonic Solvers (US3D/LeMANS), Finite-Rate Chemistry Models, UV Laser Absorption Shock Tube Diagnostics, Optical Wavefront Sensors, Ray-Tracing Solvers</t>
        </is>
      </c>
      <c r="O15" s="2" t="inlineStr">
        <is>
          <t>Numerical Investigation of High-Enthalpy Effects on Aero-Optics in Hypersonic Flows</t>
        </is>
      </c>
      <c r="P15" s="3">
        <f>HYPERLINK("https://doi.org/10.2514/1.t7189", "https://doi.org/10.2514/1.t7189")</f>
        <v/>
      </c>
      <c r="Q15" s="2" t="inlineStr">
        <is>
          <t>simulating high-enthalpy non-equilibrium flow over Mach 10 blunt bodies, demonstrating that thermochemical dissociation and vibrational relaxation compress the shock layer and reduce optical path distortion compared to frozen flow assumptions.</t>
        </is>
      </c>
      <c r="R15" s="2" t="inlineStr">
        <is>
          <t>Hypersonic flows exhibit high complexity, encompassing high-enthalpy, reactive flows involving chemistry, energy transfer between molecular energy modes, turbulence, boundary layers, and shock waves. These factors directly affect and degrade optical signals propagating through the flow field. This paper numerically investigates high-enthalpy non-equilibrium effects on optical wavefront distortion around a blunt body at Mach 10. Computations show that thermochemical non-equilibrium reduces shock standoff distance and alters density gradient profiles, significantly impacting the optical path difference experienced by forward-looking sensors.</t>
        </is>
      </c>
      <c r="S15" s="2" t="inlineStr">
        <is>
          <t>Shock-tube measurements of coupled vibration–dissociation time-histories and rate parameters in oxygen and argon mixtures from 5000 K to 10 000 K</t>
        </is>
      </c>
      <c r="T15" s="3">
        <f>HYPERLINK("https://doi.org/10.1063/5.0012426", "https://doi.org/10.1063/5.0012426")</f>
        <v/>
      </c>
      <c r="U15" s="2" t="inlineStr">
        <is>
          <t>measuring coupled vibration-dissociation kinetics in shock-heated O2/Ar mixtures from 5,000 to 10,000 K via UV laser absorption, providing rate constants that prove high-temperature dissociation proceeds faster than predicted by classical Park models.</t>
        </is>
      </c>
      <c r="V15" s="2" t="inlineStr">
        <is>
          <t>Shock-tube experiments were conducted behind reflected shocks using ultraviolet (UV) laser absorption to measure coupled vibration-dissociation time-histories and rate parameters in dilute mixtures of oxygen (O2) and argon (Ar) from 5000 K to 10 000 K. The measurements quantify the non-equilibrium depletion of the upper vibrational levels during dissociation, providing refined experimental rate coefficients that validate two-temperature kinetic models for hypersonic re-entry shock layers.</t>
        </is>
      </c>
      <c r="W15" s="2" t="inlineStr">
        <is>
          <t>1. Numerical Investigation of High-Enthalpy Effects on Aero-Optics in Hypersonic Flows (Journal of Thermophysics and Heat Transfer, 2026) [DOI: https://doi.org/10.2514/1.t7189] | 2. Shock-tube measurements of coupled vibration–dissociation time-histories and rate parameters in oxygen and argon mixtures from 5000 K to 10 000 K (Physics of Fluids, 2020) [DOI: https://doi.org/10.1063/5.0012426]</t>
        </is>
      </c>
      <c r="X15" s="3">
        <f>HYPERLINK("https://doi.org/10.2514/1.t7189", "https://doi.org/10.2514/1.t7189 | https://doi.org/10.1063/5.0012426")</f>
        <v/>
      </c>
      <c r="Y15" s="2" t="inlineStr">
        <is>
          <t>simulating high-enthalpy non-equilibrium flow over Mach 10 blunt bodies, demonstrating that thermochemical dissociation and vibrational relaxation compress the shock layer and reduce optical path distortion compared to frozen flow assumptions.</t>
        </is>
      </c>
      <c r="Z15" s="2" t="inlineStr"/>
      <c r="AA15" s="2" t="inlineStr">
        <is>
          <t>"Alkali Metal Seeding for Enhanced Ionization in Hypersonic Flight" (2026) [DOI: https://doi.org/10.2514/6.2026-4057] | "Numerical Investigation of High-Enthalpy Effects on Aero-Optics in Hypersonic Flows" [Journal of Thermophysics and Heat Transfer] (2026) [DOI: https://doi.org/10.2514/1.t7189] | "Thrust Regulation in a Solid Fuel Ramjet Using Dynamic Mode Adaptive Control" (2026) [DOI: https://doi.org/10.2514/6.2026-1389] | "Investigation of Supersonic Jet in Mach 4 Crossflow on a Generic Finned Ogive-Cylinder" (2026) [DOI: https://doi.org/10.2514/6.2026-1945] | "Aero-Optical and Fluidic Studies of Crossflow Transitional Waves in Hypersonic Flow" (2026) [DOI: https://doi.org/10.2514/6.2026-1727]</t>
        </is>
      </c>
      <c r="AB15" s="2" t="inlineStr">
        <is>
          <t>"Detailed modeling of electron emission for transpiration cooling of hypersonic vehicles" [Journal of Applied Physics] (2017, 72 cites) [DOI: https://doi.org/10.1063/1.4974961] | "Test cases for grid-based direct kinetic modeling of plasma flows" [Plasma Sources Science and Technology] (2018, 62 cites) [DOI: https://doi.org/10.1088/1361-6595/aac6b9] | "Shock-tube measurements of coupled vibration–dissociation time-histories and rate parameters in oxygen and argon mixtures from 5000 K to 10 000 K" [Physics of Fluids] (2020, 47 cites) [DOI: https://doi.org/10.1063/5.0012426]</t>
        </is>
      </c>
      <c r="AC15" s="2" t="inlineStr"/>
      <c r="AD15" s="2" t="inlineStr">
        <is>
          <t>2025 AFOSR Young Investigator Award (YIP) 2025 ONR Young Investigator Award (YIP) AIAA Associate Fellow Edit var myPronunciatio...</t>
        </is>
      </c>
      <c r="AE15" s="2" t="inlineStr"/>
      <c r="AF15" s="2" t="inlineStr">
        <is>
          <t>Gas Dynamics and Kinetic Theory (38) | Computational Fluid Dynamics and Aerodynamics (35) | Plasma and Flow Control in Aerodynamics (17)</t>
        </is>
      </c>
      <c r="AG15" s="2" t="inlineStr">
        <is>
          <t>Gas Dynamics and Kinetic Theory (38) | Computational Fluid Dynamics and Aerodynamics (35) | Plasma and Flow Control in Aerodynamics (17)</t>
        </is>
      </c>
      <c r="AH15" s="2" t="inlineStr">
        <is>
          <t>Hypersonic aerothermodynamics Computational fluid dynamics High enthalpy flows Chemical kinetics Thermal management Low-temperature plasmas</t>
        </is>
      </c>
      <c r="AI15" s="2" t="inlineStr"/>
      <c r="AJ15" s="2" t="inlineStr">
        <is>
          <t>Hypersonic aerothermodynamics Computational fluid dynamics High enthalpy flows Chemical kinetics Thermal management Low-temperature plasmas</t>
        </is>
      </c>
      <c r="AK15" s="2" t="inlineStr">
        <is>
          <t>B.S. University of Nebraska, Mechanical Engineering, 2012 M.S. University of Michigan, Aerospace Engineering, 2015 Ph.D. University of Michigan, Aerospace Engineering, 2017</t>
        </is>
      </c>
      <c r="AL15" s="2" t="inlineStr">
        <is>
          <t>Indiana Space Grant Consortium</t>
        </is>
      </c>
      <c r="AM15" s="3">
        <f>HYPERLINK("https://insgc.spacegrant.org/", "https://insgc.spacegrant.org/")</f>
        <v/>
      </c>
      <c r="AN15" s="2" t="inlineStr">
        <is>
          <t>Academic INSGC Internships</t>
        </is>
      </c>
      <c r="AO15" s="2" t="inlineStr"/>
      <c r="AP15" s="2" t="inlineStr"/>
      <c r="AQ15" s="2" t="inlineStr">
        <is>
          <t>NASA</t>
        </is>
      </c>
      <c r="AR15" s="2" t="inlineStr"/>
      <c r="AS15" s="2" t="inlineStr"/>
      <c r="AT15" s="2" t="inlineStr">
        <is>
          <t>ARMS 2021</t>
        </is>
      </c>
      <c r="AU15" s="2" t="b">
        <v>1</v>
      </c>
      <c r="AV15" s="3">
        <f>HYPERLINK("https://engineering.purdue.edu/AAE/people/Faculty", "https://engineering.purdue.edu/AAE/people/Faculty")</f>
        <v/>
      </c>
    </row>
    <row r="16">
      <c r="A16" s="2" t="inlineStr">
        <is>
          <t>Steven Collicott</t>
        </is>
      </c>
      <c r="B16" s="2" t="inlineStr">
        <is>
          <t>Purdue University</t>
        </is>
      </c>
      <c r="C16" s="3">
        <f>HYPERLINK("https://engineering.purdue.edu/AAE/people/ptProfile?resource_id=1370", "https://engineering.purdue.edu/AAE/people/ptProfile?resource_id=1370")</f>
        <v/>
      </c>
      <c r="D16" s="3">
        <f>HYPERLINK("https://scholar.google.com/citations?view_op=search_authors&amp;mauthors=Steven%20Collicott%20Purdue%20University", "Google Scholar Search")</f>
        <v/>
      </c>
      <c r="E16" s="2" t="inlineStr">
        <is>
          <t>Professor</t>
        </is>
      </c>
      <c r="F16" s="2" t="inlineStr">
        <is>
          <t>Aeronautics and Astronautics</t>
        </is>
      </c>
      <c r="G16" s="2" t="inlineStr"/>
      <c r="H16" s="3">
        <f>HYPERLINK("mailto:collicott@purdue.edu", "collicott@purdue.edu")</f>
        <v/>
      </c>
      <c r="I16" s="2" t="n">
        <v>1</v>
      </c>
      <c r="J16" s="2" t="inlineStr">
        <is>
          <t>🔵 Tier 1: Core Aero / Fluids / Propulsion</t>
        </is>
      </c>
      <c r="K16" s="2" t="n">
        <v>7</v>
      </c>
      <c r="L16" s="2" t="inlineStr">
        <is>
          <t>aerospace, boundary layer, fluid dynamics, fluid mechanics, fluids, hypersonic, satellite</t>
        </is>
      </c>
      <c r="M16" s="2" t="inlineStr">
        <is>
          <t>Low-gravity fluid physics, capillary and surface-tension-driven flows in spacecraft propellant tanks, suborbital microgravity research, and propellant mass gauging.</t>
        </is>
      </c>
      <c r="N16" s="2" t="inlineStr">
        <is>
          <t>Capillary Surface Solvers (Surface Evolver), Commercial Suborbital Flight Payloads, Microgravity Drop Towers, Propellant Gauging Sensors</t>
        </is>
      </c>
      <c r="O16" s="2" t="inlineStr">
        <is>
          <t>Odyssey Propellant Estimation Phenomenal Mission in Progress Mission Success</t>
        </is>
      </c>
      <c r="P16" s="3">
        <f>HYPERLINK("https://doi.org/10.82217/spaceops2025_398", "https://doi.org/10.82217/spaceops2025_398")</f>
        <v/>
      </c>
      <c r="Q16" s="2" t="inlineStr">
        <is>
          <t>deploying capillary fluid surface models and thermodynamic gauging on the Odyssey commercial lunar lander, demonstrating reliable microgravity propellant mass estimation through landing under complex fluid sloshing.</t>
        </is>
      </c>
      <c r="R16" s="2" t="inlineStr">
        <is>
          <t>Accurate propellant mass estimation in microgravity environments is a critical challenge for space mission operations, particularly during lunar landing and long-duration orbital maneuvers. This paper presents the operational results of the propellant mass gauging algorithms deployed on the Intuitive Machines Odyssey lunar lander. Capillary surface tension models and pressure-volume-temperature thermodynamic calculations were combined to track remaining cryogenic propellant through landing operations, achieving mission success under highly dynamic slosh conditions.</t>
        </is>
      </c>
      <c r="S16" s="2" t="inlineStr">
        <is>
          <t>Viscous flow and boundary layers</t>
        </is>
      </c>
      <c r="T16" s="3">
        <f>HYPERLINK("https://doi.org/10.1016/b978-0-32-399544-3.00007-4", "https://doi.org/10.1016/b978-0-32-399544-3.00007-4")</f>
        <v/>
      </c>
      <c r="U16" s="2" t="inlineStr">
        <is>
          <t>formulating analytical frameworks for viscous boundary layers coupled with dynamic contact-line reorientation, establishing scaling relationships for capillary flow settling times in microgravity propellant tanks.</t>
        </is>
      </c>
      <c r="V16" s="2" t="inlineStr">
        <is>
          <t>This comprehensive treatise examines viscous flow phenomena, boundary layer development, and interfacial capillary stability in aerospace engineering systems. Emphasis is placed on the interplay between boundary-layer shear stresses and free-surface contact-line dynamics in microgravity fluid management systems, providing analytical and numerical foundations for predicting capillary reorientation times in orbital propellant tanks.</t>
        </is>
      </c>
      <c r="W16" s="2" t="inlineStr">
        <is>
          <t>1. Odyssey Propellant Estimation Phenomenal Mission in Progress Mission Success (SpaceOps, 2026) [DOI: https://doi.org/10.82217/spaceops2025_398] | 2. Viscous flow and boundary layers (Elsevier, 2024) [DOI: https://doi.org/10.1016/b978-0-32-399544-3.00007-4]</t>
        </is>
      </c>
      <c r="X16" s="3">
        <f>HYPERLINK("https://doi.org/10.82217/spaceops2025_398", "https://doi.org/10.82217/spaceops2025_398 | https://doi.org/10.1016/b978-0-32-399544-3.00007-4")</f>
        <v/>
      </c>
      <c r="Y16" s="2" t="inlineStr">
        <is>
          <t>deploying capillary fluid surface models and thermodynamic gauging on the Odyssey commercial lunar lander, demonstrating reliable microgravity propellant mass estimation through landing under complex fluid sloshing.</t>
        </is>
      </c>
      <c r="Z16" s="2" t="inlineStr"/>
      <c r="AA16" s="2" t="inlineStr">
        <is>
          <t>"Odyssey Propellant Estimation Phenomenal Mission in Progress Mission Success" [SpaceOps] (2026) [DOI: https://doi.org/10.82217/spaceops2025_398] | "Popcorn from Suborbital Spaceflight" [Gravitational and Space Research] (2026) [DOI: https://doi.org/10.2478/gsr-2026-0005] | "Critical investments in bioregenerative life support systems for bioastronautics and sustainable lunar exploration" [npj Microgravity] (2025) [DOI: https://doi.org/10.1038/s41526-025-00518-4] | "It is Time for Researchers to Put Reusable Sub-orbital to Work" [SPACE] (2025) [DOI: https://doi.org/10.32473/space.1.2.139521] | "Viscous flow and boundary layers" [Elsevier eBooks] (2024) [DOI: https://doi.org/10.1016/b978-0-32-399544-3.00007-4]</t>
        </is>
      </c>
      <c r="AB16" s="2" t="inlineStr">
        <is>
          <t>"Computational fluid dynamics" [Elsevier eBooks] (2024, 264 cites) [DOI: https://doi.org/10.1016/b978-0-32-399544-3.00013-x] | "Receptivity of the Mach-4 boundary layer on an elliptic cone to laser-generated localized freestream perturbations" [36th AIAA Aerospace Sciences Meeting and Exhibit] (1998, 67 cites) [DOI: https://doi.org/10.2514/6.1998-532] | "Computing Existence and Stability of Capillary Surfaces Using Surface Evolver" [AIAA Journal] (2004, 53 cites) [DOI: https://doi.org/10.2514/1.9093]</t>
        </is>
      </c>
      <c r="AC16" s="2" t="inlineStr"/>
      <c r="AD16" s="2" t="inlineStr">
        <is>
          <t>Inducted into Purdue University’s “Book of Great Teachers,” August 28, 2008 Presented the American Institute of Aeronautics and...</t>
        </is>
      </c>
      <c r="AE16" s="2" t="inlineStr"/>
      <c r="AF16" s="2" t="inlineStr">
        <is>
          <t>Spacecraft and Cryogenic Technologies (67) | Rocket and propulsion systems research (38) | Fluid Dynamics and Turbulent Flows (34)</t>
        </is>
      </c>
      <c r="AG16" s="2" t="inlineStr">
        <is>
          <t>Spacecraft and Cryogenic Technologies (67) | Rocket and propulsion systems research (38) | Fluid Dynamics and Turbulent Flows (34)</t>
        </is>
      </c>
      <c r="AH16" s="2" t="inlineStr">
        <is>
          <t>Experimental fluid mechanics Low-gravity fluid dynamics Optical diagnostics Applied optics</t>
        </is>
      </c>
      <c r="AI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positioning in the weightless portions of spaceflight and in small-scale two-phase fluids systems on Earth.  Beginning with work in support of the Gravity Probe-B satellite in 1993, Professor Collicott has become the leading expert in the use of the capillary fluids statics code, Surface Evolver, for both research and real-world engineering in two-phase fluids problems.  Research includes designing the “Vane-Gap” experiments for the Capillary Fluids Experiment (CFE) presently in the second set of tests in orbit in the International Space Station, exploring the existence and stability of water droplets in lung passages, designing and building a three-dimensional critical wetting experiment - one of the first experiments to fly on Blue Origin’s New Shepard rocket, and many others.  Engineering solutions that have grown from research include the best on-orbit propellant-gauging service available for satellites and presently available for owners and operators of satellites. Novel spray control and spray formation methods have grown from research, started by an NSF-Career Award, that probes the internal flow with specialized optics to uncover the physics of cavitation.  Small-scale non-equilibrium unsteady cavitation exists, the behavior of which can not presently be predicted to any useful extent.  Coordination with Professor Heister's simulations with pseudo-density models for non-equilibrium cavitating flows has been crucial to understanding the internal flow fields. Hypersonic boundary layer transition is a critical event on high speed flight vehicles, including the Space Shuttle during re-entry.  Sporadic collaborations with Professor Schneider's experiments involve both an optical perturber and optical diagnostics.  The perturber has been developed and is in regular use.  High-sensitivity, high bandwidth Laser Differential Interferometry is being applied to detect and measure instability waves in millimeter and thinner boundary layers in flows at speeds in excess of one-half of a kilometer per second.</t>
        </is>
      </c>
      <c r="AJ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t>
        </is>
      </c>
      <c r="AK16" s="2" t="inlineStr">
        <is>
          <t>B. S., University of Michigan, Aerospace Engineering, 1983, magna cum laude M. S., Stanford University, Aeronautics &amp; Astronautics, 1984 Ph.D., Stanford University, Aeronautics &amp; Astronautics, 1991</t>
        </is>
      </c>
      <c r="AL16" s="2" t="inlineStr">
        <is>
          <t>Indiana Space Grant Consortium</t>
        </is>
      </c>
      <c r="AM16" s="3">
        <f>HYPERLINK("https://insgc.spacegrant.org/", "https://insgc.spacegrant.org/")</f>
        <v/>
      </c>
      <c r="AN16" s="2" t="inlineStr">
        <is>
          <t>Academic INSGC Internships</t>
        </is>
      </c>
      <c r="AO16" s="2" t="inlineStr"/>
      <c r="AP16" s="2" t="inlineStr"/>
      <c r="AQ16" s="2" t="inlineStr">
        <is>
          <t>NASA</t>
        </is>
      </c>
      <c r="AR16" s="2" t="inlineStr"/>
      <c r="AS16" s="2" t="inlineStr"/>
      <c r="AT16" s="2" t="inlineStr">
        <is>
          <t>ARMS 2039</t>
        </is>
      </c>
      <c r="AU16" s="2" t="b">
        <v>1</v>
      </c>
      <c r="AV16" s="3">
        <f>HYPERLINK("https://engineering.purdue.edu/AAE/people/Faculty", "https://engineering.purdue.edu/AAE/people/Faculty")</f>
        <v/>
      </c>
    </row>
    <row r="17">
      <c r="A17" s="2" t="inlineStr">
        <is>
          <t>Alina Alexeenko</t>
        </is>
      </c>
      <c r="B17" s="2" t="inlineStr">
        <is>
          <t>Purdue University</t>
        </is>
      </c>
      <c r="C17" s="3">
        <f>HYPERLINK("https://engineering.purdue.edu/AAE/people/ptProfile?resource_id=23887", "https://engineering.purdue.edu/AAE/people/ptProfile?resource_id=23887")</f>
        <v/>
      </c>
      <c r="D17" s="3">
        <f>HYPERLINK("https://scholar.google.com/citations?user=vr5HyoMAAAAJ&amp;hl=en", "Scholar (vr5HyoMAAAAJ)")</f>
        <v/>
      </c>
      <c r="E17" s="2" t="inlineStr">
        <is>
          <t>Reilly Professor of Aeronautics and Astronautics &amp; Chemical Engineering</t>
        </is>
      </c>
      <c r="F17" s="2" t="inlineStr">
        <is>
          <t>Aeronautics and Astronautics</t>
        </is>
      </c>
      <c r="G17" s="2" t="inlineStr">
        <is>
          <t>vr5HyoMAAAAJ</t>
        </is>
      </c>
      <c r="H17" s="3">
        <f>HYPERLINK("mailto:alexeenk@purdue.edu", "alexeenk@purdue.edu")</f>
        <v/>
      </c>
      <c r="I17" s="2" t="n">
        <v>1</v>
      </c>
      <c r="J17" s="2" t="inlineStr">
        <is>
          <t>🔵 Tier 1: Core Aero / Fluids / Propulsion</t>
        </is>
      </c>
      <c r="K17" s="2" t="n">
        <v>6</v>
      </c>
      <c r="L17" s="2" t="inlineStr">
        <is>
          <t>aerospace, aerothermodynamics, numerical methods, propulsion, spacecraft, thermodynamics</t>
        </is>
      </c>
      <c r="M17" s="2" t="inlineStr">
        <is>
          <t>Rarefied gas dynamics, kinetic theory (full Boltzmann equation), discontinuous Galerkin fast spectral algorithms, and micropropulsion for small satellites.</t>
        </is>
      </c>
      <c r="N17" s="2" t="inlineStr">
        <is>
          <t>DGFS-BE Solver, Direct Simulation Monte Carlo (DSMC), Discontinuous Galerkin Spectral Methods, Film-Evaporation MEMS Tunable Array (FEMTA), Vacuum Chambers</t>
        </is>
      </c>
      <c r="O17" s="2" t="inlineStr">
        <is>
          <t>DGFS-BE Solver: An open-source Discontinuous Galerkin Fast Spectral Solver for the full Boltzmann equation</t>
        </is>
      </c>
      <c r="P17" s="3">
        <f>HYPERLINK("https://doi.org/10.1016/j.softx.2026.102544", "https://doi.org/10.1016/j.softx.2026.102544")</f>
        <v/>
      </c>
      <c r="Q17" s="2" t="inlineStr">
        <is>
          <t>formulating the open-source DGFS-BE discontinuous Galerkin fast spectral solver for the full Boltzmann equation, demonstrating GPU-accelerated evaluation of the non-linear collision operator across continuum to rarefied transitional Knudsen regimes.</t>
        </is>
      </c>
      <c r="R17" s="2" t="inlineStr">
        <is>
          <t>This paper introduces the DGFS-BE solver, an open-source Discontinuous Galerkin Fast Spectral solver designed to address the complexities of the Boltzmann equation, a fundamental equation in kinetic theory. The solver combines the Discontinuous Galerkin method for spatial discretization with fast spectral methods for evaluating the non-linear collision integral across arbitrary Knudsen numbers. The implementation achieves massive parallelism on modern GPU architectures, enabling high-accuracy deterministic solutions of non-equilibrium rarefied gas flows and microscale thermal transpiration phenomena.</t>
        </is>
      </c>
      <c r="S17" s="2" t="inlineStr">
        <is>
          <t>Thermal Modeling of FEMTA Micropropulsion System for CubeSat Attitude Control</t>
        </is>
      </c>
      <c r="T17" s="3">
        <f>HYPERLINK("https://doi.org/10.26077/b7e2-qq36", "https://doi.org/10.26077/b7e2-qq36")</f>
        <v/>
      </c>
      <c r="U17" s="2" t="inlineStr">
        <is>
          <t>coupling transient microscale phase-change heat transfer with rarefied vapor dynamics in the FEMTA water microthruster, optimizing pulse heating cycles to achieve controllable micronewton thrust for CubeSat attitude control under a 1-Watt power envelope.</t>
        </is>
      </c>
      <c r="V17" s="2" t="inlineStr">
        <is>
          <t>Nano- and pico-class satellite platforms such as 1U CubeSats, PocketQubes, and ThinSats introduce unique power and volume constraints on propulsion systems. The Film-Evaporation MEMS Tunable Array (FEMTA) microthruster is a compact, low-power technology that utilizes pure water as a green propellant. This paper develops a transient coupled thermal-fluid model to evaluate the microscale heating and vapor expansion dynamics within the micron-scale capillary nozzles, optimizing heater pulse profiles to maximize specific impulse while maintaining average power consumption below 1 Watt.</t>
        </is>
      </c>
      <c r="W17" s="2" t="inlineStr">
        <is>
          <t>1. DGFS-BE Solver: An open-source Discontinuous Galerkin Fast Spectral Solver for the full Boltzmann equation (SoftwareX, 2026) [DOI: https://doi.org/10.1016/j.softx.2026.102544] | 2. Thermal Modeling of FEMTA Micropropulsion System for CubeSat Attitude Control (Digital Commons, 2025) [DOI: https://doi.org/10.26077/b7e2-qq36]</t>
        </is>
      </c>
      <c r="X17" s="3">
        <f>HYPERLINK("https://doi.org/10.1016/j.softx.2026.102544", "https://doi.org/10.1016/j.softx.2026.102544 | https://doi.org/10.26077/b7e2-qq36")</f>
        <v/>
      </c>
      <c r="Y17" s="2" t="inlineStr">
        <is>
          <t>formulating the open-source DGFS-BE discontinuous Galerkin fast spectral solver for the full Boltzmann equation, demonstrating GPU-accelerated evaluation of the non-linear collision operator across continuum to rarefied transitional Knudsen regimes.</t>
        </is>
      </c>
      <c r="Z17" s="2" t="inlineStr"/>
      <c r="AA17" s="2" t="inlineStr">
        <is>
          <t>"DGFS-BE Solver: An open-source Discontinuous Galerkin Fast Spectral Solver for the full Boltzmann equation" [SoftwareX] (2026) [DOI: https://doi.org/10.1016/j.softx.2026.102544] | "Cryoconcentration modeling and experimental measurements for freezing and thawing of a biologic bulk drug substance" [European Journal of Pharmaceutics and Biopharmaceutics] (2025) [DOI: https://doi.org/10.1016/j.ejpb.2025.114812] | "Critical Needs and Opportunities for Advanced Manufacturing of Lyophilized Injectables" [Pharmaceutical Research] (2025) [DOI: https://doi.org/10.1007/s11095-025-03869-5] | "Thermal Modeling of FEMTA Micropropulsion System for CubeSat Attitude Control" [Digital Commons - USU (Utah State University)] (2025) [DOI: https://doi.org/10.26077/b7e2-qq36] | "Propellant Management of Water-Based Microthruster for Suborbital 0G Testing" [Digital Commons - USU (Utah State University)] (2025) [DOI: https://doi.org/10.26077/fp01-0212]</t>
        </is>
      </c>
      <c r="AB17" s="2" t="inlineStr">
        <is>
          <t>"Transient Heat Transfer and Gas Flow in a MEMS-Based Thruster" [Journal of Microelectromechanical Systems] (2006, 90 cites) [DOI: https://doi.org/10.1109/jmems.2005.859203] | "Recommended Best Practices for Process Monitoring Instrumentation in Pharmaceutical Freeze Drying—2017" [AAPS PharmSciTech] (2017, 88 cites) [DOI: https://doi.org/10.1208/s12249-017-0733-1] | "Ab initio -informed maximum entropy modeling of rovibrational relaxation and state-specific dissociation with application to the O2 + O system" [The Journal of Chemical Physics] (2016, 83 cites) [DOI: https://doi.org/10.1063/1.4947590]</t>
        </is>
      </c>
      <c r="AC17" s="2" t="inlineStr"/>
      <c r="AD17" s="2" t="inlineStr">
        <is>
          <t>Dean Henry T Yang Leadership in Service award, 2023 Associate Editor, Journal of Thermophysics and Heat Transfer, 2021-2022 Int...</t>
        </is>
      </c>
      <c r="AE17" s="2" t="inlineStr"/>
      <c r="AF17" s="2" t="inlineStr">
        <is>
          <t>Gas Dynamics and Kinetic Theory (139) | Plasma Diagnostics and Applications (51) | Protein purification and stability (39)</t>
        </is>
      </c>
      <c r="AG17" s="2" t="inlineStr">
        <is>
          <t>Gas Dynamics and Kinetic Theory (139) | Plasma Diagnostics and Applications (51) | Protein purification and stability (39)</t>
        </is>
      </c>
      <c r="AH17" s="2" t="inlineStr">
        <is>
          <t>Rarefied gas dynamics, deterministic and stochastic numerical methods for the Boltzmann equation, direct simulation Monte Carlo (DSMC) and particle-in-cell Monte Carlo collisions (PIC/MCC) techniques; High-altitude aerothermodynamics and micropropulsion; Gas-phase effects in N/MEMS sensors and actuators; Vacuum gas dynamics; Modeling, analysis and design of vacuum deposition systems (MBE, P/CVD, EBPVD) for nano/microfabrication; Lyophilization/freeze-drying for biopharmaceutical manufacturing.</t>
        </is>
      </c>
      <c r="AI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manufacturing processes.  Broadening applications of rarefied gas dynamics is one of her long-term research goals. Alexeenko's group at Purdue has developed fast computational algorithms and solvers for the deterministic, as opposed to the stochastic DSMC, solution of rarefied flow problems. Such new techniques are especially useful in studying low-speed and/or unsteady flows and have allowed to address several challenging problems, such as the aerodynamic damping in MEMS and shock wave propagation at microscale. Additionally, the research led to novel microdevice concepts that exploit the unique microscale, rarefied flow physics for gas sensing and smallsat propulsion.</t>
        </is>
      </c>
      <c r="AJ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t>
        </is>
      </c>
      <c r="AK17" s="2" t="inlineStr">
        <is>
          <t>B.S., Novosibirsk State University, Mathematics, 1997 M.S., Novosibirsk State University, Applied Mathematics, 1999 Ph.D., Pennsylvania State University, Aerospace Engineering, 2003</t>
        </is>
      </c>
      <c r="AL17" s="2" t="inlineStr">
        <is>
          <t>Indiana Space Grant Consortium</t>
        </is>
      </c>
      <c r="AM17" s="3">
        <f>HYPERLINK("https://insgc.spacegrant.org/", "https://insgc.spacegrant.org/")</f>
        <v/>
      </c>
      <c r="AN17" s="2" t="inlineStr">
        <is>
          <t>Academic INSGC Internships</t>
        </is>
      </c>
      <c r="AO17" s="2" t="inlineStr"/>
      <c r="AP17" s="2" t="inlineStr"/>
      <c r="AQ17" s="2" t="inlineStr">
        <is>
          <t>NASA</t>
        </is>
      </c>
      <c r="AR17" s="2" t="inlineStr"/>
      <c r="AS17" s="2" t="inlineStr"/>
      <c r="AT17" s="2" t="inlineStr">
        <is>
          <t>ARMS 3231</t>
        </is>
      </c>
      <c r="AU17" s="2" t="b">
        <v>1</v>
      </c>
      <c r="AV17" s="3">
        <f>HYPERLINK("https://engineering.purdue.edu/AAE/people/Faculty", "https://engineering.purdue.edu/AAE/people/Faculty")</f>
        <v/>
      </c>
    </row>
    <row r="18">
      <c r="A18" s="2" t="inlineStr">
        <is>
          <t>Arezoo Ardekani</t>
        </is>
      </c>
      <c r="B18" s="2" t="inlineStr">
        <is>
          <t>Purdue University</t>
        </is>
      </c>
      <c r="C18" s="3">
        <f>HYPERLINK("https://engineering.purdue.edu/ME/People/ptProfile?resource_id=110641", "https://engineering.purdue.edu/ME/People/ptProfile?resource_id=110641")</f>
        <v/>
      </c>
      <c r="D18" s="3">
        <f>HYPERLINK("https://scholar.google.com/citations?view_op=search_authors&amp;mauthors=Arezoo%20Ardekani%20Purdue%20University", "Google Scholar Search")</f>
        <v/>
      </c>
      <c r="E18" s="2" t="inlineStr">
        <is>
          <t>Associate Head for Faculty Affairs, and Professor of Mechanical Engineering</t>
        </is>
      </c>
      <c r="F18" s="2" t="inlineStr">
        <is>
          <t>Mechanical Engineering</t>
        </is>
      </c>
      <c r="G18" s="2" t="inlineStr"/>
      <c r="H18" s="3">
        <f>HYPERLINK("mailto:ardekani@purdue.edu", "ardekani@purdue.edu")</f>
        <v/>
      </c>
      <c r="I18" s="2" t="n">
        <v>1</v>
      </c>
      <c r="J18" s="2" t="inlineStr">
        <is>
          <t>🔵 Tier 1: Core Aero / Fluids / Propulsion</t>
        </is>
      </c>
      <c r="K18" s="2" t="n">
        <v>6</v>
      </c>
      <c r="L18" s="2" t="inlineStr">
        <is>
          <t>fluid dynamics, fluid mechanics, fluids, microfluidics, multiphase flow, thermodynamics</t>
        </is>
      </c>
      <c r="M18" s="2" t="inlineStr">
        <is>
          <t>Complex fluids, biofluid mechanics, transport of particles and polymers in microfluidics, non-Newtonian rheology, and mixing in toroidal and porous microchannels.</t>
        </is>
      </c>
      <c r="N18" s="2" t="inlineStr">
        <is>
          <t>Immersed Boundary Method, Direct Numerical Simulation of Suspensions, Microfluidic Velocimetry, Non-Newtonian Rheometry, Multiscale Particle Tracking</t>
        </is>
      </c>
      <c r="O18" s="2" t="inlineStr">
        <is>
          <t>Mixing Performance of Toroidal Ring Mixers: Effects of Flow Rate Ratios and Geometric Asymmetry</t>
        </is>
      </c>
      <c r="P18" s="3">
        <f>HYPERLINK("https://doi.org/10.48550/arxiv.2607.20841", "https://doi.org/10.48550/arxiv.2607.20841")</f>
        <v/>
      </c>
      <c r="Q18" s="2" t="inlineStr">
        <is>
          <t>simulating 3D advective mixing in asymmetric toroidal ring micromixers, demonstrating that secondary Dean vortices enhance interfacial contact and accelerate scalar homogenization across high flow rate ratios.</t>
        </is>
      </c>
      <c r="R18" s="2" t="inlineStr">
        <is>
          <t>Microfluidic mixing is important for nanoparticle fabrication, where rapid contact between solvent and non-solvent streams controls the precipitation and particle formation process. This study investigates the mixing performance of toroidal ring micromixers under varying flow rate ratios and geometric asymmetries using numerical simulations and micro-PIV measurements. Dean vortices formed in the curved rings enhance transverse advection, drastically reducing mixing lengths compared to straight microchannels.</t>
        </is>
      </c>
      <c r="S18" s="2" t="inlineStr">
        <is>
          <t>A multiscale modeling framework for transport of PEGylated lipid nanoparticle through the extracellular matrix</t>
        </is>
      </c>
      <c r="T18" s="3">
        <f>HYPERLINK("https://doi.org/10.64898/2026.09.09.750406", "https://doi.org/10.64898/2026.09.09.750406")</f>
        <v/>
      </c>
      <c r="U18" s="2" t="inlineStr">
        <is>
          <t>coupling Brinkman porous hydrodynamics with Brownian dynamics for nanoparticle transport in fibrous matrices, demonstrating that optimized PEGylation brush density mitigates steric trapping and boosts matrix penetration by 50%.</t>
        </is>
      </c>
      <c r="V18" s="2" t="inlineStr">
        <is>
          <t>Lipid nanoparticles (LNPs) are leading delivery platforms, yet their efficacy is limited by hydrodynamic and steric entrapment within fibrous extracellular matrix networks. A multiscale modeling framework combining Brinkman porous media flow, steric exclusion potentials, and Brownian dynamics was developed to simulate LNP transport. Results reveal that optimizing PEGylation brush density balances hydrodynamic lubrication forces and steric hindrance, enhancing penetration depth through dense biological matrices by over 50%.</t>
        </is>
      </c>
      <c r="W18" s="2" t="inlineStr">
        <is>
          <t>1. Mixing Performance of Toroidal Ring Mixers: Effects of Flow Rate Ratios and Geometric Asymmetry (arXiv / Physics of Fluids, 2026) [DOI: https://doi.org/10.48550/arxiv.2607.20841] | 2. A multiscale modeling framework for transport of PEGylated lipid nanoparticle through the extracellular matrix (bioRxiv, 2026) [DOI: https://doi.org/10.64898/2026.09.09.750406]</t>
        </is>
      </c>
      <c r="X18" s="3">
        <f>HYPERLINK("https://doi.org/10.48550/arxiv.2607.20841", "https://doi.org/10.48550/arxiv.2607.20841 | https://doi.org/10.64898/2026.09.09.750406")</f>
        <v/>
      </c>
      <c r="Y18" s="2" t="inlineStr">
        <is>
          <t>simulating 3D advective mixing in asymmetric toroidal ring micromixers, demonstrating that secondary Dean vortices enhance interfacial contact and accelerate scalar homogenization across high flow rate ratios.</t>
        </is>
      </c>
      <c r="Z18" s="2" t="inlineStr"/>
      <c r="AA18" s="2" t="inlineStr">
        <is>
          <t>"A multiscale modeling framework for transport of PEGylated lipid nanoparticle through the extracellular matrix" [bioRxiv (Cold Spring Harbor Laboratory)] (2026) [DOI: https://doi.org/10.64898/2026.09.09.750406] | "A Review on Lymphatic Uptake of Large Therapeutic Proteins after Subcutaneous Injection" [Pharmaceutical Research] (2026) [DOI: https://doi.org/10.1007/s11095-026-04171-8] | "Protein-protein interactions and self-association of etanercept and immunoglobulin G1 in the bulk phase and at the air-water interface: Effects of NaCl and sucrose" [Journal of Colloid and Interface Science] (2026) [DOI: https://doi.org/10.1016/j.jcis.2026.141296] | "Mixing Performance of Toroidal Ring Mixers: Effects of Flow Rate Ratios and Geometric Asymmetry" [arXiv (Cornell University)] (2026) [DOI: https://doi.org/10.48550/arxiv.2607.20841] | "Mixing Performance of Toroidal Ring Mixers: Effects of Flow Rate Ratios and Geometric Asymmetry" [arXiv (Cornell University)] (2026) [DOI: https://arxiv.org/abs/2607.20841]</t>
        </is>
      </c>
      <c r="AB18" s="2" t="inlineStr">
        <is>
          <t>"Hydrodynamic mechanisms of cell and particle trapping in microfluidics" [Biomicrofluidics] (2013, 381 cites) [DOI: https://doi.org/10.1063/1.4799787] | "Hydrodynamic interaction of microswimmers near a wall" [Physical Review E] (2014, 214 cites) [DOI: https://doi.org/10.1103/physreve.90.013010] | "Interplay of physical mechanisms and biofilm processes: review of microfluidic methods" [Lab on a Chip] (2014, 183 cites) [DOI: https://doi.org/10.1039/c4lc01095g]</t>
        </is>
      </c>
      <c r="AC18" s="2" t="inlineStr"/>
      <c r="AD18" s="2" t="inlineStr">
        <is>
          <t>Outstanding Mechanical Engineers Distinguished Engineering Alumni Honorary Doctorates Staff Awards Student Awards Distinguished...</t>
        </is>
      </c>
      <c r="AE18" s="2" t="inlineStr">
        <is>
          <t>Phone: +1 (765) 494-3975 Email: future-engineers@purdue.edu | Phone: +1 (765) 494-4873 Email: EngrGrad@purdue.edu</t>
        </is>
      </c>
      <c r="AF18" s="2" t="inlineStr">
        <is>
          <t>Micro and Nano Robotics (75) | Microfluidic and Bio-sensing Technologies (60) | Particle Dynamics in Fluid Flows (49)</t>
        </is>
      </c>
      <c r="AG18" s="2" t="inlineStr">
        <is>
          <t>Micro and Nano Robotics (75) | Microfluidic and Bio-sensing Technologies (60) | Particle Dynamics in Fluid Flows (49)</t>
        </is>
      </c>
      <c r="AH18" s="2" t="inlineStr">
        <is>
          <t>Fluid dynamics Biomaterial Multiphase flows Non-Newtonian fluid dynamics Microfluidics Complex fluids Soft matter</t>
        </is>
      </c>
      <c r="AI18" s="2" t="inlineStr">
        <is>
          <t>Thermodynamics Fluid Mechanics</t>
        </is>
      </c>
      <c r="AJ18" s="2" t="inlineStr">
        <is>
          <t>Thermodynamics Fluid Mechanics</t>
        </is>
      </c>
      <c r="AK18" s="2" t="inlineStr">
        <is>
          <t>Shapiro Postdoctoral Fellow, Massachusetts Institute of Technology, '10 Ph.D., University of California Irvine, '09 M.S., University of California Irvine, '05, B.S., Sharif University of Technology, '03</t>
        </is>
      </c>
      <c r="AL18" s="2" t="inlineStr">
        <is>
          <t>Complex Flow Lab</t>
        </is>
      </c>
      <c r="AM18" s="3">
        <f>HYPERLINK("https://engineering.purdue.edu/ComplexFlowLab", "https://engineering.purdue.edu/ComplexFlowLab")</f>
        <v/>
      </c>
      <c r="AN18"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8" s="2" t="inlineStr"/>
      <c r="AP18" s="2" t="inlineStr"/>
      <c r="AQ18" s="2" t="inlineStr">
        <is>
          <t>DOE, NSF</t>
        </is>
      </c>
      <c r="AR18" s="2" t="inlineStr"/>
      <c r="AS18" s="2" t="inlineStr"/>
      <c r="AT18" s="2" t="inlineStr">
        <is>
          <t>ME 2007F</t>
        </is>
      </c>
      <c r="AU18" s="2" t="b">
        <v>1</v>
      </c>
      <c r="AV18" s="3">
        <f>HYPERLINK("https://engineering.purdue.edu/ME/People/ptFaculty", "https://engineering.purdue.edu/ME/People/ptFaculty")</f>
        <v/>
      </c>
    </row>
    <row r="19">
      <c r="A19" s="2" t="inlineStr">
        <is>
          <t>Daniel Guildenbecher</t>
        </is>
      </c>
      <c r="B19" s="2" t="inlineStr">
        <is>
          <t>Purdue University</t>
        </is>
      </c>
      <c r="C19" s="3">
        <f>HYPERLINK("https://engineering.purdue.edu/ME/People/ptProfile?resource_id=281457", "https://engineering.purdue.edu/ME/People/ptProfile?resource_id=281457")</f>
        <v/>
      </c>
      <c r="D19" s="3">
        <f>HYPERLINK("https://scholar.google.com/citations?view_op=search_authors&amp;mauthors=Daniel%20Guildenbecher%20Purdue%20University", "Google Scholar Search")</f>
        <v/>
      </c>
      <c r="E19" s="2" t="inlineStr">
        <is>
          <t>Associate Professor of Mechanical Engineering</t>
        </is>
      </c>
      <c r="F19" s="2" t="inlineStr">
        <is>
          <t>Mechanical Engineering</t>
        </is>
      </c>
      <c r="G19" s="2" t="inlineStr"/>
      <c r="H19" s="3">
        <f>HYPERLINK("mailto:dguilden@purdue.edu", "dguilden@purdue.edu")</f>
        <v/>
      </c>
      <c r="I19" s="2" t="n">
        <v>1</v>
      </c>
      <c r="J19" s="2" t="inlineStr">
        <is>
          <t>🔵 Tier 1: Core Aero / Fluids / Propulsion</t>
        </is>
      </c>
      <c r="K19" s="2" t="n">
        <v>6</v>
      </c>
      <c r="L19" s="2" t="inlineStr">
        <is>
          <t>combustion, fluid mechanics, hydrodynamics, materials, multiphase flow, thermodynamics</t>
        </is>
      </c>
      <c r="M19" s="2" t="inlineStr">
        <is>
          <t>Digital in-line holography, high-speed optical diagnostics, particle tracking velocimetry, secondary atomization, and energetic particle combustion in multiphase plumes.</t>
        </is>
      </c>
      <c r="N19" s="2" t="inlineStr">
        <is>
          <t>Digital In-Line Holography (DIH), Tunable Acoustic Gradient (TAG) Lenses, Planar Laser Diagnostics, High-Speed Shadowgraphy, Levitated Particle Burners</t>
        </is>
      </c>
      <c r="O19" s="2" t="inlineStr">
        <is>
          <t>Direct burn rate measurement of levitated aluminum particles by digital holography</t>
        </is>
      </c>
      <c r="P19" s="3">
        <f>HYPERLINK("https://doi.org/10.1016/j.combustflame.2026.115159", "https://doi.org/10.1016/j.combustflame.2026.115159")</f>
        <v/>
      </c>
      <c r="Q19" s="2" t="inlineStr">
        <is>
          <t>applying digital in-line holography to acoustically levitated burning aluminum particles, isolating the liquid metal core from the detached oxide cap to achieve direct, accurate 3D burn rate measurements.</t>
        </is>
      </c>
      <c r="R19" s="2" t="inlineStr">
        <is>
          <t>Digital in-line holography was applied to directly measure the dynamic diameter regression and burn rates of single acoustically levitated burning aluminum particles in real time. Unlike conventional 2D imaging, 3D holographic reconstruction accurately distinguishes between the evaporating liquid aluminum core and the expanding detached oxide cap. The resulting burn rate constants provide benchmark validation data for aluminum combustion models in solid rocket propellant plumes.</t>
        </is>
      </c>
      <c r="S19" s="2" t="inlineStr">
        <is>
          <t>KHz rate 3D white light particle tracking with a tunable acoustic gradient (TAG) lens</t>
        </is>
      </c>
      <c r="T19" s="3">
        <f>HYPERLINK("https://doi.org/10.1364/oe.588303", "https://doi.org/10.1364/oe.588303")</f>
        <v/>
      </c>
      <c r="U19" s="2" t="inlineStr">
        <is>
          <t>developing a 70 kHz tunable acoustic gradient (TAG) lens system for 3D white-light particle tracking, achieving high-speed volumetric droplet trajectory reconstruction across deep spray atomization fields.</t>
        </is>
      </c>
      <c r="V19" s="2" t="inlineStr">
        <is>
          <t>This work develops a 70 kHz tunable acoustic gradient (TAG) lens and high-speed camera configuration for three-dimensional diagnostics of multiphase particle flows. The experimental scene is back-illuminated with a pulsed LED, driven by custom hardware, to capture images with variable focal phase delays. The system achieves rapid focal-sweep 3D particle tracking velocimetry across deep measurement volumes, resolving complex droplet trajectories in spray atomization environments.</t>
        </is>
      </c>
      <c r="W19" s="2" t="inlineStr">
        <is>
          <t>1. Direct burn rate measurement of levitated aluminum particles by digital holography (Combustion and Flame, 2026) [DOI: https://doi.org/10.1016/j.combustflame.2026.115159] | 2. KHz rate 3D white light particle tracking with a tunable acoustic gradient (TAG) lens (Optics Express, 2026) [DOI: https://doi.org/10.1364/oe.588303]</t>
        </is>
      </c>
      <c r="X19" s="3">
        <f>HYPERLINK("https://doi.org/10.1016/j.combustflame.2026.115159", "https://doi.org/10.1016/j.combustflame.2026.115159 | https://doi.org/10.1364/oe.588303")</f>
        <v/>
      </c>
      <c r="Y19" s="2" t="inlineStr">
        <is>
          <t>applying digital in-line holography to acoustically levitated burning aluminum particles, isolating the liquid metal core from the detached oxide cap to achieve direct, accurate 3D burn rate measurements.</t>
        </is>
      </c>
      <c r="Z19" s="2" t="inlineStr"/>
      <c r="AA19" s="2" t="inlineStr">
        <is>
          <t>"Direct burn rate measurement of levitated aluminum particles by digital holography" [Combustion and Flame] (2026) [DOI: https://doi.org/10.1016/j.combustflame.2026.115159] | "Corrections for accurate measurements of particle extinction in scattering media using collimated and diffuse illumination" [Optics Express] (2026) [DOI: https://doi.org/10.1364/oe.591768] | "KHz rate 3D white light particle tracking with a tunable acoustic gradient (TAG) lens" [Optics Express] (2026) [DOI: https://doi.org/10.1364/oe.588303] | "Laser absorption measurements of temperature, pressure, CO, and CO2 at near-MHz rates in post-detonation fireballs with comparison to synthetic measurements" [Journal of Applied Physics] (2026) [DOI: https://doi.org/10.1063/5.0312755] | "Characterization of Liquid Sprays in the Pre-Vaporization Tube of a Small-Scaled Annular Combustor" (2026) [DOI: https://doi.org/10.2514/6.2026-0978]</t>
        </is>
      </c>
      <c r="AB19" s="2" t="inlineStr">
        <is>
          <t>"Secondary atomization" [Experiments in Fluids] (2009, 621 cites) [DOI: https://doi.org/10.1007/s00348-008-0593-2] | "Study of aluminum particle combustion in solid propellant plumes using digital in-line holography and imaging pyrometry" [Combustion and Flame] (2017, 244 cites) [DOI: https://doi.org/10.1016/j.combustflame.2017.04.016] | "Experimental statistics of droplet trajectory and air flow during aerodynamic fragmentation of liquid drops" [International Journal of Multiphase Flow] (2012, 141 cites) [DOI: https://doi.org/10.1016/j.ijmultiphaseflow.2012.06.008]</t>
        </is>
      </c>
      <c r="AC19" s="2" t="inlineStr"/>
      <c r="AD19" s="2" t="inlineStr">
        <is>
          <t>Outstanding Mechanical Engineers Distinguished Engineering Alumni Honorary Doctorates Staff Awards Student Awards Distinguished...</t>
        </is>
      </c>
      <c r="AE19" s="2" t="inlineStr">
        <is>
          <t>Phone: +1 (765) 494-3975 Email: future-engineers@purdue.edu | Phone: +1 (765) 494-4873 Email: EngrGrad@purdue.edu</t>
        </is>
      </c>
      <c r="AF19" s="2" t="inlineStr">
        <is>
          <t>Fluid Dynamics and Heat Transfer (42) | Digital Holography and Microscopy (40) | Energetic Materials and Combustion (38)</t>
        </is>
      </c>
      <c r="AG19" s="2" t="inlineStr">
        <is>
          <t>Fluid Dynamics and Heat Transfer (42) | Digital Holography and Microscopy (40) | Energetic Materials and Combustion (38)</t>
        </is>
      </c>
      <c r="AH19" s="2" t="inlineStr">
        <is>
          <t>Multiphase flows Laser and high-speed imaging diagnostics Energetic materials (e.g., explosives &amp; propellants) hydrodynamics, combustion, and model validation Sprays and atomization High-speed fluid mechanics</t>
        </is>
      </c>
      <c r="AI19" s="2" t="inlineStr">
        <is>
          <t>Thermodynamics Fluid Mechanics</t>
        </is>
      </c>
      <c r="AJ19" s="2" t="inlineStr">
        <is>
          <t>Thermodynamics Fluid Mechanics</t>
        </is>
      </c>
      <c r="AK19" s="2" t="inlineStr">
        <is>
          <t>B.S. in Mechanical Engineering, Purdue University, 2006 Ph.D. in Mechanical Engineering, Purdue University, 2009</t>
        </is>
      </c>
      <c r="AL19" s="2" t="inlineStr">
        <is>
          <t>Guildenbecher Research Group</t>
        </is>
      </c>
      <c r="AM19" s="3">
        <f>HYPERLINK("https://engineering.purdue.edu/GuildenbecherLab", "https://engineering.purdue.edu/GuildenbecherLab")</f>
        <v/>
      </c>
      <c r="AN19"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9" s="2" t="inlineStr"/>
      <c r="AP19" s="2" t="inlineStr"/>
      <c r="AQ19" s="2" t="inlineStr">
        <is>
          <t>DOE</t>
        </is>
      </c>
      <c r="AR19" s="2" t="inlineStr"/>
      <c r="AS19" s="2" t="inlineStr"/>
      <c r="AT19" s="2" t="inlineStr"/>
      <c r="AU19" s="2" t="b">
        <v>1</v>
      </c>
      <c r="AV19" s="3">
        <f>HYPERLINK("https://engineering.purdue.edu/ME/People/ptFaculty", "https://engineering.purdue.edu/ME/People/ptFaculty")</f>
        <v/>
      </c>
    </row>
    <row r="20">
      <c r="A20" s="2" t="inlineStr">
        <is>
          <t>John Mullin</t>
        </is>
      </c>
      <c r="B20" s="2" t="inlineStr">
        <is>
          <t>Purdue University</t>
        </is>
      </c>
      <c r="C20" s="3">
        <f>HYPERLINK("https://engineering.purdue.edu/AAE/people/ptProfile?resource_id=339087", "https://engineering.purdue.edu/AAE/people/ptProfile?resource_id=339087")</f>
        <v/>
      </c>
      <c r="D20" s="3">
        <f>HYPERLINK("https://scholar.google.com/citations?view_op=search_authors&amp;mauthors=John%20Mullin%20Purdue%20University", "Google Scholar Search")</f>
        <v/>
      </c>
      <c r="E20" s="2" t="inlineStr">
        <is>
          <t>Associate Professor Of Engineering Practice</t>
        </is>
      </c>
      <c r="F20" s="2" t="inlineStr">
        <is>
          <t>Aeronautics and Astronautics</t>
        </is>
      </c>
      <c r="G20" s="2" t="inlineStr"/>
      <c r="H20" s="3">
        <f>HYPERLINK("mailto:webmaster-eng@purdue.edu", "webmaster-eng@purdue.edu")</f>
        <v/>
      </c>
      <c r="I20" s="2" t="n">
        <v>1</v>
      </c>
      <c r="J20" s="2" t="inlineStr">
        <is>
          <t>🔵 Tier 1: Core Aero / Fluids / Propulsion</t>
        </is>
      </c>
      <c r="K20" s="2" t="n">
        <v>6</v>
      </c>
      <c r="L20" s="2" t="inlineStr">
        <is>
          <t>aerodynamics, aerospace, fluid dynamics, reacting flow, satellite, turbulence</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is>
          <t>"Interpretation of crystallization induction periods" [Journal of Colloid and Interface Science] (1988, 390 cites) [DOI: https://doi.org/10.1016/0021-9797(88)90219-6] | "Precipitation of calcium carbonate" [Journal of Crystal Growth] (1982, 328 cites) [DOI: https://doi.org/10.1016/0022-0248(82)90095-1] | "Recrystallization" [Elsevier eBooks] (2001, 317 cites) [DOI: https://doi.org/10.1016/b978-075064833-2/50009-7]</t>
        </is>
      </c>
      <c r="AC20" s="2" t="inlineStr"/>
      <c r="AD20" s="2" t="inlineStr">
        <is>
          <t>NGAS Executive Leadership Program, 2025 NGC Global Capture Program, 2024 USC Leadership Certificate, 2010 NGAS President Award ...</t>
        </is>
      </c>
      <c r="AE20" s="2" t="inlineStr"/>
      <c r="AF20" s="2" t="inlineStr">
        <is>
          <t>Crystallization and Solubility Studies (76) | Chemical and Physical Properties in Aqueous Solutions (23) | nanoparticles nucleation surface interactions (22)</t>
        </is>
      </c>
      <c r="AG20" s="2" t="inlineStr">
        <is>
          <t>Crystallization and Solubility Studies (76) | Chemical and Physical Properties in Aqueous Solutions (23) | nanoparticles nucleation surface interactions (22)</t>
        </is>
      </c>
      <c r="AH20" s="2" t="inlineStr">
        <is>
          <t>Aerospace Systems and Design; Aerodynamics Worked on the Airborne Laser Program, JWST MIRI Cyrocooler, Next Gen Polar Missile Warning Satellite, Strike Aircraft, VTOL Aircraft and Collaborative Combat Aircraft</t>
        </is>
      </c>
      <c r="AI20" s="2" t="inlineStr">
        <is>
          <t>Fluid dynamics, turbulence, reacting and non-reacting flows Aerospace and Defense Industry and Education Curriculum</t>
        </is>
      </c>
      <c r="AJ20" s="2" t="inlineStr">
        <is>
          <t>Fluid dynamics, turbulence, reacting and non-reacting flows Aerospace and Defense Industry and Education Curriculum</t>
        </is>
      </c>
      <c r="AK20" s="2" t="inlineStr">
        <is>
          <t>MS &amp; PhD, Aerospace Engineering, University Michigan, 2004 BS, Aerospace Engineering, University of Southern California, 1995</t>
        </is>
      </c>
      <c r="AL20" s="2" t="inlineStr">
        <is>
          <t>Indiana Space Grant Consortium</t>
        </is>
      </c>
      <c r="AM20" s="3">
        <f>HYPERLINK("https://insgc.spacegrant.org/", "https://insgc.spacegrant.org/")</f>
        <v/>
      </c>
      <c r="AN20" s="2" t="inlineStr">
        <is>
          <t>Academic INSGC Internships</t>
        </is>
      </c>
      <c r="AO20" s="2" t="inlineStr"/>
      <c r="AP20" s="2" t="inlineStr"/>
      <c r="AQ20" s="2" t="inlineStr">
        <is>
          <t>NASA</t>
        </is>
      </c>
      <c r="AR20" s="2" t="inlineStr"/>
      <c r="AS20" s="2" t="inlineStr"/>
      <c r="AT20" s="2" t="inlineStr">
        <is>
          <t>ARMS 3211</t>
        </is>
      </c>
      <c r="AU20" s="2" t="b">
        <v>1</v>
      </c>
      <c r="AV20" s="3">
        <f>HYPERLINK("https://engineering.purdue.edu/AAE/people/Faculty", "https://engineering.purdue.edu/AAE/people/Faculty")</f>
        <v/>
      </c>
    </row>
    <row r="21">
      <c r="A21" s="2" t="inlineStr">
        <is>
          <t>Luciano Castillo</t>
        </is>
      </c>
      <c r="B21" s="2" t="inlineStr">
        <is>
          <t>Purdue University</t>
        </is>
      </c>
      <c r="C21" s="3">
        <f>HYPERLINK("https://engineering.purdue.edu/ME/People/ptProfile?resource_id=173054", "https://engineering.purdue.edu/ME/People/ptProfile?resource_id=173054")</f>
        <v/>
      </c>
      <c r="D21" s="3">
        <f>HYPERLINK("https://scholar.google.com/citations?view_op=search_authors&amp;mauthors=Luciano%20Castillo%20Purdue%20University", "Google Scholar Search")</f>
        <v/>
      </c>
      <c r="E21" s="2" t="inlineStr">
        <is>
          <t>Kenninger Professor of Renewable Energy and Power Systems</t>
        </is>
      </c>
      <c r="F21" s="2" t="inlineStr">
        <is>
          <t>Mechanical Engineering</t>
        </is>
      </c>
      <c r="G21" s="2" t="inlineStr"/>
      <c r="H21" s="3">
        <f>HYPERLINK("mailto:lcastillo@purdue.edu", "lcastillo@purdue.edu")</f>
        <v/>
      </c>
      <c r="I21" s="2" t="n">
        <v>1</v>
      </c>
      <c r="J21" s="2" t="inlineStr">
        <is>
          <t>🔵 Tier 1: Core Aero / Fluids / Propulsion</t>
        </is>
      </c>
      <c r="K21" s="2" t="n">
        <v>6</v>
      </c>
      <c r="L21" s="2" t="inlineStr">
        <is>
          <t>boundary layer, fluid mechanics, thermal, thermodynamics, turbulence, turbulent</t>
        </is>
      </c>
      <c r="M21" s="2" t="inlineStr">
        <is>
          <t>Turbulent boundary layers under pressure gradients and surface roughness, wind turbine wake aerodynamics, wind farm power optimization, and direct air CO2 capture.</t>
        </is>
      </c>
      <c r="N21" s="2" t="inlineStr">
        <is>
          <t>Wind Tunnel PIV, Hot-Wire Anemometry, Atmospheric Boundary Layer Solvers, Wind Farm LES, Multi-Objective Optimization Algorithms</t>
        </is>
      </c>
      <c r="O21" s="2" t="inlineStr">
        <is>
          <t>Simultaneous electricity generation and low-energy-intensive water desalination using a hydraulic wind turbine</t>
        </is>
      </c>
      <c r="P21" s="3">
        <f>HYPERLINK("https://doi.org/10.1016/j.desal.2025.118526", "https://doi.org/10.1016/j.desal.2025.118526")</f>
        <v/>
      </c>
      <c r="Q21" s="2" t="inlineStr">
        <is>
          <t>coupling wind turbine rotor aerodynamics directly with a hydraulic pumping system, demonstrating that direct mechanical fluid pressurization eliminates electrical conversion losses and improves overall desalination efficiency by 14%.</t>
        </is>
      </c>
      <c r="R21" s="2" t="inlineStr">
        <is>
          <t>This study presents a novel hydraulic wind turbine system capable of simultaneous renewable electricity generation and seawater reverse-osmosis desalination without electric transmission losses. High-pressure hydraulic pumps directly driven by the turbine rotor pressurize seawater above osmotic pressure thresholds. Aerodynamic turbine blade modeling coupled with hydraulic circuit analysis proves that mechanical energy conversion efficiency exceeds conventional wind-to-electric-to-hydraulic systems by 14%, reducing specific energy consumption for fresh water production.</t>
        </is>
      </c>
      <c r="S21" s="2" t="inlineStr">
        <is>
          <t>Polluted-Air Direct Capture Using a CO2 Liquid Filter</t>
        </is>
      </c>
      <c r="T21" s="3">
        <f>HYPERLINK("https://doi.org/10.1007/978-3-032-07974-9_3", "https://doi.org/10.1007/978-3-032-07974-9_3")</f>
        <v/>
      </c>
      <c r="U21" s="2" t="inlineStr">
        <is>
          <t>designing turbulent liquid-film contactors for direct air CO2 capture, demonstrating that induced boundary-layer vortex structures enhance gas-liquid mass transfer rates by 28% at constant pressure loss.</t>
        </is>
      </c>
      <c r="V21" s="2" t="inlineStr">
        <is>
          <t>Direct air capture of carbon dioxide requires energy-efficient contactor designs that maximize gas-liquid mass transfer while minimizing fan power consumption. A liquid-film contactor geometry was designed and evaluated using multiphase flow simulations and experimental test sections. By inducing controlled turbulent vortex structures in the air stream, interfacial mass transfer was enhanced by 28% without increasing pressure drop across the capture filter.</t>
        </is>
      </c>
      <c r="W21" s="2" t="inlineStr">
        <is>
          <t>1. Simultaneous electricity generation and low-energy-intensive water desalination using a hydraulic wind turbine (Desalination, 2025) [DOI: https://doi.org/10.1016/j.desal.2025.118526] | 2. Polluted-Air Direct Capture Using a CO2 Liquid Filter (Springer / Sustainable Energy, 2026) [DOI: https://doi.org/10.1007/978-3-032-07974-9_3]</t>
        </is>
      </c>
      <c r="X21" s="3">
        <f>HYPERLINK("https://doi.org/10.1016/j.desal.2025.118526", "https://doi.org/10.1016/j.desal.2025.118526 | https://doi.org/10.1007/978-3-032-07974-9_3")</f>
        <v/>
      </c>
      <c r="Y21" s="2" t="inlineStr">
        <is>
          <t>coupling wind turbine rotor aerodynamics directly with a hydraulic pumping system, demonstrating that direct mechanical fluid pressurization eliminates electrical conversion losses and improves overall desalination efficiency by 14%.</t>
        </is>
      </c>
      <c r="Z21" s="2" t="inlineStr"/>
      <c r="AA21" s="2" t="inlineStr">
        <is>
          <t>"Polluted-Air Direct Capture Using a $$\textrm{CO}_2$$ Liquid Filter" (2026) [DOI: https://doi.org/10.1007/978-3-032-07974-9_3] | "Quantification Methodology of Offshore and Onshore Sargassum in Eastern Puerto Rico" (2026) [DOI: https://doi.org/10.1007/978-3-032-07974-9_31] | "Building Future Engineers: Students’ Engagement with the Engineering Design Process" (2026) [DOI: https://doi.org/10.1007/978-3-032-07974-9_39] | "Framework for Estimation of $$\textrm{CO}_2$$ Sequestration from Sargassum Using Remote Sensing and Neural Networks" (2026) [DOI: https://doi.org/10.1007/978-3-032-07974-9_28] | "Simultaneous electricity generation and low-energy-intensive water desalination using a hydraulic wind turbine" [Desalination] (2025) [DOI: https://doi.org/10.1016/j.desal.2025.118526]</t>
        </is>
      </c>
      <c r="AB21" s="2" t="inlineStr">
        <is>
          <t>"Zero-Pressure-Gradient Turbulent Boundary Layer" [Applied Mechanics Reviews] (1997, 390 cites) [DOI: https://doi.org/10.1115/1.3101858] | "Experimental study of the horizontally averaged flow structure in a model wind-turbine array boundary layer" [Journal of Renewable and Sustainable Energy] (2010, 356 cites) [DOI: https://doi.org/10.1063/1.3289735] | "Unrestricted wind farm layout optimization (UWFLO): Investigating key factors influencing the maximum power generation" [Renewable Energy] (2011, 339 cites) [DOI: https://doi.org/10.1016/j.renene.2011.06.033]</t>
        </is>
      </c>
      <c r="AC21" s="2" t="inlineStr"/>
      <c r="AD21" s="2" t="inlineStr">
        <is>
          <t>Outstanding Mechanical Engineers Distinguished Engineering Alumni Honorary Doctorates Staff Awards Student Awards Distinguished...</t>
        </is>
      </c>
      <c r="AE21" s="2" t="inlineStr"/>
      <c r="AF21" s="2" t="inlineStr">
        <is>
          <t>Fluid Dynamics and Turbulent Flows (199) | Wind and Air Flow Studies (116) | Heat Transfer Mechanisms (72)</t>
        </is>
      </c>
      <c r="AG21" s="2" t="inlineStr">
        <is>
          <t>Fluid Dynamics and Turbulent Flows (199) | Wind and Air Flow Studies (116) | Heat Transfer Mechanisms (72)</t>
        </is>
      </c>
      <c r="AH21" s="2" t="inlineStr">
        <is>
          <t>Modeling, Experiments and Simulations of turbulent boundary layers: role of initial conditions and bio-inspired micro-surfaces on evolution of velocity/thermal fields. Importance of turbulence and complex topography on wind energy. Integration of renewable with water and thermal storage. Translational research focus on renewable energy &amp; society Wall interaction (e.g., bio-inspired micro surfaces) in respiratory flows Big data in turbulence, renewable energy and biomedical engineering. Energy and social equality</t>
        </is>
      </c>
      <c r="AI21" s="2" t="inlineStr">
        <is>
          <t>Thermodynamics Fluid Mechanics Heat &amp; Mass Transfer</t>
        </is>
      </c>
      <c r="AJ21" s="2" t="inlineStr">
        <is>
          <t>Thermodynamics Fluid Mechanics Heat &amp; Mass Transfer</t>
        </is>
      </c>
      <c r="AK21" s="2" t="inlineStr"/>
      <c r="AL21" s="2" t="inlineStr">
        <is>
          <t>Blue Integrated Partnerships</t>
        </is>
      </c>
      <c r="AM21" s="3">
        <f>HYPERLINK("https://blueintegratedpartners.org/", "https://blueintegratedpartners.org/")</f>
        <v/>
      </c>
      <c r="AN21" s="2" t="inlineStr"/>
      <c r="AO21" s="2" t="inlineStr"/>
      <c r="AP21" s="2" t="inlineStr">
        <is>
          <t>Cluster</t>
        </is>
      </c>
      <c r="AQ21" s="2" t="inlineStr"/>
      <c r="AR21" s="2" t="inlineStr"/>
      <c r="AS21" s="2" t="inlineStr"/>
      <c r="AT21" s="2" t="inlineStr"/>
      <c r="AU21" s="2" t="b">
        <v>1</v>
      </c>
      <c r="AV21" s="3">
        <f>HYPERLINK("https://engineering.purdue.edu/ME/People/ptFaculty", "https://engineering.purdue.edu/ME/People/ptFaculty")</f>
        <v/>
      </c>
    </row>
    <row r="22">
      <c r="A22" s="2" t="inlineStr">
        <is>
          <t>Robert Lucht</t>
        </is>
      </c>
      <c r="B22" s="2" t="inlineStr">
        <is>
          <t>Purdue University</t>
        </is>
      </c>
      <c r="C22" s="3">
        <f>HYPERLINK("https://engineering.purdue.edu/AAE/people/ptProfile?resource_id=28413", "https://engineering.purdue.edu/AAE/people/ptProfile?resource_id=28413")</f>
        <v/>
      </c>
      <c r="D22" s="3">
        <f>HYPERLINK("https://scholar.google.com/citations?view_op=search_authors&amp;mauthors=Robert%20Lucht%20Purdue%20University", "Google Scholar Search")</f>
        <v/>
      </c>
      <c r="E22" s="2" t="inlineStr">
        <is>
          <t>Ralph and Bettye Bailey Distinguished Professor of Mechanical Engineering</t>
        </is>
      </c>
      <c r="F22" s="2" t="inlineStr">
        <is>
          <t>Aeronautics and Astronautics</t>
        </is>
      </c>
      <c r="G22" s="2" t="inlineStr"/>
      <c r="H22" s="3">
        <f>HYPERLINK("mailto:lucht@purdue.edu", "lucht@purdue.edu")</f>
        <v/>
      </c>
      <c r="I22" s="2" t="n">
        <v>1</v>
      </c>
      <c r="J22" s="2" t="inlineStr">
        <is>
          <t>🔵 Tier 1: Core Aero / Fluids / Propulsion</t>
        </is>
      </c>
      <c r="K22" s="2" t="n">
        <v>6</v>
      </c>
      <c r="L22" s="2" t="inlineStr">
        <is>
          <t>combustion, fluid mechanics, heat transfer, materials, propulsion, thermodynamics</t>
        </is>
      </c>
      <c r="M22" s="2" t="inlineStr">
        <is>
          <t>Ultrafast laser spectroscopy (fs/ps coherent anti-Stokes Raman scattering - CARS), diode-laser absorption sensors, and optical diagnostics of high-pressure combustion and hypersonics.</t>
        </is>
      </c>
      <c r="N22" s="2" t="inlineStr">
        <is>
          <t>Femtosecond/Picosecond CARS, Chirped-Probe Pulse (CPP) CARS, Dual-Pump CARS (DPCARS), High-Pressure Combustor Test Rigs, High-Speed Spectrometers</t>
        </is>
      </c>
      <c r="O22" s="2" t="inlineStr">
        <is>
          <t>One-dimensional time-resolved single-shot femtosecond coherent anti-Stokes Raman scattering thermometry in reacting thermal gradients</t>
        </is>
      </c>
      <c r="P22" s="3">
        <f>HYPERLINK("https://doi.org/10.1364/ao.583207", "https://doi.org/10.1364/ao.583207")</f>
        <v/>
      </c>
      <c r="Q22" s="2" t="inlineStr">
        <is>
          <t>developing 1D single-shot chirped-probe pulse coherent anti-Stokes Raman scattering (CARS) thermometry, resolving steep spatiotemporal thermal gradients across reacting turbulent flame fronts with sub-millimeter spatial resolution.</t>
        </is>
      </c>
      <c r="R22" s="2" t="inlineStr">
        <is>
          <t>Time-resolved thermometry is vital for quantitative characterization of reacting turbulent flows but remains largely limited to point measurements, making higher-dimensional approaches attractive for capturing spatiotemporal thermal gradients. In this work, a one-dimensional chirped-probe pulse coherent anti-Stokes Raman scattering (CPP-CARS) technique is developed to perform single-shot temperature measurements along a line in reacting flow environments. Using a high-energy femtosecond laser system and cylindrical focusing optics, spatial temperature profiles across flame fronts were resolved with sub-millimeter spatial resolution and kHz repetition rates.</t>
        </is>
      </c>
      <c r="S22" s="2" t="inlineStr">
        <is>
          <t>Coherent Stokes Raman Scattering for Simultaneous Measurement of CO 2 and CH 4 Temperatures</t>
        </is>
      </c>
      <c r="T22" s="3">
        <f>HYPERLINK("https://doi.org/10.1002/jrs.70176", "https://doi.org/10.1002/jrs.70176")</f>
        <v/>
      </c>
      <c r="U22" s="2" t="inlineStr">
        <is>
          <t>implementing hybrid fs/ps coherent Stokes Raman scattering across methane/air diffusion flames, achieving simultaneous and decoupled temperature measurements of CO2 and CH4 from a single laser shot.</t>
        </is>
      </c>
      <c r="V22" s="2" t="inlineStr">
        <is>
          <t>Experimental measurements of fuel and flame temperatures in a methane/air co-flow diffusion flame are performed using coherent Stokes Raman scattering. A three-beam hybrid fs/ps configuration is employed such that the excitation bandwidth of the ultrafast pulses includes the rovibrational transitions of both CO2 and CH4 molecules. By fitting experimental spectral signatures with numerical molecular Raman models, simultaneous and independent temperature determinations from both species are demonstrated across strong non-premixed reacting gradients.</t>
        </is>
      </c>
      <c r="W22" s="2" t="inlineStr">
        <is>
          <t>1. One-dimensional time-resolved single-shot femtosecond coherent anti-Stokes Raman scattering thermometry in reacting thermal gradients (Applied Optics, 2026) [DOI: https://doi.org/10.1364/ao.583207] | 2. Coherent Stokes Raman Scattering for Simultaneous Measurement of CO 2 and CH 4 Temperatures (Journal of Raman Spectroscopy, 2026) [DOI: https://doi.org/10.1002/jrs.70176]</t>
        </is>
      </c>
      <c r="X22" s="3">
        <f>HYPERLINK("https://doi.org/10.1364/ao.583207", "https://doi.org/10.1364/ao.583207 | https://doi.org/10.1002/jrs.70176")</f>
        <v/>
      </c>
      <c r="Y22" s="2" t="inlineStr">
        <is>
          <t>developing 1D single-shot chirped-probe pulse coherent anti-Stokes Raman scattering (CARS) thermometry, resolving steep spatiotemporal thermal gradients across reacting turbulent flame fronts with sub-millimeter spatial resolution.</t>
        </is>
      </c>
      <c r="Z22" s="2" t="inlineStr"/>
      <c r="AA22" s="2" t="inlineStr">
        <is>
          <t>"Coherent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"Methodology for Unsteady Exhaust Emissions Characterization in High-Pressure Hydrogen–Ammonia–Methane Flames" (2026) [DOI: https://doi.org/10.2514/6.2026-1621] | "CUBRC 48” Tunnel Hypersonic Ground Testing of NOSpec" (2026) [DOI: https://doi.org/10.2514/6.2026-0872] | "Investigation of NH 3 -H 2 Counterflow Diffusion Flames Using Dual-Pump Coherent Anti-Stokes Raman Scattering (DPCARS)" (2026) [DOI: https://doi.org/10.2514/6.2026-2092]</t>
        </is>
      </c>
      <c r="AB22" s="2" t="inlineStr">
        <is>
          <t>"Nitrogen and hydrogen CARS temperature measurements in a hydrogen/air flame using a near-adiabatic flat-flame burner" [Combustion and Flame] (1997, 191 cites) [DOI: https://doi.org/10.1016/s0010-2180(96)00191-5] | "Mixing of a Sonic Transverse Jet Injected into a Supersonic Flow" [AIAA Journal] (2000, 179 cites) [DOI: https://doi.org/10.2514/2.984] | "Label-Free Bond-Selective Imaging by Listening to Vibrationally Excited Molecules" [Physical Review Letters] (2011, 167 cites) [DOI: https://doi.org/10.1103/physrevlett.106.238106]</t>
        </is>
      </c>
      <c r="AC22" s="2" t="inlineStr"/>
      <c r="AD22" s="2" t="inlineStr"/>
      <c r="AE22" s="2" t="inlineStr"/>
      <c r="AF22" s="2" t="inlineStr">
        <is>
          <t>Combustion and flame dynamics (241) | Spectroscopy and Laser Applications (186) | Advanced Combustion Engine Technologies (114)</t>
        </is>
      </c>
      <c r="AG22" s="2" t="inlineStr">
        <is>
          <t>Combustion and flame dynamics (241) | Spectroscopy and Laser Applications (186) | Advanced Combustion Engine Technologies (114)</t>
        </is>
      </c>
      <c r="AH22" s="2" t="inlineStr">
        <is>
          <t>Laser diagnostics Diode-laser-based sensors Gas turbine and internal engine combustion Materials processing and synthesis Combustion science Fluid mechanics and heat transfer</t>
        </is>
      </c>
      <c r="AI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J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K22" s="2" t="inlineStr">
        <is>
          <t>Ph.D., Purdue, 1981 M.S., Purdue, 1979 B.S., Purdue, 1977</t>
        </is>
      </c>
      <c r="AL22" s="2" t="inlineStr">
        <is>
          <t>Indiana Space Grant Consortium</t>
        </is>
      </c>
      <c r="AM22" s="3">
        <f>HYPERLINK("https://insgc.spacegrant.org/", "https://insgc.spacegrant.org/")</f>
        <v/>
      </c>
      <c r="AN22" s="2" t="inlineStr">
        <is>
          <t>Academic INSGC Internships</t>
        </is>
      </c>
      <c r="AO22" s="2" t="inlineStr"/>
      <c r="AP22" s="2" t="inlineStr"/>
      <c r="AQ22" s="2" t="inlineStr">
        <is>
          <t>NASA</t>
        </is>
      </c>
      <c r="AR22" s="2" t="inlineStr"/>
      <c r="AS22" s="2" t="inlineStr"/>
      <c r="AT22" s="2" t="inlineStr"/>
      <c r="AU22" s="2" t="b">
        <v>1</v>
      </c>
      <c r="AV22" s="3">
        <f>HYPERLINK("https://engineering.purdue.edu/AAE/people/Faculty", "https://engineering.purdue.edu/AAE/people/Faculty")</f>
        <v/>
      </c>
    </row>
    <row r="23">
      <c r="A23" s="2" t="inlineStr">
        <is>
          <t>Sadegh Dabiri</t>
        </is>
      </c>
      <c r="B23" s="2" t="inlineStr">
        <is>
          <t>Purdue University</t>
        </is>
      </c>
      <c r="C23" s="3">
        <f>HYPERLINK("https://engineering.purdue.edu/ME/People/ptProfile?resource_id=105717", "https://engineering.purdue.edu/ME/People/ptProfile?resource_id=105717")</f>
        <v/>
      </c>
      <c r="D23" s="3">
        <f>HYPERLINK("https://scholar.google.com/citations?view_op=search_authors&amp;mauthors=Sadegh%20Dabiri%20Purdue%20University", "Google Scholar Search")</f>
        <v/>
      </c>
      <c r="E23" s="2" t="inlineStr">
        <is>
          <t>Associate Professor of Agricultural and Biological Engineering, and Mechanical Engineering</t>
        </is>
      </c>
      <c r="F23" s="2" t="inlineStr">
        <is>
          <t>Mechanical Engineering</t>
        </is>
      </c>
      <c r="G23" s="2" t="inlineStr"/>
      <c r="H23" s="3">
        <f>HYPERLINK("mailto:dabiri@purdue.edu", "dabiri@purdue.edu")</f>
        <v/>
      </c>
      <c r="I23" s="2" t="n">
        <v>1</v>
      </c>
      <c r="J23" s="2" t="inlineStr">
        <is>
          <t>🔵 Tier 1: Core Aero / Fluids / Propulsion</t>
        </is>
      </c>
      <c r="K23" s="2" t="n">
        <v>6</v>
      </c>
      <c r="L23" s="2" t="inlineStr">
        <is>
          <t>aerospace, cfd, fluid mechanics, heat transfer, multiphase flow, turbulent</t>
        </is>
      </c>
      <c r="M23" s="2" t="inlineStr">
        <is>
          <t>Multiphase flow simulation, bubble and droplet dynamics, cavitation inception, interface-tracking algorithms, and discrete least squares meshfree methods.</t>
        </is>
      </c>
      <c r="N23" s="2" t="inlineStr">
        <is>
          <t>Front-Tracking Methods, Volume-of-Fluid (VOF), Discrete Least Squares Meshfree (DLSM) Methods, High-Speed Cavitation Imaging, Multiphase DNS</t>
        </is>
      </c>
      <c r="O23" s="2" t="inlineStr">
        <is>
          <t>Perivascular interactions and tissue properties modulate directional glymphatic transport in the brain</t>
        </is>
      </c>
      <c r="P23" s="3">
        <f>HYPERLINK("https://doi.org/10.1186/s12987-025-00668-3", "https://doi.org/10.1186/s12987-025-00668-3")</f>
        <v/>
      </c>
      <c r="Q23" s="2" t="inlineStr">
        <is>
          <t>modeling pulsatile perivascular flow coupled with porous tissue mechanics, demonstrating that arterial wall compliance and channel hydraulic resistance disparities dictate net directional fluid convection through brain tissue.</t>
        </is>
      </c>
      <c r="R23" s="2" t="inlineStr">
        <is>
          <t>The glymphatic system facilitates metabolic waste clearance in the brain through convective fluid transport in perivascular spaces. Using high-resolution computational fluid dynamics coupled with porous brain parenchyma mechanics, we model the convective flow driven by arterial wall pulsations. Simulations demonstrate that directional fluid transport is governed by the hydraulic resistance disparity between periarterial and perivenous channels, proving that vascular compliance modulates net convective clearance rates.</t>
        </is>
      </c>
      <c r="S23" s="2" t="inlineStr">
        <is>
          <t>A model for a laser-induced cavitation bubble</t>
        </is>
      </c>
      <c r="T23" s="3">
        <f>HYPERLINK("https://doi.org/10.1016/j.ijmultiphaseflow.2020.103433", "https://doi.org/10.1016/j.ijmultiphaseflow.2020.103433")</f>
        <v/>
      </c>
      <c r="U23" s="2" t="inlineStr">
        <is>
          <t>simulating laser-induced cavitation bubble collapse near boundaries with compressible interface tracking, resolving shock wave emission and high-speed liquid microjets exceeding 100 m/s that drive surface erosion.</t>
        </is>
      </c>
      <c r="V23" s="2" t="inlineStr">
        <is>
          <t>A computational model is developed to investigate the dynamic expansion, collapse, and liquid-jet rebound of laser-induced cavitation bubbles near solid and compliant boundaries. A compressible multiphase solver tracking the gas-liquid interface captures acoustic shock emission upon bubble collapse. Results quantify the peak impact pressures and high-speed liquid microjets (exceeding 100 m/s) impinging on the boundary, establishing damage criteria for hydraulic and biomedical equipment.</t>
        </is>
      </c>
      <c r="W23" s="2" t="inlineStr">
        <is>
          <t>1. Perivascular interactions and tissue properties modulate directional glymphatic transport in the brain (Fluids and Barriers of the CNS, 2025) [DOI: https://doi.org/10.1186/s12987-025-00668-3] | 2. A model for a laser-induced cavitation bubble (International Journal of Multiphase Flow, 2020) [DOI: https://doi.org/10.1016/j.ijmultiphaseflow.2020.103433]</t>
        </is>
      </c>
      <c r="X23" s="3">
        <f>HYPERLINK("https://doi.org/10.1186/s12987-025-00668-3", "https://doi.org/10.1186/s12987-025-00668-3 | https://doi.org/10.1016/j.ijmultiphaseflow.2020.103433")</f>
        <v/>
      </c>
      <c r="Y23" s="2" t="inlineStr">
        <is>
          <t>modeling pulsatile perivascular flow coupled with porous tissue mechanics, demonstrating that arterial wall compliance and channel hydraulic resistance disparities dictate net directional fluid convection through brain tissue.</t>
        </is>
      </c>
      <c r="Z23" s="2" t="inlineStr"/>
      <c r="AA23" s="2" t="inlineStr">
        <is>
          <t>"Raman microscopy and FTIR spectroscopy of protein-attached chromatography resins for process analytical technology (PAT)" [ChemRxiv] (2026) [DOI: https://doi.org/10.26434/chemrxiv.15001003/v1] | "Perivascular interactions and tissue properties modulate directional glymphatic transport in the brain" [Fluids and Barriers of the CNS] (2025) [DOI: https://doi.org/10.1186/s12987-025-00668-3] | "An arbitrary Lagrangian discrete least squares meshfree method for discontinuity capturing with application in the Saint–Venant equations" [Engineering With Computers] (2025) [DOI: https://doi.org/10.1007/s00366-025-02140-0] | "An arbitrary Lagrangian discrete least squares meshfree method for discontinuity capturing with application in the Saint–Venant equations" [Utrecht University Repository (Utrecht University)] (2025) [DOI: https://dspace.library.uu.nl/handle/1874/476503] | "Autoinjector optimization through cavitation response and severity minimization" [International Journal of Pharmaceutics] (2024) [DOI: https://doi.org/10.1016/j.ijpharm.2024.124888]</t>
        </is>
      </c>
      <c r="AB23" s="2" t="inlineStr">
        <is>
          <t>"Fully resolved numerical simulations of fused deposition modeling. Part I: fluid flow" [Rapid Prototyping Journal] (2018, 138 cites) [DOI: https://doi.org/10.1108/rpj-12-2016-0217] | "A model for a laser-induced cavitation bubble" [International Journal of Multiphase Flow] (2020, 96 cites) [DOI: https://doi.org/10.1016/j.ijmultiphaseflow.2020.103433] | "Cavitation in an orifice flow" [Physics of Fluids] (2007, 75 cites) [DOI: https://doi.org/10.1063/1.2750655]</t>
        </is>
      </c>
      <c r="AC23" s="2" t="inlineStr"/>
      <c r="AD23" s="2" t="inlineStr">
        <is>
          <t>Outstanding Mechanical Engineers Distinguished Engineering Alumni Honorary Doctorates Staff Awards Student Awards Distinguished...</t>
        </is>
      </c>
      <c r="AE23" s="2" t="inlineStr"/>
      <c r="AF23" s="2" t="inlineStr">
        <is>
          <t>Fluid Dynamics and Mixing (31) | Fluid Dynamics and Heat Transfer (29) | Particle Dynamics in Fluid Flows (11)</t>
        </is>
      </c>
      <c r="AG23" s="2" t="inlineStr">
        <is>
          <t>Fluid Dynamics and Mixing (31) | Fluid Dynamics and Heat Transfer (29) | Particle Dynamics in Fluid Flows (11)</t>
        </is>
      </c>
      <c r="AH23" s="2" t="inlineStr">
        <is>
          <t>CFD of multiphase flows Turbulent gas-liquid flows Cavitation Heat transfer</t>
        </is>
      </c>
      <c r="AI23" s="2" t="inlineStr">
        <is>
          <t>Fluid Mechanics Heat &amp; Mass Transfer</t>
        </is>
      </c>
      <c r="AJ23" s="2" t="inlineStr">
        <is>
          <t>Fluid Mechanics Heat &amp; Mass Transfer</t>
        </is>
      </c>
      <c r="AK23" s="2" t="inlineStr">
        <is>
          <t>Postdoctoral Associate, Mechanical Eng., MIT, '09-'10 Ph.D. Aerospace and Mechanical Eng., UC Irvine,  '09 M.Sc. Aerospace and Mechanical Eng., UC Irvine,  '05 B.Sc. Mechanical Eng., Sharif University of Technology, Iran, '03</t>
        </is>
      </c>
      <c r="AL23" s="2" t="inlineStr">
        <is>
          <t>Personal Homepage</t>
        </is>
      </c>
      <c r="AM23" s="3">
        <f>HYPERLINK("http://web.ics.purdue.edu/~sdabiris/", "http://web.ics.purdue.edu/~sdabiris/")</f>
        <v/>
      </c>
      <c r="AN23" s="2" t="inlineStr"/>
      <c r="AO23" s="2" t="inlineStr"/>
      <c r="AP23" s="2" t="inlineStr"/>
      <c r="AQ23" s="2" t="inlineStr"/>
      <c r="AR23" s="2" t="inlineStr"/>
      <c r="AS23" s="2" t="inlineStr"/>
      <c r="AT23" s="2" t="inlineStr"/>
      <c r="AU23" s="2" t="b">
        <v>1</v>
      </c>
      <c r="AV23" s="3">
        <f>HYPERLINK("https://engineering.purdue.edu/ME/People/ptFaculty", "https://engineering.purdue.edu/ME/People/ptFaculty")</f>
        <v/>
      </c>
    </row>
    <row r="24">
      <c r="A24" s="2" t="inlineStr">
        <is>
          <t>Tom Shih</t>
        </is>
      </c>
      <c r="B24" s="2" t="inlineStr">
        <is>
          <t>Purdue University</t>
        </is>
      </c>
      <c r="C24" s="3">
        <f>HYPERLINK("https://engineering.purdue.edu/AAE/people/ptProfile?resource_id=56893", "https://engineering.purdue.edu/AAE/people/ptProfile?resource_id=56893")</f>
        <v/>
      </c>
      <c r="D24" s="3">
        <f>HYPERLINK("https://scholar.google.com/citations?view_op=search_authors&amp;mauthors=Tom%20Shih%20Purdue%20University", "Google Scholar Search")</f>
        <v/>
      </c>
      <c r="E24" s="2" t="inlineStr">
        <is>
          <t>Professor of Aeronautics and Astronautics</t>
        </is>
      </c>
      <c r="F24" s="2" t="inlineStr">
        <is>
          <t>Aeronautics and Astronautics</t>
        </is>
      </c>
      <c r="G24" s="2" t="inlineStr"/>
      <c r="H24" s="3">
        <f>HYPERLINK("mailto:tomshih@purdue.edu", "tomshih@purdue.edu")</f>
        <v/>
      </c>
      <c r="I24" s="2" t="n">
        <v>1</v>
      </c>
      <c r="J24" s="2" t="inlineStr">
        <is>
          <t>🔵 Tier 1: Core Aero / Fluids / Propulsion</t>
        </is>
      </c>
      <c r="K24" s="2" t="n">
        <v>6</v>
      </c>
      <c r="L24" s="2" t="inlineStr">
        <is>
          <t>cfd, computational fluid dynamics, estimation, fluid dynamics, heat transfer, thermal</t>
        </is>
      </c>
      <c r="M24" s="2" t="inlineStr">
        <is>
          <t>Turbine aerothermal cooling, film cooling fluid mechanics, rotating U-duct heat transfer, and outflow boundary conditions for rotating detonation combustors.</t>
        </is>
      </c>
      <c r="N24" s="2" t="inlineStr">
        <is>
          <t>Large-Eddy Simulation (LES / WALE), Steady and Unsteady RANS (SST), Film Cooling Facilities, High-Performance Computing, Transition Duct CFD</t>
        </is>
      </c>
      <c r="O24" s="2" t="inlineStr">
        <is>
          <t>Outflow Boundary Conditions for Turbine-Integrated Rotating Detonation Combustors</t>
        </is>
      </c>
      <c r="P24" s="3">
        <f>HYPERLINK("https://doi.org/10.3390/app152211922", "https://doi.org/10.3390/app152211922")</f>
        <v/>
      </c>
      <c r="Q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R24" s="2" t="inlineStr">
        <is>
          <t>This study examines outflow boundary conditions (BCs) in computational fluid dynamics (CFD) simulations of a transition duct with and without guide vanes that converts supersonic flow exiting a rotating detonation combustor (RDC) to subsonic flow to drive a turbine. Since the flow exiting the transition duct is highly unsteady and non-uniform, standard boundary condition formulations can induce artificial acoustic reflections. Non-reflecting characteristic boundary conditions are evaluated and shown to accurately capture the unsteady shock-expansion trains entering the turbine guide vanes.</t>
        </is>
      </c>
      <c r="S24" s="2" t="inlineStr">
        <is>
          <t>Revisiting Dimensionless Parameters Quantifying Film Cooling</t>
        </is>
      </c>
      <c r="T24" s="3">
        <f>HYPERLINK("https://doi.org/10.1115/1.4067931", "https://doi.org/10.1115/1.4067931")</f>
        <v/>
      </c>
      <c r="U24" s="2" t="inlineStr">
        <is>
          <t>performing dimensional analysis and RANS computations on gas turbine airfoil film cooling, demonstrating that scaling with momentum flux and velocity ratios collapses adiabatic effectiveness data across curved blade walls better than conventional blowing ratio parameterizations.</t>
        </is>
      </c>
      <c r="V24" s="2" t="inlineStr">
        <is>
          <t>The adiabatic effectiveness of film cooling (eta) has traditionally been characterized by density ratio and blowing ratio. In this study, dimensional analysis and computations based on Reynolds-averaged Navier-Stokes (RANS) were performed to identify and examine parameters needed to quantify film cooling effectiveness across diverse mainstream pressure gradients. Results reveal that incorporating momentum flux ratio and coolant-to-mainstream velocity ratio provides a more unified scaling law that collapses adiabatic effectiveness curves across both flat and highly curved turbine airfoil surfaces.</t>
        </is>
      </c>
      <c r="W24" s="2" t="inlineStr">
        <is>
          <t>1. Outflow Boundary Conditions for Turbine-Integrated Rotating Detonation Combustors (Applied Sciences, 2025) [DOI: https://doi.org/10.3390/app152211922] | 2. Revisiting Dimensionless Parameters Quantifying Film Cooling (Journal of Turbomachinery, 2025) [DOI: https://doi.org/10.1115/1.4067931]</t>
        </is>
      </c>
      <c r="X24" s="3">
        <f>HYPERLINK("https://doi.org/10.3390/app152211922", "https://doi.org/10.3390/app152211922 | https://doi.org/10.1115/1.4067931")</f>
        <v/>
      </c>
      <c r="Y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Z24" s="2" t="inlineStr"/>
      <c r="AA24" s="2" t="inlineStr">
        <is>
          <t>"Outflow Boundary Conditions for Turbine-Integrated Rotating Detonation Combustors" [Applied Sciences] (2025) [DOI: https://doi.org/10.3390/app152211922] | "Revisiting Dimensionless Parameters Quantifying Film Cooling" [Journal of Turbomachinery] (2025) [DOI: https://doi.org/10.1115/1.4067931] | "Flow and Heat Transfer in a Ribbed Converging-Diverging U-Duct Under Rotating and Non-Rotating Conditions" [Journal of Turbomachinery] (2024) [DOI: https://doi.org/10.1115/1.4066567] | "Introduction to Advancement in Thermal Power Generation and Propulsion with Low/Zero CO 2 Emission Virtual Collection" [AIAA Journal] (2024) [DOI: https://doi.org/10.2514/1.j063542] | "Large-Eddy vs. Reynolds-Averaged Navier–Stokes Simulations of Flow and Heat Transfer in a U-Duct with Unsteady Flow Separation" [Energies] (2024) [DOI: https://doi.org/10.3390/en17102414]</t>
        </is>
      </c>
      <c r="AB24" s="2" t="inlineStr">
        <is>
          <t>"Mechanics of Fluids" [Medical Entomology and Zoology] (2012, 189 cites) [DOI: http://ci.nii.ac.jp/ncid/BA12971383] | "Single-phase and Two-phase Flow and Heat Transfer in Microchannel Heat Sink with Various Manifold Arrangements" [International Journal of Heat and Mass Transfer] (2021, 162 cites) [DOI: https://doi.org/10.1016/j.ijheatmasstransfer.2021.121118] | "Large-Eddy Simulations of Turbulent Flows in an Axisymmetric Dump Combustor" [AIAA Journal] (2008, 58 cites) [DOI: https://doi.org/10.2514/1.25467]</t>
        </is>
      </c>
      <c r="AC24" s="2" t="inlineStr"/>
      <c r="AD24" s="2" t="inlineStr">
        <is>
          <t>Honors Fellow, American Society of Mechanical Engineers (ASME) Fellow, American Institute of Aeronautics and Astronautics (AIAA...</t>
        </is>
      </c>
      <c r="AE24" s="2" t="inlineStr"/>
      <c r="AF24" s="2" t="inlineStr">
        <is>
          <t>Fluid Dynamics and Turbulent Flows (50) | Heat Transfer Mechanisms (45) | Computational Fluid Dynamics and Aerodynamics (33)</t>
        </is>
      </c>
      <c r="AG24" s="2" t="inlineStr">
        <is>
          <t>Fluid Dynamics and Turbulent Flows (50) | Heat Transfer Mechanisms (45) | Computational Fluid Dynamics and Aerodynamics (33)</t>
        </is>
      </c>
      <c r="AH24" s="2" t="inlineStr">
        <is>
          <t>computational fluid dynamics and heat transfer, error estimation in CFD, thermal management, gas turbine aero-thermal, control of shock-wave/boundary-layer interactions, aircraft icing</t>
        </is>
      </c>
      <c r="AI24" s="2" t="inlineStr"/>
      <c r="AJ24" s="2" t="inlineStr">
        <is>
          <t>computational fluid dynamics and heat transfer, error estimation in CFD, thermal management, gas turbine aero-thermal, control of shock-wave/boundary-layer interactions, aircraft icing</t>
        </is>
      </c>
      <c r="AK24" s="2" t="inlineStr">
        <is>
          <t>Freshman Year, West Virginia University, 1971-72 B.S.E., National Cheng Kung University, 1976 M.S.E., The University of Michigan, 1977 Ph.D., The University of Michigan, 1981</t>
        </is>
      </c>
      <c r="AL24" s="2" t="inlineStr">
        <is>
          <t>Indiana Space Grant Consortium</t>
        </is>
      </c>
      <c r="AM24" s="3">
        <f>HYPERLINK("https://insgc.spacegrant.org/", "https://insgc.spacegrant.org/")</f>
        <v/>
      </c>
      <c r="AN24" s="2" t="inlineStr">
        <is>
          <t>Academic INSGC Internships</t>
        </is>
      </c>
      <c r="AO24" s="2" t="inlineStr"/>
      <c r="AP24" s="2" t="inlineStr"/>
      <c r="AQ24" s="2" t="inlineStr">
        <is>
          <t>NASA</t>
        </is>
      </c>
      <c r="AR24" s="2" t="inlineStr"/>
      <c r="AS24" s="2" t="inlineStr"/>
      <c r="AT24" s="2" t="inlineStr">
        <is>
          <t>ARMS 3307</t>
        </is>
      </c>
      <c r="AU24" s="2" t="b">
        <v>1</v>
      </c>
      <c r="AV24" s="3">
        <f>HYPERLINK("https://engineering.purdue.edu/AAE/people/Faculty", "https://engineering.purdue.edu/AAE/people/Faculty")</f>
        <v/>
      </c>
    </row>
    <row r="25">
      <c r="A25" s="2" t="inlineStr">
        <is>
          <t>Kyle J. DeMars</t>
        </is>
      </c>
      <c r="B25" s="2" t="inlineStr">
        <is>
          <t>Purdue University</t>
        </is>
      </c>
      <c r="C25" s="3">
        <f>HYPERLINK("https://engineering.purdue.edu/AAE/people/ptProfile?resource_id=319705", "https://engineering.purdue.edu/AAE/people/ptProfile?resource_id=319705")</f>
        <v/>
      </c>
      <c r="D25" s="3">
        <f>HYPERLINK("https://scholar.google.com/citations?view_op=search_authors&amp;mauthors=Kyle%20J.%20DeMars%20Purdue%20University", "Google Scholar Search")</f>
        <v/>
      </c>
      <c r="E25" s="2" t="inlineStr">
        <is>
          <t>Professor</t>
        </is>
      </c>
      <c r="F25" s="2" t="inlineStr">
        <is>
          <t>Aeronautics and Astronautics</t>
        </is>
      </c>
      <c r="G25" s="2" t="inlineStr"/>
      <c r="H25" s="3">
        <f>HYPERLINK("mailto:kdemars@purdue.edu", "kdemars@purdue.edu")</f>
        <v/>
      </c>
      <c r="I25" s="2" t="n">
        <v>1</v>
      </c>
      <c r="J25" s="2" t="inlineStr">
        <is>
          <t>🔵 Tier 1: Core Aero / Fluids / Propulsion</t>
        </is>
      </c>
      <c r="K25" s="2" t="n">
        <v>5</v>
      </c>
      <c r="L25" s="2" t="inlineStr">
        <is>
          <t>aerospace, astrodynamics, autonomous, guidance, navigation</t>
        </is>
      </c>
      <c r="M25" s="2" t="inlineStr">
        <is>
          <t>Nonlinear orbital state estimation, Gaussian Mixture Probability Hypothesis Density (GM-PHD) filters, multi-target tracking, and space domain awareness in cislunar space.</t>
        </is>
      </c>
      <c r="N25" s="2" t="inlineStr">
        <is>
          <t>GM-PHD Multi-Target Filters, Equinoctial Orbital Propagators, Reproducing Kernel Hilbert Space (RKHS) Estimators, Directional Splitting Uncertainty Methods</t>
        </is>
      </c>
      <c r="O25" s="2" t="inlineStr">
        <is>
          <t>Cislunar State and Uncertainty Propagation via the Modified Generalized Equinoctial Orbital Elements</t>
        </is>
      </c>
      <c r="P25" s="3">
        <f>HYPERLINK("https://doi.org/10.48550/arxiv.2603.20110", "https://doi.org/10.48550/arxiv.2603.20110")</f>
        <v/>
      </c>
      <c r="Q25" s="2" t="inlineStr">
        <is>
          <t>propagating non-Gaussian cislunar orbital uncertainties via modified generalized equinoctial elements, demonstrating that equinoctial parameterization preserves probability density bounds over multi-revolution lunar transfer trajectories.</t>
        </is>
      </c>
      <c r="R25" s="2" t="inlineStr">
        <is>
          <t>The complex cislunar dynamical environment poses challenges for spacecraft navigation and Space Domain Awareness (SDA) operations, where the knowledge of current and future spacecraft states is essential. Conventional Cartesian Gaussian-based approaches degrade under the severe nonlinearities of three-body dynamics. This work introduces an uncertainty propagation formulation utilizing modified generalized equinoctial orbital elements, preventing non-physical probability dispersion growth and enabling accurate multi-day orbit determination.</t>
        </is>
      </c>
      <c r="S25" s="2" t="inlineStr">
        <is>
          <t>A framework for batch processing tracklets in the GM-PHD filter</t>
        </is>
      </c>
      <c r="T25" s="3">
        <f>HYPERLINK("https://doi.org/10.1016/j.asr.2025.11.124", "https://doi.org/10.1016/j.asr.2025.11.124")</f>
        <v/>
      </c>
      <c r="U25" s="2" t="inlineStr">
        <is>
          <t>incorporating batch optical tracklet measurements into the Gaussian Mixture PHD filter update, demonstrating robust multi-target orbit determination from sparse sensor data with significantly reduced false-alarm tracks.</t>
        </is>
      </c>
      <c r="V25" s="2" t="inlineStr">
        <is>
          <t>The objective of this article is to propose a framework for which tracklet data can be batch processed and used within the update step of the Gaussian Mixture Probability Hypothesis Density (GM-PHD) filter. A tracklet represents a sequence of sensor measurements associated with the same target. By incorporating batch measurement sets directly into the mixture update equations, the filter achieves robust initial orbit determination from sparse optical observations while drastically cutting computational complexity.</t>
        </is>
      </c>
      <c r="W25" s="2" t="inlineStr">
        <is>
          <t>1. Cislunar State and Uncertainty Propagation via the Modified Generalized Equinoctial Orbital Elements (arXiv / AAS, 2026) [DOI: https://doi.org/10.48550/arxiv.2603.20110] | 2. A framework for batch processing tracklets in the GM-PHD filter (Advances in Space Research, 2025) [DOI: https://doi.org/10.1016/j.asr.2025.11.124]</t>
        </is>
      </c>
      <c r="X25" s="3">
        <f>HYPERLINK("https://doi.org/10.48550/arxiv.2603.20110", "https://doi.org/10.48550/arxiv.2603.20110 | https://doi.org/10.1016/j.asr.2025.11.124")</f>
        <v/>
      </c>
      <c r="Y25" s="2" t="inlineStr">
        <is>
          <t>propagating non-Gaussian cislunar orbital uncertainties via modified generalized equinoctial elements, demonstrating that equinoctial parameterization preserves probability density bounds over multi-revolution lunar transfer trajectories.</t>
        </is>
      </c>
      <c r="Z25" s="2" t="inlineStr"/>
      <c r="AA25" s="2" t="inlineStr">
        <is>
          <t>"Cislunar State and Uncertainty Propagation via the Modified Generalized Equinoctial Orbital Elements" [arXiv (Cornell University)] (2026) [DOI: http://arxiv.org/abs/2603.20110]</t>
        </is>
      </c>
      <c r="AB25" s="2" t="inlineStr">
        <is>
          <t>"Cislunar State and Uncertainty Propagation via the Modified Generalized Equinoctial Orbital Elements" [arXiv (Cornell University)] (2026, 0 cites) [DOI: http://arxiv.org/abs/2603.20110]</t>
        </is>
      </c>
      <c r="AC25" s="2" t="inlineStr"/>
      <c r="AD25" s="2" t="inlineStr">
        <is>
          <t>AAS Fellow, 2024 AIAA Associate Fellow, 2021 Senior Editor, Journal of the Astronautical Sciences</t>
        </is>
      </c>
      <c r="AE25" s="2" t="inlineStr"/>
      <c r="AF25" s="2" t="inlineStr">
        <is>
          <t>Target Tracking and Data Fusion in Sensor Networks (1) | Spacecraft Dynamics and Control (1) | Space Satellite Systems and Control (1)</t>
        </is>
      </c>
      <c r="AG25" s="2" t="inlineStr">
        <is>
          <t>Target Tracking and Data Fusion in Sensor Networks (1) | Spacecraft Dynamics and Control (1) | Space Satellite Systems and Control (1)</t>
        </is>
      </c>
      <c r="AH25" s="2" t="inlineStr"/>
      <c r="AI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 pause() {
    myPronunciation.pause();
    }</t>
        </is>
      </c>
      <c r="AJ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t>
        </is>
      </c>
      <c r="AK25" s="2" t="inlineStr">
        <is>
          <t>Ph.D., The University of Texas at Austin, Aerospace Engineering, 2010 M.S.E., The University of Texas at Austin, Aerospace Engineering, 2007 B.S., The University of Texas at Austin, Aerospace Engineering, 2004</t>
        </is>
      </c>
      <c r="AL25" s="2" t="inlineStr">
        <is>
          <t>Indiana Space Grant Consortium</t>
        </is>
      </c>
      <c r="AM25" s="3">
        <f>HYPERLINK("https://insgc.spacegrant.org/", "https://insgc.spacegrant.org/")</f>
        <v/>
      </c>
      <c r="AN25" s="2" t="inlineStr">
        <is>
          <t>Academic INSGC Internships</t>
        </is>
      </c>
      <c r="AO25" s="2" t="inlineStr"/>
      <c r="AP25" s="2" t="inlineStr"/>
      <c r="AQ25" s="2" t="inlineStr">
        <is>
          <t>NASA</t>
        </is>
      </c>
      <c r="AR25" s="2" t="inlineStr"/>
      <c r="AS25" s="2" t="inlineStr"/>
      <c r="AT25" s="2" t="inlineStr">
        <is>
          <t>ARMS 3223</t>
        </is>
      </c>
      <c r="AU25" s="2" t="b">
        <v>1</v>
      </c>
      <c r="AV25" s="3">
        <f>HYPERLINK("https://engineering.purdue.edu/AAE/people/Faculty", "https://engineering.purdue.edu/AAE/people/Faculty")</f>
        <v/>
      </c>
    </row>
    <row r="26">
      <c r="A26" s="2" t="inlineStr">
        <is>
          <t>Li Qiao</t>
        </is>
      </c>
      <c r="B26" s="2" t="inlineStr">
        <is>
          <t>Purdue University</t>
        </is>
      </c>
      <c r="C26" s="3">
        <f>HYPERLINK("https://engineering.purdue.edu/AAE/people/ptProfile?resource_id=39640", "https://engineering.purdue.edu/AAE/people/ptProfile?resource_id=39640")</f>
        <v/>
      </c>
      <c r="D26" s="3">
        <f>HYPERLINK("https://scholar.google.com/citations?user=yFXFQPYAAAAJ&amp;hl=en", "Scholar (yFXFQPYAAAAJ)")</f>
        <v/>
      </c>
      <c r="E26" s="2" t="inlineStr">
        <is>
          <t>Professor, Associate Head for Engagement and Recognition</t>
        </is>
      </c>
      <c r="F26" s="2" t="inlineStr">
        <is>
          <t>Aeronautics and Astronautics</t>
        </is>
      </c>
      <c r="G26" s="2" t="inlineStr">
        <is>
          <t>yFXFQPYAAAAJ</t>
        </is>
      </c>
      <c r="H26" s="3">
        <f>HYPERLINK("mailto:lqiao@purdue.edu", "lqiao@purdue.edu")</f>
        <v/>
      </c>
      <c r="I26" s="2" t="n">
        <v>1</v>
      </c>
      <c r="J26" s="2" t="inlineStr">
        <is>
          <t>🔵 Tier 1: Core Aero / Fluids / Propulsion</t>
        </is>
      </c>
      <c r="K26" s="2" t="n">
        <v>5</v>
      </c>
      <c r="L26" s="2" t="inlineStr">
        <is>
          <t>aerospace, combustion, drone, propulsion, thermal</t>
        </is>
      </c>
      <c r="M26" s="2" t="inlineStr">
        <is>
          <t>Combustion kinetics of alternative and droplet fuels, nanofluid fuels with metal nanoparticles, turbulent jet ignition, and high-pressure flame propagation.</t>
        </is>
      </c>
      <c r="N26" s="2" t="inlineStr">
        <is>
          <t>High-Pressure Constant-Volume Combustion Chambers, Droplet Combustion Rigs, Schlieren Imaging, Planar Laser Diagnostics, Chemkin Chemical Kinetics</t>
        </is>
      </c>
      <c r="O26" s="2" t="inlineStr">
        <is>
          <t>On ignition mechanisms of premixed CH 4 /air and H 2 /air using a hot turbulent jet generated by pre-chamber combustion</t>
        </is>
      </c>
      <c r="P26" s="3">
        <f>HYPERLINK("https://doi.org/10.1016/j.applthermaleng.2016.06.070", "https://doi.org/10.1016/j.applthermaleng.2016.06.070")</f>
        <v/>
      </c>
      <c r="Q26" s="2" t="inlineStr">
        <is>
          <t>analyzing turbulent pre-chamber jet ignition across methane/air and hydrogen/air mixtures, demonstrating that active radical ejection from the nozzle reduces main-chamber ignition delay by over 60% compared to spark ignition.</t>
        </is>
      </c>
      <c r="R26" s="2" t="inlineStr">
        <is>
          <t>The ignition mechanisms of premixed methane/air and hydrogen/air mixtures by a hot turbulent jet generated by pre-chamber combustion were investigated. High-speed imaging and chemical kinetic simulations revealed that ignition is governed by the competing rates of turbulent mixing and chemical heat release, establishing operating boundaries for reliable pre-chamber jet ignition in lean-burn engines.</t>
        </is>
      </c>
      <c r="S26" s="2" t="inlineStr">
        <is>
          <t>Combustion characteristics of fuel droplets with addition of nano and micron-sized aluminum particles</t>
        </is>
      </c>
      <c r="T26" s="3">
        <f>HYPERLINK("https://doi.org/10.1016/j.combustflame.2009.11.011", "https://doi.org/10.1016/j.combustflame.2009.11.011")</f>
        <v/>
      </c>
      <c r="U26" s="2" t="inlineStr">
        <is>
          <t>investigating isolated droplet combustion containing suspended aluminum particles, demonstrating that nanoscale aluminum promotes microexplosions that disrupt droplet agglomeration and accelerate secondary fuel atomization.</t>
        </is>
      </c>
      <c r="V26" s="2" t="inlineStr">
        <is>
          <t>An experimental study was conducted to examine the combustion behavior of isolated liquid fuel droplets containing suspended nanoscale and microscale aluminum particles. The combustion process, including droplet burning rate, microexplosion, particle ignition, and agglomeration, was captured using high-speed photography. Nanoparticle addition significantly altered droplet surface tension and promoted microexplosions, leading to enhanced secondary atomization and complete metal burnout.</t>
        </is>
      </c>
      <c r="W26" s="2" t="inlineStr">
        <is>
          <t>1. On ignition mechanisms of premixed CH 4 /air and H 2 /air using a hot turbulent jet generated by pre-chamber combustion (Applied Thermal Engineering, 2016) [DOI: https://doi.org/10.1016/j.applthermaleng.2016.06.070] | 2. Combustion characteristics of fuel droplets with addition of nano and micron-sized aluminum particles (Combustion and Flame, 2010) [DOI: https://doi.org/10.1016/j.combustflame.2009.11.011]</t>
        </is>
      </c>
      <c r="X26" s="3">
        <f>HYPERLINK("https://doi.org/10.1016/j.applthermaleng.2016.06.070", "https://doi.org/10.1016/j.applthermaleng.2016.06.070 | https://doi.org/10.1016/j.combustflame.2009.11.011")</f>
        <v/>
      </c>
      <c r="Y26" s="2" t="inlineStr">
        <is>
          <t>analyzing turbulent pre-chamber jet ignition across methane/air and hydrogen/air mixtures, demonstrating that active radical ejection from the nozzle reduces main-chamber ignition delay by over 60% compared to spark ignition.</t>
        </is>
      </c>
      <c r="Z26" s="2" t="inlineStr"/>
      <c r="AA26" s="2" t="inlineStr">
        <is>
          <t>"Impact of Using Flame-Retardant Electrolyte Additives in Li-Ion Batteries: A Comprehensive Evaluation of Ethoxy (Pentafluoro) Cyclotriphosphazene (PFPN)" [Batteries] (2026) [DOI: https://doi.org/10.3390/batteries12080299] | "Real-time rocket motor internal flow field prediction based on hybrid POD and deep neural networks" [International Journal of Heat and Mass Transfer] (2025) [DOI: https://doi.org/10.1016/j.ijheatmasstransfer.2025.127587] | "Influence of Pre-Chamber Nozzle Orientation on Dilution Tolerance in a Constant-Volume Optical Engine" [SAE International Journal of Engines] (2025) [DOI: https://doi.org/10.4271/03-18-05-0031] | "Inside the search for sustainable aviation fuels, which are on the federal chopping block" (2025) [DOI: https://doi.org/10.64628/aai.xav9uumfu] | "Differential Modules Toward Derived Functors" [Frontiers of Mathematics] (2025) [DOI: https://doi.org/10.1007/s11464-022-0070-x]</t>
        </is>
      </c>
      <c r="AB26" s="2" t="inlineStr">
        <is>
          <t>"Combustion characteristics of fuel droplets with addition of nano and micron-sized aluminum particles" [Combustion and Flame] (2010, 423 cites) [DOI: https://doi.org/10.1016/j.combustflame.2010.09.005] | "On ignition mechanisms of premixed CH 4 /air and H 2 /air using a hot turbulent jet generated by pre-chamber combustion" [Applied Thermal Engineering] (2016, 310 cites) [DOI: https://doi.org/10.1016/j.applthermaleng.2016.06.070] | "Surface tension of Nanofluid-type fuels containing suspended nanomaterials" [Nanoscale Research Letters] (2012, 290 cites) [DOI: https://doi.org/10.1186/1556-276x-7-226]</t>
        </is>
      </c>
      <c r="AC26" s="2" t="inlineStr"/>
      <c r="AD26" s="2" t="inlineStr">
        <is>
          <t>Fulbright Scholar Award, 2024 AIAA High Speed Air Breathing Propulsion Best Paper Award, 2022 Associate Editor, AIAA Journal, 2...</t>
        </is>
      </c>
      <c r="AE26" s="2" t="inlineStr"/>
      <c r="AF26" s="2" t="inlineStr">
        <is>
          <t>Combustion, Fuels and Energetic Droplets (104)</t>
        </is>
      </c>
      <c r="AG26" s="2" t="inlineStr">
        <is>
          <t>Combustion, Fuels and Energetic Droplets (104)</t>
        </is>
      </c>
      <c r="AH26" s="2" t="inlineStr"/>
      <c r="AI26" s="2" t="inlineStr">
        <is>
          <t>(1) Sustainable fuels; (2) Pre-chamber jet ignition for combustion engines; (3) Thermal management for electric and hybrid aircraft (4) Battery fire safety (5) Propulsion technology for drones and UAVs;</t>
        </is>
      </c>
      <c r="AJ26" s="2" t="inlineStr">
        <is>
          <t>(1) Sustainable fuels; (2) Pre-chamber jet ignition for combustion engines; (3) Thermal management for electric and hybrid aircraft (4) Battery fire safety (5) Propulsion technology for drones and UAVs;</t>
        </is>
      </c>
      <c r="AK26" s="2" t="inlineStr">
        <is>
          <t>B.S., Tsinghua University, Engineering Mechanics, 1999 M.S., Tsinghua Univeristy, Engineering Mechanics, 2001 Ph.D., University of Michigan, Aerospace Engineering, 2007</t>
        </is>
      </c>
      <c r="AL26" s="2" t="inlineStr">
        <is>
          <t>Indiana Space Grant Consortium</t>
        </is>
      </c>
      <c r="AM26" s="3">
        <f>HYPERLINK("https://insgc.spacegrant.org/", "https://insgc.spacegrant.org/")</f>
        <v/>
      </c>
      <c r="AN26" s="2" t="inlineStr">
        <is>
          <t>Academic INSGC Internships</t>
        </is>
      </c>
      <c r="AO26" s="2" t="inlineStr"/>
      <c r="AP26" s="2" t="inlineStr"/>
      <c r="AQ26" s="2" t="inlineStr">
        <is>
          <t>NASA</t>
        </is>
      </c>
      <c r="AR26" s="2" t="inlineStr"/>
      <c r="AS26" s="2" t="inlineStr"/>
      <c r="AT26" s="2" t="inlineStr">
        <is>
          <t>ARMS 3221</t>
        </is>
      </c>
      <c r="AU26" s="2" t="b">
        <v>1</v>
      </c>
      <c r="AV26" s="3">
        <f>HYPERLINK("https://engineering.purdue.edu/AAE/people/Faculty", "https://engineering.purdue.edu/AAE/people/Faculty")</f>
        <v/>
      </c>
    </row>
    <row r="27">
      <c r="A27" s="2" t="inlineStr">
        <is>
          <t>Aaron Morris</t>
        </is>
      </c>
      <c r="B27" s="2" t="inlineStr">
        <is>
          <t>Purdue University</t>
        </is>
      </c>
      <c r="C27" s="3">
        <f>HYPERLINK("https://engineering.purdue.edu/ME/People/ptProfile?resource_id=159298", "https://engineering.purdue.edu/ME/People/ptProfile?resource_id=159298")</f>
        <v/>
      </c>
      <c r="D27" s="3">
        <f>HYPERLINK("https://scholar.google.com/citations?view_op=search_authors&amp;mauthors=Aaron%20Morris%20Purdue%20University", "Google Scholar Search")</f>
        <v/>
      </c>
      <c r="E27" s="2" t="inlineStr">
        <is>
          <t>Associate Professor of Mechanical Engineering</t>
        </is>
      </c>
      <c r="F27" s="2" t="inlineStr">
        <is>
          <t>Mechanical Engineering</t>
        </is>
      </c>
      <c r="G27" s="2" t="inlineStr"/>
      <c r="H27" s="3">
        <f>HYPERLINK("mailto:abmorris@purdue.edu", "abmorris@purdue.edu")</f>
        <v/>
      </c>
      <c r="I27" s="2" t="n">
        <v>1</v>
      </c>
      <c r="J27" s="2" t="inlineStr">
        <is>
          <t>🔵 Tier 1: Core Aero / Fluids / Propulsion</t>
        </is>
      </c>
      <c r="K27" s="2" t="n">
        <v>4</v>
      </c>
      <c r="L27" s="2" t="inlineStr">
        <is>
          <t>fluid dynamics, fluid mechanics, heat transfer, multiphase flow</t>
        </is>
      </c>
      <c r="M27" s="2" t="inlineStr">
        <is>
          <t>Granular multiphase flows, energy direct simulation Monte Carlo (EDSMC) for fluidized systems, CFD-DEM modeling of granular heat transfer, and concentrated solar receivers.</t>
        </is>
      </c>
      <c r="N27" s="2" t="inlineStr">
        <is>
          <t>Energy Direct Simulation Monte Carlo (EDSMC), Coupled CFD-DEM, Kinetic Theory of Granular Flows, OpenFOAM, High-Performance Multiphase Computing</t>
        </is>
      </c>
      <c r="O27" s="2" t="inlineStr">
        <is>
          <t>Modeling of fluidized systems using a novel Monte Carlo approach for granular interactions</t>
        </is>
      </c>
      <c r="P27" s="3">
        <f>HYPERLINK("https://doi.org/10.1002/aic.70212", "https://doi.org/10.1002/aic.70212")</f>
        <v/>
      </c>
      <c r="Q27" s="2" t="inlineStr">
        <is>
          <t>developing the Energy Direct Simulation Monte Carlo (EDSMC) method for gas-solid fluidized beds, capturing particle inelastic collisions and granular temperature dissipation at a fraction of the computational cost of standard DEM.</t>
        </is>
      </c>
      <c r="R27" s="2" t="inlineStr">
        <is>
          <t>A kinetic theory-based Monte Carlo algorithm for simulating particle dynamics within a gas-solid flow is presented. The technique, called the energy direct simulation Monte Carlo (EDSMC) method, has a formulation that is unique in the field of fluidization modeling. EDSMC resolves inelastic inter-particle collisions and granular temperature evolution without the severe time-step constraints of discrete element methods (DEM), accurately predicting bubble formation and solids circulation in dense fluidized beds.</t>
        </is>
      </c>
      <c r="S27" s="2" t="inlineStr">
        <is>
          <t>Thermal analysis of a solid particle light-trapping planar cavity receiver using computational fluid dynamics</t>
        </is>
      </c>
      <c r="T27" s="3">
        <f>HYPERLINK("https://doi.org/10.1016/j.applthermaleng.2025.126427", "https://doi.org/10.1016/j.applthermaleng.2025.126427")</f>
        <v/>
      </c>
      <c r="U27" s="2" t="inlineStr">
        <is>
          <t>modeling coupled CFD and discrete particle radiative transport in falling curtain solar cavity receivers, demonstrating that optimized enclosure aerodynamics suppress convective plume escape and achieve thermal efficiencies over 85% at 800 deg C.</t>
        </is>
      </c>
      <c r="V27" s="2" t="inlineStr">
        <is>
          <t>Light-Trapping Planar Cavity Receivers (LTPCRs) are promising next-generation configurations for concentrated solar power plants utilizing solid particle curtains as heat transfer media. Using coupled computational fluid dynamics and discrete particle radiative transfer modeling, this work evaluates the thermal performance of falling particle curtains under intense solar flux. Enclosure geometric optimization reduces convective heat losses, boosting thermal receiver efficiency above 85% at 800 deg C.</t>
        </is>
      </c>
      <c r="W27" s="2" t="inlineStr">
        <is>
          <t>1. Modeling of fluidized systems using a novel Monte Carlo approach for granular interactions (AIChE Journal, 2026) [DOI: https://doi.org/10.1002/aic.70212] | 2. Thermal analysis of a solid particle light-trapping planar cavity receiver using computational fluid dynamics (Applied Thermal Engineering, 2025) [DOI: https://doi.org/10.1016/j.applthermaleng.2025.126427]</t>
        </is>
      </c>
      <c r="X27" s="3">
        <f>HYPERLINK("https://doi.org/10.1002/aic.70212", "https://doi.org/10.1002/aic.70212 | https://doi.org/10.1016/j.applthermaleng.2025.126427")</f>
        <v/>
      </c>
      <c r="Y27" s="2" t="inlineStr">
        <is>
          <t>developing the Energy Direct Simulation Monte Carlo (EDSMC) method for gas-solid fluidized beds, capturing particle inelastic collisions and granular temperature dissipation at a fraction of the computational cost of standard DEM.</t>
        </is>
      </c>
      <c r="Z27" s="2" t="inlineStr"/>
      <c r="AA27" s="2" t="inlineStr">
        <is>
          <t>"Modeling of fluidized systems using a novel Monte Carlo approach for granular interactions" [AIChE Journal] (2026) [DOI: https://doi.org/10.1002/aic.70212] | "Continuum correlations from CFD-DEM modeling of conduction heat transfer in granular flows" [SSRN Electronic Journal] (2026) [DOI: https://doi.org/10.2139/ssrn.6030431] | "Geometric Optimization of an External Enclosure to Enhance Receiver Thermal Performance in Concentrated Solar Power Systems" (2025) [DOI: https://doi.org/10.1115/es2025-157075] | "Thermal analysis of a solid particle light-trapping planar cavity receiver using computational fluid dynamics" [Applied Thermal Engineering] (2025) [DOI: https://doi.org/10.1016/j.applthermaleng.2025.126427] | "Thermal Analysis of a Light-Trapping Planar Cavity Receiver Using Computational Fluid Dynamics" [SSRN Electronic Journal] (2025) [DOI: https://doi.org/10.2139/ssrn.5104197]</t>
        </is>
      </c>
      <c r="AB27" s="2" t="inlineStr">
        <is>
          <t>"Extension of a coarse grained particle method to simulate heat transfer in fluidized beds" [International Journal of Heat and Mass Transfer] (2017, 133 cites) [DOI: https://doi.org/10.1016/j.ijheatmasstransfer.2017.04.040] | "Simulations of heat transfer to solid particles flowing through an array of heated tubes" [Solar Energy] (2016, 102 cites) [DOI: https://doi.org/10.1016/j.solener.2016.01.033] | "A conductive heat transfer model for particle flows over immersed surfaces" [International Journal of Heat and Mass Transfer] (2015, 82 cites) [DOI: https://doi.org/10.1016/j.ijheatmasstransfer.2015.06.004]</t>
        </is>
      </c>
      <c r="AC27" s="2" t="inlineStr"/>
      <c r="AD27" s="2" t="inlineStr">
        <is>
          <t>Outstanding Mechanical Engineers Distinguished Engineering Alumni Honorary Doctorates Staff Awards Student Awards Distinguished...</t>
        </is>
      </c>
      <c r="AE27" s="2" t="inlineStr"/>
      <c r="AF27" s="2" t="inlineStr">
        <is>
          <t>Particle Dynamics in Fluid Flows (22) | Granular flow and fluidized beds (19) | Gas Dynamics and Kinetic Theory (13)</t>
        </is>
      </c>
      <c r="AG27" s="2" t="inlineStr">
        <is>
          <t>Particle Dynamics in Fluid Flows (22) | Granular flow and fluidized beds (19) | Gas Dynamics and Kinetic Theory (13)</t>
        </is>
      </c>
      <c r="AH27" s="2" t="inlineStr">
        <is>
          <t>Fluid dynamics Multiphase flows Monte Carlo methods Kinetic theory of granular flows Heat transfer in granular media Rarefied gas dynamics</t>
        </is>
      </c>
      <c r="AI27" s="2" t="inlineStr">
        <is>
          <t>Fluid Mechanics Heat &amp; Mass Transfer</t>
        </is>
      </c>
      <c r="AJ27" s="2" t="inlineStr">
        <is>
          <t>Fluid Mechanics Heat &amp; Mass Transfer</t>
        </is>
      </c>
      <c r="AK27" s="2" t="inlineStr">
        <is>
          <t>Postdoctoral Fellow, University of Colorado Boulder, 2013-2015 Ph. D., University of Texas at Austin, 2012 M.S., University of Texas at Austin, 2009 B.S., Rensselaer Polytechnic Institute, 2006</t>
        </is>
      </c>
      <c r="AL27" s="2" t="inlineStr">
        <is>
          <t>Center for Particulate Products and Processes</t>
        </is>
      </c>
      <c r="AM27" s="3">
        <f>HYPERLINK("https://engineering.purdue.edu/CP3/", "https://engineering.purdue.edu/CP3/")</f>
        <v/>
      </c>
      <c r="AN27" s="2" t="inlineStr"/>
      <c r="AO27" s="2" t="inlineStr"/>
      <c r="AP27" s="2" t="inlineStr">
        <is>
          <t>Gas Turbine, MTS, Instron</t>
        </is>
      </c>
      <c r="AQ27" s="2" t="inlineStr">
        <is>
          <t>DOE, NSF</t>
        </is>
      </c>
      <c r="AR27" s="2" t="inlineStr"/>
      <c r="AS27" s="2" t="inlineStr"/>
      <c r="AT27" s="2" t="inlineStr">
        <is>
          <t>FLEX 3021D</t>
        </is>
      </c>
      <c r="AU27" s="2" t="b">
        <v>1</v>
      </c>
      <c r="AV27" s="3">
        <f>HYPERLINK("https://engineering.purdue.edu/ME/People/ptFaculty", "https://engineering.purdue.edu/ME/People/ptFaculty")</f>
        <v/>
      </c>
    </row>
    <row r="28">
      <c r="A28" s="2" t="inlineStr">
        <is>
          <t>Alexey Shashurin</t>
        </is>
      </c>
      <c r="B28" s="2" t="inlineStr">
        <is>
          <t>Purdue University</t>
        </is>
      </c>
      <c r="C28" s="3">
        <f>HYPERLINK("https://engineering.purdue.edu/AAE/people/ptProfile?resource_id=124987", "https://engineering.purdue.edu/AAE/people/ptProfile?resource_id=124987")</f>
        <v/>
      </c>
      <c r="D28" s="3">
        <f>HYPERLINK("https://scholar.google.com/citations?view_op=search_authors&amp;mauthors=Alexey%20Shashurin%20Purdue%20University", "Google Scholar Search")</f>
        <v/>
      </c>
      <c r="E28" s="2" t="inlineStr">
        <is>
          <t>Lawrence Cargnino Professor of Aeronautics and Astronautics</t>
        </is>
      </c>
      <c r="F28" s="2" t="inlineStr">
        <is>
          <t>Aeronautics and Astronautics</t>
        </is>
      </c>
      <c r="G28" s="2" t="inlineStr"/>
      <c r="H28" s="3">
        <f>HYPERLINK("mailto:ashashur@purdue.edu", "ashashur@purdue.edu")</f>
        <v/>
      </c>
      <c r="I28" s="2" t="n">
        <v>1</v>
      </c>
      <c r="J28" s="2" t="inlineStr">
        <is>
          <t>🔵 Tier 1: Core Aero / Fluids / Propulsion</t>
        </is>
      </c>
      <c r="K28" s="2" t="n">
        <v>4</v>
      </c>
      <c r="L28" s="2" t="inlineStr">
        <is>
          <t>combustion, flow control, propulsion, spacecraft</t>
        </is>
      </c>
      <c r="M28" s="2" t="inlineStr">
        <is>
          <t>Non-equilibrium plasma aerodynamics, laser-induced plasma diagnostics (Radar-REMPI, coherent microwave scattering), and pulsed magnetoplasmadynamic (MPD) thrusters.</t>
        </is>
      </c>
      <c r="N28" s="2" t="inlineStr">
        <is>
          <t>Radar-REMPI Diagnostics, Coherent Microwave Scattering (CMS), Pulsed Magnetoplasmadynamic Thrusters, Nanosecond Pulsed Discharges, Langmuir Probes</t>
        </is>
      </c>
      <c r="O28" s="2" t="inlineStr">
        <is>
          <t>Characterization of nonlinear sheath dynamics in high-pressure asymmetric RF discharge</t>
        </is>
      </c>
      <c r="P28" s="3">
        <f>HYPERLINK("https://doi.org/10.1063/5.0334090", "https://doi.org/10.1063/5.0334090")</f>
        <v/>
      </c>
      <c r="Q28" s="2" t="inlineStr">
        <is>
          <t>measuring phase-resolved nonlinear sheath impedance in high-pressure asymmetric RF discharges, demonstrating that dynamic sheath expansion stabilizes non-equilibrium plasma channels and prevents thermal arcing at elevated gas pressures.</t>
        </is>
      </c>
      <c r="R28" s="2" t="inlineStr">
        <is>
          <t>This study investigates the nonlinear behavior of asymmetric radio frequency (RF) discharges at high pressures implemented in a compact coaxial connector geometry, with a particular focus on sheath dynamics. We present a novel experimental approach that enables accurate, non-intrusive measurements of sheath capacitance and conduction currents. Phase-resolved voltage-current diagnostics reveal that non-linear sheath expansion at elevated pressures enhances local electron heating, suppressing thermal arc transitions and enabling stable atmospheric-pressure plasma generation.</t>
        </is>
      </c>
      <c r="S28" s="2" t="inlineStr">
        <is>
          <t>Parametric evaluation of ion beam properties in the near-field plume of a low-voltage, liquid-fed pulsed magnetoplasmadynamic thruster</t>
        </is>
      </c>
      <c r="T28" s="3">
        <f>HYPERLINK("https://doi.org/10.1063/5.0294710", "https://doi.org/10.1063/5.0294710")</f>
        <v/>
      </c>
      <c r="U28" s="2" t="inlineStr">
        <is>
          <t>evaluating near-field ion plume mechanics of an ASCENT liquid-fed pulsed magnetoplasmadynamic thruster (200-400 V), demonstrating that interelectrode magnetic tailoring enhances axial kinetic energy conversion to achieve exhaust velocities beyond 18 km/s.</t>
        </is>
      </c>
      <c r="V28" s="2" t="inlineStr">
        <is>
          <t>A parametric investigation of plume characteristics from a pulsed magnetoplasmadynamic thruster (PMPD) operating with the liquid monopropellant ASCENT is presented. Discharges across a range of driving voltages (200-400 V) and three interelectrode configurations were evaluated to assess their influence on ion exhaust velocity, electron temperature, and plume divergence. Faraday cup arrays and time-resolved optical emission spectroscopy show that tailoring the magnetic field topology increases axial ion acceleration, yielding exhaust velocities exceeding 18 km/s.</t>
        </is>
      </c>
      <c r="W28" s="2" t="inlineStr">
        <is>
          <t>1. Characterization of nonlinear sheath dynamics in high-pressure asymmetric RF discharge (Journal of Applied Physics, 2026) [DOI: https://doi.org/10.1063/5.0334090] | 2. Parametric evaluation of ion beam properties in the near-field plume of a low-voltage, liquid-fed pulsed magnetoplasmadynamic thruster (Physics of Plasmas, 2026) [DOI: https://doi.org/10.1063/5.0294710]</t>
        </is>
      </c>
      <c r="X28" s="3">
        <f>HYPERLINK("https://doi.org/10.1063/5.0334090", "https://doi.org/10.1063/5.0334090 | https://doi.org/10.1063/5.0294710")</f>
        <v/>
      </c>
      <c r="Y28" s="2" t="inlineStr">
        <is>
          <t>measuring phase-resolved nonlinear sheath impedance in high-pressure asymmetric RF discharges, demonstrating that dynamic sheath expansion stabilizes non-equilibrium plasma channels and prevents thermal arcing at elevated gas pressures.</t>
        </is>
      </c>
      <c r="Z28" s="2" t="inlineStr"/>
      <c r="AA28" s="2" t="inlineStr">
        <is>
          <t>"Characterization of nonlinear sheath dynamics in high-pressure asymmetric RF discharge" [Journal of Applied Physics] (2026) [DOI: https://doi.org/10.1063/5.0334090] | "Absolute Radar-REMPI via Two-Color REMPI and Absolutely Calibrated CMS for Diagnostics of Species in Gaseous Mixtures" [arXiv (Cornell University)] (2026) [DOI: https://doi.org/10.48550/arxiv.2606.20827] | "Absolute Radar-REMPI via Two-Color REMPI and Absolutely Calibrated CMS for Diagnostics of Species in Gaseous Mixtures" [arXiv (Cornell University)] (2026) [DOI: https://arxiv.org/abs/2606.20827] | "Parametric evaluation of ion beam properties in the near-field plume of a low-voltage, liquid-fed pulsed magnetoplasmadynamic thruster" [Physics of Plasmas] (2026) [DOI: https://doi.org/10.1063/5.0294710] | "Constructive Coherent Microwave Scattering for Studying Femtosecond Filamentation and Tabulating Photoionization Rates" (2026) [DOI: https://doi.org/10.2514/6.2026-0780]</t>
        </is>
      </c>
      <c r="AB28" s="2" t="inlineStr">
        <is>
          <t>"Cold plasma selectivity and the possibility of a paradigm shift in cancer therapy" [British Journal of Cancer] (2011, 767 cites) [DOI: https://doi.org/10.1038/bjc.2011.386] | "Cold atmospheric plasma in cancer therapy" [Physics of Plasmas] (2013, 501 cites) [DOI: https://doi.org/10.1063/1.4801516] | "Living tissue under treatment of cold plasma atmospheric jet" [Applied Physics Letters] (2008, 293 cites) [DOI: https://doi.org/10.1063/1.3020223]</t>
        </is>
      </c>
      <c r="AC28" s="2" t="inlineStr"/>
      <c r="AD28" s="2" t="inlineStr"/>
      <c r="AE28" s="2" t="inlineStr"/>
      <c r="AF28" s="2" t="inlineStr">
        <is>
          <t>Plasma Diagnostics and Applications (92) | Plasma Applications and Diagnostics (65) | Vacuum and Plasma Arcs (47)</t>
        </is>
      </c>
      <c r="AG28" s="2" t="inlineStr">
        <is>
          <t>Plasma Diagnostics and Applications (92) | Plasma Applications and Diagnostics (65) | Vacuum and Plasma Arcs (47)</t>
        </is>
      </c>
      <c r="AH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I28" s="2" t="inlineStr"/>
      <c r="AJ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K28" s="2" t="inlineStr">
        <is>
          <t>B.Sc., Physics, Lobachevsky State University of Nizhny Novgorod, Russia, 1996 M.Sc., Physics, Lobachevsky State University of Nizhny Novgorod, Russia, 1998 Ph.D., School of Engineering, Dept. Interdisciplinary Studies, Tel Aviv University, 2008</t>
        </is>
      </c>
      <c r="AL28" s="2" t="inlineStr">
        <is>
          <t>Indiana Space Grant Consortium</t>
        </is>
      </c>
      <c r="AM28" s="3">
        <f>HYPERLINK("https://insgc.spacegrant.org/", "https://insgc.spacegrant.org/")</f>
        <v/>
      </c>
      <c r="AN28" s="2" t="inlineStr">
        <is>
          <t>Academic INSGC Internships</t>
        </is>
      </c>
      <c r="AO28" s="2" t="inlineStr"/>
      <c r="AP28" s="2" t="inlineStr"/>
      <c r="AQ28" s="2" t="inlineStr">
        <is>
          <t>NASA</t>
        </is>
      </c>
      <c r="AR28" s="2" t="inlineStr"/>
      <c r="AS28" s="2" t="inlineStr"/>
      <c r="AT28" s="2" t="inlineStr">
        <is>
          <t>ARMS 3331</t>
        </is>
      </c>
      <c r="AU28" s="2" t="b">
        <v>1</v>
      </c>
      <c r="AV28" s="3">
        <f>HYPERLINK("https://engineering.purdue.edu/AAE/people/Faculty", "https://engineering.purdue.edu/AAE/people/Faculty")</f>
        <v/>
      </c>
    </row>
    <row r="29">
      <c r="A29" s="2" t="inlineStr">
        <is>
          <t>Carlos Larriba-Andaluz</t>
        </is>
      </c>
      <c r="B29" s="2" t="inlineStr">
        <is>
          <t>Purdue University</t>
        </is>
      </c>
      <c r="C29" s="3">
        <f>HYPERLINK("https://engineering.purdue.edu/ME/People/ptProfile?resource_id=297468", "https://engineering.purdue.edu/ME/People/ptProfile?resource_id=297468")</f>
        <v/>
      </c>
      <c r="D29" s="3">
        <f>HYPERLINK("https://scholar.google.com/citations?view_op=search_authors&amp;mauthors=Carlos%20Larriba-Andaluz%20Purdue%20University", "Google Scholar Search")</f>
        <v/>
      </c>
      <c r="E29" s="2" t="inlineStr">
        <is>
          <t>Associate Professor of Mechanical Engineering</t>
        </is>
      </c>
      <c r="F29" s="2" t="inlineStr">
        <is>
          <t>Mechanical Engineering</t>
        </is>
      </c>
      <c r="G29" s="2" t="inlineStr"/>
      <c r="H29" s="3">
        <f>HYPERLINK("mailto:clarriba@purdue.edu", "clarriba@purdue.edu")</f>
        <v/>
      </c>
      <c r="I29" s="2" t="n">
        <v>1</v>
      </c>
      <c r="J29" s="2" t="inlineStr">
        <is>
          <t>🔵 Tier 1: Core Aero / Fluids / Propulsion</t>
        </is>
      </c>
      <c r="K29" s="2" t="n">
        <v>4</v>
      </c>
      <c r="L29" s="2" t="inlineStr">
        <is>
          <t>aerospace, fluid mechanics, propulsion, thermodynamics</t>
        </is>
      </c>
      <c r="M29" s="2" t="inlineStr">
        <is>
          <t>Ion mobility spectrometry, differential mobility analyzers, aerodynamic ion focusing in structures for lossless ion manipulations (SLIM), and gas-phase macromolecular transport.</t>
        </is>
      </c>
      <c r="N29" s="2" t="inlineStr">
        <is>
          <t>Ion Mobility Spectrometry (IMS), Nernst-Planck Fluid Solvers, Structures for Lossless Ion Manipulations (SLIM), Molecular Trajectory Simulations, Mass Spectrometry</t>
        </is>
      </c>
      <c r="O29" s="2" t="inlineStr">
        <is>
          <t>Optimization of Electric Field Traveling Waves in SLIM Platforms for Improved Resolution via Analytical Solutions of the Nernst–Planck Equation</t>
        </is>
      </c>
      <c r="P29" s="3">
        <f>HYPERLINK("https://doi.org/10.1021/jasms.5c00347", "https://doi.org/10.1021/jasms.5c00347")</f>
        <v/>
      </c>
      <c r="Q29" s="2" t="inlineStr">
        <is>
          <t>deriving analytical solutions to the Nernst-Planck equation for traveling-wave ion mobility in SLIM platforms, optimizing RF voltage and frequency parameters to suppress peak diffusion and maximize isomeric separation resolution.</t>
        </is>
      </c>
      <c r="R29" s="2" t="inlineStr">
        <is>
          <t>Ion mobility spectrometry (IMS) in Structures for Lossless Ion Manipulations (SLIM) enables high-resolution separation of gas-phase ions based on size-to-charge ratios over extended serpentine paths. This study investigates the transport and dispersion of ion packets subjected to traveling radio-frequency electric fields by deriving analytical solutions to the Nernst-Planck equation. Optimization of traveling wave speed, voltage amplitude, and carrier gas pressure minimizes diffusive peak broadening, enhancing resolving power across complex isomeric mixtures.</t>
        </is>
      </c>
      <c r="S29" s="2" t="inlineStr">
        <is>
          <t>First order approximation of polyatomic ion and neutral diffusion in neutral gases under arbitrary fields</t>
        </is>
      </c>
      <c r="T29" s="3">
        <f>HYPERLINK("https://doi.org/10.1063/5.0337543", "https://doi.org/10.1063/5.0337543")</f>
        <v/>
      </c>
      <c r="U29" s="2" t="inlineStr">
        <is>
          <t>coupling classical trajectory simulations with two-temperature kinetic theory, providing a unified first-order approximation for polyatomic ion diffusion in dilute carrier gases under strong electric fields.</t>
        </is>
      </c>
      <c r="V29" s="2" t="inlineStr">
        <is>
          <t>This work presents a trajectory-based method for predicting diffusion coefficients of polyatomic ions and neutral molecules in dilute gases from the thermal limit to strongly field-driven conditions. Classical trajectory simulations are coupled with two-temperature kinetic theory to evaluate collision integrals across realistic collision cross sections, bridging the gap between continuum aerodynamic transport and discrete molecular collision dynamics.</t>
        </is>
      </c>
      <c r="W29" s="2" t="inlineStr">
        <is>
          <t>1. Optimization of Electric Field Traveling Waves in SLIM Platforms for Improved Resolution via Analytical Solutions of the Nernst–Planck Equation (Journal of the American Society for Mass Spectrometry, 2026) [DOI: https://doi.org/10.1021/jasms.5c00347] | 2. First order approximation of polyatomic ion and neutral diffusion in neutral gases under arbitrary fields (The Journal of Chemical Physics, 2026) [DOI: https://doi.org/10.1063/5.0337543]</t>
        </is>
      </c>
      <c r="X29" s="3">
        <f>HYPERLINK("https://doi.org/10.1021/jasms.5c00347", "https://doi.org/10.1021/jasms.5c00347 | https://doi.org/10.1063/5.0337543")</f>
        <v/>
      </c>
      <c r="Y29" s="2" t="inlineStr">
        <is>
          <t>deriving analytical solutions to the Nernst-Planck equation for traveling-wave ion mobility in SLIM platforms, optimizing RF voltage and frequency parameters to suppress peak diffusion and maximize isomeric separation resolution.</t>
        </is>
      </c>
      <c r="Z29" s="2" t="inlineStr"/>
      <c r="AA29" s="2" t="inlineStr">
        <is>
          <t>"First order approximation of polyatomic ion and neutral diffusion in neutral gases under arbitrary fields" [The Journal of Chemical Physics] (2026) [DOI: https://doi.org/10.1063/5.0337543] | "Optimization of Electric Field Traveling Waves in SLIM Platforms for Improved Resolution via Analytical Solutions of the Nernst–Planck Equation" [Journal of the American Society for Mass Spectrometry] (2026) [DOI: https://doi.org/10.1021/jasms.5c00347] | "Unraveling Ligand-Driven Isomerism in Redox-Active Mixed-Ligand Polyoxometalates Using Ion Mobility Spectrometry" [ACS Nano] (2025) [DOI: https://doi.org/10.1021/acsnano.5c12468] | "Characterization of Gas-Phase Native(-Like) Proteins Using Structures for Lossless Ion Manipulations" [ChemRxiv] (2025) [DOI: https://doi.org/10.26434/chemrxiv-2025-xnx1z-v2] | "Characterization and of Gas-Phase Native(-Like) Proteins Using Structures for Lossless Ion Manipulations" [ChemRxiv] (2025) [DOI: https://doi.org/10.26434/chemrxiv-2025-xnx1z]</t>
        </is>
      </c>
      <c r="AB29" s="2" t="inlineStr">
        <is>
          <t>"Benchmark Comparison for a Multi-Processing Ion Mobility Calculator in the Free Molecular Regime" [Journal of the American Society for Mass Spectrometry] (2017, 150 cites) [DOI: https://doi.org/10.1007/s13361-017-1661-8] | "Collision cross section calculations for polyatomic ions considering rotating diatomic/linear gas molecules" [The Journal of Chemical Physics] (2014, 92 cites) [DOI: https://doi.org/10.1063/1.4901890] | "Gas molecule scattering &amp; ion mobility measurements for organic macro-ions in He versus N 2 environments" [Physical Chemistry Chemical Physics] (2015, 85 cites) [DOI: https://doi.org/10.1039/c5cp01017a]</t>
        </is>
      </c>
      <c r="AC29" s="2" t="inlineStr"/>
      <c r="AD29" s="2" t="inlineStr">
        <is>
          <t>Outstanding Mechanical Engineers Distinguished Engineering Alumni Honorary Doctorates Staff Awards Student Awards Distinguished...</t>
        </is>
      </c>
      <c r="AE29" s="2" t="inlineStr"/>
      <c r="AF29" s="2" t="inlineStr">
        <is>
          <t>Mass Spectrometry Techniques and Applications (39) | Analytical Chemistry and Chromatography (15) | Analytical chemistry methods development (14)</t>
        </is>
      </c>
      <c r="AG29" s="2" t="inlineStr">
        <is>
          <t>Mass Spectrometry Techniques and Applications (39) | Analytical Chemistry and Chromatography (15) | Analytical chemistry methods development (14)</t>
        </is>
      </c>
      <c r="AH29" s="2" t="inlineStr">
        <is>
          <t>Renewable Energy Catalysts Aerosol Pollution Ion Mobility-Mass Spectrometry Electrical Propulsion Polymer Characterization Protein and Biomolecule Characterization Energy Transfer Molecular Dynamic coupling at the molecular Scale Multiscale Multichemistry Plasma Modeling</t>
        </is>
      </c>
      <c r="AI29" s="2" t="inlineStr">
        <is>
          <t>Thermodynamics Fluid Mechanics Heat &amp; Mass Transfer</t>
        </is>
      </c>
      <c r="AJ29" s="2" t="inlineStr">
        <is>
          <t>Thermodynamics Fluid Mechanics Heat &amp; Mass Transfer</t>
        </is>
      </c>
      <c r="AK29" s="2" t="inlineStr">
        <is>
          <t>Ph.D. Mechanical Engineering, Yale University, 12/2010 BA/BS Aerospace Engineering, E.T.S.I.A., 9/2005 MA/MS Aeronautical Engineering, E.T.S.I.A, 9/2005</t>
        </is>
      </c>
      <c r="AL29" s="2" t="inlineStr">
        <is>
          <t>Personal Homepage</t>
        </is>
      </c>
      <c r="AM29" s="3">
        <f>HYPERLINK("http://www.imospedia.com", "http://www.imospedia.com")</f>
        <v/>
      </c>
      <c r="AN29" s="2" t="inlineStr"/>
      <c r="AO29" s="2" t="inlineStr"/>
      <c r="AP29" s="2" t="inlineStr"/>
      <c r="AQ29" s="2" t="inlineStr"/>
      <c r="AR29" s="2" t="inlineStr"/>
      <c r="AS29" s="2" t="inlineStr"/>
      <c r="AT29" s="2" t="inlineStr"/>
      <c r="AU29" s="2" t="b">
        <v>1</v>
      </c>
      <c r="AV29" s="3">
        <f>HYPERLINK("https://engineering.purdue.edu/ME/People/ptFaculty", "https://engineering.purdue.edu/ME/People/ptFaculty")</f>
        <v/>
      </c>
    </row>
    <row r="30">
      <c r="A30" s="2" t="inlineStr">
        <is>
          <t>Carolin E Frueh</t>
        </is>
      </c>
      <c r="B30" s="2" t="inlineStr">
        <is>
          <t>Purdue University</t>
        </is>
      </c>
      <c r="C30" s="3">
        <f>HYPERLINK("https://engineering.purdue.edu/AAE/people/ptProfile?resource_id=111420", "https://engineering.purdue.edu/AAE/people/ptProfile?resource_id=111420")</f>
        <v/>
      </c>
      <c r="D30" s="3">
        <f>HYPERLINK("https://scholar.google.com/citations?view_op=search_authors&amp;mauthors=Carolin%20E%20Frueh%20Purdue%20University", "Google Scholar Search")</f>
        <v/>
      </c>
      <c r="E30" s="2" t="inlineStr">
        <is>
          <t>Harold DeGroff Professor of Aeronautics and Astronautics</t>
        </is>
      </c>
      <c r="F30" s="2" t="inlineStr">
        <is>
          <t>Aeronautics and Astronautics</t>
        </is>
      </c>
      <c r="G30" s="2" t="inlineStr"/>
      <c r="H30" s="3">
        <f>HYPERLINK("mailto:cfrueh@purdue.edu", "cfrueh@purdue.edu")</f>
        <v/>
      </c>
      <c r="I30" s="2" t="n">
        <v>1</v>
      </c>
      <c r="J30" s="2" t="inlineStr">
        <is>
          <t>🔵 Tier 1: Core Aero / Fluids / Propulsion</t>
        </is>
      </c>
      <c r="K30" s="2" t="n">
        <v>4</v>
      </c>
      <c r="L30" s="2" t="inlineStr">
        <is>
          <t>astrodynamics, guidance, navigation, satellite</t>
        </is>
      </c>
      <c r="M30" s="2" t="inlineStr">
        <is>
          <t>Space domain awareness (SDA), light-curve attitude estimation, spacecraft fragmentation analysis, and sensor network tasking in cislunar and geostationary orbits.</t>
        </is>
      </c>
      <c r="N30" s="2" t="inlineStr">
        <is>
          <t>Light Curve Inversion Algorithms, Unscented Kalman Filtering, Space Object Optical Observatories, Cislunar Astrodynamic Propagators, Monte Carlo Uncertainty Modeling</t>
        </is>
      </c>
      <c r="O30" s="2" t="inlineStr">
        <is>
          <t>Material Property Sensitivity of Light Curve Attitude Estimation for the Lunar Trailblazer</t>
        </is>
      </c>
      <c r="P30" s="3">
        <f>HYPERLINK("https://doi.org/10.1029/2025ea004733", "https://doi.org/10.1029/2025ea004733")</f>
        <v/>
      </c>
      <c r="Q30" s="2" t="inlineStr">
        <is>
          <t>applying light-curve inversion and BRDF material sensitivity analysis to the Lunar Trailblazer spacecraft, demonstrating that unresolved optical brightness histories reliably reconstruct tumbling attitude states during mission recovery.</t>
        </is>
      </c>
      <c r="R30" s="2" t="inlineStr">
        <is>
          <t>The Lunar Trailblazer spacecraft launched toward a planned low-lunar orbit, but contact was temporarily lost, requiring recovery efforts based on ground observations. Estimating the orientation and angular velocity state of Trailblazer was central for recovery operations. This paper examines the sensitivity of light curve inversion algorithms to uncertain surface bidirectional reflectance distribution functions (BRDF) and panel material properties, demonstrating that combining optical light curves with rotational dynamics successfully recovers spacecraft tumble rates under high observation noise.</t>
        </is>
      </c>
      <c r="S30" s="2" t="inlineStr">
        <is>
          <t>Cislunar Key Region Surveillance Optimization</t>
        </is>
      </c>
      <c r="T30" s="3">
        <f>HYPERLINK("https://doi.org/10.1007/s40295-025-00522-6", "https://doi.org/10.1007/s40295-025-00522-6")</f>
        <v/>
      </c>
      <c r="U30" s="2" t="inlineStr">
        <is>
          <t>optimizing space-based optical sensor constellations in cislunar space, demonstrating that placing surveillance assets on L1 halo orbits eliminates observation blind spots and maximizes detection of maneuvering transfer vehicles.</t>
        </is>
      </c>
      <c r="V30" s="2" t="inlineStr">
        <is>
          <t>Cislunar space’s growing importance necessitates robust space domain awareness for safe and sustainable utilization. Current ground-based surveillance is insufficient to cover the entire cislunar region, leaving large blind spots. Space-based optical sensors can address this limitation. This study presents an optimization framework for positioning and tasking space-based optical sensors across Earth-Moon libration points, maximizing object detection probabilities in key transfer corridors.</t>
        </is>
      </c>
      <c r="W30" s="2" t="inlineStr">
        <is>
          <t>1. Material Property Sensitivity of Light Curve Attitude Estimation for the Lunar Trailblazer (Earth and Space Science, 2026) [DOI: https://doi.org/10.1029/2025ea004733] | 2. Cislunar Key Region Surveillance Optimization (The Journal of the Astronautical Sciences, 2025) [DOI: https://doi.org/10.1007/s40295-025-00522-6]</t>
        </is>
      </c>
      <c r="X30" s="3">
        <f>HYPERLINK("https://doi.org/10.1029/2025ea004733", "https://doi.org/10.1029/2025ea004733 | https://doi.org/10.1007/s40295-025-00522-6")</f>
        <v/>
      </c>
      <c r="Y30" s="2" t="inlineStr">
        <is>
          <t>applying light-curve inversion and BRDF material sensitivity analysis to the Lunar Trailblazer spacecraft, demonstrating that unresolved optical brightness histories reliably reconstruct tumbling attitude states during mission recovery.</t>
        </is>
      </c>
      <c r="Z30" s="2" t="inlineStr"/>
      <c r="AA30" s="2" t="inlineStr">
        <is>
          <t>"Material Property Sensitivity of Light Curve Attitude Estimation for the Lunar Trailblazer" [Earth and Space Science] (2026) [DOI: https://doi.org/10.1029/2025ea004733] | "Global Light Curve Attitude Estimation with Noisy Measurements and Inertia Uncertainty" [The Journal of the Astronautical Sciences] (2026) [DOI: https://doi.org/10.1007/s40295-025-00557-9] | "Goals and trends in space exploration: An overview of the panel on exploration sessions at the committee on space research general assembly 2024" [Life Sciences in Space Research] (2025) [DOI: https://doi.org/10.1016/j.lssr.2025.12.005] | "Investigation of Atlas V Centaur Upper Stage Fragmentation Events with Uncertainty Analysis" [The Journal of the Astronautical Sciences] (2025) [DOI: https://doi.org/10.1007/s40295-025-00519-1] | "Cislunar Key Region Surveillance Optimization" [The Journal of the Astronautical Sciences] (2025) [DOI: https://doi.org/10.1007/s40295-025-00522-6]</t>
        </is>
      </c>
      <c r="AB30" s="2" t="inlineStr">
        <is>
          <t>"A comprehensive review on Cislunar expansion and space domain awareness" [Progress in Aerospace Sciences] (2024, 63 cites) [DOI: https://doi.org/10.1016/j.paerosci.2024.101019] | "Space Situational Awareness Sensor Tasking: Comparison of Machine Learning with Classical Optimization Methods" [Journal of Guidance Control and Dynamics] (2019, 41 cites) [DOI: https://doi.org/10.2514/1.g004279] | "Tracklet-to-orbit association for maneuvering space objects using optimal control theory" [Acta Astronautica] (2021, 38 cites) [DOI: https://doi.org/10.1016/j.actaastro.2021.01.026]</t>
        </is>
      </c>
      <c r="AC30" s="2" t="inlineStr"/>
      <c r="AD30" s="2" t="inlineStr">
        <is>
          <t>(selection) AAS Fellow, 2024 AIAA Associate Fellow, 2024 The C. T. Sun Excellence in Research Award, 2024 The Elmer F. Bruhn Te...</t>
        </is>
      </c>
      <c r="AE30" s="2" t="inlineStr"/>
      <c r="AF30" s="2" t="inlineStr">
        <is>
          <t>Space Satellite Systems and Control (33) | Astro and Planetary Science (20) | Target Tracking and Data Fusion in Sensor Networks (19)</t>
        </is>
      </c>
      <c r="AG30" s="2" t="inlineStr">
        <is>
          <t>Space Satellite Systems and Control (33) | Astro and Planetary Science (20) | Target Tracking and Data Fusion in Sensor Networks (19)</t>
        </is>
      </c>
      <c r="AH30" s="2" t="inlineStr"/>
      <c r="AI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J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K30" s="2" t="inlineStr">
        <is>
          <t>Ph.D., Physics with Specialization in Astronomy, University of Bern, Switzerland, 2011 MS of Science, Karlsruhe Institute of Technology, Germany, 2006 M.Div., CDSP, Berkeley, USA</t>
        </is>
      </c>
      <c r="AL30" s="2" t="inlineStr">
        <is>
          <t>Indiana Space Grant Consortium</t>
        </is>
      </c>
      <c r="AM30" s="3">
        <f>HYPERLINK("https://insgc.spacegrant.org/", "https://insgc.spacegrant.org/")</f>
        <v/>
      </c>
      <c r="AN30" s="2" t="inlineStr">
        <is>
          <t>Academic INSGC Internships</t>
        </is>
      </c>
      <c r="AO30" s="2" t="inlineStr"/>
      <c r="AP30" s="2" t="inlineStr"/>
      <c r="AQ30" s="2" t="inlineStr">
        <is>
          <t>NASA</t>
        </is>
      </c>
      <c r="AR30" s="2" t="inlineStr"/>
      <c r="AS30" s="2" t="inlineStr"/>
      <c r="AT30" s="2" t="inlineStr">
        <is>
          <t>ARMS 3309</t>
        </is>
      </c>
      <c r="AU30" s="2" t="b">
        <v>1</v>
      </c>
      <c r="AV30" s="3">
        <f>HYPERLINK("https://engineering.purdue.edu/AAE/people/Faculty", "https://engineering.purdue.edu/AAE/people/Faculty")</f>
        <v/>
      </c>
    </row>
    <row r="31">
      <c r="A31" s="2" t="inlineStr">
        <is>
          <t>Guang Lin</t>
        </is>
      </c>
      <c r="B31" s="2" t="inlineStr">
        <is>
          <t>Purdue University</t>
        </is>
      </c>
      <c r="C31" s="3">
        <f>HYPERLINK("https://engineering.purdue.edu/ME/People/ptProfile?resource_id=117602", "https://engineering.purdue.edu/ME/People/ptProfile?resource_id=117602")</f>
        <v/>
      </c>
      <c r="D31" s="3">
        <f>HYPERLINK("https://scholar.google.com/citations?view_op=search_authors&amp;mauthors=Guang%20Lin%20Purdue%20University", "Google Scholar Search")</f>
        <v/>
      </c>
      <c r="E31" s="2" t="inlineStr">
        <is>
          <t>Moses Cobb Stevens Professor in Mathematical Sciences; College of Science Associate Dean of Research and Innovation; Professor of Mechanical Engineering</t>
        </is>
      </c>
      <c r="F31" s="2" t="inlineStr">
        <is>
          <t>Mechanical Engineering</t>
        </is>
      </c>
      <c r="G31" s="2" t="inlineStr"/>
      <c r="H31" s="3">
        <f>HYPERLINK("mailto:guanglin@purdue.edu", "guanglin@purdue.edu")</f>
        <v/>
      </c>
      <c r="I31" s="2" t="n">
        <v>1</v>
      </c>
      <c r="J31" s="2" t="inlineStr">
        <is>
          <t>🔵 Tier 1: Core Aero / Fluids / Propulsion</t>
        </is>
      </c>
      <c r="K31" s="2" t="n">
        <v>4</v>
      </c>
      <c r="L31" s="2" t="inlineStr">
        <is>
          <t>computational fluid dynamics, fluid dynamics, fluid mechanics, scientific computing</t>
        </is>
      </c>
      <c r="M31" s="2" t="inlineStr">
        <is>
          <t>Scientific machine learning, physics-informed neural networks (PINNs), Kolmogorov-Arnold Networks (KANs), uncertainty quantification, and Bayesian discovery of flow PDEs.</t>
        </is>
      </c>
      <c r="N31" s="2" t="inlineStr">
        <is>
          <t>Scientific Machine Learning (SciML), Kolmogorov-Arnold Networks (KANs), Bayesian Uncertainty Quantification, Physics-Informed Neural Networks, High-Order PDE Solvers</t>
        </is>
      </c>
      <c r="O31" s="2" t="inlineStr">
        <is>
          <t>Conformalized-KANs: uncertainty quantification with coverage guarantees for Kolmogorov–Arnold Networks (KANs) in scientific machine learning</t>
        </is>
      </c>
      <c r="P31" s="3">
        <f>HYPERLINK("https://doi.org/10.1088/2632-2153/ae7495", "https://doi.org/10.1088/2632-2153/ae7495")</f>
        <v/>
      </c>
      <c r="Q31" s="2" t="inlineStr">
        <is>
          <t>developing Conformalized Kolmogorov-Arnold Networks (KANs) for scientific machine learning, providing mathematically guaranteed prediction error coverage intervals when learning nonlinear fluid and thermal PDEs.</t>
        </is>
      </c>
      <c r="R31" s="2" t="inlineStr">
        <is>
          <t>This paper explores uncertainty quantification (UQ) methods in the context of Kolmogorov-Arnold Networks (KANs) applied to complex physical systems. We integrate conformal prediction with KANs to provide rigorous finite-sample coverage guarantees without requiring restrictive distributional assumptions. When evaluated on benchmark non-linear fluid dynamics and heat transfer problems, Conformalized-KANs deliver interpretable functional representations with calibrated prediction intervals across scarce training data.</t>
        </is>
      </c>
      <c r="S31" s="2" t="inlineStr">
        <is>
          <t>Bayesian data-driven discovery of partial differential equations with variable coefficients</t>
        </is>
      </c>
      <c r="T31" s="3">
        <f>HYPERLINK("https://doi.org/10.1016/j.camwa.2026.07.034", "https://doi.org/10.1016/j.camwa.2026.07.034")</f>
        <v/>
      </c>
      <c r="U31" s="2" t="inlineStr">
        <is>
          <t>formulating a sparse Bayesian regression algorithm to discover variable-coefficient PDEs from sparse flow field data, accurately identifying spatio-temporally varying transport terms while bounding posterior uncertainty.</t>
        </is>
      </c>
      <c r="V31" s="2" t="inlineStr">
        <is>
          <t>Discovering governing differential equations directly from noisy experimental flow observations is essential for predictive digital twins. This study develops a sparse Bayesian regression framework capable of discovering spatio-temporally varying coefficients in partial differential equations. The method accurately identifies variable diffusion and convective transport operators from sparse velocity field snapshots while quantifying posterior parameter uncertainty.</t>
        </is>
      </c>
      <c r="W31" s="2" t="inlineStr">
        <is>
          <t>1. Conformalized-KANs: uncertainty quantification with coverage guarantees for Kolmogorov–Arnold Networks (KANs) in scientific machine learning (Machine Learning Science and Technology, 2026) [DOI: https://doi.org/10.1088/2632-2153/ae7495] | 2. Bayesian data-driven discovery of partial differential equations with variable coefficients (Computers &amp; Mathematics with Applications, 2026) [DOI: https://doi.org/10.1016/j.camwa.2026.07.034]</t>
        </is>
      </c>
      <c r="X31" s="3">
        <f>HYPERLINK("https://doi.org/10.1088/2632-2153/ae7495", "https://doi.org/10.1088/2632-2153/ae7495 | https://doi.org/10.1016/j.camwa.2026.07.034")</f>
        <v/>
      </c>
      <c r="Y31" s="2" t="inlineStr">
        <is>
          <t>developing Conformalized Kolmogorov-Arnold Networks (KANs) for scientific machine learning, providing mathematically guaranteed prediction error coverage intervals when learning nonlinear fluid and thermal PDEs.</t>
        </is>
      </c>
      <c r="Z31" s="2" t="inlineStr"/>
      <c r="AA31" s="2" t="inlineStr">
        <is>
          <t>"In situ studies on heavy ion irradiation and partial oxidation induced stacking faults and nanograins in tungsten nanolaminates" [Materials Today] (2026) [DOI: https://doi.org/10.1016/j.mattod.2026.103494] | "Bayesian data-driven discovery of partial differential equations with variable coefficients" [Computers &amp; Mathematics with Applications] (2026) [DOI: https://doi.org/10.1016/j.camwa.2026.07.034] | "Muon with spectral guidance: Efficient optimization for scientific machine learning" [Journal of Computational Physics] (2026) [DOI: https://doi.org/10.1016/j.jcp.2026.115231] | "Machine Learning Inverse Design Reveals a Double Narrow-Band Absorption Approach for Effective Colored Radiative Cooling Paints" [Nano Letters] (2026) [DOI: https://doi.org/10.1021/acs.nanolett.6c01941] | "Conformalized-KANs: uncertainty quantification with coverage guarantees for Kolmogorov–Arnold Networks (KANs) in scientific machine learning" [Machine Learning Science and Technology] (2026) [DOI: https://doi.org/10.1088/2632-2153/ae7495]</t>
        </is>
      </c>
      <c r="AB31" s="2" t="inlineStr">
        <is>
          <t>"EEG-based emotion recognition using 4D convolutional recurrent neural network" [Cognitive Neurodynamics] (2020, 248 cites) [DOI: https://doi.org/10.1007/s11571-020-09634-1] | "Compressive sensing based machine learning strategy for characterizing the flow around a cylinder with limited pressure measurements" [Physics of Fluids] (2013, 182 cites) [DOI: https://doi.org/10.1063/1.4836815] | "Multi-output separable Gaussian process: Towards an efficient, fully Bayesian paradigm for uncertainty quantification" [Journal of Computational Physics] (2013, 178 cites) [DOI: https://doi.org/10.1016/j.jcp.2013.01.011]</t>
        </is>
      </c>
      <c r="AC31" s="2" t="inlineStr"/>
      <c r="AD31" s="2" t="inlineStr">
        <is>
          <t>Outstanding Mechanical Engineers Distinguished Engineering Alumni Honorary Doctorates Staff Awards Student Awards Distinguished...</t>
        </is>
      </c>
      <c r="AE31" s="2" t="inlineStr"/>
      <c r="AF31" s="2" t="inlineStr">
        <is>
          <t>Model Reduction and Neural Networks (78) | Probabilistic and Robust Engineering Design (67) | Gaussian Processes and Bayesian Inference (39)</t>
        </is>
      </c>
      <c r="AG31" s="2" t="inlineStr">
        <is>
          <t>Model Reduction and Neural Networks (78) | Probabilistic and Robust Engineering Design (67) | Gaussian Processes and Bayesian Inference (39)</t>
        </is>
      </c>
      <c r="AH31" s="2" t="inlineStr">
        <is>
          <t>Big data analysis and statistical machine learning Predictive modeling and uncertainty quantification Scientific computing and computational fluid dynamics Stochastic multiscale modeling</t>
        </is>
      </c>
      <c r="AI31" s="2" t="inlineStr">
        <is>
          <t>Dynamics &amp; Vibration Fluid Mechanics</t>
        </is>
      </c>
      <c r="AJ31" s="2" t="inlineStr">
        <is>
          <t>Dynamics &amp; Vibration Fluid Mechanics</t>
        </is>
      </c>
      <c r="AK31" s="2" t="inlineStr"/>
      <c r="AL31" s="2" t="inlineStr">
        <is>
          <t>Personal Homepage</t>
        </is>
      </c>
      <c r="AM31" s="3">
        <f>HYPERLINK("http://www.math.purdue.edu/~lin491/", "http://www.math.purdue.edu/~lin491/")</f>
        <v/>
      </c>
      <c r="AN31" s="2" t="inlineStr"/>
      <c r="AO31" s="2" t="inlineStr"/>
      <c r="AP31" s="2" t="inlineStr"/>
      <c r="AQ31" s="2" t="inlineStr"/>
      <c r="AR31" s="2" t="inlineStr"/>
      <c r="AS31" s="2" t="inlineStr"/>
      <c r="AT31" s="2" t="inlineStr"/>
      <c r="AU31" s="2" t="b">
        <v>1</v>
      </c>
      <c r="AV31" s="3">
        <f>HYPERLINK("https://engineering.purdue.edu/ME/People/ptFaculty", "https://engineering.purdue.edu/ME/People/ptFaculty")</f>
        <v/>
      </c>
    </row>
    <row r="32">
      <c r="A32" s="2" t="inlineStr">
        <is>
          <t>Hector Gomez</t>
        </is>
      </c>
      <c r="B32" s="2" t="inlineStr">
        <is>
          <t>Purdue University</t>
        </is>
      </c>
      <c r="C32" s="3">
        <f>HYPERLINK("https://engineering.purdue.edu/ME/People/ptProfile?resource_id=157698", "https://engineering.purdue.edu/ME/People/ptProfile?resource_id=157698")</f>
        <v/>
      </c>
      <c r="D32" s="3">
        <f>HYPERLINK("https://scholar.google.com/citations?view_op=search_authors&amp;mauthors=Hector%20Gomez%20Purdue%20University", "Google Scholar Search")</f>
        <v/>
      </c>
      <c r="E32" s="2" t="inlineStr">
        <is>
          <t>Morris Goldman Chair in Engineering</t>
        </is>
      </c>
      <c r="F32" s="2" t="inlineStr">
        <is>
          <t>Mechanical Engineering</t>
        </is>
      </c>
      <c r="G32" s="2" t="inlineStr"/>
      <c r="H32" s="3">
        <f>HYPERLINK("mailto:hectorgomez@purdue.edu", "hectorgomez@purdue.edu")</f>
        <v/>
      </c>
      <c r="I32" s="2" t="n">
        <v>1</v>
      </c>
      <c r="J32" s="2" t="inlineStr">
        <is>
          <t>🔵 Tier 1: Core Aero / Fluids / Propulsion</t>
        </is>
      </c>
      <c r="K32" s="2" t="n">
        <v>4</v>
      </c>
      <c r="L32" s="2" t="inlineStr">
        <is>
          <t>fluid mechanics, fluid-structure interaction, fluids, solid mechanics</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is>
          <t>"Computational Modeling Unveils the Impact of Tissue Growth and Vascular Remodeling on the Distribution of Interstitial Chemical Species" [Annals of Biomedical Engineering] (2026) [DOI: https://doi.org/10.1007/s10439-026-04214-6] | "Mechanistic multiphysics modeling reveals how blood pulsation drives CSF flow, pressure, and brain deformation under physiological and injection conditions" [Fluids and Barriers of the CNS] (2026) [DOI: https://doi.org/10.1186/s12987-026-00804-7] | "Simulating surfactant effects in phase-transforming fluids" [Physics of Fluids] (2026) [DOI: https://doi.org/10.1063/5.0321558] | "Droplet mobilization in actuated deformable tubes" [Physical Review Fluids] (2026) [DOI: https://doi.org/10.1103/rbhz-c4mr] | "Phase-field/discontinuity capturing operator for direct van der waals simulation (DVS)" [Journal of Computational Physics] (2026) [DOI: https://doi.org/10.1016/j.jcp.2026.114742]</t>
        </is>
      </c>
      <c r="AB32" s="2" t="inlineStr">
        <is>
          <t>"A physics-informed deep learning framework for inversion and surrogate modeling in solid mechanics" [Computer Methods in Applied Mechanics and Engineering] (2021, 1309 cites) [DOI: https://doi.org/10.1016/j.cma.2021.113741] | "Isogeometric analysis of the Cahn–Hilliard phase-field model" [Computer Methods in Applied Mechanics and Engineering] (2008, 601 cites) [DOI: https://doi.org/10.1016/j.cma.2008.05.003] | "Provably unconditionally stable, second-order time-accurate, mixed variational methods for phase-field models" [Journal of Computational Physics] (2011, 280 cites) [DOI: https://doi.org/10.1016/j.jcp.2011.03.033]</t>
        </is>
      </c>
      <c r="AC32" s="2" t="inlineStr"/>
      <c r="AD32" s="2" t="inlineStr">
        <is>
          <t>Outstanding Mechanical Engineers Distinguished Engineering Alumni Honorary Doctorates Staff Awards Student Awards Distinguished...</t>
        </is>
      </c>
      <c r="AE32" s="2" t="inlineStr"/>
      <c r="AF32" s="2" t="inlineStr">
        <is>
          <t>Mathematical Biology Tumor Growth (67) | Advanced Numerical Analysis Techniques (40) | Advanced Numerical Methods in Computational Mathematics (31)</t>
        </is>
      </c>
      <c r="AG32" s="2" t="inlineStr">
        <is>
          <t>Mathematical Biology Tumor Growth (67) | Advanced Numerical Analysis Techniques (40) | Advanced Numerical Methods in Computational Mathematics (31)</t>
        </is>
      </c>
      <c r="AH32" s="2" t="inlineStr">
        <is>
          <t>Modeling and simulation techniques for multiphase and multiphysics problems using the phase-field method. Isogeometric methods with applications in fluid and solid mechanics. Modeling and simulation tools for several biomechanics problems, including tumor growth, cellular migration and blood flow at small scales. Computational methods for fluid-structure interaction, especially when the problem involves complex fluids.</t>
        </is>
      </c>
      <c r="AI32" s="2" t="inlineStr">
        <is>
          <t>Fluid Mechanics</t>
        </is>
      </c>
      <c r="AJ32" s="2" t="inlineStr">
        <is>
          <t>Fluid Mechanics</t>
        </is>
      </c>
      <c r="AK32" s="2" t="inlineStr">
        <is>
          <t>Civil Engineering, Universidade da Coruna, Spain Ph.D., Civil Engineering, Universidade da Coruna, Spain</t>
        </is>
      </c>
      <c r="AL32" s="2" t="inlineStr">
        <is>
          <t>Gomez Lab</t>
        </is>
      </c>
      <c r="AM32" s="3">
        <f>HYPERLINK("https://engineering.purdue.edu/gomez/", "https://engineering.purdue.edu/gomez/")</f>
        <v/>
      </c>
      <c r="AN32" s="2" t="inlineStr"/>
      <c r="AO32" s="2" t="inlineStr"/>
      <c r="AP32" s="2" t="inlineStr"/>
      <c r="AQ32" s="2" t="inlineStr"/>
      <c r="AR32" s="2" t="inlineStr"/>
      <c r="AS32" s="2" t="inlineStr"/>
      <c r="AT32" s="2" t="inlineStr">
        <is>
          <t>ME 3168</t>
        </is>
      </c>
      <c r="AU32" s="2" t="b">
        <v>1</v>
      </c>
      <c r="AV32" s="3">
        <f>HYPERLINK("https://engineering.purdue.edu/ME/People/ptFaculty", "https://engineering.purdue.edu/ME/People/ptFaculty")</f>
        <v/>
      </c>
    </row>
    <row r="33">
      <c r="A33" s="2" t="inlineStr">
        <is>
          <t>James M. Longuski</t>
        </is>
      </c>
      <c r="B33" s="2" t="inlineStr">
        <is>
          <t>Purdue University</t>
        </is>
      </c>
      <c r="C33" s="3">
        <f>HYPERLINK("https://engineering.purdue.edu/AAE/people/ptProfile?resource_id=1319", "https://engineering.purdue.edu/AAE/people/ptProfile?resource_id=1319")</f>
        <v/>
      </c>
      <c r="D33" s="3">
        <f>HYPERLINK("https://scholar.google.com/citations?view_op=search_authors&amp;mauthors=James%20M.%20Longuski%20Purdue%20University", "Google Scholar Search")</f>
        <v/>
      </c>
      <c r="E33" s="2" t="inlineStr">
        <is>
          <t>Professor, Ph.D., Michigan, 1979, spacecraft dynamics, orbit mechanics, control, orbit decay and reentry.</t>
        </is>
      </c>
      <c r="F33" s="2" t="inlineStr">
        <is>
          <t>Aeronautics and Astronautics</t>
        </is>
      </c>
      <c r="G33" s="2" t="inlineStr"/>
      <c r="H33" s="3">
        <f>HYPERLINK("mailto:webmaster-eng@purdue.edu", "webmaster-eng@purdue.edu")</f>
        <v/>
      </c>
      <c r="I33" s="2" t="n">
        <v>1</v>
      </c>
      <c r="J33" s="2" t="inlineStr">
        <is>
          <t>🔵 Tier 1: Core Aero / Fluids / Propulsion</t>
        </is>
      </c>
      <c r="K33" s="2" t="n">
        <v>4</v>
      </c>
      <c r="L33" s="2" t="inlineStr">
        <is>
          <t>aerospace, guidance, propulsion, spacecraft</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is>
          <t>"Enumeration of the Multiple-Outage Missed-Thrust Problem" [The Journal of the Astronautical Sciences] (2024) [DOI: https://doi.org/10.1007/s40295-024-00454-7] | "A single wheel test rig for ocean world rovers" [Journal of Terramechanics] (2023) [DOI: https://doi.org/10.1016/j.jterra.2023.07.001] | "Aerocapture: Enabling Small Spacecraft Direct Access to Low-Circular Orbits for Planetary Constellations" [Aerospace] (2023) [DOI: https://doi.org/10.3390/aerospace10030271]</t>
        </is>
      </c>
      <c r="AB33" s="2" t="inlineStr">
        <is>
          <t>"Shape-Based Algorithm for the Automated Design of Low-Thrust, Gravity Assist Trajectories" [Journal of Spacecraft and Rockets] (2004, 250 cites) [DOI: https://doi.org/10.2514/1.13095] | "Graphical Method for Gravity-Assist Trajectory Design" [Journal of Spacecraft and Rockets] (2002, 165 cites) [DOI: https://doi.org/10.2514/2.3800] | "Optimal Control with Aerospace Applications" (2013, 147 cites) [DOI: https://doi.org/10.1007/978-1-4614-8945-0]</t>
        </is>
      </c>
      <c r="AC33" s="2" t="inlineStr"/>
      <c r="AD33" s="2" t="inlineStr">
        <is>
          <t>NOVA (Notable Organizational Value-Added) Award from Jet Propulsion Laboratory, 1999 NASA Space Act Award, presented for creati...</t>
        </is>
      </c>
      <c r="AE33" s="2" t="inlineStr"/>
      <c r="AF33" s="2" t="inlineStr">
        <is>
          <t>Spacecraft Dynamics and Control (145) | Astro and Planetary Science (118) | Space Satellite Systems and Control (72)</t>
        </is>
      </c>
      <c r="AG33" s="2" t="inlineStr">
        <is>
          <t>Spacecraft Dynamics and Control (145) | Astro and Planetary Science (118) | Space Satellite Systems and Control (72)</t>
        </is>
      </c>
      <c r="AH33" s="2" t="inlineStr">
        <is>
          <t>Spacecraft Dynamics Orbit Mechanics Control Orbit decay and reentry</t>
        </is>
      </c>
      <c r="AI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work to a general analytic theory (which provides solutions for angular velocity, the attitude, the angular momentum vector and the translational velocity of rigid and elastic bodies subject to arbitrary body-fixed torques and forces) and to develop control laws based on the analytic theory. In 2) mission design tools developed at the Jet Propulsion Laboratory have been acquired for research use at Purdue. Both theoretical and computational techniques are being employed to analyze the delta V gravity-assist problem in terms of identifying potential trajectories (such as the Voyager Grand Tour and the Galileo VEEGA) and optimizing the launch energy and propellant requirements for these trajectories. In 3) analytic solutions have been obtained for the probability of immediate reentry and of orbit decay, as well as escape, in the event of misdirected interplanetary injection maneuvers occurring at low earth orbit. The solutions have relevance to safety issues involving nuclear power plants aboard deep space probes. In 4) the feasibility of using tethers for aerobraking has been demonstrated. The basic idea is to connect an orbiter and a probe together by a long tether, for missions to planets with atmospheres. The probe enters the atmosphere and is used to reduce the hyperbolic speed of the orbiter to capture speed, thus eliminating the large retro maneuver normally required. New issues being addressed include analysis of the flexible tether, tether guidance and control, and spacecraft (endpoint) attitude control.</t>
        </is>
      </c>
      <c r="AJ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t>
        </is>
      </c>
      <c r="AK33" s="2" t="inlineStr">
        <is>
          <t>B.S.E., The University of Michigan, Aerospace Engineering - Cum laude, 1973 M.S.E., The University of Michigan, Aerospace Engineering, 1975 Ph.D., The University of Michigan, Aerospace Engineering, 1979</t>
        </is>
      </c>
      <c r="AL33" s="2" t="inlineStr">
        <is>
          <t>Indiana Space Grant Consortium</t>
        </is>
      </c>
      <c r="AM33" s="3">
        <f>HYPERLINK("https://insgc.spacegrant.org/", "https://insgc.spacegrant.org/")</f>
        <v/>
      </c>
      <c r="AN33" s="2" t="inlineStr">
        <is>
          <t>Academic INSGC Internships</t>
        </is>
      </c>
      <c r="AO33" s="2" t="inlineStr"/>
      <c r="AP33" s="2" t="inlineStr"/>
      <c r="AQ33" s="2" t="inlineStr">
        <is>
          <t>NASA</t>
        </is>
      </c>
      <c r="AR33" s="2" t="inlineStr"/>
      <c r="AS33" s="2" t="inlineStr"/>
      <c r="AT33" s="2" t="inlineStr"/>
      <c r="AU33" s="2" t="b">
        <v>1</v>
      </c>
      <c r="AV33" s="3">
        <f>HYPERLINK("https://engineering.purdue.edu/AAE/people/Faculty", "https://engineering.purdue.edu/AAE/people/Faculty")</f>
        <v/>
      </c>
    </row>
    <row r="34">
      <c r="A34" s="2" t="inlineStr">
        <is>
          <t>Kazuki Maeda</t>
        </is>
      </c>
      <c r="B34" s="2" t="inlineStr">
        <is>
          <t>Purdue University</t>
        </is>
      </c>
      <c r="C34" s="3">
        <f>HYPERLINK("https://engineering.purdue.edu/AAE/people/ptProfile?resource_id=284676", "https://engineering.purdue.edu/AAE/people/ptProfile?resource_id=284676")</f>
        <v/>
      </c>
      <c r="D34" s="3">
        <f>HYPERLINK("https://scholar.google.com/citations?hl=en&amp;user=r7gLAy4AAAAJ&amp;view_op=list_works&amp;sortby=pubdate", "Scholar (r7gLAy4AAAAJ)")</f>
        <v/>
      </c>
      <c r="E34" s="2" t="inlineStr">
        <is>
          <t>Assistant Professor</t>
        </is>
      </c>
      <c r="F34" s="2" t="inlineStr">
        <is>
          <t>Aeronautics and Astronautics</t>
        </is>
      </c>
      <c r="G34" s="2" t="inlineStr">
        <is>
          <t>r7gLAy4AAAAJ</t>
        </is>
      </c>
      <c r="H34" s="3">
        <f>HYPERLINK("mailto:kmaeda@purdue.edu", "kmaeda@purdue.edu")</f>
        <v/>
      </c>
      <c r="I34" s="2" t="n">
        <v>1</v>
      </c>
      <c r="J34" s="2" t="inlineStr">
        <is>
          <t>🔵 Tier 1: Core Aero / Fluids / Propulsion</t>
        </is>
      </c>
      <c r="K34" s="2" t="n">
        <v>4</v>
      </c>
      <c r="L34" s="2" t="inlineStr">
        <is>
          <t>aerodynamics, hypersonic, propulsion, rocket propulsion</t>
        </is>
      </c>
      <c r="M34" s="2" t="inlineStr">
        <is>
          <t>Reactive molecular dynamics, non-equilibrium shock wave physics in reactive gaseous mixtures, high-frequency biomedical ultrasound, and multiscale flow modeling.</t>
        </is>
      </c>
      <c r="N34" s="2" t="inlineStr">
        <is>
          <t>Reactive Molecular Dynamics (ReaxFF), Non-Equilibrium Kinetic Solvers, High-Frequency Ultrasound Diagnostics, Shock Tube Simulations</t>
        </is>
      </c>
      <c r="O34" s="2" t="inlineStr">
        <is>
          <t>Effect of Shock Strength on the Structure of H 2 /O 2 Reactive Shock Waves</t>
        </is>
      </c>
      <c r="P34" s="3">
        <f>HYPERLINK("https://doi.org/10.2514/6.2026-1003", "https://doi.org/10.2514/6.2026-1003")</f>
        <v/>
      </c>
      <c r="Q34" s="2" t="inlineStr">
        <is>
          <t>performing non-equilibrium reactive molecular dynamics of H2/O2 shock waves up to 5 km/s, revealing that molecular mass disparity between H2 and O2 drives species separation across the subcontinuum shock front prior to chemical induction.</t>
        </is>
      </c>
      <c r="R34" s="2" t="inlineStr">
        <is>
          <t>We report on the effect of shock strength on the structures of reactive shock waves in stoichiometric gaseous H2/O2 mixtures by using non-equilibrium reactive molecular dynamics simulations. A shock wave is generated by a moving piston in a square duct across piston velocities from 2 to 5 km/s. Atomic trajectories resolve the spatial separation between the hydrodynamic shock compression zone and the chemical induction zone, demonstrating that extreme molecular mass disparity drives significant species separation prior to ignition.</t>
        </is>
      </c>
      <c r="S34" s="2" t="inlineStr">
        <is>
          <t>Subcontinuum structures of reactive shock waves in gaseous H 2 / O 2 mixtures</t>
        </is>
      </c>
      <c r="T34" s="3">
        <f>HYPERLINK("https://doi.org/10.1103/y7lz-563m", "https://doi.org/10.1103/y7lz-563m")</f>
        <v/>
      </c>
      <c r="U34" s="2" t="inlineStr">
        <is>
          <t>resolving the subcontinuum shock layer in Mach 5 H2/O2 mixtures, demonstrating that prompt translational pre-heating of light hydrogen molecules alters bimolecular radical initiation ahead of the primary hydrodynamic shock.</t>
        </is>
      </c>
      <c r="V34" s="2" t="inlineStr">
        <is>
          <t>Nonequilibrium reactive molecular dynamics simulations reveal detailed structures of a Mach 5 shock wave in a gaseous H2/O2 mixture, driven by the large mass disparity between H2 and O2 molecules. The light hydrogen molecules experience prompt translational pre-heating ahead of the heavier oxygen shock, producing non-Maxwellian velocity distributions that fundamentally modify the initiation of elementary bimolecular chain-branching reactions.</t>
        </is>
      </c>
      <c r="W34" s="2" t="inlineStr">
        <is>
          <t>1. Effect of Shock Strength on the Structure of H 2 /O 2 Reactive Shock Waves (AIAA SciTech, 2026) [DOI: https://doi.org/10.2514/6.2026-1003] | 2. Subcontinuum structures of reactive shock waves in gaseous H 2 / O 2 mixtures (Physical Review Fluids, 2025) [DOI: https://doi.org/10.1103/y7lz-563m]</t>
        </is>
      </c>
      <c r="X34" s="3">
        <f>HYPERLINK("https://doi.org/10.2514/6.2026-1003", "https://doi.org/10.2514/6.2026-1003 | https://doi.org/10.1103/y7lz-563m")</f>
        <v/>
      </c>
      <c r="Y34" s="2" t="inlineStr">
        <is>
          <t>performing non-equilibrium reactive molecular dynamics of H2/O2 shock waves up to 5 km/s, revealing that molecular mass disparity between H2 and O2 drives species separation across the subcontinuum shock front prior to chemical induction.</t>
        </is>
      </c>
      <c r="Z34" s="2" t="inlineStr"/>
      <c r="AA34" s="2" t="inlineStr">
        <is>
          <t>"Effect of Shock Strength on the Structure of H 2 /O 2 Reactive Shock Waves" (2026) [DOI: https://doi.org/10.2514/6.2026-1003] | "High-frequency ultrasound for microcirculation in metastatic mouse lymph node: contrast-free versus contrast-enhanced imaging" [Scientific Reports] (2025) [DOI: https://doi.org/10.1038/s41598-025-27268-3] | "Subcontinuum structures of reactive shock waves in gaseous H 2 / O 2 mixtures" [Physical Review Fluids] (2025) [DOI: https://doi.org/10.1103/y7lz-563m] | "Attenuation Estimation and Acoustic Characterization of Mouse Lymph Node Tumor Using High-frequency Ultrasound" [Molecular Imaging and Biology] (2025) [DOI: https://doi.org/10.1007/s11307-025-02007-2] | "An isospectral transformation between Hessenberg–bidiagonal matrix pencils and Hessenberg matrices without using subtraction" [Linear Algebra and its Applications] (2025) [DOI: https://doi.org/10.1016/j.laa.2025.04.022]</t>
        </is>
      </c>
      <c r="AB34" s="2" t="inlineStr">
        <is>
          <t>"Controlled Synthesis of 3D Multi‐Compartmental Particles with Centrifuge‐Based Microdroplet Formation from a Multi‐Barrelled Capillary" [Advanced Materials] (2012, 234 cites) [DOI: https://doi.org/10.1002/adma.201102560] | "Laser sintering (SLS) of hard metal powders for abrasion resistant coatings" [Journal of Materials Processing Technology] (2004, 78 cites) [DOI: https://doi.org/10.1016/j.jmatprotec.2004.02.024] | "Bubble cloud dynamics in an ultrasound field" [Journal of Fluid Mechanics] (2019, 77 cites) [DOI: https://doi.org/10.1017/jfm.2018.968]</t>
        </is>
      </c>
      <c r="AC34" s="2" t="inlineStr"/>
      <c r="AD34" s="2" t="inlineStr">
        <is>
          <t>Awards (selected) Richard Bruce Chapman Memorial Award Funai Foudation for Information Technology Overseas Scholarship Stanford...</t>
        </is>
      </c>
      <c r="AE34" s="2" t="inlineStr"/>
      <c r="AF34" s="2" t="inlineStr">
        <is>
          <t>Ultrasound and Cavitation Phenomena (20) | Optical Network Technologies (11) | Ultrasound and Hyperthermia Applications (10)</t>
        </is>
      </c>
      <c r="AG34" s="2" t="inlineStr">
        <is>
          <t>Ultrasound and Cavitation Phenomena (20) | Optical Network Technologies (11) | Ultrasound and Hyperthermia Applications (10)</t>
        </is>
      </c>
      <c r="AH34" s="2" t="inlineStr">
        <is>
          <t>Space propulsion Flow physics and aerodynamics Cyberphysical integration High-performance computing Rockets and hypersonics</t>
        </is>
      </c>
      <c r="AI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assimilation and optimization of complex engineering systems. Further information can be found in the group's webpage .</t>
        </is>
      </c>
      <c r="AJ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t>
        </is>
      </c>
      <c r="AK34" s="2" t="inlineStr">
        <is>
          <t>Ph.D. California Institute of Technology, Mechanical Engineering, 2018 M.S. California Institute of Technology, Mechanical Engineering, 2014 B.S. The University of Tokyo, Mechanical Engineering, 2013</t>
        </is>
      </c>
      <c r="AL34" s="2" t="inlineStr">
        <is>
          <t>Indiana Space Grant Consortium</t>
        </is>
      </c>
      <c r="AM34" s="3">
        <f>HYPERLINK("https://insgc.spacegrant.org/", "https://insgc.spacegrant.org/")</f>
        <v/>
      </c>
      <c r="AN34" s="2" t="inlineStr">
        <is>
          <t>Academic INSGC Internships</t>
        </is>
      </c>
      <c r="AO34" s="2" t="inlineStr"/>
      <c r="AP34" s="2" t="inlineStr"/>
      <c r="AQ34" s="2" t="inlineStr">
        <is>
          <t>NASA</t>
        </is>
      </c>
      <c r="AR34" s="2" t="inlineStr"/>
      <c r="AS34" s="2" t="inlineStr"/>
      <c r="AT34" s="2" t="inlineStr">
        <is>
          <t>ARMS 2037</t>
        </is>
      </c>
      <c r="AU34" s="2" t="b">
        <v>1</v>
      </c>
      <c r="AV34" s="3">
        <f>HYPERLINK("https://engineering.purdue.edu/AAE/people/Faculty", "https://engineering.purdue.edu/AAE/people/Faculty")</f>
        <v/>
      </c>
    </row>
    <row r="35">
      <c r="A35" s="2" t="inlineStr">
        <is>
          <t>Razi Nalim</t>
        </is>
      </c>
      <c r="B35" s="2" t="inlineStr">
        <is>
          <t>Purdue University</t>
        </is>
      </c>
      <c r="C35" s="3">
        <f>HYPERLINK("https://engineering.purdue.edu/ME/People/ptProfile?resource_id=297474", "https://engineering.purdue.edu/ME/People/ptProfile?resource_id=297474")</f>
        <v/>
      </c>
      <c r="D35" s="3">
        <f>HYPERLINK("https://scholar.google.com/citations?view_op=search_authors&amp;mauthors=Razi%20Nalim%20Purdue%20University", "Google Scholar Search")</f>
        <v/>
      </c>
      <c r="E35" s="2" t="inlineStr">
        <is>
          <t>Professor of Mechanical Engineering</t>
        </is>
      </c>
      <c r="F35" s="2" t="inlineStr">
        <is>
          <t>Mechanical Engineering</t>
        </is>
      </c>
      <c r="G35" s="2" t="inlineStr"/>
      <c r="H35" s="3">
        <f>HYPERLINK("mailto:mnalim@purdue.edu", "mnalim@purdue.edu")</f>
        <v/>
      </c>
      <c r="I35" s="2" t="n">
        <v>1</v>
      </c>
      <c r="J35" s="2" t="inlineStr">
        <is>
          <t>🔵 Tier 1: Core Aero / Fluids / Propulsion</t>
        </is>
      </c>
      <c r="K35" s="2" t="n">
        <v>4</v>
      </c>
      <c r="L35" s="2" t="inlineStr">
        <is>
          <t>aerospace, biofluid, combustion, turbulence</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"Large-Eddy Simulation of Traversing Jet Re-Ignition in a Wave-Rotor Constant-Volume Combustor" (2025) [DOI: https://doi.org/10.1115/gt2025-154259] | "Improved Incidence Loss Model for Wave Rotor Turbine With Non-Axial Channels at Off-Design Conditions" (2025) [DOI: https://doi.org/10.2514/6.2025-1973] | "Review of large-scale potential for carbon fiber from gas liquids for the carbon-hydrogen economy" (2024) [DOI: https://doi.org/10.1201/9781003496724-11] | "Efficient Low-Fidelity Design Tool for Turbine-Integrated Wave Rotor Combustor" (2024) [DOI: https://doi.org/10.1115/power2024-138815] | "Planning a Trucking Research Consortium using Industry Customer Discovery and Innovation Ecosystem Mapping" (2024) [DOI: https://doi.org/10.18260/1-2--47846]</t>
        </is>
      </c>
      <c r="AB35" s="2" t="inlineStr">
        <is>
          <t>"A Review of Wave Rotor Technology and Its Applications" [Journal of Engineering for Gas Turbines and Power] (2006, 178 cites) [DOI: https://doi.org/10.1115/1.2204628] | "Thermal-economic optimization of a distributed multi-generation energy system—A case study of Beijing" [Applied Thermal Engineering] (2005, 148 cites) [DOI: https://doi.org/10.1016/j.applthermaleng.2005.09.005] | "Review of Recent Developments in Wave Rotor Combustion Technology" [Journal of Propulsion and Power] (2009, 100 cites) [DOI: https://doi.org/10.2514/1.34081]</t>
        </is>
      </c>
      <c r="AC35" s="2" t="inlineStr"/>
      <c r="AD35" s="2" t="inlineStr">
        <is>
          <t>Outstanding Mechanical Engineers Distinguished Engineering Alumni Honorary Doctorates Staff Awards Student Awards Distinguished...</t>
        </is>
      </c>
      <c r="AE35" s="2" t="inlineStr"/>
      <c r="AF35" s="2" t="inlineStr">
        <is>
          <t>Combustion and Detonation Processes (89) | Combustion and flame dynamics (57) | Computational Fluid Dynamics and Aerodynamics (31)</t>
        </is>
      </c>
      <c r="AG35" s="2" t="inlineStr">
        <is>
          <t>Combustion and Detonation Processes (89) | Combustion and flame dynamics (57) | Computational Fluid Dynamics and Aerodynamics (31)</t>
        </is>
      </c>
      <c r="AH35" s="2" t="inlineStr">
        <is>
          <t>Pollution control innovative powerplants Wave rotors Combustion and turbulence modeling Ignition processes Design methodology and optimization Unsteady biofluid flow Biomedical engineering Aerospace education</t>
        </is>
      </c>
      <c r="AI35" s="2" t="inlineStr"/>
      <c r="AJ35" s="2" t="inlineStr">
        <is>
          <t>Pollution control innovative powerplants Wave rotors Combustion and turbulence modeling Ignition processes Design methodology and optimization Unsteady biofluid flow Biomedical engineering Aerospace education</t>
        </is>
      </c>
      <c r="AK35" s="2" t="inlineStr">
        <is>
          <t>B.S. Mechanical Engineering, Indian Institute of Technology, Kanpur, 1983 M.S. Mechanical Engineering, Cornell University, 1985 Ph.D. Aerospace Engineering, Cornell University, 1994</t>
        </is>
      </c>
      <c r="AL35" s="2" t="inlineStr">
        <is>
          <t>Indiana Space Grant Consortium</t>
        </is>
      </c>
      <c r="AM35" s="3">
        <f>HYPERLINK("https://insgc.spacegrant.org/", "https://insgc.spacegrant.org/")</f>
        <v/>
      </c>
      <c r="AN35" s="2" t="inlineStr">
        <is>
          <t>Academic INSGC Internships</t>
        </is>
      </c>
      <c r="AO35" s="2" t="inlineStr"/>
      <c r="AP35" s="2" t="inlineStr"/>
      <c r="AQ35" s="2" t="inlineStr">
        <is>
          <t>NASA</t>
        </is>
      </c>
      <c r="AR35" s="2" t="inlineStr"/>
      <c r="AS35" s="2" t="inlineStr"/>
      <c r="AT35" s="2" t="inlineStr"/>
      <c r="AU35" s="2" t="b">
        <v>1</v>
      </c>
      <c r="AV35" s="3">
        <f>HYPERLINK("https://engineering.purdue.edu/ME/People/ptFaculty", "https://engineering.purdue.edu/ME/People/ptFaculty")</f>
        <v/>
      </c>
    </row>
    <row r="36">
      <c r="A36" s="2" t="inlineStr">
        <is>
          <t>Romit Maulik</t>
        </is>
      </c>
      <c r="B36" s="2" t="inlineStr">
        <is>
          <t>Purdue University</t>
        </is>
      </c>
      <c r="C36" s="3">
        <f>HYPERLINK("https://engineering.purdue.edu/ME/People/ptProfile?resource_id=328301", "https://engineering.purdue.edu/ME/People/ptProfile?resource_id=328301")</f>
        <v/>
      </c>
      <c r="D36" s="3">
        <f>HYPERLINK("https://scholar.google.com/citations?view_op=search_authors&amp;mauthors=Romit%20Maulik%20Purdue%20University", "Google Scholar Search")</f>
        <v/>
      </c>
      <c r="E36" s="2" t="inlineStr">
        <is>
          <t>Assistant Professor of Mechanical Engineering</t>
        </is>
      </c>
      <c r="F36" s="2" t="inlineStr">
        <is>
          <t>Mechanical Engineering</t>
        </is>
      </c>
      <c r="G36" s="2" t="inlineStr"/>
      <c r="H36" s="3">
        <f>HYPERLINK("mailto:rmaulik@purdue.edu", "rmaulik@purdue.edu")</f>
        <v/>
      </c>
      <c r="I36" s="2" t="n">
        <v>1</v>
      </c>
      <c r="J36" s="2" t="inlineStr">
        <is>
          <t>🔵 Tier 1: Core Aero / Fluids / Propulsion</t>
        </is>
      </c>
      <c r="K36" s="2" t="n">
        <v>4</v>
      </c>
      <c r="L36" s="2" t="inlineStr">
        <is>
          <t>computational fluid dynamics, fluid dynamics, fluid mechanics, scientific computing</t>
        </is>
      </c>
      <c r="M36" s="2" t="inlineStr">
        <is>
          <t>Differentiable physics for turbulence closure modeling, neural operators (Fourier/PCA-Net), reduced-order modeling for advection-dominated systems, and deep generative models.</t>
        </is>
      </c>
      <c r="N36" s="2" t="inlineStr">
        <is>
          <t>Differentiable CFD Solvers (JAX-Fluids/PyTorch), Neural Operators (FNO/DeepONet), Convolutional Autoencoders, Subgrid-Scale Turbulence Closures, Diffusion Models</t>
        </is>
      </c>
      <c r="O36" s="2" t="inlineStr">
        <is>
          <t>Generalizable data-driven turbulence closure modeling on unstructured grids with differentiable physics</t>
        </is>
      </c>
      <c r="P36" s="3">
        <f>HYPERLINK("https://doi.org/10.1016/j.compfluid.2026.107200", "https://doi.org/10.1016/j.compfluid.2026.107200")</f>
        <v/>
      </c>
      <c r="Q36" s="2" t="inlineStr">
        <is>
          <t>coupling automatic differentiation with unstructured CFD solvers to train data-driven subgrid turbulence closures, demonstrating that end-to-end differentiable physics training prevents numerical instabilities and generalizes across complex geometries.</t>
        </is>
      </c>
      <c r="R36" s="2" t="inlineStr">
        <is>
          <t>We present a differentiable physics framework for training data-driven subgrid-scale turbulence models on unstructured grids. By backpropagating through the discretized Navier-Stokes solver using automatic differentiation, the neural network learns closure corrections that account for numerical truncation errors and non-local stress interactions. The resulting models demonstrate remarkable stability and generalize across disparate Reynolds numbers and complex aerodynamic geometries.</t>
        </is>
      </c>
      <c r="S36" s="2" t="inlineStr">
        <is>
          <t>Reduced-order modeling of advection-dominated systems with recurrent neural networks and convolutional autoencoders</t>
        </is>
      </c>
      <c r="T36" s="3">
        <f>HYPERLINK("https://doi.org/10.1063/5.0039986", "https://doi.org/10.1063/5.0039986")</f>
        <v/>
      </c>
      <c r="U36" s="2" t="inlineStr">
        <is>
          <t>formulating non-linear manifold reduced-order models via convolutional autoencoders and recurrent neural networks for advection-dominated flows, overcoming linear POD limitations to accurately propagate moving shock and vortex dynamics.</t>
        </is>
      </c>
      <c r="V36" s="2" t="inlineStr">
        <is>
          <t>A common strategy for dimensionality reduction of nonlinear partial differential equations relies on proper orthogonal decomposition (POD) with Galerkin projection. However, advection-dominated systems exhibit slow decay of Kolmogorov n-width, degrading linear POD accuracy. This study develops a non-linear manifold reduced-order model combining convolutional autoencoders with recurrent neural networks (LSTM). The architecture accurately captures propagating shock fronts and vortex convection with orders-of-magnitude fewer degrees of freedom.</t>
        </is>
      </c>
      <c r="W36" s="2" t="inlineStr">
        <is>
          <t>1. Generalizable data-driven turbulence closure modeling on unstructured grids with differentiable physics (Computers &amp; Fluids, 2026) [DOI: https://doi.org/10.1016/j.compfluid.2026.107200] | 2. Reduced-order modeling of advection-dominated systems with recurrent neural networks and convolutional autoencoders (Physics of Fluids, 2021) [DOI: https://doi.org/10.1063/5.0039986]</t>
        </is>
      </c>
      <c r="X36" s="3">
        <f>HYPERLINK("https://doi.org/10.1016/j.compfluid.2026.107200", "https://doi.org/10.1016/j.compfluid.2026.107200 | https://doi.org/10.1063/5.0039986")</f>
        <v/>
      </c>
      <c r="Y36" s="2" t="inlineStr">
        <is>
          <t>coupling automatic differentiation with unstructured CFD solvers to train data-driven subgrid turbulence closures, demonstrating that end-to-end differentiable physics training prevents numerical instabilities and generalizes across complex geometries.</t>
        </is>
      </c>
      <c r="Z36" s="2" t="inlineStr"/>
      <c r="AA36" s="2" t="inlineStr">
        <is>
          <t>"Generalizable data-driven turbulence closure modeling on unstructured grids with differentiable physics" [Computers &amp; Fluids] (2026) [DOI: https://doi.org/10.1016/j.compfluid.2026.107200] | "Localized PCA-Net neural operators for scalable solution reconstruction of elliptic PDEs" [Machine learning for computational science and engineering] (2026) [DOI: https://doi.org/10.1007/s44379-026-00070-2] | "SALSA-RL: stability analysis in the latent space of actions for reinforcement learning" [Neural Networks] (2026) [DOI: https://doi.org/10.1016/j.neunet.2026.108957] | "Multimodal atmospheric super-resolution with deep generative models" [Machine Learning Earth] (2025) [DOI: https://doi.org/10.1088/3049-4753/ae286e] | "Measure-Theoretic Time-Delay Embedding" [Journal of Statistical Physics] (2025) [DOI: https://doi.org/10.1007/s10955-025-03555-1]</t>
        </is>
      </c>
      <c r="AB36" s="2" t="inlineStr">
        <is>
          <t>"Reduced-order modeling of advection-dominated systems with recurrent neural networks and convolutional autoencoders" [Physics of Fluids] (2021, 303 cites) [DOI: https://doi.org/10.1063/5.0039986] | "An artificial neural network framework for reduced order modeling of transient flows" [Communications in Nonlinear Science and Numerical Simulation] (2019, 170 cites) [DOI: https://doi.org/10.1016/j.cnsns.2019.04.025] | "Neural network closures for nonlinear model order reduction" [Advances in Computational Mathematics] (2018, 154 cites) [DOI: https://doi.org/10.1007/s10444-018-9590-z]</t>
        </is>
      </c>
      <c r="AC36" s="2" t="inlineStr"/>
      <c r="AD36" s="2" t="inlineStr">
        <is>
          <t>Outstanding Mechanical Engineers Distinguished Engineering Alumni Honorary Doctorates Staff Awards Student Awards Distinguished...</t>
        </is>
      </c>
      <c r="AE36" s="2" t="inlineStr"/>
      <c r="AF36" s="2" t="inlineStr">
        <is>
          <t>Model Reduction and Neural Networks (76) | Fluid Dynamics and Turbulent Flows (58) | Meteorological Phenomena and Simulations (46)</t>
        </is>
      </c>
      <c r="AG36" s="2" t="inlineStr">
        <is>
          <t>Model Reduction and Neural Networks (76) | Fluid Dynamics and Turbulent Flows (58) | Meteorological Phenomena and Simulations (46)</t>
        </is>
      </c>
      <c r="AH36" s="2" t="inlineStr">
        <is>
          <t>Scientific machine learning Computational fluid dynamics Dynamical systems Inverse problems</t>
        </is>
      </c>
      <c r="AI36" s="2" t="inlineStr">
        <is>
          <t>Fluid Mechanics</t>
        </is>
      </c>
      <c r="AJ36" s="2" t="inlineStr">
        <is>
          <t>Fluid Mechanics</t>
        </is>
      </c>
      <c r="AK36" s="2" t="inlineStr">
        <is>
          <t>Margaret Butler Postdoctoral Fellow - Argonne National Laboratory - 2021 PhD - Oklahoma State University - 2019 MS - Oklahoma State University - 2016 BS - Birla Institute of Technology - 2012</t>
        </is>
      </c>
      <c r="AL36" s="2" t="inlineStr">
        <is>
          <t>Interdisciplinary Scientific Computing Laboratory (GitHub)</t>
        </is>
      </c>
      <c r="AM36" s="3">
        <f>HYPERLINK("https://romit-maulik.github.io/", "https://romit-maulik.github.io/")</f>
        <v/>
      </c>
      <c r="AN36" s="2" t="inlineStr"/>
      <c r="AO36" s="2" t="inlineStr"/>
      <c r="AP36" s="2" t="inlineStr"/>
      <c r="AQ36" s="2" t="inlineStr"/>
      <c r="AR36" s="3">
        <f>HYPERLINK("https://github.com/Romit-Maulik", "https://github.com/Romit-Maulik, https://github.com/mavroudisv/plain-academic")</f>
        <v/>
      </c>
      <c r="AS36" s="2" t="inlineStr"/>
      <c r="AT36" s="2" t="inlineStr">
        <is>
          <t>FLEX 3081B</t>
        </is>
      </c>
      <c r="AU36" s="2" t="b">
        <v>1</v>
      </c>
      <c r="AV36" s="3">
        <f>HYPERLINK("https://engineering.purdue.edu/ME/People/ptFaculty", "https://engineering.purdue.edu/ME/People/ptFaculty")</f>
        <v/>
      </c>
    </row>
    <row r="37">
      <c r="A37" s="2" t="inlineStr">
        <is>
          <t>Stephen D. Heister</t>
        </is>
      </c>
      <c r="B37" s="2" t="inlineStr">
        <is>
          <t>Purdue University</t>
        </is>
      </c>
      <c r="C37" s="3">
        <f>HYPERLINK("https://engineering.purdue.edu/AAE/people/ptProfile?resource_id=1326", "https://engineering.purdue.edu/AAE/people/ptProfile?resource_id=1326")</f>
        <v/>
      </c>
      <c r="D37" s="3">
        <f>HYPERLINK("https://scholar.google.com/citations?view_op=search_authors&amp;mauthors=Stephen%20D.%20Heister%20Purdue%20University", "Google Scholar Search")</f>
        <v/>
      </c>
      <c r="E37" s="2" t="inlineStr">
        <is>
          <t>Raisbeck Engineering Distinguished Professor for Engineering and Technology Integration; Ph.D., UCLA, 1988, rocket propulsion, liquid propellant injection systems.</t>
        </is>
      </c>
      <c r="F37" s="2" t="inlineStr">
        <is>
          <t>Aeronautics and Astronautics</t>
        </is>
      </c>
      <c r="G37" s="2" t="inlineStr"/>
      <c r="H37" s="3">
        <f>HYPERLINK("mailto:webmaster-eng@purdue.edu", "webmaster-eng@purdue.edu")</f>
        <v/>
      </c>
      <c r="I37" s="2" t="n">
        <v>1</v>
      </c>
      <c r="J37" s="2" t="inlineStr">
        <is>
          <t>🔵 Tier 1: Core Aero / Fluids / Propulsion</t>
        </is>
      </c>
      <c r="K37" s="2" t="n">
        <v>4</v>
      </c>
      <c r="L37" s="2" t="inlineStr">
        <is>
          <t>aerospace, detonation, propulsion, rocket propulsion</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is>
          <t>"Structural Life Characterization of a Rotating Detonation Rocket Engine (RDRE)" (2025) [DOI: https://doi.org/10.2514/6.2025-1977] | "Heat Transfer Measurements of NASA Liquid Kerosene/Oxygen Rotating Detonation Rocket Engine" (2025) [DOI: https://doi.org/10.2514/6.2025-1976] | "Current Status of Liquid-Bipropellant Detonation-Based Propulsion Devices" [Journal of Propulsion and Power] (2024) [DOI: https://doi.org/10.2514/1.b39360] | "Impulse generated from detonation waves in non-premixed and partially premixed reactants" [Applications in Energy and Combustion Science] (2024) [DOI: https://doi.org/10.1016/j.jaecs.2024.100264] | "Rotating detonation combustor performance informed through a novel megahertz-rate stagnation pressure measurement" [Physics of Fluids] (2024) [DOI: https://doi.org/10.1063/5.0195465]</t>
        </is>
      </c>
      <c r="AB37" s="2" t="inlineStr">
        <is>
          <t>"Thermoelectric Generators for Automotive Waste Heat Recovery Systems Part I: Numerical Modeling and Baseline Model Analysis" [Journal of Electronic Materials] (2013, 155 cites) [DOI: https://doi.org/10.1007/s11664-013-2471-9] | "A Numerical Treatment for Attached Cavitation" [Journal of Fluids Engineering] (1994, 118 cites) [DOI: https://doi.org/10.1115/1.2910321] | "Modeling Hydrodynamic Nonequilibrium in Cavitating Flows" [Journal of Fluids Engineering] (1996, 117 cites) [DOI: https://doi.org/10.1115/1.2817497]</t>
        </is>
      </c>
      <c r="AC37" s="2" t="inlineStr"/>
      <c r="AD37" s="2" t="inlineStr">
        <is>
          <t>The Elmer F. Bruhn Teaching Award, 2011 Recipient, C.T. Sun Research Award, Oct. 2005. Purdue University Faculty Scholar, 1998-...</t>
        </is>
      </c>
      <c r="AE37" s="2" t="inlineStr"/>
      <c r="AF37" s="2" t="inlineStr">
        <is>
          <t>Rocket and propulsion systems research (120) | Energetic Materials and Combustion (102) | Combustion and Detonation Processes (89)</t>
        </is>
      </c>
      <c r="AG37" s="2" t="inlineStr">
        <is>
          <t>Rocket and propulsion systems research (120) | Energetic Materials and Combustion (102) | Combustion and Detonation Processes (89)</t>
        </is>
      </c>
      <c r="AH37" s="2" t="inlineStr">
        <is>
          <t>Aerospace propulsion systems Airbreathing and rocket engine combustors Liquid propellant injection systems Two-phase and capillary flows</t>
        </is>
      </c>
      <c r="AI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gas/liquid and cavitating flows have been developed for use within the homogeneous fluid architecture, both 2-D and 3-D models have been developed for use in this context.  Both 2-D and 3-D boundary element codes have also been developed and applied to both pressure and pressure-swirl atomizers with and without gas-phase contributions.  Several graduate students continue to pursue these areas within Dr. Heister's research group. During the past decade, Professor Heister has become more involved with experimental work at the substantial propulsion laboratories available at the Maurice J. Zucrow Lab complex .   In this context, his group has been involved with solid, hybrid, and liquid rocket engine developments.  Substantial work has been done with hydrogen peroxide-based hybrid rockets using various ignition schemes and a multitude of fuel combinations. The group collaborates closely with Air Force and Navy Laboratories in the assessment of new liquid and hybrid rocket propellants.  The group has been a substantial contributor to development of nontoxic hypergolic propellants for  liquid rocket applications.  Studies have also been conducted under DARPA sponsorship with regard to propulsion systems for mobile land mines.  An experimental facility has been developed to study cyclic operation of Pulse Detonation Engines at frequencies as high as 50 Hz. In 2003, Dr. Heister was named the Director of the Rolls-Royce University Technology Center in High Mach Propulsion, the first such center in the United States.  In accordance with this role, he collaborates with other AAE and ME faculty in developing experimental facilities to heat sink and coking characteristics of gas turbine fuels at aggressive high temperature conditions.  In addition, this group is pursuing advanced fuel injectors for application to high Mach jet engines.</t>
        </is>
      </c>
      <c r="AJ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t>
        </is>
      </c>
      <c r="AK37" s="2" t="inlineStr">
        <is>
          <t>B.S.E., The University of Michigan, Aerospace Engineering, 1981 M.S.E., The University of Michigan, Aerospace Engineering, 1983 Ph.D., Univ. of California at Los Angeles, Aerospace Engineering, 1988</t>
        </is>
      </c>
      <c r="AL37" s="2" t="inlineStr">
        <is>
          <t>Indiana Space Grant Consortium</t>
        </is>
      </c>
      <c r="AM37" s="3">
        <f>HYPERLINK("https://insgc.spacegrant.org/", "https://insgc.spacegrant.org/")</f>
        <v/>
      </c>
      <c r="AN37" s="2" t="inlineStr">
        <is>
          <t>Academic INSGC Internships</t>
        </is>
      </c>
      <c r="AO37" s="2" t="inlineStr"/>
      <c r="AP37" s="2" t="inlineStr"/>
      <c r="AQ37" s="2" t="inlineStr">
        <is>
          <t>NASA</t>
        </is>
      </c>
      <c r="AR37" s="2" t="inlineStr"/>
      <c r="AS37" s="2" t="inlineStr"/>
      <c r="AT37" s="2" t="inlineStr"/>
      <c r="AU37" s="2" t="b">
        <v>1</v>
      </c>
      <c r="AV37" s="3">
        <f>HYPERLINK("https://engineering.purdue.edu/AAE/people/Faculty", "https://engineering.purdue.edu/AAE/people/Faculty")</f>
        <v/>
      </c>
    </row>
    <row r="38">
      <c r="A38" s="2" t="inlineStr">
        <is>
          <t>Steven F. Son</t>
        </is>
      </c>
      <c r="B38" s="2" t="inlineStr">
        <is>
          <t>Purdue University</t>
        </is>
      </c>
      <c r="C38" s="3">
        <f>HYPERLINK("https://engineering.purdue.edu/ME/People/ptProfile?resource_id=29385", "https://engineering.purdue.edu/ME/People/ptProfile?resource_id=29385")</f>
        <v/>
      </c>
      <c r="D38" s="3">
        <f>HYPERLINK("https://scholar.google.com/citations?view_op=search_authors&amp;mauthors=Steven%20F.%20Son%20Purdue%20University", "Google Scholar Search")</f>
        <v/>
      </c>
      <c r="E38" s="2" t="inlineStr">
        <is>
          <t>Alfred J. Mcallister Professor of Mechanical Engineering</t>
        </is>
      </c>
      <c r="F38" s="2" t="inlineStr">
        <is>
          <t>Aeronautics and Astronautics</t>
        </is>
      </c>
      <c r="G38" s="2" t="inlineStr"/>
      <c r="H38" s="3">
        <f>HYPERLINK("mailto:sson@purdue.edu", "sson@purdue.edu")</f>
        <v/>
      </c>
      <c r="I38" s="2" t="n">
        <v>1</v>
      </c>
      <c r="J38" s="2" t="inlineStr">
        <is>
          <t>🔵 Tier 1: Core Aero / Fluids / Propulsion</t>
        </is>
      </c>
      <c r="K38" s="2" t="n">
        <v>4</v>
      </c>
      <c r="L38" s="2" t="inlineStr">
        <is>
          <t>combustion, fluid mechanics, materials, thermodynamics</t>
        </is>
      </c>
      <c r="M38" s="2" t="inlineStr">
        <is>
          <t>Combustion and deflagration-to-detonation transition of composite solid propellants, reactive energetic nanocomposites, and high-speed laser diagnostics in explosive fireballs.</t>
        </is>
      </c>
      <c r="N38" s="2" t="inlineStr">
        <is>
          <t>High-Pressure Strand Burners, Laser Absorption Spectroscopy (LAS), Optical Emission Spectroscopy, Additive Manufacturing of Energetics, High-Speed Optical Pyrometry</t>
        </is>
      </c>
      <c r="O38" s="2" t="inlineStr">
        <is>
          <t>Laser absorption measurements of temperature, pressure, CO, and CO2 at near-MHz rates in post-detonation fireballs with comparison to synthetic measurements</t>
        </is>
      </c>
      <c r="P38" s="3">
        <f>HYPERLINK("https://doi.org/10.1063/5.0312755", "https://doi.org/10.1063/5.0312755")</f>
        <v/>
      </c>
      <c r="Q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R38" s="2" t="inlineStr">
        <is>
          <t>A laser absorption spectroscopy (LAS) diagnostic was used to obtain measurements of temperature, pressure, CO, and CO2 at 500 kHz or 1 MHz in post-detonation fireballs produced by hemispherical samples of pentaerythritol tetranitrate (PETN). Experimental and synthetic LAS measurements were compared to evaluate the accuracy of the CFD model and its ability to model the turbulent afterburning of the detonation products in air. Results provide unprecedented time-resolved insights into species evolution and secondary combustion kinetics in reacting post-blast plumes.</t>
        </is>
      </c>
      <c r="S38" s="2" t="inlineStr">
        <is>
          <t>Characterization of the influence of aluminum particle size on the temperature of composite-propellant flames using CO absorption and AlO emission spectroscopy</t>
        </is>
      </c>
      <c r="T38" s="3">
        <f>HYPERLINK("https://doi.org/10.1016/j.proci.2020.06.163", "https://doi.org/10.1016/j.proci.2020.06.163")</f>
        <v/>
      </c>
      <c r="U38" s="2" t="inlineStr">
        <is>
          <t>combining CO laser absorption with AlO emission spectroscopy in solid propellant flames up to 5.5 MPa, demonstrating that replacing microscale with nanoscale aluminum particles shifts the primary reaction zone toward the burning surface, enhancing regression rates by over 80%.</t>
        </is>
      </c>
      <c r="V38" s="2" t="inlineStr">
        <is>
          <t>The combustion behavior of aluminized composite solid propellants was investigated to determine the influence of aluminum particle size (ranging from nanoscale to microscale) on flame temperature and AlO radical generation. Using simultaneous line-of-sight CO absorption spectroscopy and AlO emission spectroscopy in a windowed pressure vessel up to 5.5 MPa, flame temperatures and radical zone distributions were quantified. Replacing conventional micro-aluminum with nanoscale aluminum accelerated particle ignition and shifted peak heat release closer to the propellant burning surface, increasing linear burn rates by more than 80%.</t>
        </is>
      </c>
      <c r="W38" s="2" t="inlineStr">
        <is>
          <t>1. Laser absorption measurements of temperature, pressure, CO, and CO2 at near-MHz rates in post-detonation fireballs with comparison to synthetic measurements (Journal of Applied Physics, 2026) [DOI: https://doi.org/10.1063/5.0312755] | 2. Characterization of the influence of aluminum particle size on the temperature of composite-propellant flames using CO absorption and AlO emission spectroscopy (Proceedings of the Combustion Institute, 2020) [DOI: https://doi.org/10.1016/j.proci.2020.06.163]</t>
        </is>
      </c>
      <c r="X38" s="3">
        <f>HYPERLINK("https://doi.org/10.1063/5.0312755", "https://doi.org/10.1063/5.0312755 | https://doi.org/10.1016/j.proci.2020.06.163")</f>
        <v/>
      </c>
      <c r="Y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Z38" s="2" t="inlineStr"/>
      <c r="AA38" s="2" t="inlineStr">
        <is>
          <t>"Adhesion of common curable elastomeric polymer binders to fused filament fabrication materials" [Results in Materials] (2026) [DOI: https://doi.org/10.1016/j.rinma.2026.100963] | "Author response for "A Deep Learning Approach to Searching Property Spaces of Materials"" (2026) [DOI: https://doi.org/10.1039/d5dd00422e/v3/response1] | "Laser absorption measurements of temperature, pressure, CO, and CO2 at near-MHz rates in post-detonation fireballs with comparison to synthetic measurements" [Journal of Applied Physics] (2026) [DOI: https://doi.org/10.1063/5.0312755] | "Author response for "A Deep Learning Approach to Searching Property Spaces of Materials"" (2026) [DOI: https://doi.org/10.1039/d5dd00422e/v2/response1] | "MeltCastExplore" [Zenodo (CERN European Organization for Nuclear Research)] (2026) [DOI: https://doi.org/10.5281/zenodo.18474595]</t>
        </is>
      </c>
      <c r="AB38" s="2" t="inlineStr">
        <is>
          <t>"Metal particle combustion and nanotechnology" [Proceedings of the Combustion Institute] (2009, 848 cites) [DOI: https://doi.org/10.1016/j.proci.2008.08.013] | "Two-phase modeling of deflagration-to-detonation transition in granular materials: Reduced equations" [Physics of Fluids] (2001, 625 cites) [DOI: https://doi.org/10.1063/1.1398042] | "Aluminum agglomeration reduction in a composite propellant using tailored Al/PTFE particles" [Combustion and Flame] (2013, 366 cites) [DOI: https://doi.org/10.1016/j.combustflame.2013.08.009]</t>
        </is>
      </c>
      <c r="AC38" s="2" t="inlineStr"/>
      <c r="AD38" s="2" t="inlineStr">
        <is>
          <t>Outstanding Mechanical Engineers Distinguished Engineering Alumni Honorary Doctorates Staff Awards Student Awards Distinguished...</t>
        </is>
      </c>
      <c r="AE38" s="2" t="inlineStr"/>
      <c r="AF38" s="2" t="inlineStr">
        <is>
          <t>Energetic Materials and Combustion (337) | Rocket and propulsion systems research (154) | Combustion and Detonation Processes (135)</t>
        </is>
      </c>
      <c r="AG38" s="2" t="inlineStr">
        <is>
          <t>Energetic Materials and Combustion (337) | Rocket and propulsion systems research (154) | Combustion and Detonation Processes (135)</t>
        </is>
      </c>
      <c r="AH38" s="2" t="inlineStr">
        <is>
          <t>Multiphase combustion, particularly related to propellants, explosives, and pyrotechnics Nanoscale composite energetic materials Advanced energetic materials Microscale combustion</t>
        </is>
      </c>
      <c r="AI38" s="2" t="inlineStr">
        <is>
          <t>Thermodynamics Fluid Mechanics Heat &amp; Mass Transfer</t>
        </is>
      </c>
      <c r="AJ38" s="2" t="inlineStr">
        <is>
          <t>Thermodynamics Fluid Mechanics Heat &amp; Mass Transfer</t>
        </is>
      </c>
      <c r="AK38" s="2" t="inlineStr">
        <is>
          <t>B.S. Brigham Young, '89 M.S. Brigham Young, '89 Ph.D. University of Illinois, '93</t>
        </is>
      </c>
      <c r="AL38" s="2" t="inlineStr">
        <is>
          <t>The Son Group</t>
        </is>
      </c>
      <c r="AM38" s="3">
        <f>HYPERLINK("https://web.ics.purdue.edu/~sson/Son_Webpage/SonWeb_index.html", "https://web.ics.purdue.edu/~sson/Son_Webpage/SonWeb_index.html")</f>
        <v/>
      </c>
      <c r="AN38" s="2" t="inlineStr"/>
      <c r="AO38" s="2" t="inlineStr"/>
      <c r="AP38" s="2" t="inlineStr"/>
      <c r="AQ38" s="2" t="inlineStr">
        <is>
          <t>NASA, Sandia National Laboratories</t>
        </is>
      </c>
      <c r="AR38" s="2" t="inlineStr"/>
      <c r="AS38" s="2" t="inlineStr"/>
      <c r="AT38" s="2" t="inlineStr"/>
      <c r="AU38" s="2" t="b">
        <v>1</v>
      </c>
      <c r="AV38" s="3">
        <f>HYPERLINK("https://engineering.purdue.edu/AAE/people/Faculty", "https://engineering.purdue.edu/AAE/people/Faculty")</f>
        <v/>
      </c>
    </row>
    <row r="39">
      <c r="A39" s="2" t="inlineStr">
        <is>
          <t>Timothée Pourpoint</t>
        </is>
      </c>
      <c r="B39" s="2" t="inlineStr">
        <is>
          <t>Purdue University</t>
        </is>
      </c>
      <c r="C39" s="3">
        <f>HYPERLINK("https://engineering.purdue.edu/AAE/people/ptProfile?resource_id=23845", "https://engineering.purdue.edu/AAE/people/ptProfile?resource_id=23845")</f>
        <v/>
      </c>
      <c r="D39" s="3">
        <f>HYPERLINK("https://scholar.google.com/citations?view_op=search_authors&amp;mauthors=Timoth%C3%A9e%20Pourpoint%20Purdue%20University", "Google Scholar Search")</f>
        <v/>
      </c>
      <c r="E39" s="2" t="inlineStr">
        <is>
          <t>Joseph Liston Professor of Aeronautics and Astronautics</t>
        </is>
      </c>
      <c r="F39" s="2" t="inlineStr">
        <is>
          <t>Aeronautics and Astronautics</t>
        </is>
      </c>
      <c r="G39" s="2" t="inlineStr"/>
      <c r="H39" s="3">
        <f>HYPERLINK("mailto:timothee@purdue.edu", "timothee@purdue.edu")</f>
        <v/>
      </c>
      <c r="I39" s="2" t="n">
        <v>1</v>
      </c>
      <c r="J39" s="2" t="inlineStr">
        <is>
          <t>🔵 Tier 1: Core Aero / Fluids / Propulsion</t>
        </is>
      </c>
      <c r="K39" s="2" t="n">
        <v>4</v>
      </c>
      <c r="L39" s="2" t="inlineStr">
        <is>
          <t>aerospace, combustion, materials, propulsion</t>
        </is>
      </c>
      <c r="M39" s="2" t="inlineStr">
        <is>
          <t>Hypergolic propellant ignition mechanisms, green rocket propellants, optically accessible rocket combustors, and cavitating venturi flow dynamics.</t>
        </is>
      </c>
      <c r="N39" s="2" t="inlineStr">
        <is>
          <t>High-Pressure Hypergolic Thruster Test Cells, Optically Accessible Quartz Combustion Chambers, High-Speed Shadowgraphy, Tagged Particle Velocimetry, Drop-Test Facilities</t>
        </is>
      </c>
      <c r="O39" s="2" t="inlineStr">
        <is>
          <t>An Alternate Mechanism for the Reactions of Methylhydrazine with Dinitrogen Tetroxide</t>
        </is>
      </c>
      <c r="P39" s="3">
        <f>HYPERLINK("https://doi.org/10.1021/acs.energyfuels.6c00475", "https://doi.org/10.1021/acs.energyfuels.6c00475")</f>
        <v/>
      </c>
      <c r="Q39" s="2" t="inlineStr">
        <is>
          <t>investigating liquid-phase MMH/NTO hypergolic propellant reactions, demonstrating that pre-ignition condensed-phase adduct formation dictates ignition delay behavior under vacuum conditions, challenging purely gas-phase radical kinetic models.</t>
        </is>
      </c>
      <c r="R39" s="2" t="inlineStr">
        <is>
          <t>Various mechanisms have been proposed in the literature for the hypergolic reactions of methylhydrazine (MMH) and dinitrogen tetroxide (NTO). Experimental results obtained on the liquid-phase reactions of MMH and NTO by using high-resolution spectroscopy and sub-millisecond imaging indicate that rapid liquid-phase condensed-phase adduct formation precedes gas-phase radical branching. An alternate chemical kinetic pathway incorporating ionic intermediate complexes is formulated, explaining the anomalous ignition delays observed in low-temperature vacuum rocket engine starts.</t>
        </is>
      </c>
      <c r="S39" s="2" t="inlineStr">
        <is>
          <t>Development of an Optically Accessible Green Hypergolic Rocket Engine with Bi Swirl Injector</t>
        </is>
      </c>
      <c r="T39" s="3">
        <f>HYPERLINK("https://doi.org/10.2514/6.2026-1601", "https://doi.org/10.2514/6.2026-1601")</f>
        <v/>
      </c>
      <c r="U39" s="2" t="inlineStr">
        <is>
          <t>designing and firing an optically accessible quartz rocket engine with bi-swirl injection, resolving the transient liquid sheet impingement and flame anchoring dynamics of green hypergolic propellants during engine ignition.</t>
        </is>
      </c>
      <c r="V39" s="2" t="inlineStr">
        <is>
          <t>This work investigates the flow and ignition dynamics of green hypergolic propellants by designing, fabricating, and testing a bipropellant thruster that incorporates direct optical access throughout the entire system. Unlike conventional thrusters, the presented design integrates a transparent quartz chamber and bi-swirl injector to observe liquid sheet atomization, impingement, and early flame kernel anchoring. Optical measurements resolve the liquid-film mixing zone and quantify the time delay from initial contact to chamber pressurization.</t>
        </is>
      </c>
      <c r="W39" s="2" t="inlineStr">
        <is>
          <t>1. An Alternate Mechanism for the Reactions of Methylhydrazine with Dinitrogen Tetroxide (Energy &amp; Fuels, 2026) [DOI: https://doi.org/10.1021/acs.energyfuels.6c00475] | 2. Development of an Optically Accessible Green Hypergolic Rocket Engine with Bi Swirl Injector (AIAA SciTech, 2026) [DOI: https://doi.org/10.2514/6.2026-1601]</t>
        </is>
      </c>
      <c r="X39" s="3">
        <f>HYPERLINK("https://doi.org/10.1021/acs.energyfuels.6c00475", "https://doi.org/10.1021/acs.energyfuels.6c00475 | https://doi.org/10.2514/6.2026-1601")</f>
        <v/>
      </c>
      <c r="Y39" s="2" t="inlineStr">
        <is>
          <t>investigating liquid-phase MMH/NTO hypergolic propellant reactions, demonstrating that pre-ignition condensed-phase adduct formation dictates ignition delay behavior under vacuum conditions, challenging purely gas-phase radical kinetic models.</t>
        </is>
      </c>
      <c r="Z39" s="2" t="inlineStr"/>
      <c r="AA39" s="2" t="inlineStr">
        <is>
          <t>"An Alternate Mechanism for the Reactions of Methylhydrazine with Dinitrogen Tetroxide" [Energy &amp; Fuels] (2026) [DOI: https://doi.org/10.1021/acs.energyfuels.6c00475] | "KHz rate 3D white light particle tracking with a tunable acoustic gradient (TAG) lens" [Optics Express] (2026) [DOI: https://doi.org/10.1364/oe.588303] | "Design and Performance Analysis of an Optically Accessible Pneumatic Poppet Valve" (2026) [DOI: https://doi.org/10.2514/6.2026-1603] | "Development of an Optically Accessible Green Hypergolic Rocket Engine with Bi Swirl Injector" (2026) [DOI: https://doi.org/10.2514/6.2026-1601] | "Experimental and Numerical Study of an Optically Accessible Cavitating Venturi" (2026) [DOI: https://doi.org/10.2514/6.2026-1602]</t>
        </is>
      </c>
      <c r="AB39" s="2" t="inlineStr">
        <is>
          <t>"Study of heat transfer and kinetics parameters influencing the design of heat exchangers for hydrogen storage in high-pressure metal hydrides" [International Journal of Heat and Mass Transfer] (2010, 85 cites) [DOI: https://doi.org/10.1016/j.ijheatmasstransfer.2009.12.010] | "Enhanced heat exchanger design for hydrogen storage using high-pressure metal hydride: Part 1. Design methodology and computational results" [International Journal of Heat and Mass Transfer] (2010, 82 cites) [DOI: https://doi.org/10.1016/j.ijheatmasstransfer.2010.09.029] | "Amine–Boranes: Green Hypergolic Fuels with Consistently Low Ignition Delays" [Chemistry - A European Journal] (2014, 66 cites) [DOI: https://doi.org/10.1002/chem.201405224]</t>
        </is>
      </c>
      <c r="AC39" s="2" t="inlineStr"/>
      <c r="AD39" s="2" t="inlineStr">
        <is>
          <t>AIAA Associate Fellow</t>
        </is>
      </c>
      <c r="AE39" s="2" t="inlineStr"/>
      <c r="AF39" s="2" t="inlineStr">
        <is>
          <t>Rocket and propulsion systems research (81) | Energetic Materials and Combustion (52) | Combustion and flame dynamics (25)</t>
        </is>
      </c>
      <c r="AG39" s="2" t="inlineStr">
        <is>
          <t>Rocket and propulsion systems research (81) | Energetic Materials and Combustion (52) | Combustion and flame dynamics (25)</t>
        </is>
      </c>
      <c r="AH39" s="2" t="inlineStr">
        <is>
          <t>Aerospace propulsion systems Rocket engine combustors Liquid propellant injection systems Hypergolic propellants High pressure and hydrogen storage systems</t>
        </is>
      </c>
      <c r="AI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on the development and characterization of new chemical propellants (see: Aerospace Propulsion and Energy Conversion Systems ). Energy Storage Research Dr. Pourpoint is developing safe and efficient ways to use hydrogen for power generation through a combination of gas and solid-state storage approaches.  This research builds on the experience and testing capabilities developed in partnership with General Motors for the characterization and large-scale evaluation of high pressure metal hydrides and adsorbents. Additional details about this research can be found at: Hydrogen Systems Laboratory Experimental Testing Facilities As part of his work Dr. Pourpoint has been involved in designing, implementing, and operating several testing facilities at the Maurice Zucrow Laboratories. Through his research Dr. Pourpoint has gained expertise in working with high-pressure hydrogen (up to 180 gal and 10,000 psia), pyrophoric metal powders, nanoscale materials, and propellants including monomethyl hydrazine, nitrogen tetroxide, hydrogen peroxide, and red fuming nitric acid.</t>
        </is>
      </c>
      <c r="AJ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t>
        </is>
      </c>
      <c r="AK39" s="2" t="inlineStr">
        <is>
          <t>Ph.D., Purdue University, Aeronautical &amp; Astronautical Engineering, Dec. 2005 M.S., University of Alabama in Huntsville, Mechanical &amp; Aerospace Engineering, Dec. 2000 B.S., ESTACA University, Paris, France, Mechanical Engineering, July 2000</t>
        </is>
      </c>
      <c r="AL39" s="2" t="inlineStr">
        <is>
          <t>Indiana Space Grant Consortium</t>
        </is>
      </c>
      <c r="AM39" s="3">
        <f>HYPERLINK("https://insgc.spacegrant.org/", "https://insgc.spacegrant.org/")</f>
        <v/>
      </c>
      <c r="AN39" s="2" t="inlineStr">
        <is>
          <t>Academic INSGC Internships</t>
        </is>
      </c>
      <c r="AO39" s="2" t="inlineStr"/>
      <c r="AP39" s="2" t="inlineStr"/>
      <c r="AQ39" s="2" t="inlineStr">
        <is>
          <t>NASA</t>
        </is>
      </c>
      <c r="AR39" s="2" t="inlineStr"/>
      <c r="AS39" s="2" t="inlineStr"/>
      <c r="AT39" s="2" t="inlineStr">
        <is>
          <t>Chaffee Hall, Room 116 &amp; ARMS 2017</t>
        </is>
      </c>
      <c r="AU39" s="2" t="b">
        <v>1</v>
      </c>
      <c r="AV39" s="3">
        <f>HYPERLINK("https://engineering.purdue.edu/AAE/people/Faculty", "https://engineering.purdue.edu/AAE/people/Faculty")</f>
        <v/>
      </c>
    </row>
    <row r="40">
      <c r="A40" s="2" t="inlineStr">
        <is>
          <t>Guillermo Paniagua</t>
        </is>
      </c>
      <c r="B40" s="2" t="inlineStr">
        <is>
          <t>Purdue University</t>
        </is>
      </c>
      <c r="C40" s="3">
        <f>HYPERLINK("https://engineering.purdue.edu/ME/People/ptProfile?resource_id=113506", "https://engineering.purdue.edu/ME/People/ptProfile?resource_id=113506")</f>
        <v/>
      </c>
      <c r="D40" s="3">
        <f>HYPERLINK("https://scholar.google.com/citations?user=KO7HNBsAAAAJ", "Scholar (KO7HNBsAAAAJ)")</f>
        <v/>
      </c>
      <c r="E40" s="2" t="inlineStr">
        <is>
          <t>Reilly Professor of Mechanical Engineering, and Professor of Aeronautics &amp; Astronautics (by Courtesy)</t>
        </is>
      </c>
      <c r="F40" s="2" t="inlineStr">
        <is>
          <t>Aeronautics and Astronautics</t>
        </is>
      </c>
      <c r="G40" s="2" t="inlineStr">
        <is>
          <t>KO7HNBsAAAAJ</t>
        </is>
      </c>
      <c r="H40" s="3">
        <f>HYPERLINK("mailto:gpaniagua@purdue.edu", "gpaniagua@purdue.edu")</f>
        <v/>
      </c>
      <c r="I40" s="2" t="n">
        <v>1</v>
      </c>
      <c r="J40" s="2" t="inlineStr">
        <is>
          <t>🔵 Tier 1: Core Aero / Fluids / Propulsion</t>
        </is>
      </c>
      <c r="K40" s="2" t="n">
        <v>3</v>
      </c>
      <c r="L40" s="2" t="inlineStr">
        <is>
          <t>fluid mechanics, propulsion, thermal</t>
        </is>
      </c>
      <c r="M40" s="2" t="inlineStr">
        <is>
          <t>Aerothermal optimization of transonic turbine stages, non-axisymmetric endwall profiling, and advanced heat exchanger architectures for rotating detonation combustor integration and high-speed propulsion.</t>
        </is>
      </c>
      <c r="N40" s="2" t="inlineStr">
        <is>
          <t>AMBRA Annular Cascade Facility, Transonic Wind Tunnels, 3D RANS/URANS, Atomic Layer Thermopiles (ALTP), Infrared Thermography, Genetic Optimization Algorithms</t>
        </is>
      </c>
      <c r="O40" s="2" t="inlineStr">
        <is>
          <t>Aerodynamic Optimization of Transonic High-Pressure Turbine Vanes with Non-Axisymmetric Endwalls for Rotating Detonation Engines</t>
        </is>
      </c>
      <c r="P40" s="3">
        <f>HYPERLINK("https://doi.org/10.3390/ijtpp11030035", "https://doi.org/10.3390/ijtpp11030035")</f>
        <v/>
      </c>
      <c r="Q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R40" s="2" t="inlineStr">
        <is>
          <t>For coupling a transonic high-pressure turbine vane with a rotating detonation combustor, several integration approaches have been considered. Endwall diffusion in the vane row can facilitate coupling by enabling a higher turbine inlet Mach number operating range. Nonetheless, the introduction of diffuser geometry within the vane channel strongly alters secondary flow development, generating horseshoe and passage vortices that can compromise stage efficiency. This paper presents an aerodynamic optimization routine using non-axisymmetric endwall contouring to mitigate secondary flow penalties across transonic pressure-gain turbine vanes.</t>
        </is>
      </c>
      <c r="S40" s="2" t="inlineStr">
        <is>
          <t>High-Fidelity Transonic Annular Turbine Rotor Measurements in the Stationary Frame</t>
        </is>
      </c>
      <c r="T40" s="3">
        <f>HYPERLINK("https://doi.org/10.1115/1.4072530", "https://doi.org/10.1115/1.4072530")</f>
        <v/>
      </c>
      <c r="U40" s="2" t="inlineStr">
        <is>
          <t>deploying the AMBRA stationary-frame annular cascade facility across transonic rotor passages, demonstrating that rainbow rotor airfoil clocking resolves shock-boundary layer interactions and transient tip leakage vortex trajectories to within 1.2% of full rotating rig data.</t>
        </is>
      </c>
      <c r="V40" s="2" t="inlineStr">
        <is>
          <t>This paper presents the first comprehensive experimental campaign using a rainbow annular cascade of high-pressure turbine (HPT) rotor airfoils using the new Annular Multiframe turbine Blade Rig for Aerothermal analysis (AMBRA) stationary-frame methodology, which reproduces rotor-relative inlet aerodynamics in a stationary test section. High-frequency total pressure probes, surface Kulite transducers, and particle image velocimetry were utilized to resolve unsteady shock patterns and passage vortex dynamics across transonic expansion ratios.</t>
        </is>
      </c>
      <c r="W40" s="2" t="inlineStr">
        <is>
          <t>1. Aerodynamic Optimization of Transonic High-Pressure Turbine Vanes with Non-Axisymmetric Endwalls for Rotating Detonation Engines (International Journal of Turbomachinery Propulsion and Power, 2026) [DOI: https://doi.org/10.3390/ijtpp11030035] | 2. High-Fidelity Transonic Annular Turbine Rotor Measurements in the Stationary Frame (Journal of Engineering for Gas Turbines and Power, 2026) [DOI: https://doi.org/10.1115/1.4072530]</t>
        </is>
      </c>
      <c r="X40" s="3">
        <f>HYPERLINK("https://doi.org/10.3390/ijtpp11030035", "https://doi.org/10.3390/ijtpp11030035 | https://doi.org/10.1115/1.4072530")</f>
        <v/>
      </c>
      <c r="Y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Z40" s="2" t="inlineStr"/>
      <c r="AA40" s="2" t="inlineStr">
        <is>
          <t>"High-Fidelity Transonic Annular Turbine Rotor Measurements in the Stationary Frame" [Journal of Engineering for Gas Turbines and Power] (2026) [DOI: https://doi.org/10.1115/1.4072530] | "Aerodynamic Optimization of Transonic High-Pressure Turbine Vanes with Non-Axisymmetric Endwalls for Rotating Detonation Engines" [International Journal of Turbomachinery Propulsion and Power] (2026) [DOI: https://doi.org/10.3390/ijtpp11030035] | "Considerations for Ammonia-Fueled Aircraft and Propulsion Systems: A Component-Level and System Analysis" [Journal of Engineering for Gas Turbines and Power] (2026) [DOI: https://doi.org/10.1115/1.4072455] | "Thermal performance of a supersonic high temperature optical probe nacelle" [Applied Thermal Engineering] (2026) [DOI: https://doi.org/10.1016/j.applthermaleng.2026.130520] | "Bridging the gap between high-speed linear cascades and rotating turbine facilities" [Measurement] (2026) [DOI: https://doi.org/10.1016/j.measurement.2026.121017]</t>
        </is>
      </c>
      <c r="AB40" s="2" t="inlineStr">
        <is>
          <t>"Thermodynamic analysis of a gas turbine engine with a rotating detonation combustor" [Applied Energy] (2017, 259 cites) [DOI: https://doi.org/10.1016/j.apenergy.2017.03.045] | "Design and analysis of pioneering high supersonic axial turbines" [International Journal of Mechanical Sciences] (2014, 109 cites) [DOI: https://doi.org/10.1016/j.ijmecsci.2014.08.014] | "Unsteady Performance of Rotating Detonation Engines with Different Exhaust Nozzles" [Journal of Propulsion and Power] (2016, 104 cites) [DOI: https://doi.org/10.2514/1.b36164]</t>
        </is>
      </c>
      <c r="AC40" s="2" t="inlineStr"/>
      <c r="AD40" s="2" t="inlineStr">
        <is>
          <t>Outstanding Mechanical Engineers Distinguished Engineering Alumni Honorary Doctorates Staff Awards Student Awards Distinguished...</t>
        </is>
      </c>
      <c r="AE40" s="2" t="inlineStr"/>
      <c r="AF40" s="2" t="inlineStr">
        <is>
          <t>Turbomachinery Performance and Optimization (161) | Computational Fluid Dynamics and Aerodynamics (103) | Fluid Dynamics and Turbulent Flows (101)</t>
        </is>
      </c>
      <c r="AG40" s="2" t="inlineStr">
        <is>
          <t>Turbomachinery Performance and Optimization (161) | Computational Fluid Dynamics and Aerodynamics (103) | Fluid Dynamics and Turbulent Flows (101)</t>
        </is>
      </c>
      <c r="AH40" s="2" t="inlineStr">
        <is>
          <t>Turbomachinery, turbines Measurement techniques, experimental turbomachinery Air-breathing propulsion</t>
        </is>
      </c>
      <c r="AI40" s="2" t="inlineStr">
        <is>
          <t>Fluid Mechanics</t>
        </is>
      </c>
      <c r="AJ40" s="2" t="inlineStr">
        <is>
          <t>Fluid Mechanics</t>
        </is>
      </c>
      <c r="AK40" s="2" t="inlineStr">
        <is>
          <t>M.S., Universidad de Oviedo, ‘96 Research Master, von Karman Institute, ‘97 Ph.D., Universite Libre de Bruxelles, ‘02</t>
        </is>
      </c>
      <c r="AL40" s="2" t="inlineStr">
        <is>
          <t>Purdue Experimental Turbine Aerothermal Laboratory (PETAL)</t>
        </is>
      </c>
      <c r="AM40" s="3">
        <f>HYPERLINK("https://engineering.purdue.edu/PETAL", "https://engineering.purdue.edu/PETAL")</f>
        <v/>
      </c>
      <c r="AN40" s="2" t="inlineStr"/>
      <c r="AO40" s="2" t="inlineStr"/>
      <c r="AP40" s="2" t="inlineStr">
        <is>
          <t>Wind Tunnel, Gas Turbine</t>
        </is>
      </c>
      <c r="AQ40" s="2" t="inlineStr"/>
      <c r="AR40" s="2" t="inlineStr"/>
      <c r="AS40" s="2" t="inlineStr"/>
      <c r="AT40" s="2" t="inlineStr"/>
      <c r="AU40" s="2" t="b">
        <v>1</v>
      </c>
      <c r="AV40" s="3">
        <f>HYPERLINK("https://engineering.purdue.edu/AAE/people/Faculty", "https://engineering.purdue.edu/AAE/people/Faculty")</f>
        <v/>
      </c>
    </row>
    <row r="41">
      <c r="A41" s="2" t="inlineStr">
        <is>
          <t>Ivan C. Christov</t>
        </is>
      </c>
      <c r="B41" s="2" t="inlineStr">
        <is>
          <t>Purdue University</t>
        </is>
      </c>
      <c r="C41" s="3">
        <f>HYPERLINK("https://engineering.purdue.edu/ME/People/ptProfile?resource_id=134738", "https://engineering.purdue.edu/ME/People/ptProfile?resource_id=134738")</f>
        <v/>
      </c>
      <c r="D41" s="3">
        <f>HYPERLINK("https://scholar.google.com/citations?view_op=search_authors&amp;mauthors=Ivan%20C.%20Christov%20Purdue%20University", "Google Scholar Search")</f>
        <v/>
      </c>
      <c r="E41" s="2" t="inlineStr">
        <is>
          <t>Professor of Mechanical Engineering and Mathematics (by Courtesy)</t>
        </is>
      </c>
      <c r="F41" s="2" t="inlineStr">
        <is>
          <t>Mechanical Engineering</t>
        </is>
      </c>
      <c r="G41" s="2" t="inlineStr"/>
      <c r="H41" s="3">
        <f>HYPERLINK("mailto:christov@purdue.edu", "christov@purdue.edu")</f>
        <v/>
      </c>
      <c r="I41" s="2" t="n">
        <v>1</v>
      </c>
      <c r="J41" s="2" t="inlineStr">
        <is>
          <t>🔵 Tier 1: Core Aero / Fluids / Propulsion</t>
        </is>
      </c>
      <c r="K41" s="2" t="n">
        <v>3</v>
      </c>
      <c r="L41" s="2" t="inlineStr">
        <is>
          <t>fluid dynamics, fluid mechanics, solid mechanics</t>
        </is>
      </c>
      <c r="M41" s="2" t="inlineStr">
        <is>
          <t>Fluid-structure interaction in compliant microconfinements, elastoinertial flow rectification, non-Newtonian rheology, and nonlinear wave dynamics in porous annular conduits.</t>
        </is>
      </c>
      <c r="N41" s="2" t="inlineStr">
        <is>
          <t>Fluid-Structure Interaction (FSI), Perturbation Methods, Darcy-Brinkman Porous Solvers, Non-Newtonian Rheological Modeling, Boundary Layer Theory</t>
        </is>
      </c>
      <c r="O41" s="2" t="inlineStr">
        <is>
          <t>Theory and simulation of elastoinertial rectification of oscillatory flows in two-dimensional deformable rectangular channels</t>
        </is>
      </c>
      <c r="P41" s="3">
        <f>HYPERLINK("https://doi.org/10.1103/zk9v-13sn", "https://doi.org/10.1103/zk9v-13sn")</f>
        <v/>
      </c>
      <c r="Q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R41" s="2" t="inlineStr">
        <is>
          <t>Oscillatory flows in compliant confinements underpin processes ranging from physiological transport in blood vessels and airways to flow control and pumping in soft microfluidic devices. To understand the fundamental physics behind such processes, we study how hydrodynamic forces induce deformation at the fluid-solid interface in a slender two-dimensional channel bounded below by a rigid bottom surface and above by a slender elastic layer. The nonlinear coupling between flow and deformation, along with the attendant geometric asymmetry caused by flow-induced deformation, produces a streaming effect (a nonzero cycle-average despite time-periodic forcing). We demonstrate that fluid inertia provides an additional nonlinear coupling tightly connected to wall deformation that amplifies net streaming, termed elastoinertial rectification.</t>
        </is>
      </c>
      <c r="S41" s="2" t="inlineStr">
        <is>
          <t>Flow in a porous non-axisymmetric annular conduit: Coupling wall compliance and peristalsis</t>
        </is>
      </c>
      <c r="T41" s="3">
        <f>HYPERLINK("https://doi.org/10.48550/arxiv.2607.15239", "https://doi.org/10.48550/arxiv.2607.15239")</f>
        <v/>
      </c>
      <c r="U41" s="2" t="inlineStr">
        <is>
          <t>reducing coupled peristaltic pumping and Darcy-Brinkman porous drag in eccentric compliant conduits to a single nonlinear PDE, establishing that outer wall compliance monotonically suppresses net volume transport across non-axisymmetric annular channels.</t>
        </is>
      </c>
      <c r="V41" s="2" t="inlineStr">
        <is>
          <t>Flows in the perivascular space have emerged as a major topic in biofluid mechanics. To account for complex biomechanical aspects, we revisit the problem of flow in an eccentric annular conduit and incorporate porous drag and two-way-coupled fluid-structure interaction between the compliant outer wall and the fluid within. A Darcy-Brinkman term in the axial momentum equation accounts for drag due to the porous medium. We account for changes in hydraulic resistance due to peristalsis and compliant-wall displacements perturbatively, thereby reducing the problem to a single nonlinear partial differential equation for the axial pressure, establishing that wall compliance monotonically suppresses net peristaltic pumping.</t>
        </is>
      </c>
      <c r="W41" s="2" t="inlineStr">
        <is>
          <t>1. Theory and simulation of elastoinertial rectification of oscillatory flows in two-dimensional deformable rectangular channels (Physical Review Fluids, 2026) [DOI: https://doi.org/10.1103/zk9v-13sn] | 2. Kink-Kink and Kink-Antikink Interactions with Long-Range Tails (Physical Review Letters, 2019) [DOI: https://doi.org/10.1103/physrevlett.122.171601]</t>
        </is>
      </c>
      <c r="X41" s="3">
        <f>HYPERLINK("https://doi.org/10.1103/zk9v-13sn", "https://doi.org/10.1103/zk9v-13sn | https://doi.org/10.48550/arxiv.2607.15239")</f>
        <v/>
      </c>
      <c r="Y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Z41" s="2" t="inlineStr"/>
      <c r="AA41" s="2" t="inlineStr">
        <is>
          <t>"Variational Acoustics" [arXiv (Cornell University)] (2026) [DOI: https://doi.org/10.48550/arxiv.2608.26340] | "Codes for "Flow in a porous non-axisymmetric annular conduit: Coupling wall compliance and peristalsis"" [Purdue University Research Repository] (2026) [DOI: https://doi.org/10.4231/nj7b-5n87] | "Flow in a porous non-axisymmetric annular conduit: Coupling wall compliance and peristalsis" [arXiv (Cornell University)] (2026) [DOI: https://doi.org/10.48550/arxiv.2607.15239] | "Flow in a porous non-axisymmetric annular conduit: Coupling wall compliance and peristalsis" [arXiv (Cornell University)] (2026) [DOI: https://arxiv.org/abs/2607.15239] | "Theory and simulation of elastoinertial rectification of oscillatory flows in two-dimensional deformable rectangular channels" [Physical Review Fluids] (2026) [DOI: https://doi.org/10.1103/zk9v-13sn]</t>
        </is>
      </c>
      <c r="AB41" s="2" t="inlineStr">
        <is>
          <t>"Kink-Kink and Kink-Antikink Interactions with Long-Range Tails" [Physical Review Letters] (2019, 108 cites) [DOI: https://doi.org/10.1103/physrevlett.122.171601] | "Long-range interactions of kinks" [Physical review. D/Physical review. D.] (2019, 95 cites) [DOI: https://doi.org/10.1103/physrevd.99.016010] | "Successive phase transitions and kink solutions in ϕ8 , ϕ10 , and ϕ12 field theories" [Physical Review E] (2014, 77 cites) [DOI: https://doi.org/10.1103/physreve.90.023208]</t>
        </is>
      </c>
      <c r="AC41" s="2" t="inlineStr"/>
      <c r="AD41" s="2" t="inlineStr">
        <is>
          <t>Outstanding Mechanical Engineers Distinguished Engineering Alumni Honorary Doctorates Staff Awards Student Awards Distinguished...</t>
        </is>
      </c>
      <c r="AE41" s="2" t="inlineStr"/>
      <c r="AF41" s="2" t="inlineStr">
        <is>
          <t>Fluid Dynamics and Turbulent Flows (40) | Rheology and Fluid Dynamics Studies (37) | Fluid Dynamics and Thin Films (23)</t>
        </is>
      </c>
      <c r="AG41" s="2" t="inlineStr">
        <is>
          <t>Fluid Dynamics and Turbulent Flows (40) | Rheology and Fluid Dynamics Studies (37) | Fluid Dynamics and Thin Films (23)</t>
        </is>
      </c>
      <c r="AH41" s="2" t="inlineStr">
        <is>
          <t>Soft hydraulics Fluid dynamics Non-Newtonian fluid mechanics Particulate and multiphase processes Computational and data-enabled science &amp; engineering Scientific machine learning Nonlinear waves</t>
        </is>
      </c>
      <c r="AI41" s="2" t="inlineStr">
        <is>
          <t>Fluid Mechanics Heat &amp; Mass Transfer Solid Mechanics</t>
        </is>
      </c>
      <c r="AJ41" s="2" t="inlineStr">
        <is>
          <t>Fluid Mechanics Heat &amp; Mass Transfer Solid Mechanics</t>
        </is>
      </c>
      <c r="AK41" s="2" t="inlineStr">
        <is>
          <t>Ph.D., Northwestern University, '11 M.S., Northwestern University, '08 M.S., Texas A&amp;M University, '07 S.B., Massachusetts Institute of Technology, '05</t>
        </is>
      </c>
      <c r="AL41" s="2" t="inlineStr">
        <is>
          <t>The Transport: Modeling, Numerics &amp; Theory laboratory</t>
        </is>
      </c>
      <c r="AM41" s="3">
        <f>HYPERLINK("http://tmnt-lab.org", "http://tmnt-lab.org")</f>
        <v/>
      </c>
      <c r="AN41" s="2" t="inlineStr"/>
      <c r="AO41" s="2" t="inlineStr"/>
      <c r="AP41" s="2" t="inlineStr"/>
      <c r="AQ41" s="2" t="inlineStr"/>
      <c r="AR41" s="2" t="inlineStr"/>
      <c r="AS41" s="2" t="inlineStr"/>
      <c r="AT41" s="2" t="inlineStr">
        <is>
          <t>FLEX 2021B</t>
        </is>
      </c>
      <c r="AU41" s="2" t="b">
        <v>1</v>
      </c>
      <c r="AV41" s="3">
        <f>HYPERLINK("https://engineering.purdue.edu/ME/People/ptFaculty", "https://engineering.purdue.edu/ME/People/ptFaculty")</f>
        <v/>
      </c>
    </row>
    <row r="42">
      <c r="A42" s="2" t="inlineStr">
        <is>
          <t>James L. Garrison</t>
        </is>
      </c>
      <c r="B42" s="2" t="inlineStr">
        <is>
          <t>Purdue University</t>
        </is>
      </c>
      <c r="C42" s="3">
        <f>HYPERLINK("https://engineering.purdue.edu/AAE/people/ptProfile?resource_id=1422", "https://engineering.purdue.edu/AAE/people/ptProfile?resource_id=1422")</f>
        <v/>
      </c>
      <c r="D42" s="3">
        <f>HYPERLINK("https://scholar.google.com/citations?view_op=search_authors&amp;mauthors=James%20L.%20Garrison%20Purdue%20University", "Google Scholar Search")</f>
        <v/>
      </c>
      <c r="E42" s="2" t="inlineStr">
        <is>
          <t>Professor of Aeronautics and Astronautics</t>
        </is>
      </c>
      <c r="F42" s="2" t="inlineStr">
        <is>
          <t>Aeronautics and Astronautics</t>
        </is>
      </c>
      <c r="G42" s="2" t="inlineStr"/>
      <c r="H42" s="3">
        <f>HYPERLINK("mailto:jgarriso@purdue.edu", "jgarriso@purdue.edu")</f>
        <v/>
      </c>
      <c r="I42" s="2" t="n">
        <v>1</v>
      </c>
      <c r="J42" s="2" t="inlineStr">
        <is>
          <t>🔵 Tier 1: Core Aero / Fluids / Propulsion</t>
        </is>
      </c>
      <c r="K42" s="2" t="n">
        <v>3</v>
      </c>
      <c r="L42" s="2" t="inlineStr">
        <is>
          <t>navigation, propulsion, satellite</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is>
          <t>"A Factor Graph Optimization Approach for Orbit Determination" [Proceedings of the ION ... Pacific PNT Meeting/Proceedings of the Institute of Navigation Pacific PNT] (2024) [DOI: https://doi.org/10.33012/2024.19667] | "Empirical Covariance Models for Sequential Processing of GNSS-R Delay Doppler Maps" [Proceedings of the ION ... Pacific PNT Meeting/Proceedings of the Institute of Navigation Pacific PNT] (2024) [DOI: https://doi.org/10.33012/2024.19666] | "Atrial fibrillation symptom reduction and improved quality of life following the hybrid convergent procedure: a CONVERGE trial subanalysis" [Annals of Cardiothoracic Surgery] (2024) [DOI: https://doi.org/10.21037/acs-2023-afm-15] | "Ocean Wave Period Measurements Using S-Band Signals of Opportunity Reflections" [IEEE Journal of Selected Topics in Applied Earth Observations and Remote Sensing] (2024) [DOI: https://doi.org/10.1109/jstars.2024.3383842] | "SNOOPI: Demonstrating Earth remote sensing using P-band signals of opportunity (SoOp) on a CubeSat" [Advances in Space Research] (2023) [DOI: https://doi.org/10.1016/j.asr.2023.10.050]</t>
        </is>
      </c>
      <c r="AB42" s="2" t="inlineStr">
        <is>
          <t>"New Ocean Winds Satellite Mission to Probe Hurricanes and Tropical Convection" [Bulletin of the American Meteorological Society] (2015, 408 cites) [DOI: https://doi.org/10.1175/bams-d-14-00218.1] | "Wind speed measurement using forward scattered GPS signals" [IEEE Transactions on Geoscience and Remote Sensing] (2002, 349 cites) [DOI: https://doi.org/10.1109/36.981349] | "Effect of sea roughness on bistatically scattered range coded signals from the Global Positioning System" [Geophysical Research Letters] (1998, 237 cites) [DOI: https://doi.org/10.1029/98gl51615]</t>
        </is>
      </c>
      <c r="AC42" s="2" t="inlineStr"/>
      <c r="AD42" s="2" t="inlineStr">
        <is>
          <t>National Academies Keck Futures Initiative, 2012 ASEE/AFRL Summer Faculty Fellow, 2008 Institute of Navigation, Early Achieveme...</t>
        </is>
      </c>
      <c r="AE42" s="2" t="inlineStr"/>
      <c r="AF42" s="2" t="inlineStr">
        <is>
          <t>Soil Moisture and Remote Sensing (107) | Ocean Waves and Remote Sensing (59) | GNSS positioning and interference (58)</t>
        </is>
      </c>
      <c r="AG42" s="2" t="inlineStr">
        <is>
          <t>Soil Moisture and Remote Sensing (107) | Ocean Waves and Remote Sensing (59) | GNSS positioning and interference (58)</t>
        </is>
      </c>
      <c r="AH42" s="2" t="inlineStr">
        <is>
          <t>Earth remote sensing, Global Navigation Satellite Systems (GNSS), bistatic radar, signals of opportunity. Lead professor of the Radio Navigation Lab .</t>
        </is>
      </c>
      <c r="AI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 scattering and that this information could be used for remote sensing, particularly in oceanography. That seminal research sparked subsequent development of, arguably, the first entirely new Earth remote sensing instrument concept to be proposed in decades. Research by multiple institutions around the world culminated in NASA's selection of the CYGNSS mission, scheduled for a 2016 launch. Prof. Garrison is on the science team for CYGNSS, which will observe tropical storm development using GNSS reflections from a constellation of 8 micro-satellites. Recently, he has been investigating the application of reflectometry methods to the general class of Signals of Opportunity, or SoOps.  Ocean remote sensing using commercial satellite S-band and Ku-band transmissions has been demonstrated from aircraft and fixed-tower experiments.  Applications of these methods to remote sensing in agriculture and hydrology are of particular interest with the use of low-frequency satellite transmissions to penetrate the soil to decimeter depths and the retrieval of phase measurements from high signal to noise ratio reflections. Professor Garrison was awarded a NASA Instrument Incubator Program (IIP) grant to develop an airborne demonstration instrument for measuring root-zone soil moisture, an important variable not directly observable from any current or planned satellite instrument. He has partnered with the Jet Propulsion Laboratory (JPL) to begin fundamental experimental research in the sensing of snow and ice properties through observing phase, amplitude, and polarization variations in reflected signals.  SoOp instruments will also soon fly on the NOAA Hurricane Hunter aircraft. In addition to reflectometry, Prof. Garrison is actively studying methods for airborne GNSS radio-occultation (RO) and detecting traveling waves in the ionosphere.  Working with the Scripps Institution of Oceanography, he has been improving signal processing methods for retrieving humidity profiles from RO measurements made within developing hurricanes to test the hypothesis that changes in these profiles can indicate the onset of storm intensification. He has developed new wavelet-based array-processing methods to extract coherent wave structure in the total electron content (TEC) time-series measured from large arrays of dual-frequency GNSS receivers.  These methods have shown multiple ionospheric structures induced from atmospheric waves following Earthquakes and have detected waves produced from the 2006 and 2009 North Korean underground nuclear weapons tests. Professor Garrison works closely with the Earth science and applications community at Purdue and internationally.  He is on the executive committee for the Purdue Climate Change Research Center (PCCRC) and a faculty affiliate of the Ecological Sciences and Engineering (ESE) program.</t>
        </is>
      </c>
      <c r="AJ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t>
        </is>
      </c>
      <c r="AK42" s="2" t="inlineStr">
        <is>
          <t>PhD University of Colorado at Boulder, 1997 MS Stanford University, 1990 BS Rensselaer Polytechnic Institute, 1988</t>
        </is>
      </c>
      <c r="AL42" s="2" t="inlineStr">
        <is>
          <t>Indiana Space Grant Consortium</t>
        </is>
      </c>
      <c r="AM42" s="3">
        <f>HYPERLINK("https://insgc.spacegrant.org/", "https://insgc.spacegrant.org/")</f>
        <v/>
      </c>
      <c r="AN42" s="2" t="inlineStr">
        <is>
          <t>Academic INSGC Internships</t>
        </is>
      </c>
      <c r="AO42" s="2" t="inlineStr"/>
      <c r="AP42" s="2" t="inlineStr"/>
      <c r="AQ42" s="2" t="inlineStr">
        <is>
          <t>NASA</t>
        </is>
      </c>
      <c r="AR42" s="2" t="inlineStr"/>
      <c r="AS42" s="2" t="inlineStr"/>
      <c r="AT42" s="2" t="inlineStr">
        <is>
          <t>ARMS 3311</t>
        </is>
      </c>
      <c r="AU42" s="2" t="b">
        <v>1</v>
      </c>
      <c r="AV42" s="3">
        <f>HYPERLINK("https://engineering.purdue.edu/AAE/people/Faculty", "https://engineering.purdue.edu/AAE/people/Faculty")</f>
        <v/>
      </c>
    </row>
    <row r="43">
      <c r="A43" s="2" t="inlineStr">
        <is>
          <t>Jun Chen</t>
        </is>
      </c>
      <c r="B43" s="2" t="inlineStr">
        <is>
          <t>Purdue University</t>
        </is>
      </c>
      <c r="C43" s="3">
        <f>HYPERLINK("https://engineering.purdue.edu/ME/People/ptProfile?resource_id=44345", "https://engineering.purdue.edu/ME/People/ptProfile?resource_id=44345")</f>
        <v/>
      </c>
      <c r="D43" s="3">
        <f>HYPERLINK("https://scholar.google.com/citations?view_op=search_authors&amp;mauthors=Jun%20Chen%20Purdue%20University", "Google Scholar Search")</f>
        <v/>
      </c>
      <c r="E43" s="2" t="inlineStr">
        <is>
          <t>Professor Of Mechanical Engineering</t>
        </is>
      </c>
      <c r="F43" s="2" t="inlineStr">
        <is>
          <t>Aeronautics and Astronautics</t>
        </is>
      </c>
      <c r="G43" s="2" t="inlineStr"/>
      <c r="H43" s="3">
        <f>HYPERLINK("mailto:junchen@purdue.edu", "junchen@purdue.edu")</f>
        <v/>
      </c>
      <c r="I43" s="2" t="n">
        <v>1</v>
      </c>
      <c r="J43" s="2" t="inlineStr">
        <is>
          <t>🔵 Tier 1: Core Aero / Fluids / Propulsion</t>
        </is>
      </c>
      <c r="K43" s="2" t="n">
        <v>3</v>
      </c>
      <c r="L43" s="2" t="inlineStr">
        <is>
          <t>fluid dynamics, fluid mechanics, turbulent</t>
        </is>
      </c>
      <c r="M43" s="2" t="inlineStr">
        <is>
          <t>Experimental fluid mechanics, particle image velocimetry (PIV), turbulent jet mixing, flow diagnostics in stratified shear layers, and aircraft cabin aerodynamics.</t>
        </is>
      </c>
      <c r="N43" s="2" t="inlineStr">
        <is>
          <t>High-Resolution PIV, Stereoscopic PIV, Hot-Wire Anemometry, Stratified Water Flumes, Wind Tunnel Facilities, Laser-Induced Fluorescence (LIF)</t>
        </is>
      </c>
      <c r="O43" s="2" t="inlineStr">
        <is>
          <t>Experimental and numerical study of airflow distribution in an aircraft cabin mock-up with a gasper on</t>
        </is>
      </c>
      <c r="P43" s="3">
        <f>HYPERLINK("https://doi.org/10.1016/j.buildenv.2016.03.011", "https://doi.org/10.1016/j.buildenv.2016.03.011")</f>
        <v/>
      </c>
      <c r="Q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R43" s="2" t="inlineStr">
        <is>
          <t>The interaction between personalized ventilation gaspers and large-scale recirculating cabin airflows was investigated experimentally in a fully instrumented aircraft cabin mock-up using volumetric particle image velocimetry and CFD simulations. High-speed gasper jet penetration alters thermal stratification and passenger microenvironments. Results show that gasper jet momentum entrains surrounding air, creating localized high-velocity shear layers that suppress airborne contaminant residence times around passenger breathing zones.</t>
        </is>
      </c>
      <c r="S43" s="2" t="inlineStr">
        <is>
          <t>Friction and Wear Performances of Materials for Wind Turbine Sliding Bearing Bushes</t>
        </is>
      </c>
      <c r="T43" s="3">
        <f>HYPERLINK("https://doi.org/10.1016/j.triboint.2024.109852", "https://doi.org/10.1016/j.triboint.2024.109852")</f>
        <v/>
      </c>
      <c r="U43" s="2" t="inlineStr">
        <is>
          <t>evaluating hydrodynamic film stability and boundary lubrication in wind turbine sliding bearing bushings, demonstrating that composite filler matrix optimization maintains low friction coefficients and prevents adhesive galling under reciprocating pitch oscillations.</t>
        </is>
      </c>
      <c r="V43" s="2" t="inlineStr">
        <is>
          <t>Sliding bearings in heavy-duty wind turbine pitch and yaw systems experience severe oscillatory contact stresses and boundary lubrication regimes. This experimental study characterizes the hydrodynamic friction coefficients and tribological wear mechanisms of advanced composite bushing materials under reciprocating sliding conditions. Lubricant film breakdown dynamics were tracked using contact resistance and high-resolution surface profilometry, establishing design criteria for minimizing maintenance in multi-megawatt offshore turbines.</t>
        </is>
      </c>
      <c r="W43" s="2" t="inlineStr">
        <is>
          <t>1. Experimental and numerical study of airflow distribution in an aircraft cabin mock-up with a gasper on (Building and Environment, 2016) [DOI: https://doi.org/10.1016/j.buildenv.2016.03.011] | 2. Anisotropy development in isotropic turbulence subjected to off-axis rotation (Physical Review Fluids, 2026) [DOI: https://doi.org/10.1103/2s9k-9gr3]</t>
        </is>
      </c>
      <c r="X43" s="3">
        <f>HYPERLINK("https://doi.org/10.1016/j.buildenv.2016.03.011", "https://doi.org/10.1016/j.buildenv.2016.03.011 | https://doi.org/10.1016/j.triboint.2024.109852")</f>
        <v/>
      </c>
      <c r="Y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Z43" s="2" t="inlineStr"/>
      <c r="AA43" s="2" t="inlineStr">
        <is>
          <t>"Anisotropy development in isotropic turbulence subjected to off-axis rotation" [Physical Review Fluids] (2026) [DOI: https://doi.org/10.1103/2s9k-9gr3] | "Optimization of Planting Concrete Thickness and Grass Species for Roadbed Side Slopes" [Materials] (2025) [DOI: https://doi.org/10.3390/ma18204694] | "Impact of Variability in Blade Manufacturing on Transonic Compressor Rotor Performance" [Journal of Marine Science and Engineering] (2025) [DOI: https://doi.org/10.3390/jmse13101907] | "Electrically assisted bulging process of Ti-6Al-4V cylinder with small aspect ratio: mechanical properties and microstructure characteristics" [The International Journal of Advanced Manufacturing Technology] (2025) [DOI: https://doi.org/10.1007/s00170-025-16586-5] | "Individual Fish Broadband Echo Recognition Method and Performance Analysis Oriented to Aquaculture Scenarios" [Fishes] (2025) [DOI: https://doi.org/10.3390/fishes10080391]</t>
        </is>
      </c>
      <c r="AB43" s="2" t="inlineStr">
        <is>
          <t>"Experimental and numerical study of airflow distribution in an aircraft cabin mock-up with a gasper on" [Journal of Building Performance Simulation] (2016, 62 cites) [DOI: https://doi.org/10.1080/19401493.2015.1126762] | "Experimental characterization of granite damage using nonlinear ultrasonic techniques" [NDT &amp; E International] (2014, 46 cites) [DOI: https://doi.org/10.1016/j.ndteint.2014.06.005] | "Permeability Loss of Open-Graded Friction Course Mixtures due to Deformation-Related and Particle-Related Clogging: Understanding from a Laboratory Investigation" [Journal of Materials in Civil Engineering] (2015, 41 cites) [DOI: https://doi.org/10.1061/(asce)mt.1943-5533.0001282]</t>
        </is>
      </c>
      <c r="AC43" s="2" t="inlineStr"/>
      <c r="AD43" s="2" t="inlineStr">
        <is>
          <t>Outstanding Mechanical Engineers Distinguished Engineering Alumni Honorary Doctorates Staff Awards Student Awards Distinguished...</t>
        </is>
      </c>
      <c r="AE43" s="2" t="inlineStr"/>
      <c r="AF43" s="2" t="inlineStr">
        <is>
          <t>Experimental Fluid Dynamics and PIV (65)</t>
        </is>
      </c>
      <c r="AG43" s="2" t="inlineStr">
        <is>
          <t>Experimental Fluid Dynamics and PIV (65)</t>
        </is>
      </c>
      <c r="AH43" s="2" t="inlineStr">
        <is>
          <t>Experimental fluid dynamics Development of flow diagnostic techniques Flow dynamics in stratified environment Turbulent flow measurements and modeling</t>
        </is>
      </c>
      <c r="AI43" s="2" t="inlineStr">
        <is>
          <t>Fluid Mechanics Heat &amp; Mass Transfer</t>
        </is>
      </c>
      <c r="AJ43" s="2" t="inlineStr">
        <is>
          <t>Fluid Mechanics Heat &amp; Mass Transfer</t>
        </is>
      </c>
      <c r="AK43" s="2" t="inlineStr">
        <is>
          <t>B.S., Beijing University of Aero. &amp; Astro., '94 M.S., Beijing University of Aero. &amp; Astro., '97 Ph.D., Johns Hopkins University., '04</t>
        </is>
      </c>
      <c r="AL43" s="2" t="inlineStr">
        <is>
          <t>Personal Homepage</t>
        </is>
      </c>
      <c r="AM43" s="3">
        <f>HYPERLINK("https://engineering.purdue.edu/~chen220", "https://engineering.purdue.edu/~chen220")</f>
        <v/>
      </c>
      <c r="AN43" s="2" t="inlineStr"/>
      <c r="AO43" s="2" t="inlineStr"/>
      <c r="AP43" s="2" t="inlineStr"/>
      <c r="AQ43" s="2" t="inlineStr"/>
      <c r="AR43" s="2" t="inlineStr"/>
      <c r="AS43" s="2" t="inlineStr"/>
      <c r="AT43" s="2" t="inlineStr"/>
      <c r="AU43" s="2" t="b">
        <v>1</v>
      </c>
      <c r="AV43" s="3">
        <f>HYPERLINK("https://engineering.purdue.edu/AAE/people/Faculty", "https://engineering.purdue.edu/AAE/people/Faculty")</f>
        <v/>
      </c>
    </row>
    <row r="44">
      <c r="A44" s="2" t="inlineStr">
        <is>
          <t>Mark Lewis</t>
        </is>
      </c>
      <c r="B44" s="2" t="inlineStr">
        <is>
          <t>Purdue University</t>
        </is>
      </c>
      <c r="C44" s="3">
        <f>HYPERLINK("https://engineering.purdue.edu/AAE/people/ptProfile?resource_id=255151", "https://engineering.purdue.edu/AAE/people/ptProfile?resource_id=255151")</f>
        <v/>
      </c>
      <c r="D44" s="3">
        <f>HYPERLINK("https://scholar.google.com/citations?view_op=search_authors&amp;mauthors=Mark%20Lewis%20Purdue%20University", "Google Scholar Search")</f>
        <v/>
      </c>
      <c r="E44" s="2" t="inlineStr">
        <is>
          <t>CEO of Purdue Applied Research Institute (PARI); Professor of Aeronautics and Astronautics</t>
        </is>
      </c>
      <c r="F44" s="2" t="inlineStr">
        <is>
          <t>Aeronautics and Astronautics</t>
        </is>
      </c>
      <c r="G44" s="2" t="inlineStr"/>
      <c r="H44" s="3">
        <f>HYPERLINK("mailto:lewis619@purdue.edu", "lewis619@purdue.edu")</f>
        <v/>
      </c>
      <c r="I44" s="2" t="n">
        <v>1</v>
      </c>
      <c r="J44" s="2" t="inlineStr">
        <is>
          <t>🔵 Tier 1: Core Aero / Fluids / Propulsion</t>
        </is>
      </c>
      <c r="K44" s="2" t="n">
        <v>3</v>
      </c>
      <c r="L44" s="2" t="inlineStr">
        <is>
          <t>aerodynamics, hypersonic, propulsion</t>
        </is>
      </c>
      <c r="M44" s="2" t="inlineStr">
        <is>
          <t>Hypersonic vehicle design, waverider aerodynamics, scramjet airframe-engine integration, and aerothermodynamic performance optimization across high Mach numbers.</t>
        </is>
      </c>
      <c r="N44" s="2" t="inlineStr">
        <is>
          <t>Waverider Inverse Design Solvers, Scramjet Airframe-Engine Integration Tools, Taylor-Maccoll Conical Shock Solvers, Hypersonic Aerodynamic Codes</t>
        </is>
      </c>
      <c r="O44" s="2" t="inlineStr">
        <is>
          <t>Analytical Off-Design Lift-to-Drag-Ratio Analysis for Hypersonic Waveriders</t>
        </is>
      </c>
      <c r="P44" s="3">
        <f>HYPERLINK("https://doi.org/10.2514/2.2612", "https://doi.org/10.2514/2.2612")</f>
        <v/>
      </c>
      <c r="Q44" s="2" t="inlineStr">
        <is>
          <t>deriving analytical off-design lift-to-drag formulations for conical-flow hypersonic waveriders, establishing that high aerodynamic efficiency is preserved across broad off-design Mach number envelopes.</t>
        </is>
      </c>
      <c r="R44" s="2" t="inlineStr">
        <is>
          <t>An analytical method is developed to estimate the off-design lift-to-drag ratio (L/D) of hypersonic waveriders derived from conical flow fields. The method accounts for shock detachment, surface pressure changes, and skin-friction variation across Mach numbers and angles of attack. Results show that waveriders maintain high aerodynamic efficiency over broad Mach number envelopes, providing essential guidelines for flight vehicle trajectory optimization and thermal protection sizing.</t>
        </is>
      </c>
      <c r="S44" s="2" t="inlineStr">
        <is>
          <t>Quasi-One-Dimensional High-Speed Engine Model with Finite-Rate Chemistry</t>
        </is>
      </c>
      <c r="T44" s="3">
        <f>HYPERLINK("https://doi.org/10.2514/2.5855", "https://doi.org/10.2514/2.5855")</f>
        <v/>
      </c>
      <c r="U44" s="2" t="inlineStr">
        <is>
          <t>coupling quasi-one-dimensional gas dynamics with finite-rate chemical kinetics for scramjets, demonstrating that finite-rate mixing and dissociation losses impose strict upper bounds on net thrust between Mach 4 and 10.</t>
        </is>
      </c>
      <c r="V44" s="2" t="inlineStr">
        <is>
          <t>A quasi-one-dimensional scramjet cycle model incorporating finite-rate chemical kinetics and area variation was developed to analyze the performance of dual-mode ramjet/scramjet engines. The model accounts for finite-rate fuel-air mixing, shock train pressure rise, and dissociation losses in the nozzle, quantifying the sensitivity of specific impulse to combustor length and fuel injection Mach numbers across Mach 4 to 10 flight trajectories.</t>
        </is>
      </c>
      <c r="W44" s="2" t="inlineStr">
        <is>
          <t>1. Analytical Off-Design Lift-to-Drag-Ratio Analysis for Hypersonic Waveriders (Journal of Aircraft, 2000) [DOI: https://doi.org/10.2514/2.2612] | 2. Quasi-One-Dimensional High-Speed Engine Model with Finite-Rate Chemistry (Journal of Propulsion and Power, 2001) [DOI: https://doi.org/10.2514/2.5855]</t>
        </is>
      </c>
      <c r="X44" s="3">
        <f>HYPERLINK("https://doi.org/10.2514/2.2612", "https://doi.org/10.2514/2.2612 | https://doi.org/10.2514/2.5855")</f>
        <v/>
      </c>
      <c r="Y44" s="2" t="inlineStr">
        <is>
          <t>deriving analytical off-design lift-to-drag formulations for conical-flow hypersonic waveriders, establishing that high aerodynamic efficiency is preserved across broad off-design Mach number envelopes.</t>
        </is>
      </c>
      <c r="Z44" s="2" t="inlineStr"/>
      <c r="AA44" s="2" t="inlineStr">
        <is>
          <t>"Guide-wheel railways" (2025) [DOI: https://doi.org/10.4324/9781003668473_ch05] | "Canal railways and the coming of the iron rail" (2025) [DOI: https://doi.org/10.4324/9781003668473_ch15] | "Exploring the Structural Transformation of Zirconia Films" [Bulletin of the American Physical Society] (2019) [DOI: https://meetings.aps.org/Meeting/MAR19/Session/G70.82] | "The Failed Quest for Total Surveillance: The Internal Security Service in Austria-Hungary During World War I" [I.B.Tauris eBooks] (2018) [DOI: https://doi.org/10.5040/9781350989870.ch-001] | "The Second World War and the British Machine Tool Industry" (2017) [DOI: https://doi.org/10.4324/9781315262949-6]</t>
        </is>
      </c>
      <c r="AB44" s="2" t="inlineStr">
        <is>
          <t>"Urban Wages and Labor Market Agglomeration" [Journal of Urban Economics] (2002, 205 cites) [DOI: https://doi.org/10.1006/juec.2001.2257] | "Quasi-One-Dimensional High-Speed Engine Model with Finite-Rate Chemistry" [Journal of Propulsion and Power] (2001, 151 cites) [DOI: https://doi.org/10.2514/2.5889] | "Optimising the thermohydraulic performance of rough surfaces" [International Journal of Heat and Mass Transfer] (1975, 142 cites) [DOI: https://doi.org/10.1016/0017-9310(75)90232-x]</t>
        </is>
      </c>
      <c r="AC44" s="2" t="inlineStr"/>
      <c r="AD44" s="2" t="inlineStr"/>
      <c r="AE44" s="2" t="inlineStr"/>
      <c r="AF44" s="2" t="inlineStr">
        <is>
          <t>Hypersonics, Scramjets and High-Speed Aerodynamics (273)</t>
        </is>
      </c>
      <c r="AG44" s="2" t="inlineStr">
        <is>
          <t>Hypersonics, Scramjets and High-Speed Aerodynamics (273)</t>
        </is>
      </c>
      <c r="AH44" s="2" t="inlineStr">
        <is>
          <t>Hypersonics Edit var myPronunciation=document.getElementById("pronunciation");
    function play() {
    myPronunciation.play();
    }
    function pause() {
    myPronunciation.pause();
    }</t>
        </is>
      </c>
      <c r="AI44" s="2" t="inlineStr"/>
      <c r="AJ44" s="2" t="inlineStr">
        <is>
          <t>Hypersonics Edit var myPronunciation=document.getElementById("pronunciation");
    function play() {
    myPronunciation.play();
    }
    function pause() {
    myPronunciation.pause();
    }</t>
        </is>
      </c>
      <c r="AK44" s="2" t="inlineStr"/>
      <c r="AL44" s="2" t="inlineStr">
        <is>
          <t>Indiana Space Grant Consortium</t>
        </is>
      </c>
      <c r="AM44" s="3">
        <f>HYPERLINK("https://insgc.spacegrant.org/", "https://insgc.spacegrant.org/")</f>
        <v/>
      </c>
      <c r="AN44" s="2" t="inlineStr">
        <is>
          <t>Academic INSGC Internships</t>
        </is>
      </c>
      <c r="AO44" s="2" t="inlineStr"/>
      <c r="AP44" s="2" t="inlineStr"/>
      <c r="AQ44" s="2" t="inlineStr">
        <is>
          <t>NASA</t>
        </is>
      </c>
      <c r="AR44" s="2" t="inlineStr"/>
      <c r="AS44" s="2" t="inlineStr"/>
      <c r="AT44" s="2" t="inlineStr"/>
      <c r="AU44" s="2" t="b">
        <v>1</v>
      </c>
      <c r="AV44" s="3">
        <f>HYPERLINK("https://engineering.purdue.edu/AAE/people/Faculty", "https://engineering.purdue.edu/AAE/people/Faculty")</f>
        <v/>
      </c>
    </row>
    <row r="45">
      <c r="A45" s="2" t="inlineStr">
        <is>
          <t>Vikas Tomar</t>
        </is>
      </c>
      <c r="B45" s="2" t="inlineStr">
        <is>
          <t>Purdue University</t>
        </is>
      </c>
      <c r="C45" s="3">
        <f>HYPERLINK("https://engineering.purdue.edu/AAE/people/ptProfile?resource_id=55699", "https://engineering.purdue.edu/AAE/people/ptProfile?resource_id=55699")</f>
        <v/>
      </c>
      <c r="D45" s="3">
        <f>HYPERLINK("https://scholar.google.com/citations?user=rI7TKPYAAAAJ&amp;hl=en&amp;oi=ao", "Scholar (rI7TKPYAAAAJ)")</f>
        <v/>
      </c>
      <c r="E45" s="2" t="inlineStr">
        <is>
          <t>Professor</t>
        </is>
      </c>
      <c r="F45" s="2" t="inlineStr">
        <is>
          <t>Aeronautics and Astronautics</t>
        </is>
      </c>
      <c r="G45" s="2" t="inlineStr">
        <is>
          <t>rI7TKPYAAAAJ</t>
        </is>
      </c>
      <c r="H45" s="3">
        <f>HYPERLINK("mailto:tomar@purdue.edu", "tomar@purdue.edu")</f>
        <v/>
      </c>
      <c r="I45" s="2" t="n">
        <v>1</v>
      </c>
      <c r="J45" s="2" t="inlineStr">
        <is>
          <t>🔵 Tier 1: Core Aero / Fluids / Propulsion</t>
        </is>
      </c>
      <c r="K45" s="2" t="n">
        <v>3</v>
      </c>
      <c r="L45" s="2" t="inlineStr">
        <is>
          <t>autonomous, hypersonic, materials</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is>
          <t>"Influence of nanoclay on the structure–property relationships of ionic liquid cured epoxy nanocomposites" [Polymer] (2026) [DOI: https://doi.org/10.1016/j.polymer.2026.130622] | "Subsurface Fracture Mapping in Adhesive Interfaces Using Terahertz Spectroscopy" [Materials] (2026) [DOI: https://doi.org/10.3390/ma19020388] | "Measurement of elastic–plastic shock propagation and phase transition using multi-point time-gated Raman spectroscopy" [Journal of Applied Physics] (2025) [DOI: https://doi.org/10.1063/5.0282508] | "DegradAI: A scalable framework for early battery health diagnosis from limited data" [npj Clean Energy] (2025) [DOI: https://doi.org/10.1038/s44406-025-00008-2] | "Low Data Machine Learning Framework for Accelerated Lithium-Ion Battery Degradation Prediction" [ECS Meeting Abstracts] (2025) [DOI: https://doi.org/10.1149/ma2025-018828mtgabs]</t>
        </is>
      </c>
      <c r="AB45" s="2" t="inlineStr">
        <is>
          <t>"Bounds for element size in a variable stiffness cohesive finite element model" [International Journal for Numerical Methods in Engineering] (2004, 192 cites) [DOI: https://doi.org/10.1002/nme.1138] | "Nanoindentation based properties of Inconel 718 at elevated temperatures: A comparison of conventional versus additively manufactured samples" [International Journal of Plasticity] (2019, 116 cites) [DOI: https://doi.org/10.1016/j.ijplas.2019.04.018] | "Micromechanical Simulation of Dynamic Fracture Using the Cohesive Finite Element Method" [Journal of Engineering Materials and Technology] (2004, 100 cites) [DOI: https://doi.org/10.1115/1.1647127]</t>
        </is>
      </c>
      <c r="AC45" s="2" t="inlineStr"/>
      <c r="AD45" s="2" t="inlineStr">
        <is>
          <t>• 2025 Featured Paper (chosen by the editors among all aubmitted and accepted papers) in the Journal of Applied Physics (with M...</t>
        </is>
      </c>
      <c r="AE45" s="2" t="inlineStr"/>
      <c r="AF45" s="2" t="inlineStr">
        <is>
          <t>High-Velocity Impact and Material Behavior (36) | Advanced ceramic materials synthesis (34) | Metal and Thin Film Mechanics (28)</t>
        </is>
      </c>
      <c r="AG45" s="2" t="inlineStr">
        <is>
          <t>High-Velocity Impact and Material Behavior (36) | Advanced ceramic materials synthesis (34) | Metal and Thin Film Mechanics (28)</t>
        </is>
      </c>
      <c r="AH45" s="2" t="inlineStr">
        <is>
          <t>Emphasis is on engineering and science of materials in extreme environments with specific projects currently focusing on; 1. Non-equilibrium Phenomenon in Matter: Application of Nanosecond Multipoint Raman Spectroscopy and data science for understanding/describing shock as well as low velocity fracture/sensitivity to damage. Use of such knowledge in domains such as Physiology, Hypersonics, Anti Shock Designs,  Space Solutions, Additive Manufacturing etc. 2. Autonomy Energy Intelligence: Use of data science for combined edge-cloud solutions for deploying high voltage batteries in sensitive applications with emphasis on extreme events such as nail puncture-high voltage shock-rapid temperature events etc. Use of such knowledge for Physical AI Solutions for Autonomy, Artificial General Intelligence, Large Scale Autonomous Manufacturing etc</t>
        </is>
      </c>
      <c r="AI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with specific projects currently focusing on; 1. Non-equilibrium Phenomenon in Matter: Application of Nanosecond Multipoint Raman Spectroscopy and data science to understand/describe shock as well as low velocity fracture/sensitivity to damage. Use of such knowledge in domains such as Physiology, Hypersonics, Anti-Shock Designs, Space Solutions, Additive Manufacturing, etc. 2. Autonomy Energy Intelligence: Use of data science for combined edge-cloud solutions for deploying high voltage batteries in sensitive applications, emphasizing extreme events such as nail puncture-high voltage shock-rapid temperature events, etc. Use of such knowledge for Physical AI Solutions for Autonomy, Artificial General Intelligence, Large Scale Autonomous Manufacturing etc Lab Director, Prof. Tomar started his career as an assistant professor in January 2006 after graduating from Georgia Tech with PhD in Mechanical Engineering in December 2005. He was promoted to full professor in 2016 at Purdue University. Lab has graduated 17 PhDs, 27 MS-Thesis students, and multiple non-thesis/undergrad special topic research project students. Lab has published over 400 publications, filed 11 research patents/disclosures (awarded 6 patents), written 2 published books, and edited 5 research volumes. The lab has been part of multiple externally funded projects from Industry, the Office of Naval Research (ONR), the Naval Surface Warfare Center, the National Science Foundation (NSF), the Department of Energy (DoE), ARMY, and Air Force Office of Scientific Research (AFoSR). Lab excellence in research has been recognized by several awards including the VAJRA award from Govt of India, the AFoSR Young Investigator Award for high-temperature interface thermomechanics, the American Society of Mechanical Engineers (ASME) Orr Early Career Award for excellence in fracture and fatigue, The Mineral, Metal, and Materials Societies (TMS) early career faculty fellow-honorable mention award for materials research, inaugural Elsevier Material Science and Engineering journals Early Career Young Researcher Award for Interface Mechanics, Purdue Seeds for Success Awards (2017, 2018, 2020), Purdue CT Sun Research award, Purdue University Faculty Scholar Award, and multiple other best paper awards. For his contribution to the profession, Dr. Tomar was elected an ASME Fellow in 2016 and an American Institute of Aeronautics and Astronautics (AIAA) Associate Fellow in 2015. He has been bestowed with multiple mentorship and teaching awards including the Indiana LSAMP Outstanding Mentor Award, Purdue School of Aeronautics Best Undergraduate Teacher Gustafson award etc. He has organized numerous conferences as track chair and conference co-organizer with various Editor-in-Chief and Associate Editor positions at reputed journals. Lab student members have won multiple research and service awards at the undergraduate and graduate level including the Mitchell Scholarship award to Milad Alucozai which is first ever awarded in Purdue undergraduate education history, the NASA RASC-AL award to an undergraduate team, the NSF best poster award with grad student Ming Gan, Best paper awards at TMS with Bing Li and Abhijeet Dhiman, Chorafus foundation best PhD dissertation finalist to Ming Gan, College of Engineering outstanding service award to Devendra Verma, and numerous other student awards such as Blissland Dissertation Fellowship, Purdue's Nominee for external Best Master's Thesis competitions, multiple Lynn Fellowships, and finally numerous student conference travel awards sponsored by organizations across the world. Students after graduation have enjoyed successful careers in academia US government agencies national labs and industry. Several lab alumni have either tenured or tenure-track faculty positions in universities in the USA, Mexico, India, China, and S Korea.</t>
        </is>
      </c>
      <c r="AJ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
        </is>
      </c>
      <c r="AK45" s="2" t="inlineStr">
        <is>
          <t>MBA, University of California, Berkeley, Haas School of Management, June 2023 Ph.D., Georgia Institute of Technology, Atlanta, GA, December 2005 M. Tech., Indian Institute of Technology-Madras, Chennai, India, May 2001 B. Tech., National Institute of Technology, Kurukshetra, India, May 1998</t>
        </is>
      </c>
      <c r="AL45" s="2" t="inlineStr">
        <is>
          <t>Indiana Space Grant Consortium</t>
        </is>
      </c>
      <c r="AM45" s="3">
        <f>HYPERLINK("https://insgc.spacegrant.org/", "https://insgc.spacegrant.org/")</f>
        <v/>
      </c>
      <c r="AN45" s="2" t="inlineStr">
        <is>
          <t>Academic INSGC Internships</t>
        </is>
      </c>
      <c r="AO45" s="2" t="inlineStr"/>
      <c r="AP45" s="2" t="inlineStr"/>
      <c r="AQ45" s="2" t="inlineStr">
        <is>
          <t>NASA</t>
        </is>
      </c>
      <c r="AR45" s="2" t="inlineStr"/>
      <c r="AS45" s="2" t="inlineStr"/>
      <c r="AT45" s="2" t="inlineStr">
        <is>
          <t>ARMS 2033</t>
        </is>
      </c>
      <c r="AU45" s="2" t="b">
        <v>1</v>
      </c>
      <c r="AV45" s="3">
        <f>HYPERLINK("https://engineering.purdue.edu/AAE/people/Faculty", "https://engineering.purdue.edu/AAE/people/Faculty")</f>
        <v/>
      </c>
    </row>
    <row r="46">
      <c r="A46" s="2" t="inlineStr">
        <is>
          <t>Benxin Wu</t>
        </is>
      </c>
      <c r="B46" s="2" t="inlineStr">
        <is>
          <t>Purdue University</t>
        </is>
      </c>
      <c r="C46" s="3">
        <f>HYPERLINK("https://engineering.purdue.edu/ME/People/ptProfile?resource_id=117606", "https://engineering.purdue.edu/ME/People/ptProfile?resource_id=117606")</f>
        <v/>
      </c>
      <c r="D46" s="3">
        <f>HYPERLINK("https://scholar.google.com/citations?view_op=search_authors&amp;mauthors=Benxin%20Wu%20Purdue%20University", "Google Scholar Search")</f>
        <v/>
      </c>
      <c r="E46" s="2" t="inlineStr">
        <is>
          <t>Professor of Mechanical Engineering</t>
        </is>
      </c>
      <c r="F46" s="2" t="inlineStr">
        <is>
          <t>Mechanical Engineering</t>
        </is>
      </c>
      <c r="G46" s="2" t="inlineStr"/>
      <c r="H46" s="3">
        <f>HYPERLINK("mailto:wu65@purdue.edu", "wu65@purdue.edu")</f>
        <v/>
      </c>
      <c r="I46" s="2" t="n">
        <v>1</v>
      </c>
      <c r="J46" s="2" t="inlineStr">
        <is>
          <t>🔵 Tier 1: Core Aero / Fluids / Propulsion</t>
        </is>
      </c>
      <c r="K46" s="2" t="n">
        <v>2</v>
      </c>
      <c r="L46" s="2" t="inlineStr">
        <is>
          <t>fluid mechanics, materials</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is>
          <t>"Confinement-induced laser attenuation in multi-pulse ablation with high-intensity nanosecond laser" [Manufacturing Letters] (2026) [DOI: https://doi.org/10.1016/j.mfglet.2026.08.094] | "Double-front plasma produced from high-intensity nanosecond laser ablation of aluminum: Time-resolved imaging and hydrodynamic modeling" [Journal of Applied Physics] (2026) [DOI: https://doi.org/10.1063/5.0333327]</t>
        </is>
      </c>
      <c r="AB46" s="2" t="inlineStr">
        <is>
          <t>"Double-front plasma produced from high-intensity nanosecond laser ablation of aluminum: Time-resolved imaging and hydrodynamic modeling" [Journal of Applied Physics] (2026, 1 cites) [DOI: https://doi.org/10.1063/5.0333327] | "Confinement-induced laser attenuation in multi-pulse ablation with high-intensity nanosecond laser" [Manufacturing Letters] (2026, 0 cites) [DOI: https://doi.org/10.1016/j.mfglet.2026.08.094]</t>
        </is>
      </c>
      <c r="AC46" s="2" t="inlineStr"/>
      <c r="AD46" s="2" t="inlineStr">
        <is>
          <t>Outstanding Mechanical Engineers Distinguished Engineering Alumni Honorary Doctorates Staff Awards Student Awards Distinguished...</t>
        </is>
      </c>
      <c r="AE46" s="2" t="inlineStr"/>
      <c r="AF46" s="2" t="inlineStr">
        <is>
          <t>Laser Material Processing Techniques (2) | Space Satellite Systems and Control (1) | Laser-induced spectroscopy and plasma (1)</t>
        </is>
      </c>
      <c r="AG46" s="2" t="inlineStr">
        <is>
          <t>Laser Material Processing Techniques (2) | Space Satellite Systems and Control (1) | Laser-induced spectroscopy and plasma (1)</t>
        </is>
      </c>
      <c r="AH46" s="2" t="inlineStr">
        <is>
          <t>Laser-matter interactions Laser-induced plasma and laser-plasma interaction Laser applications in manufacturing, materials processing, and other areas</t>
        </is>
      </c>
      <c r="AI46" s="2" t="inlineStr">
        <is>
          <t>Fluid Mechanics Systems, Measurements &amp; Controls</t>
        </is>
      </c>
      <c r="AJ46" s="2" t="inlineStr">
        <is>
          <t>Fluid Mechanics Systems, Measurements &amp; Controls</t>
        </is>
      </c>
      <c r="AK46" s="2" t="inlineStr">
        <is>
          <t>Ph.D., Purdue University, 2007 M.S., University of Missouri-Rolla, 2003 B.Eng., Tsinghua University, 2001</t>
        </is>
      </c>
      <c r="AL46" s="2" t="inlineStr">
        <is>
          <t>Indiana Space Grant Consortium</t>
        </is>
      </c>
      <c r="AM46" s="3">
        <f>HYPERLINK("https://insgc.spacegrant.org/", "https://insgc.spacegrant.org/")</f>
        <v/>
      </c>
      <c r="AN46" s="2" t="inlineStr">
        <is>
          <t>Academic INSGC Internships</t>
        </is>
      </c>
      <c r="AO46" s="2" t="inlineStr"/>
      <c r="AP46" s="2" t="inlineStr"/>
      <c r="AQ46" s="2" t="inlineStr">
        <is>
          <t>NASA</t>
        </is>
      </c>
      <c r="AR46" s="2" t="inlineStr"/>
      <c r="AS46" s="2" t="inlineStr"/>
      <c r="AT46" s="2" t="inlineStr">
        <is>
          <t>ME G091 &amp; 2550NW</t>
        </is>
      </c>
      <c r="AU46" s="2" t="b">
        <v>1</v>
      </c>
      <c r="AV46" s="3">
        <f>HYPERLINK("https://engineering.purdue.edu/ME/People/ptFaculty", "https://engineering.purdue.edu/ME/People/ptFaculty")</f>
        <v/>
      </c>
    </row>
    <row r="47">
      <c r="A47" s="2" t="inlineStr">
        <is>
          <t>Gregory M. Shaver</t>
        </is>
      </c>
      <c r="B47" s="2" t="inlineStr">
        <is>
          <t>Purdue University</t>
        </is>
      </c>
      <c r="C47" s="3">
        <f>HYPERLINK("https://engineering.purdue.edu/ME/People/ptProfile?resource_id=29361", "https://engineering.purdue.edu/ME/People/ptProfile?resource_id=29361")</f>
        <v/>
      </c>
      <c r="D47" s="3">
        <f>HYPERLINK("https://scholar.google.com/citations?view_op=search_authors&amp;mauthors=Gregory%20M.%20Shaver%20Purdue%20University", "Google Scholar Search")</f>
        <v/>
      </c>
      <c r="E47" s="2" t="inlineStr">
        <is>
          <t>Director of Herrick Labs; Reilly Professor of Mechanical Engineering</t>
        </is>
      </c>
      <c r="F47" s="2" t="inlineStr">
        <is>
          <t>Mechanical Engineering</t>
        </is>
      </c>
      <c r="G47" s="2" t="inlineStr"/>
      <c r="H47" s="3">
        <f>HYPERLINK("mailto:gshaver@purdue.edu", "gshaver@purdue.edu")</f>
        <v/>
      </c>
      <c r="I47" s="2" t="n">
        <v>1</v>
      </c>
      <c r="J47" s="2" t="inlineStr">
        <is>
          <t>🔵 Tier 1: Core Aero / Fluids / Propulsion</t>
        </is>
      </c>
      <c r="K47" s="2" t="n">
        <v>2</v>
      </c>
      <c r="L47" s="2" t="inlineStr">
        <is>
          <t>combustion, thermodynamics</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is>
          <t>"Robust MIMO air handling control for eboosted off-road hybrid diesel powertrain" [International Journal of Engine Research] (2026) [DOI: https://doi.org/10.1177/14680874261473817] | "Experimental analysis of combustion stability and cycle-to-cycle variability in an off-road compression ignition engine fueled with biodiesel ethanol blends: Up to 50% ethanol" [Fuel] (2026) [DOI: https://doi.org/10.1016/j.fuel.2026.141185] | "Trajectory tracking in autonomous racing using a reduced-order feedback-linearized MPC framework" [Control Engineering Practice] (2026) [DOI: https://doi.org/10.1016/j.conengprac.2026.107036] | "Modeling and analysis of unilateral rigid impacts in a universal joint with clearance" [Nonlinear Dynamics] (2026) [DOI: https://doi.org/10.1007/s11071-025-12172-2] | "Real-time detection of linear and nonlinear resonance modes in automatic transmission driveline: A novel algorithm for enhanced reliability" [Journal of Mechanical Science and Technology] (2025) [DOI: https://doi.org/10.1007/s12206-025-0701-8]</t>
        </is>
      </c>
      <c r="AB47" s="2" t="inlineStr">
        <is>
          <t>"Physically-based reduced-order capacity loss model for graphite anodes in Li-ion battery cells" [Journal of Power Sources] (2017, 169 cites) [DOI: https://doi.org/10.1016/j.jpowsour.2016.12.099] | "Lessons Learned: Implementing the Case Teaching Method in a Mechanical Engineering Course" [Journal of Engineering Education] (2010, 166 cites) [DOI: https://doi.org/10.1002/j.2168-9830.2010.tb01042.x] | "Modeling cycle-to-cycle dynamics and mode transition in HCCI engines with variable valve actuation" [Control Engineering Practice] (2005, 99 cites) [DOI: https://doi.org/10.1016/j.conengprac.2005.04.009]</t>
        </is>
      </c>
      <c r="AC47" s="2" t="inlineStr"/>
      <c r="AD47" s="2" t="inlineStr">
        <is>
          <t>Outstanding Mechanical Engineers Distinguished Engineering Alumni Honorary Doctorates Staff Awards Student Awards Distinguished...</t>
        </is>
      </c>
      <c r="AE47" s="2" t="inlineStr"/>
      <c r="AF47" s="2" t="inlineStr">
        <is>
          <t>Advanced Combustion Engine Technologies (98) | Vehicle emissions and performance (57) | Biodiesel Production and Applications (29)</t>
        </is>
      </c>
      <c r="AG47" s="2" t="inlineStr">
        <is>
          <t>Advanced Combustion Engine Technologies (98) | Vehicle emissions and performance (57) | Biodiesel Production and Applications (29)</t>
        </is>
      </c>
      <c r="AH47" s="2" t="inlineStr">
        <is>
          <t>Model-based system and control design of commercial vehicle power trains Connected and automated commercial vehicles Internal combustion engine &amp; after-treatment system design and controls Flexible valve actuation in diesel and natural gas engines</t>
        </is>
      </c>
      <c r="AI47" s="2" t="inlineStr">
        <is>
          <t>Thermodynamics Systems, Measurements &amp; Controls</t>
        </is>
      </c>
      <c r="AJ47" s="2" t="inlineStr">
        <is>
          <t>Thermodynamics Systems, Measurements &amp; Controls</t>
        </is>
      </c>
      <c r="AK47" s="2" t="inlineStr">
        <is>
          <t>Ph.D. Stanford, '05 M.S. Stanford, '04 B.S. Purdue, '00</t>
        </is>
      </c>
      <c r="AL47" s="2" t="inlineStr">
        <is>
          <t>Personal Homepage</t>
        </is>
      </c>
      <c r="AM47" s="3">
        <f>HYPERLINK("http://www.gregshaver.com/", "http://www.gregshaver.com/")</f>
        <v/>
      </c>
      <c r="AN47" s="2" t="inlineStr"/>
      <c r="AO47" s="2" t="inlineStr"/>
      <c r="AP47" s="2" t="inlineStr"/>
      <c r="AQ47" s="2" t="inlineStr"/>
      <c r="AR47" s="2" t="inlineStr"/>
      <c r="AS47" s="2" t="inlineStr"/>
      <c r="AT47" s="2" t="inlineStr"/>
      <c r="AU47" s="2" t="b">
        <v>1</v>
      </c>
      <c r="AV47" s="3">
        <f>HYPERLINK("https://engineering.purdue.edu/ME/People/ptFaculty", "https://engineering.purdue.edu/ME/People/ptFaculty")</f>
        <v/>
      </c>
    </row>
    <row r="48">
      <c r="A48" s="2" t="inlineStr">
        <is>
          <t>Jamie Canino</t>
        </is>
      </c>
      <c r="B48" s="2" t="inlineStr">
        <is>
          <t>Purdue University</t>
        </is>
      </c>
      <c r="C48" s="3">
        <f>HYPERLINK("https://engineering.purdue.edu/AAE/people/ptProfile?resource_id=285032", "https://engineering.purdue.edu/AAE/people/ptProfile?resource_id=285032")</f>
        <v/>
      </c>
      <c r="D48" s="3">
        <f>HYPERLINK("https://scholar.google.com/citations?view_op=search_authors&amp;mauthors=Jamie%20Canino%20Purdue%20University", "Google Scholar Search")</f>
        <v/>
      </c>
      <c r="E48" s="2" t="inlineStr">
        <is>
          <t>Associate Professor of Engineering Practice</t>
        </is>
      </c>
      <c r="F48" s="2" t="inlineStr">
        <is>
          <t>Aeronautics and Astronautics</t>
        </is>
      </c>
      <c r="G48" s="2" t="inlineStr"/>
      <c r="H48" s="3">
        <f>HYPERLINK("mailto:canino@purdue.edu", "canino@purdue.edu")</f>
        <v/>
      </c>
      <c r="I48" s="2" t="n">
        <v>1</v>
      </c>
      <c r="J48" s="2" t="inlineStr">
        <is>
          <t>🔵 Tier 1: Core Aero / Fluids / Propulsion</t>
        </is>
      </c>
      <c r="K48" s="2" t="n">
        <v>2</v>
      </c>
      <c r="L48" s="2" t="inlineStr">
        <is>
          <t>propulsion, rocket propulsion</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is>
          <t>"Optimization of Lenz-Type VAWT Geometries with Computational Fluid Dynamics" [AIAA SCITECH 2023 Forum] (2023) [DOI: https://doi.org/10.2514/6.2023-0017]</t>
        </is>
      </c>
      <c r="AB48" s="2" t="inlineStr">
        <is>
          <t>"Computational Modelling of Rocket Injector Internal Flows" (2007, 6 cites) [DOI: https://doi.org/10.2514/6.2007-5571] | "Optimization of Lenz-Type VAWT Geometries with Computational Fluid Dynamics" [AIAA SCITECH 2023 Forum] (2023, 0 cites) [DOI: https://doi.org/10.2514/6.2023-0017]</t>
        </is>
      </c>
      <c r="AC48" s="2" t="inlineStr"/>
      <c r="AD48" s="2" t="inlineStr"/>
      <c r="AE48" s="2" t="inlineStr"/>
      <c r="AF48" s="2" t="inlineStr">
        <is>
          <t>Advanced Combustion Engine Technologies (1) | Combustion and flame dynamics (1) | Wind Energy Research and Development (1)</t>
        </is>
      </c>
      <c r="AG48" s="2" t="inlineStr">
        <is>
          <t>Advanced Combustion Engine Technologies (1) | Combustion and flame dynamics (1) | Wind Energy Research and Development (1)</t>
        </is>
      </c>
      <c r="AH48" s="2" t="inlineStr">
        <is>
          <t>Engineering Education, Undergraduate Mentoring, Rocket Propulsion Edit var myPronunciation=document.getElementById("pronunciation");
    function play() {
    myPronunciation.play();
    }
    function pause() {
    myPronunciation.pause();
    }</t>
        </is>
      </c>
      <c r="AI48" s="2" t="inlineStr"/>
      <c r="AJ48" s="2" t="inlineStr">
        <is>
          <t>Engineering Education, Undergraduate Mentoring, Rocket Propulsion Edit var myPronunciation=document.getElementById("pronunciation");
    function play() {
    myPronunciation.play();
    }
    function pause() {
    myPronunciation.pause();
    }</t>
        </is>
      </c>
      <c r="AK48" s="2" t="inlineStr"/>
      <c r="AL48" s="2" t="inlineStr">
        <is>
          <t>Indiana Space Grant Consortium</t>
        </is>
      </c>
      <c r="AM48" s="3">
        <f>HYPERLINK("https://insgc.spacegrant.org/", "https://insgc.spacegrant.org/")</f>
        <v/>
      </c>
      <c r="AN48" s="2" t="inlineStr">
        <is>
          <t>Academic INSGC Internships</t>
        </is>
      </c>
      <c r="AO48" s="2" t="inlineStr"/>
      <c r="AP48" s="2" t="inlineStr"/>
      <c r="AQ48" s="2" t="inlineStr">
        <is>
          <t>NASA</t>
        </is>
      </c>
      <c r="AR48" s="2" t="inlineStr"/>
      <c r="AS48" s="2" t="inlineStr"/>
      <c r="AT48" s="2" t="inlineStr">
        <is>
          <t>ARMS 3209</t>
        </is>
      </c>
      <c r="AU48" s="2" t="b">
        <v>1</v>
      </c>
      <c r="AV48" s="3">
        <f>HYPERLINK("https://engineering.purdue.edu/AAE/people/Faculty", "https://engineering.purdue.edu/AAE/people/Faculty")</f>
        <v/>
      </c>
    </row>
    <row r="49">
      <c r="A49" s="2" t="inlineStr">
        <is>
          <t>Leifur Leifsson</t>
        </is>
      </c>
      <c r="B49" s="2" t="inlineStr">
        <is>
          <t>Purdue University</t>
        </is>
      </c>
      <c r="C49" s="3">
        <f>HYPERLINK("https://engineering.purdue.edu/AAE/people/ptProfile?resource_id=256632", "https://engineering.purdue.edu/AAE/people/ptProfile?resource_id=256632")</f>
        <v/>
      </c>
      <c r="D49" s="3">
        <f>HYPERLINK("https://scholar.google.com/citations?view_op=search_authors&amp;mauthors=Leifur%20Leifsson%20Purdue%20University", "Google Scholar Search")</f>
        <v/>
      </c>
      <c r="E49" s="2" t="inlineStr">
        <is>
          <t>Associate Professor</t>
        </is>
      </c>
      <c r="F49" s="2" t="inlineStr">
        <is>
          <t>Aeronautics and Astronautics</t>
        </is>
      </c>
      <c r="G49" s="2" t="inlineStr"/>
      <c r="H49" s="3">
        <f>HYPERLINK("mailto:leifur@purdue.edu", "leifur@purdue.edu")</f>
        <v/>
      </c>
      <c r="I49" s="2" t="n">
        <v>1</v>
      </c>
      <c r="J49" s="2" t="inlineStr">
        <is>
          <t>🔵 Tier 1: Core Aero / Fluids / Propulsion</t>
        </is>
      </c>
      <c r="K49" s="2" t="n">
        <v>2</v>
      </c>
      <c r="L49" s="2" t="inlineStr">
        <is>
          <t>aerospace, fluid-structure interaction</t>
        </is>
      </c>
      <c r="M49" s="2" t="inlineStr">
        <is>
          <t>Surrogate-based aerodynamic shape optimization, multi-fidelity modeling, Bayesian optimization with surface pressure physics, and robust design under aerodynamic uncertainty.</t>
        </is>
      </c>
      <c r="N49" s="2" t="inlineStr">
        <is>
          <t>Gaussian Process / Kriging Surrogates, Bayesian Optimization, Multi-Fidelity CFD, Surface-Pressure Autoencoders, Adjoint Aerodynamic Solvers</t>
        </is>
      </c>
      <c r="O49" s="2" t="inlineStr">
        <is>
          <t>Efficient Design of Airfoil Shapes Using Surface Pressure–Informed Bayesian Optimization</t>
        </is>
      </c>
      <c r="P49" s="3">
        <f>HYPERLINK("https://doi.org/10.2514/6.2026-0148", "https://doi.org/10.2514/6.2026-0148")</f>
        <v/>
      </c>
      <c r="Q49" s="2" t="inlineStr">
        <is>
          <t>developing surface pressure-informed Bayesian optimization with autoencoders for transonic airfoils, demonstrating that encoding physical pressure distribution features into surrogate models reduces optimization CFD evaluations by 40%.</t>
        </is>
      </c>
      <c r="R49" s="2" t="inlineStr">
        <is>
          <t>Aerodynamic shape optimization of airfoil shapes is an essential part of the aircraft design process but is computationally demanding when high-fidelity CFD simulations are required. This paper introduces a surface pressure-informed Bayesian optimization framework where latent features of surface pressure distributions are extracted using convolutional autoencoders and integrated into Gaussian process surrogate models. Incorporating physical pressure field information accelerates convergence to transonic drag-divergence optima by over 40% compared to standard black-box Bayesian optimization.</t>
        </is>
      </c>
      <c r="S49" s="2" t="inlineStr">
        <is>
          <t>Surrogate-based aerodynamic shape optimization for delaying airfoil dynamic stall using Kriging regression and infill criteria</t>
        </is>
      </c>
      <c r="T49" s="3">
        <f>HYPERLINK("https://doi.org/10.1016/j.ast.2021.106555", "https://doi.org/10.1016/j.ast.2021.106555")</f>
        <v/>
      </c>
      <c r="U49" s="2" t="inlineStr">
        <is>
          <t>applying Kriging surrogate models and infill criteria to unsteady pitching airfoils, demonstrating that optimized leading-edge curvature delays dynamic stall vortex shedding and reduces peak nose-down pitching moment spikes by 35%.</t>
        </is>
      </c>
      <c r="V49" s="2" t="inlineStr">
        <is>
          <t>Airfoil dynamic stall is characterized by the shedding of an energetic leading-edge vortex, causing severe pitching moment fluctuations and structural fatigue in rotorcraft blades. This study presents a surrogate-based shape optimization framework utilizing Kriging regression coupled with expected improvement infill criteria to delay dynamic stall onset. Unsteady RANS simulations of pitching airfoils validate that optimized leading-edge profiles suppress dynamic stall vortex formation, reducing peak nose-down pitching moment by over 35%.</t>
        </is>
      </c>
      <c r="W49" s="2" t="inlineStr">
        <is>
          <t>1. Efficient Design of Airfoil Shapes Using Surface Pressure–Informed Bayesian Optimization (AIAA SciTech, 2026) [DOI: https://doi.org/10.2514/6.2026-0148] | 2. Surrogate-based aerodynamic shape optimization for delaying airfoil dynamic stall using Kriging regression and infill criteria (Aerospace Science and Technology, 2021) [DOI: https://doi.org/10.1016/j.ast.2021.106555]</t>
        </is>
      </c>
      <c r="X49" s="3">
        <f>HYPERLINK("https://doi.org/10.2514/6.2026-0148", "https://doi.org/10.2514/6.2026-0148 | https://doi.org/10.1016/j.ast.2021.106555")</f>
        <v/>
      </c>
      <c r="Y49" s="2" t="inlineStr">
        <is>
          <t>developing surface pressure-informed Bayesian optimization with autoencoders for transonic airfoils, demonstrating that encoding physical pressure distribution features into surrogate models reduces optimization CFD evaluations by 40%.</t>
        </is>
      </c>
      <c r="Z49" s="2" t="inlineStr"/>
      <c r="AA49" s="2" t="inlineStr">
        <is>
          <t>"Adaptive Hyperparameter Optimization Strategies for Neural Network Models in Engineering Design Optimization" [Journal of Aerospace Information Systems] (2026) [DOI: https://doi.org/10.2514/1.i011839] | "Special Issue: Data-Driven Design Under Uncertainty" [Journal of Mechanical Design] (2026) [DOI: https://doi.org/10.1115/1.4070968] | "Efficient Design of Airfoil Shapes Using Surface Pressure–Informed Bayesian Optimization" (2026) [DOI: https://doi.org/10.2514/6.2026-0148] | "Aerodynamic Uncertainty Analysis of the Common Research Model Wing Using Autoencoders" (2026) [DOI: https://doi.org/10.2514/6.2026-1208] | "Efficient Design Under Uncertainty of Spacecraft and Trajectory Systems Using Gaussian Process Surrogates" (2026) [DOI: https://doi.org/10.2514/6.2026-1790]</t>
        </is>
      </c>
      <c r="AB49" s="2" t="inlineStr">
        <is>
          <t>"Surrogate-Based Methods" [Studies in computational intelligence] (2011, 257 cites) [DOI: https://doi.org/10.1007/978-3-642-20859-1_3] | "Surrogate-based aerodynamic shape optimization for delaying airfoil dynamic stall using Kriging regression and infill criteria" [Aerospace Science and Technology] (2021, 120 cites) [DOI: https://doi.org/10.1016/j.ast.2021.106555] | "Surrogate-Based Aerodynamic Shape Optimization by Variable-Resolution Models" [AIAA Journal] (2012, 111 cites) [DOI: https://doi.org/10.2514/1.j051583]</t>
        </is>
      </c>
      <c r="AC49" s="2" t="inlineStr"/>
      <c r="AD49" s="2" t="inlineStr">
        <is>
          <t>NSF Early CAREER Award, NSF/CMMI/EDSE, February 2019 Best Paper Award, ASME Journal of Nondestructive Evaluation, 2019 Research...</t>
        </is>
      </c>
      <c r="AE49" s="2" t="inlineStr"/>
      <c r="AF49" s="2" t="inlineStr">
        <is>
          <t>Advanced Multi-Objective Optimization Algorithms (155) | Probabilistic and Robust Engineering Design (107) | Microwave Engineering and Waveguides (66)</t>
        </is>
      </c>
      <c r="AG49" s="2" t="inlineStr">
        <is>
          <t>Advanced Multi-Objective Optimization Algorithms (155) | Probabilistic and Robust Engineering Design (107) | Microwave Engineering and Waveguides (66)</t>
        </is>
      </c>
      <c r="AH49" s="2" t="inlineStr">
        <is>
          <t>Computational aerospace engineering design; Multidisciplinary design optimization; Surrogate-based modeling and optimization; Uncertainty quantification; Scientific machine learning; Multifidelity methods</t>
        </is>
      </c>
      <c r="AI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 Edit var myPronunciation=document.getElementById("pronunciation");
    function play() {
    myPronunciation.play();
    }
    function pause() {
    myPronunciation.pause();
    }</t>
        </is>
      </c>
      <c r="AJ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t>
        </is>
      </c>
      <c r="AK49" s="2" t="inlineStr">
        <is>
          <t>C.Sc. University of Iceland, Mechanical and Industrial Engineering, 1999 M.Sc. University of Iceland, Mechanical Engineering, 2000 Ph.D. Virginia Tech, Aerospace Engineering, 2006</t>
        </is>
      </c>
      <c r="AL49" s="2" t="inlineStr">
        <is>
          <t>Indiana Space Grant Consortium</t>
        </is>
      </c>
      <c r="AM49" s="3">
        <f>HYPERLINK("https://insgc.spacegrant.org/", "https://insgc.spacegrant.org/")</f>
        <v/>
      </c>
      <c r="AN49" s="2" t="inlineStr">
        <is>
          <t>Academic INSGC Internships</t>
        </is>
      </c>
      <c r="AO49" s="2" t="inlineStr"/>
      <c r="AP49" s="2" t="inlineStr"/>
      <c r="AQ49" s="2" t="inlineStr">
        <is>
          <t>NASA</t>
        </is>
      </c>
      <c r="AR49" s="2" t="inlineStr"/>
      <c r="AS49" s="2" t="inlineStr"/>
      <c r="AT49" s="2" t="inlineStr">
        <is>
          <t>ARMS 3229</t>
        </is>
      </c>
      <c r="AU49" s="2" t="b">
        <v>1</v>
      </c>
      <c r="AV49" s="3">
        <f>HYPERLINK("https://engineering.purdue.edu/AAE/people/Faculty", "https://engineering.purdue.edu/AAE/people/Faculty")</f>
        <v/>
      </c>
    </row>
    <row r="50">
      <c r="A50" s="2" t="inlineStr">
        <is>
          <t>Nicole Key</t>
        </is>
      </c>
      <c r="B50" s="2" t="inlineStr">
        <is>
          <t>Purdue University</t>
        </is>
      </c>
      <c r="C50" s="3">
        <f>HYPERLINK("https://engineering.purdue.edu/ME/People/ptProfile?resource_id=34222", "https://engineering.purdue.edu/ME/People/ptProfile?resource_id=34222")</f>
        <v/>
      </c>
      <c r="D50" s="3">
        <f>HYPERLINK("https://scholar.google.com/citations?view_op=search_authors&amp;mauthors=Nicole%20Key%20Purdue%20University", "Google Scholar Search")</f>
        <v/>
      </c>
      <c r="E50" s="2" t="inlineStr">
        <is>
          <t>Avrum and Joyce Gray Professor in Entrepreneurship and Innovation; Associate Head for Graduate Studies; Professor of Aeronautics &amp; Astronautics</t>
        </is>
      </c>
      <c r="F50" s="2" t="inlineStr">
        <is>
          <t>Aeronautics and Astronautics</t>
        </is>
      </c>
      <c r="G50" s="2" t="inlineStr"/>
      <c r="H50" s="3">
        <f>HYPERLINK("mailto:nkey@purdue.edu", "nkey@purdue.edu")</f>
        <v/>
      </c>
      <c r="I50" s="2" t="n">
        <v>1</v>
      </c>
      <c r="J50" s="2" t="inlineStr">
        <is>
          <t>🔵 Tier 1: Core Aero / Fluids / Propulsion</t>
        </is>
      </c>
      <c r="K50" s="2" t="n">
        <v>2</v>
      </c>
      <c r="L50" s="2" t="inlineStr">
        <is>
          <t>fluid mechanics, thermal</t>
        </is>
      </c>
      <c r="M50" s="2" t="inlineStr">
        <is>
          <t>Experimental aeromechanics, acoustic clocking, and unsteady rotor-stator forced response under circumferential total pressure inlet distortion in multi-stage axial and centrifugal compressors.</t>
        </is>
      </c>
      <c r="N50" s="2" t="inlineStr">
        <is>
          <t>Purdue Single-Stage Centrifugal Compressor (SSCC), Multi-Stage Axial Research Compressor, High-Frequency Pressure Transducers, Laser Doppler Velocimetry (LDV), Full-Annulus URANS</t>
        </is>
      </c>
      <c r="O50" s="2" t="inlineStr">
        <is>
          <t>Effect of Inlet Distortion Reduced Frequency on Centrifugal Compressor Performance and Stability</t>
        </is>
      </c>
      <c r="P50" s="3">
        <f>HYPERLINK("https://doi.org/10.2514/1.j066481", "https://doi.org/10.2514/1.j066481")</f>
        <v/>
      </c>
      <c r="Q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R50" s="2" t="inlineStr">
        <is>
          <t>Characterizing the circumferential angle of inlet total pressure distortion by which a compressor responds in both performance and stability changes is paramount for inlet-gas turbine integration. Past computational simulations for centrifugal compressors have shown that the acoustic propagation time of information through the rotor passage over the dwell time of the rotor in the distorted state dictates this response to distortion. This is known as the acoustic reduced frequency, and a critical value has been shown computationally for centrifugal compressors to be unity. This effort utilizes the Single Stage Centrifugal Compressor at Purdue University to validate this critical value and behavior experimentally utilizing once-per-rev total pressure distortion screens. The compressor was mapped at 80, 90, and 100% corrected speed, which corresponded to subsonic, transonic, and supersonic relative-frame inlet flow Mach numbers. The efficiency of the compressor was minimally affected at transonic and supersonic operation by distortions with reduced frequencies greater than one and then exponentially decayed as distortion extents were increased, causing the reduced frequency to drop below unity.</t>
        </is>
      </c>
      <c r="S50" s="2" t="inlineStr">
        <is>
          <t>Small Random Aerodynamic Mistuning and Its Effect on Compressor Rotor Forced Response</t>
        </is>
      </c>
      <c r="T50" s="3">
        <f>HYPERLINK("https://doi.org/10.2514/1.b39968", "https://doi.org/10.2514/1.b39968")</f>
        <v/>
      </c>
      <c r="U50" s="2" t="inlineStr">
        <is>
          <t>conducting semi-analytical cascade modeling and Monte Carlo simulations on a three-stage axial compressor, demonstrating that random aerodynamic mistuning alters blade-to-blade aeroelastic damping and amplifies peak forced response vibrations by up to 22%.</t>
        </is>
      </c>
      <c r="V50" s="2" t="inlineStr">
        <is>
          <t>Small blade-to-blade geometric differences in compressor rotors are always present due to manufacturing tolerances and operational wear. These variations affect both the structural response and aerodynamic response of the rotor, known as structural mistuning and aerodynamic mistuning, respectively. A semi-analytical flat-plate cascade model was developed to quantify the aerodynamic mistuning matrix with random blade spacing variation. Monte Carlo simulations based on a three-stage axial research compressor were conducted to study the effect of small random blade spacing variation on blade forced response. Results reveal that while structural mistuning dominates rotor resonant frequencies, aerodynamic mistuning redistributes modal damping, increasing peak blade vibratory stress by up to 22%.</t>
        </is>
      </c>
      <c r="W50" s="2" t="inlineStr">
        <is>
          <t>1. Effect of Inlet Distortion Reduced Frequency on Centrifugal Compressor Performance and Stability (AIAA Journal, 2026) [DOI: https://doi.org/10.2514/1.j066481] | 2. Small Random Aerodynamic Mistuning and Its Effect on Compressor Rotor Forced Response (Journal of Propulsion and Power, 2026) [DOI: https://doi.org/10.2514/1.b39968]</t>
        </is>
      </c>
      <c r="X50" s="3">
        <f>HYPERLINK("https://doi.org/10.2514/1.j066481", "https://doi.org/10.2514/1.j066481 | https://doi.org/10.2514/1.b39968")</f>
        <v/>
      </c>
      <c r="Y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Z50" s="2" t="inlineStr"/>
      <c r="AA50" s="2" t="inlineStr">
        <is>
          <t>"AERODYNAMIC CLOCKING ASSOCIATED WITH COMPRESSOR INLET CONDITIONS AND ITS EFFECT ON EMBEDDED ROTOR FORCED RESPONSE" [Zenodo (CERN European Organization for Nuclear Research)] (2026) [DOI: https://doi.org/10.5281/zenodo.20005475] | "AERODYNAMIC CLOCKING ASSOCIATED WITH COMPRESSOR INLET CONDITIONS AND ITS EFFECT ON EMBEDDED ROTOR FORCED RESPONSE" [Zenodo (CERN European Organization for Nuclear Research)] (2026) [DOI: https://doi.org/10.5281/zenodo.20005474] | "Effect of Inlet Distortion Reduced Frequency on Centrifugal Compressor Performance and Stability" [AIAA Journal] (2026) [DOI: https://doi.org/10.2514/1.j066481] | "Small Random Aerodynamic Mistuning and Its Effect on Compressor Rotor Forced Response" [Journal of Propulsion and Power] (2026) [DOI: https://doi.org/10.2514/1.b39968] | "A Flow Physics Approach to Determining Critical Angle of Inlet Total Pressure Distortion for a Centrifugal Compressor" [Journal of Engineering for Gas Turbines and Power] (2025) [DOI: https://doi.org/10.1115/1.4070057]</t>
        </is>
      </c>
      <c r="AB50" s="2" t="inlineStr">
        <is>
          <t>"Comparison of Turbine Tip Leakage Flow for Flat Tip and Squealer Tip Geometries at High-Speed Conditions" [Journal of Turbomachinery] (2004, 167 cites) [DOI: https://doi.org/10.1115/1.2162183] | "Comparison of Turbine Tip Leakage Flow for Flat Tip and Squealer Tip Geometries at High-Speed Conditions" (2004, 94 cites) [DOI: https://doi.org/10.1115/gt2004-53979] | "Mistuned Forced Response Predictions of an Embedded Rotor in a Multistage Compressor" [Journal of Turbomachinery] (2015, 40 cites) [DOI: https://doi.org/10.1115/1.4032164]</t>
        </is>
      </c>
      <c r="AC50" s="2" t="inlineStr"/>
      <c r="AD50" s="2" t="inlineStr">
        <is>
          <t>Outstanding Mechanical Engineers Distinguished Engineering Alumni Honorary Doctorates Staff Awards Student Awards Distinguished...</t>
        </is>
      </c>
      <c r="AE50" s="2" t="inlineStr"/>
      <c r="AF50" s="2" t="inlineStr">
        <is>
          <t>Turbomachinery Performance and Optimization (152) | Refrigeration and Air Conditioning Technologies (62) | Heat Transfer Mechanisms (43)</t>
        </is>
      </c>
      <c r="AG50" s="2" t="inlineStr">
        <is>
          <t>Turbomachinery Performance and Optimization (152) | Refrigeration and Air Conditioning Technologies (62) | Heat Transfer Mechanisms (43)</t>
        </is>
      </c>
      <c r="AH50" s="2" t="inlineStr">
        <is>
          <t>Aerothermal aspects of turbomachinery Axial and radial compressor performance Experimental methods in fluid mechanics</t>
        </is>
      </c>
      <c r="AI50" s="2" t="inlineStr">
        <is>
          <t>Fluid Mechanics</t>
        </is>
      </c>
      <c r="AJ50" s="2" t="inlineStr">
        <is>
          <t>Fluid Mechanics</t>
        </is>
      </c>
      <c r="AK50" s="2" t="inlineStr">
        <is>
          <t>B.S., Purdue, '00 M.S.E., Purdue, '02 Ph.D., Purdue, '07</t>
        </is>
      </c>
      <c r="AL50" s="2" t="inlineStr">
        <is>
          <t>High Speed Compressor Research</t>
        </is>
      </c>
      <c r="AM50" s="3">
        <f>HYPERLINK("http://engineering.purdue.edu/Turbo_Research/", "http://engineering.purdue.edu/Turbo_Research/")</f>
        <v/>
      </c>
      <c r="AN50" s="2" t="inlineStr"/>
      <c r="AO50" s="2" t="inlineStr"/>
      <c r="AP50" s="2" t="inlineStr"/>
      <c r="AQ50" s="2" t="inlineStr"/>
      <c r="AR50" s="2" t="inlineStr"/>
      <c r="AS50" s="2" t="inlineStr"/>
      <c r="AT50" s="2" t="inlineStr">
        <is>
          <t>ZUCR 126, ME 2149</t>
        </is>
      </c>
      <c r="AU50" s="2" t="b">
        <v>1</v>
      </c>
      <c r="AV50" s="3">
        <f>HYPERLINK("https://engineering.purdue.edu/AAE/people/Faculty", "https://engineering.purdue.edu/AAE/people/Faculty")</f>
        <v/>
      </c>
    </row>
    <row r="51">
      <c r="A51" s="2" t="inlineStr">
        <is>
          <t>Sascha Ranftl</t>
        </is>
      </c>
      <c r="B51" s="2" t="inlineStr">
        <is>
          <t>Purdue University</t>
        </is>
      </c>
      <c r="C51" s="3">
        <f>HYPERLINK("https://engineering.purdue.edu/ME/People/ptProfile?resource_id=324341", "https://engineering.purdue.edu/ME/People/ptProfile?resource_id=324341")</f>
        <v/>
      </c>
      <c r="D51" s="3">
        <f>HYPERLINK("https://scholar.google.com/citations?user=IKgNChQAAAAJ", "Scholar (IKgNChQAAAAJ)")</f>
        <v/>
      </c>
      <c r="E51" s="2" t="inlineStr">
        <is>
          <t>Assistant Professor of Mechanical Engineering</t>
        </is>
      </c>
      <c r="F51" s="2" t="inlineStr">
        <is>
          <t>Mechanical Engineering</t>
        </is>
      </c>
      <c r="G51" s="2" t="inlineStr">
        <is>
          <t>IKgNChQAAAAJ</t>
        </is>
      </c>
      <c r="H51" s="3">
        <f>HYPERLINK("mailto:sranftl@purdue.edu", "sranftl@purdue.edu")</f>
        <v/>
      </c>
      <c r="I51" s="2" t="n">
        <v>1</v>
      </c>
      <c r="J51" s="2" t="inlineStr">
        <is>
          <t>🔵 Tier 1: Core Aero / Fluids / Propulsion</t>
        </is>
      </c>
      <c r="K51" s="2" t="n">
        <v>2</v>
      </c>
      <c r="L51" s="2" t="inlineStr">
        <is>
          <t>fluid mechanics, scientific computing</t>
        </is>
      </c>
      <c r="M51" s="2" t="inlineStr">
        <is>
          <t>Physics-informed Bayesian machine learning, physics-consistent Gaussian processes, uncertainty quantification in computational mechanics, and cardiovascular hemodynamics.</t>
        </is>
      </c>
      <c r="N51" s="2" t="inlineStr">
        <is>
          <t>Physics-Consistent Gaussian Processes (PC-GPs), Bayesian Uncertainty Quantification, Markov Chain Monte Carlo (MCMC), Patient-Specific Hemodynamic Solvers, Fenics</t>
        </is>
      </c>
      <c r="O51" s="2" t="inlineStr">
        <is>
          <t>Parameter Learning With Physics-Consistent Gaussian Processes</t>
        </is>
      </c>
      <c r="P51" s="3">
        <f>HYPERLINK("https://doi.org/10.5281/zenodo.20392037", "https://doi.org/10.5281/zenodo.20392037")</f>
        <v/>
      </c>
      <c r="Q51" s="2" t="inlineStr">
        <is>
          <t>embedding linear differential operator constraints into Gaussian process kernel covariance structures, enabling physics-consistent parameter inference and certified uncertainty bounds from sparse noisy observations.</t>
        </is>
      </c>
      <c r="R51" s="2" t="inlineStr">
        <is>
          <t>Hybrid approaches combining differential equations and machine learning, known as physics-informed machine learning, aim to incorporate known physical laws into data-driven models. Gaussian processes (GPs) are particularly attractive because they provide flexible non-parametric functional priors and closed-form posterior distributions. In this work, we develop physics-consistent Gaussian processes that embed differential operator constraints directly into the kernel covariance structure, enabling robust parameter estimation and rigorous uncertainty quantification from sparse physical data.</t>
        </is>
      </c>
      <c r="S51" s="2" t="inlineStr">
        <is>
          <t>A Bayesian approach to blood rheological uncertainties in aortic hemodynamics</t>
        </is>
      </c>
      <c r="T51" s="3">
        <f>HYPERLINK("https://doi.org/10.1002/cnm.3576", "https://doi.org/10.1002/cnm.3576")</f>
        <v/>
      </c>
      <c r="U51" s="2" t="inlineStr">
        <is>
          <t>applying Bayesian Markov Chain Monte Carlo uncertainty quantification to patient-specific thoracic aortic hemodynamics, establishing how non-Newtonian blood rheology variations affect wall shear stress and oscillatory shear indices in recirculating flow.</t>
        </is>
      </c>
      <c r="V51" s="2" t="inlineStr">
        <is>
          <t>Patient-specific computational hemodynamics requires model assumptions regarding geometry, inflow waveforms, and blood rheology. This work presents a Bayesian uncertainty quantification framework to assess the impact of non-Newtonian blood rheology parameters on wall shear stress (WSS) distributions in the human thoracic aorta. High-fidelity CFD simulations integrated with Markov Chain Monte Carlo sampling reveal that rheological parameter uncertainty significantly affects oscillatory shear index predictions in low-shear recirculation zones.</t>
        </is>
      </c>
      <c r="W51" s="2" t="inlineStr">
        <is>
          <t>1. Parameter Learning With Physics-Consistent Gaussian Processes (Zenodo / arXiv, 2026) [DOI: https://doi.org/10.5281/zenodo.20392037] | 2. A Bayesian approach to blood rheological uncertainties in aortic hemodynamics (International Journal for Numerical Methods in Biomedical Engineering, 2022) [DOI: https://doi.org/10.1002/cnm.3576]</t>
        </is>
      </c>
      <c r="X51" s="3">
        <f>HYPERLINK("https://doi.org/10.5281/zenodo.20392037", "https://doi.org/10.5281/zenodo.20392037 | https://doi.org/10.1002/cnm.3576")</f>
        <v/>
      </c>
      <c r="Y51" s="2" t="inlineStr">
        <is>
          <t>embedding linear differential operator constraints into Gaussian process kernel covariance structures, enabling physics-consistent parameter inference and certified uncertainty bounds from sparse noisy observations.</t>
        </is>
      </c>
      <c r="Z51" s="2" t="inlineStr"/>
      <c r="AA51" s="2" t="inlineStr">
        <is>
          <t>"Parameter Learning With Physics-Consistent Gaussian Processes" [Zenodo (CERN European Organization for Nuclear Research)] (2026) [DOI: https://doi.org/10.5281/zenodo.20392037] | "Parameter Learning With Physics-Consistent Gaussian Processes" [Zenodo (CERN European Organization for Nuclear Research)] (2026) [DOI: https://doi.org/10.5281/zenodo.21864854] | "Uncertainty quantification in mechanics: A unified Bayesian perspective" [arXiv (Cornell University)] (2026) [DOI: https://doi.org/10.48550/arxiv.2607.18734] | "Uncertainty quantification in mechanics: A unified Bayesian perspective" [arXiv (Cornell University)] (2026) [DOI: https://arxiv.org/abs/2607.18734] | "Parameter Learning With Physics-Consistent Gaussian Processes" [Zenodo (CERN European Organization for Nuclear Research)] (2026) [DOI: https://doi.org/10.5281/zenodo.20392038]</t>
        </is>
      </c>
      <c r="AB51" s="2" t="inlineStr">
        <is>
          <t>"Femtosecond photoexcitation dynamics inside a quantum solvent" [Nature Communications] (2018, 38 cites) [DOI: https://doi.org/10.1038/s41467-018-06413-9] | "A neural network-based material cell for elastoplasticity and its performance in FE analyses of boundary value problems" [International Journal of Plasticity] (2023, 25 cites) [DOI: https://doi.org/10.1016/j.ijplas.2023.103811] | "A Bayesian approach to blood rheological uncertainties in aortic hemodynamics" [International Journal for Numerical Methods in Biomedical Engineering] (2022, 18 cites) [DOI: https://doi.org/10.1002/cnm.3576]</t>
        </is>
      </c>
      <c r="AC51" s="2" t="inlineStr"/>
      <c r="AD51" s="2" t="inlineStr">
        <is>
          <t>Outstanding Mechanical Engineers Distinguished Engineering Alumni Honorary Doctorates Staff Awards Student Awards Distinguished...</t>
        </is>
      </c>
      <c r="AE51" s="2" t="inlineStr"/>
      <c r="AF51" s="2" t="inlineStr">
        <is>
          <t>Quantum, superfluid, helium dynamics (10) | Probabilistic and Robust Engineering Design (9) | Spectroscopy and Quantum Chemical Studies (9)</t>
        </is>
      </c>
      <c r="AG51" s="2" t="inlineStr">
        <is>
          <t>Quantum, superfluid, helium dynamics (10) | Probabilistic and Robust Engineering Design (9) | Spectroscopy and Quantum Chemical Studies (9)</t>
        </is>
      </c>
      <c r="AH51" s="2" t="inlineStr">
        <is>
          <t>Scientific machine learning Bayesian probability theory Uncertainty quantification Data analysis Scientific computing Computational physics &amp; engineering Machine learning applications in engineering</t>
        </is>
      </c>
      <c r="AI51" s="2" t="inlineStr">
        <is>
          <t>Fluid Mechanics</t>
        </is>
      </c>
      <c r="AJ51" s="2" t="inlineStr">
        <is>
          <t>Fluid Mechanics</t>
        </is>
      </c>
      <c r="AK51" s="2" t="inlineStr">
        <is>
          <t>Postdoctoral fellow, Division of Applied Mathematics, Brown University, '25 Postdoctoral fellow, Courant Institute, New York University, '24 Ph.D., Institute of Theoretical &amp; Computational Physics, TU Graz, Austria, '21 Diplom-Ingenieur., Engineering Physics, TU Graz, Austria, '17</t>
        </is>
      </c>
      <c r="AL51" s="2" t="inlineStr">
        <is>
          <t>Personal Website</t>
        </is>
      </c>
      <c r="AM51" s="3">
        <f>HYPERLINK("https://sites.google.com/view/sascha-ranftl", "https://sites.google.com/view/sascha-ranftl")</f>
        <v/>
      </c>
      <c r="AN51" s="2" t="inlineStr">
        <is>
          <t>More About me News Open Positions Publications Contact</t>
        </is>
      </c>
      <c r="AO51" s="2" t="inlineStr"/>
      <c r="AP51" s="2" t="inlineStr">
        <is>
          <t>Supercomputer</t>
        </is>
      </c>
      <c r="AQ51" s="2" t="inlineStr"/>
      <c r="AR51" s="2" t="inlineStr"/>
      <c r="AS51" s="2" t="inlineStr"/>
      <c r="AT51" s="2" t="inlineStr"/>
      <c r="AU51" s="2" t="b">
        <v>1</v>
      </c>
      <c r="AV51" s="3">
        <f>HYPERLINK("https://engineering.purdue.edu/ME/People/ptFaculty", "https://engineering.purdue.edu/ME/People/ptFaculty")</f>
        <v/>
      </c>
    </row>
    <row r="52">
      <c r="A52" s="2" t="inlineStr">
        <is>
          <t>William Anderson</t>
        </is>
      </c>
      <c r="B52" s="2" t="inlineStr">
        <is>
          <t>Purdue University</t>
        </is>
      </c>
      <c r="C52" s="3">
        <f>HYPERLINK("https://engineering.purdue.edu/AAE/people/ptProfile?resource_id=1333", "https://engineering.purdue.edu/AAE/people/ptProfile?resource_id=1333")</f>
        <v/>
      </c>
      <c r="D52" s="3">
        <f>HYPERLINK("https://scholar.google.com/citations?view_op=search_authors&amp;mauthors=William%20Anderson%20Purdue%20University", "Google Scholar Search")</f>
        <v/>
      </c>
      <c r="E52" s="2" t="inlineStr">
        <is>
          <t>Professor; Ph.D. The Pennsylvania State University 1996. Chemical propulsion and design methodologies</t>
        </is>
      </c>
      <c r="F52" s="2" t="inlineStr">
        <is>
          <t>Aeronautics and Astronautics</t>
        </is>
      </c>
      <c r="G52" s="2" t="inlineStr"/>
      <c r="H52" s="3">
        <f>HYPERLINK("mailto:webmaster-eng@purdue.edu", "webmaster-eng@purdue.edu")</f>
        <v/>
      </c>
      <c r="I52" s="2" t="n">
        <v>1</v>
      </c>
      <c r="J52" s="2" t="inlineStr">
        <is>
          <t>🔵 Tier 1: Core Aero / Fluids / Propulsion</t>
        </is>
      </c>
      <c r="K52" s="2" t="n">
        <v>2</v>
      </c>
      <c r="L52" s="2" t="inlineStr">
        <is>
          <t>combustion, propulsion</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is>
          <t>"Defining stem diameter categories for forage‐type bermudagrass" [Crop Forage &amp; Turfgrass Management] (2026) [DOI: https://doi.org/10.1002/cft2.70095] | "Pilot Study: Prospective, First-in-human Clinical Evaluation of a Novel Tissue Apposition Device (ENIVO) Following Simple Unilateral Mastectomy" [Plastic &amp; Reconstructive Surgery Global Open] (2025) [DOI: https://doi.org/10.1097/gox.0000000000007027] | "Evaluating the degree day model for timing insecticide applications to suppress the bermudagrass stem maggot" [Crop Forage &amp; Turfgrass Management] (2025) [DOI: https://doi.org/10.1002/cft2.70056] | "Whole-genome resequencing of a global collection of Napier grass ( Cenchrus purpureus ) to explore global population structure and QTL governing yield and feed quality traits" [G3 Genes Genomes Genetics] (2025) [DOI: https://doi.org/10.1093/g3journal/jkaf113] | "Evaluating the agronomic and economic benefit of including spinosad with and without pyrethroid insecticides in bermudagrass stem maggot treatments" [Crop Forage &amp; Turfgrass Management] (2024) [DOI: https://doi.org/10.1002/cft2.70011]</t>
        </is>
      </c>
      <c r="AB52" s="2" t="inlineStr">
        <is>
          <t>"Human Papillomavirus and Rising Oropharyngeal Cancer Incidence in the United States" [Journal of Clinical Oncology] (2011, 3646 cites) [DOI: https://doi.org/10.1200/jco.2011.36.4596] | "Patterns of Cancer Incidence, Mortality, and Prevalence Across Five Continents: Defining Priorities to Reduce Cancer Disparities in Different Geographic Regions of the World" [Journal of Clinical Oncology] (2006, 3462 cites) [DOI: https://doi.org/10.1200/jco.2005.05.2308] | "Cardiovascular Risk Associated with Celecoxib in a Clinical Trial for Colorectal Adenoma Prevention" [New England Journal of Medicine] (2005, 2058 cites) [DOI: https://doi.org/10.1056/nejmoa050405]</t>
        </is>
      </c>
      <c r="AC52" s="2" t="inlineStr"/>
      <c r="AD52" s="2" t="inlineStr">
        <is>
          <t>Global Engineering Program Director 2011 - 2014 Associate Fellow, American Institute of Aeronautics and Astronautics (AIAA), 20...</t>
        </is>
      </c>
      <c r="AE52" s="2" t="inlineStr"/>
      <c r="AF52" s="2" t="inlineStr">
        <is>
          <t>Global Cancer Incidence and Screening (66) | Cancer Risks and Factors (60) | Economic and Financial Impacts of Cancer (59)</t>
        </is>
      </c>
      <c r="AG52" s="2" t="inlineStr">
        <is>
          <t>Global Cancer Incidence and Screening (66) | Cancer Risks and Factors (60) | Economic and Financial Impacts of Cancer (59)</t>
        </is>
      </c>
      <c r="AH52" s="2" t="inlineStr">
        <is>
          <t>Chemical propulsion and design methodologies</t>
        </is>
      </c>
      <c r="AI52" s="2" t="inlineStr">
        <is>
          <t>Measurement and modeling of combustion dynamics, rocket engine design.</t>
        </is>
      </c>
      <c r="AJ52" s="2" t="inlineStr">
        <is>
          <t>Measurement and modeling of combustion dynamics, rocket engine design.</t>
        </is>
      </c>
      <c r="AK52" s="2" t="inlineStr">
        <is>
          <t>Ph.D., Mechanical Engineering, The Pennsylvania State University, 1996 M.S., Chemical Engineering, University of Arizona, 1984 B.S., Chemistry, Arizona State University, 1979</t>
        </is>
      </c>
      <c r="AL52" s="2" t="inlineStr">
        <is>
          <t>Indiana Space Grant Consortium</t>
        </is>
      </c>
      <c r="AM52" s="3">
        <f>HYPERLINK("https://insgc.spacegrant.org/", "https://insgc.spacegrant.org/")</f>
        <v/>
      </c>
      <c r="AN52" s="2" t="inlineStr">
        <is>
          <t>Academic INSGC Internships</t>
        </is>
      </c>
      <c r="AO52" s="2" t="inlineStr"/>
      <c r="AP52" s="2" t="inlineStr"/>
      <c r="AQ52" s="2" t="inlineStr">
        <is>
          <t>NASA</t>
        </is>
      </c>
      <c r="AR52" s="2" t="inlineStr"/>
      <c r="AS52" s="2" t="inlineStr"/>
      <c r="AT52" s="2" t="inlineStr"/>
      <c r="AU52" s="2" t="b">
        <v>1</v>
      </c>
      <c r="AV52" s="3">
        <f>HYPERLINK("https://engineering.purdue.edu/AAE/people/Faculty", "https://engineering.purdue.edu/AAE/people/Faculty")</f>
        <v/>
      </c>
    </row>
    <row r="53">
      <c r="A53" s="2" t="inlineStr">
        <is>
          <t>Amy Marconnet</t>
        </is>
      </c>
      <c r="B53" s="2" t="inlineStr">
        <is>
          <t>Purdue University</t>
        </is>
      </c>
      <c r="C53" s="3">
        <f>HYPERLINK("https://engineering.purdue.edu/ME/People/ptProfile?resource_id=86360", "https://engineering.purdue.edu/ME/People/ptProfile?resource_id=86360")</f>
        <v/>
      </c>
      <c r="D53" s="3">
        <f>HYPERLINK("https://scholar.google.com/citations?view_op=search_authors&amp;mauthors=Amy%20Marconnet%20Purdue%20University", "Google Scholar Search")</f>
        <v/>
      </c>
      <c r="E53" s="2" t="inlineStr">
        <is>
          <t>Professor of Mechanical Engineering</t>
        </is>
      </c>
      <c r="F53" s="2" t="inlineStr">
        <is>
          <t>Mechanical Engineering</t>
        </is>
      </c>
      <c r="G53" s="2" t="inlineStr"/>
      <c r="H53" s="3">
        <f>HYPERLINK("mailto:marconnet@purdue.edu", "marconnet@purdue.edu")</f>
        <v/>
      </c>
      <c r="I53" s="2" t="n">
        <v>2</v>
      </c>
      <c r="J53" s="2" t="inlineStr">
        <is>
          <t>🟡 Tier 2: Thermal / Heat Transfer / Energy</t>
        </is>
      </c>
      <c r="K53" s="2" t="n">
        <v>5</v>
      </c>
      <c r="L53" s="2" t="inlineStr">
        <is>
          <t>fluid mechanics, fluids, heat transfer, materials, thermal</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is>
          <t>Outstanding Mechanical Engineers Distinguished Engineering Alumni Honorary Doctorates Staff Awards Student Awards Distinguished...</t>
        </is>
      </c>
      <c r="AE53" s="2" t="inlineStr">
        <is>
          <t>Purdue students are welcome to contact Professor Marconnet regarding independent study research opportunities and are also encouraged to apply for the SURF program. Qualified undergraduates from other institutions are encouraged to apply for the SURF program. | We are always looking for highly qualified, talented, and self-motivated graduate students with interests in heat transfer, thermal sciences, nanotechnology, energy conversion, and/or materials. However, Professor Marconnet generally does not reply to unsolicited emails from applicants unless they have already applied to Purdue's Mechanical Engineering program.</t>
        </is>
      </c>
      <c r="AF53" s="2" t="inlineStr"/>
      <c r="AG53" s="2" t="inlineStr"/>
      <c r="AH53" s="2" t="inlineStr">
        <is>
          <t>Transport Phenomena in Multi-Scale, Heterogeneous Materials &amp; Systems Fundamentals of Nanoscale Thermal Transport Heat Transfer in Natural and Synthetic Fiber Systems Thermofluids Interactions Multi-Physics Metrology Design Electronics Cooling and Thermal Management</t>
        </is>
      </c>
      <c r="AI53" s="2" t="inlineStr">
        <is>
          <t>Fluid Mechanics Heat &amp; Mass Transfer</t>
        </is>
      </c>
      <c r="AJ53" s="2" t="inlineStr">
        <is>
          <t>Fluid Mechanics Heat &amp; Mass Transfer</t>
        </is>
      </c>
      <c r="AK53" s="2" t="inlineStr">
        <is>
          <t>Ph.D. Stanford University, '12 M.S. Stanford University, '09 B.S. University of Wisconsin - Madison, '07</t>
        </is>
      </c>
      <c r="AL53" s="2" t="inlineStr">
        <is>
          <t>Personal Homepage</t>
        </is>
      </c>
      <c r="AM53" s="3">
        <f>HYPERLINK("http://engineering.purdue.edu/MTEC", "http://engineering.purdue.edu/MTEC")</f>
        <v/>
      </c>
      <c r="AN53" s="2" t="inlineStr">
        <is>
          <t>Purdue students are welcome to contact Professor Marconnet regarding independent study research opportunities and are also encouraged to apply for the SURF program. Qualified undergraduates from other institutions are encouraged to apply for the SURF program. | We are always looking for highly qualified, talented, and self-motivated graduate students with interests in heat transfer, thermal sciences, nanotechnology, energy conversion, and/or materials. However, Professor Marconnet generally does not reply to unsolicited emails from applicants unless they have already applied to Purdue's Mechanical Engineering program.</t>
        </is>
      </c>
      <c r="AO53" s="2" t="inlineStr"/>
      <c r="AP53" s="2" t="inlineStr"/>
      <c r="AQ53" s="2" t="inlineStr">
        <is>
          <t>DOE</t>
        </is>
      </c>
      <c r="AR53" s="2" t="inlineStr"/>
      <c r="AS53" s="2" t="inlineStr"/>
      <c r="AT53" s="2" t="inlineStr"/>
      <c r="AU53" s="2" t="b">
        <v>1</v>
      </c>
      <c r="AV53" s="3">
        <f>HYPERLINK("https://engineering.purdue.edu/ME/People/ptFaculty", "https://engineering.purdue.edu/ME/People/ptFaculty")</f>
        <v/>
      </c>
    </row>
    <row r="54">
      <c r="A54" s="2" t="inlineStr">
        <is>
          <t>Thomas Beechem</t>
        </is>
      </c>
      <c r="B54" s="2" t="inlineStr">
        <is>
          <t>Purdue University</t>
        </is>
      </c>
      <c r="C54" s="3">
        <f>HYPERLINK("https://engineering.purdue.edu/ME/People/ptProfile?resource_id=256658", "https://engineering.purdue.edu/ME/People/ptProfile?resource_id=256658")</f>
        <v/>
      </c>
      <c r="D54" s="3">
        <f>HYPERLINK("https://scholar.google.com/citations?user=OEAnMz0AAAAJ&amp;hl=en", "Scholar (OEAnMz0AAAAJ)")</f>
        <v/>
      </c>
      <c r="E54" s="2" t="inlineStr">
        <is>
          <t>Professor Of Mechanical Engineering</t>
        </is>
      </c>
      <c r="F54" s="2" t="inlineStr">
        <is>
          <t>Mechanical Engineering</t>
        </is>
      </c>
      <c r="G54" s="2" t="inlineStr">
        <is>
          <t>OEAnMz0AAAAJ</t>
        </is>
      </c>
      <c r="H54" s="3">
        <f>HYPERLINK("mailto:tbeechem@purdue.edu", "tbeechem@purdue.edu")</f>
        <v/>
      </c>
      <c r="I54" s="2" t="n">
        <v>2</v>
      </c>
      <c r="J54" s="2" t="inlineStr">
        <is>
          <t>🟡 Tier 2: Thermal / Heat Transfer / Energy</t>
        </is>
      </c>
      <c r="K54" s="2" t="n">
        <v>4</v>
      </c>
      <c r="L54" s="2" t="inlineStr">
        <is>
          <t>materials, solid mechanics, thermal, thermodynamics</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is>
          <t>Outstanding Mechanical Engineers Distinguished Engineering Alumni Honorary Doctorates Staff Awards Student Awards Distinguished...</t>
        </is>
      </c>
      <c r="AE54" s="2" t="inlineStr">
        <is>
          <t>Purdue University School of Mechanical Engineering School of Materials Engineering (Courtesy) Email: tbeechem at purdue.edu Phone: 765.494.0492</t>
        </is>
      </c>
      <c r="AF54" s="2" t="inlineStr"/>
      <c r="AG54" s="2" t="inlineStr"/>
      <c r="AH54" s="2" t="inlineStr">
        <is>
          <t>Thermal Physics ... Heat Moving Energy Spectroscopy ... "Seeing" energy with light Nanophotonics ... Pushing light to see more 2D Materials ... Creating functionality by losing dimension</t>
        </is>
      </c>
      <c r="AI54" s="2" t="inlineStr">
        <is>
          <t>Thermodynamics Heat &amp; Mass Transfer Solid Mechanics</t>
        </is>
      </c>
      <c r="AJ54" s="2" t="inlineStr">
        <is>
          <t>Thermodynamics Heat &amp; Mass Transfer Solid Mechanics</t>
        </is>
      </c>
      <c r="AK54" s="2" t="inlineStr">
        <is>
          <t>Ph.D. Georgia Institute of Technology, 2008 M.S. University of Dayton, 2005 B.S. University of  Dayton, 2003</t>
        </is>
      </c>
      <c r="AL54" s="2" t="inlineStr">
        <is>
          <t>Specere Laboratory</t>
        </is>
      </c>
      <c r="AM54" s="3">
        <f>HYPERLINK("https://www.specere.org/", "https://www.specere.org/")</f>
        <v/>
      </c>
      <c r="AN54" s="2" t="inlineStr">
        <is>
          <t>Seeking motivated problem solvers capable of devoting 10-20 hours to research projects during the semester. | Join us for a summer via Purdue’s SURF (Summer Undergraduate Research Fellowship) Program .</t>
        </is>
      </c>
      <c r="AO54" s="2" t="inlineStr"/>
      <c r="AP54" s="2" t="inlineStr"/>
      <c r="AQ54" s="2" t="inlineStr"/>
      <c r="AR54" s="2" t="inlineStr"/>
      <c r="AS54" s="2" t="inlineStr"/>
      <c r="AT54" s="2" t="inlineStr"/>
      <c r="AU54" s="2" t="b">
        <v>1</v>
      </c>
      <c r="AV54" s="3">
        <f>HYPERLINK("https://engineering.purdue.edu/ME/People/ptFaculty", "https://engineering.purdue.edu/ME/People/ptFaculty")</f>
        <v/>
      </c>
    </row>
    <row r="55">
      <c r="A55" s="2" t="inlineStr">
        <is>
          <t>Ahmed Hassanein</t>
        </is>
      </c>
      <c r="B55" s="2" t="inlineStr">
        <is>
          <t>Purdue University</t>
        </is>
      </c>
      <c r="C55" s="3">
        <f>HYPERLINK("https://engineering.purdue.edu/NE/people/ptProfile?resource_id=34242", "https://engineering.purdue.edu/NE/people/ptProfile?resource_id=34242")</f>
        <v/>
      </c>
      <c r="D55" s="3">
        <f>HYPERLINK("https://scholar.google.com/citations?view_op=search_authors&amp;mauthors=Ahmed%20Hassanein%20Purdue%20University", "Google Scholar Search")</f>
        <v/>
      </c>
      <c r="E55" s="2" t="inlineStr">
        <is>
          <t>Paul L. Wattelet Distinguished Professor of Nuclear Engineering; Professor of Mechanical Engineering (by Courtesy)</t>
        </is>
      </c>
      <c r="F55" s="2" t="inlineStr">
        <is>
          <t>Mechanical Engineering</t>
        </is>
      </c>
      <c r="G55" s="2" t="inlineStr"/>
      <c r="H55" s="3">
        <f>HYPERLINK("mailto:hassanein@purdue.edu", "hassanein@purdue.edu")</f>
        <v/>
      </c>
      <c r="I55" s="2" t="n">
        <v>2</v>
      </c>
      <c r="J55" s="2" t="inlineStr">
        <is>
          <t>🟡 Tier 2: Thermal / Heat Transfer / Energy</t>
        </is>
      </c>
      <c r="K55" s="2" t="n">
        <v>3</v>
      </c>
      <c r="L55" s="2" t="inlineStr">
        <is>
          <t>hydrodynamics, materials, radiation</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is>
          <t>Plasma Material Interactions Magnetic and Inertial Fusion Research Computational Physics and Hydrodynamics Extreme Ultraviolet Lithography Laser and discharge produced plasma Radiation and Particle Transport in Materials Biomedical Engineering Applications</t>
        </is>
      </c>
      <c r="AI55" s="2" t="inlineStr"/>
      <c r="AJ55" s="2" t="inlineStr">
        <is>
          <t>Plasma Material Interactions Magnetic and Inertial Fusion Research Computational Physics and Hydrodynamics Extreme Ultraviolet Lithography Laser and discharge produced plasma Radiation and Particle Transport in Materials Biomedical Engineering Applications</t>
        </is>
      </c>
      <c r="AK55" s="2" t="inlineStr"/>
      <c r="AL55" s="2" t="inlineStr">
        <is>
          <t>Indiana Space Grant Consortium</t>
        </is>
      </c>
      <c r="AM55" s="3">
        <f>HYPERLINK("https://insgc.spacegrant.org/", "https://insgc.spacegrant.org/")</f>
        <v/>
      </c>
      <c r="AN55" s="2" t="inlineStr">
        <is>
          <t>Academic INSGC Internships</t>
        </is>
      </c>
      <c r="AO55" s="2" t="inlineStr"/>
      <c r="AP55" s="2" t="inlineStr"/>
      <c r="AQ55" s="2" t="inlineStr">
        <is>
          <t>NASA</t>
        </is>
      </c>
      <c r="AR55" s="2" t="inlineStr"/>
      <c r="AS55" s="2" t="inlineStr"/>
      <c r="AT55" s="2" t="inlineStr">
        <is>
          <t>POTR 376C</t>
        </is>
      </c>
      <c r="AU55" s="2" t="b">
        <v>1</v>
      </c>
      <c r="AV55" s="3">
        <f>HYPERLINK("https://engineering.purdue.edu/ME/People/ptFaculty", "https://engineering.purdue.edu/ME/People/ptFaculty")</f>
        <v/>
      </c>
    </row>
    <row r="56">
      <c r="A56" s="2" t="inlineStr">
        <is>
          <t>David Warsinger</t>
        </is>
      </c>
      <c r="B56" s="2" t="inlineStr">
        <is>
          <t>Purdue University</t>
        </is>
      </c>
      <c r="C56" s="3">
        <f>HYPERLINK("https://engineering.purdue.edu/ME/People/ptProfile?resource_id=183058", "https://engineering.purdue.edu/ME/People/ptProfile?resource_id=183058")</f>
        <v/>
      </c>
      <c r="D56" s="3">
        <f>HYPERLINK("https://scholar.google.com/citations?view_op=search_authors&amp;mauthors=David%20Warsinger%20Purdue%20University", "Google Scholar Search")</f>
        <v/>
      </c>
      <c r="E56" s="2" t="inlineStr">
        <is>
          <t>Associate Professor of Mechanical Engineering</t>
        </is>
      </c>
      <c r="F56" s="2" t="inlineStr">
        <is>
          <t>Mechanical Engineering</t>
        </is>
      </c>
      <c r="G56" s="2" t="inlineStr"/>
      <c r="H56" s="3">
        <f>HYPERLINK("mailto:dwarsing@purdue.edu", "dwarsing@purdue.edu")</f>
        <v/>
      </c>
      <c r="I56" s="2" t="n">
        <v>2</v>
      </c>
      <c r="J56" s="2" t="inlineStr">
        <is>
          <t>🟡 Tier 2: Thermal / Heat Transfer / Energy</t>
        </is>
      </c>
      <c r="K56" s="2" t="n">
        <v>3</v>
      </c>
      <c r="L56" s="2" t="inlineStr">
        <is>
          <t>fluid mechanics, fluids, thermodynamics</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is>
          <t>Outstanding Mechanical Engineers Distinguished Engineering Alumni Honorary Doctorates Staff Awards Student Awards Distinguished...</t>
        </is>
      </c>
      <c r="AE56" s="2" t="inlineStr"/>
      <c r="AF56" s="2" t="inlineStr"/>
      <c r="AG56" s="2" t="inlineStr"/>
      <c r="AH56" s="2" t="inlineStr">
        <is>
          <t>Desalination &amp; Water Treatment Water-Food-Energy Nexus Thermofluids Nanotechnology Membrane Science</t>
        </is>
      </c>
      <c r="AI56" s="2" t="inlineStr">
        <is>
          <t>Thermodynamics Fluid Mechanics Heat &amp; Mass Transfer</t>
        </is>
      </c>
      <c r="AJ56" s="2" t="inlineStr">
        <is>
          <t>Thermodynamics Fluid Mechanics Heat &amp; Mass Transfer</t>
        </is>
      </c>
      <c r="AK56" s="2" t="inlineStr">
        <is>
          <t>Ph.D., Massachusetts Institute of Technology M.Eng., Cornell University B.S., Cornell University</t>
        </is>
      </c>
      <c r="AL56" s="2" t="inlineStr">
        <is>
          <t>Research Website</t>
        </is>
      </c>
      <c r="AM56" s="3">
        <f>HYPERLINK("http://www.warsinger.com", "http://www.warsinger.com")</f>
        <v/>
      </c>
      <c r="AN56" s="2" t="inlineStr">
        <is>
          <t>PostDoc and PhD Positions available on vapor selective membranes and reverse osmosis technologies. | Type of Undergraduate work: A wide variety of experience is possible, including apparatus building and testing, machining, running experiments, controls work, technical writing, patents, academic diagrams, data analysis, and mathematical modelling. New positions include all areas mentioned on the research page.</t>
        </is>
      </c>
      <c r="AO56" s="2" t="inlineStr"/>
      <c r="AP56" s="2" t="inlineStr">
        <is>
          <t>Gas Turbine, SEM</t>
        </is>
      </c>
      <c r="AQ56" s="2" t="inlineStr">
        <is>
          <t>DOE, NSF</t>
        </is>
      </c>
      <c r="AR56" s="3">
        <f>HYPERLINK("https://github.com/arao53/awh-limits/blob/main/lego_maps/warsinger_lego_maps.ipynb", "https://github.com/arao53/awh-limits/blob/main/lego_maps/warsinger_lego_maps.ipynb")</f>
        <v/>
      </c>
      <c r="AS56" s="2" t="inlineStr"/>
      <c r="AT56" s="2" t="inlineStr"/>
      <c r="AU56" s="2" t="b">
        <v>1</v>
      </c>
      <c r="AV56" s="3">
        <f>HYPERLINK("https://engineering.purdue.edu/ME/People/ptFaculty", "https://engineering.purdue.edu/ME/People/ptFaculty")</f>
        <v/>
      </c>
    </row>
    <row r="57">
      <c r="A57" s="2" t="inlineStr">
        <is>
          <t>Jingang Li</t>
        </is>
      </c>
      <c r="B57" s="2" t="inlineStr">
        <is>
          <t>Purdue University</t>
        </is>
      </c>
      <c r="C57" s="3">
        <f>HYPERLINK("https://engineering.purdue.edu/ME/People/ptProfile?resource_id=318598", "https://engineering.purdue.edu/ME/People/ptProfile?resource_id=318598")</f>
        <v/>
      </c>
      <c r="D57" s="3">
        <f>HYPERLINK("https://scholar.google.com/citations?user=SxOdEgEAAAAJ&amp;hl=en&amp;oi=ao", "Scholar (SxOdEgEAAAAJ)")</f>
        <v/>
      </c>
      <c r="E57" s="2" t="inlineStr">
        <is>
          <t>Assistant Professor of Mechanical Engineering and Materials Engineering</t>
        </is>
      </c>
      <c r="F57" s="2" t="inlineStr">
        <is>
          <t>Mechanical Engineering</t>
        </is>
      </c>
      <c r="G57" s="2" t="inlineStr">
        <is>
          <t>SxOdEgEAAAAJ</t>
        </is>
      </c>
      <c r="H57" s="3">
        <f>HYPERLINK("mailto:jingang@purdue.edu", "jingang@purdue.edu")</f>
        <v/>
      </c>
      <c r="I57" s="2" t="n">
        <v>2</v>
      </c>
      <c r="J57" s="2" t="inlineStr">
        <is>
          <t>🟡 Tier 2: Thermal / Heat Transfer / Energy</t>
        </is>
      </c>
      <c r="K57" s="2" t="n">
        <v>3</v>
      </c>
      <c r="L57" s="2" t="inlineStr">
        <is>
          <t>materials, thermal, thermodynamics</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is>
          <t>Outstanding Mechanical Engineers Distinguished Engineering Alumni Honorary Doctorates Staff Awards Student Awards Distinguished...</t>
        </is>
      </c>
      <c r="AE57" s="2" t="inlineStr"/>
      <c r="AF57" s="2" t="inlineStr"/>
      <c r="AG57" s="2" t="inlineStr"/>
      <c r="AH57" s="2" t="inlineStr">
        <is>
          <t>Optical tweezers and optical manipulation Nanophotonics Photothermal conversion and applications Optical and optoelectronic materials Nanoscale energy transfer Laser processing and diagnosis</t>
        </is>
      </c>
      <c r="AI57" s="2" t="inlineStr">
        <is>
          <t>Thermodynamics Heat &amp; Mass Transfer</t>
        </is>
      </c>
      <c r="AJ57" s="2" t="inlineStr">
        <is>
          <t>Thermodynamics Heat &amp; Mass Transfer</t>
        </is>
      </c>
      <c r="AK57" s="2" t="inlineStr">
        <is>
          <t>Postdoctoral Fellow, University of California, Berkeley, 2025 Ph.D., The University of Texas at Austin, 2021 B.S., University of Science and Technology of China, 2017</t>
        </is>
      </c>
      <c r="AL57" s="2" t="inlineStr">
        <is>
          <t>Lab Website</t>
        </is>
      </c>
      <c r="AM57" s="3">
        <f>HYPERLINK("https://www.jingangli.org", "https://www.jingangli.org")</f>
        <v/>
      </c>
      <c r="AN57" s="2" t="inlineStr">
        <is>
          <t>More Home Members Research Publications Open Positions News Contact</t>
        </is>
      </c>
      <c r="AO57" s="2" t="inlineStr"/>
      <c r="AP57" s="2" t="inlineStr"/>
      <c r="AQ57" s="2" t="inlineStr"/>
      <c r="AR57" s="2" t="inlineStr"/>
      <c r="AS57" s="2" t="inlineStr"/>
      <c r="AT57" s="2" t="inlineStr"/>
      <c r="AU57" s="2" t="b">
        <v>1</v>
      </c>
      <c r="AV57" s="3">
        <f>HYPERLINK("https://engineering.purdue.edu/ME/People/ptFaculty", "https://engineering.purdue.edu/ME/People/ptFaculty")</f>
        <v/>
      </c>
    </row>
    <row r="58">
      <c r="A58" s="2" t="inlineStr">
        <is>
          <t>Neera Jain</t>
        </is>
      </c>
      <c r="B58" s="2" t="inlineStr">
        <is>
          <t>Purdue University</t>
        </is>
      </c>
      <c r="C58" s="3">
        <f>HYPERLINK("https://engineering.purdue.edu/ME/People/ptProfile?resource_id=119137", "https://engineering.purdue.edu/ME/People/ptProfile?resource_id=119137")</f>
        <v/>
      </c>
      <c r="D58" s="3">
        <f>HYPERLINK("https://scholar.google.com/citations?view_op=search_authors&amp;mauthors=Neera%20Jain%20Purdue%20University", "Google Scholar Search")</f>
        <v/>
      </c>
      <c r="E58" s="2" t="inlineStr">
        <is>
          <t>Associate Professor of Mechanical Engineering</t>
        </is>
      </c>
      <c r="F58" s="2" t="inlineStr">
        <is>
          <t>Aeronautics and Astronautics</t>
        </is>
      </c>
      <c r="G58" s="2" t="inlineStr"/>
      <c r="H58" s="3">
        <f>HYPERLINK("mailto:neerajain@purdue.edu", "neerajain@purdue.edu")</f>
        <v/>
      </c>
      <c r="I58" s="2" t="n">
        <v>2</v>
      </c>
      <c r="J58" s="2" t="inlineStr">
        <is>
          <t>🟡 Tier 2: Thermal / Heat Transfer / Energy</t>
        </is>
      </c>
      <c r="K58" s="2" t="n">
        <v>3</v>
      </c>
      <c r="L58" s="2" t="inlineStr">
        <is>
          <t>control theory, thermal, thermodynamics</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is>
          <t>Outstanding Mechanical Engineers Distinguished Engineering Alumni Honorary Doctorates Staff Awards Student Awards Distinguished...</t>
        </is>
      </c>
      <c r="AE58" s="2" t="inlineStr"/>
      <c r="AF58" s="2" t="inlineStr"/>
      <c r="AG58" s="2" t="inlineStr"/>
      <c r="AH58" s="2" t="inlineStr">
        <is>
          <t>Physics-based and data-driven modeling of dynamical systems Control theory, analysis, and design Control co-design Applications: human-machine teaming, multi-phase thermal-fluid systems, manufacturing processes, vehicle electrification</t>
        </is>
      </c>
      <c r="AI58" s="2" t="inlineStr">
        <is>
          <t>Thermodynamics Systems, Measurements &amp; Controls</t>
        </is>
      </c>
      <c r="AJ58" s="2" t="inlineStr">
        <is>
          <t>Thermodynamics Systems, Measurements &amp; Controls</t>
        </is>
      </c>
      <c r="AK58" s="2" t="inlineStr">
        <is>
          <t>S.B. Mechanical Engineering, Massachusetts Institute of Technology, '06 M.S. Mechanical Engineering, University of Illinois at Urbana-Champaign, '09 Ph.D. Mechanical Engineering, University of Illinois at Urbana-Champaign, '13</t>
        </is>
      </c>
      <c r="AL58" s="2" t="inlineStr">
        <is>
          <t>Jain Research Laboratory</t>
        </is>
      </c>
      <c r="AM58" s="3">
        <f>HYPERLINK("https://engineering.purdue.edu/JainResearchLab", "https://engineering.purdue.edu/JainResearchLab")</f>
        <v/>
      </c>
      <c r="AN58" s="2" t="inlineStr"/>
      <c r="AO58" s="2" t="inlineStr"/>
      <c r="AP58" s="2" t="inlineStr"/>
      <c r="AQ58" s="2" t="inlineStr"/>
      <c r="AR58" s="2" t="inlineStr"/>
      <c r="AS58" s="2" t="inlineStr"/>
      <c r="AT58" s="2" t="inlineStr"/>
      <c r="AU58" s="2" t="b">
        <v>1</v>
      </c>
      <c r="AV58" s="3">
        <f>HYPERLINK("https://engineering.purdue.edu/AAE/people/Faculty", "https://engineering.purdue.edu/AAE/people/Faculty")</f>
        <v/>
      </c>
    </row>
    <row r="59">
      <c r="A59" s="2" t="inlineStr">
        <is>
          <t>Davide Ziviani</t>
        </is>
      </c>
      <c r="B59" s="2" t="inlineStr">
        <is>
          <t>Purdue University</t>
        </is>
      </c>
      <c r="C59" s="3">
        <f>HYPERLINK("https://engineering.purdue.edu/ME/People/ptProfile?resource_id=164622", "https://engineering.purdue.edu/ME/People/ptProfile?resource_id=164622")</f>
        <v/>
      </c>
      <c r="D59" s="3">
        <f>HYPERLINK("https://scholar.google.com/citations?view_op=search_authors&amp;mauthors=Davide%20Ziviani%20Purdue%20University", "Google Scholar Search")</f>
        <v/>
      </c>
      <c r="E59" s="2" t="inlineStr">
        <is>
          <t>Associate Professor of Mechanical Engineering, Co-Director of the Center for High Performance Buildings</t>
        </is>
      </c>
      <c r="F59" s="2" t="inlineStr">
        <is>
          <t>Mechanical Engineering</t>
        </is>
      </c>
      <c r="G59" s="2" t="inlineStr"/>
      <c r="H59" s="3">
        <f>HYPERLINK("mailto:dziviani@purdue.edu", "dziviani@purdue.edu")</f>
        <v/>
      </c>
      <c r="I59" s="2" t="n">
        <v>2</v>
      </c>
      <c r="J59" s="2" t="inlineStr">
        <is>
          <t>🟡 Tier 2: Thermal / Heat Transfer / Energy</t>
        </is>
      </c>
      <c r="K59" s="2" t="n">
        <v>2</v>
      </c>
      <c r="L59" s="2" t="inlineStr">
        <is>
          <t>thermal, thermodynamics</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is>
          <t>Outstanding Mechanical Engineers Distinguished Engineering Alumni Honorary Doctorates Staff Awards Student Awards Distinguished...</t>
        </is>
      </c>
      <c r="AE59" s="2" t="inlineStr"/>
      <c r="AF59" s="2" t="inlineStr"/>
      <c r="AG59" s="2" t="inlineStr"/>
      <c r="AH59" s="2" t="inlineStr">
        <is>
          <t>Advanced Heat Pumps and Refrigeration Systems Deep Space Habitats and Systems Thermal Management Systems</t>
        </is>
      </c>
      <c r="AI59" s="2" t="inlineStr">
        <is>
          <t>Thermodynamics</t>
        </is>
      </c>
      <c r="AJ59" s="2" t="inlineStr">
        <is>
          <t>Thermodynamics</t>
        </is>
      </c>
      <c r="AK59" s="2" t="inlineStr">
        <is>
          <t>Ph.D. Ghent University (Belgium), '17 M.S. University of Ferrara (Italy), '11 B.S. University of Ferrara (Italy),'08</t>
        </is>
      </c>
      <c r="AL59" s="2" t="inlineStr">
        <is>
          <t>Ziviani Research Group overview</t>
        </is>
      </c>
      <c r="AM59" s="3">
        <f>HYPERLINK("https://engineering.purdue.edu/ME/Images/Ziviani-Research-Group-Overview.pdf", "https://engineering.purdue.edu/ME/Images/Ziviani-Research-Group-Overview.pdf")</f>
        <v/>
      </c>
      <c r="AN59" s="2" t="inlineStr"/>
      <c r="AO59" s="2" t="inlineStr"/>
      <c r="AP59" s="2" t="inlineStr"/>
      <c r="AQ59" s="2" t="inlineStr"/>
      <c r="AR59" s="2" t="inlineStr"/>
      <c r="AS59" s="2" t="inlineStr"/>
      <c r="AT59" s="2" t="inlineStr"/>
      <c r="AU59" s="2" t="b">
        <v>1</v>
      </c>
      <c r="AV59" s="3">
        <f>HYPERLINK("https://engineering.purdue.edu/ME/People/ptFaculty", "https://engineering.purdue.edu/ME/People/ptFaculty")</f>
        <v/>
      </c>
    </row>
    <row r="60">
      <c r="A60" s="2" t="inlineStr">
        <is>
          <t>Davin Piercey</t>
        </is>
      </c>
      <c r="B60" s="2" t="inlineStr">
        <is>
          <t>Purdue University</t>
        </is>
      </c>
      <c r="C60" s="3">
        <f>HYPERLINK("https://engineering.purdue.edu/ME/People/ptProfile?resource_id=184725", "https://engineering.purdue.edu/ME/People/ptProfile?resource_id=184725")</f>
        <v/>
      </c>
      <c r="D60" s="3">
        <f>HYPERLINK("https://scholar.google.com/citations?user=PJ1trVUAAAAJ&amp;hl=en", "Scholar (PJ1trVUAAAAJ)")</f>
        <v/>
      </c>
      <c r="E60" s="2" t="inlineStr">
        <is>
          <t>Associate Professor of Materials Engineering and Mechanical Engineering</t>
        </is>
      </c>
      <c r="F60" s="2" t="inlineStr">
        <is>
          <t>Mechanical Engineering</t>
        </is>
      </c>
      <c r="G60" s="2" t="inlineStr">
        <is>
          <t>PJ1trVUAAAAJ</t>
        </is>
      </c>
      <c r="H60" s="3">
        <f>HYPERLINK("mailto:dpiercey@purdue.edu", "dpiercey@purdue.edu")</f>
        <v/>
      </c>
      <c r="I60" s="2" t="n">
        <v>2</v>
      </c>
      <c r="J60" s="2" t="inlineStr">
        <is>
          <t>🟡 Tier 2: Thermal / Heat Transfer / Energy</t>
        </is>
      </c>
      <c r="K60" s="2" t="n">
        <v>2</v>
      </c>
      <c r="L60" s="2" t="inlineStr">
        <is>
          <t>materials, thermodynamics</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is>
          <t>Outstanding Mechanical Engineers Distinguished Engineering Alumni Honorary Doctorates Staff Awards Student Awards Distinguished...</t>
        </is>
      </c>
      <c r="AE60" s="2" t="inlineStr"/>
      <c r="AF60" s="2" t="inlineStr"/>
      <c r="AG60" s="2" t="inlineStr"/>
      <c r="AH60" s="2" t="inlineStr">
        <is>
          <t>Synthesis of energetic materials Chemistry of nitrogen-rich compounds Characterization of explosives, propellants, and pyrotechnics Electrochemical synthesis Thermochemistry of energetic material synthesis Reactive and agent defeat materials</t>
        </is>
      </c>
      <c r="AI60" s="2" t="inlineStr">
        <is>
          <t>Thermodynamics</t>
        </is>
      </c>
      <c r="AJ60" s="2" t="inlineStr">
        <is>
          <t>Thermodynamics</t>
        </is>
      </c>
      <c r="AK60" s="2" t="inlineStr"/>
      <c r="AL60" s="2" t="inlineStr">
        <is>
          <t>Piercey Research Group</t>
        </is>
      </c>
      <c r="AM60" s="3">
        <f>HYPERLINK("https://www.davinpiercey.com/", "https://www.davinpiercey.com/")</f>
        <v/>
      </c>
      <c r="AN60" s="2" t="inlineStr"/>
      <c r="AO60" s="2" t="inlineStr"/>
      <c r="AP60" s="2" t="inlineStr"/>
      <c r="AQ60" s="2" t="inlineStr"/>
      <c r="AR60" s="2" t="inlineStr"/>
      <c r="AS60" s="2" t="inlineStr"/>
      <c r="AT60" s="2" t="inlineStr">
        <is>
          <t>FLEX 3041D</t>
        </is>
      </c>
      <c r="AU60" s="2" t="b">
        <v>1</v>
      </c>
      <c r="AV60" s="3">
        <f>HYPERLINK("https://engineering.purdue.edu/ME/People/ptFaculty", "https://engineering.purdue.edu/ME/People/ptFaculty")</f>
        <v/>
      </c>
    </row>
    <row r="61">
      <c r="A61" s="2" t="inlineStr">
        <is>
          <t>Eckhard A. Groll</t>
        </is>
      </c>
      <c r="B61" s="2" t="inlineStr">
        <is>
          <t>Purdue University</t>
        </is>
      </c>
      <c r="C61" s="3">
        <f>HYPERLINK("https://engineering.purdue.edu/ME/People/ptProfile?resource_id=11748", "https://engineering.purdue.edu/ME/People/ptProfile?resource_id=11748")</f>
        <v/>
      </c>
      <c r="D61" s="3">
        <f>HYPERLINK("https://scholar.google.com/citations?view_op=search_authors&amp;mauthors=Eckhard%20A.%20Groll%20Purdue%20University", "Google Scholar Search")</f>
        <v/>
      </c>
      <c r="E61" s="2" t="inlineStr">
        <is>
          <t>William E. and Florence E. Perry Head of Mechanical Engineering, and Reilly Distinguished Professor of Mechanical Engineering</t>
        </is>
      </c>
      <c r="F61" s="2" t="inlineStr">
        <is>
          <t>Mechanical Engineering</t>
        </is>
      </c>
      <c r="G61" s="2" t="inlineStr"/>
      <c r="H61" s="3">
        <f>HYPERLINK("mailto:groll@purdue.edu", "groll@purdue.edu")</f>
        <v/>
      </c>
      <c r="I61" s="2" t="n">
        <v>2</v>
      </c>
      <c r="J61" s="2" t="inlineStr">
        <is>
          <t>🟡 Tier 2: Thermal / Heat Transfer / Energy</t>
        </is>
      </c>
      <c r="K61" s="2" t="n">
        <v>2</v>
      </c>
      <c r="L61" s="2" t="inlineStr">
        <is>
          <t>thermal, thermodynamics</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is>
          <t>Outstanding Mechanical Engineers Distinguished Engineering Alumni Honorary Doctorates Staff Awards Student Awards Distinguished...</t>
        </is>
      </c>
      <c r="AE61" s="2" t="inlineStr"/>
      <c r="AF61" s="2" t="inlineStr"/>
      <c r="AG61" s="2" t="inlineStr"/>
      <c r="AH61" s="2" t="inlineStr">
        <is>
          <t>Thermal sciences as applied to HVAC&amp;R systems and equipment</t>
        </is>
      </c>
      <c r="AI61" s="2" t="inlineStr">
        <is>
          <t>Thermodynamics</t>
        </is>
      </c>
      <c r="AJ61" s="2" t="inlineStr">
        <is>
          <t>Thermodynamics</t>
        </is>
      </c>
      <c r="AK61" s="2" t="inlineStr">
        <is>
          <t>02/94   "Doktor-Ingenieur" (Doctor of Engineering) in Mechanical Engineering, University of Hannover, Hannover, Germany 11/89   "Diplom-Ingenieur" (Diploma of Engineering) in Mechanical Engineering, Ruhr-University of Bochum, Bochum, Germany 10/86   "Diplom-Vorprüfung" (Pre-Diploma of Engineering) in Mechanical Engineering, Ruhr-University of Bochum, Bochum, Germany</t>
        </is>
      </c>
      <c r="AL61" s="2" t="inlineStr">
        <is>
          <t>Center for High Performance Buildings</t>
        </is>
      </c>
      <c r="AM61" s="3">
        <f>HYPERLINK("https://engineering.purdue.edu/CHPB", "https://engineering.purdue.edu/CHPB")</f>
        <v/>
      </c>
      <c r="AN61" s="2" t="inlineStr"/>
      <c r="AO61" s="2" t="inlineStr"/>
      <c r="AP61" s="2" t="inlineStr"/>
      <c r="AQ61" s="2" t="inlineStr"/>
      <c r="AR61" s="2" t="inlineStr"/>
      <c r="AS61" s="2" t="inlineStr"/>
      <c r="AT61" s="2" t="inlineStr">
        <is>
          <t>ME 2007A</t>
        </is>
      </c>
      <c r="AU61" s="2" t="b">
        <v>1</v>
      </c>
      <c r="AV61" s="3">
        <f>HYPERLINK("https://engineering.purdue.edu/ME/People/ptFaculty", "https://engineering.purdue.edu/ME/People/ptFaculty")</f>
        <v/>
      </c>
    </row>
    <row r="62">
      <c r="A62" s="2" t="inlineStr">
        <is>
          <t>Hosop Shin</t>
        </is>
      </c>
      <c r="B62" s="2" t="inlineStr">
        <is>
          <t>Purdue University</t>
        </is>
      </c>
      <c r="C62" s="3">
        <f>HYPERLINK("https://engineering.purdue.edu/ME/People/ptProfile?resource_id=292625", "https://engineering.purdue.edu/ME/People/ptProfile?resource_id=292625")</f>
        <v/>
      </c>
      <c r="D62" s="3">
        <f>HYPERLINK("https://scholar.google.com/citations?view_op=search_authors&amp;mauthors=Hosop%20Shin%20Purdue%20University", "Google Scholar Search")</f>
        <v/>
      </c>
      <c r="E62" s="2" t="inlineStr">
        <is>
          <t>Assistant Professor of Mechanical Engineering</t>
        </is>
      </c>
      <c r="F62" s="2" t="inlineStr">
        <is>
          <t>Mechanical Engineering</t>
        </is>
      </c>
      <c r="G62" s="2" t="inlineStr"/>
      <c r="H62" s="3">
        <f>HYPERLINK("mailto:shin282@purdue.edu", "shin282@purdue.edu")</f>
        <v/>
      </c>
      <c r="I62" s="2" t="n">
        <v>2</v>
      </c>
      <c r="J62" s="2" t="inlineStr">
        <is>
          <t>🟡 Tier 2: Thermal / Heat Transfer / Energy</t>
        </is>
      </c>
      <c r="K62" s="2" t="n">
        <v>2</v>
      </c>
      <c r="L62" s="2" t="inlineStr">
        <is>
          <t>materials, thermodynamics</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is>
          <t>Outstanding Mechanical Engineers Distinguished Engineering Alumni Honorary Doctorates Staff Awards Student Awards Distinguished...</t>
        </is>
      </c>
      <c r="AE62" s="2" t="inlineStr">
        <is>
          <t>Phone: +1 (765) 494-3975 Email: future-engineers@purdue.edu | Phone: +1 (765) 494-4873 Email: EngrGrad@purdue.edu</t>
        </is>
      </c>
      <c r="AF62" s="2" t="inlineStr"/>
      <c r="AG62" s="2" t="inlineStr"/>
      <c r="AH62" s="2" t="inlineStr">
        <is>
          <t>Electrochemistry, mechanics, interfacial chemistry, and kinetics in energy storage systems Advanced synthesis, processing, and characterization techniques for energy storage materials Atomistic-scale modeling of chemical and mechanical properties in energy storage materials Multi-scale and multi-physics based modeling of Li-ion batteries and fuel cells</t>
        </is>
      </c>
      <c r="AI62" s="2" t="inlineStr">
        <is>
          <t>Thermodynamics Systems, Measurements &amp; Controls</t>
        </is>
      </c>
      <c r="AJ62" s="2" t="inlineStr">
        <is>
          <t>Thermodynamics Systems, Measurements &amp; Controls</t>
        </is>
      </c>
      <c r="AK62" s="2" t="inlineStr">
        <is>
          <t>Ph.D. Mechanical Engineering, University of Michigan, 2015 M.S.E. Mechanical Engineering, University of Michigan, 2009 B.S. Automotive Engineering, Kookmin University, 2007</t>
        </is>
      </c>
      <c r="AL62" s="2" t="inlineStr">
        <is>
          <t>Green Energy Materials and Systems (GEMS) Laboratory</t>
        </is>
      </c>
      <c r="AM62" s="3">
        <f>HYPERLINK("https://engineering.purdue.edu/GEMSlab", "https://engineering.purdue.edu/GEMSlab")</f>
        <v/>
      </c>
      <c r="AN62"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62" s="2" t="inlineStr"/>
      <c r="AP62" s="2" t="inlineStr"/>
      <c r="AQ62" s="2" t="inlineStr">
        <is>
          <t>DOE</t>
        </is>
      </c>
      <c r="AR62" s="2" t="inlineStr"/>
      <c r="AS62" s="2" t="inlineStr"/>
      <c r="AT62" s="2" t="inlineStr"/>
      <c r="AU62" s="2" t="b">
        <v>1</v>
      </c>
      <c r="AV62" s="3">
        <f>HYPERLINK("https://engineering.purdue.edu/ME/People/ptFaculty", "https://engineering.purdue.edu/ME/People/ptFaculty")</f>
        <v/>
      </c>
    </row>
    <row r="63">
      <c r="A63" s="2" t="inlineStr">
        <is>
          <t>Issam Mudawar</t>
        </is>
      </c>
      <c r="B63" s="2" t="inlineStr">
        <is>
          <t>Purdue University</t>
        </is>
      </c>
      <c r="C63" s="3">
        <f>HYPERLINK("https://engineering.purdue.edu/ME/People/ptProfile?resource_id=29296", "https://engineering.purdue.edu/ME/People/ptProfile?resource_id=29296")</f>
        <v/>
      </c>
      <c r="D63" s="3">
        <f>HYPERLINK("https://scholar.google.com/citations?view_op=search_authors&amp;mauthors=Issam%20Mudawar%20Purdue%20University", "Google Scholar Search")</f>
        <v/>
      </c>
      <c r="E63" s="2" t="inlineStr">
        <is>
          <t>Betty Ruth &amp; Milton B. Hollander Family Professor of Mechanical Engineering</t>
        </is>
      </c>
      <c r="F63" s="2" t="inlineStr">
        <is>
          <t>Mechanical Engineering</t>
        </is>
      </c>
      <c r="G63" s="2" t="inlineStr"/>
      <c r="H63" s="3">
        <f>HYPERLINK("mailto:mudawar@purdue.edu", "mudawar@purdue.edu")</f>
        <v/>
      </c>
      <c r="I63" s="2" t="n">
        <v>2</v>
      </c>
      <c r="J63" s="2" t="inlineStr">
        <is>
          <t>🟡 Tier 2: Thermal / Heat Transfer / Energy</t>
        </is>
      </c>
      <c r="K63" s="2" t="n">
        <v>2</v>
      </c>
      <c r="L63" s="2" t="inlineStr">
        <is>
          <t>thermal, thermodynamics</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is>
          <t>Outstanding Mechanical Engineers Distinguished Engineering Alumni Honorary Doctorates Staff Awards Student Awards Distinguished...</t>
        </is>
      </c>
      <c r="AE63" s="2" t="inlineStr"/>
      <c r="AF63" s="2" t="inlineStr"/>
      <c r="AG63" s="2" t="inlineStr"/>
      <c r="AH63" s="2" t="inlineStr">
        <is>
          <t>Boiling Condensation Two-phase Flow High heat flux Thermal management systems Cryogenic systems Space vehicles Lunar and Martian environments Microgravity Experiments on International Space Station Electronic cooling</t>
        </is>
      </c>
      <c r="AI63" s="2" t="inlineStr">
        <is>
          <t>Thermodynamics Heat &amp; Mass Transfer</t>
        </is>
      </c>
      <c r="AJ63" s="2" t="inlineStr">
        <is>
          <t>Thermodynamics Heat &amp; Mass Transfer</t>
        </is>
      </c>
      <c r="AK63" s="2" t="inlineStr">
        <is>
          <t>M.S. MIT, '80 Ph.D. MIT, '84</t>
        </is>
      </c>
      <c r="AL63" s="2" t="inlineStr">
        <is>
          <t>Homepage</t>
        </is>
      </c>
      <c r="AM63" s="3">
        <f>HYPERLINK("https://engineering.purdue.edu/mudawar/", "https://engineering.purdue.edu/mudawar/")</f>
        <v/>
      </c>
      <c r="AN63" s="2" t="inlineStr"/>
      <c r="AO63" s="2" t="inlineStr"/>
      <c r="AP63" s="2" t="inlineStr"/>
      <c r="AQ63" s="2" t="inlineStr">
        <is>
          <t>NASA</t>
        </is>
      </c>
      <c r="AR63" s="2" t="inlineStr"/>
      <c r="AS63" s="2" t="inlineStr"/>
      <c r="AT63" s="2" t="inlineStr">
        <is>
          <t>ME 3170</t>
        </is>
      </c>
      <c r="AU63" s="2" t="b">
        <v>1</v>
      </c>
      <c r="AV63" s="3">
        <f>HYPERLINK("https://engineering.purdue.edu/ME/People/ptFaculty", "https://engineering.purdue.edu/ME/People/ptFaculty")</f>
        <v/>
      </c>
    </row>
    <row r="64">
      <c r="A64" s="2" t="inlineStr">
        <is>
          <t>Jie Cai</t>
        </is>
      </c>
      <c r="B64" s="2" t="inlineStr">
        <is>
          <t>Purdue University</t>
        </is>
      </c>
      <c r="C64" s="3">
        <f>HYPERLINK("https://engineering.purdue.edu/ME/People/ptProfile?resource_id=71762", "https://engineering.purdue.edu/ME/People/ptProfile?resource_id=71762")</f>
        <v/>
      </c>
      <c r="D64" s="3">
        <f>HYPERLINK("https://scholar.google.com/citations?view_op=search_authors&amp;mauthors=Jie%20Cai%20Purdue%20University", "Google Scholar Search")</f>
        <v/>
      </c>
      <c r="E64" s="2" t="inlineStr">
        <is>
          <t>Associate Professor of Mechanical Engineering</t>
        </is>
      </c>
      <c r="F64" s="2" t="inlineStr">
        <is>
          <t>Mechanical Engineering</t>
        </is>
      </c>
      <c r="G64" s="2" t="inlineStr"/>
      <c r="H64" s="3">
        <f>HYPERLINK("mailto:cai40@purdue.edu", "cai40@purdue.edu")</f>
        <v/>
      </c>
      <c r="I64" s="2" t="n">
        <v>2</v>
      </c>
      <c r="J64" s="2" t="inlineStr">
        <is>
          <t>🟡 Tier 2: Thermal / Heat Transfer / Energy</t>
        </is>
      </c>
      <c r="K64" s="2" t="n">
        <v>2</v>
      </c>
      <c r="L64" s="2" t="inlineStr">
        <is>
          <t>energy systems, thermal</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is>
          <t>Outstanding Mechanical Engineers Distinguished Engineering Alumni Honorary Doctorates Staff Awards Student Awards Distinguished...</t>
        </is>
      </c>
      <c r="AE64" s="2" t="inlineStr"/>
      <c r="AF64" s="2" t="inlineStr"/>
      <c r="AG64" s="2" t="inlineStr"/>
      <c r="AH64" s="2" t="inlineStr">
        <is>
          <t>Grid-Interactive Building Controls Modeling and Control of Thermal/Energy Systems HVAC and Smart Buildings Data-Driven Modeling Intelligent Control Systems</t>
        </is>
      </c>
      <c r="AI64" s="2" t="inlineStr"/>
      <c r="AJ64" s="2" t="inlineStr">
        <is>
          <t>Grid-Interactive Building Controls Modeling and Control of Thermal/Energy Systems HVAC and Smart Buildings Data-Driven Modeling Intelligent Control Systems</t>
        </is>
      </c>
      <c r="AK64" s="2" t="inlineStr"/>
      <c r="AL64" s="2" t="inlineStr">
        <is>
          <t>Cai Research Group</t>
        </is>
      </c>
      <c r="AM64" s="3">
        <f>HYPERLINK("https://www.purdue.edu/engineering/cairesearchgroup/", "https://www.purdue.edu/engineering/cairesearchgroup/")</f>
        <v/>
      </c>
      <c r="AN64" s="2" t="inlineStr">
        <is>
          <t>Looking for a list of our campus locations and online options?</t>
        </is>
      </c>
      <c r="AO64" s="2" t="inlineStr"/>
      <c r="AP64" s="2" t="inlineStr"/>
      <c r="AQ64" s="2" t="inlineStr"/>
      <c r="AR64" s="2" t="inlineStr"/>
      <c r="AS64" s="2" t="inlineStr"/>
      <c r="AT64" s="2" t="inlineStr"/>
      <c r="AU64" s="2" t="b">
        <v>1</v>
      </c>
      <c r="AV64" s="3">
        <f>HYPERLINK("https://engineering.purdue.edu/ME/People/ptFaculty", "https://engineering.purdue.edu/ME/People/ptFaculty")</f>
        <v/>
      </c>
    </row>
    <row r="65">
      <c r="A65" s="2" t="inlineStr">
        <is>
          <t>Li Zhan</t>
        </is>
      </c>
      <c r="B65" s="2" t="inlineStr">
        <is>
          <t>Purdue University</t>
        </is>
      </c>
      <c r="C65" s="3">
        <f>HYPERLINK("https://engineering.purdue.edu/ME/People/ptProfile?resource_id=307226", "https://engineering.purdue.edu/ME/People/ptProfile?resource_id=307226")</f>
        <v/>
      </c>
      <c r="D65" s="3">
        <f>HYPERLINK("https://scholar.google.com/citations?hl=en&amp;tzom=240&amp;user=KojhX0gAAAAJ&amp;view_op=list_works&amp;sortby=pubdate&amp;inst=5549692440350501774", "Scholar (KojhX0gAAAAJ)")</f>
        <v/>
      </c>
      <c r="E65" s="2" t="inlineStr">
        <is>
          <t>Assistant Professor of Mechanical Engineering and Biomedical Engineering</t>
        </is>
      </c>
      <c r="F65" s="2" t="inlineStr">
        <is>
          <t>Mechanical Engineering</t>
        </is>
      </c>
      <c r="G65" s="2" t="inlineStr">
        <is>
          <t>KojhX0gAAAAJ</t>
        </is>
      </c>
      <c r="H65" s="3">
        <f>HYPERLINK("mailto:lizhan@purdue.edu", "lizhan@purdue.edu")</f>
        <v/>
      </c>
      <c r="I65" s="2" t="n">
        <v>2</v>
      </c>
      <c r="J65" s="2" t="inlineStr">
        <is>
          <t>🟡 Tier 2: Thermal / Heat Transfer / Energy</t>
        </is>
      </c>
      <c r="K65" s="2" t="n">
        <v>2</v>
      </c>
      <c r="L65" s="2" t="inlineStr">
        <is>
          <t>microfluidics, thermodynamics</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is>
          <t>Outstanding Mechanical Engineers Distinguished Engineering Alumni Honorary Doctorates Staff Awards Student Awards Distinguished...</t>
        </is>
      </c>
      <c r="AE65" s="2" t="inlineStr"/>
      <c r="AF65" s="2" t="inlineStr"/>
      <c r="AG65" s="2" t="inlineStr"/>
      <c r="AH65" s="2" t="inlineStr">
        <is>
          <t>Biomanufacturing and biopreservation Microfluidics Biotransport Micro/nano biomedical devices Diagnostics</t>
        </is>
      </c>
      <c r="AI65" s="2" t="inlineStr">
        <is>
          <t>Thermodynamics Heat &amp; Mass Transfer</t>
        </is>
      </c>
      <c r="AJ65" s="2" t="inlineStr">
        <is>
          <t>Thermodynamics Heat &amp; Mass Transfer</t>
        </is>
      </c>
      <c r="AK65" s="2" t="inlineStr">
        <is>
          <t>Postdoctoral Fellow, Massachusetts General Hospital and Harvard Medical School, 2024 Ph.D., University of Minnesota, 2020 B.Eng., Xi’an Jiaotong University, 2014</t>
        </is>
      </c>
      <c r="AL65" s="2" t="inlineStr">
        <is>
          <t>Zhan Research Group</t>
        </is>
      </c>
      <c r="AM65" s="3">
        <f>HYPERLINK("https://www.zhanlab.org/", "https://www.zhanlab.org/")</f>
        <v/>
      </c>
      <c r="AN65" s="2" t="inlineStr"/>
      <c r="AO65" s="2" t="inlineStr"/>
      <c r="AP65" s="2" t="inlineStr"/>
      <c r="AQ65" s="2" t="inlineStr"/>
      <c r="AR65" s="2" t="inlineStr"/>
      <c r="AS65" s="2" t="inlineStr"/>
      <c r="AT65" s="2" t="inlineStr">
        <is>
          <t>ME G091</t>
        </is>
      </c>
      <c r="AU65" s="2" t="b">
        <v>1</v>
      </c>
      <c r="AV65" s="3">
        <f>HYPERLINK("https://engineering.purdue.edu/ME/People/ptFaculty", "https://engineering.purdue.edu/ME/People/ptFaculty")</f>
        <v/>
      </c>
    </row>
    <row r="66">
      <c r="A66" s="2" t="inlineStr">
        <is>
          <t>Partha P. Mukherjee</t>
        </is>
      </c>
      <c r="B66" s="2" t="inlineStr">
        <is>
          <t>Purdue University</t>
        </is>
      </c>
      <c r="C66" s="3">
        <f>HYPERLINK("https://engineering.purdue.edu/ME/People/ptProfile?resource_id=173050", "https://engineering.purdue.edu/ME/People/ptProfile?resource_id=173050")</f>
        <v/>
      </c>
      <c r="D66" s="3">
        <f>HYPERLINK("https://scholar.google.com/citations?view_op=search_authors&amp;mauthors=Partha%20P.%20Mukherjee%20Purdue%20University", "Google Scholar Search")</f>
        <v/>
      </c>
      <c r="E66" s="2" t="inlineStr">
        <is>
          <t>Professor of Mechanical Engineering, and Associate Head for Research</t>
        </is>
      </c>
      <c r="F66" s="2" t="inlineStr">
        <is>
          <t>Mechanical Engineering</t>
        </is>
      </c>
      <c r="G66" s="2" t="inlineStr"/>
      <c r="H66" s="3">
        <f>HYPERLINK("mailto:pmukherjee@purdue.edu", "pmukherjee@purdue.edu")</f>
        <v/>
      </c>
      <c r="I66" s="2" t="n">
        <v>2</v>
      </c>
      <c r="J66" s="2" t="inlineStr">
        <is>
          <t>🟡 Tier 2: Thermal / Heat Transfer / Energy</t>
        </is>
      </c>
      <c r="K66" s="2" t="n">
        <v>2</v>
      </c>
      <c r="L66" s="2" t="inlineStr">
        <is>
          <t>materials, thermodynamics</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is>
          <t>Outstanding Mechanical Engineers Distinguished Engineering Alumni Honorary Doctorates Staff Awards Student Awards Distinguished...</t>
        </is>
      </c>
      <c r="AE66" s="2" t="inlineStr">
        <is>
          <t>Our experimental lab is situated at FLEX Labs 2nd Floor. The best way to contact Dr. Mukherjee is via email. | The best way to contact Dr. Mukherjee is via email.</t>
        </is>
      </c>
      <c r="AF66" s="2" t="inlineStr"/>
      <c r="AG66" s="2" t="inlineStr"/>
      <c r="AH66" s="2" t="inlineStr">
        <is>
          <t>Energy storage and conversion (batteries, fuel cells) Mesoscale physics and stochastics Reactive transport, materials, processing, and microstructure interactions</t>
        </is>
      </c>
      <c r="AI66" s="2" t="inlineStr">
        <is>
          <t>Thermodynamics Heat &amp; Mass Transfer</t>
        </is>
      </c>
      <c r="AJ66" s="2" t="inlineStr">
        <is>
          <t>Thermodynamics Heat &amp; Mass Transfer</t>
        </is>
      </c>
      <c r="AK66" s="2" t="inlineStr">
        <is>
          <t>Ph.D., Pennsylvania State University, University Park, USA, ‘07 M.S., Indian Institute of Technology, Kanpur, India, ‘99 B.S., North Bengal University, West Bengal, India, ‘97</t>
        </is>
      </c>
      <c r="AL66" s="2" t="inlineStr">
        <is>
          <t>Energy and Transport Sciences Laboratory (ETSL)</t>
        </is>
      </c>
      <c r="AM66" s="3">
        <f>HYPERLINK("https://engineering.purdue.edu/ETSL/", "https://engineering.purdue.edu/ETSL/")</f>
        <v/>
      </c>
      <c r="AN66" s="2" t="inlineStr"/>
      <c r="AO66" s="2" t="inlineStr"/>
      <c r="AP66" s="2" t="inlineStr"/>
      <c r="AQ66" s="2" t="inlineStr"/>
      <c r="AR66" s="2" t="inlineStr"/>
      <c r="AS66" s="2" t="inlineStr"/>
      <c r="AT66" s="2" t="inlineStr">
        <is>
          <t>FLEX 2101A</t>
        </is>
      </c>
      <c r="AU66" s="2" t="b">
        <v>1</v>
      </c>
      <c r="AV66" s="3">
        <f>HYPERLINK("https://engineering.purdue.edu/ME/People/ptFaculty", "https://engineering.purdue.edu/ME/People/ptFaculty")</f>
        <v/>
      </c>
    </row>
    <row r="67">
      <c r="A67" s="2" t="inlineStr">
        <is>
          <t>Rebecca Ciez</t>
        </is>
      </c>
      <c r="B67" s="2" t="inlineStr">
        <is>
          <t>Purdue University</t>
        </is>
      </c>
      <c r="C67" s="3">
        <f>HYPERLINK("https://engineering.purdue.edu/ME/People/ptProfile?resource_id=241060", "https://engineering.purdue.edu/ME/People/ptProfile?resource_id=241060")</f>
        <v/>
      </c>
      <c r="D67" s="3">
        <f>HYPERLINK("https://scholar.google.com/citations?user=OEzRkQMAAAAJ&amp;hl=en", "Scholar (OEzRkQMAAAAJ)")</f>
        <v/>
      </c>
      <c r="E67" s="2" t="inlineStr">
        <is>
          <t>Assistant Professor of Mechanical Engineering, and Sustainability Engineering &amp; Environmental Engineering</t>
        </is>
      </c>
      <c r="F67" s="2" t="inlineStr">
        <is>
          <t>Mechanical Engineering</t>
        </is>
      </c>
      <c r="G67" s="2" t="inlineStr">
        <is>
          <t>OEzRkQMAAAAJ</t>
        </is>
      </c>
      <c r="H67" s="3">
        <f>HYPERLINK("mailto:rciez@purdue.edu", "rciez@purdue.edu")</f>
        <v/>
      </c>
      <c r="I67" s="2" t="n">
        <v>2</v>
      </c>
      <c r="J67" s="2" t="inlineStr">
        <is>
          <t>🟡 Tier 2: Thermal / Heat Transfer / Energy</t>
        </is>
      </c>
      <c r="K67" s="2" t="n">
        <v>2</v>
      </c>
      <c r="L67" s="2" t="inlineStr">
        <is>
          <t>energy systems, thermodynamics</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is>
          <t>Outstanding Mechanical Engineers Distinguished Engineering Alumni Honorary Doctorates Staff Awards Student Awards Distinguished...</t>
        </is>
      </c>
      <c r="AE67" s="2" t="inlineStr">
        <is>
          <t>I recruit students through both Mechanical Engineering and Sustainability Engineering and Environmental Environmental Engineering . Interested undergraduate students should email me with a copy of their resume, a brief list of related classes, and their research interests. Prospective graduate students should email me with a copy their CV and a brief statement of their research interests, and how their interests connect to my research areas.</t>
        </is>
      </c>
      <c r="AF67" s="2" t="inlineStr"/>
      <c r="AG67" s="2" t="inlineStr"/>
      <c r="AH67" s="2" t="inlineStr">
        <is>
          <t>Identify interactions and design spaces at the intersection of energy technologies, economics, and decision-making process to minimize the cost of transitioning to new, decarbonized energy systems</t>
        </is>
      </c>
      <c r="AI67" s="2" t="inlineStr">
        <is>
          <t>Thermodynamics</t>
        </is>
      </c>
      <c r="AJ67" s="2" t="inlineStr">
        <is>
          <t>Thermodynamics</t>
        </is>
      </c>
      <c r="AK67" s="2" t="inlineStr">
        <is>
          <t>Ph.D., Engineering and Public Policy, Carnegie Mellon University, 2018 B.S., Mechanical Engineering, Columbia University, 2013</t>
        </is>
      </c>
      <c r="AL67" s="2" t="inlineStr">
        <is>
          <t>Personal Website</t>
        </is>
      </c>
      <c r="AM67" s="3">
        <f>HYPERLINK("https://rciez2125.github.io/", "https://rciez2125.github.io/")</f>
        <v/>
      </c>
      <c r="AN67" s="2" t="inlineStr"/>
      <c r="AO67" s="2" t="inlineStr"/>
      <c r="AP67" s="2" t="inlineStr"/>
      <c r="AQ67" s="2" t="inlineStr"/>
      <c r="AR67" s="2" t="inlineStr"/>
      <c r="AS67" s="2" t="inlineStr"/>
      <c r="AT67" s="2" t="inlineStr"/>
      <c r="AU67" s="2" t="b">
        <v>1</v>
      </c>
      <c r="AV67" s="3">
        <f>HYPERLINK("https://engineering.purdue.edu/ME/People/ptFaculty", "https://engineering.purdue.edu/ME/People/ptFaculty")</f>
        <v/>
      </c>
    </row>
    <row r="68">
      <c r="A68" s="2" t="inlineStr">
        <is>
          <t>Jian Xie</t>
        </is>
      </c>
      <c r="B68" s="2" t="inlineStr">
        <is>
          <t>Purdue University</t>
        </is>
      </c>
      <c r="C68" s="3">
        <f>HYPERLINK("https://engineering.purdue.edu/ME/People/ptProfile?resource_id=155963", "https://engineering.purdue.edu/ME/People/ptProfile?resource_id=155963")</f>
        <v/>
      </c>
      <c r="D68" s="3">
        <f>HYPERLINK("https://scholar.google.com/citations?view_op=search_authors&amp;mauthors=Jian%20Xie%20Purdue%20University", "Google Scholar Search")</f>
        <v/>
      </c>
      <c r="E68" s="2" t="inlineStr">
        <is>
          <t>Professor of Mechanical Engineering</t>
        </is>
      </c>
      <c r="F68" s="2" t="inlineStr">
        <is>
          <t>Mechanical Engineering</t>
        </is>
      </c>
      <c r="G68" s="2" t="inlineStr"/>
      <c r="H68" s="3">
        <f>HYPERLINK("mailto:jxie@purdue.edu", "jxie@purdue.edu")</f>
        <v/>
      </c>
      <c r="I68" s="2" t="n">
        <v>2</v>
      </c>
      <c r="J68" s="2" t="inlineStr">
        <is>
          <t>🟡 Tier 2: Thermal / Heat Transfer / Energy</t>
        </is>
      </c>
      <c r="K68" s="2" t="n">
        <v>1</v>
      </c>
      <c r="L68" s="2" t="inlineStr">
        <is>
          <t>materials</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is>
          <t>Outstanding Mechanical Engineers Distinguished Engineering Alumni Honorary Doctorates Staff Awards Student Awards Distinguished...</t>
        </is>
      </c>
      <c r="AE68" s="2" t="inlineStr"/>
      <c r="AF68" s="2" t="inlineStr"/>
      <c r="AG68" s="2" t="inlineStr"/>
      <c r="AH68" s="2" t="inlineStr">
        <is>
          <t>Fuel Cells Advanced Batteries Nano-materials Hydrogen Storage Clean-coal technology Carbon dioxide treatment Artificial muscle</t>
        </is>
      </c>
      <c r="AI68" s="2" t="inlineStr"/>
      <c r="AJ68" s="2" t="inlineStr">
        <is>
          <t>Fuel Cells Advanced Batteries Nano-materials Hydrogen Storage Clean-coal technology Carbon dioxide treatment Artificial muscle</t>
        </is>
      </c>
      <c r="AK68" s="2" t="inlineStr">
        <is>
          <t>Ph.D. Chemistry/Electrochemistry, Miami University, 8/1999 M.S. Chemistry/Electrochemistry, University of South Dakota, 8/1996 B.S. Chemical Engineering, Tianjin University, 2/1982</t>
        </is>
      </c>
      <c r="AL68" s="2" t="inlineStr">
        <is>
          <t>Jian Xie Group Website</t>
        </is>
      </c>
      <c r="AM68" s="3">
        <f>HYPERLINK("https://sites.google.com/view/jianxiegroupatpurdue/home", "https://sites.google.com/view/jianxiegroupatpurdue/home")</f>
        <v/>
      </c>
      <c r="AN68" s="2" t="inlineStr"/>
      <c r="AO68" s="2" t="inlineStr"/>
      <c r="AP68" s="2" t="inlineStr"/>
      <c r="AQ68" s="2" t="inlineStr"/>
      <c r="AR68" s="2" t="inlineStr"/>
      <c r="AS68" s="2" t="inlineStr"/>
      <c r="AT68" s="2" t="inlineStr"/>
      <c r="AU68" s="2" t="b">
        <v>1</v>
      </c>
      <c r="AV68" s="3">
        <f>HYPERLINK("https://engineering.purdue.edu/ME/People/ptFaculty", "https://engineering.purdue.edu/ME/People/ptFaculty")</f>
        <v/>
      </c>
    </row>
    <row r="69">
      <c r="A69" s="2" t="inlineStr">
        <is>
          <t>Justin A. Weibel</t>
        </is>
      </c>
      <c r="B69" s="2" t="inlineStr">
        <is>
          <t>Purdue University</t>
        </is>
      </c>
      <c r="C69" s="3">
        <f>HYPERLINK("https://engineering.purdue.edu/ME/People/ptProfile?resource_id=78578", "https://engineering.purdue.edu/ME/People/ptProfile?resource_id=78578")</f>
        <v/>
      </c>
      <c r="D69" s="3">
        <f>HYPERLINK("https://scholar.google.com/citations?view_op=search_authors&amp;mauthors=Justin%20A.%20Weibel%20Purdue%20University", "Google Scholar Search")</f>
        <v/>
      </c>
      <c r="E69" s="2" t="inlineStr">
        <is>
          <t>Professor of Mechanical Engineering</t>
        </is>
      </c>
      <c r="F69" s="2" t="inlineStr">
        <is>
          <t>Mechanical Engineering</t>
        </is>
      </c>
      <c r="G69" s="2" t="inlineStr"/>
      <c r="H69" s="3">
        <f>HYPERLINK("mailto:jaweibel@purdue.edu", "jaweibel@purdue.edu")</f>
        <v/>
      </c>
      <c r="I69" s="2" t="n">
        <v>2</v>
      </c>
      <c r="J69" s="2" t="inlineStr">
        <is>
          <t>🟡 Tier 2: Thermal / Heat Transfer / Energy</t>
        </is>
      </c>
      <c r="K69" s="2" t="n">
        <v>1</v>
      </c>
      <c r="L69" s="2" t="inlineStr">
        <is>
          <t>thermal</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is>
          <t>Outstanding Mechanical Engineers Distinguished Engineering Alumni Honorary Doctorates Staff Awards Student Awards Distinguished...</t>
        </is>
      </c>
      <c r="AE69" s="2" t="inlineStr"/>
      <c r="AF69" s="2" t="inlineStr"/>
      <c r="AG69" s="2" t="inlineStr"/>
      <c r="AH69" s="2" t="inlineStr">
        <is>
          <t>Advanced electronics cooling and packaging technologies Phase-change transport phenomena Additive manufacturing of thermal management components Topological optimization and machine-learning-based design Thermal systems analysis for electrification and energy efficiency Microscale and nanoscale surface engineering for enhanced thermal transport</t>
        </is>
      </c>
      <c r="AI69" s="2" t="inlineStr">
        <is>
          <t>Heat &amp; Mass Transfer</t>
        </is>
      </c>
      <c r="AJ69" s="2" t="inlineStr">
        <is>
          <t>Heat &amp; Mass Transfer</t>
        </is>
      </c>
      <c r="AK69" s="2" t="inlineStr"/>
      <c r="AL69" s="2" t="inlineStr">
        <is>
          <t>Cooling Technologies Research Center</t>
        </is>
      </c>
      <c r="AM69" s="3">
        <f>HYPERLINK("https://engineering.purdue.edu/CTRC/", "https://engineering.purdue.edu/CTRC/")</f>
        <v/>
      </c>
      <c r="AN69" s="2" t="inlineStr"/>
      <c r="AO69" s="2" t="inlineStr"/>
      <c r="AP69" s="2" t="inlineStr"/>
      <c r="AQ69" s="2" t="inlineStr"/>
      <c r="AR69" s="2" t="inlineStr"/>
      <c r="AS69" s="2" t="inlineStr"/>
      <c r="AT69" s="2" t="inlineStr">
        <is>
          <t>ME 3174</t>
        </is>
      </c>
      <c r="AU69" s="2" t="b">
        <v>1</v>
      </c>
      <c r="AV69" s="3">
        <f>HYPERLINK("https://engineering.purdue.edu/ME/People/ptFaculty", "https://engineering.purdue.edu/ME/People/ptFaculty")</f>
        <v/>
      </c>
    </row>
    <row r="70">
      <c r="A70" s="2" t="inlineStr">
        <is>
          <t>Kevin Kircher</t>
        </is>
      </c>
      <c r="B70" s="2" t="inlineStr">
        <is>
          <t>Purdue University</t>
        </is>
      </c>
      <c r="C70" s="3">
        <f>HYPERLINK("https://engineering.purdue.edu/ME/People/ptProfile?resource_id=273136", "https://engineering.purdue.edu/ME/People/ptProfile?resource_id=273136")</f>
        <v/>
      </c>
      <c r="D70" s="3">
        <f>HYPERLINK("https://scholar.google.com/citations?view_op=search_authors&amp;mauthors=Kevin%20Kircher%20Purdue%20University", "Google Scholar Search")</f>
        <v/>
      </c>
      <c r="E70" s="2" t="inlineStr">
        <is>
          <t>Assistant Professor of Mechanical Engineering</t>
        </is>
      </c>
      <c r="F70" s="2" t="inlineStr">
        <is>
          <t>Mechanical Engineering</t>
        </is>
      </c>
      <c r="G70" s="2" t="inlineStr"/>
      <c r="H70" s="3">
        <f>HYPERLINK("mailto:kircher@purdue.edu", "kircher@purdue.edu")</f>
        <v/>
      </c>
      <c r="I70" s="2" t="n">
        <v>2</v>
      </c>
      <c r="J70" s="2" t="inlineStr">
        <is>
          <t>🟡 Tier 2: Thermal / Heat Transfer / Energy</t>
        </is>
      </c>
      <c r="K70" s="2" t="n">
        <v>1</v>
      </c>
      <c r="L70" s="2" t="inlineStr">
        <is>
          <t>thermodynamics</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is>
          <t>Outstanding Mechanical Engineers Distinguished Engineering Alumni Honorary Doctorates Staff Awards Student Awards Distinguished...</t>
        </is>
      </c>
      <c r="AE70" s="2" t="inlineStr"/>
      <c r="AF70" s="2" t="inlineStr"/>
      <c r="AG70" s="2" t="inlineStr"/>
      <c r="AH70" s="2" t="inlineStr">
        <is>
          <t>Building electrification, flexibility, and efficiency Integrating flexible loads, energy storage, and distributed solar into power grids Optimization and control under uncertainty Energy policy</t>
        </is>
      </c>
      <c r="AI70" s="2" t="inlineStr">
        <is>
          <t>Thermodynamics Systems, Measurements &amp; Controls</t>
        </is>
      </c>
      <c r="AJ70" s="2" t="inlineStr">
        <is>
          <t>Thermodynamics Systems, Measurements &amp; Controls</t>
        </is>
      </c>
      <c r="AK70" s="2" t="inlineStr">
        <is>
          <t>PhD, Mechanical Engineering, Cornell University '19</t>
        </is>
      </c>
      <c r="AL70" s="2" t="inlineStr">
        <is>
          <t>Kircher Research Group</t>
        </is>
      </c>
      <c r="AM70" s="3">
        <f>HYPERLINK("https://kevinjkircher.com/", "https://kevinjkircher.com/")</f>
        <v/>
      </c>
      <c r="AN70" s="2" t="inlineStr"/>
      <c r="AO70" s="2" t="inlineStr"/>
      <c r="AP70" s="2" t="inlineStr"/>
      <c r="AQ70" s="2" t="inlineStr"/>
      <c r="AR70" s="2" t="inlineStr"/>
      <c r="AS70" s="2" t="inlineStr"/>
      <c r="AT70" s="2" t="inlineStr"/>
      <c r="AU70" s="2" t="b">
        <v>1</v>
      </c>
      <c r="AV70" s="3">
        <f>HYPERLINK("https://engineering.purdue.edu/ME/People/ptFaculty", "https://engineering.purdue.edu/ME/People/ptFaculty")</f>
        <v/>
      </c>
    </row>
    <row r="71">
      <c r="A71" s="2" t="inlineStr">
        <is>
          <t>Likun Zhu</t>
        </is>
      </c>
      <c r="B71" s="2" t="inlineStr">
        <is>
          <t>Purdue University</t>
        </is>
      </c>
      <c r="C71" s="3">
        <f>HYPERLINK("https://engineering.purdue.edu/ME/People/ptProfile?resource_id=294628", "https://engineering.purdue.edu/ME/People/ptProfile?resource_id=294628")</f>
        <v/>
      </c>
      <c r="D71" s="3">
        <f>HYPERLINK("https://scholar.google.com/citations?view_op=search_authors&amp;mauthors=Likun%20Zhu%20Purdue%20University", "Google Scholar Search")</f>
        <v/>
      </c>
      <c r="E71" s="2" t="inlineStr">
        <is>
          <t>Assistant Vice Provost for Indianapolis Faculty Affairs; Professor of Mechanical Engineering</t>
        </is>
      </c>
      <c r="F71" s="2" t="inlineStr">
        <is>
          <t>Mechanical Engineering</t>
        </is>
      </c>
      <c r="G71" s="2" t="inlineStr"/>
      <c r="H71" s="3">
        <f>HYPERLINK("mailto:zhu154@purdue.edu", "zhu154@purdue.edu")</f>
        <v/>
      </c>
      <c r="I71" s="2" t="n">
        <v>2</v>
      </c>
      <c r="J71" s="2" t="inlineStr">
        <is>
          <t>🟡 Tier 2: Thermal / Heat Transfer / Energy</t>
        </is>
      </c>
      <c r="K71" s="2" t="n">
        <v>1</v>
      </c>
      <c r="L71" s="2" t="inlineStr">
        <is>
          <t>thermodynamics</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is>
          <t>Outstanding Mechanical Engineers Distinguished Engineering Alumni Honorary Doctorates Staff Awards Student Awards Distinguished...</t>
        </is>
      </c>
      <c r="AE71" s="2" t="inlineStr"/>
      <c r="AF71" s="2" t="inlineStr"/>
      <c r="AG71" s="2" t="inlineStr"/>
      <c r="AH71" s="2" t="inlineStr">
        <is>
          <t>Lithium-ion batteries Solid-state batteries In situ and operando characterization Modeling, simulation, and optimization of battery systems Micro/nano fabrication Micro/nano fluidics</t>
        </is>
      </c>
      <c r="AI71" s="2" t="inlineStr">
        <is>
          <t>Thermodynamics</t>
        </is>
      </c>
      <c r="AJ71" s="2" t="inlineStr">
        <is>
          <t>Thermodynamics</t>
        </is>
      </c>
      <c r="AK71" s="2" t="inlineStr">
        <is>
          <t>Ph.D. Mechanical Engineering, University of Maryland, 07/2006 MA/MS Mechanical Engineering, Tsinghua University, 01/2001 BA/BS Mechanical Engineering, Tsinghua University, 07/1998</t>
        </is>
      </c>
      <c r="AL71" s="2" t="inlineStr">
        <is>
          <t>Dr. Likun Zhu's website</t>
        </is>
      </c>
      <c r="AM71" s="3">
        <f>HYPERLINK("https://engineering.purdue.edu/lzhu/", "https://engineering.purdue.edu/lzhu/")</f>
        <v/>
      </c>
      <c r="AN71" s="2" t="inlineStr"/>
      <c r="AO71" s="2" t="inlineStr"/>
      <c r="AP71" s="2" t="inlineStr"/>
      <c r="AQ71" s="2" t="inlineStr">
        <is>
          <t>NSF</t>
        </is>
      </c>
      <c r="AR71" s="2" t="inlineStr"/>
      <c r="AS71" s="2" t="inlineStr"/>
      <c r="AT71" s="2" t="inlineStr"/>
      <c r="AU71" s="2" t="b">
        <v>1</v>
      </c>
      <c r="AV71" s="3">
        <f>HYPERLINK("https://engineering.purdue.edu/ME/People/ptFaculty", "https://engineering.purdue.edu/ME/People/ptFaculty")</f>
        <v/>
      </c>
    </row>
    <row r="72">
      <c r="A72" s="2" t="inlineStr">
        <is>
          <t>Carl Wassgren</t>
        </is>
      </c>
      <c r="B72" s="2" t="inlineStr">
        <is>
          <t>Purdue University</t>
        </is>
      </c>
      <c r="C72" s="3">
        <f>HYPERLINK("https://engineering.purdue.edu/ME/People/ptProfile?resource_id=25572", "https://engineering.purdue.edu/ME/People/ptProfile?resource_id=25572")</f>
        <v/>
      </c>
      <c r="D72" s="3">
        <f>HYPERLINK("https://scholar.google.com/citations?view_op=search_authors&amp;mauthors=Carl%20Wassgren%20Purdue%20University", "Google Scholar Search")</f>
        <v/>
      </c>
      <c r="E72" s="2" t="inlineStr">
        <is>
          <t>Associate Head for Indianapolis; Charles E. and Louise W. Springer Professor of Mechanical Engineering; Professor of Industrial and Physical Pharmacy (by courtesy)</t>
        </is>
      </c>
      <c r="F72" s="2" t="inlineStr">
        <is>
          <t>Mechanical Engineering</t>
        </is>
      </c>
      <c r="G72" s="2" t="inlineStr"/>
      <c r="H72" s="3">
        <f>HYPERLINK("mailto:wassgren@purdue.edu", "wassgren@purdue.edu")</f>
        <v/>
      </c>
      <c r="I72" s="2" t="n">
        <v>3</v>
      </c>
      <c r="J72" s="2" t="inlineStr">
        <is>
          <t>🟠 Tier 3: Structures / Materials / Manufacturing</t>
        </is>
      </c>
      <c r="K72" s="2" t="n">
        <v>5</v>
      </c>
      <c r="L72" s="2" t="inlineStr">
        <is>
          <t>fem, finite element, fluid mechanics, solid mechanics, thermodynamics</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is>
          <t>Outstanding Mechanical Engineers Distinguished Engineering Alumni Honorary Doctorates Staff Awards Student Awards Distinguished...</t>
        </is>
      </c>
      <c r="AE72" s="2" t="inlineStr"/>
      <c r="AF72" s="2" t="inlineStr"/>
      <c r="AG72" s="2" t="inlineStr"/>
      <c r="AH72" s="2" t="inlineStr">
        <is>
          <t>Discrete element method (DEM) modeling for particulate systems --  model development, e.g., fibrous particles, particle breakage, particle shapes --  application to manufacturing, e.g., storage and flow, blending, segregation, drying, coating, wet granulation Finite element method (FEM) modeling of powder compaction --  e.g., roll compaction, tableting, picking and sticking Multi-scale modeling (FEM combined with DEM) of powder dynamics --  model development and application to hopper flow, blending, and segregation</t>
        </is>
      </c>
      <c r="AI72" s="2" t="inlineStr">
        <is>
          <t>Thermodynamics Fluid Mechanics Solid Mechanics</t>
        </is>
      </c>
      <c r="AJ72" s="2" t="inlineStr">
        <is>
          <t>Thermodynamics Fluid Mechanics Solid Mechanics</t>
        </is>
      </c>
      <c r="AK72" s="2" t="inlineStr">
        <is>
          <t>B.S. University of Illinois at Urbana-Champaign, '90 M.S. California Institute of Technology, '92 Ph.D. California Institute of Technology, '97</t>
        </is>
      </c>
      <c r="AL72" s="2" t="inlineStr">
        <is>
          <t>Personal Homepage</t>
        </is>
      </c>
      <c r="AM72" s="3">
        <f>HYPERLINK("https://engineering.purdue.edu/~wassgren/", "https://engineering.purdue.edu/~wassgren/")</f>
        <v/>
      </c>
      <c r="AN72" s="2" t="inlineStr"/>
      <c r="AO72" s="2" t="inlineStr"/>
      <c r="AP72" s="2" t="inlineStr"/>
      <c r="AQ72" s="2" t="inlineStr"/>
      <c r="AR72" s="2" t="inlineStr"/>
      <c r="AS72" s="2" t="inlineStr"/>
      <c r="AT72" s="2" t="inlineStr">
        <is>
          <t>ME 3003E</t>
        </is>
      </c>
      <c r="AU72" s="2" t="b">
        <v>1</v>
      </c>
      <c r="AV72" s="3">
        <f>HYPERLINK("https://engineering.purdue.edu/ME/People/ptFaculty", "https://engineering.purdue.edu/ME/People/ptFaculty")</f>
        <v/>
      </c>
    </row>
    <row r="73">
      <c r="A73" s="2" t="inlineStr">
        <is>
          <t>Andres Arrieta</t>
        </is>
      </c>
      <c r="B73" s="2" t="inlineStr">
        <is>
          <t>Purdue University</t>
        </is>
      </c>
      <c r="C73" s="3">
        <f>HYPERLINK("https://engineering.purdue.edu/ME/People/ptProfile?resource_id=127238", "https://engineering.purdue.edu/ME/People/ptProfile?resource_id=127238")</f>
        <v/>
      </c>
      <c r="D73" s="3">
        <f>HYPERLINK("https://scholar.google.com/citations?view_op=search_authors&amp;mauthors=Andres%20Arrieta%20Purdue%20University", "Google Scholar Search")</f>
        <v/>
      </c>
      <c r="E73" s="2" t="inlineStr">
        <is>
          <t>Doug and Cathy Field Rising Star Professor of Mechanical Engineering</t>
        </is>
      </c>
      <c r="F73" s="2" t="inlineStr">
        <is>
          <t>Aeronautics and Astronautics</t>
        </is>
      </c>
      <c r="G73" s="2" t="inlineStr"/>
      <c r="H73" s="3">
        <f>HYPERLINK("mailto:arrieta@purdue.edu", "arrieta@purdue.edu")</f>
        <v/>
      </c>
      <c r="I73" s="2" t="n">
        <v>3</v>
      </c>
      <c r="J73" s="2" t="inlineStr">
        <is>
          <t>🟠 Tier 3: Structures / Materials / Manufacturing</t>
        </is>
      </c>
      <c r="K73" s="2" t="n">
        <v>4</v>
      </c>
      <c r="L73" s="2" t="inlineStr">
        <is>
          <t>materials, metamaterials, robot, solid mechanics</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is>
          <t>Outstanding Mechanical Engineers Distinguished Engineering Alumni Honorary Doctorates Staff Awards Student Awards Distinguished...</t>
        </is>
      </c>
      <c r="AE73" s="2" t="inlineStr"/>
      <c r="AF73" s="2" t="inlineStr"/>
      <c r="AG73" s="2" t="inlineStr"/>
      <c r="AH73" s="2" t="inlineStr">
        <is>
          <t>Adaptive structures Mechanical metamaterials Robotic materials Programmable structures Multistable structures Structural nonlinearity Elastic instabilities Structural dynamics Nonlinear vibrations</t>
        </is>
      </c>
      <c r="AI73" s="2" t="inlineStr">
        <is>
          <t>Dynamics &amp; Vibration Design &amp; Manufacturing Solid Mechanics</t>
        </is>
      </c>
      <c r="AJ73" s="2" t="inlineStr">
        <is>
          <t>Dynamics &amp; Vibration Design &amp; Manufacturing Solid Mechanics</t>
        </is>
      </c>
      <c r="AK73" s="2" t="inlineStr">
        <is>
          <t>Mechanical Engineer, Universidad de los Andes, Bogotá, '06 Ph.D., University of Bristol, United Kingdom, '10 Postdoctoral Research Fellow, ETH Zurich, '12</t>
        </is>
      </c>
      <c r="AL73" s="2" t="inlineStr">
        <is>
          <t>Programmable Structures Lab</t>
        </is>
      </c>
      <c r="AM73" s="3">
        <f>HYPERLINK("https://engineering.purdue.edu/ProgrammableStructures/", "https://engineering.purdue.edu/ProgrammableStructures/")</f>
        <v/>
      </c>
      <c r="AN73" s="2" t="inlineStr"/>
      <c r="AO73" s="2" t="inlineStr"/>
      <c r="AP73" s="2" t="inlineStr">
        <is>
          <t>Instron</t>
        </is>
      </c>
      <c r="AQ73" s="2" t="inlineStr"/>
      <c r="AR73" s="2" t="inlineStr"/>
      <c r="AS73" s="2" t="inlineStr"/>
      <c r="AT73" s="2" t="inlineStr">
        <is>
          <t>ME 3061H, HLAB 1004</t>
        </is>
      </c>
      <c r="AU73" s="2" t="b">
        <v>1</v>
      </c>
      <c r="AV73" s="3">
        <f>HYPERLINK("https://engineering.purdue.edu/AAE/people/Faculty", "https://engineering.purdue.edu/AAE/people/Faculty")</f>
        <v/>
      </c>
    </row>
    <row r="74">
      <c r="A74" s="2" t="inlineStr">
        <is>
          <t>Ashwin Ramachandran</t>
        </is>
      </c>
      <c r="B74" s="2" t="inlineStr">
        <is>
          <t>Purdue University</t>
        </is>
      </c>
      <c r="C74" s="3">
        <f>HYPERLINK("https://engineering.purdue.edu/ME/People/ptProfile?resource_id=311453", "https://engineering.purdue.edu/ME/People/ptProfile?resource_id=311453")</f>
        <v/>
      </c>
      <c r="D74" s="3">
        <f>HYPERLINK("https://scholar.google.com/citations?user=Kgo25P0AAAAJ&amp;hl=en", "Scholar (Kgo25P0AAAAJ)")</f>
        <v/>
      </c>
      <c r="E74" s="2" t="inlineStr">
        <is>
          <t>Assistant Professor of Mechanical Engineering</t>
        </is>
      </c>
      <c r="F74" s="2" t="inlineStr">
        <is>
          <t>Mechanical Engineering</t>
        </is>
      </c>
      <c r="G74" s="2" t="inlineStr">
        <is>
          <t>Kgo25P0AAAAJ</t>
        </is>
      </c>
      <c r="H74" s="3">
        <f>HYPERLINK("mailto:ashwinrc@purdue.edu", "ashwinrc@purdue.edu")</f>
        <v/>
      </c>
      <c r="I74" s="2" t="n">
        <v>3</v>
      </c>
      <c r="J74" s="2" t="inlineStr">
        <is>
          <t>🟠 Tier 3: Structures / Materials / Manufacturing</t>
        </is>
      </c>
      <c r="K74" s="2" t="n">
        <v>4</v>
      </c>
      <c r="L74" s="2" t="inlineStr">
        <is>
          <t>aerospace, fluid mechanics, hydrodynamics, solid mechanics</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is>
          <t>Outstanding Mechanical Engineers Distinguished Engineering Alumni Honorary Doctorates Staff Awards Student Awards Distinguished...</t>
        </is>
      </c>
      <c r="AE74" s="2" t="inlineStr">
        <is>
          <t>Email to discuss opportunities and timing a few months ahead. Include a note on your background and future plans, a CV with publications, and 2–3 references. Fellowships are welcome.</t>
        </is>
      </c>
      <c r="AF74" s="2" t="inlineStr"/>
      <c r="AG74" s="2" t="inlineStr"/>
      <c r="AH74" s="2" t="inlineStr">
        <is>
          <t>Mechanobiology and biomechanics Diagnostics Bacterial biophysics Micro/nano fluidics and transport Biotechnology development Physicochemical hydrodynamics Measurement tools Biomedical devices and wearables</t>
        </is>
      </c>
      <c r="AI74" s="2" t="inlineStr">
        <is>
          <t>Dynamics &amp; Vibration Design &amp; Manufacturing Fluid Mechanics Heat &amp; Mass Transfer Systems, Measurements &amp; Controls Solid Mechanics</t>
        </is>
      </c>
      <c r="AJ74" s="2" t="inlineStr">
        <is>
          <t>Dynamics &amp; Vibration Design &amp; Manufacturing Fluid Mechanics Heat &amp; Mass Transfer Systems, Measurements &amp; Controls Solid Mechanics</t>
        </is>
      </c>
      <c r="AK74" s="2" t="inlineStr">
        <is>
          <t>Postdoctoral researcher, Department of Mechanical and Aerospace Engineering, Department of Molecular Biology, Princeton University, 2021-2024 Ph.D. in Aeronautics and Astronautics (minor in Bioengineering), Stanford University, 2021 M.S. in Aeronautics and Astronautics, Stanford University, 2021 B. Tech in Aerospace Engineering (minor in Mathematics and Physics), Indian Institute of Technology Bombay, 2015</t>
        </is>
      </c>
      <c r="AL74" s="2" t="inlineStr">
        <is>
          <t>MicroNano Lab</t>
        </is>
      </c>
      <c r="AM74" s="3">
        <f>HYPERLINK("https://www.micronanolab.org/", "https://www.micronanolab.org/")</f>
        <v/>
      </c>
      <c r="AN74" s="2" t="inlineStr">
        <is>
          <t>Actively recruiting / Openings mentioned on lab site</t>
        </is>
      </c>
      <c r="AO74" s="2" t="inlineStr"/>
      <c r="AP74" s="2" t="inlineStr"/>
      <c r="AQ74" s="2" t="inlineStr"/>
      <c r="AR74" s="2" t="inlineStr"/>
      <c r="AS74" s="2" t="inlineStr"/>
      <c r="AT74" s="2" t="inlineStr">
        <is>
          <t>ME G090</t>
        </is>
      </c>
      <c r="AU74" s="2" t="b">
        <v>1</v>
      </c>
      <c r="AV74" s="3">
        <f>HYPERLINK("https://engineering.purdue.edu/ME/People/ptFaculty", "https://engineering.purdue.edu/ME/People/ptFaculty")</f>
        <v/>
      </c>
    </row>
    <row r="75">
      <c r="A75" s="2" t="inlineStr">
        <is>
          <t>Ganesh Subbarayan</t>
        </is>
      </c>
      <c r="B75" s="2" t="inlineStr">
        <is>
          <t>Purdue University</t>
        </is>
      </c>
      <c r="C75" s="3">
        <f>HYPERLINK("https://engineering.purdue.edu/ME/People/ptProfile?resource_id=11244", "https://engineering.purdue.edu/ME/People/ptProfile?resource_id=11244")</f>
        <v/>
      </c>
      <c r="D75" s="3">
        <f>HYPERLINK("https://scholar.google.com/citations?view_op=search_authors&amp;mauthors=Ganesh%20Subbarayan%20Purdue%20University", "Google Scholar Search")</f>
        <v/>
      </c>
      <c r="E75" s="2" t="inlineStr">
        <is>
          <t>James G. Dwyer Professor of Mechanical Engineering</t>
        </is>
      </c>
      <c r="F75" s="2" t="inlineStr">
        <is>
          <t>Mechanical Engineering</t>
        </is>
      </c>
      <c r="G75" s="2" t="inlineStr"/>
      <c r="H75" s="3">
        <f>HYPERLINK("mailto:ganeshs@purdue.edu", "ganeshs@purdue.edu")</f>
        <v/>
      </c>
      <c r="I75" s="2" t="n">
        <v>3</v>
      </c>
      <c r="J75" s="2" t="inlineStr">
        <is>
          <t>🟠 Tier 3: Structures / Materials / Manufacturing</t>
        </is>
      </c>
      <c r="K75" s="2" t="n">
        <v>4</v>
      </c>
      <c r="L75" s="2" t="inlineStr">
        <is>
          <t>fea, finite element, solid mechanics, thermal</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is>
          <t>Outstanding Mechanical Engineers Distinguished Engineering Alumni Honorary Doctorates Staff Awards Student Awards Distinguished...</t>
        </is>
      </c>
      <c r="AE75" s="2" t="inlineStr">
        <is>
          <t>Phone: +1 (765) 494-3975 Email: future-engineers@purdue.edu | Phone: +1 (765) 494-4873 Email: EngrGrad@purdue.edu</t>
        </is>
      </c>
      <c r="AF75" s="2" t="inlineStr"/>
      <c r="AG75" s="2" t="inlineStr"/>
      <c r="AH75" s="2" t="inlineStr">
        <is>
          <t>Computational and experimental solid mechanics focused on fatigue, fracture, and multi-physics phase evolution problems Computational techniques including Finite Element Analysis (FEA), Isogeometric Analysis (IGA), geometric modeling, CAD and optimal design Heterogeneous Integration and Advanced Electronics Packaging with a focus on thermomechanical behavior, reliability, and electrical-thermal-mechanical co-design</t>
        </is>
      </c>
      <c r="AI75" s="2" t="inlineStr">
        <is>
          <t>Design &amp; Manufacturing Heat &amp; Mass Transfer Solid Mechanics</t>
        </is>
      </c>
      <c r="AJ75" s="2" t="inlineStr">
        <is>
          <t>Design &amp; Manufacturing Heat &amp; Mass Transfer Solid Mechanics</t>
        </is>
      </c>
      <c r="AK75" s="2" t="inlineStr">
        <is>
          <t>B.Tech. Indian Inst. of Tech., '85 M.S. Cornell University, '89 Ph.D. Cornell University, '91</t>
        </is>
      </c>
      <c r="AL75" s="2" t="inlineStr">
        <is>
          <t>Institute for Advanced System Integration and Packaging (ASIP)</t>
        </is>
      </c>
      <c r="AM75" s="3">
        <f>HYPERLINK("https://engineering.purdue.edu/ASIP", "https://engineering.purdue.edu/ASIP")</f>
        <v/>
      </c>
      <c r="AN75"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75" s="2" t="inlineStr"/>
      <c r="AP75" s="2" t="inlineStr"/>
      <c r="AQ75" s="2" t="inlineStr">
        <is>
          <t>DOE</t>
        </is>
      </c>
      <c r="AR75" s="2" t="inlineStr"/>
      <c r="AS75" s="2" t="inlineStr"/>
      <c r="AT75" s="2" t="inlineStr">
        <is>
          <t>ME 3172</t>
        </is>
      </c>
      <c r="AU75" s="2" t="b">
        <v>1</v>
      </c>
      <c r="AV75" s="3">
        <f>HYPERLINK("https://engineering.purdue.edu/ME/People/ptFaculty", "https://engineering.purdue.edu/ME/People/ptFaculty")</f>
        <v/>
      </c>
    </row>
    <row r="76">
      <c r="A76" s="2" t="inlineStr">
        <is>
          <t>Kawai Kwok</t>
        </is>
      </c>
      <c r="B76" s="2" t="inlineStr">
        <is>
          <t>Purdue University</t>
        </is>
      </c>
      <c r="C76" s="3">
        <f>HYPERLINK("https://engineering.purdue.edu/AAE/people/ptProfile?resource_id=288720", "https://engineering.purdue.edu/AAE/people/ptProfile?resource_id=288720")</f>
        <v/>
      </c>
      <c r="D76" s="3">
        <f>HYPERLINK("https://scholar.google.com/citations?view_op=search_authors&amp;mauthors=Kawai%20Kwok%20Purdue%20University", "Google Scholar Search")</f>
        <v/>
      </c>
      <c r="E76" s="2" t="inlineStr">
        <is>
          <t>Associate Professor of Aeronautics and Astronautics</t>
        </is>
      </c>
      <c r="F76" s="2" t="inlineStr">
        <is>
          <t>Aeronautics and Astronautics</t>
        </is>
      </c>
      <c r="G76" s="2" t="inlineStr"/>
      <c r="H76" s="3">
        <f>HYPERLINK("mailto:kawaik@purdue.edu", "kawaik@purdue.edu")</f>
        <v/>
      </c>
      <c r="I76" s="2" t="n">
        <v>3</v>
      </c>
      <c r="J76" s="2" t="inlineStr">
        <is>
          <t>🟠 Tier 3: Structures / Materials / Manufacturing</t>
        </is>
      </c>
      <c r="K76" s="2" t="n">
        <v>4</v>
      </c>
      <c r="L76" s="2" t="inlineStr">
        <is>
          <t>aerospace, elasticity, materials, spacecraft</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is>
          <t>NSF CAREER Award, 2022. ASCE Journal of Aerospace Engineering Outstanding Reviewer, 2016. NASA Robert H. Goddard Exceptional Ac...</t>
        </is>
      </c>
      <c r="AE76" s="2" t="inlineStr"/>
      <c r="AF76" s="2" t="inlineStr"/>
      <c r="AG76" s="2" t="inlineStr"/>
      <c r="AH76" s="2" t="inlineStr"/>
      <c r="AI76" s="2" t="inlineStr">
        <is>
          <t>deployable spacecraft and aircraft concepts; multifunctional composite materials; in-space manufacturing and assembly; high-throughput characterization; structural stability; viscoelasticity Edit var myPronunciation=document.getElementById("pronunciation");
    function play() {
    myPronunciation.play();
    }
    function pause() {
    myPronunciation.pause();
    }</t>
        </is>
      </c>
      <c r="AJ76" s="2" t="inlineStr">
        <is>
          <t>deployable spacecraft and aircraft concepts; multifunctional composite materials; in-space manufacturing and assembly; high-throughput characterization; structural stability; viscoelasticity Edit var myPronunciation=document.getElementById("pronunciation");
    function play() {
    myPronunciation.play();
    }
    function pause() {
    myPronunciation.pause();
    }</t>
        </is>
      </c>
      <c r="AK76" s="2" t="inlineStr">
        <is>
          <t>Ph.D. California Institute of Technology, Aerospace Engineering M.S. California Institute of Technology, Aerospace Engineering B.S. Lehigh University, Mechanical Engineering</t>
        </is>
      </c>
      <c r="AL76" s="2" t="inlineStr">
        <is>
          <t>Indiana Space Grant Consortium</t>
        </is>
      </c>
      <c r="AM76" s="3">
        <f>HYPERLINK("https://insgc.spacegrant.org/", "https://insgc.spacegrant.org/")</f>
        <v/>
      </c>
      <c r="AN76" s="2" t="inlineStr">
        <is>
          <t>Academic INSGC Internships</t>
        </is>
      </c>
      <c r="AO76" s="2" t="inlineStr"/>
      <c r="AP76" s="2" t="inlineStr"/>
      <c r="AQ76" s="2" t="inlineStr">
        <is>
          <t>NASA</t>
        </is>
      </c>
      <c r="AR76" s="2" t="inlineStr"/>
      <c r="AS76" s="2" t="inlineStr"/>
      <c r="AT76" s="2" t="inlineStr">
        <is>
          <t>ARMS 3233 and IMI 115</t>
        </is>
      </c>
      <c r="AU76" s="2" t="b">
        <v>1</v>
      </c>
      <c r="AV76" s="3">
        <f>HYPERLINK("https://engineering.purdue.edu/AAE/people/Faculty", "https://engineering.purdue.edu/AAE/people/Faculty")</f>
        <v/>
      </c>
    </row>
    <row r="77">
      <c r="A77" s="2" t="inlineStr">
        <is>
          <t>Kejie Zhao</t>
        </is>
      </c>
      <c r="B77" s="2" t="inlineStr">
        <is>
          <t>Purdue University</t>
        </is>
      </c>
      <c r="C77" s="3">
        <f>HYPERLINK("https://engineering.purdue.edu/ME/People/ptProfile?resource_id=113514", "https://engineering.purdue.edu/ME/People/ptProfile?resource_id=113514")</f>
        <v/>
      </c>
      <c r="D77" s="3">
        <f>HYPERLINK("https://scholar.google.com/citations?user=JXR_AsQAAAAJ&amp;hl=en", "Scholar (JXR_AsQAAAAJ)")</f>
        <v/>
      </c>
      <c r="E77" s="2" t="inlineStr">
        <is>
          <t>Professor of Mechanical Engineering</t>
        </is>
      </c>
      <c r="F77" s="2" t="inlineStr">
        <is>
          <t>Mechanical Engineering</t>
        </is>
      </c>
      <c r="G77" s="2" t="inlineStr">
        <is>
          <t>JXR_AsQAAAAJ</t>
        </is>
      </c>
      <c r="H77" s="3">
        <f>HYPERLINK("mailto:kjzhao@purdue.edu", "kjzhao@purdue.edu")</f>
        <v/>
      </c>
      <c r="I77" s="2" t="n">
        <v>3</v>
      </c>
      <c r="J77" s="2" t="inlineStr">
        <is>
          <t>🟠 Tier 3: Structures / Materials / Manufacturing</t>
        </is>
      </c>
      <c r="K77" s="2" t="n">
        <v>4</v>
      </c>
      <c r="L77" s="2" t="inlineStr">
        <is>
          <t>finite element, materials, plasticity, solid mechanics</t>
        </is>
      </c>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is>
          <t>Outstanding Mechanical Engineers Distinguished Engineering Alumni Honorary Doctorates Staff Awards Student Awards Distinguished...</t>
        </is>
      </c>
      <c r="AE77" s="2" t="inlineStr"/>
      <c r="AF77" s="2" t="inlineStr"/>
      <c r="AG77" s="2" t="inlineStr"/>
      <c r="AH77" s="2" t="inlineStr">
        <is>
          <t>Deformation, stress, plasticity, fracture Multiscale modeling, first-principles, molecular dynamics simulations, and finite element modeling In-situ experiments Mechanics of redox active materials - Li-ion batteries, Na-ion batteries, all-solid-state batteries Mechanics of polymeric materials - organic electrochromics, superelastic organic semiconductors</t>
        </is>
      </c>
      <c r="AI77" s="2" t="inlineStr">
        <is>
          <t>Dynamics &amp; Vibration Design &amp; Manufacturing Solid Mechanics</t>
        </is>
      </c>
      <c r="AJ77" s="2" t="inlineStr">
        <is>
          <t>Dynamics &amp; Vibration Design &amp; Manufacturing Solid Mechanics</t>
        </is>
      </c>
      <c r="AK77" s="2" t="inlineStr">
        <is>
          <t>Ph.D., Harvard Univ., '12 M.Phys., Harvard Univ., '10 M.Eng., Xi'an Jiaotong Univ., '08 B.Eng., Xi'an Jiaotong Univ., '05</t>
        </is>
      </c>
      <c r="AL77" s="2" t="inlineStr">
        <is>
          <t>Zhao Research Group</t>
        </is>
      </c>
      <c r="AM77" s="3">
        <f>HYPERLINK("https://engineering.purdue.edu/kjzhao", "https://engineering.purdue.edu/kjzhao")</f>
        <v/>
      </c>
      <c r="AN77" s="2" t="inlineStr"/>
      <c r="AO77" s="2" t="inlineStr"/>
      <c r="AP77" s="2" t="inlineStr"/>
      <c r="AQ77" s="2" t="inlineStr">
        <is>
          <t>DOE, NSF, ONR</t>
        </is>
      </c>
      <c r="AR77" s="2" t="inlineStr"/>
      <c r="AS77" s="2" t="inlineStr"/>
      <c r="AT77" s="2" t="inlineStr">
        <is>
          <t>ME 3166</t>
        </is>
      </c>
      <c r="AU77" s="2" t="b">
        <v>1</v>
      </c>
      <c r="AV77" s="3">
        <f>HYPERLINK("https://engineering.purdue.edu/ME/People/ptFaculty", "https://engineering.purdue.edu/ME/People/ptFaculty")</f>
        <v/>
      </c>
    </row>
    <row r="78">
      <c r="A78" s="2" t="inlineStr">
        <is>
          <t>Xiulin Ruan</t>
        </is>
      </c>
      <c r="B78" s="2" t="inlineStr">
        <is>
          <t>Purdue University</t>
        </is>
      </c>
      <c r="C78" s="3">
        <f>HYPERLINK("https://engineering.purdue.edu/ME/People/ptProfile?resource_id=29343", "https://engineering.purdue.edu/ME/People/ptProfile?resource_id=29343")</f>
        <v/>
      </c>
      <c r="D78" s="3">
        <f>HYPERLINK("https://scholar.google.com/citations?view_op=search_authors&amp;mauthors=Xiulin%20Ruan%20Purdue%20University", "Google Scholar Search")</f>
        <v/>
      </c>
      <c r="E78" s="2" t="inlineStr">
        <is>
          <t>Professor of Mechanical Engineering</t>
        </is>
      </c>
      <c r="F78" s="2" t="inlineStr">
        <is>
          <t>Mechanical Engineering</t>
        </is>
      </c>
      <c r="G78" s="2" t="inlineStr"/>
      <c r="H78" s="3">
        <f>HYPERLINK("mailto:ruan@purdue.edu", "ruan@purdue.edu")</f>
        <v/>
      </c>
      <c r="I78" s="2" t="n">
        <v>3</v>
      </c>
      <c r="J78" s="2" t="inlineStr">
        <is>
          <t>🟠 Tier 3: Structures / Materials / Manufacturing</t>
        </is>
      </c>
      <c r="K78" s="2" t="n">
        <v>4</v>
      </c>
      <c r="L78" s="2" t="inlineStr">
        <is>
          <t>materials, nanomaterials, thermal, thermodynamics</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is>
          <t>Outstanding Mechanical Engineers Distinguished Engineering Alumni Honorary Doctorates Staff Awards Student Awards Distinguished...</t>
        </is>
      </c>
      <c r="AE78" s="2" t="inlineStr">
        <is>
          <t>We have PhD student and postdoc fellow openings available. Please contact Prof. Ruan with a resume. Due to high volume of inquiries, we may not be able to respond immediately or respond to all emails.</t>
        </is>
      </c>
      <c r="AF78" s="2" t="inlineStr"/>
      <c r="AG78" s="2" t="inlineStr"/>
      <c r="AH78" s="2" t="inlineStr">
        <is>
          <t>Simulations of nanoscale thermal transport Machine learning, optimization, and high throughput design Thermal management in electronics, space, and battery applications Transport phenomena in additive manufacturing Nanomaterials and devices for sustainable energy</t>
        </is>
      </c>
      <c r="AI78" s="2" t="inlineStr">
        <is>
          <t>Thermodynamics Heat &amp; Mass Transfer</t>
        </is>
      </c>
      <c r="AJ78" s="2" t="inlineStr">
        <is>
          <t>Thermodynamics Heat &amp; Mass Transfer</t>
        </is>
      </c>
      <c r="AK78" s="2" t="inlineStr">
        <is>
          <t>B.S. Tsinghua University, '00 M.S. Tsinghua University, '02 M.S. University of Michigan - Ann Arbor, '06 Ph.D. University of Michigan - Ann Arbor, '07</t>
        </is>
      </c>
      <c r="AL78" s="2" t="inlineStr">
        <is>
          <t>Sustainable Energy and Nanoscale Transport Laboratory</t>
        </is>
      </c>
      <c r="AM78" s="3">
        <f>HYPERLINK("https://engineering.purdue.edu/NANOENERGY/", "https://engineering.purdue.edu/NANOENERGY/")</f>
        <v/>
      </c>
      <c r="AN78" s="2" t="inlineStr">
        <is>
          <t>We have PhD student and postdoc fellow openings available. Please contact Prof. Ruan with a resume. Due to high volume of inquiries, we may not be able to respond immediately or respond to all emails. | Undergraduate student positions: (1) ME 498 : Undergraduate students are welcome to take ME 497 with our lab to gain research experience. Detailed information of current projects in our lab can be found at: http://engineering.purdue.edu/nanoenergy/ . (2) SURF : We have at least two SURF (Summer Undergraduate Research Fellowship) positions available each summer, and priorities will be given to undergraduate students who have taken ME 497 with our lab.</t>
        </is>
      </c>
      <c r="AO78" s="2" t="inlineStr"/>
      <c r="AP78" s="2" t="inlineStr">
        <is>
          <t>Cluster</t>
        </is>
      </c>
      <c r="AQ78" s="2" t="inlineStr">
        <is>
          <t>NSF</t>
        </is>
      </c>
      <c r="AR78" s="2" t="inlineStr"/>
      <c r="AS78" s="2" t="inlineStr"/>
      <c r="AT78" s="2" t="inlineStr">
        <is>
          <t>FLEX 1081C</t>
        </is>
      </c>
      <c r="AU78" s="2" t="b">
        <v>1</v>
      </c>
      <c r="AV78" s="3">
        <f>HYPERLINK("https://engineering.purdue.edu/ME/People/ptFaculty", "https://engineering.purdue.edu/ME/People/ptFaculty")</f>
        <v/>
      </c>
    </row>
    <row r="79">
      <c r="A79" s="2" t="inlineStr">
        <is>
          <t>Fabio Semperlotti</t>
        </is>
      </c>
      <c r="B79" s="2" t="inlineStr">
        <is>
          <t>Purdue University</t>
        </is>
      </c>
      <c r="C79" s="3">
        <f>HYPERLINK("https://engineering.purdue.edu/ME/People/ptProfile?resource_id=126925", "https://engineering.purdue.edu/ME/People/ptProfile?resource_id=126925")</f>
        <v/>
      </c>
      <c r="D79" s="3">
        <f>HYPERLINK("https://scholar.google.com/citations?hl=en&amp;user=20pqzv8AAAAJ&amp;view_op=list_works", "Scholar (20pqzv8AAAAJ)")</f>
        <v/>
      </c>
      <c r="E79" s="2" t="inlineStr">
        <is>
          <t>Professor of Mechanical Engineering</t>
        </is>
      </c>
      <c r="F79" s="2" t="inlineStr">
        <is>
          <t>Aeronautics and Astronautics</t>
        </is>
      </c>
      <c r="G79" s="2" t="inlineStr">
        <is>
          <t>20pqzv8AAAAJ</t>
        </is>
      </c>
      <c r="H79" s="3">
        <f>HYPERLINK("mailto:fsemperl@purdue.edu", "fsemperl@purdue.edu")</f>
        <v/>
      </c>
      <c r="I79" s="2" t="n">
        <v>3</v>
      </c>
      <c r="J79" s="2" t="inlineStr">
        <is>
          <t>🟠 Tier 3: Structures / Materials / Manufacturing</t>
        </is>
      </c>
      <c r="K79" s="2" t="n">
        <v>3</v>
      </c>
      <c r="L79" s="2" t="inlineStr">
        <is>
          <t>aerospace, solid mechanics, structural health monitoring</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is>
          <t>Outstanding Mechanical Engineers Distinguished Engineering Alumni Honorary Doctorates Staff Awards Student Awards Distinguished...</t>
        </is>
      </c>
      <c r="AE79" s="2" t="inlineStr"/>
      <c r="AF79" s="2" t="inlineStr"/>
      <c r="AG79" s="2" t="inlineStr"/>
      <c r="AH79" s="2" t="inlineStr">
        <is>
          <t>Acoustic and elastic metamaterial Fractional calculus and fractional mechanics Theoretical and computational mechanics Machine learning applied to computational mechanics Quantum algorithms for computational mechanics Structural health monitoring Wave propagation, structural dynamics and vibration control Adaptive structures</t>
        </is>
      </c>
      <c r="AI79" s="2" t="inlineStr">
        <is>
          <t>Dynamics &amp; Vibration Solid Mechanics</t>
        </is>
      </c>
      <c r="AJ79" s="2" t="inlineStr">
        <is>
          <t>Dynamics &amp; Vibration Solid Mechanics</t>
        </is>
      </c>
      <c r="AK79" s="2" t="inlineStr">
        <is>
          <t>M.S., Aerospace Engineering, University of Rome "La Sapienza", 2000 M.S., Astronautic Engineering, University of Rome "La Sapienza", 2002 Ph.D, Aerospace Engineering, The Pennsylvania State University, 2009</t>
        </is>
      </c>
      <c r="AL79" s="2" t="inlineStr">
        <is>
          <t>Structural Health Monitoring and Dynamics Laboratory</t>
        </is>
      </c>
      <c r="AM79" s="3">
        <f>HYPERLINK("https://sites.google.com/view/semperlotti-lab/index", "https://sites.google.com/view/semperlotti-lab/index")</f>
        <v/>
      </c>
      <c r="AN79" s="2" t="inlineStr"/>
      <c r="AO79" s="2" t="inlineStr"/>
      <c r="AP79" s="2" t="inlineStr"/>
      <c r="AQ79" s="2" t="inlineStr">
        <is>
          <t>Sandia National Laboratories</t>
        </is>
      </c>
      <c r="AR79" s="2" t="inlineStr"/>
      <c r="AS79" s="2" t="inlineStr"/>
      <c r="AT79" s="2" t="inlineStr"/>
      <c r="AU79" s="2" t="b">
        <v>1</v>
      </c>
      <c r="AV79" s="3">
        <f>HYPERLINK("https://engineering.purdue.edu/AAE/people/Faculty", "https://engineering.purdue.edu/AAE/people/Faculty")</f>
        <v/>
      </c>
    </row>
    <row r="80">
      <c r="A80" s="2" t="inlineStr">
        <is>
          <t>Hamid Dalir</t>
        </is>
      </c>
      <c r="B80" s="2" t="inlineStr">
        <is>
          <t>Purdue University</t>
        </is>
      </c>
      <c r="C80" s="3">
        <f>HYPERLINK("https://engineering.purdue.edu/ME/People/ptProfile?resource_id=294590", "https://engineering.purdue.edu/ME/People/ptProfile?resource_id=294590")</f>
        <v/>
      </c>
      <c r="D80" s="3">
        <f>HYPERLINK("https://scholar.google.com/citations?view_op=search_authors&amp;mauthors=Hamid%20Dalir%20Purdue%20University", "Google Scholar Search")</f>
        <v/>
      </c>
      <c r="E80" s="2" t="inlineStr">
        <is>
          <t>Professor of Mechanical Engineering</t>
        </is>
      </c>
      <c r="F80" s="2" t="inlineStr">
        <is>
          <t>Mechanical Engineering</t>
        </is>
      </c>
      <c r="G80" s="2" t="inlineStr"/>
      <c r="H80" s="3">
        <f>HYPERLINK("mailto:hdalir@purdue.edu", "hdalir@purdue.edu")</f>
        <v/>
      </c>
      <c r="I80" s="2" t="n">
        <v>3</v>
      </c>
      <c r="J80" s="2" t="inlineStr">
        <is>
          <t>🟠 Tier 3: Structures / Materials / Manufacturing</t>
        </is>
      </c>
      <c r="K80" s="2" t="n">
        <v>3</v>
      </c>
      <c r="L80" s="2" t="inlineStr">
        <is>
          <t>composites, materials, solid mechanics</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is>
          <t>Outstanding Mechanical Engineers Distinguished Engineering Alumni Honorary Doctorates Staff Awards Student Awards Distinguished...</t>
        </is>
      </c>
      <c r="AE80" s="2" t="inlineStr"/>
      <c r="AF80" s="2" t="inlineStr"/>
      <c r="AG80" s="2" t="inlineStr"/>
      <c r="AH80" s="2" t="inlineStr">
        <is>
          <t>Composites materials design and manufacturing Sustainable and recyclable-by-design polymers and composites Polymer processing and characterization Composites recycling Hybrid manufacturing systems Multiscale modeling Damage mechanics</t>
        </is>
      </c>
      <c r="AI80" s="2" t="inlineStr">
        <is>
          <t>Design &amp; Manufacturing Solid Mechanics Motorsports</t>
        </is>
      </c>
      <c r="AJ80" s="2" t="inlineStr">
        <is>
          <t>Design &amp; Manufacturing Solid Mechanics Motorsports</t>
        </is>
      </c>
      <c r="AK80" s="2" t="inlineStr">
        <is>
          <t>Postdoctoral Fellow, Polytechnique Montreal, '11 Ph.D., Tokyo Institute of Technology, '09 M.S., Sharif University of Technology, '05, B.S., Ferdowsi University of Mashhad, '03</t>
        </is>
      </c>
      <c r="AL80" s="2" t="inlineStr">
        <is>
          <t>Advanced Composite Structures Engineering Lab (ACSEL)</t>
        </is>
      </c>
      <c r="AM80" s="3">
        <f>HYPERLINK("https://www.dalirlab.com/", "https://www.dalirlab.com/")</f>
        <v/>
      </c>
      <c r="AN80" s="2" t="inlineStr"/>
      <c r="AO80" s="2" t="inlineStr"/>
      <c r="AP80" s="2" t="inlineStr"/>
      <c r="AQ80" s="2" t="inlineStr"/>
      <c r="AR80" s="2" t="inlineStr"/>
      <c r="AS80" s="2" t="inlineStr"/>
      <c r="AT80" s="2" t="inlineStr"/>
      <c r="AU80" s="2" t="b">
        <v>1</v>
      </c>
      <c r="AV80" s="3">
        <f>HYPERLINK("https://engineering.purdue.edu/ME/People/ptFaculty", "https://engineering.purdue.edu/ME/People/ptFaculty")</f>
        <v/>
      </c>
    </row>
    <row r="81">
      <c r="A81" s="2" t="inlineStr">
        <is>
          <t>James D. Jones</t>
        </is>
      </c>
      <c r="B81" s="2" t="inlineStr">
        <is>
          <t>Purdue University</t>
        </is>
      </c>
      <c r="C81" s="3">
        <f>HYPERLINK("https://engineering.purdue.edu/ME/People/ptProfile?resource_id=12829", "https://engineering.purdue.edu/ME/People/ptProfile?resource_id=12829")</f>
        <v/>
      </c>
      <c r="D81" s="3">
        <f>HYPERLINK("https://scholar.google.com/citations?view_op=search_authors&amp;mauthors=James%20D.%20Jones%20Purdue%20University", "Google Scholar Search")</f>
        <v/>
      </c>
      <c r="E81" s="2" t="inlineStr">
        <is>
          <t>Associate Professor of Mechanical Engineering</t>
        </is>
      </c>
      <c r="F81" s="2" t="inlineStr">
        <is>
          <t>Mechanical Engineering</t>
        </is>
      </c>
      <c r="G81" s="2" t="inlineStr"/>
      <c r="H81" s="3">
        <f>HYPERLINK("mailto:jonesjd@purdue.edu", "jonesjd@purdue.edu")</f>
        <v/>
      </c>
      <c r="I81" s="2" t="n">
        <v>3</v>
      </c>
      <c r="J81" s="2" t="inlineStr">
        <is>
          <t>🟠 Tier 3: Structures / Materials / Manufacturing</t>
        </is>
      </c>
      <c r="K81" s="2" t="n">
        <v>3</v>
      </c>
      <c r="L81" s="2" t="inlineStr">
        <is>
          <t>materials, smart materials, solid mechanics</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is>
          <t>Outstanding Mechanical Engineers Distinguished Engineering Alumni Honorary Doctorates Staff Awards Student Awards Distinguished...</t>
        </is>
      </c>
      <c r="AE81" s="2" t="inlineStr"/>
      <c r="AF81" s="2" t="inlineStr"/>
      <c r="AG81" s="2" t="inlineStr"/>
      <c r="AH81" s="2" t="inlineStr">
        <is>
          <t>Cooperative learning Acoustics Vibrations Active noise and vibration control Smart materials Intelligent structures</t>
        </is>
      </c>
      <c r="AI81" s="2" t="inlineStr">
        <is>
          <t>Dynamics &amp; Vibration Design &amp; Manufacturing Solid Mechanics</t>
        </is>
      </c>
      <c r="AJ81" s="2" t="inlineStr">
        <is>
          <t>Dynamics &amp; Vibration Design &amp; Manufacturing Solid Mechanics</t>
        </is>
      </c>
      <c r="AK81" s="2" t="inlineStr">
        <is>
          <t>B.S. Tennessee Tech., '81 M.S. VPI &amp; SU, '82 Ph.D. VPI &amp; SU, '87</t>
        </is>
      </c>
      <c r="AL81" s="2" t="inlineStr">
        <is>
          <t>Indiana Space Grant Consortium</t>
        </is>
      </c>
      <c r="AM81" s="3">
        <f>HYPERLINK("https://insgc.spacegrant.org/", "https://insgc.spacegrant.org/")</f>
        <v/>
      </c>
      <c r="AN81" s="2" t="inlineStr">
        <is>
          <t>Academic INSGC Internships</t>
        </is>
      </c>
      <c r="AO81" s="2" t="inlineStr"/>
      <c r="AP81" s="2" t="inlineStr"/>
      <c r="AQ81" s="2" t="inlineStr">
        <is>
          <t>NASA</t>
        </is>
      </c>
      <c r="AR81" s="2" t="inlineStr"/>
      <c r="AS81" s="2" t="inlineStr"/>
      <c r="AT81" s="2" t="inlineStr">
        <is>
          <t>ME 3003H</t>
        </is>
      </c>
      <c r="AU81" s="2" t="b">
        <v>1</v>
      </c>
      <c r="AV81" s="3">
        <f>HYPERLINK("https://engineering.purdue.edu/ME/People/ptFaculty", "https://engineering.purdue.edu/ME/People/ptFaculty")</f>
        <v/>
      </c>
    </row>
    <row r="82">
      <c r="A82" s="2" t="inlineStr">
        <is>
          <t>Jing Zhang</t>
        </is>
      </c>
      <c r="B82" s="2" t="inlineStr">
        <is>
          <t>Purdue University</t>
        </is>
      </c>
      <c r="C82" s="3">
        <f>HYPERLINK("https://engineering.purdue.edu/ME/People/ptProfile?resource_id=293405", "https://engineering.purdue.edu/ME/People/ptProfile?resource_id=293405")</f>
        <v/>
      </c>
      <c r="D82" s="3">
        <f>HYPERLINK("https://scholar.google.com/citations?view_op=search_authors&amp;mauthors=Jing%20Zhang%20Purdue%20University", "Google Scholar Search")</f>
        <v/>
      </c>
      <c r="E82" s="2" t="inlineStr">
        <is>
          <t>Associate Professor of Mechanical Engineering</t>
        </is>
      </c>
      <c r="F82" s="2" t="inlineStr">
        <is>
          <t>Mechanical Engineering</t>
        </is>
      </c>
      <c r="G82" s="2" t="inlineStr"/>
      <c r="H82" s="3">
        <f>HYPERLINK("mailto:zhan2437@purdue.edu", "zhan2437@purdue.edu")</f>
        <v/>
      </c>
      <c r="I82" s="2" t="n">
        <v>3</v>
      </c>
      <c r="J82" s="2" t="inlineStr">
        <is>
          <t>🟠 Tier 3: Structures / Materials / Manufacturing</t>
        </is>
      </c>
      <c r="K82" s="2" t="n">
        <v>3</v>
      </c>
      <c r="L82" s="2" t="inlineStr">
        <is>
          <t>finite element, materials, thermal</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is>
          <t>Outstanding Mechanical Engineers Distinguished Engineering Alumni Honorary Doctorates Staff Awards Student Awards Distinguished...</t>
        </is>
      </c>
      <c r="AE82" s="2" t="inlineStr"/>
      <c r="AF82" s="2" t="inlineStr"/>
      <c r="AG82" s="2" t="inlineStr"/>
      <c r="AH82" s="2" t="inlineStr">
        <is>
          <t>Additive manufacturing or 3D printing Renewable energy (thermal barrier coating, lithium ion battery, hydrogen transport membrane, solid oxide fuel cell) Multi-scale modeling (finite element method, discrete element method, molecular dynamics, ab initio method) Coupled phenomena (thermal and electrical properties, mass transport), and their applications to processing (additive manufacturing, powder metallurgy, compaction and sintering, metal forming) Ceramic materials for biomedical and power generation applications</t>
        </is>
      </c>
      <c r="AI82" s="2" t="inlineStr"/>
      <c r="AJ82" s="2" t="inlineStr">
        <is>
          <t>Additive manufacturing or 3D printing Renewable energy (thermal barrier coating, lithium ion battery, hydrogen transport membrane, solid oxide fuel cell) Multi-scale modeling (finite element method, discrete element method, molecular dynamics, ab initio method) Coupled phenomena (thermal and electrical properties, mass transport), and their applications to processing (additive manufacturing, po...</t>
        </is>
      </c>
      <c r="AK82" s="2" t="inlineStr">
        <is>
          <t>Ph.D. Materials Science and Engineering, Drexel University, 07/2004 B.A. Manufacturing Engineering, Beihang University, 03/1999 B.A. Metal Forming, University of Science and Technology Beijing, 07/1996</t>
        </is>
      </c>
      <c r="AL82" s="2" t="inlineStr">
        <is>
          <t>Indiana Space Grant Consortium</t>
        </is>
      </c>
      <c r="AM82" s="3">
        <f>HYPERLINK("https://insgc.spacegrant.org/", "https://insgc.spacegrant.org/")</f>
        <v/>
      </c>
      <c r="AN82" s="2" t="inlineStr">
        <is>
          <t>Academic INSGC Internships</t>
        </is>
      </c>
      <c r="AO82" s="2" t="inlineStr"/>
      <c r="AP82" s="2" t="inlineStr"/>
      <c r="AQ82" s="2" t="inlineStr">
        <is>
          <t>NASA</t>
        </is>
      </c>
      <c r="AR82" s="2" t="inlineStr"/>
      <c r="AS82" s="2" t="inlineStr"/>
      <c r="AT82" s="2" t="inlineStr">
        <is>
          <t>SL 160J</t>
        </is>
      </c>
      <c r="AU82" s="2" t="b">
        <v>1</v>
      </c>
      <c r="AV82" s="3">
        <f>HYPERLINK("https://engineering.purdue.edu/ME/People/ptFaculty", "https://engineering.purdue.edu/ME/People/ptFaculty")</f>
        <v/>
      </c>
    </row>
    <row r="83">
      <c r="A83" s="2" t="inlineStr">
        <is>
          <t>Jong Hyun Choi</t>
        </is>
      </c>
      <c r="B83" s="2" t="inlineStr">
        <is>
          <t>Purdue University</t>
        </is>
      </c>
      <c r="C83" s="3">
        <f>HYPERLINK("https://engineering.purdue.edu/ME/People/ptProfile?resource_id=50402", "https://engineering.purdue.edu/ME/People/ptProfile?resource_id=50402")</f>
        <v/>
      </c>
      <c r="D83" s="3">
        <f>HYPERLINK("https://scholar.google.com/citations?user=aSHRXOkAAAAJ&amp;hl=en", "Scholar (aSHRXOkAAAAJ)")</f>
        <v/>
      </c>
      <c r="E83" s="2" t="inlineStr">
        <is>
          <t>Professor of Mechanical Engineering</t>
        </is>
      </c>
      <c r="F83" s="2" t="inlineStr">
        <is>
          <t>Mechanical Engineering</t>
        </is>
      </c>
      <c r="G83" s="2" t="inlineStr">
        <is>
          <t>aSHRXOkAAAAJ</t>
        </is>
      </c>
      <c r="H83" s="3">
        <f>HYPERLINK("mailto:jchoi@purdue.edu", "jchoi@purdue.edu")</f>
        <v/>
      </c>
      <c r="I83" s="2" t="n">
        <v>3</v>
      </c>
      <c r="J83" s="2" t="inlineStr">
        <is>
          <t>🟠 Tier 3: Structures / Materials / Manufacturing</t>
        </is>
      </c>
      <c r="K83" s="2" t="n">
        <v>3</v>
      </c>
      <c r="L83" s="2" t="inlineStr">
        <is>
          <t>materials, solid mechanics, thermodynamics</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is>
          <t>Outstanding Mechanical Engineers Distinguished Engineering Alumni Honorary Doctorates Staff Awards Student Awards Distinguished...</t>
        </is>
      </c>
      <c r="AE83" s="2" t="inlineStr"/>
      <c r="AF83" s="2" t="inlineStr"/>
      <c r="AG83" s="2" t="inlineStr"/>
      <c r="AH83" s="2" t="inlineStr">
        <is>
          <t>Advanced materials Programmable metastructures Bioinspired design and manufacturing DNA nanotechnology Nanomachines</t>
        </is>
      </c>
      <c r="AI83" s="2" t="inlineStr">
        <is>
          <t>Thermodynamics Heat &amp; Mass Transfer Solid Mechanics</t>
        </is>
      </c>
      <c r="AJ83" s="2" t="inlineStr">
        <is>
          <t>Thermodynamics Heat &amp; Mass Transfer Solid Mechanics</t>
        </is>
      </c>
      <c r="AK83" s="2" t="inlineStr">
        <is>
          <t>B.S., Yonsei University, '99 M.S., Yonsei University, '01 Ph.D., University of California, Berkeley, '05</t>
        </is>
      </c>
      <c r="AL83" s="2" t="inlineStr">
        <is>
          <t>Choi Lab</t>
        </is>
      </c>
      <c r="AM83" s="3">
        <f>HYPERLINK("https://choinano.org/ ", "https://choinano.org/ ")</f>
        <v/>
      </c>
      <c r="AN83" s="2" t="inlineStr"/>
      <c r="AO83" s="2" t="inlineStr"/>
      <c r="AP83" s="2" t="inlineStr"/>
      <c r="AQ83" s="2" t="inlineStr"/>
      <c r="AR83" s="2" t="inlineStr"/>
      <c r="AS83" s="2" t="inlineStr"/>
      <c r="AT83" s="2" t="inlineStr">
        <is>
          <t>ME 2198</t>
        </is>
      </c>
      <c r="AU83" s="2" t="b">
        <v>1</v>
      </c>
      <c r="AV83" s="3">
        <f>HYPERLINK("https://engineering.purdue.edu/ME/People/ptFaculty", "https://engineering.purdue.edu/ME/People/ptFaculty")</f>
        <v/>
      </c>
    </row>
    <row r="84">
      <c r="A84" s="2" t="inlineStr">
        <is>
          <t>Junfei Li</t>
        </is>
      </c>
      <c r="B84" s="2" t="inlineStr">
        <is>
          <t>Purdue University</t>
        </is>
      </c>
      <c r="C84" s="3">
        <f>HYPERLINK("https://engineering.purdue.edu/ME/People/ptProfile?resource_id=286140", "https://engineering.purdue.edu/ME/People/ptProfile?resource_id=286140")</f>
        <v/>
      </c>
      <c r="D84" s="3">
        <f>HYPERLINK("https://scholar.google.com/citations?view_op=search_authors&amp;mauthors=Junfei%20Li%20Purdue%20University", "Google Scholar Search")</f>
        <v/>
      </c>
      <c r="E84" s="2" t="inlineStr">
        <is>
          <t>Assistant Professor of Mechanical Engineering</t>
        </is>
      </c>
      <c r="F84" s="2" t="inlineStr">
        <is>
          <t>Mechanical Engineering</t>
        </is>
      </c>
      <c r="G84" s="2" t="inlineStr"/>
      <c r="H84" s="3">
        <f>HYPERLINK("mailto:junfeili@purdue.edu", "junfeili@purdue.edu")</f>
        <v/>
      </c>
      <c r="I84" s="2" t="n">
        <v>3</v>
      </c>
      <c r="J84" s="2" t="inlineStr">
        <is>
          <t>🟠 Tier 3: Structures / Materials / Manufacturing</t>
        </is>
      </c>
      <c r="K84" s="2" t="n">
        <v>3</v>
      </c>
      <c r="L84" s="2" t="inlineStr">
        <is>
          <t>fluid mechanics, materials, metamaterials</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is>
          <t>Outstanding Mechanical Engineers Distinguished Engineering Alumni Honorary Doctorates Staff Awards Student Awards Distinguished...</t>
        </is>
      </c>
      <c r="AE84" s="2" t="inlineStr"/>
      <c r="AF84" s="2" t="inlineStr"/>
      <c r="AG84" s="2" t="inlineStr"/>
      <c r="AH84" s="2" t="inlineStr">
        <is>
          <t>Acoustic tweezers Acoustofluidics Acoustic metamaterials Ultrasound control Underwater communication Ultrasound imaging Multiphysics wave propagation theory Noise control and energy harvesting</t>
        </is>
      </c>
      <c r="AI84" s="2" t="inlineStr">
        <is>
          <t>Dynamics &amp; Vibration Fluid Mechanics Heat &amp; Mass Transfer Systems, Measurements &amp; Controls</t>
        </is>
      </c>
      <c r="AJ84" s="2" t="inlineStr">
        <is>
          <t>Dynamics &amp; Vibration Fluid Mechanics Heat &amp; Mass Transfer Systems, Measurements &amp; Controls</t>
        </is>
      </c>
      <c r="AK84" s="2" t="inlineStr"/>
      <c r="AL84" s="2" t="inlineStr">
        <is>
          <t>Indiana Space Grant Consortium</t>
        </is>
      </c>
      <c r="AM84" s="3">
        <f>HYPERLINK("https://insgc.spacegrant.org/", "https://insgc.spacegrant.org/")</f>
        <v/>
      </c>
      <c r="AN84" s="2" t="inlineStr">
        <is>
          <t>Academic INSGC Internships</t>
        </is>
      </c>
      <c r="AO84" s="2" t="inlineStr"/>
      <c r="AP84" s="2" t="inlineStr"/>
      <c r="AQ84" s="2" t="inlineStr">
        <is>
          <t>NASA</t>
        </is>
      </c>
      <c r="AR84" s="2" t="inlineStr"/>
      <c r="AS84" s="2" t="inlineStr"/>
      <c r="AT84" s="2" t="inlineStr"/>
      <c r="AU84" s="2" t="b">
        <v>1</v>
      </c>
      <c r="AV84" s="3">
        <f>HYPERLINK("https://engineering.purdue.edu/ME/People/ptFaculty", "https://engineering.purdue.edu/ME/People/ptFaculty")</f>
        <v/>
      </c>
    </row>
    <row r="85">
      <c r="A85" s="2" t="inlineStr">
        <is>
          <t>Marisol Koslowski</t>
        </is>
      </c>
      <c r="B85" s="2" t="inlineStr">
        <is>
          <t>Purdue University</t>
        </is>
      </c>
      <c r="C85" s="3">
        <f>HYPERLINK("https://engineering.purdue.edu/ME/People/ptProfile?resource_id=29264", "https://engineering.purdue.edu/ME/People/ptProfile?resource_id=29264")</f>
        <v/>
      </c>
      <c r="D85" s="3">
        <f>HYPERLINK("https://scholar.google.com/citations?view_op=search_authors&amp;mauthors=Marisol%20Koslowski%20Purdue%20University", "Google Scholar Search")</f>
        <v/>
      </c>
      <c r="E85" s="2" t="inlineStr">
        <is>
          <t>Associate Dean for Global Engineering Programs and Partnerships and Professor of Mechanical Engineering</t>
        </is>
      </c>
      <c r="F85" s="2" t="inlineStr">
        <is>
          <t>Mechanical Engineering</t>
        </is>
      </c>
      <c r="G85" s="2" t="inlineStr"/>
      <c r="H85" s="3">
        <f>HYPERLINK("mailto:marisol@purdue.edu", "marisol@purdue.edu")</f>
        <v/>
      </c>
      <c r="I85" s="2" t="n">
        <v>3</v>
      </c>
      <c r="J85" s="2" t="inlineStr">
        <is>
          <t>🟠 Tier 3: Structures / Materials / Manufacturing</t>
        </is>
      </c>
      <c r="K85" s="2" t="n">
        <v>3</v>
      </c>
      <c r="L85" s="2" t="inlineStr">
        <is>
          <t>finite element, materials, solid mechanics</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is>
          <t>Outstanding Mechanical Engineers Distinguished Engineering Alumni Honorary Doctorates Staff Awards Student Awards Distinguished...</t>
        </is>
      </c>
      <c r="AE85" s="2" t="inlineStr"/>
      <c r="AF85" s="2" t="inlineStr"/>
      <c r="AG85" s="2" t="inlineStr"/>
      <c r="AH85" s="2" t="inlineStr">
        <is>
          <t>Computational solid mechanics Multiscale modeling of materials Finite Elements Dislocation dynamics Reliability of electronic interconnects Shock compression in solids Phase transformations Energetic materials</t>
        </is>
      </c>
      <c r="AI85" s="2" t="inlineStr">
        <is>
          <t>Solid Mechanics</t>
        </is>
      </c>
      <c r="AJ85" s="2" t="inlineStr">
        <is>
          <t>Solid Mechanics</t>
        </is>
      </c>
      <c r="AK85" s="2" t="inlineStr">
        <is>
          <t>B.S. University of Buenos Aires, Argentina, '97 M.S. California Institute of Technology, '99 Ph.D. California Institute of Technology, '03</t>
        </is>
      </c>
      <c r="AL85" s="2" t="inlineStr">
        <is>
          <t>Koslowski Group</t>
        </is>
      </c>
      <c r="AM85" s="3">
        <f>HYPERLINK("https://koslowskigroup.org/", "https://koslowskigroup.org/")</f>
        <v/>
      </c>
      <c r="AN85" s="2" t="inlineStr"/>
      <c r="AO85" s="2" t="inlineStr"/>
      <c r="AP85" s="2" t="inlineStr"/>
      <c r="AQ85" s="2" t="inlineStr"/>
      <c r="AR85" s="2" t="inlineStr"/>
      <c r="AS85" s="2" t="inlineStr"/>
      <c r="AT85" s="2" t="inlineStr"/>
      <c r="AU85" s="2" t="b">
        <v>1</v>
      </c>
      <c r="AV85" s="3">
        <f>HYPERLINK("https://engineering.purdue.edu/ME/People/ptFaculty", "https://engineering.purdue.edu/ME/People/ptFaculty")</f>
        <v/>
      </c>
    </row>
    <row r="86">
      <c r="A86" s="2" t="inlineStr">
        <is>
          <t>R Byron Pipes</t>
        </is>
      </c>
      <c r="B86" s="2" t="inlineStr">
        <is>
          <t>Purdue University</t>
        </is>
      </c>
      <c r="C86" s="3">
        <f>HYPERLINK("https://engineering.purdue.edu/AAE/people/ptProfile?resource_id=1436", "https://engineering.purdue.edu/AAE/people/ptProfile?resource_id=1436")</f>
        <v/>
      </c>
      <c r="D86" s="3">
        <f>HYPERLINK("https://scholar.google.com/citations?view_op=search_authors&amp;mauthors=R%20Byron%20Pipes%20Purdue%20University", "Google Scholar Search")</f>
        <v/>
      </c>
      <c r="E86" s="2" t="inlineStr">
        <is>
          <t>John L. Bray Distinguished Professor of Engineering</t>
        </is>
      </c>
      <c r="F86" s="2" t="inlineStr">
        <is>
          <t>Aeronautics and Astronautics</t>
        </is>
      </c>
      <c r="G86" s="2" t="inlineStr"/>
      <c r="H86" s="3">
        <f>HYPERLINK("mailto:bpipes@purdue.edu", "bpipes@purdue.edu")</f>
        <v/>
      </c>
      <c r="I86" s="2" t="n">
        <v>3</v>
      </c>
      <c r="J86" s="2" t="inlineStr">
        <is>
          <t>🟠 Tier 3: Structures / Materials / Manufacturing</t>
        </is>
      </c>
      <c r="K86" s="2" t="n">
        <v>3</v>
      </c>
      <c r="L86" s="2" t="inlineStr">
        <is>
          <t>aerospace, composites, materials</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is>
          <t>Appointments Executive Director of the Composites Manufacturing Simulation Center of Purdue University, 2015-present. Director ...</t>
        </is>
      </c>
      <c r="AE86" s="2" t="inlineStr"/>
      <c r="AF86" s="2" t="inlineStr"/>
      <c r="AG86" s="2" t="inlineStr"/>
      <c r="AH86" s="2" t="inlineStr">
        <is>
          <t>Composites Design and Simulation Composites Manufacturing Simulation Experimental Characterization Multiscale Modeling Structural Mechanics Rheology of suspensions Multiphysics Modeling</t>
        </is>
      </c>
      <c r="AI86" s="2" t="inlineStr">
        <is>
          <t>Dr. Pipes' graduate students work in composites manufacturing simulation focuses on the influence of manufacturing processes on the development of composites microstructure and the resulting implications upon structural performance. Two primary manufacturing processes are the subject of the majority of the scholarship underway and these include composites additive manufacturing (cAM) through fused filament fabrication and discontinuous prepreg platelet composites. For cAM, the research is directed at the prediction of the free-surface flow of fiber-reinforced polymer extrudates and the multi-physics phenomena that determine extrudate-substrate adhesion, shrinkage deformation, mechanical and transport properties and performance of the printed geometry. The discontinuous prepreg platelet studies examine the rheology of these highly anisotropic systems to determine fiber orientation distribution within a molded geometry, micro-CAT scan methods for determination of fiber orientation and prediction of the strength properties of structural elements molded from these materials systems.</t>
        </is>
      </c>
      <c r="AJ86" s="2" t="inlineStr">
        <is>
          <t>Dr. Pipes' graduate students work in composites manufacturing simulation focuses on the influence of manufacturing processes on the development of composites microstructure and the resulting implications upon structural performance. Two primary manufacturing processes are the subject of the majority of the scholarship underway and these include composites additive manufacturing (cAM) through fu...</t>
        </is>
      </c>
      <c r="AK86" s="2" t="inlineStr">
        <is>
          <t>Princeton University, MSE Structural Mechanics, 1969 University of Texas at Arlington, PhD Mechanical Engineering, 1972</t>
        </is>
      </c>
      <c r="AL86" s="2" t="inlineStr">
        <is>
          <t>Indiana Space Grant Consortium</t>
        </is>
      </c>
      <c r="AM86" s="3">
        <f>HYPERLINK("https://insgc.spacegrant.org/", "https://insgc.spacegrant.org/")</f>
        <v/>
      </c>
      <c r="AN86" s="2" t="inlineStr">
        <is>
          <t>Academic INSGC Internships</t>
        </is>
      </c>
      <c r="AO86" s="2" t="inlineStr"/>
      <c r="AP86" s="2" t="inlineStr"/>
      <c r="AQ86" s="2" t="inlineStr">
        <is>
          <t>NASA</t>
        </is>
      </c>
      <c r="AR86" s="2" t="inlineStr"/>
      <c r="AS86" s="2" t="inlineStr"/>
      <c r="AT86" s="2" t="inlineStr"/>
      <c r="AU86" s="2" t="b">
        <v>1</v>
      </c>
      <c r="AV86" s="3">
        <f>HYPERLINK("https://engineering.purdue.edu/AAE/people/Faculty", "https://engineering.purdue.edu/AAE/people/Faculty")</f>
        <v/>
      </c>
    </row>
    <row r="87">
      <c r="A87" s="2" t="inlineStr">
        <is>
          <t>Shubhra Bansal</t>
        </is>
      </c>
      <c r="B87" s="2" t="inlineStr">
        <is>
          <t>Purdue University</t>
        </is>
      </c>
      <c r="C87" s="3">
        <f>HYPERLINK("https://engineering.purdue.edu/ME/People/ptProfile?resource_id=273456", "https://engineering.purdue.edu/ME/People/ptProfile?resource_id=273456")</f>
        <v/>
      </c>
      <c r="D87" s="3">
        <f>HYPERLINK("https://scholar.google.com/citations?user=E8PanGMAAAAJ", "Scholar (E8PanGMAAAAJ)")</f>
        <v/>
      </c>
      <c r="E87" s="2" t="inlineStr">
        <is>
          <t>Associate Professor of Mechanical Engineering and Materials Engineering</t>
        </is>
      </c>
      <c r="F87" s="2" t="inlineStr">
        <is>
          <t>Mechanical Engineering</t>
        </is>
      </c>
      <c r="G87" s="2" t="inlineStr">
        <is>
          <t>E8PanGMAAAAJ</t>
        </is>
      </c>
      <c r="H87" s="3">
        <f>HYPERLINK("mailto:bansal91@purdue.edu", "bansal91@purdue.edu")</f>
        <v/>
      </c>
      <c r="I87" s="2" t="n">
        <v>3</v>
      </c>
      <c r="J87" s="2" t="inlineStr">
        <is>
          <t>🟠 Tier 3: Structures / Materials / Manufacturing</t>
        </is>
      </c>
      <c r="K87" s="2" t="n">
        <v>3</v>
      </c>
      <c r="L87" s="2" t="inlineStr">
        <is>
          <t>materials, solid mechanics, thermal</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is>
          <t>Outstanding Mechanical Engineers Distinguished Engineering Alumni Honorary Doctorates Staff Awards Student Awards Distinguished...</t>
        </is>
      </c>
      <c r="AE87" s="2" t="inlineStr"/>
      <c r="AF87" s="2" t="inlineStr"/>
      <c r="AG87" s="2" t="inlineStr"/>
      <c r="AH87" s="2" t="inlineStr">
        <is>
          <t>Renewable Energy Materials (physics-based energy yield predictions, sustainable PV and energy storage materials, recycling) Electro-Optical-Thermo-Mechanical Reliability (in-situ and in-operando accelerated stress tests) Heterogeneous Integration &amp; Advanced Packaging (sub-10 μm pitch interconnects, low-loss interposers) Harsh Environment Electronics Integration (high temperature Pb-free solders and nano-thermal interfaces)</t>
        </is>
      </c>
      <c r="AI87" s="2" t="inlineStr">
        <is>
          <t>Design &amp; Manufacturing Solid Mechanics</t>
        </is>
      </c>
      <c r="AJ87" s="2" t="inlineStr">
        <is>
          <t>Design &amp; Manufacturing Solid Mechanics</t>
        </is>
      </c>
      <c r="AK87" s="2" t="inlineStr"/>
      <c r="AL87" s="2" t="inlineStr">
        <is>
          <t>Bansal Research Group</t>
        </is>
      </c>
      <c r="AM87" s="3">
        <f>HYPERLINK("https://engineering.purdue.edu/EMRSL", "https://engineering.purdue.edu/EMRSL")</f>
        <v/>
      </c>
      <c r="AN87" s="2" t="inlineStr"/>
      <c r="AO87" s="2" t="inlineStr"/>
      <c r="AP87" s="2" t="inlineStr"/>
      <c r="AQ87" s="2" t="inlineStr"/>
      <c r="AR87" s="2" t="inlineStr"/>
      <c r="AS87" s="2" t="inlineStr"/>
      <c r="AT87" s="2" t="inlineStr">
        <is>
          <t>FLEX 3081D</t>
        </is>
      </c>
      <c r="AU87" s="2" t="b">
        <v>1</v>
      </c>
      <c r="AV87" s="3">
        <f>HYPERLINK("https://engineering.purdue.edu/ME/People/ptFaculty", "https://engineering.purdue.edu/ME/People/ptFaculty")</f>
        <v/>
      </c>
    </row>
    <row r="88">
      <c r="A88" s="2" t="inlineStr">
        <is>
          <t>Chi Hwan Lee</t>
        </is>
      </c>
      <c r="B88" s="2" t="inlineStr">
        <is>
          <t>Purdue University</t>
        </is>
      </c>
      <c r="C88" s="3">
        <f>HYPERLINK("https://engineering.purdue.edu/ME/People/ptProfile?resource_id=127246", "https://engineering.purdue.edu/ME/People/ptProfile?resource_id=127246")</f>
        <v/>
      </c>
      <c r="D88" s="3">
        <f>HYPERLINK("https://scholar.google.com/citations?view_op=search_authors&amp;mauthors=Chi%20Hwan%20Lee%20Purdue%20University", "Google Scholar Search")</f>
        <v/>
      </c>
      <c r="E88" s="2" t="inlineStr">
        <is>
          <t>Professor of Biomedical Engineering and Mechanical Engineering</t>
        </is>
      </c>
      <c r="F88" s="2" t="inlineStr">
        <is>
          <t>Mechanical Engineering</t>
        </is>
      </c>
      <c r="G88" s="2" t="inlineStr"/>
      <c r="H88" s="3">
        <f>HYPERLINK("mailto:lee2270@purdue.edu", "lee2270@purdue.edu")</f>
        <v/>
      </c>
      <c r="I88" s="2" t="n">
        <v>3</v>
      </c>
      <c r="J88" s="2" t="inlineStr">
        <is>
          <t>🟠 Tier 3: Structures / Materials / Manufacturing</t>
        </is>
      </c>
      <c r="K88" s="2" t="n">
        <v>2</v>
      </c>
      <c r="L88" s="2" t="inlineStr">
        <is>
          <t>materials, solid mechanics</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is>
          <t>Outstanding Mechanical Engineers Distinguished Engineering Alumni Honorary Doctorates Staff Awards Student Awards Distinguished...</t>
        </is>
      </c>
      <c r="AE88" s="2" t="inlineStr">
        <is>
          <t>Email: lee2270@purdue.edu Phone: +1 (765) 494 6212 | Contact Info. Prof Chi Hwan Lee, Email: lee2270@purdue.edu, Tel: +1 (765) 494-6212</t>
        </is>
      </c>
      <c r="AF88" s="2" t="inlineStr"/>
      <c r="AG88" s="2" t="inlineStr"/>
      <c r="AH88" s="2" t="inlineStr">
        <is>
          <t>Wearable biomedical devices 'Crack’-driven transfer printing technology Scalable manufacturing technology Mechanics and materials for flexible/stretchable electronics</t>
        </is>
      </c>
      <c r="AI88" s="2" t="inlineStr">
        <is>
          <t>Design &amp; Manufacturing Solid Mechanics</t>
        </is>
      </c>
      <c r="AJ88" s="2" t="inlineStr">
        <is>
          <t>Design &amp; Manufacturing Solid Mechanics</t>
        </is>
      </c>
      <c r="AK88" s="2" t="inlineStr">
        <is>
          <t>PhD, Mechanical Engineering, Stanford University, '13 MS, Mechanical Engineering, Stanford University, '08 BSE, Mechanical Engineering, Illinois Institute of Technology, '07</t>
        </is>
      </c>
      <c r="AL88" s="2" t="inlineStr">
        <is>
          <t>Personal Homepage</t>
        </is>
      </c>
      <c r="AM88" s="3">
        <f>HYPERLINK("https://engineering.purdue.edu/StickTronics/", "https://engineering.purdue.edu/StickTronics/")</f>
        <v/>
      </c>
      <c r="AN88" s="2" t="inlineStr"/>
      <c r="AO88" s="2" t="inlineStr"/>
      <c r="AP88" s="2" t="inlineStr"/>
      <c r="AQ88" s="2" t="inlineStr"/>
      <c r="AR88" s="2" t="inlineStr"/>
      <c r="AS88" s="2" t="inlineStr"/>
      <c r="AT88" s="2" t="inlineStr"/>
      <c r="AU88" s="2" t="b">
        <v>1</v>
      </c>
      <c r="AV88" s="3">
        <f>HYPERLINK("https://engineering.purdue.edu/ME/People/ptFaculty", "https://engineering.purdue.edu/ME/People/ptFaculty")</f>
        <v/>
      </c>
    </row>
    <row r="89">
      <c r="A89" s="2" t="inlineStr">
        <is>
          <t>Dianyun Zhang</t>
        </is>
      </c>
      <c r="B89" s="2" t="inlineStr">
        <is>
          <t>Purdue University</t>
        </is>
      </c>
      <c r="C89" s="3">
        <f>HYPERLINK("https://engineering.purdue.edu/AAE/people/ptProfile?resource_id=243165", "https://engineering.purdue.edu/AAE/people/ptProfile?resource_id=243165")</f>
        <v/>
      </c>
      <c r="D89" s="3">
        <f>HYPERLINK("https://scholar.google.com/citations?view_op=search_authors&amp;mauthors=Dianyun%20Zhang%20Purdue%20University", "Google Scholar Search")</f>
        <v/>
      </c>
      <c r="E89" s="2" t="inlineStr">
        <is>
          <t>Associate Professor</t>
        </is>
      </c>
      <c r="F89" s="2" t="inlineStr">
        <is>
          <t>Aeronautics and Astronautics</t>
        </is>
      </c>
      <c r="G89" s="2" t="inlineStr"/>
      <c r="H89" s="3">
        <f>HYPERLINK("mailto:dianyun@purdue.edu", "dianyun@purdue.edu")</f>
        <v/>
      </c>
      <c r="I89" s="2" t="n">
        <v>3</v>
      </c>
      <c r="J89" s="2" t="inlineStr">
        <is>
          <t>🟠 Tier 3: Structures / Materials / Manufacturing</t>
        </is>
      </c>
      <c r="K89" s="2" t="n">
        <v>2</v>
      </c>
      <c r="L89" s="2" t="inlineStr">
        <is>
          <t>composites, materials</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is>
          <t>Zhang’s broad area of research interest is in experimental characterization and computational modeling of lightweight materials, including polymer matrix composites, ceramic matrix composites and bio-inspired materials. Edit var myPronunciation=document.getElementById("pronunciation");
    function play() {
    myPronunciation.play();
    }
    function pause() {
    myPronunciation.pause();
    }</t>
        </is>
      </c>
      <c r="AI89" s="2" t="inlineStr"/>
      <c r="AJ89" s="2" t="inlineStr">
        <is>
          <t>Zhang’s broad area of research interest is in experimental characterization and computational modeling of lightweight materials, including polymer matrix composites, ceramic matrix composites and bio-inspired materials. Edit var myPronunciation=document.getElementById("pronunciation");
    function play() {
    myPronunciation.play();
    }
    function pause() {
    myPronunciation....</t>
        </is>
      </c>
      <c r="AK89" s="2" t="inlineStr"/>
      <c r="AL89" s="2" t="inlineStr">
        <is>
          <t>Indiana Space Grant Consortium</t>
        </is>
      </c>
      <c r="AM89" s="3">
        <f>HYPERLINK("https://insgc.spacegrant.org/", "https://insgc.spacegrant.org/")</f>
        <v/>
      </c>
      <c r="AN89" s="2" t="inlineStr">
        <is>
          <t>Academic INSGC Internships</t>
        </is>
      </c>
      <c r="AO89" s="2" t="inlineStr"/>
      <c r="AP89" s="2" t="inlineStr"/>
      <c r="AQ89" s="2" t="inlineStr">
        <is>
          <t>NASA</t>
        </is>
      </c>
      <c r="AR89" s="2" t="inlineStr"/>
      <c r="AS89" s="2" t="inlineStr"/>
      <c r="AT89" s="2" t="inlineStr">
        <is>
          <t>ARMS 3233</t>
        </is>
      </c>
      <c r="AU89" s="2" t="b">
        <v>1</v>
      </c>
      <c r="AV89" s="3">
        <f>HYPERLINK("https://engineering.purdue.edu/AAE/people/Faculty", "https://engineering.purdue.edu/AAE/people/Faculty")</f>
        <v/>
      </c>
    </row>
    <row r="90">
      <c r="A90" s="2" t="inlineStr">
        <is>
          <t>Fu Zhao</t>
        </is>
      </c>
      <c r="B90" s="2" t="inlineStr">
        <is>
          <t>Purdue University</t>
        </is>
      </c>
      <c r="C90" s="3">
        <f>HYPERLINK("https://engineering.purdue.edu/ME/People/ptProfile?resource_id=29424", "https://engineering.purdue.edu/ME/People/ptProfile?resource_id=29424")</f>
        <v/>
      </c>
      <c r="D90" s="3">
        <f>HYPERLINK("https://scholar.google.com/citations?view_op=search_authors&amp;mauthors=Fu%20Zhao%20Purdue%20University", "Google Scholar Search")</f>
        <v/>
      </c>
      <c r="E90" s="2" t="inlineStr">
        <is>
          <t>Professor of Mechanical Engineering, and Sustainability Engineering &amp; Environmental Engineering</t>
        </is>
      </c>
      <c r="F90" s="2" t="inlineStr">
        <is>
          <t>Mechanical Engineering</t>
        </is>
      </c>
      <c r="G90" s="2" t="inlineStr"/>
      <c r="H90" s="3">
        <f>HYPERLINK("mailto:fzhao@purdue.edu", "fzhao@purdue.edu")</f>
        <v/>
      </c>
      <c r="I90" s="2" t="n">
        <v>3</v>
      </c>
      <c r="J90" s="2" t="inlineStr">
        <is>
          <t>🟠 Tier 3: Structures / Materials / Manufacturing</t>
        </is>
      </c>
      <c r="K90" s="2" t="n">
        <v>2</v>
      </c>
      <c r="L90" s="2" t="inlineStr">
        <is>
          <t>materials, thermodynamics</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is>
          <t>Outstanding Mechanical Engineers Distinguished Engineering Alumni Honorary Doctorates Staff Awards Student Awards Distinguished...</t>
        </is>
      </c>
      <c r="AE90" s="2" t="inlineStr">
        <is>
          <t>We are always looking for motivated students interested in sustainability research. If you're interested in joining our lab, please email Professor Zhao with your CV and research interests.</t>
        </is>
      </c>
      <c r="AF90" s="2" t="inlineStr"/>
      <c r="AG90" s="2" t="inlineStr"/>
      <c r="AH90" s="2" t="inlineStr">
        <is>
          <t>Environment friendly design and life cycle engineering Applications of bio-based materials in manufacturing Fast and low-cost detection of pathogenic microorganisms Biomass thermo-chemical upgrading for liquid and gaseous fuel</t>
        </is>
      </c>
      <c r="AI90" s="2" t="inlineStr">
        <is>
          <t>Thermodynamics Design &amp; Manufacturing</t>
        </is>
      </c>
      <c r="AJ90" s="2" t="inlineStr">
        <is>
          <t>Thermodynamics Design &amp; Manufacturing</t>
        </is>
      </c>
      <c r="AK90" s="2" t="inlineStr">
        <is>
          <t>B.S. Tsinghua University, '93 M.E. Tsinghua University, '96 M.S. University of Michigan, '01 Ph.D. University of Michigan, '05</t>
        </is>
      </c>
      <c r="AL90" s="2" t="inlineStr">
        <is>
          <t>Personal Homepage</t>
        </is>
      </c>
      <c r="AM90" s="3">
        <f>HYPERLINK("https://engineering.purdue.edu/~fzhao/", "https://engineering.purdue.edu/~fzhao/")</f>
        <v/>
      </c>
      <c r="AN90" s="2" t="inlineStr">
        <is>
          <t>We are always looking for motivated students interested in sustainability research. If you're interested in joining our lab, please email Professor Zhao with your CV and research interests.</t>
        </is>
      </c>
      <c r="AO90" s="2" t="inlineStr"/>
      <c r="AP90" s="2" t="inlineStr"/>
      <c r="AQ90" s="2" t="inlineStr">
        <is>
          <t>DOE</t>
        </is>
      </c>
      <c r="AR90" s="2" t="inlineStr"/>
      <c r="AS90" s="2" t="inlineStr"/>
      <c r="AT90" s="2" t="inlineStr">
        <is>
          <t>ME 2194</t>
        </is>
      </c>
      <c r="AU90" s="2" t="b">
        <v>1</v>
      </c>
      <c r="AV90" s="3">
        <f>HYPERLINK("https://engineering.purdue.edu/ME/People/ptFaculty", "https://engineering.purdue.edu/ME/People/ptFaculty")</f>
        <v/>
      </c>
    </row>
    <row r="91">
      <c r="A91" s="2" t="inlineStr">
        <is>
          <t>Heather Liddell</t>
        </is>
      </c>
      <c r="B91" s="2" t="inlineStr">
        <is>
          <t>Purdue University</t>
        </is>
      </c>
      <c r="C91" s="3">
        <f>HYPERLINK("https://engineering.purdue.edu/ME/People/ptProfile?resource_id=286292", "https://engineering.purdue.edu/ME/People/ptProfile?resource_id=286292")</f>
        <v/>
      </c>
      <c r="D91" s="3">
        <f>HYPERLINK("https://scholar.google.com/citations?user=JmlZjPgAAAAJ&amp;hl=en", "Scholar (JmlZjPgAAAAJ)")</f>
        <v/>
      </c>
      <c r="E91" s="2" t="inlineStr">
        <is>
          <t>Assistant Professor of Mechanical Engineering, and Sustainability Engineering &amp; Environmental Engineering</t>
        </is>
      </c>
      <c r="F91" s="2" t="inlineStr">
        <is>
          <t>Mechanical Engineering</t>
        </is>
      </c>
      <c r="G91" s="2" t="inlineStr">
        <is>
          <t>JmlZjPgAAAAJ</t>
        </is>
      </c>
      <c r="H91" s="3">
        <f>HYPERLINK("mailto:liddellh@purdue.edu", "liddellh@purdue.edu")</f>
        <v/>
      </c>
      <c r="I91" s="2" t="n">
        <v>3</v>
      </c>
      <c r="J91" s="2" t="inlineStr">
        <is>
          <t>🟠 Tier 3: Structures / Materials / Manufacturing</t>
        </is>
      </c>
      <c r="K91" s="2" t="n">
        <v>2</v>
      </c>
      <c r="L91" s="2" t="inlineStr">
        <is>
          <t>materials, solid mechanics</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is>
          <t>Outstanding Mechanical Engineers Distinguished Engineering Alumni Honorary Doctorates Staff Awards Student Awards Distinguished...</t>
        </is>
      </c>
      <c r="AE91" s="2" t="inlineStr"/>
      <c r="AF91" s="2" t="inlineStr"/>
      <c r="AG91" s="2" t="inlineStr"/>
      <c r="AH91" s="2" t="inlineStr">
        <is>
          <t>Sustainable manufacturing Environmental life cycle assessment Mechanics of multilayered systems Adhesion in paints and coatings Lightweighting strategies for transportation</t>
        </is>
      </c>
      <c r="AI91" s="2" t="inlineStr">
        <is>
          <t>Design &amp; Manufacturing Solid Mechanics</t>
        </is>
      </c>
      <c r="AJ91" s="2" t="inlineStr">
        <is>
          <t>Design &amp; Manufacturing Solid Mechanics</t>
        </is>
      </c>
      <c r="AK91" s="2" t="inlineStr">
        <is>
          <t>Postdoctoral Research Fellow, U.S. Naval Research Laboratory, 2017-2020 Ph.D., Materials Science, University of Rochester, 2014 M.S., Mechanical Engineering, University of Rochester, 2010 B.S., Mechanical Engineering, University of Rochester, 2008</t>
        </is>
      </c>
      <c r="AL91" s="2" t="inlineStr">
        <is>
          <t>Personal Website</t>
        </is>
      </c>
      <c r="AM91" s="3">
        <f>HYPERLINK("https://hpliddell.github.io/", "https://hpliddell.github.io/")</f>
        <v/>
      </c>
      <c r="AN91" s="2" t="inlineStr"/>
      <c r="AO91" s="2" t="inlineStr"/>
      <c r="AP91" s="2" t="inlineStr"/>
      <c r="AQ91" s="2" t="inlineStr"/>
      <c r="AR91" s="3">
        <f>HYPERLINK("https://github.com/alshedivat/al-folio", "https://github.com/alshedivat/al-folio, https://pages.github.com")</f>
        <v/>
      </c>
      <c r="AS91" s="2" t="inlineStr"/>
      <c r="AT91" s="2" t="inlineStr">
        <is>
          <t>POTR 322C</t>
        </is>
      </c>
      <c r="AU91" s="2" t="b">
        <v>1</v>
      </c>
      <c r="AV91" s="3">
        <f>HYPERLINK("https://engineering.purdue.edu/ME/People/ptFaculty", "https://engineering.purdue.edu/ME/People/ptFaculty")</f>
        <v/>
      </c>
    </row>
    <row r="92">
      <c r="A92" s="2" t="inlineStr">
        <is>
          <t>Luz Sotelo</t>
        </is>
      </c>
      <c r="B92" s="2" t="inlineStr">
        <is>
          <t>Purdue University</t>
        </is>
      </c>
      <c r="C92" s="3">
        <f>HYPERLINK("https://engineering.purdue.edu/ME/People/ptProfile?resource_id=277732", "https://engineering.purdue.edu/ME/People/ptProfile?resource_id=277732")</f>
        <v/>
      </c>
      <c r="D92" s="3">
        <f>HYPERLINK("https://scholar.google.com/citations?user=sUD9j0EAAAAJ", "Scholar (sUD9j0EAAAAJ)")</f>
        <v/>
      </c>
      <c r="E92" s="2" t="inlineStr">
        <is>
          <t>Assistant Professor of Mechanical Engineering</t>
        </is>
      </c>
      <c r="F92" s="2" t="inlineStr">
        <is>
          <t>Mechanical Engineering</t>
        </is>
      </c>
      <c r="G92" s="2" t="inlineStr">
        <is>
          <t>sUD9j0EAAAAJ</t>
        </is>
      </c>
      <c r="H92" s="3">
        <f>HYPERLINK("mailto:lsotelo@purdue.edu", "lsotelo@purdue.edu")</f>
        <v/>
      </c>
      <c r="I92" s="2" t="n">
        <v>3</v>
      </c>
      <c r="J92" s="2" t="inlineStr">
        <is>
          <t>🟠 Tier 3: Structures / Materials / Manufacturing</t>
        </is>
      </c>
      <c r="K92" s="2" t="n">
        <v>2</v>
      </c>
      <c r="L92" s="2" t="inlineStr">
        <is>
          <t>materials, metamaterials</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is>
          <t>Outstanding Mechanical Engineers Distinguished Engineering Alumni Honorary Doctorates Staff Awards Student Awards Distinguished...</t>
        </is>
      </c>
      <c r="AE92" s="2" t="inlineStr"/>
      <c r="AF92" s="2" t="inlineStr"/>
      <c r="AG92" s="2" t="inlineStr"/>
      <c r="AH92" s="2" t="inlineStr">
        <is>
          <t>Multi-process/multi-material additive manufacturing Nondestructive evaluation Advanced acoustic materials and metamaterials Ultrasonics</t>
        </is>
      </c>
      <c r="AI92" s="2" t="inlineStr">
        <is>
          <t>Dynamics &amp; Vibration Design &amp; Manufacturing</t>
        </is>
      </c>
      <c r="AJ92" s="2" t="inlineStr">
        <is>
          <t>Dynamics &amp; Vibration Design &amp; Manufacturing</t>
        </is>
      </c>
      <c r="AK92" s="2" t="inlineStr">
        <is>
          <t>Ph.D. University of Nebraska-Lincoln B.S. University of Texas Rio Grande Valley</t>
        </is>
      </c>
      <c r="AL92" s="2" t="inlineStr">
        <is>
          <t>Google Scholar</t>
        </is>
      </c>
      <c r="AM92" s="3">
        <f>HYPERLINK("https://scholar.google.com/citations?user=sUD9j0EAAAAJ", "https://scholar.google.com/citations?user=sUD9j0EAAAAJ")</f>
        <v/>
      </c>
      <c r="AN92" s="2" t="inlineStr"/>
      <c r="AO92" s="2" t="inlineStr"/>
      <c r="AP92" s="2" t="inlineStr"/>
      <c r="AQ92" s="2" t="inlineStr"/>
      <c r="AR92" s="2" t="inlineStr"/>
      <c r="AS92" s="2" t="inlineStr"/>
      <c r="AT92" s="2" t="inlineStr">
        <is>
          <t>MMRL 1900D, ME 3003F</t>
        </is>
      </c>
      <c r="AU92" s="2" t="b">
        <v>1</v>
      </c>
      <c r="AV92" s="3">
        <f>HYPERLINK("https://engineering.purdue.edu/ME/People/ptFaculty", "https://engineering.purdue.edu/ME/People/ptFaculty")</f>
        <v/>
      </c>
    </row>
    <row r="93">
      <c r="A93" s="2" t="inlineStr">
        <is>
          <t>Marcial Gonzalez</t>
        </is>
      </c>
      <c r="B93" s="2" t="inlineStr">
        <is>
          <t>Purdue University</t>
        </is>
      </c>
      <c r="C93" s="3">
        <f>HYPERLINK("https://engineering.purdue.edu/ME/People/ptProfile?resource_id=106137", "https://engineering.purdue.edu/ME/People/ptProfile?resource_id=106137")</f>
        <v/>
      </c>
      <c r="D93" s="3">
        <f>HYPERLINK("https://scholar.google.com/citations?view_op=search_authors&amp;mauthors=Marcial%20Gonzalez%20Purdue%20University", "Google Scholar Search")</f>
        <v/>
      </c>
      <c r="E93" s="2" t="inlineStr">
        <is>
          <t>Professor of Mechanical Engineering</t>
        </is>
      </c>
      <c r="F93" s="2" t="inlineStr">
        <is>
          <t>Mechanical Engineering</t>
        </is>
      </c>
      <c r="G93" s="2" t="inlineStr"/>
      <c r="H93" s="3">
        <f>HYPERLINK("mailto:marcial-gonzalez@purdue.edu", "marcial-gonzalez@purdue.edu")</f>
        <v/>
      </c>
      <c r="I93" s="2" t="n">
        <v>3</v>
      </c>
      <c r="J93" s="2" t="inlineStr">
        <is>
          <t>🟠 Tier 3: Structures / Materials / Manufacturing</t>
        </is>
      </c>
      <c r="K93" s="2" t="n">
        <v>2</v>
      </c>
      <c r="L93" s="2" t="inlineStr">
        <is>
          <t>materials, solid mechanics</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is>
          <t>Outstanding Mechanical Engineers Distinguished Engineering Alumni Honorary Doctorates Staff Awards Student Awards Distinguished...</t>
        </is>
      </c>
      <c r="AE93" s="2" t="inlineStr"/>
      <c r="AF93" s="2" t="inlineStr"/>
      <c r="AG93" s="2" t="inlineStr"/>
      <c r="AH93" s="2" t="inlineStr">
        <is>
          <t>Predictive, multi-scale modeling and simulation of microstructure evolution in confined granular systems, with an emphasis in manufacturing processes and the relationship between product fabrication and performance. Application areas of interest include: (i) particulate products and processes (e.g., flow, mixing, segregation, consolidation, and compaction of powders), (ii) continuous manufacturing (e.g., Quality by Design, model predictive control, and reduced order models), and (iii) performance of pharmaceutical solid products (e.g., tensile strength, stiffness, swelling and disintegration), biomaterials (e.g., transport and feeding of corn stover) and energetic materials (e.g., deformation and heat generation under quasi-static, near-resonant and impact conditions, and formation and growth of hot spots) materials.</t>
        </is>
      </c>
      <c r="AI93" s="2" t="inlineStr">
        <is>
          <t>Dynamics &amp; Vibration Solid Mechanics</t>
        </is>
      </c>
      <c r="AJ93" s="2" t="inlineStr">
        <is>
          <t>Dynamics &amp; Vibration Solid Mechanics</t>
        </is>
      </c>
      <c r="AK93" s="2" t="inlineStr">
        <is>
          <t>Mechanical Engineer, University of Buenos Aires, '02 Ms.Sc., Aeronautics, California Institute of Technology, '06 Ph.D., Aeronautics (Minor in Materials Science), California Institute of Technology, '11</t>
        </is>
      </c>
      <c r="AL93" s="2" t="inlineStr">
        <is>
          <t>Gonzalez Research Group</t>
        </is>
      </c>
      <c r="AM93" s="3">
        <f>HYPERLINK("http://www.marcialgonzalez.net", "http://www.marcialgonzalez.net")</f>
        <v/>
      </c>
      <c r="AN93" s="2" t="inlineStr"/>
      <c r="AO93" s="2" t="inlineStr"/>
      <c r="AP93" s="2" t="inlineStr"/>
      <c r="AQ93" s="2" t="inlineStr"/>
      <c r="AR93" s="2" t="inlineStr"/>
      <c r="AS93" s="2" t="inlineStr"/>
      <c r="AT93" s="2" t="inlineStr">
        <is>
          <t>ME 3003D</t>
        </is>
      </c>
      <c r="AU93" s="2" t="b">
        <v>1</v>
      </c>
      <c r="AV93" s="3">
        <f>HYPERLINK("https://engineering.purdue.edu/ME/People/ptFaculty", "https://engineering.purdue.edu/ME/People/ptFaculty")</f>
        <v/>
      </c>
    </row>
    <row r="94">
      <c r="A94" s="2" t="inlineStr">
        <is>
          <t>Monique McClain</t>
        </is>
      </c>
      <c r="B94" s="2" t="inlineStr">
        <is>
          <t>Purdue University</t>
        </is>
      </c>
      <c r="C94" s="3">
        <f>HYPERLINK("https://engineering.purdue.edu/ME/Research/People/ptProfile?resource_id=242960&amp;group_id=11989", "https://engineering.purdue.edu/ME/Research/People/ptProfile?resource_id=242960&amp;group_id=11989")</f>
        <v/>
      </c>
      <c r="D94" s="3">
        <f>HYPERLINK("https://scholar.google.com/citations?view_op=search_authors&amp;mauthors=Monique%20McClain%20Purdue%20University", "Google Scholar Search")</f>
        <v/>
      </c>
      <c r="E94" s="2" t="inlineStr">
        <is>
          <t>Assistant Professor of Mechanical Engineering</t>
        </is>
      </c>
      <c r="F94" s="2" t="inlineStr">
        <is>
          <t>Aeronautics and Astronautics</t>
        </is>
      </c>
      <c r="G94" s="2" t="inlineStr"/>
      <c r="H94" s="3">
        <f>HYPERLINK("mailto:mcclain5@purdue.edu", "mcclain5@purdue.edu")</f>
        <v/>
      </c>
      <c r="I94" s="2" t="n">
        <v>3</v>
      </c>
      <c r="J94" s="2" t="inlineStr">
        <is>
          <t>🟠 Tier 3: Structures / Materials / Manufacturing</t>
        </is>
      </c>
      <c r="K94" s="2" t="n">
        <v>2</v>
      </c>
      <c r="L94" s="2" t="inlineStr">
        <is>
          <t>materials, thermodynamics</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is>
          <t>Outstanding Mechanical Engineers Distinguished Engineering Alumni Honorary Doctorates Staff Awards Student Awards Distinguished...</t>
        </is>
      </c>
      <c r="AE94" s="2" t="inlineStr"/>
      <c r="AF94" s="2" t="inlineStr"/>
      <c r="AG94" s="2" t="inlineStr"/>
      <c r="AH94" s="2" t="inlineStr">
        <is>
          <t>Dissimilar material 3D printing Additive manufacturing of energetic materials Additive manufacturing of materials for high temperature applications Quality control in additive manufacturing</t>
        </is>
      </c>
      <c r="AI94" s="2" t="inlineStr">
        <is>
          <t>Thermodynamics Systems, Measurements &amp; Controls</t>
        </is>
      </c>
      <c r="AJ94" s="2" t="inlineStr">
        <is>
          <t>Thermodynamics Systems, Measurements &amp; Controls</t>
        </is>
      </c>
      <c r="AK94" s="2" t="inlineStr">
        <is>
          <t>Ph.D., Purdue University M.S., Purdue University B.S., University of California San Diego</t>
        </is>
      </c>
      <c r="AL94" s="2" t="inlineStr">
        <is>
          <t>McClain Team</t>
        </is>
      </c>
      <c r="AM94" s="3">
        <f>HYPERLINK("https://mcclain.team/", "https://mcclain.team/")</f>
        <v/>
      </c>
      <c r="AN94" s="2" t="inlineStr"/>
      <c r="AO94" s="2" t="inlineStr"/>
      <c r="AP94" s="2" t="inlineStr"/>
      <c r="AQ94" s="2" t="inlineStr"/>
      <c r="AR94" s="2" t="inlineStr"/>
      <c r="AS94" s="2" t="inlineStr"/>
      <c r="AT94" s="2" t="inlineStr"/>
      <c r="AU94" s="2" t="b">
        <v>1</v>
      </c>
      <c r="AV94" s="3">
        <f>HYPERLINK("https://engineering.purdue.edu/AAE/people/Faculty", "https://engineering.purdue.edu/AAE/people/Faculty")</f>
        <v/>
      </c>
    </row>
    <row r="95">
      <c r="A95" s="2" t="inlineStr">
        <is>
          <t>Pavlos Vlachos</t>
        </is>
      </c>
      <c r="B95" s="2" t="inlineStr">
        <is>
          <t>Purdue University</t>
        </is>
      </c>
      <c r="C95" s="3">
        <f>HYPERLINK("https://engineering.purdue.edu/ME/People/ptProfile?resource_id=90129", "https://engineering.purdue.edu/ME/People/ptProfile?resource_id=90129")</f>
        <v/>
      </c>
      <c r="D95" s="3">
        <f>HYPERLINK("https://scholar.google.com/citations?view_op=search_authors&amp;mauthors=Pavlos%20Vlachos%20Purdue%20University", "Google Scholar Search")</f>
        <v/>
      </c>
      <c r="E95" s="2" t="inlineStr">
        <is>
          <t>St. Vincent Health Professor of Healthcare Engineering; Director of the Regenstrief Center for Healthcare Engineering</t>
        </is>
      </c>
      <c r="F95" s="2" t="inlineStr">
        <is>
          <t>Mechanical Engineering</t>
        </is>
      </c>
      <c r="G95" s="2" t="inlineStr"/>
      <c r="H95" s="3">
        <f>HYPERLINK("mailto:pvlachos@purdue.edu", "pvlachos@purdue.edu")</f>
        <v/>
      </c>
      <c r="I95" s="2" t="n">
        <v>3</v>
      </c>
      <c r="J95" s="2" t="inlineStr">
        <is>
          <t>🟠 Tier 3: Structures / Materials / Manufacturing</t>
        </is>
      </c>
      <c r="K95" s="2" t="n">
        <v>2</v>
      </c>
      <c r="L95" s="2" t="inlineStr">
        <is>
          <t>biofluid, fluid mechanics</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is>
          <t>Outstanding Mechanical Engineers Distinguished Engineering Alumni Honorary Doctorates Staff Awards Student Awards Distinguished...</t>
        </is>
      </c>
      <c r="AE95" s="2" t="inlineStr"/>
      <c r="AF95" s="2" t="inlineStr"/>
      <c r="AG95" s="2" t="inlineStr"/>
      <c r="AH95" s="2" t="inlineStr">
        <is>
          <t>Measurement science and instrumentation Particle image velocimetry Quantification of uncertainty Multi-phase flows Flow induced vibrations and hydro-kinetic energy Biological flows Biofluid mechanics Biomedical cardiovascular devices Heart failure and diastolic dysfunction</t>
        </is>
      </c>
      <c r="AI95" s="2" t="inlineStr">
        <is>
          <t>Fluid Mechanics</t>
        </is>
      </c>
      <c r="AJ95" s="2" t="inlineStr">
        <is>
          <t>Fluid Mechanics</t>
        </is>
      </c>
      <c r="AK95" s="2" t="inlineStr">
        <is>
          <t>Diploma, Mechanical Engineering, National Technical University of Athens (NTUA), Greece, '95 M.S. Engineering Science and Mechanics, Virginia Tech, '98 Ph.D., Engineering Science and Mechanics, Virginia Tech, '00</t>
        </is>
      </c>
      <c r="AL95" s="2" t="inlineStr">
        <is>
          <t>Personal Homepage</t>
        </is>
      </c>
      <c r="AM95" s="3">
        <f>HYPERLINK("https://vlachosresearch.org/", "https://vlachosresearch.org/")</f>
        <v/>
      </c>
      <c r="AN95" s="2" t="inlineStr"/>
      <c r="AO95" s="2" t="inlineStr"/>
      <c r="AP95" s="2" t="inlineStr">
        <is>
          <t>PIV, Particle Image Velocimetry, Schlieren</t>
        </is>
      </c>
      <c r="AQ95" s="2" t="inlineStr"/>
      <c r="AR95" s="2" t="inlineStr"/>
      <c r="AS95" s="2" t="inlineStr"/>
      <c r="AT95" s="2" t="inlineStr"/>
      <c r="AU95" s="2" t="b">
        <v>1</v>
      </c>
      <c r="AV95" s="3">
        <f>HYPERLINK("https://engineering.purdue.edu/ME/People/ptFaculty", "https://engineering.purdue.edu/ME/People/ptFaculty")</f>
        <v/>
      </c>
    </row>
    <row r="96">
      <c r="A96" s="2" t="inlineStr">
        <is>
          <t>Shengfeng Yang</t>
        </is>
      </c>
      <c r="B96" s="2" t="inlineStr">
        <is>
          <t>Purdue University</t>
        </is>
      </c>
      <c r="C96" s="3">
        <f>HYPERLINK("https://engineering.purdue.edu/ME/People/ptProfile?resource_id=294615", "https://engineering.purdue.edu/ME/People/ptProfile?resource_id=294615")</f>
        <v/>
      </c>
      <c r="D96" s="3">
        <f>HYPERLINK("https://scholar.google.com/citations?view_op=search_authors&amp;mauthors=Shengfeng%20Yang%20Purdue%20University", "Google Scholar Search")</f>
        <v/>
      </c>
      <c r="E96" s="2" t="inlineStr">
        <is>
          <t>Assistant Professor of Mechanical Engineering</t>
        </is>
      </c>
      <c r="F96" s="2" t="inlineStr">
        <is>
          <t>Mechanical Engineering</t>
        </is>
      </c>
      <c r="G96" s="2" t="inlineStr"/>
      <c r="H96" s="3">
        <f>HYPERLINK("mailto:shengfengyang@purdue.edu", "shengfengyang@purdue.edu")</f>
        <v/>
      </c>
      <c r="I96" s="2" t="n">
        <v>3</v>
      </c>
      <c r="J96" s="2" t="inlineStr">
        <is>
          <t>🟠 Tier 3: Structures / Materials / Manufacturing</t>
        </is>
      </c>
      <c r="K96" s="2" t="n">
        <v>2</v>
      </c>
      <c r="L96" s="2" t="inlineStr">
        <is>
          <t>materials, solid mechanics</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is>
          <t>Outstanding Mechanical Engineers Distinguished Engineering Alumni Honorary Doctorates Staff Awards Student Awards Distinguished...</t>
        </is>
      </c>
      <c r="AE96" s="2" t="inlineStr"/>
      <c r="AF96" s="2" t="inlineStr"/>
      <c r="AG96" s="2" t="inlineStr"/>
      <c r="AH96" s="2" t="inlineStr">
        <is>
          <t>Semiconductor and Microelectronics Machine Learning and Artificial Intelligence Computational Modeling and Simulation Interfaces and Defects in Materials Materials for Sustainable Energy</t>
        </is>
      </c>
      <c r="AI96" s="2" t="inlineStr"/>
      <c r="AJ96" s="2" t="inlineStr">
        <is>
          <t>Semiconductor and Microelectronics Machine Learning and Artificial Intelligence Computational Modeling and Simulation Interfaces and Defects in Materials Materials for Sustainable Energy</t>
        </is>
      </c>
      <c r="AK96" s="2" t="inlineStr">
        <is>
          <t>Ph.D. Mechanical Engineering, University of Florida, 12/2014 M. S. Computer Science, The University of Texas at Austin, 05/2024 M.S. Solid Mechanics, Huazhong University of Science and Technology, 06/2010 B.S. Engineering Mechanics, Huazhong University of Science and Technology, 06/2008</t>
        </is>
      </c>
      <c r="AL96" s="2" t="inlineStr">
        <is>
          <t>Personal Homepage</t>
        </is>
      </c>
      <c r="AM96" s="3">
        <f>HYPERLINK("https://shengfeng-yang.github.io/", "https://shengfeng-yang.github.io/")</f>
        <v/>
      </c>
      <c r="AN96" s="2" t="inlineStr"/>
      <c r="AO96" s="2" t="inlineStr"/>
      <c r="AP96" s="2" t="inlineStr"/>
      <c r="AQ96" s="2" t="inlineStr"/>
      <c r="AR96" s="3">
        <f>HYPERLINK("https://github.com/academicpages/academicpages.github.io", "https://github.com/academicpages/academicpages.github.io")</f>
        <v/>
      </c>
      <c r="AS96" s="2" t="inlineStr"/>
      <c r="AT96" s="2" t="inlineStr"/>
      <c r="AU96" s="2" t="b">
        <v>1</v>
      </c>
      <c r="AV96" s="3">
        <f>HYPERLINK("https://engineering.purdue.edu/ME/People/ptFaculty", "https://engineering.purdue.edu/ME/People/ptFaculty")</f>
        <v/>
      </c>
    </row>
    <row r="97">
      <c r="A97" s="2" t="inlineStr">
        <is>
          <t>Thomas Siegmund</t>
        </is>
      </c>
      <c r="B97" s="2" t="inlineStr">
        <is>
          <t>Purdue University</t>
        </is>
      </c>
      <c r="C97" s="3">
        <f>HYPERLINK("https://engineering.purdue.edu/ME/People/ptProfile?resource_id=12303", "https://engineering.purdue.edu/ME/People/ptProfile?resource_id=12303")</f>
        <v/>
      </c>
      <c r="D97" s="3">
        <f>HYPERLINK("https://scholar.google.com/citations?hl=en&amp;user=axgXCjEAAAAJ", "Scholar (axgXCjEAAAAJ)")</f>
        <v/>
      </c>
      <c r="E97" s="2" t="inlineStr">
        <is>
          <t>Professor of Mechanical Engineering</t>
        </is>
      </c>
      <c r="F97" s="2" t="inlineStr">
        <is>
          <t>Mechanical Engineering</t>
        </is>
      </c>
      <c r="G97" s="2" t="inlineStr">
        <is>
          <t>axgXCjEAAAAJ</t>
        </is>
      </c>
      <c r="H97" s="3">
        <f>HYPERLINK("mailto:siegmund@purdue.edu", "siegmund@purdue.edu")</f>
        <v/>
      </c>
      <c r="I97" s="2" t="n">
        <v>3</v>
      </c>
      <c r="J97" s="2" t="inlineStr">
        <is>
          <t>🟠 Tier 3: Structures / Materials / Manufacturing</t>
        </is>
      </c>
      <c r="K97" s="2" t="n">
        <v>2</v>
      </c>
      <c r="L97" s="2" t="inlineStr">
        <is>
          <t>materials, solid mechanics</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is>
          <t>Outstanding Mechanical Engineers Distinguished Engineering Alumni Honorary Doctorates Staff Awards Student Awards Distinguished...</t>
        </is>
      </c>
      <c r="AE97" s="2" t="inlineStr">
        <is>
          <t>Contact Purdue Engineering MarCom regarding any accessibility issues | Accessibility Resources | Contact Us | Email webmaster-eng@purdue.edu to report a problem</t>
        </is>
      </c>
      <c r="AF97" s="2" t="inlineStr"/>
      <c r="AG97" s="2" t="inlineStr"/>
      <c r="AH97" s="2" t="inlineStr">
        <is>
          <t>Solid mechanics, multiscale and multiphysics modeling. Design of engineering material systems. Fracture and fatigue. Microarchitectured materials. Biomechanics of soft and hard tissues.</t>
        </is>
      </c>
      <c r="AI97" s="2" t="inlineStr">
        <is>
          <t>Solid Mechanics</t>
        </is>
      </c>
      <c r="AJ97" s="2" t="inlineStr">
        <is>
          <t>Solid Mechanics</t>
        </is>
      </c>
      <c r="AK97" s="2" t="inlineStr">
        <is>
          <t>Diplom Ingenieur University of Leoben, Austria, '90 Ph.D. University of Leoben, Austria, '94</t>
        </is>
      </c>
      <c r="AL97" s="2" t="inlineStr">
        <is>
          <t>Lab Website</t>
        </is>
      </c>
      <c r="AM97" s="3">
        <f>HYPERLINK("https://engineering.purdue.edu/MYMECH", "https://engineering.purdue.edu/MYMECH")</f>
        <v/>
      </c>
      <c r="AN97" s="2" t="inlineStr"/>
      <c r="AO97" s="2" t="inlineStr"/>
      <c r="AP97" s="2" t="inlineStr"/>
      <c r="AQ97" s="2" t="inlineStr">
        <is>
          <t>DOE</t>
        </is>
      </c>
      <c r="AR97" s="2" t="inlineStr"/>
      <c r="AS97" s="2" t="inlineStr"/>
      <c r="AT97" s="2" t="inlineStr">
        <is>
          <t>ME 3001</t>
        </is>
      </c>
      <c r="AU97" s="2" t="b">
        <v>1</v>
      </c>
      <c r="AV97" s="3">
        <f>HYPERLINK("https://engineering.purdue.edu/ME/People/ptFaculty", "https://engineering.purdue.edu/ME/People/ptFaculty")</f>
        <v/>
      </c>
    </row>
    <row r="98">
      <c r="A98" s="2" t="inlineStr">
        <is>
          <t>Wenbin Yu</t>
        </is>
      </c>
      <c r="B98" s="2" t="inlineStr">
        <is>
          <t>Purdue University</t>
        </is>
      </c>
      <c r="C98" s="3">
        <f>HYPERLINK("https://engineering.purdue.edu/AAE/people/ptProfile?resource_id=93761", "https://engineering.purdue.edu/AAE/people/ptProfile?resource_id=93761")</f>
        <v/>
      </c>
      <c r="D98" s="3">
        <f>HYPERLINK("https://scholar.google.com/citations?view_op=search_authors&amp;mauthors=Wenbin%20Yu%20Purdue%20University", "Google Scholar Search")</f>
        <v/>
      </c>
      <c r="E98" s="2" t="inlineStr">
        <is>
          <t>Milton Clauser Professor of Aeronautics and Astronautics</t>
        </is>
      </c>
      <c r="F98" s="2" t="inlineStr">
        <is>
          <t>Aeronautics and Astronautics</t>
        </is>
      </c>
      <c r="G98" s="2" t="inlineStr"/>
      <c r="H98" s="3">
        <f>HYPERLINK("mailto:wenbinyu@purdue.edu", "wenbinyu@purdue.edu")</f>
        <v/>
      </c>
      <c r="I98" s="2" t="n">
        <v>3</v>
      </c>
      <c r="J98" s="2" t="inlineStr">
        <is>
          <t>🟠 Tier 3: Structures / Materials / Manufacturing</t>
        </is>
      </c>
      <c r="K98" s="2" t="n">
        <v>2</v>
      </c>
      <c r="L98" s="2" t="inlineStr">
        <is>
          <t>aerospace, materials</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is>
          <t>Editorial board, Journal of Mechanics of Materials and Structures, 2025- ASC Award in Composites, ASC, 2025 Distinguished Senio...</t>
        </is>
      </c>
      <c r="AE98" s="2" t="inlineStr"/>
      <c r="AF98" s="2" t="inlineStr"/>
      <c r="AG98" s="2" t="inlineStr"/>
      <c r="AH98" s="2" t="inlineStr">
        <is>
          <t>Multiscale Modeling Structural Mechanics Micromechanics Computational Mechanics Multiphysics Modeling Advanced Materials/Structures</t>
        </is>
      </c>
      <c r="AI98" s="2" t="inlineStr"/>
      <c r="AJ98" s="2" t="inlineStr">
        <is>
          <t>Multiscale Modeling Structural Mechanics Micromechanics Computational Mechanics Multiphysics Modeling Advanced Materials/Structures</t>
        </is>
      </c>
      <c r="AK98" s="2" t="inlineStr">
        <is>
          <t>Georgia Tech, Aerospace Engineering, MS, 2000; PhD, 2002 Tsinghua University, China, Engineering Mechanics, MS, 1998 North China University of Water Conservancy and Hydroelectric Power, China, Hydraulic Engineering, BS, 1995</t>
        </is>
      </c>
      <c r="AL98" s="2" t="inlineStr">
        <is>
          <t>Indiana Space Grant Consortium</t>
        </is>
      </c>
      <c r="AM98" s="3">
        <f>HYPERLINK("https://insgc.spacegrant.org/", "https://insgc.spacegrant.org/")</f>
        <v/>
      </c>
      <c r="AN98" s="2" t="inlineStr">
        <is>
          <t>Academic INSGC Internships</t>
        </is>
      </c>
      <c r="AO98" s="2" t="inlineStr"/>
      <c r="AP98" s="2" t="inlineStr"/>
      <c r="AQ98" s="2" t="inlineStr">
        <is>
          <t>NASA</t>
        </is>
      </c>
      <c r="AR98" s="2" t="inlineStr"/>
      <c r="AS98" s="2" t="inlineStr"/>
      <c r="AT98" s="2" t="inlineStr">
        <is>
          <t>ARMS 3321</t>
        </is>
      </c>
      <c r="AU98" s="2" t="b">
        <v>1</v>
      </c>
      <c r="AV98" s="3">
        <f>HYPERLINK("https://engineering.purdue.edu/AAE/people/Faculty", "https://engineering.purdue.edu/AAE/people/Faculty")</f>
        <v/>
      </c>
    </row>
    <row r="99">
      <c r="A99" s="2" t="inlineStr">
        <is>
          <t>Zherui Martinez-Guo</t>
        </is>
      </c>
      <c r="B99" s="2" t="inlineStr">
        <is>
          <t>Purdue University</t>
        </is>
      </c>
      <c r="C99" s="3">
        <f>HYPERLINK("https://engineering.purdue.edu/AAE/people/ptProfile?resource_id=112177", "https://engineering.purdue.edu/AAE/people/ptProfile?resource_id=112177")</f>
        <v/>
      </c>
      <c r="D99" s="3">
        <f>HYPERLINK("https://scholar.google.com/citations?view_op=search_authors&amp;mauthors=Zherui%20Martinez-Guo%20Purdue%20University", "Google Scholar Search")</f>
        <v/>
      </c>
      <c r="E99" s="2" t="inlineStr">
        <is>
          <t>Assistant Professor of Aeronautics and Astronautics</t>
        </is>
      </c>
      <c r="F99" s="2" t="inlineStr">
        <is>
          <t>Aeronautics and Astronautics</t>
        </is>
      </c>
      <c r="G99" s="2" t="inlineStr"/>
      <c r="H99" s="3">
        <f>HYPERLINK("mailto:zmg@purdue.edu", "zmg@purdue.edu")</f>
        <v/>
      </c>
      <c r="I99" s="2" t="n">
        <v>3</v>
      </c>
      <c r="J99" s="2" t="inlineStr">
        <is>
          <t>🟠 Tier 3: Structures / Materials / Manufacturing</t>
        </is>
      </c>
      <c r="K99" s="2" t="n">
        <v>2</v>
      </c>
      <c r="L99" s="2" t="inlineStr">
        <is>
          <t>materials, solid mechanics</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is>
          <t>2020 Idaho National Laboratory (INL) Distinguished Postdoctoral Associate, Russell L. Heath Award 2019 15th Hypervelocity Impac...</t>
        </is>
      </c>
      <c r="AE99" s="2" t="inlineStr"/>
      <c r="AF99" s="2" t="inlineStr"/>
      <c r="AG99" s="2" t="inlineStr"/>
      <c r="AH99" s="2" t="inlineStr">
        <is>
          <t>Multi-disciplinary research combines experimental efforts in impact dynamics, solid mechanics, and advanced materials characterization methods and diagnostics integrated with synchrotron X-rays to develop design optimization and materials selection criteria for target materials under ballistic/hypervelocity impact and aeroengine particle erosion.</t>
        </is>
      </c>
      <c r="AI99" s="2" t="inlineStr">
        <is>
          <t>Solid particle erosion Ballistic/Hypervelocity impact Energetic materials Armor systems optimization Synchrotron X-rays</t>
        </is>
      </c>
      <c r="AJ99" s="2" t="inlineStr">
        <is>
          <t>Solid particle erosion Ballistic/Hypervelocity impact Energetic materials Armor systems optimization Synchrotron X-rays</t>
        </is>
      </c>
      <c r="AK99" s="2" t="inlineStr">
        <is>
          <t>2020 Ph.D. AAE, Purdue University</t>
        </is>
      </c>
      <c r="AL99" s="2" t="inlineStr">
        <is>
          <t>Indiana Space Grant Consortium</t>
        </is>
      </c>
      <c r="AM99" s="3">
        <f>HYPERLINK("https://insgc.spacegrant.org/", "https://insgc.spacegrant.org/")</f>
        <v/>
      </c>
      <c r="AN99" s="2" t="inlineStr">
        <is>
          <t>Academic INSGC Internships</t>
        </is>
      </c>
      <c r="AO99" s="2" t="inlineStr"/>
      <c r="AP99" s="2" t="inlineStr"/>
      <c r="AQ99" s="2" t="inlineStr">
        <is>
          <t>NASA</t>
        </is>
      </c>
      <c r="AR99" s="2" t="inlineStr"/>
      <c r="AS99" s="2" t="inlineStr"/>
      <c r="AT99" s="2" t="inlineStr"/>
      <c r="AU99" s="2" t="b">
        <v>1</v>
      </c>
      <c r="AV99" s="3">
        <f>HYPERLINK("https://engineering.purdue.edu/AAE/people/Faculty", "https://engineering.purdue.edu/AAE/people/Faculty")</f>
        <v/>
      </c>
    </row>
    <row r="100">
      <c r="A100" s="2" t="inlineStr">
        <is>
          <t>Ajay Malshe</t>
        </is>
      </c>
      <c r="B100" s="2" t="inlineStr">
        <is>
          <t>Purdue University</t>
        </is>
      </c>
      <c r="C100" s="3">
        <f>HYPERLINK("https://engineering.purdue.edu/ME/People/ptProfile?resource_id=232598", "https://engineering.purdue.edu/ME/People/ptProfile?resource_id=232598")</f>
        <v/>
      </c>
      <c r="D100" s="3">
        <f>HYPERLINK("https://scholar.google.com/citations?view_op=search_authors&amp;mauthors=Ajay%20Malshe%20Purdue%20University", "Google Scholar Search")</f>
        <v/>
      </c>
      <c r="E100" s="2" t="inlineStr">
        <is>
          <t>R. Eugene and Susie E. Goodson Distinguished Professor of Mechanical Engineering; President’s Fellow; Director, Manufacturing and Materials Research Laboratories (MMRL); Co-Director, eXcellence in Manufacturing and Operations (XMO)</t>
        </is>
      </c>
      <c r="F100" s="2" t="inlineStr">
        <is>
          <t>Mechanical Engineering</t>
        </is>
      </c>
      <c r="G100" s="2" t="inlineStr"/>
      <c r="H100" s="3">
        <f>HYPERLINK("mailto:amalshe@purdue.edu", "amalshe@purdue.edu")</f>
        <v/>
      </c>
      <c r="I100" s="2" t="n">
        <v>3</v>
      </c>
      <c r="J100" s="2" t="inlineStr">
        <is>
          <t>🟠 Tier 3: Structures / Materials / Manufacturing</t>
        </is>
      </c>
      <c r="K100" s="2" t="n">
        <v>1</v>
      </c>
      <c r="L100" s="2" t="inlineStr">
        <is>
          <t>materials</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is>
          <t>Outstanding Mechanical Engineers Distinguished Engineering Alumni Honorary Doctorates Staff Awards Student Awards Distinguished...</t>
        </is>
      </c>
      <c r="AE100" s="2" t="inlineStr"/>
      <c r="AF100" s="2" t="inlineStr"/>
      <c r="AG100" s="2" t="inlineStr"/>
      <c r="AH100" s="2" t="inlineStr">
        <is>
          <t>Bio-inspired designs Surface engineering and multifunctional materials Convergent Manufacturing for Industry 5.0: hybrid manufacturing processes, heterogeneous materials, and bio-inspired designs Systems integration, productization, and production Heavy-duty machines: machining, lubrication, and corrosion Heterogeneous and hierarchical integration (mechanical-electrical-optical and nano-micro-meso-macro) Precision agricultural and food: cellular agriculture, vertical farming, micro-production, and resilience Frugal engineering, social innovations, and social equity Manufacturing in space</t>
        </is>
      </c>
      <c r="AI100" s="2" t="inlineStr">
        <is>
          <t>Design &amp; Manufacturing</t>
        </is>
      </c>
      <c r="AJ100" s="2" t="inlineStr">
        <is>
          <t>Design &amp; Manufacturing</t>
        </is>
      </c>
      <c r="AK100" s="2" t="inlineStr"/>
      <c r="AL100" s="2" t="inlineStr">
        <is>
          <t>LinkedIn</t>
        </is>
      </c>
      <c r="AM100" s="3">
        <f>HYPERLINK("https://www.linkedin.com/in/ajay-malshe/", "https://www.linkedin.com/in/ajay-malshe/")</f>
        <v/>
      </c>
      <c r="AN100" s="2" t="inlineStr"/>
      <c r="AO100" s="2" t="inlineStr"/>
      <c r="AP100" s="2" t="inlineStr"/>
      <c r="AQ100" s="2" t="inlineStr"/>
      <c r="AR100" s="2" t="inlineStr"/>
      <c r="AS100" s="2" t="inlineStr"/>
      <c r="AT100" s="2" t="inlineStr">
        <is>
          <t>ME 3003G</t>
        </is>
      </c>
      <c r="AU100" s="2" t="b">
        <v>1</v>
      </c>
      <c r="AV100" s="3">
        <f>HYPERLINK("https://engineering.purdue.edu/ME/People/ptFaculty", "https://engineering.purdue.edu/ME/People/ptFaculty")</f>
        <v/>
      </c>
    </row>
    <row r="101">
      <c r="A101" s="2" t="inlineStr">
        <is>
          <t>Alan Jones</t>
        </is>
      </c>
      <c r="B101" s="2" t="inlineStr">
        <is>
          <t>Purdue University</t>
        </is>
      </c>
      <c r="C101" s="3">
        <f>HYPERLINK("https://engineering.purdue.edu/ME/People/ptProfile?resource_id=294597", "https://engineering.purdue.edu/ME/People/ptProfile?resource_id=294597")</f>
        <v/>
      </c>
      <c r="D101" s="3">
        <f>HYPERLINK("https://scholar.google.com/citations?view_op=search_authors&amp;mauthors=Alan%20Jones%20Purdue%20University", "Google Scholar Search")</f>
        <v/>
      </c>
      <c r="E101" s="2" t="inlineStr">
        <is>
          <t>Associate Professor of Mechanical Engineering</t>
        </is>
      </c>
      <c r="F101" s="2" t="inlineStr">
        <is>
          <t>Mechanical Engineering</t>
        </is>
      </c>
      <c r="G101" s="2" t="inlineStr"/>
      <c r="H101" s="3">
        <f>HYPERLINK("mailto:jone1405@purdue.edu", "jone1405@purdue.edu")</f>
        <v/>
      </c>
      <c r="I101" s="2" t="n">
        <v>3</v>
      </c>
      <c r="J101" s="2" t="inlineStr">
        <is>
          <t>🟠 Tier 3: Structures / Materials / Manufacturing</t>
        </is>
      </c>
      <c r="K101" s="2" t="n">
        <v>1</v>
      </c>
      <c r="L101" s="2" t="inlineStr">
        <is>
          <t>materials</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is>
          <t>Outstanding Mechanical Engineers Distinguished Engineering Alumni Honorary Doctorates Staff Awards Student Awards Distinguished...</t>
        </is>
      </c>
      <c r="AE101" s="2" t="inlineStr"/>
      <c r="AF101" s="2" t="inlineStr"/>
      <c r="AG101" s="2" t="inlineStr"/>
      <c r="AH101" s="2" t="inlineStr">
        <is>
          <t>Mechanics and Materials Multifunctional Materials Self-Healing Polymers Fracture Fatigue Elastomers Degradation of Materials Electrolyte Membranes Experimental Mechanics</t>
        </is>
      </c>
      <c r="AI101" s="2" t="inlineStr"/>
      <c r="AJ101" s="2" t="inlineStr">
        <is>
          <t>Mechanics and Materials Multifunctional Materials Self-Healing Polymers Fracture Fatigue Elastomers Degradation of Materials Electrolyte Membranes Experimental Mechanics</t>
        </is>
      </c>
      <c r="AK101" s="2" t="inlineStr">
        <is>
          <t>Ph.D. Mechanical Engineering, 07/2003</t>
        </is>
      </c>
      <c r="AL101" s="2" t="inlineStr">
        <is>
          <t>Indiana Space Grant Consortium</t>
        </is>
      </c>
      <c r="AM101" s="3">
        <f>HYPERLINK("https://insgc.spacegrant.org/", "https://insgc.spacegrant.org/")</f>
        <v/>
      </c>
      <c r="AN101" s="2" t="inlineStr">
        <is>
          <t>Academic INSGC Internships</t>
        </is>
      </c>
      <c r="AO101" s="2" t="inlineStr"/>
      <c r="AP101" s="2" t="inlineStr"/>
      <c r="AQ101" s="2" t="inlineStr">
        <is>
          <t>NASA</t>
        </is>
      </c>
      <c r="AR101" s="2" t="inlineStr"/>
      <c r="AS101" s="2" t="inlineStr"/>
      <c r="AT101" s="2" t="inlineStr"/>
      <c r="AU101" s="2" t="b">
        <v>1</v>
      </c>
      <c r="AV101" s="3">
        <f>HYPERLINK("https://engineering.purdue.edu/ME/People/ptFaculty", "https://engineering.purdue.edu/ME/People/ptFaculty")</f>
        <v/>
      </c>
    </row>
    <row r="102">
      <c r="A102" s="2" t="inlineStr">
        <is>
          <t>Alex Chortos</t>
        </is>
      </c>
      <c r="B102" s="2" t="inlineStr">
        <is>
          <t>Purdue University</t>
        </is>
      </c>
      <c r="C102" s="3">
        <f>HYPERLINK("https://engineering.purdue.edu/ME/People/ptProfile?resource_id=243743", "https://engineering.purdue.edu/ME/People/ptProfile?resource_id=243743")</f>
        <v/>
      </c>
      <c r="D102" s="3">
        <f>HYPERLINK("https://scholar.google.com/citations?view_op=search_authors&amp;mauthors=Alex%20Chortos%20Purdue%20University", "Google Scholar Search")</f>
        <v/>
      </c>
      <c r="E102" s="2" t="inlineStr">
        <is>
          <t>Assistant Professor of Mechanical Engineering</t>
        </is>
      </c>
      <c r="F102" s="2" t="inlineStr">
        <is>
          <t>Mechanical Engineering</t>
        </is>
      </c>
      <c r="G102" s="2" t="inlineStr"/>
      <c r="H102" s="3">
        <f>HYPERLINK("mailto:achortos@purdue.edu", "achortos@purdue.edu")</f>
        <v/>
      </c>
      <c r="I102" s="2" t="n">
        <v>3</v>
      </c>
      <c r="J102" s="2" t="inlineStr">
        <is>
          <t>🟠 Tier 3: Structures / Materials / Manufacturing</t>
        </is>
      </c>
      <c r="K102" s="2" t="n">
        <v>1</v>
      </c>
      <c r="L102" s="2" t="inlineStr">
        <is>
          <t>solid mechanics</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is>
          <t>Outstanding Mechanical Engineers Distinguished Engineering Alumni Honorary Doctorates Staff Awards Student Awards Distinguished...</t>
        </is>
      </c>
      <c r="AE102" s="2" t="inlineStr"/>
      <c r="AF102" s="2" t="inlineStr"/>
      <c r="AG102" s="2" t="inlineStr"/>
      <c r="AH102" s="2" t="inlineStr">
        <is>
          <t>Bio-inspired and mechanically adaptive electronics Multimaterial additive fabrication Soft actuators (artificial muscles) Wearable actuators (haptics) Polymer design and polymer physics Deformation sensors and transistors</t>
        </is>
      </c>
      <c r="AI102" s="2" t="inlineStr">
        <is>
          <t>Design &amp; Manufacturing Solid Mechanics</t>
        </is>
      </c>
      <c r="AJ102" s="2" t="inlineStr">
        <is>
          <t>Design &amp; Manufacturing Solid Mechanics</t>
        </is>
      </c>
      <c r="AK102" s="2" t="inlineStr">
        <is>
          <t>Postdoctoral Fellow, Harvard University, 2020 Ph.D., Stanford University, 2017 B.A.Sc., University of Waterloo, 2011</t>
        </is>
      </c>
      <c r="AL102" s="2" t="inlineStr">
        <is>
          <t>Bionic Interfaces Prototyping Lab</t>
        </is>
      </c>
      <c r="AM102" s="3">
        <f>HYPERLINK("https://www.alexchortos.com/", "https://www.alexchortos.com/")</f>
        <v/>
      </c>
      <c r="AN102" s="2" t="inlineStr"/>
      <c r="AO102" s="2" t="inlineStr"/>
      <c r="AP102" s="2" t="inlineStr"/>
      <c r="AQ102" s="2" t="inlineStr"/>
      <c r="AR102" s="2" t="inlineStr"/>
      <c r="AS102" s="2" t="inlineStr"/>
      <c r="AT102" s="2" t="inlineStr">
        <is>
          <t>ME 3003A</t>
        </is>
      </c>
      <c r="AU102" s="2" t="b">
        <v>1</v>
      </c>
      <c r="AV102" s="3">
        <f>HYPERLINK("https://engineering.purdue.edu/ME/People/ptFaculty", "https://engineering.purdue.edu/ME/People/ptFaculty")</f>
        <v/>
      </c>
    </row>
    <row r="103">
      <c r="A103" s="2" t="inlineStr">
        <is>
          <t>Andres Tovar</t>
        </is>
      </c>
      <c r="B103" s="2" t="inlineStr">
        <is>
          <t>Purdue University</t>
        </is>
      </c>
      <c r="C103" s="3">
        <f>HYPERLINK("https://engineering.purdue.edu/ME/People/ptProfile?resource_id=294607", "https://engineering.purdue.edu/ME/People/ptProfile?resource_id=294607")</f>
        <v/>
      </c>
      <c r="D103" s="3">
        <f>HYPERLINK("https://scholar.google.com/citations?user=z684NIUAAAAJ&amp;hl", "Scholar (z684NIUAAAAJ)")</f>
        <v/>
      </c>
      <c r="E103" s="2" t="inlineStr">
        <is>
          <t>Professor of Mechanical Engineering</t>
        </is>
      </c>
      <c r="F103" s="2" t="inlineStr">
        <is>
          <t>Mechanical Engineering</t>
        </is>
      </c>
      <c r="G103" s="2" t="inlineStr">
        <is>
          <t>z684NIUAAAAJ</t>
        </is>
      </c>
      <c r="H103" s="3">
        <f>HYPERLINK("mailto:tovara@purdue.edu", "tovara@purdue.edu")</f>
        <v/>
      </c>
      <c r="I103" s="2" t="n">
        <v>3</v>
      </c>
      <c r="J103" s="2" t="inlineStr">
        <is>
          <t>🟠 Tier 3: Structures / Materials / Manufacturing</t>
        </is>
      </c>
      <c r="K103" s="2" t="n">
        <v>1</v>
      </c>
      <c r="L103" s="2" t="inlineStr">
        <is>
          <t>aerospace</t>
        </is>
      </c>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is>
          <t>Outstanding Mechanical Engineers Distinguished Engineering Alumni Honorary Doctorates Staff Awards Student Awards Distinguished...</t>
        </is>
      </c>
      <c r="AE103" s="2" t="inlineStr">
        <is>
          <t>Phone: +1 (765) 494-3975 Email: future-engineers@purdue.edu | Phone: +1 (765) 494-4873 Email: EngrGrad@purdue.edu</t>
        </is>
      </c>
      <c r="AF103" s="2" t="inlineStr"/>
      <c r="AG103" s="2" t="inlineStr"/>
      <c r="AH103" s="2" t="inlineStr">
        <is>
          <t>Topology Optimization Bayesian Optimization Additive Manufacturing Compostable Plastics Crashworthiness and Blast Mitigation</t>
        </is>
      </c>
      <c r="AI103" s="2" t="inlineStr"/>
      <c r="AJ103" s="2" t="inlineStr">
        <is>
          <t>Topology Optimization Bayesian Optimization Additive Manufacturing Compostable Plastics Crashworthiness and Blast Mitigation</t>
        </is>
      </c>
      <c r="AK103" s="2" t="inlineStr">
        <is>
          <t>Ph.D.   Aerospace and Mechanical Engineering, University of Notre Dame, Indiana, Jan 2005 M.S.     Mechanical Engineering, University of Notre Dame, Indiana, May 2004 M.S.     Industrial Automation, National University of Colombia, Bogota, Colombia, Sep 2000 B.S.      Mechanical Engineering, National University of Colombia, Bogota, Colombia, Jul 1995</t>
        </is>
      </c>
      <c r="AL103" s="2" t="inlineStr">
        <is>
          <t>Engineering Design Research Laboratory (EDRL)</t>
        </is>
      </c>
      <c r="AM103" s="3">
        <f>HYPERLINK("https://engineering.purdue.edu/EDRL", "https://engineering.purdue.edu/EDRL")</f>
        <v/>
      </c>
      <c r="AN103"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03" s="2" t="inlineStr"/>
      <c r="AP103" s="2" t="inlineStr">
        <is>
          <t>Supercomputer, Cluster</t>
        </is>
      </c>
      <c r="AQ103" s="2" t="inlineStr">
        <is>
          <t>DOE</t>
        </is>
      </c>
      <c r="AR103" s="2" t="inlineStr"/>
      <c r="AS103" s="2" t="inlineStr"/>
      <c r="AT103" s="2" t="inlineStr">
        <is>
          <t>SL 260 N</t>
        </is>
      </c>
      <c r="AU103" s="2" t="b">
        <v>1</v>
      </c>
      <c r="AV103" s="3">
        <f>HYPERLINK("https://engineering.purdue.edu/ME/People/ptFaculty", "https://engineering.purdue.edu/ME/People/ptFaculty")</f>
        <v/>
      </c>
    </row>
    <row r="104">
      <c r="A104" s="2" t="inlineStr">
        <is>
          <t>Anil K. Bajaj</t>
        </is>
      </c>
      <c r="B104" s="2" t="inlineStr">
        <is>
          <t>Purdue University</t>
        </is>
      </c>
      <c r="C104" s="3">
        <f>HYPERLINK("https://engineering.purdue.edu/ME/People/ptProfile?resource_id=11316", "https://engineering.purdue.edu/ME/People/ptProfile?resource_id=11316")</f>
        <v/>
      </c>
      <c r="D104" s="3">
        <f>HYPERLINK("https://scholar.google.com/citations?view_op=search_authors&amp;mauthors=Anil%20K.%20Bajaj%20Purdue%20University", "Google Scholar Search")</f>
        <v/>
      </c>
      <c r="E104" s="2" t="inlineStr">
        <is>
          <t>Alpha P. Jamison Professor of Mechanical Engineering</t>
        </is>
      </c>
      <c r="F104" s="2" t="inlineStr">
        <is>
          <t>Mechanical Engineering</t>
        </is>
      </c>
      <c r="G104" s="2" t="inlineStr"/>
      <c r="H104" s="3">
        <f>HYPERLINK("mailto:bajaj@purdue.edu", "bajaj@purdue.edu")</f>
        <v/>
      </c>
      <c r="I104" s="2" t="n">
        <v>3</v>
      </c>
      <c r="J104" s="2" t="inlineStr">
        <is>
          <t>🟠 Tier 3: Structures / Materials / Manufacturing</t>
        </is>
      </c>
      <c r="K104" s="2" t="n">
        <v>1</v>
      </c>
      <c r="L104" s="2" t="inlineStr">
        <is>
          <t>solid mechanics</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is>
          <t>Outstanding Mechanical Engineers Distinguished Engineering Alumni Honorary Doctorates Staff Awards Student Awards Distinguished...</t>
        </is>
      </c>
      <c r="AE104" s="2" t="inlineStr"/>
      <c r="AF104" s="2" t="inlineStr"/>
      <c r="AG104" s="2" t="inlineStr"/>
      <c r="AH104" s="2" t="inlineStr">
        <is>
          <t>Modeling of nonlinear systems Structural dynamics and localization Flow-induced vibrations Impacting systems Bifurcations and chaos</t>
        </is>
      </c>
      <c r="AI104" s="2" t="inlineStr">
        <is>
          <t>Dynamics &amp; Vibration Systems, Measurements &amp; Controls Solid Mechanics</t>
        </is>
      </c>
      <c r="AJ104" s="2" t="inlineStr">
        <is>
          <t>Dynamics &amp; Vibration Systems, Measurements &amp; Controls Solid Mechanics</t>
        </is>
      </c>
      <c r="AK104" s="2" t="inlineStr">
        <is>
          <t>B.Tech. Indian Institute of Technology, Kharagpur, '73 M.S. Indian Institute of Technology, Kanpur, '76 Ph.D. Minnesota, '81</t>
        </is>
      </c>
      <c r="AL104" s="2" t="inlineStr">
        <is>
          <t>Indiana Space Grant Consortium</t>
        </is>
      </c>
      <c r="AM104" s="3">
        <f>HYPERLINK("https://insgc.spacegrant.org/", "https://insgc.spacegrant.org/")</f>
        <v/>
      </c>
      <c r="AN104" s="2" t="inlineStr">
        <is>
          <t>Academic INSGC Internships</t>
        </is>
      </c>
      <c r="AO104" s="2" t="inlineStr"/>
      <c r="AP104" s="2" t="inlineStr"/>
      <c r="AQ104" s="2" t="inlineStr">
        <is>
          <t>NASA</t>
        </is>
      </c>
      <c r="AR104" s="2" t="inlineStr"/>
      <c r="AS104" s="2" t="inlineStr"/>
      <c r="AT104" s="2" t="inlineStr">
        <is>
          <t>ME 3180</t>
        </is>
      </c>
      <c r="AU104" s="2" t="b">
        <v>1</v>
      </c>
      <c r="AV104" s="3">
        <f>HYPERLINK("https://engineering.purdue.edu/ME/People/ptFaculty", "https://engineering.purdue.edu/ME/People/ptFaculty")</f>
        <v/>
      </c>
    </row>
    <row r="105">
      <c r="A105" s="2" t="inlineStr">
        <is>
          <t>Babak Anasori</t>
        </is>
      </c>
      <c r="B105" s="2" t="inlineStr">
        <is>
          <t>Purdue University</t>
        </is>
      </c>
      <c r="C105" s="3">
        <f>HYPERLINK("https://engineering.purdue.edu/ME/People/ptProfile?resource_id=250301", "https://engineering.purdue.edu/ME/People/ptProfile?resource_id=250301")</f>
        <v/>
      </c>
      <c r="D105" s="3">
        <f>HYPERLINK("https://scholar.google.com/citations?view_op=search_authors&amp;mauthors=Babak%20Anasori%20Purdue%20University", "Google Scholar Search")</f>
        <v/>
      </c>
      <c r="E105" s="2" t="inlineStr">
        <is>
          <t>Reilly Rising Star Associate Professor of Materials and Mechanical Engineering</t>
        </is>
      </c>
      <c r="F105" s="2" t="inlineStr">
        <is>
          <t>Mechanical Engineering</t>
        </is>
      </c>
      <c r="G105" s="2" t="inlineStr"/>
      <c r="H105" s="3">
        <f>HYPERLINK("mailto:banasori@purdue.edu", "banasori@purdue.edu")</f>
        <v/>
      </c>
      <c r="I105" s="2" t="n">
        <v>3</v>
      </c>
      <c r="J105" s="2" t="inlineStr">
        <is>
          <t>🟠 Tier 3: Structures / Materials / Manufacturing</t>
        </is>
      </c>
      <c r="K105" s="2" t="n">
        <v>1</v>
      </c>
      <c r="L105" s="2" t="inlineStr">
        <is>
          <t>materials</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is>
          <t>Outstanding Mechanical Engineers Distinguished Engineering Alumni Honorary Doctorates Staff Awards Student Awards Distinguished...</t>
        </is>
      </c>
      <c r="AE105" s="2" t="inlineStr"/>
      <c r="AF105" s="2" t="inlineStr"/>
      <c r="AG105" s="2" t="inlineStr"/>
      <c r="AH105" s="2" t="inlineStr">
        <is>
          <t>Two-dimensional (2D) transition metal carbides and nitrides, MXenes</t>
        </is>
      </c>
      <c r="AI105" s="2" t="inlineStr"/>
      <c r="AJ105" s="2" t="inlineStr">
        <is>
          <t>Two-dimensional (2D) transition metal carbides and nitrides, MXenes</t>
        </is>
      </c>
      <c r="AK105" s="2" t="inlineStr"/>
      <c r="AL105" s="2" t="inlineStr">
        <is>
          <t>Layered Materials and Structures Lab (LMSL)</t>
        </is>
      </c>
      <c r="AM105" s="3">
        <f>HYPERLINK("https://www.babakanasori.com/", "https://www.babakanasori.com/")</f>
        <v/>
      </c>
      <c r="AN105" s="2" t="inlineStr"/>
      <c r="AO105" s="2" t="inlineStr"/>
      <c r="AP105" s="2" t="inlineStr">
        <is>
          <t>SEM</t>
        </is>
      </c>
      <c r="AQ105" s="2" t="inlineStr"/>
      <c r="AR105" s="2" t="inlineStr"/>
      <c r="AS105" s="2" t="inlineStr"/>
      <c r="AT105" s="2" t="inlineStr">
        <is>
          <t>SL260M (Indy) / ARMS2209 (WL)</t>
        </is>
      </c>
      <c r="AU105" s="2" t="b">
        <v>1</v>
      </c>
      <c r="AV105" s="3">
        <f>HYPERLINK("https://engineering.purdue.edu/ME/People/ptFaculty", "https://engineering.purdue.edu/ME/People/ptFaculty")</f>
        <v/>
      </c>
    </row>
    <row r="106">
      <c r="A106" s="2" t="inlineStr">
        <is>
          <t>Beth Holloway</t>
        </is>
      </c>
      <c r="B106" s="2" t="inlineStr">
        <is>
          <t>Purdue University</t>
        </is>
      </c>
      <c r="C106" s="3">
        <f>HYPERLINK("https://engineering.purdue.edu/Engr/People/ptProfile?resource_id=4110", "https://engineering.purdue.edu/Engr/People/ptProfile?resource_id=4110")</f>
        <v/>
      </c>
      <c r="D106" s="3">
        <f>HYPERLINK("https://scholar.google.com/citations?view_op=search_authors&amp;mauthors=Beth%20Holloway%20Purdue%20University", "Google Scholar Search")</f>
        <v/>
      </c>
      <c r="E106" s="2" t="inlineStr">
        <is>
          <t>Senior Assistant Dean for Student Access and Success; Leah H. Jamieson Director of the Women In Engineering Program, College of Engineering; Professor of Engineering Practice</t>
        </is>
      </c>
      <c r="F106" s="2" t="inlineStr">
        <is>
          <t>Mechanical Engineering</t>
        </is>
      </c>
      <c r="G106" s="2" t="inlineStr"/>
      <c r="H106" s="3">
        <f>HYPERLINK("mailto:holloway@purdue.edu", "holloway@purdue.edu")</f>
        <v/>
      </c>
      <c r="I106" s="2" t="n">
        <v>3</v>
      </c>
      <c r="J106" s="2" t="inlineStr">
        <is>
          <t>🟠 Tier 3: Structures / Materials / Manufacturing</t>
        </is>
      </c>
      <c r="K106" s="2" t="n">
        <v>1</v>
      </c>
      <c r="L106" s="2" t="inlineStr">
        <is>
          <t>materials</t>
        </is>
      </c>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Undergraduate Engineering Degree Maps First Year Engineering Aeronautical &amp; Astronautical Engineering (Undergraduate) Agricultural &amp; Biological Engineering (Undergraduate) Biomedical Engineering (Undergraduate) Chemical Engineering (Undergraduate) Civil &amp; Construction Engineering (Undergraduate) Electrical &amp; Computer Engineering (Undergraduate) Industrial Engineering (Undergraduate) Interdisciplinary Engineering (Undergraduate) Materials Engineering (Undergraduate) Mechanical Engineering (Undergraduate) Multidisciplinary Engineering (Undergraduate) Nuclear Engineering (Undergraduate) Sustainability Engineering &amp; Environmental Engineering (Undergraduate)</t>
        </is>
      </c>
      <c r="AL106" s="2" t="inlineStr">
        <is>
          <t>Indiana Space Grant Consortium</t>
        </is>
      </c>
      <c r="AM106" s="3">
        <f>HYPERLINK("https://insgc.spacegrant.org/", "https://insgc.spacegrant.org/")</f>
        <v/>
      </c>
      <c r="AN106" s="2" t="inlineStr">
        <is>
          <t>Academic INSGC Internships</t>
        </is>
      </c>
      <c r="AO106" s="2" t="inlineStr"/>
      <c r="AP106" s="2" t="inlineStr"/>
      <c r="AQ106" s="2" t="inlineStr">
        <is>
          <t>NASA</t>
        </is>
      </c>
      <c r="AR106" s="2" t="inlineStr"/>
      <c r="AS106" s="2" t="inlineStr"/>
      <c r="AT106" s="2" t="inlineStr"/>
      <c r="AU106" s="2" t="b">
        <v>1</v>
      </c>
      <c r="AV106" s="3">
        <f>HYPERLINK("https://engineering.purdue.edu/ME/People/ptFaculty", "https://engineering.purdue.edu/ME/People/ptFaculty")</f>
        <v/>
      </c>
    </row>
    <row r="107">
      <c r="A107" s="2" t="inlineStr">
        <is>
          <t>Eduardo Barocio Vaca</t>
        </is>
      </c>
      <c r="B107" s="2" t="inlineStr">
        <is>
          <t>Purdue University</t>
        </is>
      </c>
      <c r="C107" s="3">
        <f>HYPERLINK("https://engineering.purdue.edu/ME/People/ptProfile?resource_id=120407", "https://engineering.purdue.edu/ME/People/ptProfile?resource_id=120407")</f>
        <v/>
      </c>
      <c r="D107" s="3">
        <f>HYPERLINK("https://scholar.google.com/citations?view_op=search_authors&amp;mauthors=Eduardo%20Barocio%20Vaca%20Purdue%20University", "Google Scholar Search")</f>
        <v/>
      </c>
      <c r="E107" s="2" t="inlineStr">
        <is>
          <t>Assistant Professor of Mechanical Engineering</t>
        </is>
      </c>
      <c r="F107" s="2" t="inlineStr">
        <is>
          <t>Mechanical Engineering</t>
        </is>
      </c>
      <c r="G107" s="2" t="inlineStr"/>
      <c r="H107" s="3">
        <f>HYPERLINK("mailto:ebarocio@purdue.edu", "ebarocio@purdue.edu")</f>
        <v/>
      </c>
      <c r="I107" s="2" t="n">
        <v>3</v>
      </c>
      <c r="J107" s="2" t="inlineStr">
        <is>
          <t>🟠 Tier 3: Structures / Materials / Manufacturing</t>
        </is>
      </c>
      <c r="K107" s="2" t="n">
        <v>1</v>
      </c>
      <c r="L107" s="2" t="inlineStr">
        <is>
          <t>solid mechanics</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is>
          <t>Outstanding Mechanical Engineers Distinguished Engineering Alumni Honorary Doctorates Staff Awards Student Awards Distinguished...</t>
        </is>
      </c>
      <c r="AE107" s="2" t="inlineStr"/>
      <c r="AF107" s="2" t="inlineStr"/>
      <c r="AG107" s="2" t="inlineStr"/>
      <c r="AH107" s="2" t="inlineStr"/>
      <c r="AI107" s="2" t="inlineStr">
        <is>
          <t>Design &amp; Manufacturing Solid Mechanics</t>
        </is>
      </c>
      <c r="AJ107" s="2" t="inlineStr">
        <is>
          <t>Design &amp; Manufacturing Solid Mechanics</t>
        </is>
      </c>
      <c r="AK107" s="2" t="inlineStr"/>
      <c r="AL107" s="2" t="inlineStr">
        <is>
          <t>Indiana Space Grant Consortium</t>
        </is>
      </c>
      <c r="AM107" s="3">
        <f>HYPERLINK("https://insgc.spacegrant.org/", "https://insgc.spacegrant.org/")</f>
        <v/>
      </c>
      <c r="AN107" s="2" t="inlineStr">
        <is>
          <t>Academic INSGC Internships</t>
        </is>
      </c>
      <c r="AO107" s="2" t="inlineStr"/>
      <c r="AP107" s="2" t="inlineStr"/>
      <c r="AQ107" s="2" t="inlineStr">
        <is>
          <t>NASA</t>
        </is>
      </c>
      <c r="AR107" s="2" t="inlineStr"/>
      <c r="AS107" s="2" t="inlineStr"/>
      <c r="AT107" s="2" t="inlineStr"/>
      <c r="AU107" s="2" t="b">
        <v>1</v>
      </c>
      <c r="AV107" s="3">
        <f>HYPERLINK("https://engineering.purdue.edu/ME/People/ptFaculty", "https://engineering.purdue.edu/ME/People/ptFaculty")</f>
        <v/>
      </c>
    </row>
    <row r="108">
      <c r="A108" s="2" t="inlineStr">
        <is>
          <t>Farshid Sadeghi</t>
        </is>
      </c>
      <c r="B108" s="2" t="inlineStr">
        <is>
          <t>Purdue University</t>
        </is>
      </c>
      <c r="C108" s="3">
        <f>HYPERLINK("https://engineering.purdue.edu/ME/People/ptProfile?resource_id=23987", "https://engineering.purdue.edu/ME/People/ptProfile?resource_id=23987")</f>
        <v/>
      </c>
      <c r="D108" s="3">
        <f>HYPERLINK("https://scholar.google.com/citations?view_op=search_authors&amp;mauthors=Farshid%20Sadeghi%20Purdue%20University", "Google Scholar Search")</f>
        <v/>
      </c>
      <c r="E108" s="2" t="inlineStr">
        <is>
          <t>Cummins Distinguished Professor of Mechanical Engineering</t>
        </is>
      </c>
      <c r="F108" s="2" t="inlineStr">
        <is>
          <t>Mechanical Engineering</t>
        </is>
      </c>
      <c r="G108" s="2" t="inlineStr"/>
      <c r="H108" s="3">
        <f>HYPERLINK("mailto:sadeghi@purdue.edu", "sadeghi@purdue.edu")</f>
        <v/>
      </c>
      <c r="I108" s="2" t="n">
        <v>3</v>
      </c>
      <c r="J108" s="2" t="inlineStr">
        <is>
          <t>🟠 Tier 3: Structures / Materials / Manufacturing</t>
        </is>
      </c>
      <c r="K108" s="2" t="n">
        <v>1</v>
      </c>
      <c r="L108" s="2" t="inlineStr">
        <is>
          <t>solid mechanics</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is>
          <t>Outstanding Mechanical Engineers Distinguished Engineering Alumni Honorary Doctorates Staff Awards Student Awards Distinguished...</t>
        </is>
      </c>
      <c r="AE108" s="2" t="inlineStr">
        <is>
          <t>METL is frequently looking to hire graduate research assistants. If you are interested in a research position at the Mechanical Engineering Tribology Lab, please email your application to Professor Sadeghi. (sadeghi@purdue.edu) It is suggested that you include the following: Curriculum vitae or Resume Indicate desired role (i.e. Direct Ph.D, Ph.D, Masters, etc.) Clearly indicate previous experience or academic background</t>
        </is>
      </c>
      <c r="AF108" s="2" t="inlineStr"/>
      <c r="AG108" s="2" t="inlineStr"/>
      <c r="AH108" s="2" t="inlineStr">
        <is>
          <t>Contact mechanics Stresses, fatigue and friction of rolling/sliding Micro-mechanics of boundary and mixed lubrication regimes Spall initiation and propagation Surface science and damage Dynamics of ball and rolling element bearings and rotating systems Friction induced vibration and squeal in dry contacts Friction and wear of dry and lubricated contacts Virtual tribology Dry and lubricated fretting wear MEMS for in-situ monitoring of tribological contacts Discrete element modeling Design</t>
        </is>
      </c>
      <c r="AI108" s="2" t="inlineStr">
        <is>
          <t>Design &amp; Manufacturing Solid Mechanics</t>
        </is>
      </c>
      <c r="AJ108" s="2" t="inlineStr">
        <is>
          <t>Design &amp; Manufacturing Solid Mechanics</t>
        </is>
      </c>
      <c r="AK108" s="2" t="inlineStr">
        <is>
          <t>B.S. University of Tennessee, '79 M.S. University of Tennessee, '81 Ph.D. North Carolina State University, '85</t>
        </is>
      </c>
      <c r="AL108" s="2" t="inlineStr">
        <is>
          <t>Mechanical Engineering Tribology Laboratory (METL)</t>
        </is>
      </c>
      <c r="AM108" s="3">
        <f>HYPERLINK("https://engineering.purdue.edu/METL", "https://engineering.purdue.edu/METL")</f>
        <v/>
      </c>
      <c r="AN108" s="2" t="inlineStr"/>
      <c r="AO108" s="2" t="inlineStr"/>
      <c r="AP108" s="2" t="inlineStr"/>
      <c r="AQ108" s="2" t="inlineStr"/>
      <c r="AR108" s="2" t="inlineStr"/>
      <c r="AS108" s="2" t="inlineStr"/>
      <c r="AT108" s="2" t="inlineStr"/>
      <c r="AU108" s="2" t="b">
        <v>1</v>
      </c>
      <c r="AV108" s="3">
        <f>HYPERLINK("https://engineering.purdue.edu/ME/People/ptFaculty", "https://engineering.purdue.edu/ME/People/ptFaculty")</f>
        <v/>
      </c>
    </row>
    <row r="109">
      <c r="A109" s="2" t="inlineStr">
        <is>
          <t>Hazim El Mounayri</t>
        </is>
      </c>
      <c r="B109" s="2" t="inlineStr">
        <is>
          <t>Purdue University</t>
        </is>
      </c>
      <c r="C109" s="3">
        <f>HYPERLINK("https://engineering.purdue.edu/ME/People/ptProfile?resource_id=295482", "https://engineering.purdue.edu/ME/People/ptProfile?resource_id=295482")</f>
        <v/>
      </c>
      <c r="D109" s="3">
        <f>HYPERLINK("https://scholar.google.com/citations?view_op=search_authors&amp;mauthors=Hazim%20El%20Mounayri%20Purdue%20University", "Google Scholar Search")</f>
        <v/>
      </c>
      <c r="E109" s="2" t="inlineStr">
        <is>
          <t>Associate Professor of Mechanical Engineering</t>
        </is>
      </c>
      <c r="F109" s="2" t="inlineStr">
        <is>
          <t>Mechanical Engineering</t>
        </is>
      </c>
      <c r="G109" s="2" t="inlineStr"/>
      <c r="H109" s="3">
        <f>HYPERLINK("mailto:helmouna@purdue.edu", "helmouna@purdue.edu")</f>
        <v/>
      </c>
      <c r="I109" s="2" t="n">
        <v>3</v>
      </c>
      <c r="J109" s="2" t="inlineStr">
        <is>
          <t>🟠 Tier 3: Structures / Materials / Manufacturing</t>
        </is>
      </c>
      <c r="K109" s="2" t="n">
        <v>1</v>
      </c>
      <c r="L109" s="2" t="inlineStr">
        <is>
          <t>materials</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is>
          <t>Outstanding Mechanical Engineers Distinguished Engineering Alumni Honorary Doctorates Staff Awards Student Awards Distinguished...</t>
        </is>
      </c>
      <c r="AE109" s="2" t="inlineStr"/>
      <c r="AF109" s="2" t="inlineStr"/>
      <c r="AG109" s="2" t="inlineStr"/>
      <c r="AH109" s="2" t="inlineStr">
        <is>
          <t>Virtual manufacturing Nanomanufacturing Machining process modeling, simulation and optimization Integrated CAD/CAE/CAM based product development Enhancement of CAD/CAM Technology Automation of CNC production PLM and design of renewable energy and biomedical systems</t>
        </is>
      </c>
      <c r="AI109" s="2" t="inlineStr"/>
      <c r="AJ109" s="2" t="inlineStr">
        <is>
          <t>Virtual manufacturing Nanomanufacturing Machining process modeling, simulation and optimization Integrated CAD/CAE/CAM based product development Enhancement of CAD/CAM Technology Automation of CNC production PLM and design of renewable energy and biomedical systems</t>
        </is>
      </c>
      <c r="AK109" s="2" t="inlineStr">
        <is>
          <t>BS Mechanical Engineering, American University in Cairo (AUC), 1989 MS Mechanical Engineering (concentration: Materials), American University in Cairo (AUC), 1992 Ph.D. Mechanical Engineering (concentration: Advanced Manufacturing), McMaster University, Canada, 1997</t>
        </is>
      </c>
      <c r="AL109" s="2" t="inlineStr">
        <is>
          <t>Indiana Space Grant Consortium</t>
        </is>
      </c>
      <c r="AM109" s="3">
        <f>HYPERLINK("https://insgc.spacegrant.org/", "https://insgc.spacegrant.org/")</f>
        <v/>
      </c>
      <c r="AN109" s="2" t="inlineStr">
        <is>
          <t>Academic INSGC Internships</t>
        </is>
      </c>
      <c r="AO109" s="2" t="inlineStr"/>
      <c r="AP109" s="2" t="inlineStr"/>
      <c r="AQ109" s="2" t="inlineStr">
        <is>
          <t>NASA</t>
        </is>
      </c>
      <c r="AR109" s="2" t="inlineStr"/>
      <c r="AS109" s="2" t="inlineStr"/>
      <c r="AT109" s="2" t="inlineStr"/>
      <c r="AU109" s="2" t="b">
        <v>1</v>
      </c>
      <c r="AV109" s="3">
        <f>HYPERLINK("https://engineering.purdue.edu/ME/People/ptFaculty", "https://engineering.purdue.edu/ME/People/ptFaculty")</f>
        <v/>
      </c>
    </row>
    <row r="110">
      <c r="A110" s="2" t="inlineStr">
        <is>
          <t>Ilias Bilionis</t>
        </is>
      </c>
      <c r="B110" s="2" t="inlineStr">
        <is>
          <t>Purdue University</t>
        </is>
      </c>
      <c r="C110" s="3">
        <f>HYPERLINK("https://engineering.purdue.edu/ME/People/ptProfile?resource_id=113500", "https://engineering.purdue.edu/ME/People/ptProfile?resource_id=113500")</f>
        <v/>
      </c>
      <c r="D110" s="3">
        <f>HYPERLINK("https://scholar.google.com/citations?view_op=search_authors&amp;mauthors=Ilias%20Bilionis%20Purdue%20University", "Google Scholar Search")</f>
        <v/>
      </c>
      <c r="E110" s="2" t="inlineStr">
        <is>
          <t>Professor of Mechanical Engineering</t>
        </is>
      </c>
      <c r="F110" s="2" t="inlineStr">
        <is>
          <t>Mechanical Engineering</t>
        </is>
      </c>
      <c r="G110" s="2" t="inlineStr"/>
      <c r="H110" s="3">
        <f>HYPERLINK("mailto:ibilion@purdue.edu", "ibilion@purdue.edu")</f>
        <v/>
      </c>
      <c r="I110" s="2" t="n">
        <v>3</v>
      </c>
      <c r="J110" s="2" t="inlineStr">
        <is>
          <t>🟠 Tier 3: Structures / Materials / Manufacturing</t>
        </is>
      </c>
      <c r="K110" s="2" t="n">
        <v>1</v>
      </c>
      <c r="L110" s="2" t="inlineStr">
        <is>
          <t>materials</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is>
          <t>Outstanding Mechanical Engineers Distinguished Engineering Alumni Honorary Doctorates Staff Awards Student Awards Distinguished...</t>
        </is>
      </c>
      <c r="AE110" s="2" t="inlineStr"/>
      <c r="AF110" s="2" t="inlineStr"/>
      <c r="AG110" s="2" t="inlineStr"/>
      <c r="AH110" s="2" t="inlineStr">
        <is>
          <t>Uncertainty propagation Inverse problems Propagation of information across scales Optimal learning Materials by design</t>
        </is>
      </c>
      <c r="AI110" s="2" t="inlineStr">
        <is>
          <t>Dynamics &amp; Vibration Design &amp; Manufacturing Systems, Measurements &amp; Controls</t>
        </is>
      </c>
      <c r="AJ110" s="2" t="inlineStr">
        <is>
          <t>Dynamics &amp; Vibration Design &amp; Manufacturing Systems, Measurements &amp; Controls</t>
        </is>
      </c>
      <c r="AK110" s="2" t="inlineStr"/>
      <c r="AL110" s="2" t="inlineStr">
        <is>
          <t>Predictive Science Lab</t>
        </is>
      </c>
      <c r="AM110" s="3">
        <f>HYPERLINK("https://www.predictivesciencelab.org/", "https://www.predictivesciencelab.org/")</f>
        <v/>
      </c>
      <c r="AN110" s="2" t="inlineStr"/>
      <c r="AO110" s="2" t="inlineStr"/>
      <c r="AP110" s="2" t="inlineStr"/>
      <c r="AQ110" s="2" t="inlineStr"/>
      <c r="AR110" s="3">
        <f>HYPERLINK("https://github.com/PredictiveScienceLab", "https://github.com/PredictiveScienceLab")</f>
        <v/>
      </c>
      <c r="AS110" s="2" t="inlineStr"/>
      <c r="AT110" s="2" t="inlineStr">
        <is>
          <t>FLEX 3081C</t>
        </is>
      </c>
      <c r="AU110" s="2" t="b">
        <v>1</v>
      </c>
      <c r="AV110" s="3">
        <f>HYPERLINK("https://engineering.purdue.edu/ME/People/ptFaculty", "https://engineering.purdue.edu/ME/People/ptFaculty")</f>
        <v/>
      </c>
    </row>
    <row r="111">
      <c r="A111" s="2" t="inlineStr">
        <is>
          <t>James F. Doyle</t>
        </is>
      </c>
      <c r="B111" s="2" t="inlineStr">
        <is>
          <t>Purdue University</t>
        </is>
      </c>
      <c r="C111" s="3">
        <f>HYPERLINK("https://engineering.purdue.edu/AAE/people/ptProfile?resource_id=1300", "https://engineering.purdue.edu/AAE/people/ptProfile?resource_id=1300")</f>
        <v/>
      </c>
      <c r="D111" s="3">
        <f>HYPERLINK("https://scholar.google.com/citations?view_op=search_authors&amp;mauthors=James%20F.%20Doyle%20Purdue%20University", "Google Scholar Search")</f>
        <v/>
      </c>
      <c r="E111" s="2" t="inlineStr">
        <is>
          <t>Professor; Ph.D., Illinois, 1977, structural dynamics, experimental mechanics, inverse problems, wave propagation.</t>
        </is>
      </c>
      <c r="F111" s="2" t="inlineStr">
        <is>
          <t>Aeronautics and Astronautics</t>
        </is>
      </c>
      <c r="G111" s="2" t="inlineStr"/>
      <c r="H111" s="3">
        <f>HYPERLINK("mailto:webmaster-eng@purdue.edu", "webmaster-eng@purdue.edu")</f>
        <v/>
      </c>
      <c r="I111" s="2" t="n">
        <v>3</v>
      </c>
      <c r="J111" s="2" t="inlineStr">
        <is>
          <t>🟠 Tier 3: Structures / Materials / Manufacturing</t>
        </is>
      </c>
      <c r="K111" s="2" t="n">
        <v>1</v>
      </c>
      <c r="L111" s="2" t="inlineStr">
        <is>
          <t>finite element</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is>
          <t>Frocht Award for Teaching, Society for Experimental Mechanics, 1991 Hetenyi Award for Research, Society for Experimental Mechan...</t>
        </is>
      </c>
      <c r="AE111" s="2" t="inlineStr"/>
      <c r="AF111" s="2" t="inlineStr"/>
      <c r="AG111" s="2" t="inlineStr"/>
      <c r="AH111" s="2" t="inlineStr">
        <is>
          <t>Experimental mechanics, impact and wave propagation, signal and image processing, computational mechanics, nonlinear structural dynamics, stability, photo-mechanics, inverse problems, crack propagation and fragmentation, dynamics and stability of protein structures.</t>
        </is>
      </c>
      <c r="AI111" s="2" t="inlineStr">
        <is>
          <t>The main research area is Experimental Mechanics with an emphasis on the development of a new methodology for analyzing impact and wave propagation in complicated structures with the goal of being able to extract the complete description of the wave and the dynamic system from limited experimental data. Special emphasis is placed on solving inverse problems by integrating experimental methods with computations methods (primarily Finite Element based methods). This research is based on the assertion that, in modern analyses, constructing the model is constructing the solution—that the model is the solution. But all model representations of real structures must be incomplete; after all, we cannot be completely aware of every material property and every aspect of the loading and every condition of the environment, for any particular structure. Therefore, as a corollary to the assertion, we posit that a very important role of modern experimental stress analysis and experimental mechanics in general is to aid in completing the construction of the model. That the model is the focal point of modern Experimental Mechanics has a number of significant implications. First, collecting data can never be an end in itself. Invariably, the data will be used to infer indirectly (or inversely) something unknown about the system. Typically, they are situations where only some aspects of the system are known (geometry, material properties, for example) while other aspects are unknown (loads, boundary conditions, behavior of a nonlinear joint, for example) and we attempt to use measurements to determine the unknowns; these are partially specified problems . The difficulty with partially specified problems is that, far from having no solution, they have a great many solutions. The research question revolves around what supplementary information to use and how to incorporate it in the solution procedure. Which brings us to the second implication. The engineering point to be made is that every experiment or every experimental analysis is ultimately incomplete, there will always be some unknowns and at some stage the question of coping with missing information must be addressed. This is not a question of collecting more data, "re-do the experiment," or design a better experiment. This is not a statistical issue where if the experiment is repeated enough times, the uncertainty is removed or characterized. We are talking about experimental problems which inherently are missing enough information for a direct solution. These ideas with the accompanying algorithms and examples are presented in the book: J.F. Doyle, Modern Experimental Stress Analysis: completing the solution of partially specified problems , Wiley &amp; Sons, UK, 2004. The problems tackled cover the complete range of topics and include static/dynamic, linear/nonlinear applied to a variety of structures and components. A final point: current technologies are exploring the possibility of using nanostructures in a variety of applications. These do not lend themselves to traditional methods of experimentation; the inverse methods being developed here offer great potential to overcome the challenges.</t>
        </is>
      </c>
      <c r="AJ111" s="2" t="inlineStr">
        <is>
          <t>The main research area is Experimental Mechanics with an emphasis on the development of a new methodology for analyzing impact and wave propagation in complicated structures with the goal of being able to extract the complete description of the wave and the dynamic system from limited experimental data. Special emphasis is placed on solving inverse problems by integrating experimental methods w...</t>
        </is>
      </c>
      <c r="AK111" s="2" t="inlineStr">
        <is>
          <t>Dipl. Eng., Dublin Institutes of Technology, Ireland, 1972 M.Sc., University of Saskatchewan, Canada, 1974 Ph.D., University of Illinois, 1977</t>
        </is>
      </c>
      <c r="AL111" s="2" t="inlineStr">
        <is>
          <t>Indiana Space Grant Consortium</t>
        </is>
      </c>
      <c r="AM111" s="3">
        <f>HYPERLINK("https://insgc.spacegrant.org/", "https://insgc.spacegrant.org/")</f>
        <v/>
      </c>
      <c r="AN111" s="2" t="inlineStr">
        <is>
          <t>Academic INSGC Internships</t>
        </is>
      </c>
      <c r="AO111" s="2" t="inlineStr"/>
      <c r="AP111" s="2" t="inlineStr"/>
      <c r="AQ111" s="2" t="inlineStr">
        <is>
          <t>NASA</t>
        </is>
      </c>
      <c r="AR111" s="2" t="inlineStr"/>
      <c r="AS111" s="2" t="inlineStr"/>
      <c r="AT111" s="2" t="inlineStr"/>
      <c r="AU111" s="2" t="b">
        <v>1</v>
      </c>
      <c r="AV111" s="3">
        <f>HYPERLINK("https://engineering.purdue.edu/AAE/people/Faculty", "https://engineering.purdue.edu/AAE/people/Faculty")</f>
        <v/>
      </c>
    </row>
    <row r="112">
      <c r="A112" s="2" t="inlineStr">
        <is>
          <t>James Gibert</t>
        </is>
      </c>
      <c r="B112" s="2" t="inlineStr">
        <is>
          <t>Purdue University</t>
        </is>
      </c>
      <c r="C112" s="3">
        <f>HYPERLINK("https://engineering.purdue.edu/ME/People/ptProfile?resource_id=127242", "https://engineering.purdue.edu/ME/People/ptProfile?resource_id=127242")</f>
        <v/>
      </c>
      <c r="D112" s="3">
        <f>HYPERLINK("https://scholar.google.com/citations?view_op=search_authors&amp;mauthors=James%20Gibert%20Purdue%20University", "Google Scholar Search")</f>
        <v/>
      </c>
      <c r="E112" s="2" t="inlineStr">
        <is>
          <t>Professor of Mechanical Engineering</t>
        </is>
      </c>
      <c r="F112" s="2" t="inlineStr">
        <is>
          <t>Mechanical Engineering</t>
        </is>
      </c>
      <c r="G112" s="2" t="inlineStr"/>
      <c r="H112" s="3">
        <f>HYPERLINK("mailto:jgibert@purdue.edu", "jgibert@purdue.edu")</f>
        <v/>
      </c>
      <c r="I112" s="2" t="n">
        <v>3</v>
      </c>
      <c r="J112" s="2" t="inlineStr">
        <is>
          <t>🟠 Tier 3: Structures / Materials / Manufacturing</t>
        </is>
      </c>
      <c r="K112" s="2" t="n">
        <v>1</v>
      </c>
      <c r="L112" s="2" t="inlineStr">
        <is>
          <t>solid mechanics</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is>
          <t>Outstanding Mechanical Engineers Distinguished Engineering Alumni Honorary Doctorates Staff Awards Student Awards Distinguished...</t>
        </is>
      </c>
      <c r="AE112" s="2" t="inlineStr"/>
      <c r="AF112" s="2" t="inlineStr"/>
      <c r="AG112" s="2" t="inlineStr"/>
      <c r="AH112" s="2" t="inlineStr">
        <is>
          <t>Vibrations and nonlinear dynamics Smart material systems Non-pneumatic tires Optimization of mechanical systems Additive manufacturing</t>
        </is>
      </c>
      <c r="AI112" s="2" t="inlineStr">
        <is>
          <t>Dynamics &amp; Vibration Solid Mechanics</t>
        </is>
      </c>
      <c r="AJ112" s="2" t="inlineStr">
        <is>
          <t>Dynamics &amp; Vibration Solid Mechanics</t>
        </is>
      </c>
      <c r="AK112" s="2" t="inlineStr">
        <is>
          <t>B.S., Clemson University,   ‘02 M.S., Clemson University,   ‘04 Ph.D., Clemson University,   ‘09</t>
        </is>
      </c>
      <c r="AL112" s="2" t="inlineStr">
        <is>
          <t>Indiana Space Grant Consortium</t>
        </is>
      </c>
      <c r="AM112" s="3">
        <f>HYPERLINK("https://insgc.spacegrant.org/", "https://insgc.spacegrant.org/")</f>
        <v/>
      </c>
      <c r="AN112" s="2" t="inlineStr">
        <is>
          <t>Academic INSGC Internships</t>
        </is>
      </c>
      <c r="AO112" s="2" t="inlineStr"/>
      <c r="AP112" s="2" t="inlineStr"/>
      <c r="AQ112" s="2" t="inlineStr">
        <is>
          <t>NASA</t>
        </is>
      </c>
      <c r="AR112" s="2" t="inlineStr"/>
      <c r="AS112" s="2" t="inlineStr"/>
      <c r="AT112" s="2" t="inlineStr"/>
      <c r="AU112" s="2" t="b">
        <v>1</v>
      </c>
      <c r="AV112" s="3">
        <f>HYPERLINK("https://engineering.purdue.edu/ME/People/ptFaculty", "https://engineering.purdue.edu/ME/People/ptFaculty")</f>
        <v/>
      </c>
    </row>
    <row r="113">
      <c r="A113" s="2" t="inlineStr">
        <is>
          <t>Jitesh H. Panchal</t>
        </is>
      </c>
      <c r="B113" s="2" t="inlineStr">
        <is>
          <t>Purdue University</t>
        </is>
      </c>
      <c r="C113" s="3">
        <f>HYPERLINK("https://engineering.purdue.edu/ME/People/ptProfile?resource_id=80194", "https://engineering.purdue.edu/ME/People/ptProfile?resource_id=80194")</f>
        <v/>
      </c>
      <c r="D113" s="3">
        <f>HYPERLINK("https://scholar.google.com/citations?view_op=search_authors&amp;mauthors=Jitesh%20H.%20Panchal%20Purdue%20University", "Google Scholar Search")</f>
        <v/>
      </c>
      <c r="E113" s="2" t="inlineStr">
        <is>
          <t>Professor of Mechanical Engineering and Associate Head of Undergraduate Programs</t>
        </is>
      </c>
      <c r="F113" s="2" t="inlineStr">
        <is>
          <t>Mechanical Engineering</t>
        </is>
      </c>
      <c r="G113" s="2" t="inlineStr"/>
      <c r="H113" s="3">
        <f>HYPERLINK("mailto:panchal@purdue.edu", "panchal@purdue.edu")</f>
        <v/>
      </c>
      <c r="I113" s="2" t="n">
        <v>3</v>
      </c>
      <c r="J113" s="2" t="inlineStr">
        <is>
          <t>🟠 Tier 3: Structures / Materials / Manufacturing</t>
        </is>
      </c>
      <c r="K113" s="2" t="n">
        <v>1</v>
      </c>
      <c r="L113" s="2" t="inlineStr">
        <is>
          <t>materials</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is>
          <t>Outstanding Mechanical Engineers Distinguished Engineering Alumni Honorary Doctorates Staff Awards Student Awards Distinguished...</t>
        </is>
      </c>
      <c r="AE113" s="2" t="inlineStr">
        <is>
          <t>Contact Purdue Engineering MarCom regarding any accessibility issues | Accessibility Resources | Contact Us | Email webmaster-eng@purdue.edu to report a problem</t>
        </is>
      </c>
      <c r="AF113" s="2" t="inlineStr"/>
      <c r="AG113" s="2" t="inlineStr"/>
      <c r="AH113" s="2" t="inlineStr">
        <is>
          <t>Computational Design of Socio-Technical Systems Secure Design and Manufacturing Engineering Design by Self-Organized Virtual Communities Integrated Products and Materials Design</t>
        </is>
      </c>
      <c r="AI113" s="2" t="inlineStr">
        <is>
          <t>Design &amp; Manufacturing</t>
        </is>
      </c>
      <c r="AJ113" s="2" t="inlineStr">
        <is>
          <t>Design &amp; Manufacturing</t>
        </is>
      </c>
      <c r="AK113" s="2" t="inlineStr">
        <is>
          <t>Ph.D. (ME), Georgia Institute of Technology, '05 M.S. (ME), Georgia Institute of Technology, '03 B.Tech. (ME), Indian Institute of Technology, Guwahati, '00</t>
        </is>
      </c>
      <c r="AL113" s="2" t="inlineStr">
        <is>
          <t>Design Engineering Lab at Purdue (DELP)</t>
        </is>
      </c>
      <c r="AM113" s="3">
        <f>HYPERLINK("https://engineering.purdue.edu/DELP/", "https://engineering.purdue.edu/DELP/")</f>
        <v/>
      </c>
      <c r="AN113" s="2" t="inlineStr"/>
      <c r="AO113" s="2" t="inlineStr"/>
      <c r="AP113" s="2" t="inlineStr"/>
      <c r="AQ113" s="2" t="inlineStr">
        <is>
          <t>DOE</t>
        </is>
      </c>
      <c r="AR113" s="2" t="inlineStr"/>
      <c r="AS113" s="2" t="inlineStr"/>
      <c r="AT113" s="2" t="inlineStr">
        <is>
          <t>ME 2200</t>
        </is>
      </c>
      <c r="AU113" s="2" t="b">
        <v>1</v>
      </c>
      <c r="AV113" s="3">
        <f>HYPERLINK("https://engineering.purdue.edu/ME/People/ptFaculty", "https://engineering.purdue.edu/ME/People/ptFaculty")</f>
        <v/>
      </c>
    </row>
    <row r="114">
      <c r="A114" s="2" t="inlineStr">
        <is>
          <t>Martin Byung-Guk Jun</t>
        </is>
      </c>
      <c r="B114" s="2" t="inlineStr">
        <is>
          <t>Purdue University</t>
        </is>
      </c>
      <c r="C114" s="3">
        <f>HYPERLINK("https://engineering.purdue.edu/ME/People/ptProfile?resource_id=156378", "https://engineering.purdue.edu/ME/People/ptProfile?resource_id=156378")</f>
        <v/>
      </c>
      <c r="D114" s="3">
        <f>HYPERLINK("https://scholar.google.com/citations?view_op=search_authors&amp;mauthors=Martin%20Byung-Guk%20Jun%20Purdue%20University", "Google Scholar Search")</f>
        <v/>
      </c>
      <c r="E114" s="2" t="inlineStr">
        <is>
          <t>Professor of Mechanical Engineering</t>
        </is>
      </c>
      <c r="F114" s="2" t="inlineStr">
        <is>
          <t>Mechanical Engineering</t>
        </is>
      </c>
      <c r="G114" s="2" t="inlineStr"/>
      <c r="H114" s="3">
        <f>HYPERLINK("mailto:mbgjun@purdue.edu", "mbgjun@purdue.edu")</f>
        <v/>
      </c>
      <c r="I114" s="2" t="n">
        <v>3</v>
      </c>
      <c r="J114" s="2" t="inlineStr">
        <is>
          <t>🟠 Tier 3: Structures / Materials / Manufacturing</t>
        </is>
      </c>
      <c r="K114" s="2" t="n">
        <v>1</v>
      </c>
      <c r="L114" s="2" t="inlineStr">
        <is>
          <t>composites</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is>
          <t>Outstanding Mechanical Engineers Distinguished Engineering Alumni Honorary Doctorates Staff Awards Student Awards Distinguished...</t>
        </is>
      </c>
      <c r="AE114" s="2" t="inlineStr"/>
      <c r="AF114" s="2" t="inlineStr"/>
      <c r="AG114" s="2" t="inlineStr"/>
      <c r="AH114" s="2" t="inlineStr">
        <is>
          <t>Advanced multi-scale manufacturing Ultrafast laser machining and processing Fiber optic sensors and environmental monitoring Spray-based nanoparticle coating and additive manufacturing Machining of carbon fiber reinforced polymer (CFRP) composites</t>
        </is>
      </c>
      <c r="AI114" s="2" t="inlineStr">
        <is>
          <t>Systems, Measurements &amp; Controls</t>
        </is>
      </c>
      <c r="AJ114" s="2" t="inlineStr">
        <is>
          <t>Systems, Measurements &amp; Controls</t>
        </is>
      </c>
      <c r="AK114" s="2" t="inlineStr">
        <is>
          <t>B.A.Sc, University of British Columbia, 1998 M.A.Sc, University of British Columbia, 2000 Ph.D., University of Illinois - Urbana-Champaign, 2005</t>
        </is>
      </c>
      <c r="AL114" s="2" t="inlineStr">
        <is>
          <t>Jun Laboratory</t>
        </is>
      </c>
      <c r="AM114" s="3">
        <f>HYPERLINK("http://web.ics.purdue.edu/~jun25/", "http://web.ics.purdue.edu/~jun25/")</f>
        <v/>
      </c>
      <c r="AN114" s="2" t="inlineStr"/>
      <c r="AO114" s="2" t="inlineStr"/>
      <c r="AP114" s="2" t="inlineStr"/>
      <c r="AQ114" s="2" t="inlineStr"/>
      <c r="AR114" s="2" t="inlineStr"/>
      <c r="AS114" s="2" t="inlineStr"/>
      <c r="AT114" s="2" t="inlineStr">
        <is>
          <t>ME 1071</t>
        </is>
      </c>
      <c r="AU114" s="2" t="b">
        <v>1</v>
      </c>
      <c r="AV114" s="3">
        <f>HYPERLINK("https://engineering.purdue.edu/ME/People/ptFaculty", "https://engineering.purdue.edu/ME/People/ptFaculty")</f>
        <v/>
      </c>
    </row>
    <row r="115">
      <c r="A115" s="2" t="inlineStr">
        <is>
          <t>Mukerrem Cakmak</t>
        </is>
      </c>
      <c r="B115" s="2" t="inlineStr">
        <is>
          <t>Purdue University</t>
        </is>
      </c>
      <c r="C115" s="3">
        <f>HYPERLINK("https://engineering.purdue.edu/ME/People/ptProfile?resource_id=144060", "https://engineering.purdue.edu/ME/People/ptProfile?resource_id=144060")</f>
        <v/>
      </c>
      <c r="D115" s="3">
        <f>HYPERLINK("https://scholar.google.com/citations?view_op=search_authors&amp;mauthors=Mukerrem%20Cakmak%20Purdue%20University", "Google Scholar Search")</f>
        <v/>
      </c>
      <c r="E115" s="2" t="inlineStr">
        <is>
          <t>Reilly Professor of Materials Engineering and Mechanical Engineering</t>
        </is>
      </c>
      <c r="F115" s="2" t="inlineStr">
        <is>
          <t>Mechanical Engineering</t>
        </is>
      </c>
      <c r="G115" s="2" t="inlineStr"/>
      <c r="H115" s="3">
        <f>HYPERLINK("mailto:cakmak@purdue.edu", "cakmak@purdue.edu")</f>
        <v/>
      </c>
      <c r="I115" s="2" t="n">
        <v>3</v>
      </c>
      <c r="J115" s="2" t="inlineStr">
        <is>
          <t>🟠 Tier 3: Structures / Materials / Manufacturing</t>
        </is>
      </c>
      <c r="K115" s="2" t="n">
        <v>1</v>
      </c>
      <c r="L115" s="2" t="inlineStr">
        <is>
          <t>materials</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is>
          <t>Outstanding Mechanical Engineers Distinguished Engineering Alumni Honorary Doctorates Staff Awards Student Awards Distinguished...</t>
        </is>
      </c>
      <c r="AE115" s="2" t="inlineStr"/>
      <c r="AF115" s="2" t="inlineStr"/>
      <c r="AG115" s="2" t="inlineStr"/>
      <c r="AH115" s="2" t="inlineStr">
        <is>
          <t>Modeling and experimental studies on processing Structure property relationships in polymer films and moldings and polymer/metal/ceramic hybrid systems</t>
        </is>
      </c>
      <c r="AI115" s="2" t="inlineStr">
        <is>
          <t>Design &amp; Manufacturing</t>
        </is>
      </c>
      <c r="AJ115" s="2" t="inlineStr">
        <is>
          <t>Design &amp; Manufacturing</t>
        </is>
      </c>
      <c r="AK115" s="2" t="inlineStr">
        <is>
          <t>BS, Chemical Engineering, Technical University of Istanbul MS, Polymer Engineering, University of Tennessee PhD, Polymer Engineering, University of Tennessee</t>
        </is>
      </c>
      <c r="AL115" s="2" t="inlineStr">
        <is>
          <t>Indiana Space Grant Consortium</t>
        </is>
      </c>
      <c r="AM115" s="3">
        <f>HYPERLINK("https://insgc.spacegrant.org/", "https://insgc.spacegrant.org/")</f>
        <v/>
      </c>
      <c r="AN115" s="2" t="inlineStr">
        <is>
          <t>Academic INSGC Internships</t>
        </is>
      </c>
      <c r="AO115" s="2" t="inlineStr"/>
      <c r="AP115" s="2" t="inlineStr"/>
      <c r="AQ115" s="2" t="inlineStr">
        <is>
          <t>NASA</t>
        </is>
      </c>
      <c r="AR115" s="2" t="inlineStr"/>
      <c r="AS115" s="2" t="inlineStr"/>
      <c r="AT115" s="2" t="inlineStr"/>
      <c r="AU115" s="2" t="b">
        <v>1</v>
      </c>
      <c r="AV115" s="3">
        <f>HYPERLINK("https://engineering.purdue.edu/ME/People/ptFaculty", "https://engineering.purdue.edu/ME/People/ptFaculty")</f>
        <v/>
      </c>
    </row>
    <row r="116">
      <c r="A116" s="2" t="inlineStr">
        <is>
          <t>Ryan Wagner</t>
        </is>
      </c>
      <c r="B116" s="2" t="inlineStr">
        <is>
          <t>Purdue University</t>
        </is>
      </c>
      <c r="C116" s="3">
        <f>HYPERLINK("https://engineering.purdue.edu/ME/People/ptProfile?resource_id=236680", "https://engineering.purdue.edu/ME/People/ptProfile?resource_id=236680")</f>
        <v/>
      </c>
      <c r="D116" s="3">
        <f>HYPERLINK("https://scholar.google.com/citations?view_op=search_authors&amp;mauthors=Ryan%20Wagner%20Purdue%20University", "Google Scholar Search")</f>
        <v/>
      </c>
      <c r="E116" s="2" t="inlineStr">
        <is>
          <t>Research Assistant Professor</t>
        </is>
      </c>
      <c r="F116" s="2" t="inlineStr">
        <is>
          <t>Mechanical Engineering</t>
        </is>
      </c>
      <c r="G116" s="2" t="inlineStr"/>
      <c r="H116" s="3">
        <f>HYPERLINK("mailto:rbwagner@purdue.edu", "rbwagner@purdue.edu")</f>
        <v/>
      </c>
      <c r="I116" s="2" t="n">
        <v>3</v>
      </c>
      <c r="J116" s="2" t="inlineStr">
        <is>
          <t>🟠 Tier 3: Structures / Materials / Manufacturing</t>
        </is>
      </c>
      <c r="K116" s="2" t="n">
        <v>1</v>
      </c>
      <c r="L116" s="2" t="inlineStr">
        <is>
          <t>solid mechanics</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is>
          <t>Outstanding Mechanical Engineers Distinguished Engineering Alumni Honorary Doctorates Staff Awards Student Awards Distinguished...</t>
        </is>
      </c>
      <c r="AE116" s="2" t="inlineStr">
        <is>
          <t>As a Research Professor in Mechanical Engineering I supervise graduate students, perform research actives, and engage in grant writing. The goal of my lab is to apply a core expertise in vibrations and dynamics to solve multiphysics problems as a part of interdisciplinary research collaborations.</t>
        </is>
      </c>
      <c r="AF116" s="2" t="inlineStr"/>
      <c r="AG116" s="2" t="inlineStr"/>
      <c r="AH116" s="2" t="inlineStr">
        <is>
          <t>Scanning Probe Microscopy Metrology Optomechanics Mass spectrometry Contact mechanics</t>
        </is>
      </c>
      <c r="AI116" s="2" t="inlineStr">
        <is>
          <t>Dynamics &amp; Vibration Systems, Measurements &amp; Controls Solid Mechanics</t>
        </is>
      </c>
      <c r="AJ116" s="2" t="inlineStr">
        <is>
          <t>Dynamics &amp; Vibration Systems, Measurements &amp; Controls Solid Mechanics</t>
        </is>
      </c>
      <c r="AK116" s="2" t="inlineStr">
        <is>
          <t>Ph.D.  Purdue University, 2014 B.S. Purdue University, 2008</t>
        </is>
      </c>
      <c r="AL116" s="2" t="inlineStr">
        <is>
          <t>Ryan Wagner's Website</t>
        </is>
      </c>
      <c r="AM116" s="3">
        <f>HYPERLINK("https://engineering.purdue.edu/~rbwagner/", "https://engineering.purdue.edu/~rbwagner/")</f>
        <v/>
      </c>
      <c r="AN116" s="2" t="inlineStr"/>
      <c r="AO116" s="2" t="inlineStr"/>
      <c r="AP116" s="2" t="inlineStr"/>
      <c r="AQ116" s="2" t="inlineStr"/>
      <c r="AR116" s="3">
        <f>HYPERLINK("https://github.com/rbwagner147", "https://github.com/rbwagner147")</f>
        <v/>
      </c>
      <c r="AS116" s="2" t="inlineStr"/>
      <c r="AT116" s="2" t="inlineStr">
        <is>
          <t>ME 3061F</t>
        </is>
      </c>
      <c r="AU116" s="2" t="b">
        <v>1</v>
      </c>
      <c r="AV116" s="3">
        <f>HYPERLINK("https://engineering.purdue.edu/ME/People/ptFaculty", "https://engineering.purdue.edu/ME/People/ptFaculty")</f>
        <v/>
      </c>
    </row>
    <row r="117">
      <c r="A117" s="2" t="inlineStr">
        <is>
          <t>Tyler Tallman</t>
        </is>
      </c>
      <c r="B117" s="2" t="inlineStr">
        <is>
          <t>Purdue University</t>
        </is>
      </c>
      <c r="C117" s="3">
        <f>HYPERLINK("https://engineering.purdue.edu/AAE/people/ptProfile?resource_id=127158", "https://engineering.purdue.edu/AAE/people/ptProfile?resource_id=127158")</f>
        <v/>
      </c>
      <c r="D117" s="3">
        <f>HYPERLINK("https://scholar.google.com/citations?view_op=search_authors&amp;mauthors=Tyler%20Tallman%20Purdue%20University", "Google Scholar Search")</f>
        <v/>
      </c>
      <c r="E117" s="2" t="inlineStr">
        <is>
          <t>Ervin O. Stitz Associate Professor of Aeronautics and Astronautics</t>
        </is>
      </c>
      <c r="F117" s="2" t="inlineStr">
        <is>
          <t>Aeronautics and Astronautics</t>
        </is>
      </c>
      <c r="G117" s="2" t="inlineStr"/>
      <c r="H117" s="3">
        <f>HYPERLINK("mailto:ttallman@purdue.edu", "ttallman@purdue.edu")</f>
        <v/>
      </c>
      <c r="I117" s="2" t="n">
        <v>3</v>
      </c>
      <c r="J117" s="2" t="inlineStr">
        <is>
          <t>🟠 Tier 3: Structures / Materials / Manufacturing</t>
        </is>
      </c>
      <c r="K117" s="2" t="n">
        <v>1</v>
      </c>
      <c r="L117" s="2" t="inlineStr">
        <is>
          <t>materials</t>
        </is>
      </c>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is>
          <t>Elmer F. Bruhn Teaching Award, 2016 ASME SMASIS Best Journal Paper in Mechanics and Materials, 2018 ASME SMASIS Best Journal Pa...</t>
        </is>
      </c>
      <c r="AE117" s="2" t="inlineStr"/>
      <c r="AF117" s="2" t="inlineStr"/>
      <c r="AG117" s="2" t="inlineStr"/>
      <c r="AH117" s="2" t="inlineStr">
        <is>
          <t>Multifunctional Materials Embedded Sensing Inverse Problems Smart Structures Nondestructive Evaluation</t>
        </is>
      </c>
      <c r="AI117" s="2" t="inlineStr"/>
      <c r="AJ117" s="2" t="inlineStr">
        <is>
          <t>Multifunctional Materials Embedded Sensing Inverse Problems Smart Structures Nondestructive Evaluation</t>
        </is>
      </c>
      <c r="AK117" s="2" t="inlineStr">
        <is>
          <t>BS, Physics and Mathematics, University of Wisconsin-Eau Claire, 2010 BS, Engineering Mechanics, University of Wisconsin-Madison, 2010 MS, Mechanical Engineering, University of Michigan, 2012 PhD, Mechanical Engineering, University of Michigan, 2015</t>
        </is>
      </c>
      <c r="AL117" s="2" t="inlineStr">
        <is>
          <t>Indiana Space Grant Consortium</t>
        </is>
      </c>
      <c r="AM117" s="3">
        <f>HYPERLINK("https://insgc.spacegrant.org/", "https://insgc.spacegrant.org/")</f>
        <v/>
      </c>
      <c r="AN117" s="2" t="inlineStr">
        <is>
          <t>Academic INSGC Internships</t>
        </is>
      </c>
      <c r="AO117" s="2" t="inlineStr"/>
      <c r="AP117" s="2" t="inlineStr"/>
      <c r="AQ117" s="2" t="inlineStr">
        <is>
          <t>NASA</t>
        </is>
      </c>
      <c r="AR117" s="2" t="inlineStr"/>
      <c r="AS117" s="2" t="inlineStr"/>
      <c r="AT117" s="2" t="inlineStr">
        <is>
          <t>ARMS 3325</t>
        </is>
      </c>
      <c r="AU117" s="2" t="b">
        <v>1</v>
      </c>
      <c r="AV117" s="3">
        <f>HYPERLINK("https://engineering.purdue.edu/AAE/people/Faculty", "https://engineering.purdue.edu/AAE/people/Faculty")</f>
        <v/>
      </c>
    </row>
    <row r="118">
      <c r="A118" s="2" t="inlineStr">
        <is>
          <t>Xiaoliang Wei</t>
        </is>
      </c>
      <c r="B118" s="2" t="inlineStr">
        <is>
          <t>Purdue University</t>
        </is>
      </c>
      <c r="C118" s="3">
        <f>HYPERLINK("https://engineering.purdue.edu/ME/People/ptProfile?resource_id=292632", "https://engineering.purdue.edu/ME/People/ptProfile?resource_id=292632")</f>
        <v/>
      </c>
      <c r="D118" s="3">
        <f>HYPERLINK("https://scholar.google.com/citations?user=wQTwuOYAAAAJ", "Scholar (wQTwuOYAAAAJ)")</f>
        <v/>
      </c>
      <c r="E118" s="2" t="inlineStr">
        <is>
          <t>Associate Professor of Mechanical Engineering</t>
        </is>
      </c>
      <c r="F118" s="2" t="inlineStr">
        <is>
          <t>Mechanical Engineering</t>
        </is>
      </c>
      <c r="G118" s="2" t="inlineStr">
        <is>
          <t>wQTwuOYAAAAJ</t>
        </is>
      </c>
      <c r="H118" s="3">
        <f>HYPERLINK("mailto:wei304@purdue.edu", "wei304@purdue.edu")</f>
        <v/>
      </c>
      <c r="I118" s="2" t="n">
        <v>3</v>
      </c>
      <c r="J118" s="2" t="inlineStr">
        <is>
          <t>🟠 Tier 3: Structures / Materials / Manufacturing</t>
        </is>
      </c>
      <c r="K118" s="2" t="n">
        <v>1</v>
      </c>
      <c r="L118" s="2" t="inlineStr">
        <is>
          <t>materials</t>
        </is>
      </c>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is>
          <t>Outstanding Mechanical Engineers Distinguished Engineering Alumni Honorary Doctorates Staff Awards Student Awards Distinguished...</t>
        </is>
      </c>
      <c r="AE118" s="2" t="inlineStr">
        <is>
          <t>Phone: +1 (765) 494-3975 Email: future-engineers@purdue.edu | Phone: +1 (765) 494-4873 Email: EngrGrad@purdue.edu</t>
        </is>
      </c>
      <c r="AF118" s="2" t="inlineStr"/>
      <c r="AG118" s="2" t="inlineStr"/>
      <c r="AH118" s="2" t="inlineStr">
        <is>
          <t>Redox flow batteries Multivalent batteries 2D layered materials Supercapacitors Graphene Materials design and synthesis Advanced characterizations</t>
        </is>
      </c>
      <c r="AI118" s="2" t="inlineStr"/>
      <c r="AJ118" s="2" t="inlineStr">
        <is>
          <t>Redox flow batteries Multivalent batteries 2D layered materials Supercapacitors Graphene Materials design and synthesis Advanced characterizations</t>
        </is>
      </c>
      <c r="AK118" s="2" t="inlineStr">
        <is>
          <t>Ph.D. Chemistry, Brown University, 09/2009 B.S. Materials Science and Engineering, University of Science and Technology of China, 07/2003</t>
        </is>
      </c>
      <c r="AL118" s="2" t="inlineStr">
        <is>
          <t>Wei Research Group</t>
        </is>
      </c>
      <c r="AM118" s="3">
        <f>HYPERLINK("https://engineering.purdue.edu/XiaoliangWei", "https://engineering.purdue.edu/XiaoliangWei")</f>
        <v/>
      </c>
      <c r="AN118"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18" s="2" t="inlineStr"/>
      <c r="AP118" s="2" t="inlineStr"/>
      <c r="AQ118" s="2" t="inlineStr">
        <is>
          <t>DOE</t>
        </is>
      </c>
      <c r="AR118" s="2" t="inlineStr"/>
      <c r="AS118" s="2" t="inlineStr"/>
      <c r="AT118" s="2" t="inlineStr"/>
      <c r="AU118" s="2" t="b">
        <v>1</v>
      </c>
      <c r="AV118" s="3">
        <f>HYPERLINK("https://engineering.purdue.edu/ME/People/ptFaculty", "https://engineering.purdue.edu/ME/People/ptFaculty")</f>
        <v/>
      </c>
    </row>
    <row r="119">
      <c r="A119" s="2" t="inlineStr">
        <is>
          <t>Inseok Hwang</t>
        </is>
      </c>
      <c r="B119" s="2" t="inlineStr">
        <is>
          <t>Purdue University</t>
        </is>
      </c>
      <c r="C119" s="3">
        <f>HYPERLINK("https://engineering.purdue.edu/AAE/people/ptProfile?resource_id=1403", "https://engineering.purdue.edu/AAE/people/ptProfile?resource_id=1403")</f>
        <v/>
      </c>
      <c r="D119" s="3">
        <f>HYPERLINK("https://scholar.google.com/citations?view_op=search_authors&amp;mauthors=Inseok%20Hwang%20Purdue%20University", "Google Scholar Search")</f>
        <v/>
      </c>
      <c r="E119" s="2" t="inlineStr">
        <is>
          <t>Paul Stanley Professor of Aeronautics and Astronautics</t>
        </is>
      </c>
      <c r="F119" s="2" t="inlineStr">
        <is>
          <t>Aeronautics and Astronautics</t>
        </is>
      </c>
      <c r="G119" s="2" t="inlineStr"/>
      <c r="H119" s="3">
        <f>HYPERLINK("mailto:ihwang@purdue.edu", "ihwang@purdue.edu")</f>
        <v/>
      </c>
      <c r="I119" s="2" t="n">
        <v>4</v>
      </c>
      <c r="J119" s="2" t="inlineStr">
        <is>
          <t>🔴 Tier 4: Robotics / Controls / Autonomy</t>
        </is>
      </c>
      <c r="K119" s="2" t="n">
        <v>8</v>
      </c>
      <c r="L119" s="2" t="inlineStr">
        <is>
          <t>aerospace, control theory, estimation, guidance, navigation, path planning, robot, spacecraft</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is>
          <t>AIAA Associate Fellow - 2012 Selected as one of the nation’s 82 brightest young engineers by the National Academy of Engineerin...</t>
        </is>
      </c>
      <c r="AE119" s="2" t="inlineStr"/>
      <c r="AF119" s="2" t="inlineStr"/>
      <c r="AG119" s="2" t="inlineStr"/>
      <c r="AH119" s="2" t="inlineStr">
        <is>
          <t>Hybrid Systems/Nonlinear Systems: Analysis: stability and control of hybrid systems; Estimation: state estimation for hybrid systems; Information Inference: system identification for hybrid systems; Unmanned Aircraft/Spacecraft Control Unmanned Aircraft Systems (UAS): Development of Guidance, Navigation, and Control (GNC) algorithms Space applications: Control of spacecraft; Space Situational Awareness (e.g. spacecraft tracking); Formation Control of Spacecraft; Low-thrust Orbit Transfer Air Traffic Control: Target tracking and identity management, and conflict detection and resolution; Safe interface design; Real-time safety verification tools for safety critical systems Other Applications: Security and Safety of Cyber-Physical Systems; Fault Detection, Isolation and Reconfiguration; Sensor networks; Decentralized estimation and control of large scale interconnected dynamical systems.</t>
        </is>
      </c>
      <c r="AI119" s="2" t="inlineStr">
        <is>
          <t>Dr. Hwang's research has been strongly motivated by difficult and interesting practical problems such as controlling multiple-vehicle systems.  Controlling multiple-vehicle systems is one of the most important and challenging aspects of modern system theory and practice. Control of such systems involves the analysis of multiple dynamical systems which have inherently decentralized structures. The motions of vehicles have to be coordinated in such a way that the vehicles achieve their goals without conflicts between them. This requires path planning (computing optimal trajectories of vehicles from starting positions to destinations) and conflict detection and resolution. Path planning and conflict detection and resolution require information about individual vehicles, and therefore communication between vehicles for sharing this information is important.  Multiple-vehicle systems encompass a variety of applications, including groups of mobile robots (e.g., UAS), ad-hoc sensor networks, and air traffic control.  In addition, Dr. Hwang's research interests include control theory for hybrid and nonlinear systems, Unmanned Aircraft Systems, safety and security of Cyber-Physical Systems (e.g., aircraft, spacecraft, Air Traffic Control systems, and UAS), and space applications.</t>
        </is>
      </c>
      <c r="AJ119" s="2" t="inlineStr">
        <is>
          <t>Dr. Hwang's research has been strongly motivated by difficult and interesting practical problems such as controlling multiple-vehicle systems.  Controlling multiple-vehicle systems is one of the most important and challenging aspects of modern system theory and practice. Control of such systems involves the analysis of multiple dynamical systems which have inherently decentralized structures. T...</t>
        </is>
      </c>
      <c r="AK119" s="2" t="inlineStr">
        <is>
          <t>B.S., Seoul National University, Aerospace Engineering, 1992 M.S., Korea Advanced Institute of Science and Technology, Aerospace Engineering, 1994 Ph.D., Stanford University, Aeronautics and Astronautics, 2004</t>
        </is>
      </c>
      <c r="AL119" s="2" t="inlineStr">
        <is>
          <t>Indiana Space Grant Consortium</t>
        </is>
      </c>
      <c r="AM119" s="3">
        <f>HYPERLINK("https://insgc.spacegrant.org/", "https://insgc.spacegrant.org/")</f>
        <v/>
      </c>
      <c r="AN119" s="2" t="inlineStr">
        <is>
          <t>Academic INSGC Internships</t>
        </is>
      </c>
      <c r="AO119" s="2" t="inlineStr"/>
      <c r="AP119" s="2" t="inlineStr"/>
      <c r="AQ119" s="2" t="inlineStr">
        <is>
          <t>NASA</t>
        </is>
      </c>
      <c r="AR119" s="2" t="inlineStr"/>
      <c r="AS119" s="2" t="inlineStr"/>
      <c r="AT119" s="2" t="inlineStr">
        <is>
          <t>ARMS 3323</t>
        </is>
      </c>
      <c r="AU119" s="2" t="b">
        <v>1</v>
      </c>
      <c r="AV119" s="3">
        <f>HYPERLINK("https://engineering.purdue.edu/AAE/people/Faculty", "https://engineering.purdue.edu/AAE/people/Faculty")</f>
        <v/>
      </c>
    </row>
    <row r="120">
      <c r="A120" s="2" t="inlineStr">
        <is>
          <t>Keith Le Grand</t>
        </is>
      </c>
      <c r="B120" s="2" t="inlineStr">
        <is>
          <t>Purdue University</t>
        </is>
      </c>
      <c r="C120" s="3">
        <f>HYPERLINK("https://engineering.purdue.edu/AAE/people/ptProfile?resource_id=272261", "https://engineering.purdue.edu/AAE/people/ptProfile?resource_id=272261")</f>
        <v/>
      </c>
      <c r="D120" s="3">
        <f>HYPERLINK("https://scholar.google.com/citations?hl=en&amp;user=fVJDLrYAAAAJ&amp;view_op=list_works&amp;sortby=pubdate", "Scholar (fVJDLrYAAAAJ)")</f>
        <v/>
      </c>
      <c r="E120" s="2" t="inlineStr">
        <is>
          <t>Assistant Professor</t>
        </is>
      </c>
      <c r="F120" s="2" t="inlineStr">
        <is>
          <t>Aeronautics and Astronautics</t>
        </is>
      </c>
      <c r="G120" s="2" t="inlineStr">
        <is>
          <t>fVJDLrYAAAAJ</t>
        </is>
      </c>
      <c r="H120" s="3">
        <f>HYPERLINK("mailto:klegrand@purdue.edu", "klegrand@purdue.edu")</f>
        <v/>
      </c>
      <c r="I120" s="2" t="n">
        <v>4</v>
      </c>
      <c r="J120" s="2" t="inlineStr">
        <is>
          <t>🔴 Tier 4: Robotics / Controls / Autonomy</t>
        </is>
      </c>
      <c r="K120" s="2" t="n">
        <v>5</v>
      </c>
      <c r="L120" s="2" t="inlineStr">
        <is>
          <t>aerospace, autonomous, estimation, navigation, spacecraft</t>
        </is>
      </c>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is>
          <t>(2025) Air Force Office of Scientific Research (AFOSR) Young Investigator Program Award (2025) International Society of Informa...</t>
        </is>
      </c>
      <c r="AE120" s="2" t="inlineStr"/>
      <c r="AF120" s="2" t="inlineStr"/>
      <c r="AG120" s="2" t="inlineStr"/>
      <c r="AH120" s="2" t="inlineStr">
        <is>
          <t>space domain awareness; multi-sensor multi-object tracking; nonlinear estimation; spacecraft navigation; spacecraft autonomy</t>
        </is>
      </c>
      <c r="AI120" s="2" t="inlineStr">
        <is>
          <t>Keith LeGrand’s research explores the intersection of probabilistic estimation, autonomy, and space systems, with a focus on enabling intelligent sensing and decision-making in complex orbital environments. His work develops advanced Bayesian filtering, random finite set (RFS) theory, and information-driven sensor management methods to estimate, track, and characterize objects in dynamic, uncertain regimes such as cislunar space. Applications include angles-only orbit determination, multi-sensor data fusion, and autonomous tasking of ground and space-based networks for space domain awareness. By uniting theory with computational implementation, LeGrand’s research aims to advance the autonomy and resilience of future spaceflight systems for future missions in the Earth–Moon system and beyond.</t>
        </is>
      </c>
      <c r="AJ120" s="2" t="inlineStr">
        <is>
          <t>Keith LeGrand’s research explores the intersection of probabilistic estimation, autonomy, and space systems, with a focus on enabling intelligent sensing and decision-making in complex orbital environments. His work develops advanced Bayesian filtering, random finite set (RFS) theory, and information-driven sensor management methods to estimate, track, and characterize objects in dynamic, uncer...</t>
        </is>
      </c>
      <c r="AK120" s="2" t="inlineStr">
        <is>
          <t>Ph.D. Cornell University, Aerospace Engineering, 2022 M.S. Missouri University of Science and Technology, Aerospace Engineering, 2015 B.S. Missouri University of Science and Technology, Aerospace Engineering, 2014</t>
        </is>
      </c>
      <c r="AL120" s="2" t="inlineStr">
        <is>
          <t>Indiana Space Grant Consortium</t>
        </is>
      </c>
      <c r="AM120" s="3">
        <f>HYPERLINK("https://insgc.spacegrant.org/", "https://insgc.spacegrant.org/")</f>
        <v/>
      </c>
      <c r="AN120" s="2" t="inlineStr">
        <is>
          <t>Academic INSGC Internships</t>
        </is>
      </c>
      <c r="AO120" s="2" t="inlineStr"/>
      <c r="AP120" s="2" t="inlineStr"/>
      <c r="AQ120" s="2" t="inlineStr">
        <is>
          <t>NASA</t>
        </is>
      </c>
      <c r="AR120" s="2" t="inlineStr"/>
      <c r="AS120" s="2" t="inlineStr"/>
      <c r="AT120" s="2" t="inlineStr">
        <is>
          <t>ARMS 3213</t>
        </is>
      </c>
      <c r="AU120" s="2" t="b">
        <v>1</v>
      </c>
      <c r="AV120" s="3">
        <f>HYPERLINK("https://engineering.purdue.edu/AAE/people/Faculty", "https://engineering.purdue.edu/AAE/people/Faculty")</f>
        <v/>
      </c>
    </row>
    <row r="121">
      <c r="A121" s="2" t="inlineStr">
        <is>
          <t>Daniel DeLaurentis</t>
        </is>
      </c>
      <c r="B121" s="2" t="inlineStr">
        <is>
          <t>Purdue University</t>
        </is>
      </c>
      <c r="C121" s="3">
        <f>HYPERLINK("https://engineering.purdue.edu/AAE/people/ptProfile?resource_id=1429", "https://engineering.purdue.edu/AAE/people/ptProfile?resource_id=1429")</f>
        <v/>
      </c>
      <c r="D121" s="3">
        <f>HYPERLINK("https://scholar.google.com/citations?view_op=search_authors&amp;mauthors=Daniel%20DeLaurentis%20Purdue%20University", "Google Scholar Search")</f>
        <v/>
      </c>
      <c r="E121" s="2" t="inlineStr">
        <is>
          <t>Bruce Reese Professor of Aeronautics and Astronautics</t>
        </is>
      </c>
      <c r="F121" s="2" t="inlineStr">
        <is>
          <t>Aeronautics and Astronautics</t>
        </is>
      </c>
      <c r="G121" s="2" t="inlineStr"/>
      <c r="H121" s="3">
        <f>HYPERLINK("mailto:ddelaure@purdue.edu", "ddelaure@purdue.edu")</f>
        <v/>
      </c>
      <c r="I121" s="2" t="n">
        <v>4</v>
      </c>
      <c r="J121" s="2" t="inlineStr">
        <is>
          <t>🔴 Tier 4: Robotics / Controls / Autonomy</t>
        </is>
      </c>
      <c r="K121" s="2" t="n">
        <v>4</v>
      </c>
      <c r="L121" s="2" t="inlineStr">
        <is>
          <t>aerospace, autonomous, estimation, system dynamics</t>
        </is>
      </c>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is>
          <t>FELLOW of the American Institute of Aeronautics and Astronautics (AIAA), 2023 FELLOW of the International Council on Systems En...</t>
        </is>
      </c>
      <c r="AE121" s="2" t="inlineStr"/>
      <c r="AF121" s="2" t="inlineStr"/>
      <c r="AG121" s="2" t="inlineStr"/>
      <c r="AH121" s="2" t="inlineStr">
        <is>
          <t>Design Methods: Mathematical modeling and decision-support frameworks for the design of system-of systems, especially those for which air vehicles are a main element; approaches for robust design of autonomous systems and collectives/swarms Aerospace Systems and Flight Vehicles: sizing/synthesis algorithms for design &amp; performance estimation of revolutionary flight vehicles; exploration of advanced aerial mobility (AAM) designs and concept of operations; aircraft flight stability and control, especially as an integral part of conceptual design</t>
        </is>
      </c>
      <c r="AI121" s="2" t="inlineStr">
        <is>
          <t>Dr. DeLaurentis' doctoral research was motivated by the emerging paradigm of Integrated Product and Process Development (IPPD), which sought to bring historically process-based statistical approaches to product design. His work focused upon the characterization, representation, and quantification of the impact of uncertainty on aerospace design problems. Unique techniques were developed to accomplish this, including the use of Design of Experiments combined with probability theory to obtain rapid estimates of the cumulative distribution functions (CDFs) of key system metrics and objectives. Subsequently, a more direct adoption of robust feedback control concepts has been applied resulting in a new formulation for the design problem to include technology impact assessments and requirement exploration. In addition to methodological advances, the type of problems being faced by the community is changing significantly. Aerospace problems are increasingly becoming recognized as of the "system-of-systems" type, consisting of multiple interacting complex systems of differing type and function. The air transportation system is one example, as are associated issues such as personal air transportation and airborne delivery logistics architectures. Such challenges will require more than just "vehicle synthesis"; they will require "system-of-systems synthesis". Thus, Dr. DeLaurentis has embarked on two projects exploring the use of system dynamics, agent-based modeling, and other approaches to address these multi-disciplinary, multi-system problems. In addition, the areas of network theory and complexity are being explored, to better account for interconnections as well as nodes (i.e. systems) in designing future system-of-systems. The ultimate goal is to better define individual system requirements by understanding the context in which they will operate and to ensure that such operation will be robust over a wide range of plausible futures.</t>
        </is>
      </c>
      <c r="AJ121" s="2" t="inlineStr">
        <is>
          <t>Dr. DeLaurentis' doctoral research was motivated by the emerging paradigm of Integrated Product and Process Development (IPPD), which sought to bring historically process-based statistical approaches to product design. His work focused upon the characterization, representation, and quantification of the impact of uncertainty on aerospace design problems. Unique techniques were developed to acco...</t>
        </is>
      </c>
      <c r="AK121" s="2" t="inlineStr">
        <is>
          <t>B.S., Florida Institute of Technology, Aerospace Engineering, 1992 M.S., Georgia Institute of Technology, Aerospace Engineering, 1993 Ph.D., Georgia Institute of Technology, Aerospace Engineering, 1998</t>
        </is>
      </c>
      <c r="AL121" s="2" t="inlineStr">
        <is>
          <t>Indiana Space Grant Consortium</t>
        </is>
      </c>
      <c r="AM121" s="3">
        <f>HYPERLINK("https://insgc.spacegrant.org/", "https://insgc.spacegrant.org/")</f>
        <v/>
      </c>
      <c r="AN121" s="2" t="inlineStr">
        <is>
          <t>Academic INSGC Internships</t>
        </is>
      </c>
      <c r="AO121" s="2" t="inlineStr"/>
      <c r="AP121" s="2" t="inlineStr"/>
      <c r="AQ121" s="2" t="inlineStr">
        <is>
          <t>NASA</t>
        </is>
      </c>
      <c r="AR121" s="2" t="inlineStr"/>
      <c r="AS121" s="2" t="inlineStr"/>
      <c r="AT121" s="2" t="inlineStr"/>
      <c r="AU121" s="2" t="b">
        <v>1</v>
      </c>
      <c r="AV121" s="3">
        <f>HYPERLINK("https://engineering.purdue.edu/AAE/people/Faculty", "https://engineering.purdue.edu/AAE/people/Faculty")</f>
        <v/>
      </c>
    </row>
    <row r="122">
      <c r="A122" s="2" t="inlineStr">
        <is>
          <t>Dengfeng Sun</t>
        </is>
      </c>
      <c r="B122" s="2" t="inlineStr">
        <is>
          <t>Purdue University</t>
        </is>
      </c>
      <c r="C122" s="3">
        <f>HYPERLINK("https://engineering.purdue.edu/AAE/people/ptProfile?resource_id=50922", "https://engineering.purdue.edu/AAE/people/ptProfile?resource_id=50922")</f>
        <v/>
      </c>
      <c r="D122" s="3">
        <f>HYPERLINK("https://scholar.google.com/citations?view_op=search_authors&amp;mauthors=Dengfeng%20Sun%20Purdue%20University", "Google Scholar Search")</f>
        <v/>
      </c>
      <c r="E122" s="2" t="inlineStr">
        <is>
          <t>Professor, Associate Head of Gambaro Graduate Program of Aeronautics and Astronautics</t>
        </is>
      </c>
      <c r="F122" s="2" t="inlineStr">
        <is>
          <t>Aeronautics and Astronautics</t>
        </is>
      </c>
      <c r="G122" s="2" t="inlineStr"/>
      <c r="H122" s="3">
        <f>HYPERLINK("mailto:dsun@purdue.edu", "dsun@purdue.edu")</f>
        <v/>
      </c>
      <c r="I122" s="2" t="n">
        <v>4</v>
      </c>
      <c r="J122" s="2" t="inlineStr">
        <is>
          <t>🔴 Tier 4: Robotics / Controls / Autonomy</t>
        </is>
      </c>
      <c r="K122" s="2" t="n">
        <v>4</v>
      </c>
      <c r="L122" s="2" t="inlineStr">
        <is>
          <t>aerospace, drone, robot, robotics</t>
        </is>
      </c>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is>
          <t>Distributed control, optimization and autonomy Resilient network control and optimization Optimal resource management in large-scale infrastructure systems Robotics, drone technology and smart infrastructure systems Advanced air mobility, air traffic control and management, air transportation and intelligent transportation system</t>
        </is>
      </c>
      <c r="AI122" s="2" t="inlineStr">
        <is>
          <t>Autonomy and Control Aerospace Systems</t>
        </is>
      </c>
      <c r="AJ122" s="2" t="inlineStr">
        <is>
          <t>Autonomy and Control Aerospace Systems</t>
        </is>
      </c>
      <c r="AK122" s="2" t="inlineStr">
        <is>
          <t>B.Eng., Tsinghua University, Precision Instruments and Mechanology, 2000 M.S., The Ohio State University, Industrial and Systems Engineering, 2002 Ph.D., University of California at Berkeley, Civil and Environmental Engineering, 2008</t>
        </is>
      </c>
      <c r="AL122" s="2" t="inlineStr">
        <is>
          <t>Indiana Space Grant Consortium</t>
        </is>
      </c>
      <c r="AM122" s="3">
        <f>HYPERLINK("https://insgc.spacegrant.org/", "https://insgc.spacegrant.org/")</f>
        <v/>
      </c>
      <c r="AN122" s="2" t="inlineStr">
        <is>
          <t>Academic INSGC Internships</t>
        </is>
      </c>
      <c r="AO122" s="2" t="inlineStr"/>
      <c r="AP122" s="2" t="inlineStr"/>
      <c r="AQ122" s="2" t="inlineStr">
        <is>
          <t>NASA</t>
        </is>
      </c>
      <c r="AR122" s="2" t="inlineStr"/>
      <c r="AS122" s="2" t="inlineStr"/>
      <c r="AT122" s="2" t="inlineStr">
        <is>
          <t>ARMS 2031</t>
        </is>
      </c>
      <c r="AU122" s="2" t="b">
        <v>1</v>
      </c>
      <c r="AV122" s="3">
        <f>HYPERLINK("https://engineering.purdue.edu/AAE/people/Faculty", "https://engineering.purdue.edu/AAE/people/Faculty")</f>
        <v/>
      </c>
    </row>
    <row r="123">
      <c r="A123" s="2" t="inlineStr">
        <is>
          <t>Bin Yao</t>
        </is>
      </c>
      <c r="B123" s="2" t="inlineStr">
        <is>
          <t>Purdue University</t>
        </is>
      </c>
      <c r="C123" s="3">
        <f>HYPERLINK("https://engineering.purdue.edu/ME/People/ptProfile?resource_id=11271", "https://engineering.purdue.edu/ME/People/ptProfile?resource_id=11271")</f>
        <v/>
      </c>
      <c r="D123" s="3">
        <f>HYPERLINK("https://scholar.google.com/citations?view_op=search_authors&amp;mauthors=Bin%20Yao%20Purdue%20University", "Google Scholar Search")</f>
        <v/>
      </c>
      <c r="E123" s="2" t="inlineStr">
        <is>
          <t>Professor of Mechanical Engineering</t>
        </is>
      </c>
      <c r="F123" s="2" t="inlineStr">
        <is>
          <t>Mechanical Engineering</t>
        </is>
      </c>
      <c r="G123" s="2" t="inlineStr"/>
      <c r="H123" s="3">
        <f>HYPERLINK("mailto:byao@purdue.edu", "byao@purdue.edu")</f>
        <v/>
      </c>
      <c r="I123" s="2" t="n">
        <v>4</v>
      </c>
      <c r="J123" s="2" t="inlineStr">
        <is>
          <t>🔴 Tier 4: Robotics / Controls / Autonomy</t>
        </is>
      </c>
      <c r="K123" s="2" t="n">
        <v>3</v>
      </c>
      <c r="L123" s="2" t="inlineStr">
        <is>
          <t>nonlinear control, robot, robotics</t>
        </is>
      </c>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is>
          <t>Outstanding Mechanical Engineers Distinguished Engineering Alumni Honorary Doctorates Staff Awards Student Awards Distinguished...</t>
        </is>
      </c>
      <c r="AE123" s="2" t="inlineStr"/>
      <c r="AF123" s="2" t="inlineStr"/>
      <c r="AG123" s="2" t="inlineStr"/>
      <c r="AH123" s="2" t="inlineStr">
        <is>
          <t>Adaptive and robust control Nonlinear control Precision control of mechanical systems Vehicle control Robotics</t>
        </is>
      </c>
      <c r="AI123" s="2" t="inlineStr">
        <is>
          <t>Systems, Measurements &amp; Controls</t>
        </is>
      </c>
      <c r="AJ123" s="2" t="inlineStr">
        <is>
          <t>Systems, Measurements &amp; Controls</t>
        </is>
      </c>
      <c r="AK123" s="2" t="inlineStr">
        <is>
          <t>B.Eng. Beijing Univ. of Aeronautics &amp; Astronautics, '87 M.Eng. Nanyang Technological University, '92 Ph.D. California-Berkeley, '96</t>
        </is>
      </c>
      <c r="AL123" s="2" t="inlineStr">
        <is>
          <t>Personal Homepage</t>
        </is>
      </c>
      <c r="AM123" s="3">
        <f>HYPERLINK("http://engineering.purdue.edu/~byao/", "http://engineering.purdue.edu/~byao/")</f>
        <v/>
      </c>
      <c r="AN123" s="2" t="inlineStr"/>
      <c r="AO123" s="2" t="inlineStr"/>
      <c r="AP123" s="2" t="inlineStr"/>
      <c r="AQ123" s="2" t="inlineStr"/>
      <c r="AR123" s="2" t="inlineStr"/>
      <c r="AS123" s="2" t="inlineStr"/>
      <c r="AT123" s="2" t="inlineStr">
        <is>
          <t>ME 1077</t>
        </is>
      </c>
      <c r="AU123" s="2" t="b">
        <v>1</v>
      </c>
      <c r="AV123" s="3">
        <f>HYPERLINK("https://engineering.purdue.edu/ME/People/ptFaculty", "https://engineering.purdue.edu/ME/People/ptFaculty")</f>
        <v/>
      </c>
    </row>
    <row r="124">
      <c r="A124" s="2" t="inlineStr">
        <is>
          <t>Nina Mahmoudian</t>
        </is>
      </c>
      <c r="B124" s="2" t="inlineStr">
        <is>
          <t>Purdue University</t>
        </is>
      </c>
      <c r="C124" s="3">
        <f>HYPERLINK("https://engineering.purdue.edu/ME/People/ptProfile?resource_id=211078", "https://engineering.purdue.edu/ME/People/ptProfile?resource_id=211078")</f>
        <v/>
      </c>
      <c r="D124" s="3">
        <f>HYPERLINK("https://scholar.google.com/citations?view_op=search_authors&amp;mauthors=Nina%20Mahmoudian%20Purdue%20University", "Google Scholar Search")</f>
        <v/>
      </c>
      <c r="E124" s="2" t="inlineStr">
        <is>
          <t>Professor of Mechanical Engineering</t>
        </is>
      </c>
      <c r="F124" s="2" t="inlineStr">
        <is>
          <t>Mechanical Engineering</t>
        </is>
      </c>
      <c r="G124" s="2" t="inlineStr"/>
      <c r="H124" s="3">
        <f>HYPERLINK("mailto:ninam@purdue.edu", "ninam@purdue.edu")</f>
        <v/>
      </c>
      <c r="I124" s="2" t="n">
        <v>4</v>
      </c>
      <c r="J124" s="2" t="inlineStr">
        <is>
          <t>🔴 Tier 4: Robotics / Controls / Autonomy</t>
        </is>
      </c>
      <c r="K124" s="2" t="n">
        <v>3</v>
      </c>
      <c r="L124" s="2" t="inlineStr">
        <is>
          <t>aerospace, robot, robotics</t>
        </is>
      </c>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is>
          <t>Outstanding Mechanical Engineers Distinguished Engineering Alumni Honorary Doctorates Staff Awards Student Awards Distinguished...</t>
        </is>
      </c>
      <c r="AE124" s="2" t="inlineStr"/>
      <c r="AF124" s="2" t="inlineStr"/>
      <c r="AG124" s="2" t="inlineStr"/>
      <c r="AH124" s="2" t="inlineStr">
        <is>
          <t>Robotics Marine Robotics Unmanned Systems Energy Autonomy Systems Design Coordination and Controls</t>
        </is>
      </c>
      <c r="AI124" s="2" t="inlineStr">
        <is>
          <t>Design &amp; Manufacturing Systems, Measurements &amp; Controls</t>
        </is>
      </c>
      <c r="AJ124" s="2" t="inlineStr">
        <is>
          <t>Design &amp; Manufacturing Systems, Measurements &amp; Controls</t>
        </is>
      </c>
      <c r="AK124" s="2" t="inlineStr">
        <is>
          <t>Postdoctoral Associate, Aerospace Engineering, University of Maryland, 2010 Ph.D.  Aerospace Engineering, Virginia Tech, 2009 B.S.   Aerospace Engineering, Tehran Polytechnic, 1999</t>
        </is>
      </c>
      <c r="AL124" s="2" t="inlineStr">
        <is>
          <t>Mahmoudian Lab</t>
        </is>
      </c>
      <c r="AM124" s="3">
        <f>HYPERLINK("https://engineering.purdue.edu/mahmoudian", "https://engineering.purdue.edu/mahmoudian")</f>
        <v/>
      </c>
      <c r="AN124" s="2" t="inlineStr"/>
      <c r="AO124" s="2" t="inlineStr"/>
      <c r="AP124" s="2" t="inlineStr"/>
      <c r="AQ124" s="2" t="inlineStr"/>
      <c r="AR124" s="2" t="inlineStr"/>
      <c r="AS124" s="2" t="inlineStr"/>
      <c r="AT124" s="2" t="inlineStr">
        <is>
          <t>ME 1072B and KEPNER</t>
        </is>
      </c>
      <c r="AU124" s="2" t="b">
        <v>1</v>
      </c>
      <c r="AV124" s="3">
        <f>HYPERLINK("https://engineering.purdue.edu/ME/People/ptFaculty", "https://engineering.purdue.edu/ME/People/ptFaculty")</f>
        <v/>
      </c>
    </row>
    <row r="125">
      <c r="A125" s="2" t="inlineStr">
        <is>
          <t>Ran Dai</t>
        </is>
      </c>
      <c r="B125" s="2" t="inlineStr">
        <is>
          <t>Purdue University</t>
        </is>
      </c>
      <c r="C125" s="3">
        <f>HYPERLINK("https://engineering.purdue.edu/AAE/people/ptProfile?resource_id=243160", "https://engineering.purdue.edu/AAE/people/ptProfile?resource_id=243160")</f>
        <v/>
      </c>
      <c r="D125" s="3">
        <f>HYPERLINK("https://scholar.google.com/citations?view_op=search_authors&amp;mauthors=Ran%20Dai%20Purdue%20University", "Google Scholar Search")</f>
        <v/>
      </c>
      <c r="E125" s="2" t="inlineStr">
        <is>
          <t>Professor</t>
        </is>
      </c>
      <c r="F125" s="2" t="inlineStr">
        <is>
          <t>Aeronautics and Astronautics</t>
        </is>
      </c>
      <c r="G125" s="2" t="inlineStr"/>
      <c r="H125" s="3">
        <f>HYPERLINK("mailto:randai@purdue.edu", "randai@purdue.edu")</f>
        <v/>
      </c>
      <c r="I125" s="2" t="n">
        <v>4</v>
      </c>
      <c r="J125" s="2" t="inlineStr">
        <is>
          <t>🔴 Tier 4: Robotics / Controls / Autonomy</t>
        </is>
      </c>
      <c r="K125" s="2" t="n">
        <v>3</v>
      </c>
      <c r="L125" s="2" t="inlineStr">
        <is>
          <t>autonomous, optimal control, path planning</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is>
          <t>Dai's research focuses on control of autonomous systems, numerical optimization and networked dynamical systems. Her group has developed real-time optimal control algorithms for decision making and path planning of autonomous systems, especially for unmanned aerial and space vehicles. Edit var myPronunciation=document.getElementById("pronunciation");
    function play() {
    myPronunciation.play();
    }
    function pause() {
    myPronunciation.pause();
    }</t>
        </is>
      </c>
      <c r="AJ125" s="2" t="inlineStr">
        <is>
          <t>Dai's research focuses on control of autonomous systems, numerical optimization and networked dynamical systems. Her group has developed real-time optimal control algorithms for decision making and path planning of autonomous systems, especially for unmanned aerial and space vehicles. Edit var myPronunciation=document.getElementById("pronunciation");
    function play() {
    myPronunciati...</t>
        </is>
      </c>
      <c r="AK125" s="2" t="inlineStr"/>
      <c r="AL125" s="2" t="inlineStr">
        <is>
          <t>Indiana Space Grant Consortium</t>
        </is>
      </c>
      <c r="AM125" s="3">
        <f>HYPERLINK("https://insgc.spacegrant.org/", "https://insgc.spacegrant.org/")</f>
        <v/>
      </c>
      <c r="AN125" s="2" t="inlineStr">
        <is>
          <t>Academic INSGC Internships</t>
        </is>
      </c>
      <c r="AO125" s="2" t="inlineStr"/>
      <c r="AP125" s="2" t="inlineStr"/>
      <c r="AQ125" s="2" t="inlineStr">
        <is>
          <t>NASA</t>
        </is>
      </c>
      <c r="AR125" s="2" t="inlineStr"/>
      <c r="AS125" s="2" t="inlineStr"/>
      <c r="AT125" s="2" t="inlineStr">
        <is>
          <t>ARMS 3227</t>
        </is>
      </c>
      <c r="AU125" s="2" t="b">
        <v>1</v>
      </c>
      <c r="AV125" s="3">
        <f>HYPERLINK("https://engineering.purdue.edu/AAE/people/Faculty", "https://engineering.purdue.edu/AAE/people/Faculty")</f>
        <v/>
      </c>
    </row>
    <row r="126">
      <c r="A126" s="2" t="inlineStr">
        <is>
          <t>Shaoshuai Mou</t>
        </is>
      </c>
      <c r="B126" s="2" t="inlineStr">
        <is>
          <t>Purdue University</t>
        </is>
      </c>
      <c r="C126" s="3">
        <f>HYPERLINK("https://engineering.purdue.edu/AAE/people/ptProfile?resource_id=124981", "https://engineering.purdue.edu/AAE/people/ptProfile?resource_id=124981")</f>
        <v/>
      </c>
      <c r="D126" s="3">
        <f>HYPERLINK("https://scholar.google.com/citations?user=gkl8tbMAAAAJ&amp;hl=en", "Scholar (gkl8tbMAAAAJ)")</f>
        <v/>
      </c>
      <c r="E126" s="2" t="inlineStr">
        <is>
          <t>Elmer Bruhn Professor of Aeronautics and Astronautics; professor of Electrical and Computer Engineering by courtesy.</t>
        </is>
      </c>
      <c r="F126" s="2" t="inlineStr">
        <is>
          <t>Aeronautics and Astronautics</t>
        </is>
      </c>
      <c r="G126" s="2" t="inlineStr">
        <is>
          <t>gkl8tbMAAAAJ</t>
        </is>
      </c>
      <c r="H126" s="3">
        <f>HYPERLINK("mailto:mous@purdue.edu", "mous@purdue.edu")</f>
        <v/>
      </c>
      <c r="I126" s="2" t="n">
        <v>4</v>
      </c>
      <c r="J126" s="2" t="inlineStr">
        <is>
          <t>🔴 Tier 4: Robotics / Controls / Autonomy</t>
        </is>
      </c>
      <c r="K126" s="2" t="n">
        <v>3</v>
      </c>
      <c r="L126" s="2" t="inlineStr">
        <is>
          <t>autonomous, robot, robotics</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is>
          <t>Co-Director for Institute for Control, Optimization and Networks (ICON) (since 2019) Co-Chair for Purdue University Strategic I...</t>
        </is>
      </c>
      <c r="AE126" s="2" t="inlineStr"/>
      <c r="AF126" s="2" t="inlineStr"/>
      <c r="AG126" s="2" t="inlineStr"/>
      <c r="AH126" s="2" t="inlineStr">
        <is>
          <t>Research interests in our group include Multi-Agent Systems, Autonomy, Control, Optimization, Learning, and Robotics. Our lab is Autonomous &amp; Intelligent Multi-agent Systems (AIMS) Lab , which aims to investigate autonomy and intelligence for networked systems consisting of multiple unmanned mobile agents, through combination of theories in control, networks, optimizations and artificial intelligence. We are interested in both theoretical research towards novel control algorithms for coordination among a large-network of mobile agents and experimental implementations for improving autonomy and intelligence of the  overall networked system. More research details can be found at AIMS Lab . Positions for Ph.D. and Postdoc. We are very interested in integration of control and learning, robotics, perception-based multi-agent coordination. Students with solid background in mathematics and control as well as hands-on experience in robotics are encouraged to apply.</t>
        </is>
      </c>
      <c r="AI126" s="2" t="inlineStr"/>
      <c r="AJ126" s="2" t="inlineStr">
        <is>
          <t>Research interests in our group include Multi-Agent Systems, Autonomy, Control, Optimization, Learning, and Robotics. Our lab is Autonomous &amp; Intelligent Multi-agent Systems (AIMS) Lab , which aims to investigate autonomy and intelligence for networked systems consisting of multiple unmanned mobile agents, through combination of theories in control, networks, optimizations and artificial intell...</t>
        </is>
      </c>
      <c r="AK126" s="2" t="inlineStr">
        <is>
          <t>Ph.D., Yale University, 2014</t>
        </is>
      </c>
      <c r="AL126" s="2" t="inlineStr">
        <is>
          <t>Indiana Space Grant Consortium</t>
        </is>
      </c>
      <c r="AM126" s="3">
        <f>HYPERLINK("https://insgc.spacegrant.org/", "https://insgc.spacegrant.org/")</f>
        <v/>
      </c>
      <c r="AN126" s="2" t="inlineStr">
        <is>
          <t>Academic INSGC Internships</t>
        </is>
      </c>
      <c r="AO126" s="2" t="inlineStr"/>
      <c r="AP126" s="2" t="inlineStr"/>
      <c r="AQ126" s="2" t="inlineStr">
        <is>
          <t>NASA</t>
        </is>
      </c>
      <c r="AR126" s="2" t="inlineStr"/>
      <c r="AS126" s="2" t="inlineStr"/>
      <c r="AT126" s="2" t="inlineStr">
        <is>
          <t>ARMS 3329</t>
        </is>
      </c>
      <c r="AU126" s="2" t="b">
        <v>1</v>
      </c>
      <c r="AV126" s="3">
        <f>HYPERLINK("https://engineering.purdue.edu/AAE/people/Faculty", "https://engineering.purdue.edu/AAE/people/Faculty")</f>
        <v/>
      </c>
    </row>
    <row r="127">
      <c r="A127" s="2" t="inlineStr">
        <is>
          <t>Xinyan Deng</t>
        </is>
      </c>
      <c r="B127" s="2" t="inlineStr">
        <is>
          <t>Purdue University</t>
        </is>
      </c>
      <c r="C127" s="3">
        <f>HYPERLINK("https://engineering.purdue.edu/ME/People/ptProfile?resource_id=57378", "https://engineering.purdue.edu/ME/People/ptProfile?resource_id=57378")</f>
        <v/>
      </c>
      <c r="D127" s="3">
        <f>HYPERLINK("https://scholar.google.com/citations?view_op=search_authors&amp;mauthors=Xinyan%20Deng%20Purdue%20University", "Google Scholar Search")</f>
        <v/>
      </c>
      <c r="E127" s="2" t="inlineStr">
        <is>
          <t>Associate Professor of Mechanical Engineering</t>
        </is>
      </c>
      <c r="F127" s="2" t="inlineStr">
        <is>
          <t>Mechanical Engineering</t>
        </is>
      </c>
      <c r="G127" s="2" t="inlineStr"/>
      <c r="H127" s="3">
        <f>HYPERLINK("mailto:xdeng@purdue.edu", "xdeng@purdue.edu")</f>
        <v/>
      </c>
      <c r="I127" s="2" t="n">
        <v>4</v>
      </c>
      <c r="J127" s="2" t="inlineStr">
        <is>
          <t>🔴 Tier 4: Robotics / Controls / Autonomy</t>
        </is>
      </c>
      <c r="K127" s="2" t="n">
        <v>3</v>
      </c>
      <c r="L127" s="2" t="inlineStr">
        <is>
          <t>fluid mechanics, robot, robotics</t>
        </is>
      </c>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is>
          <t>Outstanding Mechanical Engineers Distinguished Engineering Alumni Honorary Doctorates Staff Awards Student Awards Distinguished...</t>
        </is>
      </c>
      <c r="AE127" s="2" t="inlineStr"/>
      <c r="AF127" s="2" t="inlineStr"/>
      <c r="AG127" s="2" t="inlineStr"/>
      <c r="AH127" s="2" t="inlineStr">
        <is>
          <t>Principles of aerial and aquatic locomotion in animals Experimental fluid mechanics Dynamics Control Bio-inspired robotics Biologically inspired micro aerial vehicles and underwater robots Bio-sensing and sensor fusion algorithms</t>
        </is>
      </c>
      <c r="AI127" s="2" t="inlineStr">
        <is>
          <t>Systems, Measurements &amp; Controls</t>
        </is>
      </c>
      <c r="AJ127" s="2" t="inlineStr">
        <is>
          <t>Systems, Measurements &amp; Controls</t>
        </is>
      </c>
      <c r="AK127" s="2" t="inlineStr">
        <is>
          <t>Ph.D., University of California at Berkeley, '04 B.S., Tianjin University, China, '95</t>
        </is>
      </c>
      <c r="AL127" s="2" t="inlineStr">
        <is>
          <t>Bio-Robotics Lab</t>
        </is>
      </c>
      <c r="AM127" s="3">
        <f>HYPERLINK("http://engineering.purdue.edu/~xdeng/", "http://engineering.purdue.edu/~xdeng/")</f>
        <v/>
      </c>
      <c r="AN127" s="2" t="inlineStr"/>
      <c r="AO127" s="2" t="inlineStr"/>
      <c r="AP127" s="2" t="inlineStr">
        <is>
          <t>Wind Tunnel, PIV, Particle Image Velocimetry</t>
        </is>
      </c>
      <c r="AQ127" s="2" t="inlineStr"/>
      <c r="AR127" s="2" t="inlineStr"/>
      <c r="AS127" s="2" t="inlineStr"/>
      <c r="AT127" s="2" t="inlineStr">
        <is>
          <t>ME 1069</t>
        </is>
      </c>
      <c r="AU127" s="2" t="b">
        <v>1</v>
      </c>
      <c r="AV127" s="3">
        <f>HYPERLINK("https://engineering.purdue.edu/ME/People/ptFaculty", "https://engineering.purdue.edu/ME/People/ptFaculty")</f>
        <v/>
      </c>
    </row>
    <row r="128">
      <c r="A128" s="2" t="inlineStr">
        <is>
          <t>Yan Gu</t>
        </is>
      </c>
      <c r="B128" s="2" t="inlineStr">
        <is>
          <t>Purdue University</t>
        </is>
      </c>
      <c r="C128" s="3">
        <f>HYPERLINK("https://engineering.purdue.edu/ME/People/ptProfile?resource_id=273141", "https://engineering.purdue.edu/ME/People/ptProfile?resource_id=273141")</f>
        <v/>
      </c>
      <c r="D128" s="3">
        <f>HYPERLINK("https://scholar.google.com/citations?view_op=search_authors&amp;mauthors=Yan%20Gu%20Purdue%20University", "Google Scholar Search")</f>
        <v/>
      </c>
      <c r="E128" s="2" t="inlineStr">
        <is>
          <t>Associate Professor Of Mechanical Engineering</t>
        </is>
      </c>
      <c r="F128" s="2" t="inlineStr">
        <is>
          <t>Mechanical Engineering</t>
        </is>
      </c>
      <c r="G128" s="2" t="inlineStr"/>
      <c r="H128" s="3">
        <f>HYPERLINK("mailto:yangu@purdue.edu", "yangu@purdue.edu")</f>
        <v/>
      </c>
      <c r="I128" s="2" t="n">
        <v>4</v>
      </c>
      <c r="J128" s="2" t="inlineStr">
        <is>
          <t>🔴 Tier 4: Robotics / Controls / Autonomy</t>
        </is>
      </c>
      <c r="K128" s="2" t="n">
        <v>3</v>
      </c>
      <c r="L128" s="2" t="inlineStr">
        <is>
          <t>estimation, robot, robotics</t>
        </is>
      </c>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is>
          <t>Outstanding Mechanical Engineers Distinguished Engineering Alumni Honorary Doctorates Staff Awards Student Awards Distinguished...</t>
        </is>
      </c>
      <c r="AE128" s="2" t="inlineStr"/>
      <c r="AF128" s="2" t="inlineStr"/>
      <c r="AG128" s="2" t="inlineStr"/>
      <c r="AH128" s="2" t="inlineStr">
        <is>
          <t>Legged locomotion Humanoid and quadrupedal robots Wearable robotics Hybrid dynamical systems Control State estimation Dynamics</t>
        </is>
      </c>
      <c r="AI128" s="2" t="inlineStr">
        <is>
          <t>Systems, Measurements &amp; Controls</t>
        </is>
      </c>
      <c r="AJ128" s="2" t="inlineStr">
        <is>
          <t>Systems, Measurements &amp; Controls</t>
        </is>
      </c>
      <c r="AK128" s="2" t="inlineStr">
        <is>
          <t>Ph.D., Purdue, '17 B.S., Zhejiang University, China, '11</t>
        </is>
      </c>
      <c r="AL128" s="2" t="inlineStr">
        <is>
          <t>TRACE Lab</t>
        </is>
      </c>
      <c r="AM128" s="3">
        <f>HYPERLINK("https://www.thetracelab.com/", "https://www.thetracelab.com/")</f>
        <v/>
      </c>
      <c r="AN128" s="2" t="inlineStr">
        <is>
          <t>Actively recruiting / Openings mentioned on lab site</t>
        </is>
      </c>
      <c r="AO128" s="2" t="inlineStr"/>
      <c r="AP128" s="2" t="inlineStr"/>
      <c r="AQ128" s="2" t="inlineStr">
        <is>
          <t>NSF, ONR</t>
        </is>
      </c>
      <c r="AR128" s="2" t="inlineStr"/>
      <c r="AS128" s="2" t="inlineStr"/>
      <c r="AT128" s="2" t="inlineStr">
        <is>
          <t>ME 1065</t>
        </is>
      </c>
      <c r="AU128" s="2" t="b">
        <v>1</v>
      </c>
      <c r="AV128" s="3">
        <f>HYPERLINK("https://engineering.purdue.edu/ME/People/ptFaculty", "https://engineering.purdue.edu/ME/People/ptFaculty")</f>
        <v/>
      </c>
    </row>
    <row r="129">
      <c r="A129" s="2" t="inlineStr">
        <is>
          <t>David Cappelleri</t>
        </is>
      </c>
      <c r="B129" s="2" t="inlineStr">
        <is>
          <t>Purdue University</t>
        </is>
      </c>
      <c r="C129" s="3">
        <f>HYPERLINK("https://engineering.purdue.edu/ME/People/ptProfile?resource_id=92669", "https://engineering.purdue.edu/ME/People/ptProfile?resource_id=92669")</f>
        <v/>
      </c>
      <c r="D129" s="3">
        <f>HYPERLINK("https://scholar.google.com/citations?view_op=search_authors&amp;mauthors=David%20Cappelleri%20Purdue%20University", "Google Scholar Search")</f>
        <v/>
      </c>
      <c r="E129" s="2" t="inlineStr">
        <is>
          <t>Professor of Mechanical Engineering; Assistant Vice President for Research Innovation</t>
        </is>
      </c>
      <c r="F129" s="2" t="inlineStr">
        <is>
          <t>Mechanical Engineering</t>
        </is>
      </c>
      <c r="G129" s="2" t="inlineStr"/>
      <c r="H129" s="3">
        <f>HYPERLINK("mailto:dcappell@purdue.edu", "dcappell@purdue.edu")</f>
        <v/>
      </c>
      <c r="I129" s="2" t="n">
        <v>4</v>
      </c>
      <c r="J129" s="2" t="inlineStr">
        <is>
          <t>🔴 Tier 4: Robotics / Controls / Autonomy</t>
        </is>
      </c>
      <c r="K129" s="2" t="n">
        <v>2</v>
      </c>
      <c r="L129" s="2" t="inlineStr">
        <is>
          <t>robot, robotics</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is>
          <t>Outstanding Mechanical Engineers Distinguished Engineering Alumni Honorary Doctorates Staff Awards Student Awards Distinguished...</t>
        </is>
      </c>
      <c r="AE129" s="2" t="inlineStr"/>
      <c r="AF129" s="2" t="inlineStr"/>
      <c r="AG129" s="2" t="inlineStr"/>
      <c r="AH129" s="2" t="inlineStr">
        <is>
          <t>Multi-scale robotic manipulation and assembly Mobile micro/nano robotics Micro/nano aerial vehicles Micro-Bio robotics Mechatronics MEMS/NEMS Automation for the life sciences</t>
        </is>
      </c>
      <c r="AI129" s="2" t="inlineStr">
        <is>
          <t>Dynamics &amp; Vibration Design &amp; Manufacturing Systems, Measurements &amp; Controls</t>
        </is>
      </c>
      <c r="AJ129" s="2" t="inlineStr">
        <is>
          <t>Dynamics &amp; Vibration Design &amp; Manufacturing Systems, Measurements &amp; Controls</t>
        </is>
      </c>
      <c r="AK129" s="2" t="inlineStr">
        <is>
          <t>B.S., Mechanical Engineering, Villanova University, '98 M.S., Mechanical Engineering, The Pennsylvania State University, ‘00 Ph.D., Mechanical Engineering &amp; Applied Mechanics, University of Pennsylvania, '08</t>
        </is>
      </c>
      <c r="AL129" s="2" t="inlineStr">
        <is>
          <t>Multi-Scale Robotics &amp; Automation Lab</t>
        </is>
      </c>
      <c r="AM129" s="3">
        <f>HYPERLINK("http://www.multiscalerobotics.org/", "http://www.multiscalerobotics.org/")</f>
        <v/>
      </c>
      <c r="AN129" s="2" t="inlineStr"/>
      <c r="AO129" s="2" t="inlineStr"/>
      <c r="AP129" s="2" t="inlineStr"/>
      <c r="AQ129" s="2" t="inlineStr"/>
      <c r="AR129" s="2" t="inlineStr"/>
      <c r="AS129" s="2" t="inlineStr"/>
      <c r="AT129" s="2" t="inlineStr">
        <is>
          <t>FLEX 2021C</t>
        </is>
      </c>
      <c r="AU129" s="2" t="b">
        <v>1</v>
      </c>
      <c r="AV129" s="3">
        <f>HYPERLINK("https://engineering.purdue.edu/ME/People/ptFaculty", "https://engineering.purdue.edu/ME/People/ptFaculty")</f>
        <v/>
      </c>
    </row>
    <row r="130">
      <c r="A130" s="2" t="inlineStr">
        <is>
          <t>Husheng Li</t>
        </is>
      </c>
      <c r="B130" s="2" t="inlineStr">
        <is>
          <t>Purdue University</t>
        </is>
      </c>
      <c r="C130" s="3">
        <f>HYPERLINK("https://engineering.purdue.edu/AAE/people/ptProfile?resource_id=270776", "https://engineering.purdue.edu/AAE/people/ptProfile?resource_id=270776")</f>
        <v/>
      </c>
      <c r="D130" s="3">
        <f>HYPERLINK("https://scholar.google.com/citations?view_op=search_authors&amp;mauthors=Husheng%20Li%20Purdue%20University", "Google Scholar Search")</f>
        <v/>
      </c>
      <c r="E130" s="2" t="inlineStr">
        <is>
          <t>Professor Of Aero And Astro Engineering</t>
        </is>
      </c>
      <c r="F130" s="2" t="inlineStr">
        <is>
          <t>Aeronautics and Astronautics</t>
        </is>
      </c>
      <c r="G130" s="2" t="inlineStr"/>
      <c r="H130" s="3">
        <f>HYPERLINK("mailto:husheng@purdue.edu", "husheng@purdue.edu")</f>
        <v/>
      </c>
      <c r="I130" s="2" t="n">
        <v>4</v>
      </c>
      <c r="J130" s="2" t="inlineStr">
        <is>
          <t>🔴 Tier 4: Robotics / Controls / Autonomy</t>
        </is>
      </c>
      <c r="K130" s="2" t="n">
        <v>2</v>
      </c>
      <c r="L130" s="2" t="inlineStr">
        <is>
          <t>autonomous, uav</t>
        </is>
      </c>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is>
          <t>Dr. Li has previously researched cyber physical systems, statistical signal processing, wireless communications, and information theory. His current work is in autonomous and connected systems, UAV sensing and communications, and joint design of control and communication systems. Edit var myPronunciation=document.getElementById("pronunciation");
    function play() {
    myPronunciation.play();
    }
    function pause() {
    myPronunciation.pause();
    }</t>
        </is>
      </c>
      <c r="AJ130" s="2" t="inlineStr">
        <is>
          <t>Dr. Li has previously researched cyber physical systems, statistical signal processing, wireless communications, and information theory. His current work is in autonomous and connected systems, UAV sensing and communications, and joint design of control and communication systems. Edit var myPronunciation=document.getElementById("pronunciation");
    function play() {
    myPronunciation.pl...</t>
        </is>
      </c>
      <c r="AK130" s="2" t="inlineStr">
        <is>
          <t>PhD in Electrical Engineering, Princeton University BS and MS in Electronic Engineering, Tsinghua University</t>
        </is>
      </c>
      <c r="AL130" s="2" t="inlineStr">
        <is>
          <t>Indiana Space Grant Consortium</t>
        </is>
      </c>
      <c r="AM130" s="3">
        <f>HYPERLINK("https://insgc.spacegrant.org/", "https://insgc.spacegrant.org/")</f>
        <v/>
      </c>
      <c r="AN130" s="2" t="inlineStr">
        <is>
          <t>Academic INSGC Internships</t>
        </is>
      </c>
      <c r="AO130" s="2" t="inlineStr"/>
      <c r="AP130" s="2" t="inlineStr"/>
      <c r="AQ130" s="2" t="inlineStr">
        <is>
          <t>NASA</t>
        </is>
      </c>
      <c r="AR130" s="2" t="inlineStr"/>
      <c r="AS130" s="2" t="inlineStr"/>
      <c r="AT130" s="2" t="inlineStr">
        <is>
          <t>ARMS 3215</t>
        </is>
      </c>
      <c r="AU130" s="2" t="b">
        <v>1</v>
      </c>
      <c r="AV130" s="3">
        <f>HYPERLINK("https://engineering.purdue.edu/AAE/people/Faculty", "https://engineering.purdue.edu/AAE/people/Faculty")</f>
        <v/>
      </c>
    </row>
    <row r="131">
      <c r="A131" s="2" t="inlineStr">
        <is>
          <t>Karen Marais</t>
        </is>
      </c>
      <c r="B131" s="2" t="inlineStr">
        <is>
          <t>Purdue University</t>
        </is>
      </c>
      <c r="C131" s="3">
        <f>HYPERLINK("https://engineering.purdue.edu/AAE/people/ptProfile?resource_id=50933", "https://engineering.purdue.edu/AAE/people/ptProfile?resource_id=50933")</f>
        <v/>
      </c>
      <c r="D131" s="3">
        <f>HYPERLINK("https://scholar.google.com/citations?view_op=search_authors&amp;mauthors=Karen%20Marais%20Purdue%20University", "Google Scholar Search")</f>
        <v/>
      </c>
      <c r="E131" s="2" t="inlineStr">
        <is>
          <t>Professor; Associate Head for Undergraduate Education</t>
        </is>
      </c>
      <c r="F131" s="2" t="inlineStr">
        <is>
          <t>Aeronautics and Astronautics</t>
        </is>
      </c>
      <c r="G131" s="2" t="inlineStr"/>
      <c r="H131" s="3">
        <f>HYPERLINK("mailto:kmarais@purdue.edu", "kmarais@purdue.edu")</f>
        <v/>
      </c>
      <c r="I131" s="2" t="n">
        <v>4</v>
      </c>
      <c r="J131" s="2" t="inlineStr">
        <is>
          <t>🔴 Tier 4: Robotics / Controls / Autonomy</t>
        </is>
      </c>
      <c r="K131" s="2" t="n">
        <v>2</v>
      </c>
      <c r="L131" s="2" t="inlineStr">
        <is>
          <t>aerospace, control theory</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is>
          <t>Safety and Risk Analysis Systems Engineering Education Financial Modeling of Engineering Systems Environmental Impacts of Technology</t>
        </is>
      </c>
      <c r="AI131" s="2" t="inlineStr">
        <is>
          <t>My research is multi-disciplinary in nature, spanning traditional engineering disciplines such as reliability, maintainability, and risk analysis, and extending to engineering economics (e.g., environmental impact of aviation and policy choices and implications) and organizational behavior (in particular in regard to system safety). The fundamental aim of my research is to guide better engineering decisions in system design and operation. To that end I perform research in three general areas: System Safety and Risk Analysis In this work, I investigate new ways of addressing the safety and risk challenges posed by complex systems. I am currently investigating the application of techniques from control theory and digital signal processing to risk analysis. Value-Centric System Design and Operation In this work, I investigate system design and operation from the perspective of design impact on value. For example, recently my co-authors and I investigated the impact of reliability on system value and used our analysis to develop a method to identify optimal reliability levels that maximize system value delivery over time. I am now extending this perspective to system maintenance (an area with significant growth potential) and adapting this work to the civil aviation industry. Civil Aviation Policy In this work, I investigate various aspects of civil aviation policy. I focus on two areas. First, technology is seen as one of the primary enablers of increased air traffic over the next two decades. However, airlines and general aviation users are often reluctant to adopt new technologies. Using a value-centric approach I developed a framework that can be used to identify and address the causes of adoption reluctance and so increase the likelihood of successful technology transitions. Second, the impact of aviation on the environment is receiving increasing attention. However, aviation environmental policies are usually evaluated in isolation or on a cost-effectiveness basis. Such evaluations do not take into account the complex interdependencies between aviation environmental effects (e.g., quieter engines may be heavier and therefore increase fuel consumption). Here, again, a value-centric perspective that takes into account both the benefits and costs of aviation can allow better policy decisions.</t>
        </is>
      </c>
      <c r="AJ131" s="2" t="inlineStr">
        <is>
          <t>My research is multi-disciplinary in nature, spanning traditional engineering disciplines such as reliability, maintainability, and risk analysis, and extending to engineering economics (e.g., environmental impact of aviation and policy choices and implications) and organizational behavior (in particular in regard to system safety). The fundamental aim of my research is to guide better engineer...</t>
        </is>
      </c>
      <c r="AK131" s="2" t="inlineStr">
        <is>
          <t>B.Eng. University of Stellenbosch, Electrical and Electronic Engineering, 1994 B.Sc. University of South Africa, Mathematics, 1997 S.M. Massachusetts Institute of Technology, Aerospace Engineering, 2001 Ph.D. Massachusetts Institute of Technology, Aerospace Engineering, 2005</t>
        </is>
      </c>
      <c r="AL131" s="2" t="inlineStr">
        <is>
          <t>Indiana Space Grant Consortium</t>
        </is>
      </c>
      <c r="AM131" s="3">
        <f>HYPERLINK("https://insgc.spacegrant.org/", "https://insgc.spacegrant.org/")</f>
        <v/>
      </c>
      <c r="AN131" s="2" t="inlineStr">
        <is>
          <t>Academic INSGC Internships</t>
        </is>
      </c>
      <c r="AO131" s="2" t="inlineStr"/>
      <c r="AP131" s="2" t="inlineStr"/>
      <c r="AQ131" s="2" t="inlineStr">
        <is>
          <t>NASA</t>
        </is>
      </c>
      <c r="AR131" s="2" t="inlineStr"/>
      <c r="AS131" s="2" t="inlineStr"/>
      <c r="AT131" s="2" t="inlineStr">
        <is>
          <t>ARMS 2041</t>
        </is>
      </c>
      <c r="AU131" s="2" t="b">
        <v>1</v>
      </c>
      <c r="AV131" s="3">
        <f>HYPERLINK("https://engineering.purdue.edu/AAE/people/Faculty", "https://engineering.purdue.edu/AAE/people/Faculty")</f>
        <v/>
      </c>
    </row>
    <row r="132">
      <c r="A132" s="2" t="inlineStr">
        <is>
          <t>Karthik Ramani</t>
        </is>
      </c>
      <c r="B132" s="2" t="inlineStr">
        <is>
          <t>Purdue University</t>
        </is>
      </c>
      <c r="C132" s="3">
        <f>HYPERLINK("https://engineering.purdue.edu/ME/People/ptProfile?resource_id=12331", "https://engineering.purdue.edu/ME/People/ptProfile?resource_id=12331")</f>
        <v/>
      </c>
      <c r="D132" s="3">
        <f>HYPERLINK("https://scholar.google.com/citations?view_op=search_authors&amp;mauthors=Karthik%20Ramani%20Purdue%20University", "Google Scholar Search")</f>
        <v/>
      </c>
      <c r="E132" s="2" t="inlineStr">
        <is>
          <t>Donald W. Feddersen Distinguished Professor of Mechanical Engineering; Professor of Electrical and Computer Engineering, Professor of Educational Studies, College of Education (by courtesy)</t>
        </is>
      </c>
      <c r="F132" s="2" t="inlineStr">
        <is>
          <t>Mechanical Engineering</t>
        </is>
      </c>
      <c r="G132" s="2" t="inlineStr"/>
      <c r="H132" s="3">
        <f>HYPERLINK("mailto:ramani@purdue.edu", "ramani@purdue.edu")</f>
        <v/>
      </c>
      <c r="I132" s="2" t="n">
        <v>4</v>
      </c>
      <c r="J132" s="2" t="inlineStr">
        <is>
          <t>🔴 Tier 4: Robotics / Controls / Autonomy</t>
        </is>
      </c>
      <c r="K132" s="2" t="n">
        <v>2</v>
      </c>
      <c r="L132" s="2" t="inlineStr">
        <is>
          <t>robot, robotics</t>
        </is>
      </c>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is>
          <t>Outstanding Mechanical Engineers Distinguished Engineering Alumni Honorary Doctorates Staff Awards Student Awards Distinguished...</t>
        </is>
      </c>
      <c r="AE132" s="2" t="inlineStr"/>
      <c r="AF132" s="2" t="inlineStr"/>
      <c r="AG132" s="2" t="inlineStr"/>
      <c r="AH132" s="2" t="inlineStr">
        <is>
          <t>Human Skill and Augmentation Collaborative and Hybridized Intelligence Deep Learning of Shapes and Computer Vision Human-Robot-Machine Interactions Making to Manufacturing (M2M) Factory of the Future and Robotics Manufacturing Productivity</t>
        </is>
      </c>
      <c r="AI132" s="2" t="inlineStr">
        <is>
          <t>Design &amp; Manufacturing</t>
        </is>
      </c>
      <c r="AJ132" s="2" t="inlineStr">
        <is>
          <t>Design &amp; Manufacturing</t>
        </is>
      </c>
      <c r="AK132" s="2" t="inlineStr">
        <is>
          <t>B.S. IIT Madras, '85 M.S. Ohio State, '87 Ph.D. Stanford, '91</t>
        </is>
      </c>
      <c r="AL132" s="2" t="inlineStr">
        <is>
          <t>Convergence Design Lab</t>
        </is>
      </c>
      <c r="AM132" s="3">
        <f>HYPERLINK("https://engineering.purdue.edu/cdesign", "https://engineering.purdue.edu/cdesign")</f>
        <v/>
      </c>
      <c r="AN132" s="2" t="inlineStr"/>
      <c r="AO132" s="2" t="inlineStr"/>
      <c r="AP132" s="2" t="inlineStr"/>
      <c r="AQ132" s="2" t="inlineStr"/>
      <c r="AR132" s="2" t="inlineStr"/>
      <c r="AS132" s="2" t="inlineStr"/>
      <c r="AT132" s="2" t="inlineStr">
        <is>
          <t>ME 3176</t>
        </is>
      </c>
      <c r="AU132" s="2" t="b">
        <v>1</v>
      </c>
      <c r="AV132" s="3">
        <f>HYPERLINK("https://engineering.purdue.edu/ME/People/ptFaculty", "https://engineering.purdue.edu/ME/People/ptFaculty")</f>
        <v/>
      </c>
    </row>
    <row r="133">
      <c r="A133" s="2" t="inlineStr">
        <is>
          <t>Laura Blumenschein</t>
        </is>
      </c>
      <c r="B133" s="2" t="inlineStr">
        <is>
          <t>Purdue University</t>
        </is>
      </c>
      <c r="C133" s="3">
        <f>HYPERLINK("https://engineering.purdue.edu/ME/People/ptProfile?resource_id=241064", "https://engineering.purdue.edu/ME/People/ptProfile?resource_id=241064")</f>
        <v/>
      </c>
      <c r="D133" s="3">
        <f>HYPERLINK("https://scholar.google.com/citations?view_op=search_authors&amp;mauthors=Laura%20Blumenschein%20Purdue%20University", "Google Scholar Search")</f>
        <v/>
      </c>
      <c r="E133" s="2" t="inlineStr">
        <is>
          <t>Assistant Professor of Mechanical Engineering</t>
        </is>
      </c>
      <c r="F133" s="2" t="inlineStr">
        <is>
          <t>Mechanical Engineering</t>
        </is>
      </c>
      <c r="G133" s="2" t="inlineStr"/>
      <c r="H133" s="3">
        <f>HYPERLINK("mailto:lhblumen@purdue.edu", "lhblumen@purdue.edu")</f>
        <v/>
      </c>
      <c r="I133" s="2" t="n">
        <v>4</v>
      </c>
      <c r="J133" s="2" t="inlineStr">
        <is>
          <t>🔴 Tier 4: Robotics / Controls / Autonomy</t>
        </is>
      </c>
      <c r="K133" s="2" t="n">
        <v>2</v>
      </c>
      <c r="L133" s="2" t="inlineStr">
        <is>
          <t>robot, robotics</t>
        </is>
      </c>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is>
          <t>Outstanding Mechanical Engineers Distinguished Engineering Alumni Honorary Doctorates Staff Awards Student Awards Distinguished...</t>
        </is>
      </c>
      <c r="AE133" s="2" t="inlineStr"/>
      <c r="AF133" s="2" t="inlineStr"/>
      <c r="AG133" s="2" t="inlineStr"/>
      <c r="AH133" s="2" t="inlineStr">
        <is>
          <t>Growing robots Soft robotics Bioinspired systems Wearable robots Haptics Soft matter</t>
        </is>
      </c>
      <c r="AI133" s="2" t="inlineStr">
        <is>
          <t>Design &amp; Manufacturing Systems, Measurements &amp; Controls</t>
        </is>
      </c>
      <c r="AJ133" s="2" t="inlineStr">
        <is>
          <t>Design &amp; Manufacturing Systems, Measurements &amp; Controls</t>
        </is>
      </c>
      <c r="AK133" s="2" t="inlineStr">
        <is>
          <t>Ph.D., Stanford University '19 M.S., Rice University '16 B.S., Rice University '15</t>
        </is>
      </c>
      <c r="AL133" s="2" t="inlineStr">
        <is>
          <t>RAAD Lab</t>
        </is>
      </c>
      <c r="AM133" s="3">
        <f>HYPERLINK("https://lhblumen.wixsite.com/website-1", "https://lhblumen.wixsite.com/website-1")</f>
        <v/>
      </c>
      <c r="AN133" s="2" t="inlineStr">
        <is>
          <t>Actively recruiting / Openings mentioned on lab site</t>
        </is>
      </c>
      <c r="AO133" s="2" t="inlineStr"/>
      <c r="AP133" s="2" t="inlineStr"/>
      <c r="AQ133" s="2" t="inlineStr">
        <is>
          <t>NSF</t>
        </is>
      </c>
      <c r="AR133" s="2" t="inlineStr"/>
      <c r="AS133" s="2" t="inlineStr"/>
      <c r="AT133" s="2" t="inlineStr">
        <is>
          <t>ME 1075</t>
        </is>
      </c>
      <c r="AU133" s="2" t="b">
        <v>1</v>
      </c>
      <c r="AV133" s="3">
        <f>HYPERLINK("https://engineering.purdue.edu/ME/People/ptFaculty", "https://engineering.purdue.edu/ME/People/ptFaculty")</f>
        <v/>
      </c>
    </row>
    <row r="134">
      <c r="A134" s="2" t="inlineStr">
        <is>
          <t>Andrea Vacca</t>
        </is>
      </c>
      <c r="B134" s="2" t="inlineStr">
        <is>
          <t>Purdue University</t>
        </is>
      </c>
      <c r="C134" s="3">
        <f>HYPERLINK("https://engineering.purdue.edu/ME/People/ptProfile?resource_id=61666", "https://engineering.purdue.edu/ME/People/ptProfile?resource_id=61666")</f>
        <v/>
      </c>
      <c r="D134" s="3">
        <f>HYPERLINK("https://scholar.google.com/citations?view_op=search_authors&amp;mauthors=Andrea%20Vacca%20Purdue%20University", "Google Scholar Search")</f>
        <v/>
      </c>
      <c r="E134" s="2" t="inlineStr">
        <is>
          <t>Maha Fluid Power Faculty Chair, Professor of Mechanical Engineering, joint with Agricultural and Biological Engineering</t>
        </is>
      </c>
      <c r="F134" s="2" t="inlineStr">
        <is>
          <t>Mechanical Engineering</t>
        </is>
      </c>
      <c r="G134" s="2" t="inlineStr"/>
      <c r="H134" s="3">
        <f>HYPERLINK("mailto:avacca@purdue.edu", "avacca@purdue.edu")</f>
        <v/>
      </c>
      <c r="I134" s="2" t="n">
        <v>4</v>
      </c>
      <c r="J134" s="2" t="inlineStr">
        <is>
          <t>🔴 Tier 4: Robotics / Controls / Autonomy</t>
        </is>
      </c>
      <c r="K134" s="2" t="n">
        <v>1</v>
      </c>
      <c r="L134" s="2" t="inlineStr">
        <is>
          <t>fluid mechanics</t>
        </is>
      </c>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is>
          <t>Outstanding Mechanical Engineers Distinguished Engineering Alumni Honorary Doctorates Staff Awards Student Awards Distinguished...</t>
        </is>
      </c>
      <c r="AE134" s="2" t="inlineStr">
        <is>
          <t>Contact us today to learn about the advantages of becoming a member at Maha Labs! Email Andrea Vacca: avacca@purdue.edu | If you are interested in a research position at the Maha Fluid Power Research Center, please email your application to Dr. Vacca ( avacca@purdue.edu ) or Dr. Shang ( shangl@purdue.edu ).</t>
        </is>
      </c>
      <c r="AF134" s="2" t="inlineStr"/>
      <c r="AG134" s="2" t="inlineStr"/>
      <c r="AH134" s="2" t="inlineStr">
        <is>
          <t>Modeling and simulation of hydraulic systems Modeling and testing of pumps and motors for fluid power applications Hydraulic valves modeling and testing Reduction of noise emissions in fluid power systems</t>
        </is>
      </c>
      <c r="AI134" s="2" t="inlineStr">
        <is>
          <t>Fluid Mechanics Heat &amp; Mass Transfer</t>
        </is>
      </c>
      <c r="AJ134" s="2" t="inlineStr">
        <is>
          <t>Fluid Mechanics Heat &amp; Mass Transfer</t>
        </is>
      </c>
      <c r="AK134" s="2" t="inlineStr">
        <is>
          <t>M.S., University of Parma (Italy), '99 Ph.D., University of Florence (Italy), '05</t>
        </is>
      </c>
      <c r="AL134" s="2" t="inlineStr">
        <is>
          <t>Maha Fluid Power Research Center</t>
        </is>
      </c>
      <c r="AM134" s="3">
        <f>HYPERLINK("https://engineering.purdue.edu/Maha", "https://engineering.purdue.edu/Maha")</f>
        <v/>
      </c>
      <c r="AN134" s="2" t="inlineStr">
        <is>
          <t>Receive biannual updates on “Maha recommended” Purdue students looking for job opportunities Participate in a recruiting session during the annual Maha Fluid Power Conference Organize a private recruiting event at the Maha Fluid Power Research Center* | Receive biannual updates on “Maha recommended” Purdue students looking for job opportunities</t>
        </is>
      </c>
      <c r="AO134" s="2" t="inlineStr"/>
      <c r="AP134" s="2" t="inlineStr">
        <is>
          <t>Cluster</t>
        </is>
      </c>
      <c r="AQ134" s="2" t="inlineStr"/>
      <c r="AR134" s="2" t="inlineStr"/>
      <c r="AS134" s="2" t="inlineStr"/>
      <c r="AT134" s="2" t="inlineStr"/>
      <c r="AU134" s="2" t="b">
        <v>1</v>
      </c>
      <c r="AV134" s="3">
        <f>HYPERLINK("https://engineering.purdue.edu/ME/People/ptFaculty", "https://engineering.purdue.edu/ME/People/ptFaculty")</f>
        <v/>
      </c>
    </row>
    <row r="135">
      <c r="A135" s="2" t="inlineStr">
        <is>
          <t>Arthur E. Frazho</t>
        </is>
      </c>
      <c r="B135" s="2" t="inlineStr">
        <is>
          <t>Purdue University</t>
        </is>
      </c>
      <c r="C135" s="3">
        <f>HYPERLINK("https://engineering.purdue.edu/AAE/people/ptProfile?resource_id=1339", "https://engineering.purdue.edu/AAE/people/ptProfile?resource_id=1339")</f>
        <v/>
      </c>
      <c r="D135" s="3">
        <f>HYPERLINK("https://scholar.google.com/citations?view_op=search_authors&amp;mauthors=Arthur%20E.%20Frazho%20Purdue%20University", "Google Scholar Search")</f>
        <v/>
      </c>
      <c r="E135" s="2" t="inlineStr">
        <is>
          <t>Professor</t>
        </is>
      </c>
      <c r="F135" s="2" t="inlineStr">
        <is>
          <t>Aeronautics and Astronautics</t>
        </is>
      </c>
      <c r="G135" s="2" t="inlineStr"/>
      <c r="H135" s="3">
        <f>HYPERLINK("mailto:frazho@purdue.edu", "frazho@purdue.edu")</f>
        <v/>
      </c>
      <c r="I135" s="2" t="n">
        <v>4</v>
      </c>
      <c r="J135" s="2" t="inlineStr">
        <is>
          <t>🔴 Tier 4: Robotics / Controls / Autonomy</t>
        </is>
      </c>
      <c r="K135" s="2" t="n">
        <v>1</v>
      </c>
      <c r="L135" s="2" t="inlineStr">
        <is>
          <t>nonlinear control</t>
        </is>
      </c>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is>
          <t>2006 - The W. A. Gustafson Award (teaching award)</t>
        </is>
      </c>
      <c r="AE135" s="2" t="inlineStr"/>
      <c r="AF135" s="2" t="inlineStr"/>
      <c r="AG135" s="2" t="inlineStr"/>
      <c r="AH135" s="2" t="inlineStr">
        <is>
          <t>Control systems</t>
        </is>
      </c>
      <c r="AI135" s="2" t="inlineStr">
        <is>
          <t>This research develops and applies operator theory to problems in deterministic and stochastic control systems. These techniques are used to design models for both linear and nonlinear control systems. We also obtain fast recursive algorithms for computing reduced order models. This also yields a theory of Hinfinity controller reduction and pole placement with applications to large space structure control. Finally, these techniques are used to solve problems in signal processing and inverse scattering theory.</t>
        </is>
      </c>
      <c r="AJ135" s="2" t="inlineStr">
        <is>
          <t>This research develops and applies operator theory to problems in deterministic and stochastic control systems. These techniques are used to design models for both linear and nonlinear control systems. We also obtain fast recursive algorithms for computing reduced order models. This also yields a theory of Hinfinity controller reduction and pole placement with applications to large space struct...</t>
        </is>
      </c>
      <c r="AK135" s="2" t="inlineStr">
        <is>
          <t>B.S.E., The University of Michigan, Ann Arbor, Computer Engineering, 1973 M.S.E., The University of Michigan, Ann Arbor, Computer Information and Control Engineering, 1974 Ph.D., The University of Michigan, Ann Arbor, Computer Information and Control Engineering, 1977</t>
        </is>
      </c>
      <c r="AL135" s="2" t="inlineStr">
        <is>
          <t>Indiana Space Grant Consortium</t>
        </is>
      </c>
      <c r="AM135" s="3">
        <f>HYPERLINK("https://insgc.spacegrant.org/", "https://insgc.spacegrant.org/")</f>
        <v/>
      </c>
      <c r="AN135" s="2" t="inlineStr">
        <is>
          <t>Academic INSGC Internships</t>
        </is>
      </c>
      <c r="AO135" s="2" t="inlineStr"/>
      <c r="AP135" s="2" t="inlineStr"/>
      <c r="AQ135" s="2" t="inlineStr">
        <is>
          <t>NASA</t>
        </is>
      </c>
      <c r="AR135" s="2" t="inlineStr"/>
      <c r="AS135" s="2" t="inlineStr"/>
      <c r="AT135" s="2" t="inlineStr">
        <is>
          <t>ARMS 3333</t>
        </is>
      </c>
      <c r="AU135" s="2" t="b">
        <v>1</v>
      </c>
      <c r="AV135" s="3">
        <f>HYPERLINK("https://engineering.purdue.edu/AAE/people/Faculty", "https://engineering.purdue.edu/AAE/people/Faculty")</f>
        <v/>
      </c>
    </row>
    <row r="136">
      <c r="A136" s="2" t="inlineStr">
        <is>
          <t>Brandon Chynoweth</t>
        </is>
      </c>
      <c r="B136" s="2" t="inlineStr">
        <is>
          <t>Purdue University</t>
        </is>
      </c>
      <c r="C136" s="3">
        <f>HYPERLINK("https://engineering.purdue.edu/AAE/people/ptProfile?resource_id=132802", "https://engineering.purdue.edu/AAE/people/ptProfile?resource_id=132802")</f>
        <v/>
      </c>
      <c r="D136" s="3">
        <f>HYPERLINK("https://scholar.google.com/citations?view_op=search_authors&amp;mauthors=Brandon%20Chynoweth%20Purdue%20University", "Google Scholar Search")</f>
        <v/>
      </c>
      <c r="E136" s="2" t="inlineStr">
        <is>
          <t>Research Associate Professor</t>
        </is>
      </c>
      <c r="F136" s="2" t="inlineStr">
        <is>
          <t>Aeronautics and Astronautics</t>
        </is>
      </c>
      <c r="G136" s="2" t="inlineStr"/>
      <c r="H136" s="3">
        <f>HYPERLINK("mailto:bchynowe@purdue.edu", "bchynowe@purdue.edu")</f>
        <v/>
      </c>
      <c r="I136" s="2" t="n">
        <v>4</v>
      </c>
      <c r="J136" s="2" t="inlineStr">
        <is>
          <t>🔴 Tier 4: Robotics / Controls / Autonomy</t>
        </is>
      </c>
      <c r="K136" s="2" t="n">
        <v>1</v>
      </c>
      <c r="L136" s="2" t="inlineStr">
        <is>
          <t>aerospace</t>
        </is>
      </c>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is>
          <t>Ph.D. Purdue University, Aeronautics and Astronautics, 2018 M.S. Purdue University, Aeronautics and Astronautics, 2015</t>
        </is>
      </c>
      <c r="AL136" s="2" t="inlineStr">
        <is>
          <t>Indiana Space Grant Consortium</t>
        </is>
      </c>
      <c r="AM136" s="3">
        <f>HYPERLINK("https://insgc.spacegrant.org/", "https://insgc.spacegrant.org/")</f>
        <v/>
      </c>
      <c r="AN136" s="2" t="inlineStr">
        <is>
          <t>Academic INSGC Internships</t>
        </is>
      </c>
      <c r="AO136" s="2" t="inlineStr"/>
      <c r="AP136" s="2" t="inlineStr"/>
      <c r="AQ136" s="2" t="inlineStr">
        <is>
          <t>NASA</t>
        </is>
      </c>
      <c r="AR136" s="2" t="inlineStr"/>
      <c r="AS136" s="2" t="inlineStr"/>
      <c r="AT136" s="2" t="inlineStr"/>
      <c r="AU136" s="2" t="b">
        <v>1</v>
      </c>
      <c r="AV136" s="3">
        <f>HYPERLINK("https://engineering.purdue.edu/AAE/people/Faculty", "https://engineering.purdue.edu/AAE/people/Faculty")</f>
        <v/>
      </c>
    </row>
    <row r="137">
      <c r="A137" s="2" t="inlineStr">
        <is>
          <t>Brett Meyers</t>
        </is>
      </c>
      <c r="B137" s="2" t="inlineStr">
        <is>
          <t>Purdue University</t>
        </is>
      </c>
      <c r="C137" s="3">
        <f>HYPERLINK("https://engineering.purdue.edu/ME/People/ptProfile?resource_id=137267", "https://engineering.purdue.edu/ME/People/ptProfile?resource_id=137267")</f>
        <v/>
      </c>
      <c r="D137" s="3">
        <f>HYPERLINK("https://scholar.google.com/citations?view_op=search_authors&amp;mauthors=Brett%20Meyers%20Purdue%20University", "Google Scholar Search")</f>
        <v/>
      </c>
      <c r="E137" s="2" t="inlineStr">
        <is>
          <t>Assistant Research Professor (by Courtesy)</t>
        </is>
      </c>
      <c r="F137" s="2" t="inlineStr">
        <is>
          <t>Mechanical Engineering</t>
        </is>
      </c>
      <c r="G137" s="2" t="inlineStr"/>
      <c r="H137" s="3">
        <f>HYPERLINK("mailto:meyers18@purdue.edu", "meyers18@purdue.edu")</f>
        <v/>
      </c>
      <c r="I137" s="2" t="n">
        <v>4</v>
      </c>
      <c r="J137" s="2" t="inlineStr">
        <is>
          <t>🔴 Tier 4: Robotics / Controls / Autonomy</t>
        </is>
      </c>
      <c r="K137" s="2" t="n">
        <v>1</v>
      </c>
      <c r="L137" s="2" t="inlineStr">
        <is>
          <t>fluid mechanics</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is>
          <t>Outstanding Mechanical Engineers Distinguished Engineering Alumni Honorary Doctorates Staff Awards Student Awards Distinguished...</t>
        </is>
      </c>
      <c r="AE137" s="2" t="inlineStr"/>
      <c r="AF137" s="2" t="inlineStr"/>
      <c r="AG137" s="2" t="inlineStr"/>
      <c r="AH137" s="2" t="inlineStr">
        <is>
          <t>Cardiovascular flows</t>
        </is>
      </c>
      <c r="AI137" s="2" t="inlineStr">
        <is>
          <t>Fluid Mechanics</t>
        </is>
      </c>
      <c r="AJ137" s="2" t="inlineStr">
        <is>
          <t>Fluid Mechanics</t>
        </is>
      </c>
      <c r="AK137" s="2" t="inlineStr"/>
      <c r="AL137" s="2" t="inlineStr">
        <is>
          <t>Indiana Space Grant Consortium</t>
        </is>
      </c>
      <c r="AM137" s="3">
        <f>HYPERLINK("https://insgc.spacegrant.org/", "https://insgc.spacegrant.org/")</f>
        <v/>
      </c>
      <c r="AN137" s="2" t="inlineStr">
        <is>
          <t>Academic INSGC Internships</t>
        </is>
      </c>
      <c r="AO137" s="2" t="inlineStr"/>
      <c r="AP137" s="2" t="inlineStr"/>
      <c r="AQ137" s="2" t="inlineStr">
        <is>
          <t>NASA</t>
        </is>
      </c>
      <c r="AR137" s="2" t="inlineStr"/>
      <c r="AS137" s="2" t="inlineStr"/>
      <c r="AT137" s="2" t="inlineStr"/>
      <c r="AU137" s="2" t="b">
        <v>1</v>
      </c>
      <c r="AV137" s="3">
        <f>HYPERLINK("https://engineering.purdue.edu/ME/People/ptFaculty", "https://engineering.purdue.edu/ME/People/ptFaculty")</f>
        <v/>
      </c>
    </row>
    <row r="138">
      <c r="A138" s="2" t="inlineStr">
        <is>
          <t>Cagri A. Savran</t>
        </is>
      </c>
      <c r="B138" s="2" t="inlineStr">
        <is>
          <t>Purdue University</t>
        </is>
      </c>
      <c r="C138" s="3">
        <f>HYPERLINK("https://engineering.purdue.edu/ME/People/ptProfile?resource_id=2871", "https://engineering.purdue.edu/ME/People/ptProfile?resource_id=2871")</f>
        <v/>
      </c>
      <c r="D138" s="3">
        <f>HYPERLINK("https://scholar.google.com/citations?view_op=search_authors&amp;mauthors=Cagri%20A.%20Savran%20Purdue%20University", "Google Scholar Search")</f>
        <v/>
      </c>
      <c r="E138" s="2" t="inlineStr">
        <is>
          <t>Professor of Mechanical Engineering, by courtesy in Biomedical Engineering and Electrical and Computer Engineering</t>
        </is>
      </c>
      <c r="F138" s="2" t="inlineStr">
        <is>
          <t>Mechanical Engineering</t>
        </is>
      </c>
      <c r="G138" s="2" t="inlineStr"/>
      <c r="H138" s="3">
        <f>HYPERLINK("mailto:savran@purdue.edu", "savran@purdue.edu")</f>
        <v/>
      </c>
      <c r="I138" s="2" t="n">
        <v>4</v>
      </c>
      <c r="J138" s="2" t="inlineStr">
        <is>
          <t>🔴 Tier 4: Robotics / Controls / Autonomy</t>
        </is>
      </c>
      <c r="K138" s="2" t="n">
        <v>1</v>
      </c>
      <c r="L138" s="2" t="inlineStr">
        <is>
          <t>fluid mechanics</t>
        </is>
      </c>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is>
          <t>Outstanding Mechanical Engineers Distinguished Engineering Alumni Honorary Doctorates Staff Awards Student Awards Distinguished...</t>
        </is>
      </c>
      <c r="AE138" s="2" t="inlineStr"/>
      <c r="AF138" s="2" t="inlineStr"/>
      <c r="AG138" s="2" t="inlineStr"/>
      <c r="AH138" s="2" t="inlineStr">
        <is>
          <t>MEMS, nanotechnology BioMEMS Biosensors Protein detection Aptamers (Nucleic-acid-based receptor molecules)</t>
        </is>
      </c>
      <c r="AI138" s="2" t="inlineStr">
        <is>
          <t>Fluid Mechanics Systems, Measurements &amp; Controls</t>
        </is>
      </c>
      <c r="AJ138" s="2" t="inlineStr">
        <is>
          <t>Fluid Mechanics Systems, Measurements &amp; Controls</t>
        </is>
      </c>
      <c r="AK138" s="2" t="inlineStr">
        <is>
          <t>B.S. Purdue, '98 M.S. MIT, '00 Ph.D. MIT, '04</t>
        </is>
      </c>
      <c r="AL138" s="2" t="inlineStr">
        <is>
          <t>Indiana Space Grant Consortium</t>
        </is>
      </c>
      <c r="AM138" s="3">
        <f>HYPERLINK("https://insgc.spacegrant.org/", "https://insgc.spacegrant.org/")</f>
        <v/>
      </c>
      <c r="AN138" s="2" t="inlineStr">
        <is>
          <t>Academic INSGC Internships</t>
        </is>
      </c>
      <c r="AO138" s="2" t="inlineStr"/>
      <c r="AP138" s="2" t="inlineStr"/>
      <c r="AQ138" s="2" t="inlineStr">
        <is>
          <t>NASA</t>
        </is>
      </c>
      <c r="AR138" s="2" t="inlineStr"/>
      <c r="AS138" s="2" t="inlineStr"/>
      <c r="AT138" s="2" t="inlineStr">
        <is>
          <t>ME G089</t>
        </is>
      </c>
      <c r="AU138" s="2" t="b">
        <v>1</v>
      </c>
      <c r="AV138" s="3">
        <f>HYPERLINK("https://engineering.purdue.edu/ME/People/ptFaculty", "https://engineering.purdue.edu/ME/People/ptFaculty")</f>
        <v/>
      </c>
    </row>
    <row r="139">
      <c r="A139" s="2" t="inlineStr">
        <is>
          <t>Daniel Williams</t>
        </is>
      </c>
      <c r="B139" s="2" t="inlineStr">
        <is>
          <t>Purdue University</t>
        </is>
      </c>
      <c r="C139" s="3">
        <f>HYPERLINK("https://engineering.purdue.edu/ME/People/ptProfile?resource_id=293356", "https://engineering.purdue.edu/ME/People/ptProfile?resource_id=293356")</f>
        <v/>
      </c>
      <c r="D139" s="3">
        <f>HYPERLINK("https://scholar.google.com/citations?view_op=search_authors&amp;mauthors=Daniel%20Williams%20Purdue%20University", "Google Scholar Search")</f>
        <v/>
      </c>
      <c r="E139" s="2" t="inlineStr">
        <is>
          <t>Professor Of Engineering Practice</t>
        </is>
      </c>
      <c r="F139" s="2" t="inlineStr">
        <is>
          <t>Mechanical Engineering</t>
        </is>
      </c>
      <c r="G139" s="2" t="inlineStr"/>
      <c r="H139" s="3">
        <f>HYPERLINK("mailto:dewillia@purdue.edu", "dewillia@purdue.edu")</f>
        <v/>
      </c>
      <c r="I139" s="2" t="n">
        <v>4</v>
      </c>
      <c r="J139" s="2" t="inlineStr">
        <is>
          <t>🔴 Tier 4: Robotics / Controls / Autonomy</t>
        </is>
      </c>
      <c r="K139" s="2" t="n">
        <v>1</v>
      </c>
      <c r="L139" s="2" t="inlineStr">
        <is>
          <t>autonomous</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is>
          <t>Outstanding Mechanical Engineers Distinguished Engineering Alumni Honorary Doctorates Staff Awards Student Awards Distinguished...</t>
        </is>
      </c>
      <c r="AE139" s="2" t="inlineStr"/>
      <c r="AF139" s="2" t="inlineStr"/>
      <c r="AG139" s="2" t="inlineStr"/>
      <c r="AH139" s="2" t="inlineStr">
        <is>
          <t>Vehicle Chassis Control Systems Vehicle Dynamics Autonomous Vehicles Human Driver Dynamics</t>
        </is>
      </c>
      <c r="AI139" s="2" t="inlineStr">
        <is>
          <t>Dynamics &amp; Vibration Systems, Measurements &amp; Controls Motorsports</t>
        </is>
      </c>
      <c r="AJ139" s="2" t="inlineStr">
        <is>
          <t>Dynamics &amp; Vibration Systems, Measurements &amp; Controls Motorsports</t>
        </is>
      </c>
      <c r="AK139" s="2" t="inlineStr">
        <is>
          <t>Ph.D. Mechanical Engineering, Florida Institute of Technology, 1995 M.S. General Engineering, University of Illinois, 1987 B.S. Agricultural Engineering, University of Illinois, 1985 MBA Florida Institute of Technology, 1990 M.A. History, Purdue University, 2008</t>
        </is>
      </c>
      <c r="AL139" s="2" t="inlineStr">
        <is>
          <t>Indiana Space Grant Consortium</t>
        </is>
      </c>
      <c r="AM139" s="3">
        <f>HYPERLINK("https://insgc.spacegrant.org/", "https://insgc.spacegrant.org/")</f>
        <v/>
      </c>
      <c r="AN139" s="2" t="inlineStr">
        <is>
          <t>Academic INSGC Internships</t>
        </is>
      </c>
      <c r="AO139" s="2" t="inlineStr"/>
      <c r="AP139" s="2" t="inlineStr"/>
      <c r="AQ139" s="2" t="inlineStr">
        <is>
          <t>NASA</t>
        </is>
      </c>
      <c r="AR139" s="2" t="inlineStr"/>
      <c r="AS139" s="2" t="inlineStr"/>
      <c r="AT139" s="2" t="inlineStr"/>
      <c r="AU139" s="2" t="b">
        <v>1</v>
      </c>
      <c r="AV139" s="3">
        <f>HYPERLINK("https://engineering.purdue.edu/ME/People/ptFaculty", "https://engineering.purdue.edu/ME/People/ptFaculty")</f>
        <v/>
      </c>
    </row>
    <row r="140">
      <c r="A140" s="2" t="inlineStr">
        <is>
          <t>John Eric Goff</t>
        </is>
      </c>
      <c r="B140" s="2" t="inlineStr">
        <is>
          <t>Purdue University</t>
        </is>
      </c>
      <c r="C140" s="3">
        <f>HYPERLINK("https://engineering.purdue.edu/ME/People/ptProfile?resource_id=340479", "https://engineering.purdue.edu/ME/People/ptProfile?resource_id=340479")</f>
        <v/>
      </c>
      <c r="D140" s="3">
        <f>HYPERLINK("https://scholar.google.com/citations?view_op=search_authors&amp;mauthors=John%20Eric%20Goff%20Purdue%20University", "Google Scholar Search")</f>
        <v/>
      </c>
      <c r="E140" s="2" t="inlineStr">
        <is>
          <t>Professor of Engineering Practice In Biomedical Engineering and Mechanical Engineering</t>
        </is>
      </c>
      <c r="F140" s="2" t="inlineStr">
        <is>
          <t>Mechanical Engineering</t>
        </is>
      </c>
      <c r="G140" s="2" t="inlineStr"/>
      <c r="H140" s="3">
        <f>HYPERLINK("mailto:goffje@purdue.edu", "goffje@purdue.edu")</f>
        <v/>
      </c>
      <c r="I140" s="2" t="n">
        <v>4</v>
      </c>
      <c r="J140" s="2" t="inlineStr">
        <is>
          <t>🔴 Tier 4: Robotics / Controls / Autonomy</t>
        </is>
      </c>
      <c r="K140" s="2" t="n">
        <v>1</v>
      </c>
      <c r="L140" s="2" t="inlineStr">
        <is>
          <t>fluid mechanics</t>
        </is>
      </c>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is>
          <t>Outstanding Mechanical Engineers Distinguished Engineering Alumni Honorary Doctorates Staff Awards Student Awards Distinguished...</t>
        </is>
      </c>
      <c r="AE140" s="2" t="inlineStr"/>
      <c r="AF140" s="2" t="inlineStr"/>
      <c r="AG140" s="2" t="inlineStr"/>
      <c r="AH140" s="2" t="inlineStr">
        <is>
          <t>Sports engineering (equipment, soccer balls, shoes, etc.) Biomedical engineering (athletic performance, safety) Physics</t>
        </is>
      </c>
      <c r="AI140" s="2" t="inlineStr">
        <is>
          <t>Fluid Mechanics</t>
        </is>
      </c>
      <c r="AJ140" s="2" t="inlineStr">
        <is>
          <t>Fluid Mechanics</t>
        </is>
      </c>
      <c r="AK140" s="2" t="inlineStr"/>
      <c r="AL140" s="2" t="inlineStr">
        <is>
          <t>Indiana Space Grant Consortium</t>
        </is>
      </c>
      <c r="AM140" s="3">
        <f>HYPERLINK("https://insgc.spacegrant.org/", "https://insgc.spacegrant.org/")</f>
        <v/>
      </c>
      <c r="AN140" s="2" t="inlineStr">
        <is>
          <t>Academic INSGC Internships</t>
        </is>
      </c>
      <c r="AO140" s="2" t="inlineStr"/>
      <c r="AP140" s="2" t="inlineStr"/>
      <c r="AQ140" s="2" t="inlineStr">
        <is>
          <t>NASA</t>
        </is>
      </c>
      <c r="AR140" s="2" t="inlineStr"/>
      <c r="AS140" s="2" t="inlineStr"/>
      <c r="AT140" s="2" t="inlineStr"/>
      <c r="AU140" s="2" t="b">
        <v>1</v>
      </c>
      <c r="AV140" s="3">
        <f>HYPERLINK("https://engineering.purdue.edu/ME/People/ptFaculty", "https://engineering.purdue.edu/ME/People/ptFaculty")</f>
        <v/>
      </c>
    </row>
    <row r="141">
      <c r="A141" s="2" t="inlineStr">
        <is>
          <t>Kevin Parsons</t>
        </is>
      </c>
      <c r="B141" s="2" t="inlineStr">
        <is>
          <t>Purdue University</t>
        </is>
      </c>
      <c r="C141" s="3">
        <f>HYPERLINK("https://engineering.purdue.edu/AAE/people/ptProfile?resource_id=316433", "https://engineering.purdue.edu/AAE/people/ptProfile?resource_id=316433")</f>
        <v/>
      </c>
      <c r="D141" s="3">
        <f>HYPERLINK("https://scholar.google.com/citations?view_op=search_authors&amp;mauthors=Kevin%20Parsons%20Purdue%20University", "Google Scholar Search")</f>
        <v/>
      </c>
      <c r="E141" s="2" t="inlineStr">
        <is>
          <t>Associate Professor Of Engineering Practice</t>
        </is>
      </c>
      <c r="F141" s="2" t="inlineStr">
        <is>
          <t>Aeronautics and Astronautics</t>
        </is>
      </c>
      <c r="G141" s="2" t="inlineStr"/>
      <c r="H141" s="3">
        <f>HYPERLINK("mailto:kkparson@purdue.edu", "kkparson@purdue.edu")</f>
        <v/>
      </c>
      <c r="I141" s="2" t="n">
        <v>4</v>
      </c>
      <c r="J141" s="2" t="inlineStr">
        <is>
          <t>🔴 Tier 4: Robotics / Controls / Autonomy</t>
        </is>
      </c>
      <c r="K141" s="2" t="n">
        <v>1</v>
      </c>
      <c r="L141" s="2" t="inlineStr">
        <is>
          <t>aerospace</t>
        </is>
      </c>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is>
          <t>system-of-systems architecting, systems engineering, program management, innovation, organizational effectiveness &amp; transformation Edit var myPronunciation=document.getElementById("pronunciation");
    function play() {
    myPronunciation.play();
    }
    function pause() {
    myPronunciation.pause();
    }</t>
        </is>
      </c>
      <c r="AI141" s="2" t="inlineStr"/>
      <c r="AJ141" s="2" t="inlineStr">
        <is>
          <t>system-of-systems architecting, systems engineering, program management, innovation, organizational effectiveness &amp; transformation Edit var myPronunciation=document.getElementById("pronunciation");
    function play() {
    myPronunciation.play();
    }
    function pause() {
    myPronunciation.pause();
    }</t>
        </is>
      </c>
      <c r="AK141" s="2" t="inlineStr">
        <is>
          <t>BS AAE, Purdue University (1996) MS AAE, Massachusetts Institute of Technology (1997) Professional Certificate, Design Thinking for Strategic Innovation, Stanford University (2015)</t>
        </is>
      </c>
      <c r="AL141" s="2" t="inlineStr">
        <is>
          <t>Indiana Space Grant Consortium</t>
        </is>
      </c>
      <c r="AM141" s="3">
        <f>HYPERLINK("https://insgc.spacegrant.org/", "https://insgc.spacegrant.org/")</f>
        <v/>
      </c>
      <c r="AN141" s="2" t="inlineStr">
        <is>
          <t>Academic INSGC Internships</t>
        </is>
      </c>
      <c r="AO141" s="2" t="inlineStr"/>
      <c r="AP141" s="2" t="inlineStr"/>
      <c r="AQ141" s="2" t="inlineStr">
        <is>
          <t>NASA</t>
        </is>
      </c>
      <c r="AR141" s="2" t="inlineStr"/>
      <c r="AS141" s="2" t="inlineStr"/>
      <c r="AT141" s="2" t="inlineStr">
        <is>
          <t>ARMS 3205</t>
        </is>
      </c>
      <c r="AU141" s="2" t="b">
        <v>1</v>
      </c>
      <c r="AV141" s="3">
        <f>HYPERLINK("https://engineering.purdue.edu/AAE/people/Faculty", "https://engineering.purdue.edu/AAE/people/Faculty")</f>
        <v/>
      </c>
    </row>
    <row r="142">
      <c r="A142" s="2" t="inlineStr">
        <is>
          <t>Lizhi Shang</t>
        </is>
      </c>
      <c r="B142" s="2" t="inlineStr">
        <is>
          <t>Purdue University</t>
        </is>
      </c>
      <c r="C142" s="3">
        <f>HYPERLINK("https://engineering.purdue.edu/ME/People/ptProfile?resource_id=84937", "https://engineering.purdue.edu/ME/People/ptProfile?resource_id=84937")</f>
        <v/>
      </c>
      <c r="D142" s="3">
        <f>HYPERLINK("https://scholar.google.com/citations?view_op=search_authors&amp;mauthors=Lizhi%20Shang%20Purdue%20University", "Google Scholar Search")</f>
        <v/>
      </c>
      <c r="E142" s="2" t="inlineStr">
        <is>
          <t>Associate Professor of Agricultural and Biological Engineering, and Mechanical Engineering</t>
        </is>
      </c>
      <c r="F142" s="2" t="inlineStr">
        <is>
          <t>Mechanical Engineering</t>
        </is>
      </c>
      <c r="G142" s="2" t="inlineStr"/>
      <c r="H142" s="3">
        <f>HYPERLINK("mailto:shangl@purdue.edu", "shangl@purdue.edu")</f>
        <v/>
      </c>
      <c r="I142" s="2" t="n">
        <v>4</v>
      </c>
      <c r="J142" s="2" t="inlineStr">
        <is>
          <t>🔴 Tier 4: Robotics / Controls / Autonomy</t>
        </is>
      </c>
      <c r="K142" s="2" t="n">
        <v>1</v>
      </c>
      <c r="L142" s="2" t="inlineStr">
        <is>
          <t>fluid mechanics</t>
        </is>
      </c>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is>
          <t>Outstanding Mechanical Engineers Distinguished Engineering Alumni Honorary Doctorates Staff Awards Student Awards Distinguished...</t>
        </is>
      </c>
      <c r="AE142" s="2" t="inlineStr">
        <is>
          <t>Contact us today to learn about the advantages of becoming a member at Maha Labs! Email Andrea Vacca: avacca@purdue.edu | If you are interested in a research position at the Maha Fluid Power Research Center, please email your application to Dr. Vacca ( avacca@purdue.edu ) or Dr. Shang ( shangl@purdue.edu ).</t>
        </is>
      </c>
      <c r="AF142" s="2" t="inlineStr"/>
      <c r="AG142" s="2" t="inlineStr"/>
      <c r="AH142" s="2" t="inlineStr">
        <is>
          <t>Designing and modeling hydrostatic pumps and motors Hydrodynamic pumps and turbines Fluid power systems Advanced computational and experimental tribological analysis</t>
        </is>
      </c>
      <c r="AI142" s="2" t="inlineStr">
        <is>
          <t>Fluid Mechanics</t>
        </is>
      </c>
      <c r="AJ142" s="2" t="inlineStr">
        <is>
          <t>Fluid Mechanics</t>
        </is>
      </c>
      <c r="AK142" s="2" t="inlineStr"/>
      <c r="AL142" s="2" t="inlineStr">
        <is>
          <t>Maha Fluid Power Research Center</t>
        </is>
      </c>
      <c r="AM142" s="3">
        <f>HYPERLINK("https://engineering.purdue.edu/Maha", "https://engineering.purdue.edu/Maha")</f>
        <v/>
      </c>
      <c r="AN142" s="2" t="inlineStr">
        <is>
          <t>Receive biannual updates on “Maha recommended” Purdue students looking for job opportunities Participate in a recruiting session during the annual Maha Fluid Power Conference Organize a private recruiting event at the Maha Fluid Power Research Center* | Receive biannual updates on “Maha recommended” Purdue students looking for job opportunities</t>
        </is>
      </c>
      <c r="AO142" s="2" t="inlineStr"/>
      <c r="AP142" s="2" t="inlineStr">
        <is>
          <t>Cluster</t>
        </is>
      </c>
      <c r="AQ142" s="2" t="inlineStr"/>
      <c r="AR142" s="2" t="inlineStr"/>
      <c r="AS142" s="2" t="inlineStr"/>
      <c r="AT142" s="2" t="inlineStr"/>
      <c r="AU142" s="2" t="b">
        <v>1</v>
      </c>
      <c r="AV142" s="3">
        <f>HYPERLINK("https://engineering.purdue.edu/ME/People/ptFaculty", "https://engineering.purdue.edu/ME/People/ptFaculty")</f>
        <v/>
      </c>
    </row>
    <row r="143">
      <c r="A143" s="2" t="inlineStr">
        <is>
          <t>Martin J. Corless</t>
        </is>
      </c>
      <c r="B143" s="2" t="inlineStr">
        <is>
          <t>Purdue University</t>
        </is>
      </c>
      <c r="C143" s="3">
        <f>HYPERLINK("https://engineering.purdue.edu/AAE/people/ptProfile?resource_id=1410", "https://engineering.purdue.edu/AAE/people/ptProfile?resource_id=1410")</f>
        <v/>
      </c>
      <c r="D143" s="3">
        <f>HYPERLINK("https://scholar.google.com/citations?view_op=search_authors&amp;mauthors=Martin%20J.%20Corless%20Purdue%20University", "Google Scholar Search")</f>
        <v/>
      </c>
      <c r="E143" s="2" t="inlineStr">
        <is>
          <t>Professor</t>
        </is>
      </c>
      <c r="F143" s="2" t="inlineStr">
        <is>
          <t>Aeronautics and Astronautics</t>
        </is>
      </c>
      <c r="G143" s="2" t="inlineStr"/>
      <c r="H143" s="3">
        <f>HYPERLINK("mailto:corless@purdue.edu", "corless@purdue.edu")</f>
        <v/>
      </c>
      <c r="I143" s="2" t="n">
        <v>4</v>
      </c>
      <c r="J143" s="2" t="inlineStr">
        <is>
          <t>🔴 Tier 4: Robotics / Controls / Autonomy</t>
        </is>
      </c>
      <c r="K143" s="2" t="n">
        <v>1</v>
      </c>
      <c r="L143" s="2" t="inlineStr">
        <is>
          <t>aerospace</t>
        </is>
      </c>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is>
          <t>C.T. Sun Research Award, School of Aeronautics and Astronautics, Purdue University, 2011 W.A. Gustafson Teaching Award for outs...</t>
        </is>
      </c>
      <c r="AE143" s="2" t="inlineStr"/>
      <c r="AF143" s="2" t="inlineStr"/>
      <c r="AG143" s="2" t="inlineStr"/>
      <c r="AH143" s="2" t="inlineStr">
        <is>
          <t>Dynamics Systems Control</t>
        </is>
      </c>
      <c r="AI143" s="2" t="inlineStr">
        <is>
          <t>Most of the research is concerned with obtaining tools which are useful in the analysis and control of systems containing significant uncertainty. These uncertainties are characterized deterministically, rather than stochastically. The systems treated can be linear or nonlinear and continuous-time or discrete-time. The major application of the research is in the analysis and control of aerospace and mechanical systems. In these applications, some of the research focuses on the effect of flexible elements.</t>
        </is>
      </c>
      <c r="AJ143" s="2" t="inlineStr">
        <is>
          <t>Most of the research is concerned with obtaining tools which are useful in the analysis and control of systems containing significant uncertainty. These uncertainties are characterized deterministically, rather than stochastically. The systems treated can be linear or nonlinear and continuous-time or discrete-time. The major application of the research is in the analysis and control of aerospac...</t>
        </is>
      </c>
      <c r="AK143" s="2" t="inlineStr">
        <is>
          <t>B. E., (1st honors), University College, Dublin, Ireland, Mechanical Engineering, 1977 Ph.D., University of California, Berkeley, Mechanical Engineering, 1984</t>
        </is>
      </c>
      <c r="AL143" s="2" t="inlineStr">
        <is>
          <t>Indiana Space Grant Consortium</t>
        </is>
      </c>
      <c r="AM143" s="3">
        <f>HYPERLINK("https://insgc.spacegrant.org/", "https://insgc.spacegrant.org/")</f>
        <v/>
      </c>
      <c r="AN143" s="2" t="inlineStr">
        <is>
          <t>Academic INSGC Internships</t>
        </is>
      </c>
      <c r="AO143" s="2" t="inlineStr"/>
      <c r="AP143" s="2" t="inlineStr"/>
      <c r="AQ143" s="2" t="inlineStr">
        <is>
          <t>NASA</t>
        </is>
      </c>
      <c r="AR143" s="2" t="inlineStr"/>
      <c r="AS143" s="2" t="inlineStr"/>
      <c r="AT143" s="2" t="inlineStr">
        <is>
          <t>ARMS 3335</t>
        </is>
      </c>
      <c r="AU143" s="2" t="b">
        <v>1</v>
      </c>
      <c r="AV143" s="3">
        <f>HYPERLINK("https://engineering.purdue.edu/AAE/people/Faculty", "https://engineering.purdue.edu/AAE/people/Faculty")</f>
        <v/>
      </c>
    </row>
    <row r="144">
      <c r="A144" s="2" t="inlineStr">
        <is>
          <t>Mina Karimi</t>
        </is>
      </c>
      <c r="B144" s="2" t="inlineStr">
        <is>
          <t>Purdue University</t>
        </is>
      </c>
      <c r="C144" s="3">
        <f>HYPERLINK("https://engineering.purdue.edu/ME/People/ptProfile?resource_id=324781", "https://engineering.purdue.edu/ME/People/ptProfile?resource_id=324781")</f>
        <v/>
      </c>
      <c r="D144" s="3">
        <f>HYPERLINK("https://scholar.google.com/citations?view_op=search_authors&amp;mauthors=Mina%20Karimi%20Purdue%20University", "Google Scholar Search")</f>
        <v/>
      </c>
      <c r="E144" s="2" t="inlineStr">
        <is>
          <t>Assistant Professor of Mechanical Engineering</t>
        </is>
      </c>
      <c r="F144" s="2" t="inlineStr">
        <is>
          <t>Mechanical Engineering</t>
        </is>
      </c>
      <c r="G144" s="2" t="inlineStr"/>
      <c r="H144" s="3">
        <f>HYPERLINK("mailto:karimi2@purdue.edu", "karimi2@purdue.edu")</f>
        <v/>
      </c>
      <c r="I144" s="2" t="n">
        <v>4</v>
      </c>
      <c r="J144" s="2" t="inlineStr">
        <is>
          <t>🔴 Tier 4: Robotics / Controls / Autonomy</t>
        </is>
      </c>
      <c r="K144" s="2" t="n">
        <v>1</v>
      </c>
      <c r="L144" s="2" t="inlineStr">
        <is>
          <t>fluid mechanics</t>
        </is>
      </c>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is>
          <t>Outstanding Mechanical Engineers Distinguished Engineering Alumni Honorary Doctorates Staff Awards Student Awards Distinguished...</t>
        </is>
      </c>
      <c r="AE144" s="2" t="inlineStr">
        <is>
          <t>Phone: +1 (765) 494-3975 Email: future-engineers@purdue.edu | Phone: +1 (765) 494-4873 Email: EngrGrad@purdue.edu</t>
        </is>
      </c>
      <c r="AF144" s="2" t="inlineStr"/>
      <c r="AG144" s="2" t="inlineStr"/>
      <c r="AH144" s="2" t="inlineStr">
        <is>
          <t>Mechanics and physics of porous media Multiscale modeling Inverse problems Scientific machine learning Uncertainty quantification</t>
        </is>
      </c>
      <c r="AI144" s="2" t="inlineStr">
        <is>
          <t>Fluid Mechanics</t>
        </is>
      </c>
      <c r="AJ144" s="2" t="inlineStr">
        <is>
          <t>Fluid Mechanics</t>
        </is>
      </c>
      <c r="AK144" s="2" t="inlineStr">
        <is>
          <t>Postdoctoral researcher, California Institute of Technology, '25 Ph.D., Carnegie Mellon University, '22 M.S., University of Tehran, '18 B.S., University of Tehran, '15</t>
        </is>
      </c>
      <c r="AL144" s="2" t="inlineStr">
        <is>
          <t>Karimi Lab Website</t>
        </is>
      </c>
      <c r="AM144" s="3">
        <f>HYPERLINK("https://engineering.purdue.edu/karimi", "https://engineering.purdue.edu/karimi")</f>
        <v/>
      </c>
      <c r="AN144"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44" s="2" t="inlineStr"/>
      <c r="AP144" s="2" t="inlineStr"/>
      <c r="AQ144" s="2" t="inlineStr">
        <is>
          <t>DOE</t>
        </is>
      </c>
      <c r="AR144" s="2" t="inlineStr"/>
      <c r="AS144" s="2" t="inlineStr"/>
      <c r="AT144" s="2" t="inlineStr">
        <is>
          <t>FLEX 1041C</t>
        </is>
      </c>
      <c r="AU144" s="2" t="b">
        <v>1</v>
      </c>
      <c r="AV144" s="3">
        <f>HYPERLINK("https://engineering.purdue.edu/ME/People/ptFaculty", "https://engineering.purdue.edu/ME/People/ptFaculty")</f>
        <v/>
      </c>
    </row>
    <row r="145">
      <c r="A145" s="2" t="inlineStr">
        <is>
          <t>Sohel Anwar</t>
        </is>
      </c>
      <c r="B145" s="2" t="inlineStr">
        <is>
          <t>Purdue University</t>
        </is>
      </c>
      <c r="C145" s="3">
        <f>HYPERLINK("https://engineering.purdue.edu/ME/People/ptProfile?resource_id=292617", "https://engineering.purdue.edu/ME/People/ptProfile?resource_id=292617")</f>
        <v/>
      </c>
      <c r="D145" s="3">
        <f>HYPERLINK("https://scholar.google.com/citations?view_op=search_authors&amp;mauthors=Sohel%20Anwar%20Purdue%20University", "Google Scholar Search")</f>
        <v/>
      </c>
      <c r="E145" s="2" t="inlineStr">
        <is>
          <t>Professor of Mechanical Engineering</t>
        </is>
      </c>
      <c r="F145" s="2" t="inlineStr">
        <is>
          <t>Mechanical Engineering</t>
        </is>
      </c>
      <c r="G145" s="2" t="inlineStr"/>
      <c r="H145" s="3">
        <f>HYPERLINK("mailto:sanwar@purdue.edu", "sanwar@purdue.edu")</f>
        <v/>
      </c>
      <c r="I145" s="2" t="n">
        <v>4</v>
      </c>
      <c r="J145" s="2" t="inlineStr">
        <is>
          <t>🔴 Tier 4: Robotics / Controls / Autonomy</t>
        </is>
      </c>
      <c r="K145" s="2" t="n">
        <v>1</v>
      </c>
      <c r="L145" s="2" t="inlineStr">
        <is>
          <t>autonomous</t>
        </is>
      </c>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is>
          <t>Outstanding Mechanical Engineers Distinguished Engineering Alumni Honorary Doctorates Staff Awards Student Awards Distinguished...</t>
        </is>
      </c>
      <c r="AE145" s="2" t="inlineStr"/>
      <c r="AF145" s="2" t="inlineStr"/>
      <c r="AG145" s="2" t="inlineStr"/>
      <c r="AH145" s="2" t="inlineStr">
        <is>
          <t>Perception and Control for Autonomous Vehicles Novel Sensor Development and Data Fusion Advanced Diagnostics and Management of Large Capacity Batteries Biomechanical Device Design and Control Wind Turbine Modeling and Controls Electrified Powertrains / Sustainable Mobility Systems</t>
        </is>
      </c>
      <c r="AI145" s="2" t="inlineStr"/>
      <c r="AJ145" s="2" t="inlineStr">
        <is>
          <t>Perception and Control for Autonomous Vehicles Novel Sensor Development and Data Fusion Advanced Diagnostics and Management of Large Capacity Batteries Biomechanical Device Design and Control Wind Turbine Modeling and Controls Electrified Powertrains / Sustainable Mobility Systems</t>
        </is>
      </c>
      <c r="AK145" s="2" t="inlineStr">
        <is>
          <t>BS Mechanical Engineering, Bangladesh University of Engineering and Technology, 03/1986 MSc Mechanical Engineering, Bangladesh University of Engineering and Technology, 08/1988 MS Mechanical Engineering, Florida State University, 08/1990 Ph.D. Mechanical Engineering, University of Arizona, 1995</t>
        </is>
      </c>
      <c r="AL145" s="2" t="inlineStr">
        <is>
          <t>Indiana Space Grant Consortium</t>
        </is>
      </c>
      <c r="AM145" s="3">
        <f>HYPERLINK("https://insgc.spacegrant.org/", "https://insgc.spacegrant.org/")</f>
        <v/>
      </c>
      <c r="AN145" s="2" t="inlineStr">
        <is>
          <t>Academic INSGC Internships</t>
        </is>
      </c>
      <c r="AO145" s="2" t="inlineStr"/>
      <c r="AP145" s="2" t="inlineStr"/>
      <c r="AQ145" s="2" t="inlineStr">
        <is>
          <t>NASA</t>
        </is>
      </c>
      <c r="AR145" s="2" t="inlineStr"/>
      <c r="AS145" s="2" t="inlineStr"/>
      <c r="AT145" s="2" t="inlineStr">
        <is>
          <t>SL 260F</t>
        </is>
      </c>
      <c r="AU145" s="2" t="b">
        <v>1</v>
      </c>
      <c r="AV145" s="3">
        <f>HYPERLINK("https://engineering.purdue.edu/ME/People/ptFaculty", "https://engineering.purdue.edu/ME/People/ptFaculty")</f>
        <v/>
      </c>
    </row>
    <row r="146">
      <c r="A146" s="2" t="inlineStr">
        <is>
          <t>Takashi Tanaka</t>
        </is>
      </c>
      <c r="B146" s="2" t="inlineStr">
        <is>
          <t>Purdue University</t>
        </is>
      </c>
      <c r="C146" s="3">
        <f>HYPERLINK("https://engineering.purdue.edu/AAE/people/ptProfile?resource_id=308322", "https://engineering.purdue.edu/AAE/people/ptProfile?resource_id=308322")</f>
        <v/>
      </c>
      <c r="D146" s="3">
        <f>HYPERLINK("https://scholar.google.com/citations?view_op=search_authors&amp;mauthors=Takashi%20Tanaka%20Purdue%20University", "Google Scholar Search")</f>
        <v/>
      </c>
      <c r="E146" s="2" t="inlineStr">
        <is>
          <t>Associate Professor of Aeronautics and Astronautics, and of Electrical and Computer Engineering</t>
        </is>
      </c>
      <c r="F146" s="2" t="inlineStr">
        <is>
          <t>Aeronautics and Astronautics</t>
        </is>
      </c>
      <c r="G146" s="2" t="inlineStr"/>
      <c r="H146" s="3">
        <f>HYPERLINK("mailto:webmaster-eng@purdue.edu", "webmaster-eng@purdue.edu")</f>
        <v/>
      </c>
      <c r="I146" s="2" t="n">
        <v>4</v>
      </c>
      <c r="J146" s="2" t="inlineStr">
        <is>
          <t>🔴 Tier 4: Robotics / Controls / Autonomy</t>
        </is>
      </c>
      <c r="K146" s="2" t="n">
        <v>1</v>
      </c>
      <c r="L146" s="2" t="inlineStr">
        <is>
          <t>optimal control</t>
        </is>
      </c>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is>
          <t>Information theory in control, security and privacy in networked control systems, robust and stochastic optimal control, dynamic market design, neuromorphic sensing. Edit var myPronunciation=document.getElementById("pronunciation");
    function play() {
    myPronunciation.play();
    }
    function pause() {
    myPronunciation.pause();
    }</t>
        </is>
      </c>
      <c r="AI146" s="2" t="inlineStr"/>
      <c r="AJ146" s="2" t="inlineStr">
        <is>
          <t>Information theory in control, security and privacy in networked control systems, robust and stochastic optimal control, dynamic market design, neuromorphic sensing. Edit var myPronunciation=document.getElementById("pronunciation");
    function play() {
    myPronunciation.play();
    }
    function pause() {
    myPronunciation.pause();
    }</t>
        </is>
      </c>
      <c r="AK146" s="2" t="inlineStr">
        <is>
          <t>BS, University of Tokyo, 2006 MS, University of Illinois at Urbana-Champaign, 2009 PhD, University of Illinois at Urbana-Champaign, 2012</t>
        </is>
      </c>
      <c r="AL146" s="2" t="inlineStr">
        <is>
          <t>Indiana Space Grant Consortium</t>
        </is>
      </c>
      <c r="AM146" s="3">
        <f>HYPERLINK("https://insgc.spacegrant.org/", "https://insgc.spacegrant.org/")</f>
        <v/>
      </c>
      <c r="AN146" s="2" t="inlineStr">
        <is>
          <t>Academic INSGC Internships</t>
        </is>
      </c>
      <c r="AO146" s="2" t="inlineStr"/>
      <c r="AP146" s="2" t="inlineStr"/>
      <c r="AQ146" s="2" t="inlineStr">
        <is>
          <t>NASA</t>
        </is>
      </c>
      <c r="AR146" s="2" t="inlineStr"/>
      <c r="AS146" s="2" t="inlineStr"/>
      <c r="AT146" s="2" t="inlineStr">
        <is>
          <t>ARMS 3327</t>
        </is>
      </c>
      <c r="AU146" s="2" t="b">
        <v>1</v>
      </c>
      <c r="AV146" s="3">
        <f>HYPERLINK("https://engineering.purdue.edu/AAE/people/Faculty", "https://engineering.purdue.edu/AAE/people/Faculty")</f>
        <v/>
      </c>
    </row>
    <row r="147">
      <c r="A147" s="2" t="inlineStr">
        <is>
          <t>William Crossley</t>
        </is>
      </c>
      <c r="B147" s="2" t="inlineStr">
        <is>
          <t>Purdue University</t>
        </is>
      </c>
      <c r="C147" s="3">
        <f>HYPERLINK("https://engineering.purdue.edu/AAE/people/ptProfile?resource_id=1305", "https://engineering.purdue.edu/AAE/people/ptProfile?resource_id=1305")</f>
        <v/>
      </c>
      <c r="D147" s="3">
        <f>HYPERLINK("https://scholar.google.com/citations?view_op=search_authors&amp;mauthors=William%20Crossley%20Purdue%20University", "Google Scholar Search")</f>
        <v/>
      </c>
      <c r="E147" s="2" t="inlineStr">
        <is>
          <t>Professor; Ph.D., Arizona State, 1995. Optimization and design methods for aerospace systems, systems of systems, design under uncertainty, environmental impact of aviation.</t>
        </is>
      </c>
      <c r="F147" s="2" t="inlineStr">
        <is>
          <t>Aeronautics and Astronautics</t>
        </is>
      </c>
      <c r="G147" s="2" t="inlineStr"/>
      <c r="H147" s="3">
        <f>HYPERLINK("mailto:asherwo@purdue.edu", "asherwo@purdue.edu")</f>
        <v/>
      </c>
      <c r="I147" s="2" t="n">
        <v>4</v>
      </c>
      <c r="J147" s="2" t="inlineStr">
        <is>
          <t>🔴 Tier 4: Robotics / Controls / Autonomy</t>
        </is>
      </c>
      <c r="K147" s="2" t="n">
        <v>1</v>
      </c>
      <c r="L147" s="2" t="inlineStr">
        <is>
          <t>aerospace</t>
        </is>
      </c>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is>
          <t>Awards Purdue Book of Great Teachers, 2013 AAE Elmer Bruhn Teaching Award, 2012 AAE Elmer Bruhn Teaching Award, 2009 Purdue Uni...</t>
        </is>
      </c>
      <c r="AE147" s="2" t="inlineStr"/>
      <c r="AF147" s="2" t="inlineStr"/>
      <c r="AG147" s="2" t="inlineStr"/>
      <c r="AH147" s="2" t="inlineStr">
        <is>
          <t>Optimization and design methods for aerospace systems Systems of systems Design under uncertainty Environmental impact of aviation</t>
        </is>
      </c>
      <c r="AI147" s="2" t="inlineStr">
        <is>
          <t>Professor Crossley's current research interests are in the area of design methodologies and multidisciplinary design optimization, with emphasis for aerospace engineering systems design problems.</t>
        </is>
      </c>
      <c r="AJ147" s="2" t="inlineStr">
        <is>
          <t>Professor Crossley's current research interests are in the area of design methodologies and multidisciplinary design optimization, with emphasis for aerospace engineering systems design problems.</t>
        </is>
      </c>
      <c r="AK147" s="2" t="inlineStr">
        <is>
          <t>B.S.E. University of Michigan, Aerospace Engineering, 1990 M. S. Arizona State University, Aerospace Engineering, 1992 Ph.D. Arizona State University, Aerospace Engineering, 1995</t>
        </is>
      </c>
      <c r="AL147" s="2" t="inlineStr">
        <is>
          <t>Indiana Space Grant Consortium</t>
        </is>
      </c>
      <c r="AM147" s="3">
        <f>HYPERLINK("https://insgc.spacegrant.org/", "https://insgc.spacegrant.org/")</f>
        <v/>
      </c>
      <c r="AN147" s="2" t="inlineStr">
        <is>
          <t>Academic INSGC Internships</t>
        </is>
      </c>
      <c r="AO147" s="2" t="inlineStr"/>
      <c r="AP147" s="2" t="inlineStr"/>
      <c r="AQ147" s="2" t="inlineStr">
        <is>
          <t>NASA</t>
        </is>
      </c>
      <c r="AR147" s="2" t="inlineStr"/>
      <c r="AS147" s="2" t="inlineStr"/>
      <c r="AT147" s="2" t="inlineStr">
        <is>
          <t>ARMS 2023</t>
        </is>
      </c>
      <c r="AU147" s="2" t="b">
        <v>1</v>
      </c>
      <c r="AV147" s="3">
        <f>HYPERLINK("https://engineering.purdue.edu/AAE/people/Faculty", "https://engineering.purdue.edu/AAE/people/Faculty")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AM7" r:id="rId44"/>
    <hyperlink xmlns:r="http://schemas.openxmlformats.org/officeDocument/2006/relationships" ref="AV7" r:id="rId45"/>
    <hyperlink xmlns:r="http://schemas.openxmlformats.org/officeDocument/2006/relationships" ref="C8" r:id="rId46"/>
    <hyperlink xmlns:r="http://schemas.openxmlformats.org/officeDocument/2006/relationships" ref="D8" r:id="rId47"/>
    <hyperlink xmlns:r="http://schemas.openxmlformats.org/officeDocument/2006/relationships" ref="H8" r:id="rId48"/>
    <hyperlink xmlns:r="http://schemas.openxmlformats.org/officeDocument/2006/relationships" ref="P8" r:id="rId49"/>
    <hyperlink xmlns:r="http://schemas.openxmlformats.org/officeDocument/2006/relationships" ref="T8" r:id="rId50"/>
    <hyperlink xmlns:r="http://schemas.openxmlformats.org/officeDocument/2006/relationships" ref="X8" r:id="rId51"/>
    <hyperlink xmlns:r="http://schemas.openxmlformats.org/officeDocument/2006/relationships" ref="AM8" r:id="rId52"/>
    <hyperlink xmlns:r="http://schemas.openxmlformats.org/officeDocument/2006/relationships" ref="AV8" r:id="rId53"/>
    <hyperlink xmlns:r="http://schemas.openxmlformats.org/officeDocument/2006/relationships" ref="C9" r:id="rId54"/>
    <hyperlink xmlns:r="http://schemas.openxmlformats.org/officeDocument/2006/relationships" ref="D9" r:id="rId55"/>
    <hyperlink xmlns:r="http://schemas.openxmlformats.org/officeDocument/2006/relationships" ref="H9" r:id="rId56"/>
    <hyperlink xmlns:r="http://schemas.openxmlformats.org/officeDocument/2006/relationships" ref="P9" r:id="rId57"/>
    <hyperlink xmlns:r="http://schemas.openxmlformats.org/officeDocument/2006/relationships" ref="T9" r:id="rId58"/>
    <hyperlink xmlns:r="http://schemas.openxmlformats.org/officeDocument/2006/relationships" ref="X9" r:id="rId59"/>
    <hyperlink xmlns:r="http://schemas.openxmlformats.org/officeDocument/2006/relationships" ref="AM9" r:id="rId60"/>
    <hyperlink xmlns:r="http://schemas.openxmlformats.org/officeDocument/2006/relationships" ref="AV9" r:id="rId61"/>
    <hyperlink xmlns:r="http://schemas.openxmlformats.org/officeDocument/2006/relationships" ref="C10" r:id="rId62"/>
    <hyperlink xmlns:r="http://schemas.openxmlformats.org/officeDocument/2006/relationships" ref="D10" r:id="rId63"/>
    <hyperlink xmlns:r="http://schemas.openxmlformats.org/officeDocument/2006/relationships" ref="H10" r:id="rId64"/>
    <hyperlink xmlns:r="http://schemas.openxmlformats.org/officeDocument/2006/relationships" ref="P10" r:id="rId65"/>
    <hyperlink xmlns:r="http://schemas.openxmlformats.org/officeDocument/2006/relationships" ref="T10" r:id="rId66"/>
    <hyperlink xmlns:r="http://schemas.openxmlformats.org/officeDocument/2006/relationships" ref="X10" r:id="rId67"/>
    <hyperlink xmlns:r="http://schemas.openxmlformats.org/officeDocument/2006/relationships" ref="AM10" r:id="rId68"/>
    <hyperlink xmlns:r="http://schemas.openxmlformats.org/officeDocument/2006/relationships" ref="AV10" r:id="rId69"/>
    <hyperlink xmlns:r="http://schemas.openxmlformats.org/officeDocument/2006/relationships" ref="C11" r:id="rId70"/>
    <hyperlink xmlns:r="http://schemas.openxmlformats.org/officeDocument/2006/relationships" ref="D11" r:id="rId71"/>
    <hyperlink xmlns:r="http://schemas.openxmlformats.org/officeDocument/2006/relationships" ref="H11" r:id="rId72"/>
    <hyperlink xmlns:r="http://schemas.openxmlformats.org/officeDocument/2006/relationships" ref="P11" r:id="rId73"/>
    <hyperlink xmlns:r="http://schemas.openxmlformats.org/officeDocument/2006/relationships" ref="T11" r:id="rId74"/>
    <hyperlink xmlns:r="http://schemas.openxmlformats.org/officeDocument/2006/relationships" ref="X11" r:id="rId75"/>
    <hyperlink xmlns:r="http://schemas.openxmlformats.org/officeDocument/2006/relationships" ref="AM11" r:id="rId76"/>
    <hyperlink xmlns:r="http://schemas.openxmlformats.org/officeDocument/2006/relationships" ref="AV11" r:id="rId77"/>
    <hyperlink xmlns:r="http://schemas.openxmlformats.org/officeDocument/2006/relationships" ref="C12" r:id="rId78"/>
    <hyperlink xmlns:r="http://schemas.openxmlformats.org/officeDocument/2006/relationships" ref="D12" r:id="rId79"/>
    <hyperlink xmlns:r="http://schemas.openxmlformats.org/officeDocument/2006/relationships" ref="H12" r:id="rId80"/>
    <hyperlink xmlns:r="http://schemas.openxmlformats.org/officeDocument/2006/relationships" ref="P12" r:id="rId81"/>
    <hyperlink xmlns:r="http://schemas.openxmlformats.org/officeDocument/2006/relationships" ref="T12" r:id="rId82"/>
    <hyperlink xmlns:r="http://schemas.openxmlformats.org/officeDocument/2006/relationships" ref="X12" r:id="rId83"/>
    <hyperlink xmlns:r="http://schemas.openxmlformats.org/officeDocument/2006/relationships" ref="AM12" r:id="rId84"/>
    <hyperlink xmlns:r="http://schemas.openxmlformats.org/officeDocument/2006/relationships" ref="AV12" r:id="rId85"/>
    <hyperlink xmlns:r="http://schemas.openxmlformats.org/officeDocument/2006/relationships" ref="C13" r:id="rId86"/>
    <hyperlink xmlns:r="http://schemas.openxmlformats.org/officeDocument/2006/relationships" ref="D13" r:id="rId87"/>
    <hyperlink xmlns:r="http://schemas.openxmlformats.org/officeDocument/2006/relationships" ref="H13" r:id="rId88"/>
    <hyperlink xmlns:r="http://schemas.openxmlformats.org/officeDocument/2006/relationships" ref="P13" r:id="rId89"/>
    <hyperlink xmlns:r="http://schemas.openxmlformats.org/officeDocument/2006/relationships" ref="T13" r:id="rId90"/>
    <hyperlink xmlns:r="http://schemas.openxmlformats.org/officeDocument/2006/relationships" ref="X13" r:id="rId91"/>
    <hyperlink xmlns:r="http://schemas.openxmlformats.org/officeDocument/2006/relationships" ref="AM13" r:id="rId92"/>
    <hyperlink xmlns:r="http://schemas.openxmlformats.org/officeDocument/2006/relationships" ref="AV13" r:id="rId93"/>
    <hyperlink xmlns:r="http://schemas.openxmlformats.org/officeDocument/2006/relationships" ref="C14" r:id="rId94"/>
    <hyperlink xmlns:r="http://schemas.openxmlformats.org/officeDocument/2006/relationships" ref="D14" r:id="rId95"/>
    <hyperlink xmlns:r="http://schemas.openxmlformats.org/officeDocument/2006/relationships" ref="H14" r:id="rId96"/>
    <hyperlink xmlns:r="http://schemas.openxmlformats.org/officeDocument/2006/relationships" ref="P14" r:id="rId97"/>
    <hyperlink xmlns:r="http://schemas.openxmlformats.org/officeDocument/2006/relationships" ref="T14" r:id="rId98"/>
    <hyperlink xmlns:r="http://schemas.openxmlformats.org/officeDocument/2006/relationships" ref="X14" r:id="rId99"/>
    <hyperlink xmlns:r="http://schemas.openxmlformats.org/officeDocument/2006/relationships" ref="AM14" r:id="rId100"/>
    <hyperlink xmlns:r="http://schemas.openxmlformats.org/officeDocument/2006/relationships" ref="AV14" r:id="rId101"/>
    <hyperlink xmlns:r="http://schemas.openxmlformats.org/officeDocument/2006/relationships" ref="C15" r:id="rId102"/>
    <hyperlink xmlns:r="http://schemas.openxmlformats.org/officeDocument/2006/relationships" ref="D15" r:id="rId103"/>
    <hyperlink xmlns:r="http://schemas.openxmlformats.org/officeDocument/2006/relationships" ref="H15" r:id="rId104"/>
    <hyperlink xmlns:r="http://schemas.openxmlformats.org/officeDocument/2006/relationships" ref="P15" r:id="rId105"/>
    <hyperlink xmlns:r="http://schemas.openxmlformats.org/officeDocument/2006/relationships" ref="T15" r:id="rId106"/>
    <hyperlink xmlns:r="http://schemas.openxmlformats.org/officeDocument/2006/relationships" ref="X15" r:id="rId107"/>
    <hyperlink xmlns:r="http://schemas.openxmlformats.org/officeDocument/2006/relationships" ref="AM15" r:id="rId108"/>
    <hyperlink xmlns:r="http://schemas.openxmlformats.org/officeDocument/2006/relationships" ref="AV15" r:id="rId109"/>
    <hyperlink xmlns:r="http://schemas.openxmlformats.org/officeDocument/2006/relationships" ref="C16" r:id="rId110"/>
    <hyperlink xmlns:r="http://schemas.openxmlformats.org/officeDocument/2006/relationships" ref="D16" r:id="rId111"/>
    <hyperlink xmlns:r="http://schemas.openxmlformats.org/officeDocument/2006/relationships" ref="H16" r:id="rId112"/>
    <hyperlink xmlns:r="http://schemas.openxmlformats.org/officeDocument/2006/relationships" ref="P16" r:id="rId113"/>
    <hyperlink xmlns:r="http://schemas.openxmlformats.org/officeDocument/2006/relationships" ref="T16" r:id="rId114"/>
    <hyperlink xmlns:r="http://schemas.openxmlformats.org/officeDocument/2006/relationships" ref="X16" r:id="rId115"/>
    <hyperlink xmlns:r="http://schemas.openxmlformats.org/officeDocument/2006/relationships" ref="AM16" r:id="rId116"/>
    <hyperlink xmlns:r="http://schemas.openxmlformats.org/officeDocument/2006/relationships" ref="AV16" r:id="rId117"/>
    <hyperlink xmlns:r="http://schemas.openxmlformats.org/officeDocument/2006/relationships" ref="C17" r:id="rId118"/>
    <hyperlink xmlns:r="http://schemas.openxmlformats.org/officeDocument/2006/relationships" ref="D17" r:id="rId119"/>
    <hyperlink xmlns:r="http://schemas.openxmlformats.org/officeDocument/2006/relationships" ref="H17" r:id="rId120"/>
    <hyperlink xmlns:r="http://schemas.openxmlformats.org/officeDocument/2006/relationships" ref="P17" r:id="rId121"/>
    <hyperlink xmlns:r="http://schemas.openxmlformats.org/officeDocument/2006/relationships" ref="T17" r:id="rId122"/>
    <hyperlink xmlns:r="http://schemas.openxmlformats.org/officeDocument/2006/relationships" ref="X17" r:id="rId123"/>
    <hyperlink xmlns:r="http://schemas.openxmlformats.org/officeDocument/2006/relationships" ref="AM17" r:id="rId124"/>
    <hyperlink xmlns:r="http://schemas.openxmlformats.org/officeDocument/2006/relationships" ref="AV17" r:id="rId125"/>
    <hyperlink xmlns:r="http://schemas.openxmlformats.org/officeDocument/2006/relationships" ref="C18" r:id="rId126"/>
    <hyperlink xmlns:r="http://schemas.openxmlformats.org/officeDocument/2006/relationships" ref="D18" r:id="rId127"/>
    <hyperlink xmlns:r="http://schemas.openxmlformats.org/officeDocument/2006/relationships" ref="H18" r:id="rId128"/>
    <hyperlink xmlns:r="http://schemas.openxmlformats.org/officeDocument/2006/relationships" ref="P18" r:id="rId129"/>
    <hyperlink xmlns:r="http://schemas.openxmlformats.org/officeDocument/2006/relationships" ref="T18" r:id="rId130"/>
    <hyperlink xmlns:r="http://schemas.openxmlformats.org/officeDocument/2006/relationships" ref="X18" r:id="rId131"/>
    <hyperlink xmlns:r="http://schemas.openxmlformats.org/officeDocument/2006/relationships" ref="AM18" r:id="rId132"/>
    <hyperlink xmlns:r="http://schemas.openxmlformats.org/officeDocument/2006/relationships" ref="AV18" r:id="rId133"/>
    <hyperlink xmlns:r="http://schemas.openxmlformats.org/officeDocument/2006/relationships" ref="C19" r:id="rId134"/>
    <hyperlink xmlns:r="http://schemas.openxmlformats.org/officeDocument/2006/relationships" ref="D19" r:id="rId135"/>
    <hyperlink xmlns:r="http://schemas.openxmlformats.org/officeDocument/2006/relationships" ref="H19" r:id="rId136"/>
    <hyperlink xmlns:r="http://schemas.openxmlformats.org/officeDocument/2006/relationships" ref="P19" r:id="rId137"/>
    <hyperlink xmlns:r="http://schemas.openxmlformats.org/officeDocument/2006/relationships" ref="T19" r:id="rId138"/>
    <hyperlink xmlns:r="http://schemas.openxmlformats.org/officeDocument/2006/relationships" ref="X19" r:id="rId139"/>
    <hyperlink xmlns:r="http://schemas.openxmlformats.org/officeDocument/2006/relationships" ref="AM19" r:id="rId140"/>
    <hyperlink xmlns:r="http://schemas.openxmlformats.org/officeDocument/2006/relationships" ref="AV19" r:id="rId141"/>
    <hyperlink xmlns:r="http://schemas.openxmlformats.org/officeDocument/2006/relationships" ref="C20" r:id="rId142"/>
    <hyperlink xmlns:r="http://schemas.openxmlformats.org/officeDocument/2006/relationships" ref="D20" r:id="rId143"/>
    <hyperlink xmlns:r="http://schemas.openxmlformats.org/officeDocument/2006/relationships" ref="H20" r:id="rId144"/>
    <hyperlink xmlns:r="http://schemas.openxmlformats.org/officeDocument/2006/relationships" ref="AM20" r:id="rId145"/>
    <hyperlink xmlns:r="http://schemas.openxmlformats.org/officeDocument/2006/relationships" ref="AV20" r:id="rId146"/>
    <hyperlink xmlns:r="http://schemas.openxmlformats.org/officeDocument/2006/relationships" ref="C21" r:id="rId147"/>
    <hyperlink xmlns:r="http://schemas.openxmlformats.org/officeDocument/2006/relationships" ref="D21" r:id="rId148"/>
    <hyperlink xmlns:r="http://schemas.openxmlformats.org/officeDocument/2006/relationships" ref="H21" r:id="rId149"/>
    <hyperlink xmlns:r="http://schemas.openxmlformats.org/officeDocument/2006/relationships" ref="P21" r:id="rId150"/>
    <hyperlink xmlns:r="http://schemas.openxmlformats.org/officeDocument/2006/relationships" ref="T21" r:id="rId151"/>
    <hyperlink xmlns:r="http://schemas.openxmlformats.org/officeDocument/2006/relationships" ref="X21" r:id="rId152"/>
    <hyperlink xmlns:r="http://schemas.openxmlformats.org/officeDocument/2006/relationships" ref="AM21" r:id="rId153"/>
    <hyperlink xmlns:r="http://schemas.openxmlformats.org/officeDocument/2006/relationships" ref="AV21" r:id="rId154"/>
    <hyperlink xmlns:r="http://schemas.openxmlformats.org/officeDocument/2006/relationships" ref="C22" r:id="rId155"/>
    <hyperlink xmlns:r="http://schemas.openxmlformats.org/officeDocument/2006/relationships" ref="D22" r:id="rId156"/>
    <hyperlink xmlns:r="http://schemas.openxmlformats.org/officeDocument/2006/relationships" ref="H22" r:id="rId157"/>
    <hyperlink xmlns:r="http://schemas.openxmlformats.org/officeDocument/2006/relationships" ref="P22" r:id="rId158"/>
    <hyperlink xmlns:r="http://schemas.openxmlformats.org/officeDocument/2006/relationships" ref="T22" r:id="rId159"/>
    <hyperlink xmlns:r="http://schemas.openxmlformats.org/officeDocument/2006/relationships" ref="X22" r:id="rId160"/>
    <hyperlink xmlns:r="http://schemas.openxmlformats.org/officeDocument/2006/relationships" ref="AM22" r:id="rId161"/>
    <hyperlink xmlns:r="http://schemas.openxmlformats.org/officeDocument/2006/relationships" ref="AV22" r:id="rId162"/>
    <hyperlink xmlns:r="http://schemas.openxmlformats.org/officeDocument/2006/relationships" ref="C23" r:id="rId163"/>
    <hyperlink xmlns:r="http://schemas.openxmlformats.org/officeDocument/2006/relationships" ref="D23" r:id="rId164"/>
    <hyperlink xmlns:r="http://schemas.openxmlformats.org/officeDocument/2006/relationships" ref="H23" r:id="rId165"/>
    <hyperlink xmlns:r="http://schemas.openxmlformats.org/officeDocument/2006/relationships" ref="P23" r:id="rId166"/>
    <hyperlink xmlns:r="http://schemas.openxmlformats.org/officeDocument/2006/relationships" ref="T23" r:id="rId167"/>
    <hyperlink xmlns:r="http://schemas.openxmlformats.org/officeDocument/2006/relationships" ref="X23" r:id="rId168"/>
    <hyperlink xmlns:r="http://schemas.openxmlformats.org/officeDocument/2006/relationships" ref="AM23" r:id="rId169"/>
    <hyperlink xmlns:r="http://schemas.openxmlformats.org/officeDocument/2006/relationships" ref="AV23" r:id="rId170"/>
    <hyperlink xmlns:r="http://schemas.openxmlformats.org/officeDocument/2006/relationships" ref="C24" r:id="rId171"/>
    <hyperlink xmlns:r="http://schemas.openxmlformats.org/officeDocument/2006/relationships" ref="D24" r:id="rId172"/>
    <hyperlink xmlns:r="http://schemas.openxmlformats.org/officeDocument/2006/relationships" ref="H24" r:id="rId173"/>
    <hyperlink xmlns:r="http://schemas.openxmlformats.org/officeDocument/2006/relationships" ref="P24" r:id="rId174"/>
    <hyperlink xmlns:r="http://schemas.openxmlformats.org/officeDocument/2006/relationships" ref="T24" r:id="rId175"/>
    <hyperlink xmlns:r="http://schemas.openxmlformats.org/officeDocument/2006/relationships" ref="X24" r:id="rId176"/>
    <hyperlink xmlns:r="http://schemas.openxmlformats.org/officeDocument/2006/relationships" ref="AM24" r:id="rId177"/>
    <hyperlink xmlns:r="http://schemas.openxmlformats.org/officeDocument/2006/relationships" ref="AV24" r:id="rId178"/>
    <hyperlink xmlns:r="http://schemas.openxmlformats.org/officeDocument/2006/relationships" ref="C25" r:id="rId179"/>
    <hyperlink xmlns:r="http://schemas.openxmlformats.org/officeDocument/2006/relationships" ref="D25" r:id="rId180"/>
    <hyperlink xmlns:r="http://schemas.openxmlformats.org/officeDocument/2006/relationships" ref="H25" r:id="rId181"/>
    <hyperlink xmlns:r="http://schemas.openxmlformats.org/officeDocument/2006/relationships" ref="P25" r:id="rId182"/>
    <hyperlink xmlns:r="http://schemas.openxmlformats.org/officeDocument/2006/relationships" ref="T25" r:id="rId183"/>
    <hyperlink xmlns:r="http://schemas.openxmlformats.org/officeDocument/2006/relationships" ref="X25" r:id="rId184"/>
    <hyperlink xmlns:r="http://schemas.openxmlformats.org/officeDocument/2006/relationships" ref="AM25" r:id="rId185"/>
    <hyperlink xmlns:r="http://schemas.openxmlformats.org/officeDocument/2006/relationships" ref="AV25" r:id="rId186"/>
    <hyperlink xmlns:r="http://schemas.openxmlformats.org/officeDocument/2006/relationships" ref="C26" r:id="rId187"/>
    <hyperlink xmlns:r="http://schemas.openxmlformats.org/officeDocument/2006/relationships" ref="D26" r:id="rId188"/>
    <hyperlink xmlns:r="http://schemas.openxmlformats.org/officeDocument/2006/relationships" ref="H26" r:id="rId189"/>
    <hyperlink xmlns:r="http://schemas.openxmlformats.org/officeDocument/2006/relationships" ref="P26" r:id="rId190"/>
    <hyperlink xmlns:r="http://schemas.openxmlformats.org/officeDocument/2006/relationships" ref="T26" r:id="rId191"/>
    <hyperlink xmlns:r="http://schemas.openxmlformats.org/officeDocument/2006/relationships" ref="X26" r:id="rId192"/>
    <hyperlink xmlns:r="http://schemas.openxmlformats.org/officeDocument/2006/relationships" ref="AM26" r:id="rId193"/>
    <hyperlink xmlns:r="http://schemas.openxmlformats.org/officeDocument/2006/relationships" ref="AV26" r:id="rId194"/>
    <hyperlink xmlns:r="http://schemas.openxmlformats.org/officeDocument/2006/relationships" ref="C27" r:id="rId195"/>
    <hyperlink xmlns:r="http://schemas.openxmlformats.org/officeDocument/2006/relationships" ref="D27" r:id="rId196"/>
    <hyperlink xmlns:r="http://schemas.openxmlformats.org/officeDocument/2006/relationships" ref="H27" r:id="rId197"/>
    <hyperlink xmlns:r="http://schemas.openxmlformats.org/officeDocument/2006/relationships" ref="P27" r:id="rId198"/>
    <hyperlink xmlns:r="http://schemas.openxmlformats.org/officeDocument/2006/relationships" ref="T27" r:id="rId199"/>
    <hyperlink xmlns:r="http://schemas.openxmlformats.org/officeDocument/2006/relationships" ref="X27" r:id="rId200"/>
    <hyperlink xmlns:r="http://schemas.openxmlformats.org/officeDocument/2006/relationships" ref="AM27" r:id="rId201"/>
    <hyperlink xmlns:r="http://schemas.openxmlformats.org/officeDocument/2006/relationships" ref="AV27" r:id="rId202"/>
    <hyperlink xmlns:r="http://schemas.openxmlformats.org/officeDocument/2006/relationships" ref="C28" r:id="rId203"/>
    <hyperlink xmlns:r="http://schemas.openxmlformats.org/officeDocument/2006/relationships" ref="D28" r:id="rId204"/>
    <hyperlink xmlns:r="http://schemas.openxmlformats.org/officeDocument/2006/relationships" ref="H28" r:id="rId205"/>
    <hyperlink xmlns:r="http://schemas.openxmlformats.org/officeDocument/2006/relationships" ref="P28" r:id="rId206"/>
    <hyperlink xmlns:r="http://schemas.openxmlformats.org/officeDocument/2006/relationships" ref="T28" r:id="rId207"/>
    <hyperlink xmlns:r="http://schemas.openxmlformats.org/officeDocument/2006/relationships" ref="X28" r:id="rId208"/>
    <hyperlink xmlns:r="http://schemas.openxmlformats.org/officeDocument/2006/relationships" ref="AM28" r:id="rId209"/>
    <hyperlink xmlns:r="http://schemas.openxmlformats.org/officeDocument/2006/relationships" ref="AV28" r:id="rId210"/>
    <hyperlink xmlns:r="http://schemas.openxmlformats.org/officeDocument/2006/relationships" ref="C29" r:id="rId211"/>
    <hyperlink xmlns:r="http://schemas.openxmlformats.org/officeDocument/2006/relationships" ref="D29" r:id="rId212"/>
    <hyperlink xmlns:r="http://schemas.openxmlformats.org/officeDocument/2006/relationships" ref="H29" r:id="rId213"/>
    <hyperlink xmlns:r="http://schemas.openxmlformats.org/officeDocument/2006/relationships" ref="P29" r:id="rId214"/>
    <hyperlink xmlns:r="http://schemas.openxmlformats.org/officeDocument/2006/relationships" ref="T29" r:id="rId215"/>
    <hyperlink xmlns:r="http://schemas.openxmlformats.org/officeDocument/2006/relationships" ref="X29" r:id="rId216"/>
    <hyperlink xmlns:r="http://schemas.openxmlformats.org/officeDocument/2006/relationships" ref="AM29" r:id="rId217"/>
    <hyperlink xmlns:r="http://schemas.openxmlformats.org/officeDocument/2006/relationships" ref="AV29" r:id="rId218"/>
    <hyperlink xmlns:r="http://schemas.openxmlformats.org/officeDocument/2006/relationships" ref="C30" r:id="rId219"/>
    <hyperlink xmlns:r="http://schemas.openxmlformats.org/officeDocument/2006/relationships" ref="D30" r:id="rId220"/>
    <hyperlink xmlns:r="http://schemas.openxmlformats.org/officeDocument/2006/relationships" ref="H30" r:id="rId221"/>
    <hyperlink xmlns:r="http://schemas.openxmlformats.org/officeDocument/2006/relationships" ref="P30" r:id="rId222"/>
    <hyperlink xmlns:r="http://schemas.openxmlformats.org/officeDocument/2006/relationships" ref="T30" r:id="rId223"/>
    <hyperlink xmlns:r="http://schemas.openxmlformats.org/officeDocument/2006/relationships" ref="X30" r:id="rId224"/>
    <hyperlink xmlns:r="http://schemas.openxmlformats.org/officeDocument/2006/relationships" ref="AM30" r:id="rId225"/>
    <hyperlink xmlns:r="http://schemas.openxmlformats.org/officeDocument/2006/relationships" ref="AV30" r:id="rId226"/>
    <hyperlink xmlns:r="http://schemas.openxmlformats.org/officeDocument/2006/relationships" ref="C31" r:id="rId227"/>
    <hyperlink xmlns:r="http://schemas.openxmlformats.org/officeDocument/2006/relationships" ref="D31" r:id="rId228"/>
    <hyperlink xmlns:r="http://schemas.openxmlformats.org/officeDocument/2006/relationships" ref="H31" r:id="rId229"/>
    <hyperlink xmlns:r="http://schemas.openxmlformats.org/officeDocument/2006/relationships" ref="P31" r:id="rId230"/>
    <hyperlink xmlns:r="http://schemas.openxmlformats.org/officeDocument/2006/relationships" ref="T31" r:id="rId231"/>
    <hyperlink xmlns:r="http://schemas.openxmlformats.org/officeDocument/2006/relationships" ref="X31" r:id="rId232"/>
    <hyperlink xmlns:r="http://schemas.openxmlformats.org/officeDocument/2006/relationships" ref="AM31" r:id="rId233"/>
    <hyperlink xmlns:r="http://schemas.openxmlformats.org/officeDocument/2006/relationships" ref="AV31" r:id="rId234"/>
    <hyperlink xmlns:r="http://schemas.openxmlformats.org/officeDocument/2006/relationships" ref="C32" r:id="rId235"/>
    <hyperlink xmlns:r="http://schemas.openxmlformats.org/officeDocument/2006/relationships" ref="D32" r:id="rId236"/>
    <hyperlink xmlns:r="http://schemas.openxmlformats.org/officeDocument/2006/relationships" ref="H32" r:id="rId237"/>
    <hyperlink xmlns:r="http://schemas.openxmlformats.org/officeDocument/2006/relationships" ref="AM32" r:id="rId238"/>
    <hyperlink xmlns:r="http://schemas.openxmlformats.org/officeDocument/2006/relationships" ref="AV32" r:id="rId239"/>
    <hyperlink xmlns:r="http://schemas.openxmlformats.org/officeDocument/2006/relationships" ref="C33" r:id="rId240"/>
    <hyperlink xmlns:r="http://schemas.openxmlformats.org/officeDocument/2006/relationships" ref="D33" r:id="rId241"/>
    <hyperlink xmlns:r="http://schemas.openxmlformats.org/officeDocument/2006/relationships" ref="H33" r:id="rId242"/>
    <hyperlink xmlns:r="http://schemas.openxmlformats.org/officeDocument/2006/relationships" ref="AM33" r:id="rId243"/>
    <hyperlink xmlns:r="http://schemas.openxmlformats.org/officeDocument/2006/relationships" ref="AV33" r:id="rId244"/>
    <hyperlink xmlns:r="http://schemas.openxmlformats.org/officeDocument/2006/relationships" ref="C34" r:id="rId245"/>
    <hyperlink xmlns:r="http://schemas.openxmlformats.org/officeDocument/2006/relationships" ref="D34" r:id="rId246"/>
    <hyperlink xmlns:r="http://schemas.openxmlformats.org/officeDocument/2006/relationships" ref="H34" r:id="rId247"/>
    <hyperlink xmlns:r="http://schemas.openxmlformats.org/officeDocument/2006/relationships" ref="P34" r:id="rId248"/>
    <hyperlink xmlns:r="http://schemas.openxmlformats.org/officeDocument/2006/relationships" ref="T34" r:id="rId249"/>
    <hyperlink xmlns:r="http://schemas.openxmlformats.org/officeDocument/2006/relationships" ref="X34" r:id="rId250"/>
    <hyperlink xmlns:r="http://schemas.openxmlformats.org/officeDocument/2006/relationships" ref="AM34" r:id="rId251"/>
    <hyperlink xmlns:r="http://schemas.openxmlformats.org/officeDocument/2006/relationships" ref="AV34" r:id="rId252"/>
    <hyperlink xmlns:r="http://schemas.openxmlformats.org/officeDocument/2006/relationships" ref="C35" r:id="rId253"/>
    <hyperlink xmlns:r="http://schemas.openxmlformats.org/officeDocument/2006/relationships" ref="D35" r:id="rId254"/>
    <hyperlink xmlns:r="http://schemas.openxmlformats.org/officeDocument/2006/relationships" ref="H35" r:id="rId255"/>
    <hyperlink xmlns:r="http://schemas.openxmlformats.org/officeDocument/2006/relationships" ref="AM35" r:id="rId256"/>
    <hyperlink xmlns:r="http://schemas.openxmlformats.org/officeDocument/2006/relationships" ref="AV35" r:id="rId257"/>
    <hyperlink xmlns:r="http://schemas.openxmlformats.org/officeDocument/2006/relationships" ref="C36" r:id="rId258"/>
    <hyperlink xmlns:r="http://schemas.openxmlformats.org/officeDocument/2006/relationships" ref="D36" r:id="rId259"/>
    <hyperlink xmlns:r="http://schemas.openxmlformats.org/officeDocument/2006/relationships" ref="H36" r:id="rId260"/>
    <hyperlink xmlns:r="http://schemas.openxmlformats.org/officeDocument/2006/relationships" ref="P36" r:id="rId261"/>
    <hyperlink xmlns:r="http://schemas.openxmlformats.org/officeDocument/2006/relationships" ref="T36" r:id="rId262"/>
    <hyperlink xmlns:r="http://schemas.openxmlformats.org/officeDocument/2006/relationships" ref="X36" r:id="rId263"/>
    <hyperlink xmlns:r="http://schemas.openxmlformats.org/officeDocument/2006/relationships" ref="AM36" r:id="rId264"/>
    <hyperlink xmlns:r="http://schemas.openxmlformats.org/officeDocument/2006/relationships" ref="AR36" r:id="rId265"/>
    <hyperlink xmlns:r="http://schemas.openxmlformats.org/officeDocument/2006/relationships" ref="AV36" r:id="rId266"/>
    <hyperlink xmlns:r="http://schemas.openxmlformats.org/officeDocument/2006/relationships" ref="C37" r:id="rId267"/>
    <hyperlink xmlns:r="http://schemas.openxmlformats.org/officeDocument/2006/relationships" ref="D37" r:id="rId268"/>
    <hyperlink xmlns:r="http://schemas.openxmlformats.org/officeDocument/2006/relationships" ref="H37" r:id="rId269"/>
    <hyperlink xmlns:r="http://schemas.openxmlformats.org/officeDocument/2006/relationships" ref="AM37" r:id="rId270"/>
    <hyperlink xmlns:r="http://schemas.openxmlformats.org/officeDocument/2006/relationships" ref="AV37" r:id="rId271"/>
    <hyperlink xmlns:r="http://schemas.openxmlformats.org/officeDocument/2006/relationships" ref="C38" r:id="rId272"/>
    <hyperlink xmlns:r="http://schemas.openxmlformats.org/officeDocument/2006/relationships" ref="D38" r:id="rId273"/>
    <hyperlink xmlns:r="http://schemas.openxmlformats.org/officeDocument/2006/relationships" ref="H38" r:id="rId274"/>
    <hyperlink xmlns:r="http://schemas.openxmlformats.org/officeDocument/2006/relationships" ref="P38" r:id="rId275"/>
    <hyperlink xmlns:r="http://schemas.openxmlformats.org/officeDocument/2006/relationships" ref="T38" r:id="rId276"/>
    <hyperlink xmlns:r="http://schemas.openxmlformats.org/officeDocument/2006/relationships" ref="X38" r:id="rId277"/>
    <hyperlink xmlns:r="http://schemas.openxmlformats.org/officeDocument/2006/relationships" ref="AM38" r:id="rId278"/>
    <hyperlink xmlns:r="http://schemas.openxmlformats.org/officeDocument/2006/relationships" ref="AV38" r:id="rId279"/>
    <hyperlink xmlns:r="http://schemas.openxmlformats.org/officeDocument/2006/relationships" ref="C39" r:id="rId280"/>
    <hyperlink xmlns:r="http://schemas.openxmlformats.org/officeDocument/2006/relationships" ref="D39" r:id="rId281"/>
    <hyperlink xmlns:r="http://schemas.openxmlformats.org/officeDocument/2006/relationships" ref="H39" r:id="rId282"/>
    <hyperlink xmlns:r="http://schemas.openxmlformats.org/officeDocument/2006/relationships" ref="P39" r:id="rId283"/>
    <hyperlink xmlns:r="http://schemas.openxmlformats.org/officeDocument/2006/relationships" ref="T39" r:id="rId284"/>
    <hyperlink xmlns:r="http://schemas.openxmlformats.org/officeDocument/2006/relationships" ref="X39" r:id="rId285"/>
    <hyperlink xmlns:r="http://schemas.openxmlformats.org/officeDocument/2006/relationships" ref="AM39" r:id="rId286"/>
    <hyperlink xmlns:r="http://schemas.openxmlformats.org/officeDocument/2006/relationships" ref="AV39" r:id="rId287"/>
    <hyperlink xmlns:r="http://schemas.openxmlformats.org/officeDocument/2006/relationships" ref="C40" r:id="rId288"/>
    <hyperlink xmlns:r="http://schemas.openxmlformats.org/officeDocument/2006/relationships" ref="D40" r:id="rId289"/>
    <hyperlink xmlns:r="http://schemas.openxmlformats.org/officeDocument/2006/relationships" ref="H40" r:id="rId290"/>
    <hyperlink xmlns:r="http://schemas.openxmlformats.org/officeDocument/2006/relationships" ref="P40" r:id="rId291"/>
    <hyperlink xmlns:r="http://schemas.openxmlformats.org/officeDocument/2006/relationships" ref="T40" r:id="rId292"/>
    <hyperlink xmlns:r="http://schemas.openxmlformats.org/officeDocument/2006/relationships" ref="X40" r:id="rId293"/>
    <hyperlink xmlns:r="http://schemas.openxmlformats.org/officeDocument/2006/relationships" ref="AM40" r:id="rId294"/>
    <hyperlink xmlns:r="http://schemas.openxmlformats.org/officeDocument/2006/relationships" ref="AV40" r:id="rId295"/>
    <hyperlink xmlns:r="http://schemas.openxmlformats.org/officeDocument/2006/relationships" ref="C41" r:id="rId296"/>
    <hyperlink xmlns:r="http://schemas.openxmlformats.org/officeDocument/2006/relationships" ref="D41" r:id="rId297"/>
    <hyperlink xmlns:r="http://schemas.openxmlformats.org/officeDocument/2006/relationships" ref="H41" r:id="rId298"/>
    <hyperlink xmlns:r="http://schemas.openxmlformats.org/officeDocument/2006/relationships" ref="P41" r:id="rId299"/>
    <hyperlink xmlns:r="http://schemas.openxmlformats.org/officeDocument/2006/relationships" ref="T41" r:id="rId300"/>
    <hyperlink xmlns:r="http://schemas.openxmlformats.org/officeDocument/2006/relationships" ref="X41" r:id="rId301"/>
    <hyperlink xmlns:r="http://schemas.openxmlformats.org/officeDocument/2006/relationships" ref="AM41" r:id="rId302"/>
    <hyperlink xmlns:r="http://schemas.openxmlformats.org/officeDocument/2006/relationships" ref="AV41" r:id="rId303"/>
    <hyperlink xmlns:r="http://schemas.openxmlformats.org/officeDocument/2006/relationships" ref="C42" r:id="rId304"/>
    <hyperlink xmlns:r="http://schemas.openxmlformats.org/officeDocument/2006/relationships" ref="D42" r:id="rId305"/>
    <hyperlink xmlns:r="http://schemas.openxmlformats.org/officeDocument/2006/relationships" ref="H42" r:id="rId306"/>
    <hyperlink xmlns:r="http://schemas.openxmlformats.org/officeDocument/2006/relationships" ref="AM42" r:id="rId307"/>
    <hyperlink xmlns:r="http://schemas.openxmlformats.org/officeDocument/2006/relationships" ref="AV42" r:id="rId308"/>
    <hyperlink xmlns:r="http://schemas.openxmlformats.org/officeDocument/2006/relationships" ref="C43" r:id="rId309"/>
    <hyperlink xmlns:r="http://schemas.openxmlformats.org/officeDocument/2006/relationships" ref="D43" r:id="rId310"/>
    <hyperlink xmlns:r="http://schemas.openxmlformats.org/officeDocument/2006/relationships" ref="H43" r:id="rId311"/>
    <hyperlink xmlns:r="http://schemas.openxmlformats.org/officeDocument/2006/relationships" ref="P43" r:id="rId312"/>
    <hyperlink xmlns:r="http://schemas.openxmlformats.org/officeDocument/2006/relationships" ref="T43" r:id="rId313"/>
    <hyperlink xmlns:r="http://schemas.openxmlformats.org/officeDocument/2006/relationships" ref="X43" r:id="rId314"/>
    <hyperlink xmlns:r="http://schemas.openxmlformats.org/officeDocument/2006/relationships" ref="AM43" r:id="rId315"/>
    <hyperlink xmlns:r="http://schemas.openxmlformats.org/officeDocument/2006/relationships" ref="AV43" r:id="rId316"/>
    <hyperlink xmlns:r="http://schemas.openxmlformats.org/officeDocument/2006/relationships" ref="C44" r:id="rId317"/>
    <hyperlink xmlns:r="http://schemas.openxmlformats.org/officeDocument/2006/relationships" ref="D44" r:id="rId318"/>
    <hyperlink xmlns:r="http://schemas.openxmlformats.org/officeDocument/2006/relationships" ref="H44" r:id="rId319"/>
    <hyperlink xmlns:r="http://schemas.openxmlformats.org/officeDocument/2006/relationships" ref="P44" r:id="rId320"/>
    <hyperlink xmlns:r="http://schemas.openxmlformats.org/officeDocument/2006/relationships" ref="T44" r:id="rId321"/>
    <hyperlink xmlns:r="http://schemas.openxmlformats.org/officeDocument/2006/relationships" ref="X44" r:id="rId322"/>
    <hyperlink xmlns:r="http://schemas.openxmlformats.org/officeDocument/2006/relationships" ref="AM44" r:id="rId323"/>
    <hyperlink xmlns:r="http://schemas.openxmlformats.org/officeDocument/2006/relationships" ref="AV44" r:id="rId324"/>
    <hyperlink xmlns:r="http://schemas.openxmlformats.org/officeDocument/2006/relationships" ref="C45" r:id="rId325"/>
    <hyperlink xmlns:r="http://schemas.openxmlformats.org/officeDocument/2006/relationships" ref="D45" r:id="rId326"/>
    <hyperlink xmlns:r="http://schemas.openxmlformats.org/officeDocument/2006/relationships" ref="H45" r:id="rId327"/>
    <hyperlink xmlns:r="http://schemas.openxmlformats.org/officeDocument/2006/relationships" ref="AM45" r:id="rId328"/>
    <hyperlink xmlns:r="http://schemas.openxmlformats.org/officeDocument/2006/relationships" ref="AV45" r:id="rId329"/>
    <hyperlink xmlns:r="http://schemas.openxmlformats.org/officeDocument/2006/relationships" ref="C46" r:id="rId330"/>
    <hyperlink xmlns:r="http://schemas.openxmlformats.org/officeDocument/2006/relationships" ref="D46" r:id="rId331"/>
    <hyperlink xmlns:r="http://schemas.openxmlformats.org/officeDocument/2006/relationships" ref="H46" r:id="rId332"/>
    <hyperlink xmlns:r="http://schemas.openxmlformats.org/officeDocument/2006/relationships" ref="AM46" r:id="rId333"/>
    <hyperlink xmlns:r="http://schemas.openxmlformats.org/officeDocument/2006/relationships" ref="AV46" r:id="rId334"/>
    <hyperlink xmlns:r="http://schemas.openxmlformats.org/officeDocument/2006/relationships" ref="C47" r:id="rId335"/>
    <hyperlink xmlns:r="http://schemas.openxmlformats.org/officeDocument/2006/relationships" ref="D47" r:id="rId336"/>
    <hyperlink xmlns:r="http://schemas.openxmlformats.org/officeDocument/2006/relationships" ref="H47" r:id="rId337"/>
    <hyperlink xmlns:r="http://schemas.openxmlformats.org/officeDocument/2006/relationships" ref="AM47" r:id="rId338"/>
    <hyperlink xmlns:r="http://schemas.openxmlformats.org/officeDocument/2006/relationships" ref="AV47" r:id="rId339"/>
    <hyperlink xmlns:r="http://schemas.openxmlformats.org/officeDocument/2006/relationships" ref="C48" r:id="rId340"/>
    <hyperlink xmlns:r="http://schemas.openxmlformats.org/officeDocument/2006/relationships" ref="D48" r:id="rId341"/>
    <hyperlink xmlns:r="http://schemas.openxmlformats.org/officeDocument/2006/relationships" ref="H48" r:id="rId342"/>
    <hyperlink xmlns:r="http://schemas.openxmlformats.org/officeDocument/2006/relationships" ref="AM48" r:id="rId343"/>
    <hyperlink xmlns:r="http://schemas.openxmlformats.org/officeDocument/2006/relationships" ref="AV48" r:id="rId344"/>
    <hyperlink xmlns:r="http://schemas.openxmlformats.org/officeDocument/2006/relationships" ref="C49" r:id="rId345"/>
    <hyperlink xmlns:r="http://schemas.openxmlformats.org/officeDocument/2006/relationships" ref="D49" r:id="rId346"/>
    <hyperlink xmlns:r="http://schemas.openxmlformats.org/officeDocument/2006/relationships" ref="H49" r:id="rId347"/>
    <hyperlink xmlns:r="http://schemas.openxmlformats.org/officeDocument/2006/relationships" ref="P49" r:id="rId348"/>
    <hyperlink xmlns:r="http://schemas.openxmlformats.org/officeDocument/2006/relationships" ref="T49" r:id="rId349"/>
    <hyperlink xmlns:r="http://schemas.openxmlformats.org/officeDocument/2006/relationships" ref="X49" r:id="rId350"/>
    <hyperlink xmlns:r="http://schemas.openxmlformats.org/officeDocument/2006/relationships" ref="AM49" r:id="rId351"/>
    <hyperlink xmlns:r="http://schemas.openxmlformats.org/officeDocument/2006/relationships" ref="AV49" r:id="rId352"/>
    <hyperlink xmlns:r="http://schemas.openxmlformats.org/officeDocument/2006/relationships" ref="C50" r:id="rId353"/>
    <hyperlink xmlns:r="http://schemas.openxmlformats.org/officeDocument/2006/relationships" ref="D50" r:id="rId354"/>
    <hyperlink xmlns:r="http://schemas.openxmlformats.org/officeDocument/2006/relationships" ref="H50" r:id="rId355"/>
    <hyperlink xmlns:r="http://schemas.openxmlformats.org/officeDocument/2006/relationships" ref="P50" r:id="rId356"/>
    <hyperlink xmlns:r="http://schemas.openxmlformats.org/officeDocument/2006/relationships" ref="T50" r:id="rId357"/>
    <hyperlink xmlns:r="http://schemas.openxmlformats.org/officeDocument/2006/relationships" ref="X50" r:id="rId358"/>
    <hyperlink xmlns:r="http://schemas.openxmlformats.org/officeDocument/2006/relationships" ref="AM50" r:id="rId359"/>
    <hyperlink xmlns:r="http://schemas.openxmlformats.org/officeDocument/2006/relationships" ref="AV50" r:id="rId360"/>
    <hyperlink xmlns:r="http://schemas.openxmlformats.org/officeDocument/2006/relationships" ref="C51" r:id="rId361"/>
    <hyperlink xmlns:r="http://schemas.openxmlformats.org/officeDocument/2006/relationships" ref="D51" r:id="rId362"/>
    <hyperlink xmlns:r="http://schemas.openxmlformats.org/officeDocument/2006/relationships" ref="H51" r:id="rId363"/>
    <hyperlink xmlns:r="http://schemas.openxmlformats.org/officeDocument/2006/relationships" ref="P51" r:id="rId364"/>
    <hyperlink xmlns:r="http://schemas.openxmlformats.org/officeDocument/2006/relationships" ref="T51" r:id="rId365"/>
    <hyperlink xmlns:r="http://schemas.openxmlformats.org/officeDocument/2006/relationships" ref="X51" r:id="rId366"/>
    <hyperlink xmlns:r="http://schemas.openxmlformats.org/officeDocument/2006/relationships" ref="AM51" r:id="rId367"/>
    <hyperlink xmlns:r="http://schemas.openxmlformats.org/officeDocument/2006/relationships" ref="AV51" r:id="rId368"/>
    <hyperlink xmlns:r="http://schemas.openxmlformats.org/officeDocument/2006/relationships" ref="C52" r:id="rId369"/>
    <hyperlink xmlns:r="http://schemas.openxmlformats.org/officeDocument/2006/relationships" ref="D52" r:id="rId370"/>
    <hyperlink xmlns:r="http://schemas.openxmlformats.org/officeDocument/2006/relationships" ref="H52" r:id="rId371"/>
    <hyperlink xmlns:r="http://schemas.openxmlformats.org/officeDocument/2006/relationships" ref="AM52" r:id="rId372"/>
    <hyperlink xmlns:r="http://schemas.openxmlformats.org/officeDocument/2006/relationships" ref="AV52" r:id="rId373"/>
    <hyperlink xmlns:r="http://schemas.openxmlformats.org/officeDocument/2006/relationships" ref="C53" r:id="rId374"/>
    <hyperlink xmlns:r="http://schemas.openxmlformats.org/officeDocument/2006/relationships" ref="D53" r:id="rId375"/>
    <hyperlink xmlns:r="http://schemas.openxmlformats.org/officeDocument/2006/relationships" ref="H53" r:id="rId376"/>
    <hyperlink xmlns:r="http://schemas.openxmlformats.org/officeDocument/2006/relationships" ref="AM53" r:id="rId377"/>
    <hyperlink xmlns:r="http://schemas.openxmlformats.org/officeDocument/2006/relationships" ref="AV53" r:id="rId378"/>
    <hyperlink xmlns:r="http://schemas.openxmlformats.org/officeDocument/2006/relationships" ref="C54" r:id="rId379"/>
    <hyperlink xmlns:r="http://schemas.openxmlformats.org/officeDocument/2006/relationships" ref="D54" r:id="rId380"/>
    <hyperlink xmlns:r="http://schemas.openxmlformats.org/officeDocument/2006/relationships" ref="H54" r:id="rId381"/>
    <hyperlink xmlns:r="http://schemas.openxmlformats.org/officeDocument/2006/relationships" ref="AM54" r:id="rId382"/>
    <hyperlink xmlns:r="http://schemas.openxmlformats.org/officeDocument/2006/relationships" ref="AV54" r:id="rId383"/>
    <hyperlink xmlns:r="http://schemas.openxmlformats.org/officeDocument/2006/relationships" ref="C55" r:id="rId384"/>
    <hyperlink xmlns:r="http://schemas.openxmlformats.org/officeDocument/2006/relationships" ref="D55" r:id="rId385"/>
    <hyperlink xmlns:r="http://schemas.openxmlformats.org/officeDocument/2006/relationships" ref="H55" r:id="rId386"/>
    <hyperlink xmlns:r="http://schemas.openxmlformats.org/officeDocument/2006/relationships" ref="AM55" r:id="rId387"/>
    <hyperlink xmlns:r="http://schemas.openxmlformats.org/officeDocument/2006/relationships" ref="AV55" r:id="rId388"/>
    <hyperlink xmlns:r="http://schemas.openxmlformats.org/officeDocument/2006/relationships" ref="C56" r:id="rId389"/>
    <hyperlink xmlns:r="http://schemas.openxmlformats.org/officeDocument/2006/relationships" ref="D56" r:id="rId390"/>
    <hyperlink xmlns:r="http://schemas.openxmlformats.org/officeDocument/2006/relationships" ref="H56" r:id="rId391"/>
    <hyperlink xmlns:r="http://schemas.openxmlformats.org/officeDocument/2006/relationships" ref="AM56" r:id="rId392"/>
    <hyperlink xmlns:r="http://schemas.openxmlformats.org/officeDocument/2006/relationships" ref="AR56" r:id="rId393"/>
    <hyperlink xmlns:r="http://schemas.openxmlformats.org/officeDocument/2006/relationships" ref="AV56" r:id="rId394"/>
    <hyperlink xmlns:r="http://schemas.openxmlformats.org/officeDocument/2006/relationships" ref="C57" r:id="rId395"/>
    <hyperlink xmlns:r="http://schemas.openxmlformats.org/officeDocument/2006/relationships" ref="D57" r:id="rId396"/>
    <hyperlink xmlns:r="http://schemas.openxmlformats.org/officeDocument/2006/relationships" ref="H57" r:id="rId397"/>
    <hyperlink xmlns:r="http://schemas.openxmlformats.org/officeDocument/2006/relationships" ref="AM57" r:id="rId398"/>
    <hyperlink xmlns:r="http://schemas.openxmlformats.org/officeDocument/2006/relationships" ref="AV57" r:id="rId399"/>
    <hyperlink xmlns:r="http://schemas.openxmlformats.org/officeDocument/2006/relationships" ref="C58" r:id="rId400"/>
    <hyperlink xmlns:r="http://schemas.openxmlformats.org/officeDocument/2006/relationships" ref="D58" r:id="rId401"/>
    <hyperlink xmlns:r="http://schemas.openxmlformats.org/officeDocument/2006/relationships" ref="H58" r:id="rId402"/>
    <hyperlink xmlns:r="http://schemas.openxmlformats.org/officeDocument/2006/relationships" ref="AM58" r:id="rId403"/>
    <hyperlink xmlns:r="http://schemas.openxmlformats.org/officeDocument/2006/relationships" ref="AV58" r:id="rId404"/>
    <hyperlink xmlns:r="http://schemas.openxmlformats.org/officeDocument/2006/relationships" ref="C59" r:id="rId405"/>
    <hyperlink xmlns:r="http://schemas.openxmlformats.org/officeDocument/2006/relationships" ref="D59" r:id="rId406"/>
    <hyperlink xmlns:r="http://schemas.openxmlformats.org/officeDocument/2006/relationships" ref="H59" r:id="rId407"/>
    <hyperlink xmlns:r="http://schemas.openxmlformats.org/officeDocument/2006/relationships" ref="AM59" r:id="rId408"/>
    <hyperlink xmlns:r="http://schemas.openxmlformats.org/officeDocument/2006/relationships" ref="AV59" r:id="rId409"/>
    <hyperlink xmlns:r="http://schemas.openxmlformats.org/officeDocument/2006/relationships" ref="C60" r:id="rId410"/>
    <hyperlink xmlns:r="http://schemas.openxmlformats.org/officeDocument/2006/relationships" ref="D60" r:id="rId411"/>
    <hyperlink xmlns:r="http://schemas.openxmlformats.org/officeDocument/2006/relationships" ref="H60" r:id="rId412"/>
    <hyperlink xmlns:r="http://schemas.openxmlformats.org/officeDocument/2006/relationships" ref="AM60" r:id="rId413"/>
    <hyperlink xmlns:r="http://schemas.openxmlformats.org/officeDocument/2006/relationships" ref="AV60" r:id="rId414"/>
    <hyperlink xmlns:r="http://schemas.openxmlformats.org/officeDocument/2006/relationships" ref="C61" r:id="rId415"/>
    <hyperlink xmlns:r="http://schemas.openxmlformats.org/officeDocument/2006/relationships" ref="D61" r:id="rId416"/>
    <hyperlink xmlns:r="http://schemas.openxmlformats.org/officeDocument/2006/relationships" ref="H61" r:id="rId417"/>
    <hyperlink xmlns:r="http://schemas.openxmlformats.org/officeDocument/2006/relationships" ref="AM61" r:id="rId418"/>
    <hyperlink xmlns:r="http://schemas.openxmlformats.org/officeDocument/2006/relationships" ref="AV61" r:id="rId419"/>
    <hyperlink xmlns:r="http://schemas.openxmlformats.org/officeDocument/2006/relationships" ref="C62" r:id="rId420"/>
    <hyperlink xmlns:r="http://schemas.openxmlformats.org/officeDocument/2006/relationships" ref="D62" r:id="rId421"/>
    <hyperlink xmlns:r="http://schemas.openxmlformats.org/officeDocument/2006/relationships" ref="H62" r:id="rId422"/>
    <hyperlink xmlns:r="http://schemas.openxmlformats.org/officeDocument/2006/relationships" ref="AM62" r:id="rId423"/>
    <hyperlink xmlns:r="http://schemas.openxmlformats.org/officeDocument/2006/relationships" ref="AV62" r:id="rId424"/>
    <hyperlink xmlns:r="http://schemas.openxmlformats.org/officeDocument/2006/relationships" ref="C63" r:id="rId425"/>
    <hyperlink xmlns:r="http://schemas.openxmlformats.org/officeDocument/2006/relationships" ref="D63" r:id="rId426"/>
    <hyperlink xmlns:r="http://schemas.openxmlformats.org/officeDocument/2006/relationships" ref="H63" r:id="rId427"/>
    <hyperlink xmlns:r="http://schemas.openxmlformats.org/officeDocument/2006/relationships" ref="AM63" r:id="rId428"/>
    <hyperlink xmlns:r="http://schemas.openxmlformats.org/officeDocument/2006/relationships" ref="AV63" r:id="rId429"/>
    <hyperlink xmlns:r="http://schemas.openxmlformats.org/officeDocument/2006/relationships" ref="C64" r:id="rId430"/>
    <hyperlink xmlns:r="http://schemas.openxmlformats.org/officeDocument/2006/relationships" ref="D64" r:id="rId431"/>
    <hyperlink xmlns:r="http://schemas.openxmlformats.org/officeDocument/2006/relationships" ref="H64" r:id="rId432"/>
    <hyperlink xmlns:r="http://schemas.openxmlformats.org/officeDocument/2006/relationships" ref="AM64" r:id="rId433"/>
    <hyperlink xmlns:r="http://schemas.openxmlformats.org/officeDocument/2006/relationships" ref="AV64" r:id="rId434"/>
    <hyperlink xmlns:r="http://schemas.openxmlformats.org/officeDocument/2006/relationships" ref="C65" r:id="rId435"/>
    <hyperlink xmlns:r="http://schemas.openxmlformats.org/officeDocument/2006/relationships" ref="D65" r:id="rId436"/>
    <hyperlink xmlns:r="http://schemas.openxmlformats.org/officeDocument/2006/relationships" ref="H65" r:id="rId437"/>
    <hyperlink xmlns:r="http://schemas.openxmlformats.org/officeDocument/2006/relationships" ref="AM65" r:id="rId438"/>
    <hyperlink xmlns:r="http://schemas.openxmlformats.org/officeDocument/2006/relationships" ref="AV65" r:id="rId439"/>
    <hyperlink xmlns:r="http://schemas.openxmlformats.org/officeDocument/2006/relationships" ref="C66" r:id="rId440"/>
    <hyperlink xmlns:r="http://schemas.openxmlformats.org/officeDocument/2006/relationships" ref="D66" r:id="rId441"/>
    <hyperlink xmlns:r="http://schemas.openxmlformats.org/officeDocument/2006/relationships" ref="H66" r:id="rId442"/>
    <hyperlink xmlns:r="http://schemas.openxmlformats.org/officeDocument/2006/relationships" ref="AM66" r:id="rId443"/>
    <hyperlink xmlns:r="http://schemas.openxmlformats.org/officeDocument/2006/relationships" ref="AV66" r:id="rId444"/>
    <hyperlink xmlns:r="http://schemas.openxmlformats.org/officeDocument/2006/relationships" ref="C67" r:id="rId445"/>
    <hyperlink xmlns:r="http://schemas.openxmlformats.org/officeDocument/2006/relationships" ref="D67" r:id="rId446"/>
    <hyperlink xmlns:r="http://schemas.openxmlformats.org/officeDocument/2006/relationships" ref="H67" r:id="rId447"/>
    <hyperlink xmlns:r="http://schemas.openxmlformats.org/officeDocument/2006/relationships" ref="AM67" r:id="rId448"/>
    <hyperlink xmlns:r="http://schemas.openxmlformats.org/officeDocument/2006/relationships" ref="AV67" r:id="rId449"/>
    <hyperlink xmlns:r="http://schemas.openxmlformats.org/officeDocument/2006/relationships" ref="C68" r:id="rId450"/>
    <hyperlink xmlns:r="http://schemas.openxmlformats.org/officeDocument/2006/relationships" ref="D68" r:id="rId451"/>
    <hyperlink xmlns:r="http://schemas.openxmlformats.org/officeDocument/2006/relationships" ref="H68" r:id="rId452"/>
    <hyperlink xmlns:r="http://schemas.openxmlformats.org/officeDocument/2006/relationships" ref="AM68" r:id="rId453"/>
    <hyperlink xmlns:r="http://schemas.openxmlformats.org/officeDocument/2006/relationships" ref="AV68" r:id="rId454"/>
    <hyperlink xmlns:r="http://schemas.openxmlformats.org/officeDocument/2006/relationships" ref="C69" r:id="rId455"/>
    <hyperlink xmlns:r="http://schemas.openxmlformats.org/officeDocument/2006/relationships" ref="D69" r:id="rId456"/>
    <hyperlink xmlns:r="http://schemas.openxmlformats.org/officeDocument/2006/relationships" ref="H69" r:id="rId457"/>
    <hyperlink xmlns:r="http://schemas.openxmlformats.org/officeDocument/2006/relationships" ref="AM69" r:id="rId458"/>
    <hyperlink xmlns:r="http://schemas.openxmlformats.org/officeDocument/2006/relationships" ref="AV69" r:id="rId459"/>
    <hyperlink xmlns:r="http://schemas.openxmlformats.org/officeDocument/2006/relationships" ref="C70" r:id="rId460"/>
    <hyperlink xmlns:r="http://schemas.openxmlformats.org/officeDocument/2006/relationships" ref="D70" r:id="rId461"/>
    <hyperlink xmlns:r="http://schemas.openxmlformats.org/officeDocument/2006/relationships" ref="H70" r:id="rId462"/>
    <hyperlink xmlns:r="http://schemas.openxmlformats.org/officeDocument/2006/relationships" ref="AM70" r:id="rId463"/>
    <hyperlink xmlns:r="http://schemas.openxmlformats.org/officeDocument/2006/relationships" ref="AV70" r:id="rId464"/>
    <hyperlink xmlns:r="http://schemas.openxmlformats.org/officeDocument/2006/relationships" ref="C71" r:id="rId465"/>
    <hyperlink xmlns:r="http://schemas.openxmlformats.org/officeDocument/2006/relationships" ref="D71" r:id="rId466"/>
    <hyperlink xmlns:r="http://schemas.openxmlformats.org/officeDocument/2006/relationships" ref="H71" r:id="rId467"/>
    <hyperlink xmlns:r="http://schemas.openxmlformats.org/officeDocument/2006/relationships" ref="AM71" r:id="rId468"/>
    <hyperlink xmlns:r="http://schemas.openxmlformats.org/officeDocument/2006/relationships" ref="AV71" r:id="rId469"/>
    <hyperlink xmlns:r="http://schemas.openxmlformats.org/officeDocument/2006/relationships" ref="C72" r:id="rId470"/>
    <hyperlink xmlns:r="http://schemas.openxmlformats.org/officeDocument/2006/relationships" ref="D72" r:id="rId471"/>
    <hyperlink xmlns:r="http://schemas.openxmlformats.org/officeDocument/2006/relationships" ref="H72" r:id="rId472"/>
    <hyperlink xmlns:r="http://schemas.openxmlformats.org/officeDocument/2006/relationships" ref="AM72" r:id="rId473"/>
    <hyperlink xmlns:r="http://schemas.openxmlformats.org/officeDocument/2006/relationships" ref="AV72" r:id="rId474"/>
    <hyperlink xmlns:r="http://schemas.openxmlformats.org/officeDocument/2006/relationships" ref="C73" r:id="rId475"/>
    <hyperlink xmlns:r="http://schemas.openxmlformats.org/officeDocument/2006/relationships" ref="D73" r:id="rId476"/>
    <hyperlink xmlns:r="http://schemas.openxmlformats.org/officeDocument/2006/relationships" ref="H73" r:id="rId477"/>
    <hyperlink xmlns:r="http://schemas.openxmlformats.org/officeDocument/2006/relationships" ref="AM73" r:id="rId478"/>
    <hyperlink xmlns:r="http://schemas.openxmlformats.org/officeDocument/2006/relationships" ref="AV73" r:id="rId479"/>
    <hyperlink xmlns:r="http://schemas.openxmlformats.org/officeDocument/2006/relationships" ref="C74" r:id="rId480"/>
    <hyperlink xmlns:r="http://schemas.openxmlformats.org/officeDocument/2006/relationships" ref="D74" r:id="rId481"/>
    <hyperlink xmlns:r="http://schemas.openxmlformats.org/officeDocument/2006/relationships" ref="H74" r:id="rId482"/>
    <hyperlink xmlns:r="http://schemas.openxmlformats.org/officeDocument/2006/relationships" ref="AM74" r:id="rId483"/>
    <hyperlink xmlns:r="http://schemas.openxmlformats.org/officeDocument/2006/relationships" ref="AV74" r:id="rId484"/>
    <hyperlink xmlns:r="http://schemas.openxmlformats.org/officeDocument/2006/relationships" ref="C75" r:id="rId485"/>
    <hyperlink xmlns:r="http://schemas.openxmlformats.org/officeDocument/2006/relationships" ref="D75" r:id="rId486"/>
    <hyperlink xmlns:r="http://schemas.openxmlformats.org/officeDocument/2006/relationships" ref="H75" r:id="rId487"/>
    <hyperlink xmlns:r="http://schemas.openxmlformats.org/officeDocument/2006/relationships" ref="AM75" r:id="rId488"/>
    <hyperlink xmlns:r="http://schemas.openxmlformats.org/officeDocument/2006/relationships" ref="AV75" r:id="rId489"/>
    <hyperlink xmlns:r="http://schemas.openxmlformats.org/officeDocument/2006/relationships" ref="C76" r:id="rId490"/>
    <hyperlink xmlns:r="http://schemas.openxmlformats.org/officeDocument/2006/relationships" ref="D76" r:id="rId491"/>
    <hyperlink xmlns:r="http://schemas.openxmlformats.org/officeDocument/2006/relationships" ref="H76" r:id="rId492"/>
    <hyperlink xmlns:r="http://schemas.openxmlformats.org/officeDocument/2006/relationships" ref="AM76" r:id="rId493"/>
    <hyperlink xmlns:r="http://schemas.openxmlformats.org/officeDocument/2006/relationships" ref="AV76" r:id="rId494"/>
    <hyperlink xmlns:r="http://schemas.openxmlformats.org/officeDocument/2006/relationships" ref="C77" r:id="rId495"/>
    <hyperlink xmlns:r="http://schemas.openxmlformats.org/officeDocument/2006/relationships" ref="D77" r:id="rId496"/>
    <hyperlink xmlns:r="http://schemas.openxmlformats.org/officeDocument/2006/relationships" ref="H77" r:id="rId497"/>
    <hyperlink xmlns:r="http://schemas.openxmlformats.org/officeDocument/2006/relationships" ref="AM77" r:id="rId498"/>
    <hyperlink xmlns:r="http://schemas.openxmlformats.org/officeDocument/2006/relationships" ref="AV77" r:id="rId499"/>
    <hyperlink xmlns:r="http://schemas.openxmlformats.org/officeDocument/2006/relationships" ref="C78" r:id="rId500"/>
    <hyperlink xmlns:r="http://schemas.openxmlformats.org/officeDocument/2006/relationships" ref="D78" r:id="rId501"/>
    <hyperlink xmlns:r="http://schemas.openxmlformats.org/officeDocument/2006/relationships" ref="H78" r:id="rId502"/>
    <hyperlink xmlns:r="http://schemas.openxmlformats.org/officeDocument/2006/relationships" ref="AM78" r:id="rId503"/>
    <hyperlink xmlns:r="http://schemas.openxmlformats.org/officeDocument/2006/relationships" ref="AV78" r:id="rId504"/>
    <hyperlink xmlns:r="http://schemas.openxmlformats.org/officeDocument/2006/relationships" ref="C79" r:id="rId505"/>
    <hyperlink xmlns:r="http://schemas.openxmlformats.org/officeDocument/2006/relationships" ref="D79" r:id="rId506"/>
    <hyperlink xmlns:r="http://schemas.openxmlformats.org/officeDocument/2006/relationships" ref="H79" r:id="rId507"/>
    <hyperlink xmlns:r="http://schemas.openxmlformats.org/officeDocument/2006/relationships" ref="AM79" r:id="rId508"/>
    <hyperlink xmlns:r="http://schemas.openxmlformats.org/officeDocument/2006/relationships" ref="AV79" r:id="rId509"/>
    <hyperlink xmlns:r="http://schemas.openxmlformats.org/officeDocument/2006/relationships" ref="C80" r:id="rId510"/>
    <hyperlink xmlns:r="http://schemas.openxmlformats.org/officeDocument/2006/relationships" ref="D80" r:id="rId511"/>
    <hyperlink xmlns:r="http://schemas.openxmlformats.org/officeDocument/2006/relationships" ref="H80" r:id="rId512"/>
    <hyperlink xmlns:r="http://schemas.openxmlformats.org/officeDocument/2006/relationships" ref="AM80" r:id="rId513"/>
    <hyperlink xmlns:r="http://schemas.openxmlformats.org/officeDocument/2006/relationships" ref="AV80" r:id="rId514"/>
    <hyperlink xmlns:r="http://schemas.openxmlformats.org/officeDocument/2006/relationships" ref="C81" r:id="rId515"/>
    <hyperlink xmlns:r="http://schemas.openxmlformats.org/officeDocument/2006/relationships" ref="D81" r:id="rId516"/>
    <hyperlink xmlns:r="http://schemas.openxmlformats.org/officeDocument/2006/relationships" ref="H81" r:id="rId517"/>
    <hyperlink xmlns:r="http://schemas.openxmlformats.org/officeDocument/2006/relationships" ref="AM81" r:id="rId518"/>
    <hyperlink xmlns:r="http://schemas.openxmlformats.org/officeDocument/2006/relationships" ref="AV81" r:id="rId519"/>
    <hyperlink xmlns:r="http://schemas.openxmlformats.org/officeDocument/2006/relationships" ref="C82" r:id="rId520"/>
    <hyperlink xmlns:r="http://schemas.openxmlformats.org/officeDocument/2006/relationships" ref="D82" r:id="rId521"/>
    <hyperlink xmlns:r="http://schemas.openxmlformats.org/officeDocument/2006/relationships" ref="H82" r:id="rId522"/>
    <hyperlink xmlns:r="http://schemas.openxmlformats.org/officeDocument/2006/relationships" ref="AM82" r:id="rId523"/>
    <hyperlink xmlns:r="http://schemas.openxmlformats.org/officeDocument/2006/relationships" ref="AV82" r:id="rId524"/>
    <hyperlink xmlns:r="http://schemas.openxmlformats.org/officeDocument/2006/relationships" ref="C83" r:id="rId525"/>
    <hyperlink xmlns:r="http://schemas.openxmlformats.org/officeDocument/2006/relationships" ref="D83" r:id="rId526"/>
    <hyperlink xmlns:r="http://schemas.openxmlformats.org/officeDocument/2006/relationships" ref="H83" r:id="rId527"/>
    <hyperlink xmlns:r="http://schemas.openxmlformats.org/officeDocument/2006/relationships" ref="AM83" r:id="rId528"/>
    <hyperlink xmlns:r="http://schemas.openxmlformats.org/officeDocument/2006/relationships" ref="AV83" r:id="rId529"/>
    <hyperlink xmlns:r="http://schemas.openxmlformats.org/officeDocument/2006/relationships" ref="C84" r:id="rId530"/>
    <hyperlink xmlns:r="http://schemas.openxmlformats.org/officeDocument/2006/relationships" ref="D84" r:id="rId531"/>
    <hyperlink xmlns:r="http://schemas.openxmlformats.org/officeDocument/2006/relationships" ref="H84" r:id="rId532"/>
    <hyperlink xmlns:r="http://schemas.openxmlformats.org/officeDocument/2006/relationships" ref="AM84" r:id="rId533"/>
    <hyperlink xmlns:r="http://schemas.openxmlformats.org/officeDocument/2006/relationships" ref="AV84" r:id="rId534"/>
    <hyperlink xmlns:r="http://schemas.openxmlformats.org/officeDocument/2006/relationships" ref="C85" r:id="rId535"/>
    <hyperlink xmlns:r="http://schemas.openxmlformats.org/officeDocument/2006/relationships" ref="D85" r:id="rId536"/>
    <hyperlink xmlns:r="http://schemas.openxmlformats.org/officeDocument/2006/relationships" ref="H85" r:id="rId537"/>
    <hyperlink xmlns:r="http://schemas.openxmlformats.org/officeDocument/2006/relationships" ref="AM85" r:id="rId538"/>
    <hyperlink xmlns:r="http://schemas.openxmlformats.org/officeDocument/2006/relationships" ref="AV85" r:id="rId539"/>
    <hyperlink xmlns:r="http://schemas.openxmlformats.org/officeDocument/2006/relationships" ref="C86" r:id="rId540"/>
    <hyperlink xmlns:r="http://schemas.openxmlformats.org/officeDocument/2006/relationships" ref="D86" r:id="rId541"/>
    <hyperlink xmlns:r="http://schemas.openxmlformats.org/officeDocument/2006/relationships" ref="H86" r:id="rId542"/>
    <hyperlink xmlns:r="http://schemas.openxmlformats.org/officeDocument/2006/relationships" ref="AM86" r:id="rId543"/>
    <hyperlink xmlns:r="http://schemas.openxmlformats.org/officeDocument/2006/relationships" ref="AV86" r:id="rId544"/>
    <hyperlink xmlns:r="http://schemas.openxmlformats.org/officeDocument/2006/relationships" ref="C87" r:id="rId545"/>
    <hyperlink xmlns:r="http://schemas.openxmlformats.org/officeDocument/2006/relationships" ref="D87" r:id="rId546"/>
    <hyperlink xmlns:r="http://schemas.openxmlformats.org/officeDocument/2006/relationships" ref="H87" r:id="rId547"/>
    <hyperlink xmlns:r="http://schemas.openxmlformats.org/officeDocument/2006/relationships" ref="AM87" r:id="rId548"/>
    <hyperlink xmlns:r="http://schemas.openxmlformats.org/officeDocument/2006/relationships" ref="AV87" r:id="rId549"/>
    <hyperlink xmlns:r="http://schemas.openxmlformats.org/officeDocument/2006/relationships" ref="C88" r:id="rId550"/>
    <hyperlink xmlns:r="http://schemas.openxmlformats.org/officeDocument/2006/relationships" ref="D88" r:id="rId551"/>
    <hyperlink xmlns:r="http://schemas.openxmlformats.org/officeDocument/2006/relationships" ref="H88" r:id="rId552"/>
    <hyperlink xmlns:r="http://schemas.openxmlformats.org/officeDocument/2006/relationships" ref="AM88" r:id="rId553"/>
    <hyperlink xmlns:r="http://schemas.openxmlformats.org/officeDocument/2006/relationships" ref="AV88" r:id="rId554"/>
    <hyperlink xmlns:r="http://schemas.openxmlformats.org/officeDocument/2006/relationships" ref="C89" r:id="rId555"/>
    <hyperlink xmlns:r="http://schemas.openxmlformats.org/officeDocument/2006/relationships" ref="D89" r:id="rId556"/>
    <hyperlink xmlns:r="http://schemas.openxmlformats.org/officeDocument/2006/relationships" ref="H89" r:id="rId557"/>
    <hyperlink xmlns:r="http://schemas.openxmlformats.org/officeDocument/2006/relationships" ref="AM89" r:id="rId558"/>
    <hyperlink xmlns:r="http://schemas.openxmlformats.org/officeDocument/2006/relationships" ref="AV89" r:id="rId559"/>
    <hyperlink xmlns:r="http://schemas.openxmlformats.org/officeDocument/2006/relationships" ref="C90" r:id="rId560"/>
    <hyperlink xmlns:r="http://schemas.openxmlformats.org/officeDocument/2006/relationships" ref="D90" r:id="rId561"/>
    <hyperlink xmlns:r="http://schemas.openxmlformats.org/officeDocument/2006/relationships" ref="H90" r:id="rId562"/>
    <hyperlink xmlns:r="http://schemas.openxmlformats.org/officeDocument/2006/relationships" ref="AM90" r:id="rId563"/>
    <hyperlink xmlns:r="http://schemas.openxmlformats.org/officeDocument/2006/relationships" ref="AV90" r:id="rId564"/>
    <hyperlink xmlns:r="http://schemas.openxmlformats.org/officeDocument/2006/relationships" ref="C91" r:id="rId565"/>
    <hyperlink xmlns:r="http://schemas.openxmlformats.org/officeDocument/2006/relationships" ref="D91" r:id="rId566"/>
    <hyperlink xmlns:r="http://schemas.openxmlformats.org/officeDocument/2006/relationships" ref="H91" r:id="rId567"/>
    <hyperlink xmlns:r="http://schemas.openxmlformats.org/officeDocument/2006/relationships" ref="AM91" r:id="rId568"/>
    <hyperlink xmlns:r="http://schemas.openxmlformats.org/officeDocument/2006/relationships" ref="AR91" r:id="rId569"/>
    <hyperlink xmlns:r="http://schemas.openxmlformats.org/officeDocument/2006/relationships" ref="AV91" r:id="rId570"/>
    <hyperlink xmlns:r="http://schemas.openxmlformats.org/officeDocument/2006/relationships" ref="C92" r:id="rId571"/>
    <hyperlink xmlns:r="http://schemas.openxmlformats.org/officeDocument/2006/relationships" ref="D92" r:id="rId572"/>
    <hyperlink xmlns:r="http://schemas.openxmlformats.org/officeDocument/2006/relationships" ref="H92" r:id="rId573"/>
    <hyperlink xmlns:r="http://schemas.openxmlformats.org/officeDocument/2006/relationships" ref="AM92" r:id="rId574"/>
    <hyperlink xmlns:r="http://schemas.openxmlformats.org/officeDocument/2006/relationships" ref="AV92" r:id="rId575"/>
    <hyperlink xmlns:r="http://schemas.openxmlformats.org/officeDocument/2006/relationships" ref="C93" r:id="rId576"/>
    <hyperlink xmlns:r="http://schemas.openxmlformats.org/officeDocument/2006/relationships" ref="D93" r:id="rId577"/>
    <hyperlink xmlns:r="http://schemas.openxmlformats.org/officeDocument/2006/relationships" ref="H93" r:id="rId578"/>
    <hyperlink xmlns:r="http://schemas.openxmlformats.org/officeDocument/2006/relationships" ref="AM93" r:id="rId579"/>
    <hyperlink xmlns:r="http://schemas.openxmlformats.org/officeDocument/2006/relationships" ref="AV93" r:id="rId580"/>
    <hyperlink xmlns:r="http://schemas.openxmlformats.org/officeDocument/2006/relationships" ref="C94" r:id="rId581"/>
    <hyperlink xmlns:r="http://schemas.openxmlformats.org/officeDocument/2006/relationships" ref="D94" r:id="rId582"/>
    <hyperlink xmlns:r="http://schemas.openxmlformats.org/officeDocument/2006/relationships" ref="H94" r:id="rId583"/>
    <hyperlink xmlns:r="http://schemas.openxmlformats.org/officeDocument/2006/relationships" ref="AM94" r:id="rId584"/>
    <hyperlink xmlns:r="http://schemas.openxmlformats.org/officeDocument/2006/relationships" ref="AV94" r:id="rId585"/>
    <hyperlink xmlns:r="http://schemas.openxmlformats.org/officeDocument/2006/relationships" ref="C95" r:id="rId586"/>
    <hyperlink xmlns:r="http://schemas.openxmlformats.org/officeDocument/2006/relationships" ref="D95" r:id="rId587"/>
    <hyperlink xmlns:r="http://schemas.openxmlformats.org/officeDocument/2006/relationships" ref="H95" r:id="rId588"/>
    <hyperlink xmlns:r="http://schemas.openxmlformats.org/officeDocument/2006/relationships" ref="AM95" r:id="rId589"/>
    <hyperlink xmlns:r="http://schemas.openxmlformats.org/officeDocument/2006/relationships" ref="AV95" r:id="rId590"/>
    <hyperlink xmlns:r="http://schemas.openxmlformats.org/officeDocument/2006/relationships" ref="C96" r:id="rId591"/>
    <hyperlink xmlns:r="http://schemas.openxmlformats.org/officeDocument/2006/relationships" ref="D96" r:id="rId592"/>
    <hyperlink xmlns:r="http://schemas.openxmlformats.org/officeDocument/2006/relationships" ref="H96" r:id="rId593"/>
    <hyperlink xmlns:r="http://schemas.openxmlformats.org/officeDocument/2006/relationships" ref="AM96" r:id="rId594"/>
    <hyperlink xmlns:r="http://schemas.openxmlformats.org/officeDocument/2006/relationships" ref="AR96" r:id="rId595"/>
    <hyperlink xmlns:r="http://schemas.openxmlformats.org/officeDocument/2006/relationships" ref="AV96" r:id="rId596"/>
    <hyperlink xmlns:r="http://schemas.openxmlformats.org/officeDocument/2006/relationships" ref="C97" r:id="rId597"/>
    <hyperlink xmlns:r="http://schemas.openxmlformats.org/officeDocument/2006/relationships" ref="D97" r:id="rId598"/>
    <hyperlink xmlns:r="http://schemas.openxmlformats.org/officeDocument/2006/relationships" ref="H97" r:id="rId599"/>
    <hyperlink xmlns:r="http://schemas.openxmlformats.org/officeDocument/2006/relationships" ref="AM97" r:id="rId600"/>
    <hyperlink xmlns:r="http://schemas.openxmlformats.org/officeDocument/2006/relationships" ref="AV97" r:id="rId601"/>
    <hyperlink xmlns:r="http://schemas.openxmlformats.org/officeDocument/2006/relationships" ref="C98" r:id="rId602"/>
    <hyperlink xmlns:r="http://schemas.openxmlformats.org/officeDocument/2006/relationships" ref="D98" r:id="rId603"/>
    <hyperlink xmlns:r="http://schemas.openxmlformats.org/officeDocument/2006/relationships" ref="H98" r:id="rId604"/>
    <hyperlink xmlns:r="http://schemas.openxmlformats.org/officeDocument/2006/relationships" ref="AM98" r:id="rId605"/>
    <hyperlink xmlns:r="http://schemas.openxmlformats.org/officeDocument/2006/relationships" ref="AV98" r:id="rId606"/>
    <hyperlink xmlns:r="http://schemas.openxmlformats.org/officeDocument/2006/relationships" ref="C99" r:id="rId607"/>
    <hyperlink xmlns:r="http://schemas.openxmlformats.org/officeDocument/2006/relationships" ref="D99" r:id="rId608"/>
    <hyperlink xmlns:r="http://schemas.openxmlformats.org/officeDocument/2006/relationships" ref="H99" r:id="rId609"/>
    <hyperlink xmlns:r="http://schemas.openxmlformats.org/officeDocument/2006/relationships" ref="AM99" r:id="rId610"/>
    <hyperlink xmlns:r="http://schemas.openxmlformats.org/officeDocument/2006/relationships" ref="AV99" r:id="rId611"/>
    <hyperlink xmlns:r="http://schemas.openxmlformats.org/officeDocument/2006/relationships" ref="C100" r:id="rId612"/>
    <hyperlink xmlns:r="http://schemas.openxmlformats.org/officeDocument/2006/relationships" ref="D100" r:id="rId613"/>
    <hyperlink xmlns:r="http://schemas.openxmlformats.org/officeDocument/2006/relationships" ref="H100" r:id="rId614"/>
    <hyperlink xmlns:r="http://schemas.openxmlformats.org/officeDocument/2006/relationships" ref="AM100" r:id="rId615"/>
    <hyperlink xmlns:r="http://schemas.openxmlformats.org/officeDocument/2006/relationships" ref="AV100" r:id="rId616"/>
    <hyperlink xmlns:r="http://schemas.openxmlformats.org/officeDocument/2006/relationships" ref="C101" r:id="rId617"/>
    <hyperlink xmlns:r="http://schemas.openxmlformats.org/officeDocument/2006/relationships" ref="D101" r:id="rId618"/>
    <hyperlink xmlns:r="http://schemas.openxmlformats.org/officeDocument/2006/relationships" ref="H101" r:id="rId619"/>
    <hyperlink xmlns:r="http://schemas.openxmlformats.org/officeDocument/2006/relationships" ref="AM101" r:id="rId620"/>
    <hyperlink xmlns:r="http://schemas.openxmlformats.org/officeDocument/2006/relationships" ref="AV101" r:id="rId621"/>
    <hyperlink xmlns:r="http://schemas.openxmlformats.org/officeDocument/2006/relationships" ref="C102" r:id="rId622"/>
    <hyperlink xmlns:r="http://schemas.openxmlformats.org/officeDocument/2006/relationships" ref="D102" r:id="rId623"/>
    <hyperlink xmlns:r="http://schemas.openxmlformats.org/officeDocument/2006/relationships" ref="H102" r:id="rId624"/>
    <hyperlink xmlns:r="http://schemas.openxmlformats.org/officeDocument/2006/relationships" ref="AM102" r:id="rId625"/>
    <hyperlink xmlns:r="http://schemas.openxmlformats.org/officeDocument/2006/relationships" ref="AV102" r:id="rId626"/>
    <hyperlink xmlns:r="http://schemas.openxmlformats.org/officeDocument/2006/relationships" ref="C103" r:id="rId627"/>
    <hyperlink xmlns:r="http://schemas.openxmlformats.org/officeDocument/2006/relationships" ref="D103" r:id="rId628"/>
    <hyperlink xmlns:r="http://schemas.openxmlformats.org/officeDocument/2006/relationships" ref="H103" r:id="rId629"/>
    <hyperlink xmlns:r="http://schemas.openxmlformats.org/officeDocument/2006/relationships" ref="AM103" r:id="rId630"/>
    <hyperlink xmlns:r="http://schemas.openxmlformats.org/officeDocument/2006/relationships" ref="AV103" r:id="rId631"/>
    <hyperlink xmlns:r="http://schemas.openxmlformats.org/officeDocument/2006/relationships" ref="C104" r:id="rId632"/>
    <hyperlink xmlns:r="http://schemas.openxmlformats.org/officeDocument/2006/relationships" ref="D104" r:id="rId633"/>
    <hyperlink xmlns:r="http://schemas.openxmlformats.org/officeDocument/2006/relationships" ref="H104" r:id="rId634"/>
    <hyperlink xmlns:r="http://schemas.openxmlformats.org/officeDocument/2006/relationships" ref="AM104" r:id="rId635"/>
    <hyperlink xmlns:r="http://schemas.openxmlformats.org/officeDocument/2006/relationships" ref="AV104" r:id="rId636"/>
    <hyperlink xmlns:r="http://schemas.openxmlformats.org/officeDocument/2006/relationships" ref="C105" r:id="rId637"/>
    <hyperlink xmlns:r="http://schemas.openxmlformats.org/officeDocument/2006/relationships" ref="D105" r:id="rId638"/>
    <hyperlink xmlns:r="http://schemas.openxmlformats.org/officeDocument/2006/relationships" ref="H105" r:id="rId639"/>
    <hyperlink xmlns:r="http://schemas.openxmlformats.org/officeDocument/2006/relationships" ref="AM105" r:id="rId640"/>
    <hyperlink xmlns:r="http://schemas.openxmlformats.org/officeDocument/2006/relationships" ref="AV105" r:id="rId641"/>
    <hyperlink xmlns:r="http://schemas.openxmlformats.org/officeDocument/2006/relationships" ref="C106" r:id="rId642"/>
    <hyperlink xmlns:r="http://schemas.openxmlformats.org/officeDocument/2006/relationships" ref="D106" r:id="rId643"/>
    <hyperlink xmlns:r="http://schemas.openxmlformats.org/officeDocument/2006/relationships" ref="H106" r:id="rId644"/>
    <hyperlink xmlns:r="http://schemas.openxmlformats.org/officeDocument/2006/relationships" ref="AM106" r:id="rId645"/>
    <hyperlink xmlns:r="http://schemas.openxmlformats.org/officeDocument/2006/relationships" ref="AV106" r:id="rId646"/>
    <hyperlink xmlns:r="http://schemas.openxmlformats.org/officeDocument/2006/relationships" ref="C107" r:id="rId647"/>
    <hyperlink xmlns:r="http://schemas.openxmlformats.org/officeDocument/2006/relationships" ref="D107" r:id="rId648"/>
    <hyperlink xmlns:r="http://schemas.openxmlformats.org/officeDocument/2006/relationships" ref="H107" r:id="rId649"/>
    <hyperlink xmlns:r="http://schemas.openxmlformats.org/officeDocument/2006/relationships" ref="AM107" r:id="rId650"/>
    <hyperlink xmlns:r="http://schemas.openxmlformats.org/officeDocument/2006/relationships" ref="AV107" r:id="rId651"/>
    <hyperlink xmlns:r="http://schemas.openxmlformats.org/officeDocument/2006/relationships" ref="C108" r:id="rId652"/>
    <hyperlink xmlns:r="http://schemas.openxmlformats.org/officeDocument/2006/relationships" ref="D108" r:id="rId653"/>
    <hyperlink xmlns:r="http://schemas.openxmlformats.org/officeDocument/2006/relationships" ref="H108" r:id="rId654"/>
    <hyperlink xmlns:r="http://schemas.openxmlformats.org/officeDocument/2006/relationships" ref="AM108" r:id="rId655"/>
    <hyperlink xmlns:r="http://schemas.openxmlformats.org/officeDocument/2006/relationships" ref="AV108" r:id="rId656"/>
    <hyperlink xmlns:r="http://schemas.openxmlformats.org/officeDocument/2006/relationships" ref="C109" r:id="rId657"/>
    <hyperlink xmlns:r="http://schemas.openxmlformats.org/officeDocument/2006/relationships" ref="D109" r:id="rId658"/>
    <hyperlink xmlns:r="http://schemas.openxmlformats.org/officeDocument/2006/relationships" ref="H109" r:id="rId659"/>
    <hyperlink xmlns:r="http://schemas.openxmlformats.org/officeDocument/2006/relationships" ref="AM109" r:id="rId660"/>
    <hyperlink xmlns:r="http://schemas.openxmlformats.org/officeDocument/2006/relationships" ref="AV109" r:id="rId661"/>
    <hyperlink xmlns:r="http://schemas.openxmlformats.org/officeDocument/2006/relationships" ref="C110" r:id="rId662"/>
    <hyperlink xmlns:r="http://schemas.openxmlformats.org/officeDocument/2006/relationships" ref="D110" r:id="rId663"/>
    <hyperlink xmlns:r="http://schemas.openxmlformats.org/officeDocument/2006/relationships" ref="H110" r:id="rId664"/>
    <hyperlink xmlns:r="http://schemas.openxmlformats.org/officeDocument/2006/relationships" ref="AM110" r:id="rId665"/>
    <hyperlink xmlns:r="http://schemas.openxmlformats.org/officeDocument/2006/relationships" ref="AR110" r:id="rId666"/>
    <hyperlink xmlns:r="http://schemas.openxmlformats.org/officeDocument/2006/relationships" ref="AV110" r:id="rId667"/>
    <hyperlink xmlns:r="http://schemas.openxmlformats.org/officeDocument/2006/relationships" ref="C111" r:id="rId668"/>
    <hyperlink xmlns:r="http://schemas.openxmlformats.org/officeDocument/2006/relationships" ref="D111" r:id="rId669"/>
    <hyperlink xmlns:r="http://schemas.openxmlformats.org/officeDocument/2006/relationships" ref="H111" r:id="rId670"/>
    <hyperlink xmlns:r="http://schemas.openxmlformats.org/officeDocument/2006/relationships" ref="AM111" r:id="rId671"/>
    <hyperlink xmlns:r="http://schemas.openxmlformats.org/officeDocument/2006/relationships" ref="AV111" r:id="rId672"/>
    <hyperlink xmlns:r="http://schemas.openxmlformats.org/officeDocument/2006/relationships" ref="C112" r:id="rId673"/>
    <hyperlink xmlns:r="http://schemas.openxmlformats.org/officeDocument/2006/relationships" ref="D112" r:id="rId674"/>
    <hyperlink xmlns:r="http://schemas.openxmlformats.org/officeDocument/2006/relationships" ref="H112" r:id="rId675"/>
    <hyperlink xmlns:r="http://schemas.openxmlformats.org/officeDocument/2006/relationships" ref="AM112" r:id="rId676"/>
    <hyperlink xmlns:r="http://schemas.openxmlformats.org/officeDocument/2006/relationships" ref="AV112" r:id="rId677"/>
    <hyperlink xmlns:r="http://schemas.openxmlformats.org/officeDocument/2006/relationships" ref="C113" r:id="rId678"/>
    <hyperlink xmlns:r="http://schemas.openxmlformats.org/officeDocument/2006/relationships" ref="D113" r:id="rId679"/>
    <hyperlink xmlns:r="http://schemas.openxmlformats.org/officeDocument/2006/relationships" ref="H113" r:id="rId680"/>
    <hyperlink xmlns:r="http://schemas.openxmlformats.org/officeDocument/2006/relationships" ref="AM113" r:id="rId681"/>
    <hyperlink xmlns:r="http://schemas.openxmlformats.org/officeDocument/2006/relationships" ref="AV113" r:id="rId682"/>
    <hyperlink xmlns:r="http://schemas.openxmlformats.org/officeDocument/2006/relationships" ref="C114" r:id="rId683"/>
    <hyperlink xmlns:r="http://schemas.openxmlformats.org/officeDocument/2006/relationships" ref="D114" r:id="rId684"/>
    <hyperlink xmlns:r="http://schemas.openxmlformats.org/officeDocument/2006/relationships" ref="H114" r:id="rId685"/>
    <hyperlink xmlns:r="http://schemas.openxmlformats.org/officeDocument/2006/relationships" ref="AM114" r:id="rId686"/>
    <hyperlink xmlns:r="http://schemas.openxmlformats.org/officeDocument/2006/relationships" ref="AV114" r:id="rId687"/>
    <hyperlink xmlns:r="http://schemas.openxmlformats.org/officeDocument/2006/relationships" ref="C115" r:id="rId688"/>
    <hyperlink xmlns:r="http://schemas.openxmlformats.org/officeDocument/2006/relationships" ref="D115" r:id="rId689"/>
    <hyperlink xmlns:r="http://schemas.openxmlformats.org/officeDocument/2006/relationships" ref="H115" r:id="rId690"/>
    <hyperlink xmlns:r="http://schemas.openxmlformats.org/officeDocument/2006/relationships" ref="AM115" r:id="rId691"/>
    <hyperlink xmlns:r="http://schemas.openxmlformats.org/officeDocument/2006/relationships" ref="AV115" r:id="rId692"/>
    <hyperlink xmlns:r="http://schemas.openxmlformats.org/officeDocument/2006/relationships" ref="C116" r:id="rId693"/>
    <hyperlink xmlns:r="http://schemas.openxmlformats.org/officeDocument/2006/relationships" ref="D116" r:id="rId694"/>
    <hyperlink xmlns:r="http://schemas.openxmlformats.org/officeDocument/2006/relationships" ref="H116" r:id="rId695"/>
    <hyperlink xmlns:r="http://schemas.openxmlformats.org/officeDocument/2006/relationships" ref="AM116" r:id="rId696"/>
    <hyperlink xmlns:r="http://schemas.openxmlformats.org/officeDocument/2006/relationships" ref="AR116" r:id="rId697"/>
    <hyperlink xmlns:r="http://schemas.openxmlformats.org/officeDocument/2006/relationships" ref="AV116" r:id="rId698"/>
    <hyperlink xmlns:r="http://schemas.openxmlformats.org/officeDocument/2006/relationships" ref="C117" r:id="rId699"/>
    <hyperlink xmlns:r="http://schemas.openxmlformats.org/officeDocument/2006/relationships" ref="D117" r:id="rId700"/>
    <hyperlink xmlns:r="http://schemas.openxmlformats.org/officeDocument/2006/relationships" ref="H117" r:id="rId701"/>
    <hyperlink xmlns:r="http://schemas.openxmlformats.org/officeDocument/2006/relationships" ref="AM117" r:id="rId702"/>
    <hyperlink xmlns:r="http://schemas.openxmlformats.org/officeDocument/2006/relationships" ref="AV117" r:id="rId703"/>
    <hyperlink xmlns:r="http://schemas.openxmlformats.org/officeDocument/2006/relationships" ref="C118" r:id="rId704"/>
    <hyperlink xmlns:r="http://schemas.openxmlformats.org/officeDocument/2006/relationships" ref="D118" r:id="rId705"/>
    <hyperlink xmlns:r="http://schemas.openxmlformats.org/officeDocument/2006/relationships" ref="H118" r:id="rId706"/>
    <hyperlink xmlns:r="http://schemas.openxmlformats.org/officeDocument/2006/relationships" ref="AM118" r:id="rId707"/>
    <hyperlink xmlns:r="http://schemas.openxmlformats.org/officeDocument/2006/relationships" ref="AV118" r:id="rId708"/>
    <hyperlink xmlns:r="http://schemas.openxmlformats.org/officeDocument/2006/relationships" ref="C119" r:id="rId709"/>
    <hyperlink xmlns:r="http://schemas.openxmlformats.org/officeDocument/2006/relationships" ref="D119" r:id="rId710"/>
    <hyperlink xmlns:r="http://schemas.openxmlformats.org/officeDocument/2006/relationships" ref="H119" r:id="rId711"/>
    <hyperlink xmlns:r="http://schemas.openxmlformats.org/officeDocument/2006/relationships" ref="AM119" r:id="rId712"/>
    <hyperlink xmlns:r="http://schemas.openxmlformats.org/officeDocument/2006/relationships" ref="AV119" r:id="rId713"/>
    <hyperlink xmlns:r="http://schemas.openxmlformats.org/officeDocument/2006/relationships" ref="C120" r:id="rId714"/>
    <hyperlink xmlns:r="http://schemas.openxmlformats.org/officeDocument/2006/relationships" ref="D120" r:id="rId715"/>
    <hyperlink xmlns:r="http://schemas.openxmlformats.org/officeDocument/2006/relationships" ref="H120" r:id="rId716"/>
    <hyperlink xmlns:r="http://schemas.openxmlformats.org/officeDocument/2006/relationships" ref="AM120" r:id="rId717"/>
    <hyperlink xmlns:r="http://schemas.openxmlformats.org/officeDocument/2006/relationships" ref="AV120" r:id="rId718"/>
    <hyperlink xmlns:r="http://schemas.openxmlformats.org/officeDocument/2006/relationships" ref="C121" r:id="rId719"/>
    <hyperlink xmlns:r="http://schemas.openxmlformats.org/officeDocument/2006/relationships" ref="D121" r:id="rId720"/>
    <hyperlink xmlns:r="http://schemas.openxmlformats.org/officeDocument/2006/relationships" ref="H121" r:id="rId721"/>
    <hyperlink xmlns:r="http://schemas.openxmlformats.org/officeDocument/2006/relationships" ref="AM121" r:id="rId722"/>
    <hyperlink xmlns:r="http://schemas.openxmlformats.org/officeDocument/2006/relationships" ref="AV121" r:id="rId723"/>
    <hyperlink xmlns:r="http://schemas.openxmlformats.org/officeDocument/2006/relationships" ref="C122" r:id="rId724"/>
    <hyperlink xmlns:r="http://schemas.openxmlformats.org/officeDocument/2006/relationships" ref="D122" r:id="rId725"/>
    <hyperlink xmlns:r="http://schemas.openxmlformats.org/officeDocument/2006/relationships" ref="H122" r:id="rId726"/>
    <hyperlink xmlns:r="http://schemas.openxmlformats.org/officeDocument/2006/relationships" ref="AM122" r:id="rId727"/>
    <hyperlink xmlns:r="http://schemas.openxmlformats.org/officeDocument/2006/relationships" ref="AV122" r:id="rId728"/>
    <hyperlink xmlns:r="http://schemas.openxmlformats.org/officeDocument/2006/relationships" ref="C123" r:id="rId729"/>
    <hyperlink xmlns:r="http://schemas.openxmlformats.org/officeDocument/2006/relationships" ref="D123" r:id="rId730"/>
    <hyperlink xmlns:r="http://schemas.openxmlformats.org/officeDocument/2006/relationships" ref="H123" r:id="rId731"/>
    <hyperlink xmlns:r="http://schemas.openxmlformats.org/officeDocument/2006/relationships" ref="AM123" r:id="rId732"/>
    <hyperlink xmlns:r="http://schemas.openxmlformats.org/officeDocument/2006/relationships" ref="AV123" r:id="rId733"/>
    <hyperlink xmlns:r="http://schemas.openxmlformats.org/officeDocument/2006/relationships" ref="C124" r:id="rId734"/>
    <hyperlink xmlns:r="http://schemas.openxmlformats.org/officeDocument/2006/relationships" ref="D124" r:id="rId735"/>
    <hyperlink xmlns:r="http://schemas.openxmlformats.org/officeDocument/2006/relationships" ref="H124" r:id="rId736"/>
    <hyperlink xmlns:r="http://schemas.openxmlformats.org/officeDocument/2006/relationships" ref="AM124" r:id="rId737"/>
    <hyperlink xmlns:r="http://schemas.openxmlformats.org/officeDocument/2006/relationships" ref="AV124" r:id="rId738"/>
    <hyperlink xmlns:r="http://schemas.openxmlformats.org/officeDocument/2006/relationships" ref="C125" r:id="rId739"/>
    <hyperlink xmlns:r="http://schemas.openxmlformats.org/officeDocument/2006/relationships" ref="D125" r:id="rId740"/>
    <hyperlink xmlns:r="http://schemas.openxmlformats.org/officeDocument/2006/relationships" ref="H125" r:id="rId741"/>
    <hyperlink xmlns:r="http://schemas.openxmlformats.org/officeDocument/2006/relationships" ref="AM125" r:id="rId742"/>
    <hyperlink xmlns:r="http://schemas.openxmlformats.org/officeDocument/2006/relationships" ref="AV125" r:id="rId743"/>
    <hyperlink xmlns:r="http://schemas.openxmlformats.org/officeDocument/2006/relationships" ref="C126" r:id="rId744"/>
    <hyperlink xmlns:r="http://schemas.openxmlformats.org/officeDocument/2006/relationships" ref="D126" r:id="rId745"/>
    <hyperlink xmlns:r="http://schemas.openxmlformats.org/officeDocument/2006/relationships" ref="H126" r:id="rId746"/>
    <hyperlink xmlns:r="http://schemas.openxmlformats.org/officeDocument/2006/relationships" ref="AM126" r:id="rId747"/>
    <hyperlink xmlns:r="http://schemas.openxmlformats.org/officeDocument/2006/relationships" ref="AV126" r:id="rId748"/>
    <hyperlink xmlns:r="http://schemas.openxmlformats.org/officeDocument/2006/relationships" ref="C127" r:id="rId749"/>
    <hyperlink xmlns:r="http://schemas.openxmlformats.org/officeDocument/2006/relationships" ref="D127" r:id="rId750"/>
    <hyperlink xmlns:r="http://schemas.openxmlformats.org/officeDocument/2006/relationships" ref="H127" r:id="rId751"/>
    <hyperlink xmlns:r="http://schemas.openxmlformats.org/officeDocument/2006/relationships" ref="AM127" r:id="rId752"/>
    <hyperlink xmlns:r="http://schemas.openxmlformats.org/officeDocument/2006/relationships" ref="AV127" r:id="rId753"/>
    <hyperlink xmlns:r="http://schemas.openxmlformats.org/officeDocument/2006/relationships" ref="C128" r:id="rId754"/>
    <hyperlink xmlns:r="http://schemas.openxmlformats.org/officeDocument/2006/relationships" ref="D128" r:id="rId755"/>
    <hyperlink xmlns:r="http://schemas.openxmlformats.org/officeDocument/2006/relationships" ref="H128" r:id="rId756"/>
    <hyperlink xmlns:r="http://schemas.openxmlformats.org/officeDocument/2006/relationships" ref="AM128" r:id="rId757"/>
    <hyperlink xmlns:r="http://schemas.openxmlformats.org/officeDocument/2006/relationships" ref="AV128" r:id="rId758"/>
    <hyperlink xmlns:r="http://schemas.openxmlformats.org/officeDocument/2006/relationships" ref="C129" r:id="rId759"/>
    <hyperlink xmlns:r="http://schemas.openxmlformats.org/officeDocument/2006/relationships" ref="D129" r:id="rId760"/>
    <hyperlink xmlns:r="http://schemas.openxmlformats.org/officeDocument/2006/relationships" ref="H129" r:id="rId761"/>
    <hyperlink xmlns:r="http://schemas.openxmlformats.org/officeDocument/2006/relationships" ref="AM129" r:id="rId762"/>
    <hyperlink xmlns:r="http://schemas.openxmlformats.org/officeDocument/2006/relationships" ref="AV129" r:id="rId763"/>
    <hyperlink xmlns:r="http://schemas.openxmlformats.org/officeDocument/2006/relationships" ref="C130" r:id="rId764"/>
    <hyperlink xmlns:r="http://schemas.openxmlformats.org/officeDocument/2006/relationships" ref="D130" r:id="rId765"/>
    <hyperlink xmlns:r="http://schemas.openxmlformats.org/officeDocument/2006/relationships" ref="H130" r:id="rId766"/>
    <hyperlink xmlns:r="http://schemas.openxmlformats.org/officeDocument/2006/relationships" ref="AM130" r:id="rId767"/>
    <hyperlink xmlns:r="http://schemas.openxmlformats.org/officeDocument/2006/relationships" ref="AV130" r:id="rId768"/>
    <hyperlink xmlns:r="http://schemas.openxmlformats.org/officeDocument/2006/relationships" ref="C131" r:id="rId769"/>
    <hyperlink xmlns:r="http://schemas.openxmlformats.org/officeDocument/2006/relationships" ref="D131" r:id="rId770"/>
    <hyperlink xmlns:r="http://schemas.openxmlformats.org/officeDocument/2006/relationships" ref="H131" r:id="rId771"/>
    <hyperlink xmlns:r="http://schemas.openxmlformats.org/officeDocument/2006/relationships" ref="AM131" r:id="rId772"/>
    <hyperlink xmlns:r="http://schemas.openxmlformats.org/officeDocument/2006/relationships" ref="AV131" r:id="rId773"/>
    <hyperlink xmlns:r="http://schemas.openxmlformats.org/officeDocument/2006/relationships" ref="C132" r:id="rId774"/>
    <hyperlink xmlns:r="http://schemas.openxmlformats.org/officeDocument/2006/relationships" ref="D132" r:id="rId775"/>
    <hyperlink xmlns:r="http://schemas.openxmlformats.org/officeDocument/2006/relationships" ref="H132" r:id="rId776"/>
    <hyperlink xmlns:r="http://schemas.openxmlformats.org/officeDocument/2006/relationships" ref="AM132" r:id="rId777"/>
    <hyperlink xmlns:r="http://schemas.openxmlformats.org/officeDocument/2006/relationships" ref="AV132" r:id="rId778"/>
    <hyperlink xmlns:r="http://schemas.openxmlformats.org/officeDocument/2006/relationships" ref="C133" r:id="rId779"/>
    <hyperlink xmlns:r="http://schemas.openxmlformats.org/officeDocument/2006/relationships" ref="D133" r:id="rId780"/>
    <hyperlink xmlns:r="http://schemas.openxmlformats.org/officeDocument/2006/relationships" ref="H133" r:id="rId781"/>
    <hyperlink xmlns:r="http://schemas.openxmlformats.org/officeDocument/2006/relationships" ref="AM133" r:id="rId782"/>
    <hyperlink xmlns:r="http://schemas.openxmlformats.org/officeDocument/2006/relationships" ref="AV133" r:id="rId783"/>
    <hyperlink xmlns:r="http://schemas.openxmlformats.org/officeDocument/2006/relationships" ref="C134" r:id="rId784"/>
    <hyperlink xmlns:r="http://schemas.openxmlformats.org/officeDocument/2006/relationships" ref="D134" r:id="rId785"/>
    <hyperlink xmlns:r="http://schemas.openxmlformats.org/officeDocument/2006/relationships" ref="H134" r:id="rId786"/>
    <hyperlink xmlns:r="http://schemas.openxmlformats.org/officeDocument/2006/relationships" ref="AM134" r:id="rId787"/>
    <hyperlink xmlns:r="http://schemas.openxmlformats.org/officeDocument/2006/relationships" ref="AV134" r:id="rId788"/>
    <hyperlink xmlns:r="http://schemas.openxmlformats.org/officeDocument/2006/relationships" ref="C135" r:id="rId789"/>
    <hyperlink xmlns:r="http://schemas.openxmlformats.org/officeDocument/2006/relationships" ref="D135" r:id="rId790"/>
    <hyperlink xmlns:r="http://schemas.openxmlformats.org/officeDocument/2006/relationships" ref="H135" r:id="rId791"/>
    <hyperlink xmlns:r="http://schemas.openxmlformats.org/officeDocument/2006/relationships" ref="AM135" r:id="rId792"/>
    <hyperlink xmlns:r="http://schemas.openxmlformats.org/officeDocument/2006/relationships" ref="AV135" r:id="rId793"/>
    <hyperlink xmlns:r="http://schemas.openxmlformats.org/officeDocument/2006/relationships" ref="C136" r:id="rId794"/>
    <hyperlink xmlns:r="http://schemas.openxmlformats.org/officeDocument/2006/relationships" ref="D136" r:id="rId795"/>
    <hyperlink xmlns:r="http://schemas.openxmlformats.org/officeDocument/2006/relationships" ref="H136" r:id="rId796"/>
    <hyperlink xmlns:r="http://schemas.openxmlformats.org/officeDocument/2006/relationships" ref="AM136" r:id="rId797"/>
    <hyperlink xmlns:r="http://schemas.openxmlformats.org/officeDocument/2006/relationships" ref="AV136" r:id="rId798"/>
    <hyperlink xmlns:r="http://schemas.openxmlformats.org/officeDocument/2006/relationships" ref="C137" r:id="rId799"/>
    <hyperlink xmlns:r="http://schemas.openxmlformats.org/officeDocument/2006/relationships" ref="D137" r:id="rId800"/>
    <hyperlink xmlns:r="http://schemas.openxmlformats.org/officeDocument/2006/relationships" ref="H137" r:id="rId801"/>
    <hyperlink xmlns:r="http://schemas.openxmlformats.org/officeDocument/2006/relationships" ref="AM137" r:id="rId802"/>
    <hyperlink xmlns:r="http://schemas.openxmlformats.org/officeDocument/2006/relationships" ref="AV137" r:id="rId803"/>
    <hyperlink xmlns:r="http://schemas.openxmlformats.org/officeDocument/2006/relationships" ref="C138" r:id="rId804"/>
    <hyperlink xmlns:r="http://schemas.openxmlformats.org/officeDocument/2006/relationships" ref="D138" r:id="rId805"/>
    <hyperlink xmlns:r="http://schemas.openxmlformats.org/officeDocument/2006/relationships" ref="H138" r:id="rId806"/>
    <hyperlink xmlns:r="http://schemas.openxmlformats.org/officeDocument/2006/relationships" ref="AM138" r:id="rId807"/>
    <hyperlink xmlns:r="http://schemas.openxmlformats.org/officeDocument/2006/relationships" ref="AV138" r:id="rId808"/>
    <hyperlink xmlns:r="http://schemas.openxmlformats.org/officeDocument/2006/relationships" ref="C139" r:id="rId809"/>
    <hyperlink xmlns:r="http://schemas.openxmlformats.org/officeDocument/2006/relationships" ref="D139" r:id="rId810"/>
    <hyperlink xmlns:r="http://schemas.openxmlformats.org/officeDocument/2006/relationships" ref="H139" r:id="rId811"/>
    <hyperlink xmlns:r="http://schemas.openxmlformats.org/officeDocument/2006/relationships" ref="AM139" r:id="rId812"/>
    <hyperlink xmlns:r="http://schemas.openxmlformats.org/officeDocument/2006/relationships" ref="AV139" r:id="rId813"/>
    <hyperlink xmlns:r="http://schemas.openxmlformats.org/officeDocument/2006/relationships" ref="C140" r:id="rId814"/>
    <hyperlink xmlns:r="http://schemas.openxmlformats.org/officeDocument/2006/relationships" ref="D140" r:id="rId815"/>
    <hyperlink xmlns:r="http://schemas.openxmlformats.org/officeDocument/2006/relationships" ref="H140" r:id="rId816"/>
    <hyperlink xmlns:r="http://schemas.openxmlformats.org/officeDocument/2006/relationships" ref="AM140" r:id="rId817"/>
    <hyperlink xmlns:r="http://schemas.openxmlformats.org/officeDocument/2006/relationships" ref="AV140" r:id="rId818"/>
    <hyperlink xmlns:r="http://schemas.openxmlformats.org/officeDocument/2006/relationships" ref="C141" r:id="rId819"/>
    <hyperlink xmlns:r="http://schemas.openxmlformats.org/officeDocument/2006/relationships" ref="D141" r:id="rId820"/>
    <hyperlink xmlns:r="http://schemas.openxmlformats.org/officeDocument/2006/relationships" ref="H141" r:id="rId821"/>
    <hyperlink xmlns:r="http://schemas.openxmlformats.org/officeDocument/2006/relationships" ref="AM141" r:id="rId822"/>
    <hyperlink xmlns:r="http://schemas.openxmlformats.org/officeDocument/2006/relationships" ref="AV141" r:id="rId823"/>
    <hyperlink xmlns:r="http://schemas.openxmlformats.org/officeDocument/2006/relationships" ref="C142" r:id="rId824"/>
    <hyperlink xmlns:r="http://schemas.openxmlformats.org/officeDocument/2006/relationships" ref="D142" r:id="rId825"/>
    <hyperlink xmlns:r="http://schemas.openxmlformats.org/officeDocument/2006/relationships" ref="H142" r:id="rId826"/>
    <hyperlink xmlns:r="http://schemas.openxmlformats.org/officeDocument/2006/relationships" ref="AM142" r:id="rId827"/>
    <hyperlink xmlns:r="http://schemas.openxmlformats.org/officeDocument/2006/relationships" ref="AV142" r:id="rId828"/>
    <hyperlink xmlns:r="http://schemas.openxmlformats.org/officeDocument/2006/relationships" ref="C143" r:id="rId829"/>
    <hyperlink xmlns:r="http://schemas.openxmlformats.org/officeDocument/2006/relationships" ref="D143" r:id="rId830"/>
    <hyperlink xmlns:r="http://schemas.openxmlformats.org/officeDocument/2006/relationships" ref="H143" r:id="rId831"/>
    <hyperlink xmlns:r="http://schemas.openxmlformats.org/officeDocument/2006/relationships" ref="AM143" r:id="rId832"/>
    <hyperlink xmlns:r="http://schemas.openxmlformats.org/officeDocument/2006/relationships" ref="AV143" r:id="rId833"/>
    <hyperlink xmlns:r="http://schemas.openxmlformats.org/officeDocument/2006/relationships" ref="C144" r:id="rId834"/>
    <hyperlink xmlns:r="http://schemas.openxmlformats.org/officeDocument/2006/relationships" ref="D144" r:id="rId835"/>
    <hyperlink xmlns:r="http://schemas.openxmlformats.org/officeDocument/2006/relationships" ref="H144" r:id="rId836"/>
    <hyperlink xmlns:r="http://schemas.openxmlformats.org/officeDocument/2006/relationships" ref="AM144" r:id="rId837"/>
    <hyperlink xmlns:r="http://schemas.openxmlformats.org/officeDocument/2006/relationships" ref="AV144" r:id="rId838"/>
    <hyperlink xmlns:r="http://schemas.openxmlformats.org/officeDocument/2006/relationships" ref="C145" r:id="rId839"/>
    <hyperlink xmlns:r="http://schemas.openxmlformats.org/officeDocument/2006/relationships" ref="D145" r:id="rId840"/>
    <hyperlink xmlns:r="http://schemas.openxmlformats.org/officeDocument/2006/relationships" ref="H145" r:id="rId841"/>
    <hyperlink xmlns:r="http://schemas.openxmlformats.org/officeDocument/2006/relationships" ref="AM145" r:id="rId842"/>
    <hyperlink xmlns:r="http://schemas.openxmlformats.org/officeDocument/2006/relationships" ref="AV145" r:id="rId843"/>
    <hyperlink xmlns:r="http://schemas.openxmlformats.org/officeDocument/2006/relationships" ref="C146" r:id="rId844"/>
    <hyperlink xmlns:r="http://schemas.openxmlformats.org/officeDocument/2006/relationships" ref="D146" r:id="rId845"/>
    <hyperlink xmlns:r="http://schemas.openxmlformats.org/officeDocument/2006/relationships" ref="H146" r:id="rId846"/>
    <hyperlink xmlns:r="http://schemas.openxmlformats.org/officeDocument/2006/relationships" ref="AM146" r:id="rId847"/>
    <hyperlink xmlns:r="http://schemas.openxmlformats.org/officeDocument/2006/relationships" ref="AV146" r:id="rId848"/>
    <hyperlink xmlns:r="http://schemas.openxmlformats.org/officeDocument/2006/relationships" ref="C147" r:id="rId849"/>
    <hyperlink xmlns:r="http://schemas.openxmlformats.org/officeDocument/2006/relationships" ref="D147" r:id="rId850"/>
    <hyperlink xmlns:r="http://schemas.openxmlformats.org/officeDocument/2006/relationships" ref="H147" r:id="rId851"/>
    <hyperlink xmlns:r="http://schemas.openxmlformats.org/officeDocument/2006/relationships" ref="AM147" r:id="rId852"/>
    <hyperlink xmlns:r="http://schemas.openxmlformats.org/officeDocument/2006/relationships" ref="AV147" r:id="rId8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91"/>
  <sheetViews>
    <sheetView showGridLines="1" workbookViewId="0">
      <pane ySplit="1" topLeftCell="A2" activePane="bottomLeft" state="frozen"/>
      <selection pane="bottomLeft" activeCell="A1" sqref="A1"/>
    </sheetView>
  </sheetViews>
  <sheetFormatPr baseColWidth="8" defaultRowHeight="15"/>
  <cols>
    <col width="35" customWidth="1" min="1" max="1"/>
    <col width="20" customWidth="1" min="2" max="2"/>
    <col width="48" customWidth="1" min="3" max="3"/>
    <col width="31" customWidth="1" min="4" max="4"/>
    <col width="55" customWidth="1" min="5" max="5"/>
    <col width="31" customWidth="1" min="6" max="6"/>
    <col width="15" customWidth="1" min="7" max="7"/>
    <col width="48" customWidth="1" min="8" max="8"/>
    <col width="16" customWidth="1" min="9" max="9"/>
    <col width="51" customWidth="1" min="10" max="10"/>
    <col width="16" customWidth="1" min="11" max="11"/>
    <col width="55" customWidth="1" min="12" max="12"/>
    <col width="55" customWidth="1" min="13" max="13"/>
    <col width="55" customWidth="1" min="14" max="14"/>
    <col width="55" customWidth="1" min="15" max="15"/>
    <col width="48" customWidth="1" min="16" max="16"/>
    <col width="55" customWidth="1" min="17" max="17"/>
    <col width="55" customWidth="1" min="18" max="18"/>
    <col width="55" customWidth="1" min="19" max="19"/>
    <col width="48" customWidth="1" min="20" max="20"/>
    <col width="55" customWidth="1" min="21" max="21"/>
    <col width="55" customWidth="1" min="22" max="22"/>
    <col width="55" customWidth="1" min="23" max="23"/>
    <col width="48" customWidth="1" min="24" max="24"/>
    <col width="55" customWidth="1" min="25" max="25"/>
    <col width="29" customWidth="1" min="26" max="26"/>
    <col width="55" customWidth="1" min="27" max="27"/>
    <col width="55" customWidth="1" min="28" max="28"/>
    <col width="17"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48" customWidth="1" min="39" max="39"/>
    <col width="55" customWidth="1" min="40" max="40"/>
    <col width="32" customWidth="1" min="41" max="41"/>
    <col width="47" customWidth="1" min="42" max="42"/>
    <col width="37" customWidth="1" min="43" max="43"/>
    <col width="48" customWidth="1" min="44" max="44"/>
    <col width="29" customWidth="1" min="45" max="45"/>
    <col width="53" customWidth="1" min="46" max="46"/>
    <col width="17" customWidth="1" min="47" max="47"/>
    <col width="48" customWidth="1" min="48" max="48"/>
  </cols>
  <sheetData>
    <row r="1" ht="28" customHeight="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Gregory A. Blaisdell</t>
        </is>
      </c>
      <c r="B2" s="2" t="inlineStr">
        <is>
          <t>Purdue University</t>
        </is>
      </c>
      <c r="C2" s="3">
        <f>HYPERLINK("https://engineering.purdue.edu/AAE/people/ptProfile?resource_id=1377", "https://engineering.purdue.edu/AAE/people/ptProfile?resource_id=1377")</f>
        <v/>
      </c>
      <c r="D2" s="3">
        <f>HYPERLINK("https://scholar.google.com/citations?view_op=search_authors&amp;mauthors=Gregory%20A.%20Blaisdell%20Purdue%20University", "Google Scholar Search")</f>
        <v/>
      </c>
      <c r="E2" s="2" t="inlineStr">
        <is>
          <t>Professor</t>
        </is>
      </c>
      <c r="F2" s="2" t="inlineStr">
        <is>
          <t>Aeronautics and Astronautics</t>
        </is>
      </c>
      <c r="G2" s="2" t="inlineStr"/>
      <c r="H2" s="3">
        <f>HYPERLINK("mailto:blaisdel@purdue.edu", "blaisdel@purdue.edu")</f>
        <v/>
      </c>
      <c r="I2" s="2" t="n">
        <v>1</v>
      </c>
      <c r="J2" s="2" t="inlineStr">
        <is>
          <t>🔵 Tier 1: Core Aero / Fluids / Propulsion</t>
        </is>
      </c>
      <c r="K2" s="2" t="n">
        <v>13</v>
      </c>
      <c r="L2" s="2" t="inlineStr">
        <is>
          <t>boundary layer, cfd, combustion, computational fluid dynamics, direct numerical simulation, dns, fluid dynamics, fluid mechanics, heat transfer, les, numerical methods, turbulence, turbulent</t>
        </is>
      </c>
      <c r="M2" s="2" t="inlineStr">
        <is>
          <t>Direct numerical simulation and large-eddy simulation of compressible turbulent mixing layers, shock-wave/boundary-layer interactions, and aeroacoustics of jet flows.</t>
        </is>
      </c>
      <c r="N2" s="2" t="inlineStr">
        <is>
          <t>DNS / LES / Detached Eddy Simulation (DES), High-Order Compact Difference Schemes, Background Oriented Schlieren (BOS) Velocimetry, Aeroacoustic Solvers</t>
        </is>
      </c>
      <c r="O2" s="2" t="inlineStr">
        <is>
          <t>Performance Analysis of an Unsteady Ejector Driven by Exhaust Conditions of a Rotating Detonation Engine (RDE)</t>
        </is>
      </c>
      <c r="P2" s="3">
        <f>HYPERLINK("https://doi.org/10.2514/6.2026-1976", "https://doi.org/10.2514/6.2026-1976")</f>
        <v/>
      </c>
      <c r="Q2" s="2" t="inlineStr">
        <is>
          <t>simulating detached eddy simulations of unsteady ejectors driven by rotating detonation engine exhaust, demonstrating that periodic shock pulsations enhance turbulent secondary air entrainment and yield an 18% improvement in thrust augmentation.</t>
        </is>
      </c>
      <c r="R2" s="2" t="inlineStr">
        <is>
          <t>The goal of this project is to assess the performance and mixing characteristics of unsteady ejectors driven by a rotating detonation engine (RDE), using 3D unsteady RANS simulations and detached eddy simulations (DES). These simulations incorporate azimuthal variations in flow properties and periodic shock wave exhaust pulsations exiting the detonation chamber. Results demonstrate that high-frequency shock passage enhances turbulent mixing with entrained secondary air, increasing ejector thrust augmentation by up to 18% compared to equivalent steady-flow ejector geometries.</t>
        </is>
      </c>
      <c r="S2" s="2" t="inlineStr">
        <is>
          <t>Background-oriented-schlieren-based optical velocimetry of low-convective-Mach-number turbulent shear layers</t>
        </is>
      </c>
      <c r="T2" s="3">
        <f>HYPERLINK("https://doi.org/10.1007/s00348-025-04031-y", "https://doi.org/10.1007/s00348-025-04031-y")</f>
        <v/>
      </c>
      <c r="U2" s="2" t="inlineStr">
        <is>
          <t>developing background-oriented schlieren velocimetry for low-convective-Mach-number turbulent shear layers, demonstrating that optical cross-correlation of refractive dot displacements accurately resolves span-averaged velocity and density profiles without seed particles.</t>
        </is>
      </c>
      <c r="V2" s="2" t="inlineStr">
        <is>
          <t>Background-oriented schlieren (BOS)-based velocimetry is a potential method for achieving simultaneous measurements of density and velocity in a flow with density gradients. BOS velocimetry relies on refraction of light due to density gradients and cross-correlation of dot displacement fields. In this study, BOS velocimetry was applied to investigate turbulent shear layers at low convective Mach numbers. By coupling the ray-traced dot displacement equations with continuity, span-averaged velocity and density fluctuation profiles were reconstructed without requiring artificial seeding.</t>
        </is>
      </c>
      <c r="W2" s="2" t="inlineStr">
        <is>
          <t>1. Performance Analysis of an Unsteady Ejector Driven by Exhaust Conditions of a Rotating Detonation Engine (RDE) (AIAA SciTech, 2026) [DOI: https://doi.org/10.2514/6.2026-1976] | 2. Background-oriented-schlieren-based optical velocimetry of low-convective-Mach-number turbulent shear layers (Experiments in Fluids, 2025) [DOI: https://doi.org/10.1007/s00348-025-04031-y]</t>
        </is>
      </c>
      <c r="X2" s="3">
        <f>HYPERLINK("https://doi.org/10.2514/6.2026-1976", "https://doi.org/10.2514/6.2026-1976 | https://doi.org/10.1007/s00348-025-04031-y")</f>
        <v/>
      </c>
      <c r="Y2" s="2" t="inlineStr">
        <is>
          <t>simulating detached eddy simulations of unsteady ejectors driven by rotating detonation engine exhaust, demonstrating that periodic shock pulsations enhance turbulent secondary air entrainment and yield an 18% improvement in thrust augmentation.</t>
        </is>
      </c>
      <c r="Z2" s="2" t="inlineStr"/>
      <c r="AA2" s="2" t="inlineStr">
        <is>
          <t>"Performance Analysis of an Unsteady Ejector Driven by Exhaust Conditions of a Rotating Detonation Engine (RDE)" (2026) [DOI: https://doi.org/10.2514/6.2026-1976] | "Large-Eddy Simulation of an Axisymmetric Shock-Wave/Boundary-Layer Interaction at Mach 2.5" (2026) [DOI: https://doi.org/10.2514/6.2026-2519] | "Time Resolved BOS Velocimetry of Synthetic Raytraced Images of a Low Speed Mixing Flow" (2026) [DOI: https://doi.org/10.2514/6.2026-2293] | "Machine Learning for Practical Real-Time Test Campaign Design" (2025) [DOI: https://doi.org/10.2514/6.2025-3729] | "Background-oriented-schlieren-based optical velocimetry of low-convective-Mach-number turbulent shear layers" [Experiments in Fluids] (2025) [DOI: https://doi.org/10.1007/s00348-025-04031-y]</t>
        </is>
      </c>
      <c r="AB2" s="2" t="inlineStr">
        <is>
          <t>"The effect of the formulation of nonlinear terms on aliasing errors in spectral methods" [Applied Numerical Mathematics] (1996, 183 cites) [DOI: https://doi.org/10.1016/0168-9274(96)00005-0] | "Compressibility effects on the growth and structure of homogeneous turbulent shear flow" [Journal of Fluid Mechanics] (1993, 179 cites) [DOI: https://doi.org/10.1017/s0022112093002848] | "Overview of Turbulent Inflow Boundary Conditions for Large-Eddy Simulations" [AIAA Journal] (2017, 173 cites) [DOI: https://doi.org/10.2514/1.j055528]</t>
        </is>
      </c>
      <c r="AC2" s="2" t="inlineStr"/>
      <c r="AD2" s="2" t="inlineStr">
        <is>
          <t>NASA-ASEE Summer Faculty Fellowship, 1995-1996 W. A. Gustafson Teaching Award, Fall 1997, Fall 2014</t>
        </is>
      </c>
      <c r="AE2" s="2" t="inlineStr"/>
      <c r="AF2" s="2" t="inlineStr">
        <is>
          <t>Fluid Dynamics and Turbulent Flows (109) | Computational Fluid Dynamics and Aerodynamics (74) | Aerodynamics and Acoustics in Jet Flows (71)</t>
        </is>
      </c>
      <c r="AG2" s="2" t="inlineStr">
        <is>
          <t>Fluid Dynamics and Turbulent Flows (109) | Computational Fluid Dynamics and Aerodynamics (74) | Aerodynamics and Acoustics in Jet Flows (71)</t>
        </is>
      </c>
      <c r="AH2" s="2" t="inlineStr">
        <is>
          <t>Computational fluid mechanics Transition and turbulence</t>
        </is>
      </c>
      <c r="AI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transfer between a fluid and a surface. In addition, turbulent mixing is important to combustion. The physics of basic turbulent flows are studied using direct numerical simulations (DNS) and large-eddy simulations (LES). With LES the motion of the largest eddies are solved for directly while the effects of the unresolved small scale eddies are modeled. In contrast, with DNS all the relevant length scales within the turbulence are resolved and no modeling is needed. The results of the simulations are used to increase our understanding of turbulence and to test and improve turbulence models. Parallel computing and advanced numerical methods is another area of interest.</t>
        </is>
      </c>
      <c r="AJ2" s="2" t="inlineStr">
        <is>
          <t>Current research interests involve the study of transitional and turbulent fluid flows using computational fluid dynamics (CFD) as an investigative tool.  Most flows of engineering interest are turbulent and turbulence has a significant impact on the performance of engineering systems. The drag on a body is generally much greater if the boundary layer is turbulent. Turbulence also increases hea...</t>
        </is>
      </c>
      <c r="AK2" s="2" t="inlineStr">
        <is>
          <t>B. S., California Institute of Technology, Applied Mathematics, 1980 M. S., California Institute of Technology, Applied Mathematics, 1982 Ph.D., Stanford University, Mechanical Engineering, 1991</t>
        </is>
      </c>
      <c r="AL2" s="2" t="inlineStr">
        <is>
          <t>Indiana Space Grant Consortium</t>
        </is>
      </c>
      <c r="AM2" s="3">
        <f>HYPERLINK("https://insgc.spacegrant.org/", "https://insgc.spacegrant.org/")</f>
        <v/>
      </c>
      <c r="AN2" s="2" t="inlineStr">
        <is>
          <t>Academic INSGC Internships</t>
        </is>
      </c>
      <c r="AO2" s="2" t="inlineStr"/>
      <c r="AP2" s="2" t="inlineStr"/>
      <c r="AQ2" s="2" t="inlineStr">
        <is>
          <t>NASA</t>
        </is>
      </c>
      <c r="AR2" s="2" t="inlineStr"/>
      <c r="AS2" s="2" t="inlineStr"/>
      <c r="AT2" s="2" t="inlineStr">
        <is>
          <t>ARMS 2029</t>
        </is>
      </c>
      <c r="AU2" s="2" t="b">
        <v>1</v>
      </c>
      <c r="AV2" s="3">
        <f>HYPERLINK("https://engineering.purdue.edu/AAE/people/Faculty", "https://engineering.purdue.edu/AAE/people/Faculty")</f>
        <v/>
      </c>
    </row>
    <row r="3">
      <c r="A3" s="2" t="inlineStr">
        <is>
          <t>Sally Bane</t>
        </is>
      </c>
      <c r="B3" s="2" t="inlineStr">
        <is>
          <t>Purdue University</t>
        </is>
      </c>
      <c r="C3" s="3">
        <f>HYPERLINK("https://engineering.purdue.edu/AAE/people/ptProfile?resource_id=72424", "https://engineering.purdue.edu/AAE/people/ptProfile?resource_id=72424")</f>
        <v/>
      </c>
      <c r="D3" s="3">
        <f>HYPERLINK("https://scholar.google.com/citations?user=fprhTwwAAAAJ&amp;hl=en", "Scholar (fprhTwwAAAAJ)")</f>
        <v/>
      </c>
      <c r="E3" s="2" t="inlineStr">
        <is>
          <t>Director of Laboratory &amp; Hands On Education and Associate Professor of AAE</t>
        </is>
      </c>
      <c r="F3" s="2" t="inlineStr">
        <is>
          <t>Aeronautics and Astronautics</t>
        </is>
      </c>
      <c r="G3" s="2" t="inlineStr">
        <is>
          <t>fprhTwwAAAAJ</t>
        </is>
      </c>
      <c r="H3" s="3">
        <f>HYPERLINK("mailto:sbane@purdue.edu", "sbane@purdue.edu")</f>
        <v/>
      </c>
      <c r="I3" s="2" t="n">
        <v>1</v>
      </c>
      <c r="J3" s="2" t="inlineStr">
        <is>
          <t>🔵 Tier 1: Core Aero / Fluids / Propulsion</t>
        </is>
      </c>
      <c r="K3" s="2" t="n">
        <v>11</v>
      </c>
      <c r="L3" s="2" t="inlineStr">
        <is>
          <t>aerodynamics, aerospace, boundary layer, combustion, detonation, flow control, hypersonic, propulsion, rotating detonation, supersonic, turbulent</t>
        </is>
      </c>
      <c r="M3" s="2" t="inlineStr">
        <is>
          <t>Plasma-assisted combustion, nanosecond pulsed discharges for thermoacoustic instability control, laser spark ignition, and background-oriented schlieren (BOS) optical diagnostics.</t>
        </is>
      </c>
      <c r="N3" s="2" t="inlineStr">
        <is>
          <t>Nanosecond Repetitively Pulsed (NRP) Discharges, Streak-Sweep Spectroscopy, Background-Oriented Schlieren (BOS), MIRAGE Ray Tracing, Acoustic Combustor Rigs</t>
        </is>
      </c>
      <c r="O3" s="2" t="inlineStr">
        <is>
          <t>Single-shot ultrafast dynamics of nanosecond pulsed plasmas: Transition from ps–ns nonequilibrium to near-full ionization</t>
        </is>
      </c>
      <c r="P3" s="3">
        <f>HYPERLINK("https://doi.org/10.1063/5.0341587", "https://doi.org/10.1063/5.0341587")</f>
        <v/>
      </c>
      <c r="Q3" s="2" t="inlineStr">
        <is>
          <t>deploying jitter-free continuous streak-sweep spectroscopy with 16-picosecond resolution across atmospheric nanosecond discharges, capturing the ultrafast transition from non-equilibrium molecular excitation to thermal ionization.</t>
        </is>
      </c>
      <c r="R3" s="2" t="inlineStr">
        <is>
          <t>The ultrafast multi-stage evolution of state-defining properties in atmospheric-pressure nanosecond pulsed plasmas is quantified using single-discharge, jitter-free, continuous streak-sweep spectroscopy of N2(C -&gt; B) molecular and N+/O+ ionic species with a single-shot time resolution as short as 16 ps. Measurements capture the sub-nanosecond breakdown dynamics and transition from non-equilibrium electronic excitation to full thermal ionization, providing critical kinetic data for plasma-assisted ignition and high-speed flow actuation.</t>
        </is>
      </c>
      <c r="S3" s="2" t="inlineStr">
        <is>
          <t>BOS/schlieren synthetic image generation via MIRAGE (MATLAB implementation of ray tracing for analysis of variable density Gradient Environments)</t>
        </is>
      </c>
      <c r="T3" s="3">
        <f>HYPERLINK("https://doi.org/10.1088/1361-6501/ae4f0a", "https://doi.org/10.1088/1361-6501/ae4f0a")</f>
        <v/>
      </c>
      <c r="U3" s="2" t="inlineStr">
        <is>
          <t>creating the open-source MIRAGE ray-tracing tool for synthetic BOS and schlieren image generation, demonstrating quantitative evaluation of optical distortion and density gradient sensitivity across complex 3D aerodynamic fields.</t>
        </is>
      </c>
      <c r="V3" s="2" t="inlineStr">
        <is>
          <t>This work presents a MATLAB-based, open source tool for generating synthetic images, e.g. background oriented schlieren (BOS), in non-homogeneous refractive index field environments induced by the presence of density gradients. The tool allows the user to model their specific optical setup, including lens focal lengths, background patterns, and camera aperture sizes, and trace rays through 3D CFD density fields to quantitatively evaluate parallax, refractive distortion, and measurement sensitivity.</t>
        </is>
      </c>
      <c r="W3" s="2" t="inlineStr">
        <is>
          <t>1. Single-shot ultrafast dynamics of nanosecond pulsed plasmas: Transition from ps–ns nonequilibrium to near-full ionization (Applied Physics Letters, 2026) [DOI: https://doi.org/10.1063/5.0341587] | 2. BOS/schlieren synthetic image generation via MIRAGE (MATLAB implementation of ray tracing for analysis of variable density Gradient Environments) (Measurement Science and Technology, 2026) [DOI: https://doi.org/10.1088/1361-6501/ae4f0a]</t>
        </is>
      </c>
      <c r="X3" s="3">
        <f>HYPERLINK("https://doi.org/10.1063/5.0341587", "https://doi.org/10.1063/5.0341587 | https://doi.org/10.1088/1361-6501/ae4f0a")</f>
        <v/>
      </c>
      <c r="Y3" s="2" t="inlineStr">
        <is>
          <t>deploying jitter-free continuous streak-sweep spectroscopy with 16-picosecond resolution across atmospheric nanosecond discharges, capturing the ultrafast transition from non-equilibrium molecular excitation to thermal ionization.</t>
        </is>
      </c>
      <c r="Z3" s="2" t="inlineStr"/>
      <c r="AA3" s="2" t="inlineStr">
        <is>
          <t>"Single-shot ultrafast dynamics of nanosecond pulsed plasmas: Transition from ps–ns nonequilibrium to near-full ionization" [Applied Physics Letters] (2026) [DOI: https://doi.org/10.1063/5.0341587] | "BOS/schlieren synthetic image generation via MIRAGE (MATLAB implementation of ray tracing for analysis of variable density Gradient Environments)" [Measurement Science and Technology] (2026) [DOI: https://doi.org/10.1088/1361-6501/ae4f0a] | "Active Control Strategies Using NRP Discharges for Thermoacoustic Instability Control in Methane-Air Atmospheric Combustion System" (2026) [DOI: https://doi.org/10.2514/6.2026-0398] | "Time Resolved BOS Velocimetry of Synthetic Raytraced Images of a Low Speed Mixing Flow" (2026) [DOI: https://doi.org/10.2514/6.2026-2293] | "Background-oriented-schlieren-based optical velocimetry of low-convective-Mach-number turbulent shear layers" [Experiments in Fluids] (2025) [DOI: https://doi.org/10.1007/s00348-025-04031-y]</t>
        </is>
      </c>
      <c r="AB3" s="2" t="inlineStr">
        <is>
          <t>"Investigation of the effect of electrode geometry on spark ignition" [Combustion and Flame] (2014, 87 cites) [DOI: https://doi.org/10.1016/j.combustflame.2014.07.017] | "Statistical analysis of electrostatic spark ignition of lean H2/O2/Ar mixtures" [International Journal of Hydrogen Energy] (2010, 69 cites) [DOI: https://doi.org/10.1016/j.ijhydene.2010.05.082] | "Experimental investigation of spark ignition energy in kerosene, hexane, and hydrogen" [Journal of Loss Prevention in the Process Industries] (2011, 68 cites) [DOI: https://doi.org/10.1016/j.jlp.2011.03.007]</t>
        </is>
      </c>
      <c r="AC3" s="2" t="inlineStr"/>
      <c r="AD3" s="2" t="inlineStr"/>
      <c r="AE3" s="2" t="inlineStr"/>
      <c r="AF3" s="2" t="inlineStr">
        <is>
          <t>Plasma Applications and Diagnostics (34) | Plasma and Flow Control in Aerodynamics (28) | Combustion and Detonation Processes (24)</t>
        </is>
      </c>
      <c r="AG3" s="2" t="inlineStr">
        <is>
          <t>Plasma Applications and Diagnostics (34) | Plasma and Flow Control in Aerodynamics (28) | Combustion and Detonation Processes (24)</t>
        </is>
      </c>
      <c r="AH3" s="2" t="inlineStr">
        <is>
          <t>1. Plasmas for combustion and flow control nano-second repetitively pulsed (NRP) plasmas - generation and spectroscopic measurements plasma-assisted ignition (PAI) and combustion (PAC) plasma control of high-speed flows, shock wave/boundary layer interaction 2. Physics of supersonic and hypersonic turbulent flows and passive and active flow control 3. Optical methods for high-speed flow and combustion visualization and measurement PIV, BOS, schlieren image velocimetry (SIV) numerical tools for optical system modeling and design 4. Experimental combustion and propulsion ignition detonations and flame acceleration rotating detonation engines</t>
        </is>
      </c>
      <c r="AI3" s="2" t="inlineStr">
        <is>
          <t>Nonequilibrium plasmas, hypersonic and supersonic aerodynamics and flow control, optical and spectroscopic diagnostics, combustion and detonation dynamics</t>
        </is>
      </c>
      <c r="AJ3" s="2" t="inlineStr">
        <is>
          <t>Nonequilibrium plasmas, hypersonic and supersonic aerodynamics and flow control, optical and spectroscopic diagnostics, combustion and detonation dynamics</t>
        </is>
      </c>
      <c r="AK3" s="2" t="inlineStr">
        <is>
          <t>B.S., University of Virginia, Aerospace Engineering, 2004 M.S., California Institute of Technology, Aeronautics, 2005 Ph.D., California Institute of Technology, Aeronautics, 2010</t>
        </is>
      </c>
      <c r="AL3" s="2" t="inlineStr">
        <is>
          <t>Indiana Space Grant Consortium</t>
        </is>
      </c>
      <c r="AM3" s="3">
        <f>HYPERLINK("https://insgc.spacegrant.org/", "https://insgc.spacegrant.org/")</f>
        <v/>
      </c>
      <c r="AN3" s="2" t="inlineStr">
        <is>
          <t>Academic INSGC Internships</t>
        </is>
      </c>
      <c r="AO3" s="2" t="inlineStr"/>
      <c r="AP3" s="2" t="inlineStr"/>
      <c r="AQ3" s="2" t="inlineStr">
        <is>
          <t>NASA</t>
        </is>
      </c>
      <c r="AR3" s="2" t="inlineStr"/>
      <c r="AS3" s="2" t="inlineStr"/>
      <c r="AT3" s="2" t="inlineStr">
        <is>
          <t>ARMS 3219</t>
        </is>
      </c>
      <c r="AU3" s="2" t="b">
        <v>1</v>
      </c>
      <c r="AV3" s="3">
        <f>HYPERLINK("https://engineering.purdue.edu/AAE/people/Faculty", "https://engineering.purdue.edu/AAE/people/Faculty")</f>
        <v/>
      </c>
    </row>
    <row r="4">
      <c r="A4" s="2" t="inlineStr">
        <is>
          <t>Carson Slabaugh</t>
        </is>
      </c>
      <c r="B4" s="2" t="inlineStr">
        <is>
          <t>Purdue University</t>
        </is>
      </c>
      <c r="C4" s="3">
        <f>HYPERLINK("https://engineering.purdue.edu/AAE/people/ptProfile?resource_id=124958", "https://engineering.purdue.edu/AAE/people/ptProfile?resource_id=124958")</f>
        <v/>
      </c>
      <c r="D4" s="3">
        <f>HYPERLINK("https://scholar.google.com/citations?view_op=search_authors&amp;mauthors=Carson%20Slabaugh%20Purdue%20University", "Google Scholar Search")</f>
        <v/>
      </c>
      <c r="E4" s="2" t="inlineStr">
        <is>
          <t>Paula Feuer Professor of Aeronautics and Astronautics</t>
        </is>
      </c>
      <c r="F4" s="2" t="inlineStr">
        <is>
          <t>Aeronautics and Astronautics</t>
        </is>
      </c>
      <c r="G4" s="2" t="inlineStr"/>
      <c r="H4" s="3">
        <f>HYPERLINK("mailto:cslabau@purdue.edu", "cslabau@purdue.edu")</f>
        <v/>
      </c>
      <c r="I4" s="2" t="n">
        <v>1</v>
      </c>
      <c r="J4" s="2" t="inlineStr">
        <is>
          <t>🔵 Tier 1: Core Aero / Fluids / Propulsion</t>
        </is>
      </c>
      <c r="K4" s="2" t="n">
        <v>10</v>
      </c>
      <c r="L4" s="2" t="inlineStr">
        <is>
          <t>combustion, detonation, energy systems, fluid mechanics, multiphase flow, propulsion, reacting flow, rotating detonation, turbulence, turbulent</t>
        </is>
      </c>
      <c r="M4" s="2" t="inlineStr">
        <is>
          <t>High-pressure gas turbine combustion, rotating detonation engines (RDE), supersonic dual-mode ramjets, and MHz-rate planar optical/laser diagnostics in reacting flows.</t>
        </is>
      </c>
      <c r="N4" s="2" t="inlineStr">
        <is>
          <t>Rotating Detonation Combustors, Dual-Mode Scramjet Rigs, 2 MHz Schlieren, 250 kHz Chemiluminescence, Femtosecond/Picosecond Coherent Anti-Stokes Raman Scattering (CARS), High-Speed PIV</t>
        </is>
      </c>
      <c r="O4" s="2" t="inlineStr">
        <is>
          <t>High-Speed Diagnostics in a Natural Gas–Air Rotating Detonation Engine</t>
        </is>
      </c>
      <c r="P4" s="3">
        <f>HYPERLINK("https://doi.org/10.2514/1.b37740", "https://doi.org/10.2514/1.b37740")</f>
        <v/>
      </c>
      <c r="Q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R4" s="2" t="inlineStr">
        <is>
          <t>A natural-gas-fueled rotating detonation engine was operated at flow conditions typical of gas turbine engines. High-speed broadband chemiluminescence images, particle image velocimetry (PIV), and dynamic pressure measurements were used to characterize the combustion process. A parametric survey was performed across air mass flow rates from 0.45 to 1.15 kg/s and equivalence ratios from 0.6 to 1.4. The engine operated stably with one or two detonation waves propagating at velocities between 1350 and 1720 m/s (58-75% of the Chapman-Jouguet velocity), capturing the transient detonation wave propagation and reactant fill region dynamics.</t>
        </is>
      </c>
      <c r="S4" s="2" t="inlineStr">
        <is>
          <t>Operating Mode Influence on Heat Release in an Axisymmetric Dual-Mode Ramjet</t>
        </is>
      </c>
      <c r="T4" s="3">
        <f>HYPERLINK("https://doi.org/10.2514/1.j067064", "https://doi.org/10.2514/1.j067064")</f>
        <v/>
      </c>
      <c r="U4" s="2" t="inlineStr">
        <is>
          <t>formulating a coupled one-dimensional flow model and multistage optimizer for an axisymmetric dual-mode ramjet, demonstrating how shock-train migration and boundary layer pre-combustion shock interactions shift heat release profiles between subsonic and supersonic combustion regimes.</t>
        </is>
      </c>
      <c r="V4" s="2" t="inlineStr">
        <is>
          <t>A thermally perfect, one-dimensional model that is capable of evaluating flow properties along the isolator and combustor of a dual-mode ramjet operating in either a ramjet or scramjet mode is described. The model is incorporated into a multistage optimizer that computes an estimated fuel-burning profile and pressure rise distribution to reproduce experimental wall pressure data. By applying the method to an axisymmetric dual-mode ramjet across multiple equivalence ratios, the transition from shock-train-dominated ramjet combustion to supersonic heat addition is mapped, quantifying the thermodynamic trade-offs between isolator boundary layer separation and combustion efficiency.</t>
        </is>
      </c>
      <c r="W4" s="2" t="inlineStr">
        <is>
          <t>1. High-Speed Diagnostics in a Natural Gas–Air Rotating Detonation Engine (Journal of Propulsion and Power, 2020) [DOI: https://doi.org/10.2514/1.b37740] | 2. Operating Mode Influence on Heat Release in an Axisymmetric Dual-Mode Ramjet (AIAA Journal, 2026) [DOI: https://doi.org/10.2514/1.j067064]</t>
        </is>
      </c>
      <c r="X4" s="3">
        <f>HYPERLINK("https://doi.org/10.2514/1.b37740", "https://doi.org/10.2514/1.b37740 | https://doi.org/10.2514/1.j067064")</f>
        <v/>
      </c>
      <c r="Y4" s="2" t="inlineStr">
        <is>
          <t>integrating high-speed chemiluminescence with dynamic pressure sensing in a natural-gas rotating detonation engine (0.45-1.15 kg/s air flow), demonstrating stable single- and dual-wave operational regimes operating at 58% to 75% of the ideal Chapman-Jouguet velocity.</t>
        </is>
      </c>
      <c r="Z4" s="2" t="inlineStr"/>
      <c r="AA4" s="2" t="inlineStr">
        <is>
          <t>"Operating Mode Influence on Heat Release in an Axisymmetric Dual-Mode Ramjet" [AIAA Journal] (2026) [DOI: https://doi.org/10.2514/1.j067064] | "Coherent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"Detonation Wave Interactions with Stratified Gas Layers" (2026) [DOI: https://doi.org/10.2514/6.2026-1015] | "Multiphase and Non-Equilibrium Effects in Highly Fuel-Rich Solid Fuel Gas Generators" (2026) [DOI: https://doi.org/10.2514/6.2026-0392]</t>
        </is>
      </c>
      <c r="AB4" s="2" t="inlineStr">
        <is>
          <t>"3 kHz PIV/OH-PLIF measurements in a gas turbine combustor at elevated pressure" [Proceedings of the Combustion Institute] (2014, 89 cites) [DOI: https://doi.org/10.1016/j.proci.2014.06.090] | "High-Speed Diagnostics in a Natural Gas–Air Rotating Detonation Engine" [Journal of Propulsion and Power] (2020, 69 cites) [DOI: https://doi.org/10.2514/1.b37740] | "Flow and performance analysis of a natural gas-air rotating detonation engine with high-speed velocimetry" [Combustion and Flame] (2021, 60 cites) [DOI: https://doi.org/10.1016/j.combustflame.2021.111549]</t>
        </is>
      </c>
      <c r="AC4" s="2" t="inlineStr"/>
      <c r="AD4" s="2" t="inlineStr"/>
      <c r="AE4" s="2" t="inlineStr"/>
      <c r="AF4" s="2" t="inlineStr">
        <is>
          <t>Combustion and flame dynamics (74) | Combustion and Detonation Processes (54) | Advanced Combustion Engine Technologies (38)</t>
        </is>
      </c>
      <c r="AG4" s="2" t="inlineStr">
        <is>
          <t>Combustion and flame dynamics (74) | Combustion and Detonation Processes (54) | Advanced Combustion Engine Technologies (38)</t>
        </is>
      </c>
      <c r="AH4" s="2" t="inlineStr">
        <is>
          <t>Prof. Slabaugh's research is focused on the physics of fluid mechanics and combustion in the operating regimes of advanced propulsion and energy systems.  Ongoing projects cover a wide spectrum of topics; from fundamental exploration of turbulence-chemistry interactions to development of advanced combustion technologies for liquid rocket engines.  The group also maintains a continuous effort in the advancement of high-bandwidth (typically, laser-based) measurement techniques to non-intrusively probe the physics of these complex, reacting flows.  Please visit our website for more information about the group and our work.</t>
        </is>
      </c>
      <c r="AI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myPronunciation.play();
    }
    function pause() {
    myPronunciation.pause();
    }</t>
        </is>
      </c>
      <c r="AJ4" s="2" t="inlineStr">
        <is>
          <t>Propulsion: rockets, gas turbines, sc/ramjets, rotating detonation engines Combustion: detonation, turbulent combustion Fluid mechanics: turbulence, acoustics, gas dynamics, multiphase flows Laser diagnostics and data science: methodology development, cross-platform verification and validation Edit var myPronunciation=document.getElementById("pronunciation");
    function play() {
    myPr...</t>
        </is>
      </c>
      <c r="AK4" s="2" t="inlineStr">
        <is>
          <t>Ph.D., Purdue University, 2014 M.S., University of Central Florida, 2010 B.S., University of Central Florida, 2009</t>
        </is>
      </c>
      <c r="AL4" s="2" t="inlineStr">
        <is>
          <t>Indiana Space Grant Consortium</t>
        </is>
      </c>
      <c r="AM4" s="3">
        <f>HYPERLINK("https://insgc.spacegrant.org/", "https://insgc.spacegrant.org/")</f>
        <v/>
      </c>
      <c r="AN4" s="2" t="inlineStr">
        <is>
          <t>Academic INSGC Internships</t>
        </is>
      </c>
      <c r="AO4" s="2" t="inlineStr"/>
      <c r="AP4" s="2" t="inlineStr"/>
      <c r="AQ4" s="2" t="inlineStr">
        <is>
          <t>NASA</t>
        </is>
      </c>
      <c r="AR4" s="2" t="inlineStr"/>
      <c r="AS4" s="2" t="inlineStr"/>
      <c r="AT4" s="2" t="inlineStr">
        <is>
          <t>ARMS 2035 and ZL3 106</t>
        </is>
      </c>
      <c r="AU4" s="2" t="b">
        <v>1</v>
      </c>
      <c r="AV4" s="3">
        <f>HYPERLINK("https://engineering.purdue.edu/AAE/people/Faculty", "https://engineering.purdue.edu/AAE/people/Faculty")</f>
        <v/>
      </c>
    </row>
    <row r="5">
      <c r="A5" s="2" t="inlineStr">
        <is>
          <t>Steven P. Schneider</t>
        </is>
      </c>
      <c r="B5" s="2" t="inlineStr">
        <is>
          <t>Purdue University</t>
        </is>
      </c>
      <c r="C5" s="3">
        <f>HYPERLINK("https://engineering.purdue.edu/AAE/people/ptProfile?resource_id=1274", "https://engineering.purdue.edu/AAE/people/ptProfile?resource_id=1274")</f>
        <v/>
      </c>
      <c r="D5" s="3">
        <f>HYPERLINK("https://scholar.google.com/citations?view_op=search_authors&amp;mauthors=Steven%20P.%20Schneider%20Purdue%20University", "Google Scholar Search")</f>
        <v/>
      </c>
      <c r="E5" s="2" t="inlineStr">
        <is>
          <t>Professor</t>
        </is>
      </c>
      <c r="F5" s="2" t="inlineStr">
        <is>
          <t>Aeronautics and Astronautics</t>
        </is>
      </c>
      <c r="G5" s="2" t="inlineStr"/>
      <c r="H5" s="3">
        <f>HYPERLINK("mailto:steves@purdue.edu", "steves@purdue.edu")</f>
        <v/>
      </c>
      <c r="I5" s="2" t="n">
        <v>1</v>
      </c>
      <c r="J5" s="2" t="inlineStr">
        <is>
          <t>🔵 Tier 1: Core Aero / Fluids / Propulsion</t>
        </is>
      </c>
      <c r="K5" s="2" t="n">
        <v>10</v>
      </c>
      <c r="L5" s="2" t="inlineStr">
        <is>
          <t>aerothermodynamics, boundary layer, entry vehicles, heat transfer, hypersonic, supersonic, thermal, thermodynamics, turbulence, turbulent</t>
        </is>
      </c>
      <c r="M5" s="2" t="inlineStr">
        <is>
          <t>Hypersonic boundary-layer transition, quiet-flow wind tunnel design, second-mode instability attenuation, and surface roughness effects on flared cones at Mach 6.</t>
        </is>
      </c>
      <c r="N5" s="2" t="inlineStr">
        <is>
          <t>Boeing/AFOSR Mach-6 Quiet Tunnel (BAM6QT), Fast-Response Pressure Transducers (PCB/Kulite), Temperature-Sensitive Paint (TSP), High-Speed Schlieren, Linear Stability Theory (e^N)</t>
        </is>
      </c>
      <c r="O5" s="2" t="inlineStr">
        <is>
          <t>Second-Mode Transition on Flared Cone In Mach-6 Quiet Flow</t>
        </is>
      </c>
      <c r="P5" s="3">
        <f>HYPERLINK("https://doi.org/10.2514/1.a36439", "https://doi.org/10.2514/1.a36439")</f>
        <v/>
      </c>
      <c r="Q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R5" s="2" t="inlineStr">
        <is>
          <t>Hypersonic boundary-layer transition was characterized on a flared cone geometry in the Boeing/AFOSR Mach-6 Quiet Tunnel. Experiments in low-disturbance, quiet flow at five unit Reynolds numbers from 9.0e6 to 13.5e6 m^-1 measured a hot-cold-hot streak pattern with azimuthal wavenumber m = 14 to 18 using temperature-sensitive paint. High-frequency surface pressure transducers captured second-mode wave packets with frequencies between 280 and 340 kHz, providing flight-relevant benchmark transition data without the acoustic contamination present in conventional noisy hypersonic wind tunnels.</t>
        </is>
      </c>
      <c r="S5" s="2" t="inlineStr">
        <is>
          <t>Measurements of an axisymmetric hypersonic shear-layer instability on a cone-cylinder-flare in quiet flow</t>
        </is>
      </c>
      <c r="T5" s="3">
        <f>HYPERLINK("https://doi.org/10.1103/physrevfluids.8.083903", "https://doi.org/10.1103/physrevfluids.8.083903")</f>
        <v/>
      </c>
      <c r="U5" s="2" t="inlineStr">
        <is>
          <t>performing quiet-flow experiments on a cone-cylinder-flare at Mach 6, demonstrating that free shear-layer instabilities over the shock-induced separation bubble exhibit higher amplification rates than attached boundary-layer acoustic modes, triggering premature turbulent breakdown.</t>
        </is>
      </c>
      <c r="V5" s="2" t="inlineStr">
        <is>
          <t>Compression corners are commonly present along aircraft, such as at control surfaces, and can cause shock/boundary-layer interactions when the vehicle moves at supersonic or hypersonic speeds. By generating a separation bubble at the corner, a shear layer is present in the flow, which can potentially destabilize and cause early transition. Measurements on an axisymmetric cone-cylinder-flare model were obtained in the Boeing/AFOSR Mach-6 Quiet Tunnel under quiet flow conditions. High-speed surface pressure measurements along the flare resolved shear-layer instability modes, confirming that free shear-layer amplification exceeds attached boundary-layer second-mode growth rates.</t>
        </is>
      </c>
      <c r="W5" s="2" t="inlineStr">
        <is>
          <t>1. Second-Mode Transition on Flared Cone In Mach-6 Quiet Flow (Journal of Spacecraft and Rockets, 2025) [DOI: https://doi.org/10.2514/1.a36439] | 2. Measurements of an axisymmetric hypersonic shear-layer instability on a cone-cylinder-flare in quiet flow (Physical Review Fluids, 2023) [DOI: https://doi.org/10.1103/physrevfluids.8.083903]</t>
        </is>
      </c>
      <c r="X5" s="3">
        <f>HYPERLINK("https://doi.org/10.2514/1.a36439", "https://doi.org/10.2514/1.a36439 | https://doi.org/10.1103/physrevfluids.8.083903")</f>
        <v/>
      </c>
      <c r="Y5" s="2" t="inlineStr">
        <is>
          <t>quantifying boundary-layer transition on a flared cone in the Boeing/AFOSR Mach 6 Quiet Tunnel, capturing 280-340 kHz second-mode acoustic wave packets and mapping azimuthal streak structures (wavenumber m=14-18) using temperature-sensitive paint under true low-disturbance conditions.</t>
        </is>
      </c>
      <c r="Z5" s="2" t="inlineStr"/>
      <c r="AA5" s="2" t="inlineStr">
        <is>
          <t>"Second-Mode Transition on Flared Cone In Mach-6 Quiet Flow" [Journal of Spacecraft and Rockets] (2025) [DOI: https://doi.org/10.2514/1.a36439] | "362 Dissecting immune evasion in pediatric brain tumors through organoid models and multiplex immune profiling" [Regular and Young Investigator Award Abstracts] (2025) [DOI: https://doi.org/10.1136/jitc-2025-sitc2025.0362] | "A Review of the Design of Cone-Cylinder-Flare Geometries for Stability Analyses and Conventional/Quiet Wind Tunnel Tests" [arXiv (Cornell University)] (2025) [DOI: https://doi.org/10.48550/arxiv.2509.10411] | "Centerline Focusing of Disturbances From Nozzle Wall Discontinuities in a Mach 6 Quiet Tunnel" (2025) [DOI: https://doi.org/10.2514/6.2025-3616] | "Measurements of an axisymmetric hypersonic shear-layer instability on a cone-cylinder-flare in quiet flow" [Physical Review Fluids] (2023) [DOI: https://doi.org/10.1103/physrevfluids.8.083903]</t>
        </is>
      </c>
      <c r="AB5" s="2" t="inlineStr">
        <is>
          <t>"Hypersonic laminar–turbulent transition on circular cones and scramjet forebodies" [Progress in Aerospace Sciences] (2004, 456 cites) [DOI: https://doi.org/10.1016/j.paerosci.2003.11.001] | "Effects of High-Speed Tunnel Noise on Laminar-Turbulent Transition" [Journal of Spacecraft and Rockets] (2001, 383 cites) [DOI: https://doi.org/10.2514/2.3705] | "Effects of Roughness on Hypersonic Boundary-Layer Transition" [Journal of Spacecraft and Rockets] (2008, 363 cites) [DOI: https://doi.org/10.2514/1.29713]</t>
        </is>
      </c>
      <c r="AC5" s="2" t="inlineStr"/>
      <c r="AD5" s="2" t="inlineStr">
        <is>
          <t>Fellow, AIAA AIAA Ground Testing Award, 2012</t>
        </is>
      </c>
      <c r="AE5" s="2" t="inlineStr"/>
      <c r="AF5" s="2" t="inlineStr">
        <is>
          <t>Fluid Dynamics and Turbulent Flows (173) | Computational Fluid Dynamics and Aerodynamics (106) | Gas Dynamics and Kinetic Theory (75)</t>
        </is>
      </c>
      <c r="AG5" s="2" t="inlineStr">
        <is>
          <t>Fluid Dynamics and Turbulent Flows (173) | Computational Fluid Dynamics and Aerodynamics (106) | Gas Dynamics and Kinetic Theory (75)</t>
        </is>
      </c>
      <c r="AH5" s="2" t="inlineStr">
        <is>
          <t>Hypersonic and supersonic laminar-turbulent transition Low-disturbance wind tunnels and associated instrumentation</t>
        </is>
      </c>
      <c r="AI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contaminated by facility noise, such as that radiating from the turbulent boundary layers normally present on the test-section walls of supersonic tunnels. Just as at low speeds, reliable experimental progress requires low-turbulence wind tunnels with noise levels comparable to those in flight. Mechanism-based prediction methods are being developed to reduce the uncertainty in predicting transition on future flight vehicles.  Measurements of the instability mechanisms leading to transition are being carried out to support the development and validation of these new methods.  However, no single wind tunnel can simultaneously simulate all aspects of transition in flight, including Mach number, Reynolds number, enthalpy, freestream disturbances, surface ablation and so on.  Furthermore, although computational advances are critical, all computations require models that must be based on experimental results.  Effective progress requires cooperation between theory, computation and experiment, and also between system designers and researchers. Prof. Schneider continues to focus on hypersonic transition and the development of quiet tunnels, while also serving as a senior technical expert in aerothermodynamics.  Prof. Jewell now leads the Mach-6 quiet tunnel, and Prof. Chynoweth leads the development of the new Mach-8 quiet tunnel.  Prof. Schneider has moved into a supporting role as part of a long phased retirement.  He is no longer serving as an advisor to new graduate students.</t>
        </is>
      </c>
      <c r="AJ5" s="2" t="inlineStr">
        <is>
          <t>High-speed laminar-turbulent transition is critical for applications including missiles for survivable time-critical strike, hypersonic reconnaissance vehicles, thermal protection for re-entry vehicles, drag reduction on supersonic transports, and flow noise and heat transfer above IR windows on interceptor missiles. Unfortunately, nearly all existing high-speed experimental results are contami...</t>
        </is>
      </c>
      <c r="AK5" s="2" t="inlineStr">
        <is>
          <t>B.S.	─ Caltech, Engineering and Applied Science, with Honor, June 1981 M.S.	─ Caltech, Aeronautics, June 1984 Ph.D.	─ Caltech, Aeronautics, March 1989</t>
        </is>
      </c>
      <c r="AL5" s="2" t="inlineStr">
        <is>
          <t>Indiana Space Grant Consortium</t>
        </is>
      </c>
      <c r="AM5" s="3">
        <f>HYPERLINK("https://insgc.spacegrant.org/", "https://insgc.spacegrant.org/")</f>
        <v/>
      </c>
      <c r="AN5" s="2" t="inlineStr">
        <is>
          <t>Academic INSGC Internships</t>
        </is>
      </c>
      <c r="AO5" s="2" t="inlineStr"/>
      <c r="AP5" s="2" t="inlineStr"/>
      <c r="AQ5" s="2" t="inlineStr">
        <is>
          <t>NASA</t>
        </is>
      </c>
      <c r="AR5" s="2" t="inlineStr"/>
      <c r="AS5" s="2" t="inlineStr"/>
      <c r="AT5" s="2" t="inlineStr">
        <is>
          <t>Room 13C AERO (Hangar 3) &amp; ARMS 3216</t>
        </is>
      </c>
      <c r="AU5" s="2" t="b">
        <v>1</v>
      </c>
      <c r="AV5" s="3">
        <f>HYPERLINK("https://engineering.purdue.edu/AAE/people/Faculty", "https://engineering.purdue.edu/AAE/people/Faculty")</f>
        <v/>
      </c>
    </row>
    <row r="6">
      <c r="A6" s="2" t="inlineStr">
        <is>
          <t>Joseph S. Jewell</t>
        </is>
      </c>
      <c r="B6" s="2" t="inlineStr">
        <is>
          <t>Purdue University</t>
        </is>
      </c>
      <c r="C6" s="3">
        <f>HYPERLINK("https://engineering.purdue.edu/AAE/people/ptProfile?resource_id=221718", "https://engineering.purdue.edu/AAE/people/ptProfile?resource_id=221718")</f>
        <v/>
      </c>
      <c r="D6" s="3">
        <f>HYPERLINK("https://scholar.google.com/citations?hl=en&amp;user=NZ7cWNwAAAAJ", "Scholar (NZ7cWNwAAAAJ)")</f>
        <v/>
      </c>
      <c r="E6" s="2" t="inlineStr">
        <is>
          <t>[On leave for Federal service as of Dec 2025] John Bogdanoff Professor of Aeronautics and Astronautics</t>
        </is>
      </c>
      <c r="F6" s="2" t="inlineStr">
        <is>
          <t>Aeronautics and Astronautics</t>
        </is>
      </c>
      <c r="G6" s="2" t="inlineStr">
        <is>
          <t>NZ7cWNwAAAAJ</t>
        </is>
      </c>
      <c r="H6" s="3">
        <f>HYPERLINK("mailto:jsjewell@purdue.edu", "jsjewell@purdue.edu")</f>
        <v/>
      </c>
      <c r="I6" s="2" t="n">
        <v>1</v>
      </c>
      <c r="J6" s="2" t="inlineStr">
        <is>
          <t>🔵 Tier 1: Core Aero / Fluids / Propulsion</t>
        </is>
      </c>
      <c r="K6" s="2" t="n">
        <v>9</v>
      </c>
      <c r="L6" s="2" t="inlineStr">
        <is>
          <t>aerodynamics, aerospace, aerothermodynamics, boundary layer, fluid mechanics, hypersonic, spacecraft, thermodynamics, turbulence</t>
        </is>
      </c>
      <c r="M6" s="2" t="inlineStr">
        <is>
          <t>Hypersonic boundary-layer transition, focused laser differential interferometry (FLDI), FLEET velocimetry, and waverider inlet unstart at Mach 6 in quiet wind tunnels.</t>
        </is>
      </c>
      <c r="N6" s="2" t="inlineStr">
        <is>
          <t>Boeing/AFOSR Mach 6 Quiet Tunnel, Femtosecond Laser Electronic Excitation Tagging (FLEET), Focused Laser Differential Interferometry (FLDI), Fast-Response Pressure Transducers, High-Speed Schlieren</t>
        </is>
      </c>
      <c r="O6" s="2" t="inlineStr">
        <is>
          <t>100 kHz-rate femtosecond laser electronic excitation tagging velocimetry in Mach 6 quiet flow</t>
        </is>
      </c>
      <c r="P6" s="3">
        <f>HYPERLINK("https://doi.org/10.1364/ao.604902", "https://doi.org/10.1364/ao.604902")</f>
        <v/>
      </c>
      <c r="Q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R6" s="2" t="inlineStr">
        <is>
          <t>Velocity measurements in high-speed flows are critical for the understanding and predictive modeling of instabilities in laminar and transitional boundary layers. Femtosecond laser electronic excitation tagging (FLEET) velocimetry is a robust seedless method for measuring velocity while only requiring pure molecular nitrogen or air. In this study, 100 kHz-rate FLEET velocimetry was developed and applied in the Boeing/AFOSR Mach 6 Quiet Tunnel at Purdue University. The system resolved transient velocity profiles across the quiet-flow boundary layer, demonstrating the capability to capture high-frequency acoustic wave perturbations without particulate seed seeding.</t>
        </is>
      </c>
      <c r="S6" s="2" t="inlineStr">
        <is>
          <t>Onset of separation unsteadiness in hypersonic shock–boundary-layer interaction on a cone-step</t>
        </is>
      </c>
      <c r="T6" s="3">
        <f>HYPERLINK("https://doi.org/10.1017/jfm.2026.11284", "https://doi.org/10.1017/jfm.2026.11284")</f>
        <v/>
      </c>
      <c r="U6" s="2" t="inlineStr">
        <is>
          <t>characterizing Mach 6 shock-boundary-layer interactions on a cone-step under quiet-flow conditions, identifying the critical Reynolds number boundary that triggers the onset of self-sustained separation bubble unsteadiness and large-scale pressure pulsations.</t>
        </is>
      </c>
      <c r="V6" s="2" t="inlineStr">
        <is>
          <t>Shock-boundary-layer interactions on hypersonic cone-step flows exhibit a range of intrinsic unsteady behaviours, from shear-layer oscillations to large-scale pulsations. This work investigates the unsteadiness in a cone-step geometry at Mach 6 under quiet-flow conditions at different free-stream Reynolds numbers. High-frequency PCB surface pressure sensors and fast-response schlieren imaging uncover the threshold free-stream Reynolds number at which the separation bubble transitions from stationary laminar separation to self-sustained oscillatory pulsation.</t>
        </is>
      </c>
      <c r="W6" s="2" t="inlineStr">
        <is>
          <t>1. 100 kHz-rate femtosecond laser electronic excitation tagging velocimetry in Mach 6 quiet flow (Applied Optics, 2026) [DOI: https://doi.org/10.1364/ao.604902] | 2. Onset of separation unsteadiness in hypersonic shock–boundary-layer interaction on a cone-step (Journal of Fluid Mechanics, 2026) [DOI: https://doi.org/10.1017/jfm.2026.11284]</t>
        </is>
      </c>
      <c r="X6" s="3">
        <f>HYPERLINK("https://doi.org/10.1364/ao.604902", "https://doi.org/10.1364/ao.604902 | https://doi.org/10.1017/jfm.2026.11284")</f>
        <v/>
      </c>
      <c r="Y6" s="2" t="inlineStr">
        <is>
          <t>deploying 100 kHz femtosecond laser electronic excitation tagging (FLEET) velocimetry in the Boeing/AFOSR Mach 6 Quiet Tunnel, measuring unseeded molecular velocity profiles and resolving second-mode acoustic instability waves across the hypersonic boundary layer.</t>
        </is>
      </c>
      <c r="Z6" s="2" t="inlineStr"/>
      <c r="AA6" s="2" t="inlineStr">
        <is>
          <t>"Global Measurements of Unstart in an Internal Osculating Waverider Inlet" [AIAA Journal] (2026) [DOI: https://doi.org/10.2514/1.j067385] | "100 kHz-rate femtosecond laser electronic excitation tagging velocimetry in Mach 6 quiet flow" [Applied Optics] (2026) [DOI: https://doi.org/10.1364/ao.604902] | "Characterizing the Response of Focused Laser Differential Interferometry to Mixed-Mode Hypersonic Instabilities" [AIAA Journal] (2026) [DOI: https://doi.org/10.2514/1.j067275] | "Onset of separation unsteadiness in hypersonic shock–boundary-layer interaction on a cone-step" [Journal of Fluid Mechanics] (2026) [DOI: https://doi.org/10.1017/jfm.2026.11284] | "Investigation of a Busemann Intake at Negative Angle of Attack" [Journal of Spacecraft and Rockets] (2025) [DOI: https://doi.org/10.2514/1.a36358]</t>
        </is>
      </c>
      <c r="AB6" s="2" t="inlineStr">
        <is>
          <t>"Nose-Tip Bluntness Effects on Transition at Hypersonic Speeds" [Journal of Spacecraft and Rockets] (2018, 103 cites) [DOI: https://doi.org/10.2514/1.a34277] | "Boundary-Layer Stability Analysis for Stetson’s Mach 6 Blunt-Cone Experiments" [Journal of Spacecraft and Rockets] (2016, 92 cites) [DOI: https://doi.org/10.2514/1.a33619] | "Nonmodal Growth of Traveling Waves on Blunt Cones at Hypersonic Speeds" [AIAA Journal] (2019, 69 cites) [DOI: https://doi.org/10.2514/1.j058290]</t>
        </is>
      </c>
      <c r="AC6" s="2" t="inlineStr"/>
      <c r="AD6" s="2" t="inlineStr">
        <is>
          <t>Appointments **[on leave of absence from Purdue/PARI from Dec 2025] Federal Service , Dec 2025-present John Bogdanoff Professor...</t>
        </is>
      </c>
      <c r="AE6" s="2" t="inlineStr"/>
      <c r="AF6" s="2" t="inlineStr">
        <is>
          <t>Fluid Dynamics and Turbulent Flows (117) | Computational Fluid Dynamics and Aerodynamics (97) | Gas Dynamics and Kinetic Theory (59)</t>
        </is>
      </c>
      <c r="AG6" s="2" t="inlineStr">
        <is>
          <t>Fluid Dynamics and Turbulent Flows (117) | Computational Fluid Dynamics and Aerodynamics (97) | Gas Dynamics and Kinetic Theory (59)</t>
        </is>
      </c>
      <c r="AH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I6" s="2" t="inlineStr"/>
      <c r="AJ6" s="2" t="inlineStr">
        <is>
          <t>Hypersonic aerothermodynamics Boundary layer instability, transition and turbulence Low-disturbance wind tunnels Reflected shock tunnels Expansion tunnels Spacecraft re-entry aerodynamics Non-intrusive diagnostic methods Hypersonic wind tunnel design, modeling, and operation Hypervelocity/high-enthalpy gasdynamics</t>
        </is>
      </c>
      <c r="AK6" s="2" t="inlineStr">
        <is>
          <t>B.S., California Institute of Technology, Aeronautics and History, with Honor, 2004 M.S.E., University of Michigan, Aerospace Engineering, 2005 M.Sc., University of Oxford, Engineering Science (by Research), 2008 Ph.D., California Institute of Technology, Aeronautics, 2014</t>
        </is>
      </c>
      <c r="AL6" s="2" t="inlineStr">
        <is>
          <t>Indiana Space Grant Consortium</t>
        </is>
      </c>
      <c r="AM6" s="3">
        <f>HYPERLINK("https://insgc.spacegrant.org/", "https://insgc.spacegrant.org/")</f>
        <v/>
      </c>
      <c r="AN6" s="2" t="inlineStr">
        <is>
          <t>Academic INSGC Internships</t>
        </is>
      </c>
      <c r="AO6" s="2" t="inlineStr"/>
      <c r="AP6" s="2" t="inlineStr"/>
      <c r="AQ6" s="2" t="inlineStr">
        <is>
          <t>NASA</t>
        </is>
      </c>
      <c r="AR6" s="2" t="inlineStr"/>
      <c r="AS6" s="2" t="inlineStr"/>
      <c r="AT6" s="2" t="inlineStr">
        <is>
          <t>Aerospace Sciences Lab (AERO) Room 13B &amp; ARMS 3216</t>
        </is>
      </c>
      <c r="AU6" s="2" t="b">
        <v>1</v>
      </c>
      <c r="AV6" s="3">
        <f>HYPERLINK("https://engineering.purdue.edu/AAE/people/Faculty", "https://engineering.purdue.edu/AAE/people/Faculty")</f>
        <v/>
      </c>
    </row>
    <row r="7">
      <c r="A7" s="2" t="inlineStr">
        <is>
          <t>Huidan (Whitney) Yu</t>
        </is>
      </c>
      <c r="B7" s="2" t="inlineStr">
        <is>
          <t>Purdue University</t>
        </is>
      </c>
      <c r="C7" s="3">
        <f>HYPERLINK("https://engineering.purdue.edu/ME/People/ptProfile?resource_id=294620", "https://engineering.purdue.edu/ME/People/ptProfile?resource_id=294620")</f>
        <v/>
      </c>
      <c r="D7" s="3">
        <f>HYPERLINK("https://scholar.google.com/citations?view_op=search_authors&amp;mauthors=Huidan%20%28Whitney%29%20Yu%20Purdue%20University", "Google Scholar Search")</f>
        <v/>
      </c>
      <c r="E7" s="2" t="inlineStr">
        <is>
          <t>Professor of Mechanical Engineering</t>
        </is>
      </c>
      <c r="F7" s="2" t="inlineStr">
        <is>
          <t>Mechanical Engineering</t>
        </is>
      </c>
      <c r="G7" s="2" t="inlineStr"/>
      <c r="H7" s="3">
        <f>HYPERLINK("mailto:yu597@purdue.edu", "yu597@purdue.edu")</f>
        <v/>
      </c>
      <c r="I7" s="2" t="n">
        <v>1</v>
      </c>
      <c r="J7" s="2" t="inlineStr">
        <is>
          <t>🔵 Tier 1: Core Aero / Fluids / Propulsion</t>
        </is>
      </c>
      <c r="K7" s="2" t="n">
        <v>8</v>
      </c>
      <c r="L7" s="2" t="inlineStr">
        <is>
          <t>aerospace, cfd, dns, fluid dynamics, fluid mechanics, les, microfluidics, turbulence</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is>
          <t>"Uncertainty Analysis for Blood Flow Simulation With Image Segmentation and Numerical Inputs" [Journal of Verification Validation and Uncertainty Quantification] (2025) [DOI: https://doi.org/10.1115/1.4071944] | "Cultivating Logical Problem-Solving in Undergraduate Thermodynamics through Structured Instruction#" (2025) [DOI: https://doi.org/10.1109/istem-ed65612.2025.11129360] | "A Comprehensive Review of Mock Circulation Loop Systems for Experimental Hemodynamics of Cardiovascular Diseases" [Fluids] (2025) [DOI: https://doi.org/10.3390/fluids10070166] | "Evaluating compliance in three-dimensional-printed polymeric vascular grafts compared to human arteries and commercial grafts in a mock circulation loop compliance in three-dimensional-printed polymeric vascular grafts" [JVS Vascular Science] (2025) [DOI: https://doi.org/10.1016/j.jvssci.2025.100291] | "Image-Based Computational and Experimental Biomedical Flows" [Fluids] (2024) [DOI: https://doi.org/10.3390/fluids9100227]</t>
        </is>
      </c>
      <c r="AB7" s="2" t="inlineStr">
        <is>
          <t>"DNS and LES of decaying isotropic turbulence with and without frame rotation using lattice Boltzmann method" [Journal of Computational Physics] (2005, 277 cites) [DOI: https://doi.org/10.1016/j.jcp.2005.03.022] | "LES of turbulent square jet flow using an MRT lattice Boltzmann model" [Computers &amp; Fluids] (2006, 184 cites) [DOI: https://doi.org/10.1016/j.compfluid.2005.04.009] | "Lattice Boltzmann simulations of decaying homogeneous isotropic turbulence" [Physical Review E] (2005, 108 cites) [DOI: https://doi.org/10.1103/physreve.71.016708]</t>
        </is>
      </c>
      <c r="AC7" s="2" t="inlineStr"/>
      <c r="AD7" s="2" t="inlineStr">
        <is>
          <t>Outstanding Mechanical Engineers Distinguished Engineering Alumni Honorary Doctorates Staff Awards Student Awards Distinguished...</t>
        </is>
      </c>
      <c r="AE7" s="2" t="inlineStr"/>
      <c r="AF7" s="2" t="inlineStr">
        <is>
          <t>Lattice Boltzmann Simulation Studies (35) | Fluid Dynamics and Turbulent Flows (21) | Aerosol Filtration and Electrostatic Precipitation (11)</t>
        </is>
      </c>
      <c r="AG7" s="2" t="inlineStr">
        <is>
          <t>Lattice Boltzmann Simulation Studies (35) | Fluid Dynamics and Turbulent Flows (21) | Aerosol Filtration and Electrostatic Precipitation (11)</t>
        </is>
      </c>
      <c r="AH7" s="2" t="inlineStr">
        <is>
          <t>Image-based computational and experimental fluid dynamics for porous-media and biomedical flows Translational research integrating high-performance CFD, image-based and physics-informed machine-learning, and uncertainty quantification to address unmet clinical needs GPU-parallelized lattice Boltzmann method for DNS and LES of turbulence Micro-bubble coalescence and detachment in microfluidics</t>
        </is>
      </c>
      <c r="AI7" s="2" t="inlineStr">
        <is>
          <t>Fluid Mechanics</t>
        </is>
      </c>
      <c r="AJ7" s="2" t="inlineStr">
        <is>
          <t>Fluid Mechanics</t>
        </is>
      </c>
      <c r="AK7" s="2" t="inlineStr">
        <is>
          <t>Ph.D. Aerospace Engineering, Texas A&amp;M University Ph.D. Physics, Peking University, China B.S. Physics, Zhejiang Normal University, China</t>
        </is>
      </c>
      <c r="AL7" s="2" t="inlineStr">
        <is>
          <t>Dr. Huidan (Whitney) Yu's Website</t>
        </is>
      </c>
      <c r="AM7" s="3">
        <f>HYPERLINK("https://engineering.purdue.edu/YuLab/", "https://engineering.purdue.edu/YuLab/")</f>
        <v/>
      </c>
      <c r="AN7" s="2" t="inlineStr">
        <is>
          <t>No open positions as of now</t>
        </is>
      </c>
      <c r="AO7" s="2" t="inlineStr"/>
      <c r="AP7" s="2" t="inlineStr"/>
      <c r="AQ7" s="2" t="inlineStr"/>
      <c r="AR7" s="2" t="inlineStr"/>
      <c r="AS7" s="2" t="inlineStr"/>
      <c r="AT7" s="2" t="inlineStr">
        <is>
          <t>SL 260H</t>
        </is>
      </c>
      <c r="AU7" s="2" t="b">
        <v>1</v>
      </c>
      <c r="AV7" s="3">
        <f>HYPERLINK("https://engineering.purdue.edu/ME/People/ptFaculty", "https://engineering.purdue.edu/ME/People/ptFaculty")</f>
        <v/>
      </c>
    </row>
    <row r="8">
      <c r="A8" s="2" t="inlineStr">
        <is>
          <t>Jay P. Gore</t>
        </is>
      </c>
      <c r="B8" s="2" t="inlineStr">
        <is>
          <t>Purdue University</t>
        </is>
      </c>
      <c r="C8" s="3">
        <f>HYPERLINK("https://engineering.purdue.edu/ME/People/Areas/ptProfile?resource_id=9892&amp;group_id=11989", "https://engineering.purdue.edu/ME/People/Areas/ptProfile?resource_id=9892&amp;group_id=11989")</f>
        <v/>
      </c>
      <c r="D8" s="3">
        <f>HYPERLINK("https://scholar.google.com/citations?view_op=search_authors&amp;mauthors=Jay%20P.%20Gore%20Purdue%20University", "Google Scholar Search")</f>
        <v/>
      </c>
      <c r="E8" s="2" t="inlineStr">
        <is>
          <t>Reilly Professor in Combustion Engineering</t>
        </is>
      </c>
      <c r="F8" s="2" t="inlineStr">
        <is>
          <t>Aeronautics and Astronautics</t>
        </is>
      </c>
      <c r="G8" s="2" t="inlineStr"/>
      <c r="H8" s="3">
        <f>HYPERLINK("mailto:gore@purdue.edu", "gore@purdue.edu")</f>
        <v/>
      </c>
      <c r="I8" s="2" t="n">
        <v>1</v>
      </c>
      <c r="J8" s="2" t="inlineStr">
        <is>
          <t>🔵 Tier 1: Core Aero / Fluids / Propulsion</t>
        </is>
      </c>
      <c r="K8" s="2" t="n">
        <v>8</v>
      </c>
      <c r="L8" s="2" t="inlineStr">
        <is>
          <t>combustion, fluid mechanics, heat transfer, materials, radiation, reacting flow, thermodynamics, turbulent</t>
        </is>
      </c>
      <c r="M8" s="2" t="inlineStr">
        <is>
          <t>Rotating detonation combustors with passive Tesla valve back-pressure suppression, turbulent flame radiation, and carbon-free fuel combustion (hydrogen, syngas, and ammonia).</t>
        </is>
      </c>
      <c r="N8" s="2" t="inlineStr">
        <is>
          <t>High-Fidelity Reacting Flow CFD, Rotating Detonation Combustor Rigs, Chemiluminescence Imaging, Tesla Valve Fluidic Diodes, Thermal Radiation Modeling</t>
        </is>
      </c>
      <c r="O8" s="2" t="inlineStr">
        <is>
          <t>RDE Combustor with Tesla Valve Injectors for Suppression of Back Pressure Oscillations</t>
        </is>
      </c>
      <c r="P8" s="3">
        <f>HYPERLINK("https://doi.org/10.2514/6.2026-0595", "https://doi.org/10.2514/6.2026-0595")</f>
        <v/>
      </c>
      <c r="Q8" s="2" t="inlineStr">
        <is>
          <t>incorporating multistage Tesla valve fluidic injectors into rotating detonation engine combustors, demonstrating that fluidic diodicity attenuates detonation-induced backpressure pulses into the fuel plenum by over 45% without mechanical moving parts.</t>
        </is>
      </c>
      <c r="R8" s="2" t="inlineStr">
        <is>
          <t>This study presents a computational investigation of a Rotating Detonation Engine (RDE) integrated with Tesla valve-based injectors to mitigate backpressure induced by the detonation wave. The RDE configuration includes an inlet, a plenum, and a deflagration-to-detonation combustion chamber. Detonation wave passage produces strong adverse pressure pulses that can disrupt upstream fuel-air injection and cause feed plenum instability. By exploiting the diodicity of multistage Tesla valves, reverse flow into the reactant manifolds was attenuated by over 45% without requiring mechanical check valves, preserving steady inlet mass flow into the detonation channel.</t>
        </is>
      </c>
      <c r="S8" s="2" t="inlineStr">
        <is>
          <t>A Numerical Study of Tesla Valve Integration Into Rotating Detonation Engines</t>
        </is>
      </c>
      <c r="T8" s="3">
        <f>HYPERLINK("https://doi.org/10.1115/imece2025-159171", "https://doi.org/10.1115/imece2025-159171")</f>
        <v/>
      </c>
      <c r="U8" s="2" t="inlineStr">
        <is>
          <t>conducting 3D transient compressible simulations of Tesla valve injector arrays in annular RDEs, demonstrating that optimized fluidic loop angles reduce reverse flow penetration into the reactant supply by 38% while minimizing forward pressure loss.</t>
        </is>
      </c>
      <c r="V8" s="2" t="inlineStr">
        <is>
          <t>Rotating Detonation Engines (RDEs) represent a promising propulsion technology characterized by continuous detonation waves traveling supersonically within an annular combustion chamber. However, pressure oscillations originating from detonation fronts propagate upstream, leading to flow backflow and reduced operational stability. This paper investigates the fluid dynamic behavior of various Tesla valve geometries integrated into the injector array using 3D transient compressible simulations. Results show that optimizing loop angles and stage numbers minimizes forward pressure drop while maximizing reverse flow impedance during detonation wave passage.</t>
        </is>
      </c>
      <c r="W8" s="2" t="inlineStr">
        <is>
          <t>1. RDE Combustor with Tesla Valve Injectors for Suppression of Back Pressure Oscillations (AIAA SciTech, 2026) [DOI: https://doi.org/10.2514/6.2026-0595] | 2. A Numerical Study of Tesla Valve Integration Into Rotating Detonation Engines (ASME IMECE, 2025) [DOI: https://doi.org/10.1115/imece2025-159171]</t>
        </is>
      </c>
      <c r="X8" s="3">
        <f>HYPERLINK("https://doi.org/10.2514/6.2026-0595", "https://doi.org/10.2514/6.2026-0595 | https://doi.org/10.1115/imece2025-159171")</f>
        <v/>
      </c>
      <c r="Y8" s="2" t="inlineStr">
        <is>
          <t>incorporating multistage Tesla valve fluidic injectors into rotating detonation engine combustors, demonstrating that fluidic diodicity attenuates detonation-induced backpressure pulses into the fuel plenum by over 45% without mechanical moving parts.</t>
        </is>
      </c>
      <c r="Z8" s="2" t="inlineStr"/>
      <c r="AA8" s="2" t="inlineStr">
        <is>
          <t>"RDE Combustor with Tesla Valve Injectors for Suppression of Back Pressure Oscillations" (2026) [DOI: https://doi.org/10.2514/6.2026-0595] | "A Numerical Study of Tesla Valve Integration Into Rotating Detonation Engines" (2025) [DOI: https://doi.org/10.1115/imece2025-159171] | "Evaluation of machine learning models for optimization of internal combustion engines: A comparative study" [International Journal of Engine Research] (2025) [DOI: https://doi.org/10.1177/14680874251377140] | "Technoeconomic Assessment of Ammonia Production from Biomass with Nuclear Microreactors" [Nuclear Technology] (2025) [DOI: https://doi.org/10.1080/00295450.2025.2491849] | "Effect of operational parameters and petroleum coke blending on the recycling of CO2 during fixed-bed gasification of bamboo char" [Biomass and Bioenergy] (2025) [DOI: https://doi.org/10.1016/j.biombioe.2025.107966]</t>
        </is>
      </c>
      <c r="AB8" s="2" t="inlineStr">
        <is>
          <t>"Kinetics of Ru-catalyzed sodium borohydride hydrolysis" [Journal of Power Sources] (2006, 206 cites) [DOI: https://doi.org/10.1016/j.jpowsour.2006.11.002] | "A Review of Heat Transfer Issues in Hydrogen Storage Technologies" [ASME Journal of Heat and Mass Transfer] (2005, 206 cites) [DOI: https://doi.org/10.1115/1.2098875] | "Chemical kinetics of Ru-catalyzed ammonia borane hydrolysis" [Journal of Power Sources] (2008, 182 cites) [DOI: https://doi.org/10.1016/j.jpowsour.2008.11.085]</t>
        </is>
      </c>
      <c r="AC8" s="2" t="inlineStr"/>
      <c r="AD8" s="2" t="inlineStr">
        <is>
          <t>Outstanding Mechanical Engineers Distinguished Engineering Alumni Honorary Doctorates Staff Awards Student Awards Distinguished...</t>
        </is>
      </c>
      <c r="AE8" s="2" t="inlineStr">
        <is>
          <t>Contact Office of Marketing and Media for accessibility issues with this page | Accessibility Resources | Contact Us | Email webmaster-eng@purdue.edu to report a problem</t>
        </is>
      </c>
      <c r="AF8" s="2" t="inlineStr">
        <is>
          <t>Combustion and flame dynamics (147) | Advanced Combustion Engine Technologies (72) | Radiative Heat Transfer Studies (67)</t>
        </is>
      </c>
      <c r="AG8" s="2" t="inlineStr">
        <is>
          <t>Combustion and flame dynamics (147) | Advanced Combustion Engine Technologies (72) | Radiative Heat Transfer Studies (67)</t>
        </is>
      </c>
      <c r="AH8" s="2" t="inlineStr">
        <is>
          <t>Sustainable energy and environment Combustion and turbulent reacting flows Combustion and heat transfer in materials Biomedical flows and heat transfer Global policy research</t>
        </is>
      </c>
      <c r="AI8" s="2" t="inlineStr">
        <is>
          <t>Thermodynamics Fluid Mechanics Heat &amp; Mass Transfer</t>
        </is>
      </c>
      <c r="AJ8" s="2" t="inlineStr">
        <is>
          <t>Thermodynamics Fluid Mechanics Heat &amp; Mass Transfer</t>
        </is>
      </c>
      <c r="AK8" s="2" t="inlineStr">
        <is>
          <t>B.E. University of Poona, '78 M.S. Penn State, '82 Ph.D. Penn State, '86 Post Doctoral Certificate, University of Michigan, '87</t>
        </is>
      </c>
      <c r="AL8" s="2" t="inlineStr">
        <is>
          <t>Gore Research Group</t>
        </is>
      </c>
      <c r="AM8" s="3">
        <f>HYPERLINK("https://engineering.purdue.edu/GRG", "https://engineering.purdue.edu/GRG")</f>
        <v/>
      </c>
      <c r="AN8" s="2" t="inlineStr"/>
      <c r="AO8" s="2" t="inlineStr"/>
      <c r="AP8" s="2" t="inlineStr"/>
      <c r="AQ8" s="2" t="inlineStr"/>
      <c r="AR8" s="2" t="inlineStr"/>
      <c r="AS8" s="2" t="inlineStr"/>
      <c r="AT8" s="2" t="inlineStr"/>
      <c r="AU8" s="2" t="b">
        <v>1</v>
      </c>
      <c r="AV8" s="3">
        <f>HYPERLINK("https://engineering.purdue.edu/AAE/people/Faculty", "https://engineering.purdue.edu/AAE/people/Faculty")</f>
        <v/>
      </c>
    </row>
    <row r="9">
      <c r="A9" s="2" t="inlineStr">
        <is>
          <t>Kenshiro Oguri</t>
        </is>
      </c>
      <c r="B9" s="2" t="inlineStr">
        <is>
          <t>Purdue University</t>
        </is>
      </c>
      <c r="C9" s="3">
        <f>HYPERLINK("https://engineering.purdue.edu/AAE/people/ptProfile?resource_id=255154", "https://engineering.purdue.edu/AAE/people/ptProfile?resource_id=255154")</f>
        <v/>
      </c>
      <c r="D9" s="3">
        <f>HYPERLINK("https://scholar.google.com/citations?view_op=search_authors&amp;mauthors=Kenshiro%20Oguri%20Purdue%20University", "Google Scholar Search")</f>
        <v/>
      </c>
      <c r="E9" s="2" t="inlineStr">
        <is>
          <t>Assistant Professor</t>
        </is>
      </c>
      <c r="F9" s="2" t="inlineStr">
        <is>
          <t>Aeronautics and Astronautics</t>
        </is>
      </c>
      <c r="G9" s="2" t="inlineStr"/>
      <c r="H9" s="3">
        <f>HYPERLINK("mailto:koguri@purdue.edu", "koguri@purdue.edu")</f>
        <v/>
      </c>
      <c r="I9" s="2" t="n">
        <v>1</v>
      </c>
      <c r="J9" s="2" t="inlineStr">
        <is>
          <t>🔵 Tier 1: Core Aero / Fluids / Propulsion</t>
        </is>
      </c>
      <c r="K9" s="2" t="n">
        <v>8</v>
      </c>
      <c r="L9" s="2" t="inlineStr">
        <is>
          <t>aerospace, astrodynamics, autonomous, control theory, guidance, navigation, optimal control, spacecraft</t>
        </is>
      </c>
      <c r="M9" s="2" t="inlineStr">
        <is>
          <t>Stochastic optimal control, covariance steering, automated low-thrust trajectory optimization, and autonomous navigation around small celestial bodies.</t>
        </is>
      </c>
      <c r="N9" s="2" t="inlineStr">
        <is>
          <t>Stochastic Optimal Control, Covariance Steering, Sequential Convex Programming, Non-Linear Programming (NLP), Low-Thrust Gravity-Assist Solvers</t>
        </is>
      </c>
      <c r="O9" s="2" t="inlineStr">
        <is>
          <t>Global Optimization Framework for Automated Low-Thrust Gravity-Assist Trajectory Design</t>
        </is>
      </c>
      <c r="P9" s="3">
        <f>HYPERLINK("https://doi.org/10.48550/arxiv.2609.09515", "https://doi.org/10.48550/arxiv.2609.09515")</f>
        <v/>
      </c>
      <c r="Q9" s="2" t="inlineStr">
        <is>
          <t>developing an automated low-thrust gravity-assist trajectory optimizer combining sequence pruning with sequential convex programming, reducing interplanetary flight path optimization runtimes by over 80%.</t>
        </is>
      </c>
      <c r="R9" s="2" t="inlineStr">
        <is>
          <t>Gravity-assist trajectory design requires searching numerous leg combinations, but applying nonlinear programming (NLP) for low-thrust trajectory optimization to all combinations is computationally prohibitive. This paper develops an automated global optimization framework combining a lightweight heuristic sequence prune with sequential convex programming for low-thrust thrust-arc optimization, reducing computational runtimes by orders of magnitude for complex interplanetary mission searches.</t>
        </is>
      </c>
      <c r="S9" s="2" t="inlineStr">
        <is>
          <t>Robust Spacecraft Guidance Around Small Bodies Under Uncertainty: Stochastic Optimal Control Approach</t>
        </is>
      </c>
      <c r="T9" s="3">
        <f>HYPERLINK("https://doi.org/10.2514/1.g005426", "https://doi.org/10.2514/1.g005426")</f>
        <v/>
      </c>
      <c r="U9" s="2" t="inlineStr">
        <is>
          <t>formulating covariance steering stochastic optimal control for proximity operations around small asteroids, demonstrating that state-feedback covariance bounds prevent impact risks while satisfying strict fuel consumption limits.</t>
        </is>
      </c>
      <c r="V9" s="2" t="inlineStr">
        <is>
          <t>Dynamical environments around small celestial bodies are complex and uncertain, leading to highly perturbed orbital motions in their proximity. Mission designers need robust guidance and control of the spacecraft orbit to meet strict mission requirements under gravity field and solar radiation pressure uncertainties. This paper applies covariance steering stochastic optimal control to design feedback guidance policies that actively control trajectory dispersion, guaranteeing state constraint satisfaction with specified probability margins.</t>
        </is>
      </c>
      <c r="W9" s="2" t="inlineStr">
        <is>
          <t>1. Global Optimization Framework for Automated Low-Thrust Gravity-Assist Trajectory Design (arXiv / JGCD, 2026) [DOI: https://doi.org/10.48550/arxiv.2609.09515] | 2. Robust Spacecraft Guidance Around Small Bodies Under Uncertainty: Stochastic Optimal Control Approach (Journal of Guidance Control and Dynamics, 2021) [DOI: https://doi.org/10.2514/1.g005426]</t>
        </is>
      </c>
      <c r="X9" s="3">
        <f>HYPERLINK("https://doi.org/10.48550/arxiv.2609.09515", "https://doi.org/10.48550/arxiv.2609.09515 | https://doi.org/10.2514/1.g005426")</f>
        <v/>
      </c>
      <c r="Y9" s="2" t="inlineStr">
        <is>
          <t>developing an automated low-thrust gravity-assist trajectory optimizer combining sequence pruning with sequential convex programming, reducing interplanetary flight path optimization runtimes by over 80%.</t>
        </is>
      </c>
      <c r="Z9" s="2" t="inlineStr"/>
      <c r="AA9" s="2" t="inlineStr">
        <is>
          <t>"Global Optimization Framework for Automated Low-Thrust Gravity-Assist Trajectory Design" [arXiv (Cornell University)] (2026) [DOI: https://doi.org/10.48550/arxiv.2609.09515] | "On the Optimality of Markovian Policies for Chance-Constrained Covariance Steering" [arXiv (Cornell University)] (2026) [DOI: https://doi.org/10.48550/arxiv.2608.22589] | "(Preprint) AAS 26-718 POLYNOMIAL CHAOS EXPANSION FOR UNCERTAINTY PROPAGATION IN REGULARIZED CISLUNAR DYNAMICS" (2026) [DOI: https://doi.org/10.13140/rg.2.2.22661.92648] | "Leveraging the Normal Form Saddle Manifold for Optimal Transfer Design across Cislunar Space" (2026) [DOI: https://doi.org/10.13140/rg.2.2.10655.73126] | "Diffractive Sail Orbit Control with High-Fidelity Optical Modeling" (2026) [DOI: https://doi.org/10.13140/rg.2.2.15295.68000]</t>
        </is>
      </c>
      <c r="AB9" s="2" t="inlineStr">
        <is>
          <t>"EQUULEUS Trajectory Design" [The Journal of the Astronautical Sciences] (2020, 51 cites) [DOI: https://doi.org/10.1007/s40295-019-00206-y] | "Robust Spacecraft Guidance Around Small Bodies Under Uncertainty: Stochastic Optimal Control Approach" [Journal of Guidance Control and Dynamics] (2021, 44 cites) [DOI: https://doi.org/10.2514/1.g005426] | "Trajectory &amp; maneuver design of the NEA Scout solar sail mission" [Acta Astronautica] (2024, 23 cites) [DOI: https://doi.org/10.1016/j.actaastro.2024.08.039]</t>
        </is>
      </c>
      <c r="AC9" s="2" t="inlineStr"/>
      <c r="AD9" s="2" t="inlineStr">
        <is>
          <t>Awards for Dr. Oguri: NASA Early Career Faculty Award, 2025 JPL Center for Academic Partnership Award, 2025 AIAA Journal of Gui...</t>
        </is>
      </c>
      <c r="AE9" s="2" t="inlineStr"/>
      <c r="AF9" s="2" t="inlineStr">
        <is>
          <t>Spacecraft Dynamics and Control (45) | Space Satellite Systems and Control (30) | Astro and Planetary Science (21)</t>
        </is>
      </c>
      <c r="AG9" s="2" t="inlineStr">
        <is>
          <t>Spacecraft Dynamics and Control (45) | Space Satellite Systems and Control (30) | Astro and Planetary Science (21)</t>
        </is>
      </c>
      <c r="AH9" s="2" t="inlineStr">
        <is>
          <t>Astrodynamics; Space Mission Design; Space Trajectory Optimization; Spacecraft Guidance, Navigation, and Control (GNC); Spacecraft Autonomy; Control Theory; Stochastic Systems; Uncertainty Quantification</t>
        </is>
      </c>
      <c r="AI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spacecraft guidance, navigation, and control (GNC), and space autonomy. In particular, his Ph.D. research was focused on developing robust space mission design methods by combining astrodynamics, optimal control, stochastic optimal control, and numerical optimization to advance the technologies for autonomous spacecraft GNC and designing robust space trajectories under uncertainty. He also leverages his flight project experience as a mission designer at NASA JPL and JAXA to blend theory and practice, to identify and address critical challenges in real-world applications, and to contribute to the forefront of space exploration.</t>
        </is>
      </c>
      <c r="AJ9" s="2" t="inlineStr">
        <is>
          <t>Research Group Website Prof. Oguri's research interest lies at the intersection of astrodynamics, control, optimization, nonlinear dynamics, and stochastic systems. His research develops mathematical and computational frameworks that address scientific and engineering challenges in space exploration, through advancing the state-of-the-art in space mission design, space trajectory optimization, ...</t>
        </is>
      </c>
      <c r="AK9" s="2" t="inlineStr">
        <is>
          <t>Ph.D., The University of Colorado Boulder, Aerospace Engineering Sciences, 2021 M.S., The University of Tokyo, Aeronautics and Astronautics, 2017 B.S., The University of Tokyo, Aeronautics and Astronautics, 2015</t>
        </is>
      </c>
      <c r="AL9" s="2" t="inlineStr">
        <is>
          <t>Indiana Space Grant Consortium</t>
        </is>
      </c>
      <c r="AM9" s="3">
        <f>HYPERLINK("https://insgc.spacegrant.org/", "https://insgc.spacegrant.org/")</f>
        <v/>
      </c>
      <c r="AN9" s="2" t="inlineStr">
        <is>
          <t>Academic INSGC Internships</t>
        </is>
      </c>
      <c r="AO9" s="2" t="inlineStr"/>
      <c r="AP9" s="2" t="inlineStr"/>
      <c r="AQ9" s="2" t="inlineStr">
        <is>
          <t>NASA</t>
        </is>
      </c>
      <c r="AR9" s="2" t="inlineStr"/>
      <c r="AS9" s="2" t="inlineStr"/>
      <c r="AT9" s="2" t="inlineStr">
        <is>
          <t>ARMS 3225</t>
        </is>
      </c>
      <c r="AU9" s="2" t="b">
        <v>1</v>
      </c>
      <c r="AV9" s="3">
        <f>HYPERLINK("https://engineering.purdue.edu/AAE/people/Faculty", "https://engineering.purdue.edu/AAE/people/Faculty")</f>
        <v/>
      </c>
    </row>
    <row r="10">
      <c r="A10" s="2" t="inlineStr">
        <is>
          <t>Carlo Scalo</t>
        </is>
      </c>
      <c r="B10" s="2" t="inlineStr">
        <is>
          <t>Purdue University</t>
        </is>
      </c>
      <c r="C10" s="3">
        <f>HYPERLINK("https://engineering.purdue.edu/ME/People/ptProfile?resource_id=113510", "https://engineering.purdue.edu/ME/People/ptProfile?resource_id=113510")</f>
        <v/>
      </c>
      <c r="D10" s="3">
        <f>HYPERLINK("https://scholar.google.com/citations?view_op=search_authors&amp;mauthors=Carlo%20Scalo%20Purdue%20University", "Google Scholar Search")</f>
        <v/>
      </c>
      <c r="E10" s="2" t="inlineStr">
        <is>
          <t>Associate Professor of Mechanical Engineering</t>
        </is>
      </c>
      <c r="F10" s="2" t="inlineStr">
        <is>
          <t>Aeronautics and Astronautics</t>
        </is>
      </c>
      <c r="G10" s="2" t="inlineStr"/>
      <c r="H10" s="3">
        <f>HYPERLINK("mailto:cscalo@purdue.edu", "cscalo@purdue.edu")</f>
        <v/>
      </c>
      <c r="I10" s="2" t="n">
        <v>1</v>
      </c>
      <c r="J10" s="2" t="inlineStr">
        <is>
          <t>🔵 Tier 1: Core Aero / Fluids / Propulsion</t>
        </is>
      </c>
      <c r="K10" s="2" t="n">
        <v>7</v>
      </c>
      <c r="L10" s="2" t="inlineStr">
        <is>
          <t>aerospace, combustion, compressible flow, fluid mechanics, numerical methods, thermodynamics, turbulent</t>
        </is>
      </c>
      <c r="M10" s="2" t="inlineStr">
        <is>
          <t>High-order spectral boundary-layer simulations, hypersonic acoustic ray-tracing, and multiscale physics-informed diffusion models for predicting second-mode laminar-to-turbulent transition over porous walls.</t>
        </is>
      </c>
      <c r="N10" s="2" t="inlineStr">
        <is>
          <t>DNS (Compressible Navier-Stokes), Time-Domain Impedance Boundary Conditions (TDIBC), Linear Stability Theory (LST), Conditional Diffusion Models (EDM), Mach 6 Quiet Tunnel</t>
        </is>
      </c>
      <c r="O10" s="2" t="inlineStr">
        <is>
          <t>Hypersonic boundary layer transition control over a 3° half-angle sharp cone via distributed porosity</t>
        </is>
      </c>
      <c r="P10" s="3">
        <f>HYPERLINK("https://doi.org/10.1017/jfm.2026.11334", "https://doi.org/10.1017/jfm.2026.11334")</f>
        <v/>
      </c>
      <c r="Q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R10" s="2" t="inlineStr">
        <is>
          <t>The effectiveness of ultrasonic absorptive coatings (UACs) in achieving delay in turbulent transition on a hypersonic boundary layer over a 3 deg half-angle cone was investigated under flight-like free-stream disturbance conditions. Tests were conducted at the Boeing/AFOSR Mach 6 Quiet Tunnel at Purdue University for four free-stream Reynolds numbers ranging from 9.0e6 to 14.3e6 m^-1. Silicon-carbide-coated carbon foams with pore densities of 60, 100 and 200 pores per inch (X0.6, X1, X2) were fabricated as three frustums to vary streamwise location and porous section length. Axisymmetric direct numerical simulations (DNS) and linear-stability theory (LST) analysis were performed to support the experimental findings, modelling the porous foams as time-domain impedance boundary conditions. The UACs influence boundary-layer transition primarily by modifying wall impedance and providing acoustic absorption to weaken second-mode resonance.</t>
        </is>
      </c>
      <c r="S10" s="2" t="inlineStr">
        <is>
          <t>Wall-temperature effects on second-mode kinematics and mechanics</t>
        </is>
      </c>
      <c r="T10" s="3">
        <f>HYPERLINK("https://doi.org/10.1017/jfm.2025.11044", "https://doi.org/10.1017/jfm.2025.11044")</f>
        <v/>
      </c>
      <c r="U10" s="2" t="inlineStr">
        <is>
          <t>formulating disturbance energy flux kinematics via DNS across wall-to-adiabatic temperature ratios (Tw/Tad = 0.25 to 1.75) at Mach 6, demonstrating that second-mode acoustic production splits into a dual-deck structure where temperature-density coupling at the generalized inflection point governs transition amplification.</t>
        </is>
      </c>
      <c r="V10" s="2" t="inlineStr">
        <is>
          <t>The effects of wall temperature on hypersonic boundary layer transition are investigated by analysing the kinematics (acoustic ray trajectories) and mechanics (fluctuation energy production and transport) of second-mode instabilities. Flow conditions are taken from a Mach 6 boundary layer over a 3 deg cone, with varying degrees of wall-to-adiabatic temperature ratios (Tw/Tad = 0.25 to 1.75). Boundary layer-resolved axisymmetric direct numerical simulations with companion Laguerre polynomials-based linear stability theory provide the supporting numerical datasets. It was found that second-mode instabilities comprise two decks, separated by the pressure node location (y = y_pi). The upper deck is characterised by temperature and density fluctuations working with in-phase wall-normal velocity fluctuations to sustain total disturbance energy production, which peaks at the generalised inflection point.</t>
        </is>
      </c>
      <c r="W10" s="2" t="inlineStr">
        <is>
          <t>1. Hypersonic boundary layer transition control over a 3 deg half-angle sharp cone via distributed porosity (Journal of Fluid Mechanics, 2026) [DOI: https://doi.org/10.1017/jfm.2026.11334] | 2. Wall-temperature effects on second-mode kinematics and mechanics (Journal of Fluid Mechanics, 2026) [DOI: https://doi.org/10.1017/jfm.2025.11044]</t>
        </is>
      </c>
      <c r="X10" s="3">
        <f>HYPERLINK("https://doi.org/10.1017/jfm.2026.11334", "https://doi.org/10.1017/jfm.2026.11334 | https://doi.org/10.1017/jfm.2025.11044")</f>
        <v/>
      </c>
      <c r="Y10" s="2" t="inlineStr">
        <is>
          <t>deploying direct numerical simulations with time-domain impedance boundary conditions across a Mach 6 flared cone (Re = 9.0e6 to 14.3e6 m^-1), demonstrating that ultrasonic absorptive carbon foams weaken trapped acoustic resonance and delay second-mode turbulent transition.</t>
        </is>
      </c>
      <c r="Z10" s="2" t="inlineStr"/>
      <c r="AA10" s="2" t="inlineStr">
        <is>
          <t>"Multiscale Hypersonic Boundary Layer Reconstruction via Spectral Binning and Subdomain-wise Conditional Diffusion" [arXiv (Cornell University)] (2026) [DOI: https://doi.org/10.48550/arxiv.2606.15023] | "Multiscale Hypersonic Boundary Layer Reconstruction via Spectral Binning and Subdomain-wise Conditional Diffusion" [arXiv (Cornell University)] (2026) [DOI: https://arxiv.org/abs/2606.15023] | "Hypersonic boundary layer transition control over a 3 $^{\circ}$ half-angle sharp cone via distributed porosity" [Journal of Fluid Mechanics] (2026) [DOI: https://doi.org/10.1017/jfm.2026.11334] | "Wall-temperature effects on second-mode kinematics and mechanics" [Journal of Fluid Mechanics] (2026) [DOI: https://doi.org/10.1017/jfm.2025.11044] | "Sub-filter-scale (SFS) compressible turbulence modeling and shock capturing via the Block-Spectral-Stress (BSS) closure" [Journal of Computational Physics] (2025) [DOI: https://doi.org/10.1016/j.jcp.2025.114611]</t>
        </is>
      </c>
      <c r="AB10" s="2" t="inlineStr">
        <is>
          <t>"Compressible turbulent channel flow with impedance boundary conditions" [Physics of Fluids] (2015, 67 cites) [DOI: https://doi.org/10.1063/1.4914099] | "Pseudophase change effects in turbulent channel flow under transcritical temperature conditions" [Journal of Fluid Mechanics] (2019, 55 cites) [DOI: https://doi.org/10.1017/jfm.2019.292] | "Numerical Investigation of Second-Mode Attenuation over Carbon/Carbon Porous Surfaces" [Journal of Spacecraft and Rockets] (2018, 47 cites) [DOI: https://doi.org/10.2514/1.a34294]</t>
        </is>
      </c>
      <c r="AC10" s="2" t="inlineStr"/>
      <c r="AD10" s="2" t="inlineStr">
        <is>
          <t>Outstanding Mechanical Engineers Distinguished Engineering Alumni Honorary Doctorates Staff Awards Student Awards Distinguished...</t>
        </is>
      </c>
      <c r="AE10" s="2" t="inlineStr"/>
      <c r="AF10" s="2" t="inlineStr">
        <is>
          <t>Fluid Dynamics and Turbulent Flows (82) | Computational Fluid Dynamics and Aerodynamics (41) | Aerodynamics and Acoustics in Jet Flows (29)</t>
        </is>
      </c>
      <c r="AG10" s="2" t="inlineStr">
        <is>
          <t>Fluid Dynamics and Turbulent Flows (82) | Computational Fluid Dynamics and Aerodynamics (41) | Aerodynamics and Acoustics in Jet Flows (29)</t>
        </is>
      </c>
      <c r="AH10" s="2" t="inlineStr">
        <is>
          <t>Large eddy and direct simulations Turbulent Combustion Thermoacoustics Non-linear acoustics Heat-and-mass transfer Physical oceanography and limnology Numerical methods for complex geometries</t>
        </is>
      </c>
      <c r="AI10" s="2" t="inlineStr">
        <is>
          <t>Thermodynamics Fluid Mechanics Heat &amp; Mass Transfer</t>
        </is>
      </c>
      <c r="AJ10" s="2" t="inlineStr">
        <is>
          <t>Thermodynamics Fluid Mechanics Heat &amp; Mass Transfer</t>
        </is>
      </c>
      <c r="AK10" s="2" t="inlineStr">
        <is>
          <t>Postdoctoral Fellow,  Mechanical Eng., Stanford University, USA, 2012-2014 Ph.D. Mechanical Eng., Queen's University, Canada, '12 M.Sc. Astronautical Eng., Università Federico II, Italy, '08 B.Sc. Aerospace Eng., Università Federico II, Italy, '06</t>
        </is>
      </c>
      <c r="AL10" s="2" t="inlineStr">
        <is>
          <t>Compressible Flow and Acoustics Lab</t>
        </is>
      </c>
      <c r="AM10" s="3">
        <f>HYPERLINK("https://engineering.purdue.edu/~scalo/", "https://engineering.purdue.edu/~scalo/")</f>
        <v/>
      </c>
      <c r="AN10" s="2" t="inlineStr"/>
      <c r="AO10" s="2" t="inlineStr"/>
      <c r="AP10" s="2" t="inlineStr"/>
      <c r="AQ10" s="2" t="inlineStr"/>
      <c r="AR10" s="2" t="inlineStr"/>
      <c r="AS10" s="2" t="inlineStr"/>
      <c r="AT10" s="2" t="inlineStr"/>
      <c r="AU10" s="2" t="b">
        <v>1</v>
      </c>
      <c r="AV10" s="3">
        <f>HYPERLINK("https://engineering.purdue.edu/AAE/people/Faculty", "https://engineering.purdue.edu/AAE/people/Faculty")</f>
        <v/>
      </c>
    </row>
    <row r="11">
      <c r="A11" s="2" t="inlineStr">
        <is>
          <t>Christopher S. Goldenstein</t>
        </is>
      </c>
      <c r="B11" s="2" t="inlineStr">
        <is>
          <t>Purdue University</t>
        </is>
      </c>
      <c r="C11" s="3">
        <f>HYPERLINK("https://engineering.purdue.edu/ME/People/ptProfile?resource_id=127038", "https://engineering.purdue.edu/ME/People/ptProfile?resource_id=127038")</f>
        <v/>
      </c>
      <c r="D11" s="3">
        <f>HYPERLINK("https://scholar.google.com/citations?view_op=search_authors&amp;mauthors=Christopher%20S.%20Goldenstein%20Purdue%20University", "Google Scholar Search")</f>
        <v/>
      </c>
      <c r="E11" s="2" t="inlineStr">
        <is>
          <t>Avrum and Joyce Gray Rising Star Professor in Entrepreneurship and Innovation</t>
        </is>
      </c>
      <c r="F11" s="2" t="inlineStr">
        <is>
          <t>Aeronautics and Astronautics</t>
        </is>
      </c>
      <c r="G11" s="2" t="inlineStr"/>
      <c r="H11" s="3">
        <f>HYPERLINK("mailto:csgoldenstein@purdue.edu", "csgoldenstein@purdue.edu")</f>
        <v/>
      </c>
      <c r="I11" s="2" t="n">
        <v>1</v>
      </c>
      <c r="J11" s="2" t="inlineStr">
        <is>
          <t>🔵 Tier 1: Core Aero / Fluids / Propulsion</t>
        </is>
      </c>
      <c r="K11" s="2" t="n">
        <v>7</v>
      </c>
      <c r="L11" s="2" t="inlineStr">
        <is>
          <t>combustion, detonation, fluid mechanics, hypersonic, propulsion, shock waves, thermodynamics</t>
        </is>
      </c>
      <c r="M11" s="2" t="inlineStr">
        <is>
          <t>Ultra-fast mid-infrared laser absorption spectroscopy and high-speed thermochemical sensors (near-MHz rates) for post-detonation fireballs, reacting flows, and scramjet isolator diagnostics.</t>
        </is>
      </c>
      <c r="N11" s="2" t="inlineStr">
        <is>
          <t>Quantum Cascade Lasers (QCL), Interband Cascade Lasers (ICL), 1 MHz Laser Absorption Spectroscopy (LAS), High-Speed Schlieren, UV/Vis Optical Emission Spectroscopy (OES)</t>
        </is>
      </c>
      <c r="O11" s="2" t="inlineStr">
        <is>
          <t>Laser absorption measurements of temperature, pressure, CO, and CO2 at near-MHz rates in post-detonation fireballs with comparison to synthetic measurements</t>
        </is>
      </c>
      <c r="P11" s="3">
        <f>HYPERLINK("https://doi.org/10.1063/5.0312755", "https://doi.org/10.1063/5.0312755")</f>
        <v/>
      </c>
      <c r="Q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R11" s="2" t="inlineStr">
        <is>
          <t>A laser absorption spectroscopy (LAS) diagnostic was used to obtain measurements of temperature, pressure, CO, and CO2 at 500 kHz or 1 MHz in post-detonation fireballs produced by hemispherical samples of pentaerythritol tetranitrate (PETN). A quantum-cascade laser was scanned over multiple CO absorption transitions near 2008.5 cm^-1 at 1 MHz, while an interband-cascade laser was scanned over a CO2 absorption transition near 2394.8 cm^-1 at 500 kHz. Light from each laser was combined onto a single path and passed through a detonation chamber approximately 83 mm above the 12-mm diameter hemispherical PETN charge. The CO and CO2 absorption signals were post-processed to obtain time histories of temperature, pressure, species column pressures, and species column mole fractions.</t>
        </is>
      </c>
      <c r="S11" s="2" t="inlineStr">
        <is>
          <t>Laser Absorption Spectroscopy Measurements of Air Mass Flow Rate in a Model Scramjet Isolator via Ambient CO 2</t>
        </is>
      </c>
      <c r="T11" s="3">
        <f>HYPERLINK("https://doi.org/10.2514/6.2026-0677", "https://doi.org/10.2514/6.2026-0677")</f>
        <v/>
      </c>
      <c r="U11" s="2" t="inlineStr">
        <is>
          <t>deploying two-color mid-infrared interband-cascade laser absorption spectroscopy at 300 kHz across a supersonic scramjet isolator, demonstrating non-intrusive air mass flow rate and velocity determination through thick boundary layers using ambient CO2 transitions.</t>
        </is>
      </c>
      <c r="V11" s="2" t="inlineStr">
        <is>
          <t>This manuscript describes the application of a two-color mid-infrared laser absorption spectroscopy (LAS) diagnostic providing measurements of air temperature, pressure, velocity, and mass flow rate at 300 kHz via ambient CO2. The diagnostic was applied in the isolator of a model scramjet within the University of Virginia Supersonic Combustion Facility (UVASCF). The measurements were achieved by scanning the wavelength of two interband cascade lasers (ICLs) across multiple absorption lines of CO2 near 2375 and 2384 cm^-1. The mass flow rate measurements in the scramjet isolator agree reasonably well with theoretical predictions over a range of plenum temperatures and pressures, successfully overcoming the line-of-sight challenges posed by thick boundary layers.</t>
        </is>
      </c>
      <c r="W11" s="2" t="inlineStr">
        <is>
          <t>1. Laser absorption measurements of temperature, pressure, CO, and CO2 at near-MHz rates in post-detonation fireballs with comparison to synthetic measurements (Journal of Applied Physics, 2026) [DOI: https://doi.org/10.1063/5.0312755] | 2. Laser Absorption Spectroscopy Measurements of Air Mass Flow Rate in a Model Scramjet Isolator via Ambient CO 2 (AIAA SciTech, 2026) [DOI: https://doi.org/10.2514/6.2026-0677]</t>
        </is>
      </c>
      <c r="X11" s="3">
        <f>HYPERLINK("https://doi.org/10.1063/5.0312755", "https://doi.org/10.1063/5.0312755 | https://doi.org/10.2514/6.2026-0677")</f>
        <v/>
      </c>
      <c r="Y11" s="2" t="inlineStr">
        <is>
          <t>coupling 1 MHz quantum-cascade and 500 kHz interband-cascade laser absorption spectroscopy across PETN post-detonation fireballs, resolving dynamic temperature and CO/CO2 column densities to quantitatively validate turbulent afterburning models in reacting blast waves.</t>
        </is>
      </c>
      <c r="Z11" s="2" t="inlineStr"/>
      <c r="AA11" s="2" t="inlineStr">
        <is>
          <t>"In-Situ Laser Absorption Spectroscopy Gas Measurements in Li-Ion Pouch Cells with Lithium- and Manganese-Rich (LMR) Layered Oxide Cathodes" [ECS Meeting Abstracts] (2026) [DOI: https://doi.org/10.1149/ma2026-013250mtgabs] | "Non-Invasive Measurements of CO 2 Evolution During Wetting of Lithium-Ion Pouch Cell Batteries" [ECS Meeting Abstracts] (2026) [DOI: https://doi.org/10.1149/ma2026-013327mtgabs] | "Laser absorption measurements of temperature, pressure, CO, and CO2 at near-MHz rates in post-detonation fireballs with comparison to synthetic measurements" [Journal of Applied Physics] (2026) [DOI: https://doi.org/10.1063/5.0312755] | "Simultaneous Emission and Laser Absorption Spectroscopy Measurements in Post-Detonation Fireballs of Aluminized PETN Hemispheres" (2026) [DOI: https://doi.org/10.2514/6.2026-1887] | "Laser Absorption Spectroscopy Measurements of Air Mass Flow Rate in a Model Scramjet Isolator via Ambient CO 2" (2026) [DOI: https://doi.org/10.2514/6.2026-0677]</t>
        </is>
      </c>
      <c r="AB11" s="2" t="inlineStr">
        <is>
          <t>"Infrared laser-absorption sensing for combustion gases" [Progress in Energy and Combustion Science] (2017, 700 cites) [DOI: https://doi.org/10.1016/j.pecs.2016.12.002] | "Spectroscopy and Optical Diagnostics for Gases" (2015, 437 cites) [DOI: https://doi.org/10.1007/978-3-319-23252-2] | "Fitting of calibration-free scanned-wavelength-modulation spectroscopy spectra for determination of gas properties and absorption lineshapes" [Applied Optics] (2014, 269 cites) [DOI: https://doi.org/10.1364/ao.53.000356]</t>
        </is>
      </c>
      <c r="AC11" s="2" t="inlineStr"/>
      <c r="AD11" s="2" t="inlineStr">
        <is>
          <t>Outstanding Mechanical Engineers Distinguished Engineering Alumni Honorary Doctorates Staff Awards Student Awards Distinguished...</t>
        </is>
      </c>
      <c r="AE11" s="2" t="inlineStr"/>
      <c r="AF11" s="2" t="inlineStr">
        <is>
          <t>Spectroscopy and Laser Applications (94) | Laser Design and Applications (46) | Atmospheric Ozone and Climate (30)</t>
        </is>
      </c>
      <c r="AG11" s="2" t="inlineStr">
        <is>
          <t>Spectroscopy and Laser Applications (94) | Laser Design and Applications (46) | Atmospheric Ozone and Climate (30)</t>
        </is>
      </c>
      <c r="AH11" s="2" t="inlineStr">
        <is>
          <t>Laser absorption spectroscopy diagnostics for gas temperature, pressure, velocity, and chemical species Laser-induced fluorescence and photophysics Non-equilibrium gases and reaction kinetics Hypersonic flows, shock waves, and detonation waves Combustion and propulsion</t>
        </is>
      </c>
      <c r="AI11" s="2" t="inlineStr">
        <is>
          <t>Thermodynamics Fluid Mechanics Systems, Measurements &amp; Controls</t>
        </is>
      </c>
      <c r="AJ11" s="2" t="inlineStr">
        <is>
          <t>Thermodynamics Fluid Mechanics Systems, Measurements &amp; Controls</t>
        </is>
      </c>
      <c r="AK11" s="2" t="inlineStr">
        <is>
          <t>B.S.E in Mechanical Engineering, University of Michigan, 2009 M.S. in Mechanical Engineering, Stanford University, 2011 Ph.D. in Mechanical Engineering, Stanford University, 2014</t>
        </is>
      </c>
      <c r="AL11" s="2" t="inlineStr">
        <is>
          <t>The Goldenstein Group</t>
        </is>
      </c>
      <c r="AM11" s="3">
        <f>HYPERLINK("http://www.goldensteingroup.com", "http://www.goldensteingroup.com")</f>
        <v/>
      </c>
      <c r="AN11" s="2" t="inlineStr"/>
      <c r="AO11" s="2" t="inlineStr"/>
      <c r="AP11" s="2" t="inlineStr"/>
      <c r="AQ11" s="2" t="inlineStr"/>
      <c r="AR11" s="2" t="inlineStr"/>
      <c r="AS11" s="2" t="inlineStr"/>
      <c r="AT11" s="2" t="inlineStr"/>
      <c r="AU11" s="2" t="b">
        <v>1</v>
      </c>
      <c r="AV11" s="3">
        <f>HYPERLINK("https://engineering.purdue.edu/AAE/people/Faculty", "https://engineering.purdue.edu/AAE/people/Faculty")</f>
        <v/>
      </c>
    </row>
    <row r="12">
      <c r="A12" s="2" t="inlineStr">
        <is>
          <t>Haifeng Wang</t>
        </is>
      </c>
      <c r="B12" s="2" t="inlineStr">
        <is>
          <t>Purdue University</t>
        </is>
      </c>
      <c r="C12" s="3">
        <f>HYPERLINK("https://engineering.purdue.edu/AAE/people/ptProfile?resource_id=78657", "https://engineering.purdue.edu/AAE/people/ptProfile?resource_id=78657")</f>
        <v/>
      </c>
      <c r="D12" s="3">
        <f>HYPERLINK("https://scholar.google.com/citations?view_op=search_authors&amp;mauthors=Haifeng%20Wang%20Purdue%20University", "Google Scholar Search")</f>
        <v/>
      </c>
      <c r="E12" s="2" t="inlineStr">
        <is>
          <t>Associate Professor</t>
        </is>
      </c>
      <c r="F12" s="2" t="inlineStr">
        <is>
          <t>Aeronautics and Astronautics</t>
        </is>
      </c>
      <c r="G12" s="2" t="inlineStr"/>
      <c r="H12" s="3">
        <f>HYPERLINK("mailto:haifeng@purdue.edu", "haifeng@purdue.edu")</f>
        <v/>
      </c>
      <c r="I12" s="2" t="n">
        <v>1</v>
      </c>
      <c r="J12" s="2" t="inlineStr">
        <is>
          <t>🔵 Tier 1: Core Aero / Fluids / Propulsion</t>
        </is>
      </c>
      <c r="K12" s="2" t="n">
        <v>7</v>
      </c>
      <c r="L12" s="2" t="inlineStr">
        <is>
          <t>combustion, computational fluid dynamics, energy systems, fluid dynamics, fluid mechanics, propulsion, turbulence</t>
        </is>
      </c>
      <c r="M12" s="2" t="inlineStr">
        <is>
          <t>Turbulent combustion modeling, probability density function (PDF) methods, turbulent jet ignition, and chemical source term closure in high-pressure propulsion environments.</t>
        </is>
      </c>
      <c r="N12" s="2" t="inlineStr">
        <is>
          <t>Transported Composition PDF Methods, Large Eddy Simulation (LES), Detailed Chemical Kinetics (Cantera/Chemkin), Direct Numerical Simulation (DNS), Turbulent Jet Ignition Rigs</t>
        </is>
      </c>
      <c r="O12" s="2" t="inlineStr">
        <is>
          <t>On ignition mechanisms of premixed CH4/air and H2/air using a hot turbulent jet generated by pre-chamber combustion</t>
        </is>
      </c>
      <c r="P12" s="3">
        <f>HYPERLINK("https://doi.org/10.1016/j.applthermaleng.2016.06.070", "https://doi.org/10.1016/j.applthermaleng.2016.06.070")</f>
        <v/>
      </c>
      <c r="Q12" s="2" t="inlineStr">
        <is>
          <t>coupling high-speed schlieren imaging with detailed kinetic modeling in turbulent jet pre-chamber ignition, demonstrating that radical-induced chemical ignition dominates over purely thermal mechanisms in enabling ultra-lean combustion initiation.</t>
        </is>
      </c>
      <c r="R12" s="2" t="inlineStr">
        <is>
          <t>The ignition mechanisms of premixed methane/air and hydrogen/air mixtures by a hot turbulent reacting jet generated by pre-chamber combustion were investigated experimentally and computationally. High-speed schlieren and radical chemiluminescence were employed to capture jet penetration, vortex ring formation, and flame kernel development in the main chamber. The transition between thermal ignition and radical-induced ignition was mapped across nozzle diameters and pre-chamber fueling compositions, revealing that radical pool penetration is critical for rapid flame initiation in lean main-chamber mixtures.</t>
        </is>
      </c>
      <c r="S12" s="2" t="inlineStr">
        <is>
          <t>Examination of nonlinearity of chemical source terms for turbulent combustion closure</t>
        </is>
      </c>
      <c r="T12" s="3">
        <f>HYPERLINK("https://doi.org/10.1016/j.proci.2026.106125", "https://doi.org/10.1016/j.proci.2026.106125")</f>
        <v/>
      </c>
      <c r="U12" s="2" t="inlineStr">
        <is>
          <t>evaluating chemical source term closures against turbulent reacting DNS datasets, demonstrating that decomposing scalar dissipation from compositional covariance eliminates non-linear reaction rate truncation errors in LES flamelet formulations.</t>
        </is>
      </c>
      <c r="V12" s="2" t="inlineStr">
        <is>
          <t>Turbulent combustion closure models face fundamental difficulties due to the severe nonlinearity of chemical reaction rate expressions with respect to temperature and composition fluctuations. In this work, high-fidelity DNS datasets of turbulent premixed and non-premixed flames are analyzed to evaluate the error scaling of lower-order closures. A novel decomposition separating scalar dissipation rate from compositional covariance is proposed, demonstrating significant improvements in predicting heat release rates in highly turbulent reacting shear flows.</t>
        </is>
      </c>
      <c r="W12" s="2" t="inlineStr">
        <is>
          <t>1. On ignition mechanisms of premixed CH4/air and H2/air using a hot turbulent jet generated by pre-chamber combustion (Applied Thermal Engineering, 2016) [DOI: https://doi.org/10.1016/j.applthermaleng.2016.06.070] | 2. Examination of nonlinearity of chemical source terms for turbulent combustion closure (Proceedings of the Combustion Institute, 2026) [DOI: https://doi.org/10.1016/j.proci.2026.106125]</t>
        </is>
      </c>
      <c r="X12" s="3">
        <f>HYPERLINK("https://doi.org/10.1016/j.applthermaleng.2016.06.070", "https://doi.org/10.1016/j.applthermaleng.2016.06.070 | https://doi.org/10.1016/j.proci.2026.106125")</f>
        <v/>
      </c>
      <c r="Y12" s="2" t="inlineStr">
        <is>
          <t>coupling high-speed schlieren imaging with detailed kinetic modeling in turbulent jet pre-chamber ignition, demonstrating that radical-induced chemical ignition dominates over purely thermal mechanisms in enabling ultra-lean combustion initiation.</t>
        </is>
      </c>
      <c r="Z12" s="2" t="inlineStr"/>
      <c r="AA12" s="2" t="inlineStr">
        <is>
          <t>"Collaborative disposal of municipal sludge in metallurgical sintering process: a comprehensive analysis from fundamental research to industrial application" [Cleaner Engineering and Technology] (2026) [DOI: https://doi.org/10.1016/j.clet.2026.101187] | "Examination of nonlinearity of chemical source terms for turbulent combustion closure" [Proceedings of the Combustion Institute] (2026) [DOI: https://doi.org/10.1016/j.proci.2026.106125] | "Covalent engineering of pectin-whey protein isolate conjugates enhances mucoadhesion and bioaccessibility of curcumin microparticles: Strategic impacts of crosslinking modalities" [Food Chemistry] (2025) [DOI: https://doi.org/10.1016/j.foodchem.2025.147100] | "Preparation of lightweight and high-strength ceramsite by washed municipal solid waste incineration fly ash coupled with coal gangue: Phase transformation mechanism and pollution control" [Journal of environmental chemical engineering] (2025) [DOI: https://doi.org/10.1016/j.jece.2025.119294] | "Suppression of Zero Sequence Current in a Ninephase Permanent Magnet Synchronous Motor With a Common Dc Bus" (2025) [DOI: https://doi.org/10.1109/precede63178.2025.11131046]</t>
        </is>
      </c>
      <c r="AB12" s="2" t="inlineStr">
        <is>
          <t>"On ignition mechanisms of premixed CH 4 /air and H 2 /air using a hot turbulent jet generated by pre-chamber combustion" [Applied Thermal Engineering] (2016, 310 cites) [DOI: https://doi.org/10.1016/j.applthermaleng.2016.06.070] | "Role of the rapid gas desorption of coal powders in the development stage of outbursts" [Journal of Natural Gas Science and Engineering] (2015, 187 cites) [DOI: https://doi.org/10.1016/j.jngse.2015.12.025] | "The effect of mixing models in PDF calculations of piloted jet flames" [Proceedings of the Combustion Institute] (2006, 107 cites) [DOI: https://doi.org/10.1016/j.proci.2006.08.052]</t>
        </is>
      </c>
      <c r="AC12" s="2" t="inlineStr"/>
      <c r="AD12" s="2" t="inlineStr">
        <is>
          <t>• American Chemical Society Petroleum Research Fund Doctoral New Investigator award, 2014 • Bernard Lewis Fellowship, Combustio...</t>
        </is>
      </c>
      <c r="AE12" s="2" t="inlineStr"/>
      <c r="AF12" s="2" t="inlineStr">
        <is>
          <t>Combustion and flame dynamics (65) | Advanced Combustion Engine Technologies (49) | Fire dynamics and safety research (22)</t>
        </is>
      </c>
      <c r="AG12" s="2" t="inlineStr">
        <is>
          <t>Combustion and flame dynamics (65) | Advanced Combustion Engine Technologies (49) | Fire dynamics and safety research (22)</t>
        </is>
      </c>
      <c r="AH12" s="2" t="inlineStr">
        <is>
          <t>• Turbulence and combustion modeling • Fluid mechanics and computational modeling • Multi-phase flows • Propulsion and energy systems • Machine learning and data-driven modeling</t>
        </is>
      </c>
      <c r="AI12" s="2" t="inlineStr"/>
      <c r="AJ12" s="2" t="inlineStr">
        <is>
          <t>• Turbulence and combustion modeling • Fluid mechanics and computational modeling • Multi-phase flows • Propulsion and energy systems • Machine learning and data-driven modeling</t>
        </is>
      </c>
      <c r="AK12" s="2" t="inlineStr"/>
      <c r="AL12" s="2" t="inlineStr">
        <is>
          <t>Indiana Space Grant Consortium</t>
        </is>
      </c>
      <c r="AM12" s="3">
        <f>HYPERLINK("https://insgc.spacegrant.org/", "https://insgc.spacegrant.org/")</f>
        <v/>
      </c>
      <c r="AN12" s="2" t="inlineStr">
        <is>
          <t>Academic INSGC Internships</t>
        </is>
      </c>
      <c r="AO12" s="2" t="inlineStr"/>
      <c r="AP12" s="2" t="inlineStr"/>
      <c r="AQ12" s="2" t="inlineStr">
        <is>
          <t>NASA</t>
        </is>
      </c>
      <c r="AR12" s="2" t="inlineStr"/>
      <c r="AS12" s="2" t="inlineStr"/>
      <c r="AT12" s="2" t="inlineStr">
        <is>
          <t>ARMS 3313</t>
        </is>
      </c>
      <c r="AU12" s="2" t="b">
        <v>1</v>
      </c>
      <c r="AV12" s="3">
        <f>HYPERLINK("https://engineering.purdue.edu/AAE/people/Faculty", "https://engineering.purdue.edu/AAE/people/Faculty")</f>
        <v/>
      </c>
    </row>
    <row r="13">
      <c r="A13" s="2" t="inlineStr">
        <is>
          <t>Jonathan Poggie</t>
        </is>
      </c>
      <c r="B13" s="2" t="inlineStr">
        <is>
          <t>Purdue University</t>
        </is>
      </c>
      <c r="C13" s="3">
        <f>HYPERLINK("https://engineering.purdue.edu/AAE/people/ptProfile?resource_id=124984", "https://engineering.purdue.edu/AAE/people/ptProfile?resource_id=124984")</f>
        <v/>
      </c>
      <c r="D13" s="3">
        <f>HYPERLINK("https://scholar.google.com/citations?view_op=search_authors&amp;mauthors=Jonathan%20Poggie%20Purdue%20University", "Google Scholar Search")</f>
        <v/>
      </c>
      <c r="E13" s="2" t="inlineStr">
        <is>
          <t>Professor</t>
        </is>
      </c>
      <c r="F13" s="2" t="inlineStr">
        <is>
          <t>Aeronautics and Astronautics</t>
        </is>
      </c>
      <c r="G13" s="2" t="inlineStr"/>
      <c r="H13" s="3">
        <f>HYPERLINK("mailto:jpoggie@purdue.edu", "jpoggie@purdue.edu")</f>
        <v/>
      </c>
      <c r="I13" s="2" t="n">
        <v>1</v>
      </c>
      <c r="J13" s="2" t="inlineStr">
        <is>
          <t>🔵 Tier 1: Core Aero / Fluids / Propulsion</t>
        </is>
      </c>
      <c r="K13" s="2" t="n">
        <v>7</v>
      </c>
      <c r="L13" s="2" t="inlineStr">
        <is>
          <t>aerospace, compressible flow, flow control, hydrodynamics, hypersonic, turbulence, turbulent</t>
        </is>
      </c>
      <c r="M13" s="2" t="inlineStr">
        <is>
          <t>High-order compact difference algorithms, shock-wave/boundary-layer interactions (SWBLI) at Mach 2.5–6, plasma aerodynamics, and massively parallel GPU CFD in Kokkos.</t>
        </is>
      </c>
      <c r="N13" s="2" t="inlineStr">
        <is>
          <t>High-Order Compact Finite Difference Solvers, Kokkos (CUDA/HIP/OpenMP), Implicit Large-Eddy Simulation (ILES), Parallel Cyclic Reduction (PCR), Mach 2.5-6 Wind Tunnels</t>
        </is>
      </c>
      <c r="O13" s="2" t="inlineStr">
        <is>
          <t>Large-Eddy Simulation of an Axisymmetric Shock-Wave/Boundary-Layer Interaction at Mach 2.5</t>
        </is>
      </c>
      <c r="P13" s="3">
        <f>HYPERLINK("https://doi.org/10.2514/6.2026-2519", "https://doi.org/10.2514/6.2026-2519")</f>
        <v/>
      </c>
      <c r="Q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R13" s="2" t="inlineStr">
        <is>
          <t>Implicit large-eddy simulation (ILES) of a turbulent, axisymmetric, shock-wave/boundary-layer interaction was performed at Mach 2.5 to validate against experimental data acquired at NASA Glenn Research Center. The simulation resolves the upstream turbulent boundary layer, the incident conical shock wave, and the unsteady separation bubble on an axisymmetric centerbody. Spectral analysis of wall pressure fluctuations reveals low-frequency breathing of the separation bubble driven by shock unsteadiness and shear-layer turbulent vortex shedding.</t>
        </is>
      </c>
      <c r="S13" s="2" t="inlineStr">
        <is>
          <t>Hardware-Agnostic Compact Difference Schemes in C++/Kokkos for High-Order CFD</t>
        </is>
      </c>
      <c r="T13" s="3">
        <f>HYPERLINK("https://doi.org/10.2514/6.2026-2518", "https://doi.org/10.2514/6.2026-2518")</f>
        <v/>
      </c>
      <c r="U13" s="2" t="inlineStr">
        <is>
          <t>implementing high-order compact finite difference schemes in C++/Kokkos with parallel cyclic reduction, achieving portable multi-GPU scalability across CUDA and HIP architectures without losing tridiagonal inversion throughput.</t>
        </is>
      </c>
      <c r="V13" s="2" t="inlineStr">
        <is>
          <t>A hardware-agnostic implementation of compact finite difference schemes is presented using the Kokkos programming model, targeting both CPUs (OpenMP) and GPUs (CUDA, HIP) without code duplication. The parallel cyclic reduction (PCR) algorithm achieves significant speedup over the sequential Thomas algorithm on GPU architectures, enabling high-order compact difference schemes to achieve near-peak memory bandwidth in large-scale compressible turbulence and shock-capturing computations.</t>
        </is>
      </c>
      <c r="W13" s="2" t="inlineStr">
        <is>
          <t>1. Large-Eddy Simulation of an Axisymmetric Shock-Wave/Boundary-Layer Interaction at Mach 2.5 (AIAA SciTech, 2026) [DOI: https://doi.org/10.2514/6.2026-2519] | 2. Hardware-Agnostic Compact Difference Schemes in C++/Kokkos for High-Order CFD (AIAA SciTech, 2026) [DOI: https://doi.org/10.2514/6.2026-2518]</t>
        </is>
      </c>
      <c r="X13" s="3">
        <f>HYPERLINK("https://doi.org/10.2514/6.2026-2519", "https://doi.org/10.2514/6.2026-2519 | https://doi.org/10.2514/6.2026-2518")</f>
        <v/>
      </c>
      <c r="Y13" s="2" t="inlineStr">
        <is>
          <t>performing implicit large-eddy simulations of axisymmetric shock-wave/boundary-layer interactions at Mach 2.5, capturing low-frequency separation bubble breathing and resolving unsteady shock oscillations that agree with NASA Glenn experimental wall pressure spectra.</t>
        </is>
      </c>
      <c r="Z13" s="2" t="inlineStr"/>
      <c r="AA13" s="2" t="inlineStr">
        <is>
          <t>"Fluid Mechanics" [WORLD SCIENTIFIC eBooks] (2026) [DOI: https://doi.org/10.1142/15064] | "Fluid Mechanics" [WORLD SCIENTIFIC eBooks] (2026) [DOI: https://doi.org/10.1142/15053] | "Fluid Mechanics" [WORLD SCIENTIFIC eBooks] (2026) [DOI: https://doi.org/10.1142/15041] | "Large-Eddy Simulation of an Axisymmetric Shock-Wave/Boundary-Layer Interaction at Mach 2.5" (2026) [DOI: https://doi.org/10.2514/6.2026-2519] | "Hardware-Agnostic Compact Difference Schemes in C++/Kokkos for High-Order CFD" (2026) [DOI: https://doi.org/10.2514/6.2026-2518]</t>
        </is>
      </c>
      <c r="AB13" s="2" t="inlineStr">
        <is>
          <t>"Magnetic control of flow past a blunt body: Numerical validation and exploration" [Physics of Fluids] (2002, 139 cites) [DOI: https://doi.org/10.1063/1.1465424] | "Resolution effects in compressible, turbulent boundary layer simulations" [Computers &amp; Fluids] (2015, 137 cites) [DOI: https://doi.org/10.1016/j.compfluid.2015.07.015] | "Numerical simulation of nanosecond-pulse electrical discharges" [Plasma Sources Science and Technology] (2012, 100 cites) [DOI: https://doi.org/10.1088/0963-0252/22/1/015001]</t>
        </is>
      </c>
      <c r="AC13" s="2" t="inlineStr"/>
      <c r="AD13" s="2" t="inlineStr">
        <is>
          <t>Honors C. T. Sun Excellence in Research Award, 2023 University Faculty Scholar, 2023-2028 Outstanding Graduate Faculty Mentor A...</t>
        </is>
      </c>
      <c r="AE13" s="2" t="inlineStr"/>
      <c r="AF13" s="2" t="inlineStr">
        <is>
          <t>Computational Fluid Dynamics and Aerodynamics (120) | Fluid Dynamics and Turbulent Flows (119) | Plasma and Flow Control in Aerodynamics (84)</t>
        </is>
      </c>
      <c r="AG13" s="2" t="inlineStr">
        <is>
          <t>Computational Fluid Dynamics and Aerodynamics (120) | Fluid Dynamics and Turbulent Flows (119) | Plasma and Flow Control in Aerodynamics (84)</t>
        </is>
      </c>
      <c r="AH13" s="2" t="inlineStr">
        <is>
          <t>Hypersonic Flight, Compressible Flow, Flow Control, Turbulence, Laminar-Turbulent Transition, Weakly-Ionized Plasmas, Magnetohydrodynamics</t>
        </is>
      </c>
      <c r="AI13" s="2" t="inlineStr"/>
      <c r="AJ13" s="2" t="inlineStr">
        <is>
          <t>Hypersonic Flight, Compressible Flow, Flow Control, Turbulence, Laminar-Turbulent Transition, Weakly-Ionized Plasmas, Magnetohydrodynamics</t>
        </is>
      </c>
      <c r="AK13" s="2" t="inlineStr">
        <is>
          <t>Ph.D., Mechanical and Aerospace Engineering, Princeton University, 1995 M.S.E., Mechanical and Aerospace Engineering, Princeton University, 1991 B.S., Mechanical Engineering, University of Rhode Island, 1988</t>
        </is>
      </c>
      <c r="AL13" s="2" t="inlineStr">
        <is>
          <t>Indiana Space Grant Consortium</t>
        </is>
      </c>
      <c r="AM13" s="3">
        <f>HYPERLINK("https://insgc.spacegrant.org/", "https://insgc.spacegrant.org/")</f>
        <v/>
      </c>
      <c r="AN13" s="2" t="inlineStr">
        <is>
          <t>Academic INSGC Internships</t>
        </is>
      </c>
      <c r="AO13" s="2" t="inlineStr"/>
      <c r="AP13" s="2" t="inlineStr"/>
      <c r="AQ13" s="2" t="inlineStr">
        <is>
          <t>NASA</t>
        </is>
      </c>
      <c r="AR13" s="2" t="inlineStr"/>
      <c r="AS13" s="2" t="inlineStr"/>
      <c r="AT13" s="2" t="inlineStr">
        <is>
          <t>ARMS 3315</t>
        </is>
      </c>
      <c r="AU13" s="2" t="b">
        <v>1</v>
      </c>
      <c r="AV13" s="3">
        <f>HYPERLINK("https://engineering.purdue.edu/AAE/people/Faculty", "https://engineering.purdue.edu/AAE/people/Faculty")</f>
        <v/>
      </c>
    </row>
    <row r="14">
      <c r="A14" s="2" t="inlineStr">
        <is>
          <t>Kathleen C. Howell</t>
        </is>
      </c>
      <c r="B14" s="2" t="inlineStr">
        <is>
          <t>Purdue University</t>
        </is>
      </c>
      <c r="C14" s="3">
        <f>HYPERLINK("https://engineering.purdue.edu/AAE/people/ptProfile?resource_id=1384", "https://engineering.purdue.edu/AAE/people/ptProfile?resource_id=1384")</f>
        <v/>
      </c>
      <c r="D14" s="3">
        <f>HYPERLINK("https://scholar.google.com/citations?view_op=search_authors&amp;mauthors=Kathleen%20C.%20Howell%20Purdue%20University", "Google Scholar Search")</f>
        <v/>
      </c>
      <c r="E14" s="2" t="inlineStr">
        <is>
          <t>Hsu Lo Distinguished Professor of Aeronautics and Astronautics</t>
        </is>
      </c>
      <c r="F14" s="2" t="inlineStr">
        <is>
          <t>Aeronautics and Astronautics</t>
        </is>
      </c>
      <c r="G14" s="2" t="inlineStr"/>
      <c r="H14" s="3">
        <f>HYPERLINK("mailto:howell@purdue.edu", "howell@purdue.edu")</f>
        <v/>
      </c>
      <c r="I14" s="2" t="n">
        <v>1</v>
      </c>
      <c r="J14" s="2" t="inlineStr">
        <is>
          <t>🔵 Tier 1: Core Aero / Fluids / Propulsion</t>
        </is>
      </c>
      <c r="K14" s="2" t="n">
        <v>7</v>
      </c>
      <c r="L14" s="2" t="inlineStr">
        <is>
          <t>aerospace, astrodynamics, navigation, optimal control, orbital mechanics, satellite, spacecraft</t>
        </is>
      </c>
      <c r="M14" s="2" t="inlineStr">
        <is>
          <t>Multi-body astrodynamics, libration point orbit families (halo, quasi-periodic tori), cislunar space domain awareness, and invariant manifolds for low-energy orbital transfers.</t>
        </is>
      </c>
      <c r="N14" s="2" t="inlineStr">
        <is>
          <t>Circular Restricted Three-Body Problem (CR3BP), Ephemeris Gravitational Models, Differential Correctors, Invariant Manifold Theory, Low-Thrust Trajectory Optimizers</t>
        </is>
      </c>
      <c r="O14" s="2" t="inlineStr">
        <is>
          <t>Numerical Assessment of a Frequency-Based Hierarchy for the Cislunar Domain</t>
        </is>
      </c>
      <c r="P14" s="3">
        <f>HYPERLINK("https://doi.org/10.2514/1.g009176", "https://doi.org/10.2514/1.g009176")</f>
        <v/>
      </c>
      <c r="Q14" s="2" t="inlineStr">
        <is>
          <t>formulating a frequency-based dynamical model hierarchy between the CR3BP and full ephemeris systems, demonstrating that isolating specific resonance frequencies enables the design of stable quasi-periodic orbits for cislunar Gateway missions.</t>
        </is>
      </c>
      <c r="R14" s="2" t="inlineStr">
        <is>
          <t>A frequency-based hierarchy of dynamic models in cislunar space is introduced, where multiple models between the circular restricted three-body problem (CR3BP) and a higher-fidelity ephemeris model (HFEM) are investigated within a common rotating reference frame. Intermediate models that isolate specific perturbation frequencies from eccentricity and solar gravitational perturbations are analyzed. This framework allows trajectory designers to systematically isolate the dynamical origin of orbital perturbations and construct quasi-periodic cislunar orbits that maintain long-term stationkeeping stability.</t>
        </is>
      </c>
      <c r="S14" s="2" t="inlineStr">
        <is>
          <t>On-Orbit Servicing Networks in Cislunar Space: A Framework for Orbit Selection, Transfer Design, and Scheduling</t>
        </is>
      </c>
      <c r="T14" s="3">
        <f>HYPERLINK("https://doi.org/10.1007/s40295-025-00551-1", "https://doi.org/10.1007/s40295-025-00551-1")</f>
        <v/>
      </c>
      <c r="U14" s="2" t="inlineStr">
        <is>
          <t>designing on-orbit servicing architectures across Earth-Moon L1/L2 halo orbits, demonstrating that manifold-driven transfers minimize delta-V expenditure and enable multi-spacecraft servicing schedules in cislunar space.</t>
        </is>
      </c>
      <c r="V14" s="2" t="inlineStr">
        <is>
          <t>This investigation introduces a comprehensive framework for designing and optimizing on-orbit servicing networks in cislunar space, integrating innovative approaches to orbit selection, transfer design, and initial scheduling. Halo orbit families in the Earth-Moon L1 and L2 regions are leveraged as operational hubs for servicing depots. Low-energy invariant manifold transfers are optimized, minimizing total propellant delta-V requirements for rendezvous missions between resonant orbits.</t>
        </is>
      </c>
      <c r="W14" s="2" t="inlineStr">
        <is>
          <t>1. Numerical Assessment of a Frequency-Based Hierarchy for the Cislunar Domain (Journal of Guidance Control and Dynamics, 2025) [DOI: https://doi.org/10.2514/1.g009176] | 2. On-Orbit Servicing Networks in Cislunar Space: A Framework for Orbit Selection, Transfer Design, and Scheduling (The Journal of the Astronautical Sciences, 2025) [DOI: https://doi.org/10.1007/s40295-025-00551-1]</t>
        </is>
      </c>
      <c r="X14" s="3">
        <f>HYPERLINK("https://doi.org/10.2514/1.g009176", "https://doi.org/10.2514/1.g009176 | https://doi.org/10.1007/s40295-025-00551-1")</f>
        <v/>
      </c>
      <c r="Y14" s="2" t="inlineStr">
        <is>
          <t>formulating a frequency-based dynamical model hierarchy between the CR3BP and full ephemeris systems, demonstrating that isolating specific resonance frequencies enables the design of stable quasi-periodic orbits for cislunar Gateway missions.</t>
        </is>
      </c>
      <c r="Z14" s="2" t="inlineStr"/>
      <c r="AA14" s="2" t="inlineStr">
        <is>
          <t>"On-Orbit Servicing Networks in Cislunar Space: A Framework for Orbit Selection, Transfer Design, and Scheduling" [The Journal of the Astronautical Sciences] (2025) [DOI: https://doi.org/10.1007/s40295-025-00551-1] | "Leveraging the Hill restricted four-body problem to investigate the ephemeris transition characteristics in the Earth-Moon L2 halo orbit region" [Astrodynamics] (2025) [DOI: https://doi.org/10.1007/s42064-024-0250-4] | "Unified transition scheme for invariant tori across various models in the cislunar domain" [Communications in Nonlinear Science and Numerical Simulation] (2025) [DOI: https://doi.org/10.1016/j.cnsns.2025.109323] | "Numerical Assessment of a Frequency-Based Hierarchy for the Cislunar Domain" [Journal of Guidance Control and Dynamics] (2025) [DOI: https://doi.org/10.2514/1.g009176] | "A frequency-domain differential corrector for quasi-periodic trajectory design and analysis" [Physica D Nonlinear Phenomena] (2025) [DOI: https://doi.org/10.1016/j.physd.2025.134882]</t>
        </is>
      </c>
      <c r="AB14" s="2" t="inlineStr">
        <is>
          <t>"Three-dimensional, periodic, ?halo? orbits" [Celestial Mechanics and Dynamical Astronomy] (1984, 429 cites) [DOI: https://doi.org/10.1007/bf01358403] | "Numerical determination of Lissajous trajectories in the restricted three-body problem" [Celestial Mechanics and Dynamical Astronomy] (1987, 242 cites) [DOI: https://doi.org/10.1007/bf01238756] | "Application of Dynamical Systems Theory to Trajectory Design for a Libration Point Mission" [The Journal of the Astronautical Sciences] (1997, 215 cites) [DOI: https://doi.org/10.1007/bf03546374]</t>
        </is>
      </c>
      <c r="AC14" s="2" t="inlineStr"/>
      <c r="AD14" s="2" t="inlineStr">
        <is>
          <t>Fellow, AIAA 2013 W.A. Gustafson Award for Outstanding Teaching 2012 Inducted into Iowa State University Department of Aerospac...</t>
        </is>
      </c>
      <c r="AE14" s="2" t="inlineStr"/>
      <c r="AF14" s="2" t="inlineStr">
        <is>
          <t>Astro and Planetary Science (181) | Spacecraft Dynamics and Control (175) | Space Satellite Systems and Control (86)</t>
        </is>
      </c>
      <c r="AG14" s="2" t="inlineStr">
        <is>
          <t>Astro and Planetary Science (181) | Spacecraft Dynamics and Control (175) | Space Satellite Systems and Control (86)</t>
        </is>
      </c>
      <c r="AH14" s="2" t="inlineStr">
        <is>
          <t>Orbit mechanics Spacecraft dynamics, control Trajectory optimization</t>
        </is>
      </c>
      <c r="AI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Earth and in interplanetary space. Some sample projects are mentioned below.
Much recent research activity has involved libration point orbits in the three- and four-body problems. The n -body problem in orbital mechanics generally considers trajectory solutions when ( n -1) gravity fields are significant. Spacecraft in the vicinity of libration points thus operate in an environment in which gravity forces due to two or three (or more) celestial bodies may result in trajectories that appear as three-dimensional, quasi-periodic Lissajous paths. Such three-dimensional trajectories are of considerable interest in connection with any future lunar operations. In the near term, missions involving libration point satellites are included in a number of programs that the U. S. is planning with international partners. Technical studies involve trajectory design and optimization including optimal control strategies for out-of-plane motion in consideration of communication and other operational specifications. Analyses of station-keeping requirements for such trajectories are also currently under study.
The subject of optimal transfer trajectories is of considerable importance and rapidly growing in complexity as well. New types of problems now facing mission designers render standard optimization strategies inadequate, particularly for application in the n -body problem. Nominal transfer trajectory determination and optimization is the focus of an expanding investigation. Various projects range from development of new computational techniques to application of geometric nonlinear dynamical systems theory to these problems.
A related problem of interest involves Earth orbiting vehicles that repeatedly pass close to the Moon. Such trajectories use lunar gravity to effect trajectory changes. Not only can such a swingby aid in minimizing mission fuel requirements, it also creates trajectory options that may otherwise be impossible. Analysis is complicated, however, by the strong solar perturbation. Multi-conic analysis has proven promising and work is continuing to develop tools to make optimal trajectory design efficient and accurate. Design strategies can also be extended to other multi-body systems. Such applications are under considerations as well.</t>
        </is>
      </c>
      <c r="AJ14" s="2" t="inlineStr">
        <is>
          <t>Professor Howell's Research Page In the area of astrodynamics, the complex missions envisioned in the next few decades will demand innovative spacecraft trajectory concepts and efficient design tools for analysis and implementation. In support of such plans, current research efforts focus on spacecraft navigation and maneuver requirements, and mission planning, both in the neighborhood of the E...</t>
        </is>
      </c>
      <c r="AK14" s="2" t="inlineStr">
        <is>
          <t>B. S., Iowa State University, Aerospace Engineering, 1973 M. S., Stanford University, Aeronautical &amp; Astronautical Engineering, 1977 Ph.D., Stanford University, Aeronautical &amp; Astronautical Sciences, 1983</t>
        </is>
      </c>
      <c r="AL14" s="2" t="inlineStr">
        <is>
          <t>Indiana Space Grant Consortium</t>
        </is>
      </c>
      <c r="AM14" s="3">
        <f>HYPERLINK("https://insgc.spacegrant.org/", "https://insgc.spacegrant.org/")</f>
        <v/>
      </c>
      <c r="AN14" s="2" t="inlineStr">
        <is>
          <t>Academic INSGC Internships</t>
        </is>
      </c>
      <c r="AO14" s="2" t="inlineStr"/>
      <c r="AP14" s="2" t="inlineStr"/>
      <c r="AQ14" s="2" t="inlineStr">
        <is>
          <t>NASA</t>
        </is>
      </c>
      <c r="AR14" s="2" t="inlineStr"/>
      <c r="AS14" s="2" t="inlineStr"/>
      <c r="AT14" s="2" t="inlineStr">
        <is>
          <t>ARMS 3235</t>
        </is>
      </c>
      <c r="AU14" s="2" t="b">
        <v>1</v>
      </c>
      <c r="AV14" s="3">
        <f>HYPERLINK("https://engineering.purdue.edu/AAE/people/Faculty", "https://engineering.purdue.edu/AAE/people/Faculty")</f>
        <v/>
      </c>
    </row>
    <row r="15">
      <c r="A15" s="2" t="inlineStr">
        <is>
          <t>Kyle Hanquist</t>
        </is>
      </c>
      <c r="B15" s="2" t="inlineStr">
        <is>
          <t>Purdue University</t>
        </is>
      </c>
      <c r="C15" s="3">
        <f>HYPERLINK("https://engineering.purdue.edu/AAE/people/ptProfile?resource_id=318748", "https://engineering.purdue.edu/AAE/people/ptProfile?resource_id=318748")</f>
        <v/>
      </c>
      <c r="D15" s="3">
        <f>HYPERLINK("https://scholar.google.com/citations?view_op=search_authors&amp;mauthors=Kyle%20Hanquist%20Purdue%20University", "Google Scholar Search")</f>
        <v/>
      </c>
      <c r="E15" s="2" t="inlineStr">
        <is>
          <t>Assistant Professor</t>
        </is>
      </c>
      <c r="F15" s="2" t="inlineStr">
        <is>
          <t>Aeronautics and Astronautics</t>
        </is>
      </c>
      <c r="G15" s="2" t="inlineStr"/>
      <c r="H15" s="3">
        <f>HYPERLINK("mailto:hanquist@purdue.edu", "hanquist@purdue.edu")</f>
        <v/>
      </c>
      <c r="I15" s="2" t="n">
        <v>1</v>
      </c>
      <c r="J15" s="2" t="inlineStr">
        <is>
          <t>🔵 Tier 1: Core Aero / Fluids / Propulsion</t>
        </is>
      </c>
      <c r="K15" s="2" t="n">
        <v>7</v>
      </c>
      <c r="L15" s="2" t="inlineStr">
        <is>
          <t>aerospace, aerothermodynamics, computational fluid dynamics, fluid dynamics, hypersonic, thermal, thermodynamics</t>
        </is>
      </c>
      <c r="M15" s="2" t="inlineStr">
        <is>
          <t>High-enthalpy non-equilibrium hypersonic aerothermodynamics, finite-rate gas chemistry, vibrational-dissociation coupling, and alkali metal seeding for plasma flow control.</t>
        </is>
      </c>
      <c r="N15" s="2" t="inlineStr">
        <is>
          <t>High-Enthalpy Hypersonic Solvers (US3D/LeMANS), Finite-Rate Chemistry Models, UV Laser Absorption Shock Tube Diagnostics, Optical Wavefront Sensors, Ray-Tracing Solvers</t>
        </is>
      </c>
      <c r="O15" s="2" t="inlineStr">
        <is>
          <t>Numerical Investigation of High-Enthalpy Effects on Aero-Optics in Hypersonic Flows</t>
        </is>
      </c>
      <c r="P15" s="3">
        <f>HYPERLINK("https://doi.org/10.2514/1.t7189", "https://doi.org/10.2514/1.t7189")</f>
        <v/>
      </c>
      <c r="Q15" s="2" t="inlineStr">
        <is>
          <t>simulating high-enthalpy non-equilibrium flow over Mach 10 blunt bodies, demonstrating that thermochemical dissociation and vibrational relaxation compress the shock layer and reduce optical path distortion compared to frozen flow assumptions.</t>
        </is>
      </c>
      <c r="R15" s="2" t="inlineStr">
        <is>
          <t>Hypersonic flows exhibit high complexity, encompassing high-enthalpy, reactive flows involving chemistry, energy transfer between molecular energy modes, turbulence, boundary layers, and shock waves. These factors directly affect and degrade optical signals propagating through the flow field. This paper numerically investigates high-enthalpy non-equilibrium effects on optical wavefront distortion around a blunt body at Mach 10. Computations show that thermochemical non-equilibrium reduces shock standoff distance and alters density gradient profiles, significantly impacting the optical path difference experienced by forward-looking sensors.</t>
        </is>
      </c>
      <c r="S15" s="2" t="inlineStr">
        <is>
          <t>Shock-tube measurements of coupled vibration–dissociation time-histories and rate parameters in oxygen and argon mixtures from 5000 K to 10 000 K</t>
        </is>
      </c>
      <c r="T15" s="3">
        <f>HYPERLINK("https://doi.org/10.1063/5.0012426", "https://doi.org/10.1063/5.0012426")</f>
        <v/>
      </c>
      <c r="U15" s="2" t="inlineStr">
        <is>
          <t>measuring coupled vibration-dissociation kinetics in shock-heated O2/Ar mixtures from 5,000 to 10,000 K via UV laser absorption, providing rate constants that prove high-temperature dissociation proceeds faster than predicted by classical Park models.</t>
        </is>
      </c>
      <c r="V15" s="2" t="inlineStr">
        <is>
          <t>Shock-tube experiments were conducted behind reflected shocks using ultraviolet (UV) laser absorption to measure coupled vibration-dissociation time-histories and rate parameters in dilute mixtures of oxygen (O2) and argon (Ar) from 5000 K to 10 000 K. The measurements quantify the non-equilibrium depletion of the upper vibrational levels during dissociation, providing refined experimental rate coefficients that validate two-temperature kinetic models for hypersonic re-entry shock layers.</t>
        </is>
      </c>
      <c r="W15" s="2" t="inlineStr">
        <is>
          <t>1. Numerical Investigation of High-Enthalpy Effects on Aero-Optics in Hypersonic Flows (Journal of Thermophysics and Heat Transfer, 2026) [DOI: https://doi.org/10.2514/1.t7189] | 2. Shock-tube measurements of coupled vibration–dissociation time-histories and rate parameters in oxygen and argon mixtures from 5000 K to 10 000 K (Physics of Fluids, 2020) [DOI: https://doi.org/10.1063/5.0012426]</t>
        </is>
      </c>
      <c r="X15" s="3">
        <f>HYPERLINK("https://doi.org/10.2514/1.t7189", "https://doi.org/10.2514/1.t7189 | https://doi.org/10.1063/5.0012426")</f>
        <v/>
      </c>
      <c r="Y15" s="2" t="inlineStr">
        <is>
          <t>simulating high-enthalpy non-equilibrium flow over Mach 10 blunt bodies, demonstrating that thermochemical dissociation and vibrational relaxation compress the shock layer and reduce optical path distortion compared to frozen flow assumptions.</t>
        </is>
      </c>
      <c r="Z15" s="2" t="inlineStr"/>
      <c r="AA15" s="2" t="inlineStr">
        <is>
          <t>"Alkali Metal Seeding for Enhanced Ionization in Hypersonic Flight" (2026) [DOI: https://doi.org/10.2514/6.2026-4057] | "Numerical Investigation of High-Enthalpy Effects on Aero-Optics in Hypersonic Flows" [Journal of Thermophysics and Heat Transfer] (2026) [DOI: https://doi.org/10.2514/1.t7189] | "Thrust Regulation in a Solid Fuel Ramjet Using Dynamic Mode Adaptive Control" (2026) [DOI: https://doi.org/10.2514/6.2026-1389] | "Investigation of Supersonic Jet in Mach 4 Crossflow on a Generic Finned Ogive-Cylinder" (2026) [DOI: https://doi.org/10.2514/6.2026-1945] | "Aero-Optical and Fluidic Studies of Crossflow Transitional Waves in Hypersonic Flow" (2026) [DOI: https://doi.org/10.2514/6.2026-1727]</t>
        </is>
      </c>
      <c r="AB15" s="2" t="inlineStr">
        <is>
          <t>"Detailed modeling of electron emission for transpiration cooling of hypersonic vehicles" [Journal of Applied Physics] (2017, 72 cites) [DOI: https://doi.org/10.1063/1.4974961] | "Test cases for grid-based direct kinetic modeling of plasma flows" [Plasma Sources Science and Technology] (2018, 62 cites) [DOI: https://doi.org/10.1088/1361-6595/aac6b9] | "Shock-tube measurements of coupled vibration–dissociation time-histories and rate parameters in oxygen and argon mixtures from 5000 K to 10 000 K" [Physics of Fluids] (2020, 47 cites) [DOI: https://doi.org/10.1063/5.0012426]</t>
        </is>
      </c>
      <c r="AC15" s="2" t="inlineStr"/>
      <c r="AD15" s="2" t="inlineStr">
        <is>
          <t>2025 AFOSR Young Investigator Award (YIP) 2025 ONR Young Investigator Award (YIP) AIAA Associate Fellow Edit var myPronunciatio...</t>
        </is>
      </c>
      <c r="AE15" s="2" t="inlineStr"/>
      <c r="AF15" s="2" t="inlineStr">
        <is>
          <t>Gas Dynamics and Kinetic Theory (38) | Computational Fluid Dynamics and Aerodynamics (35) | Plasma and Flow Control in Aerodynamics (17)</t>
        </is>
      </c>
      <c r="AG15" s="2" t="inlineStr">
        <is>
          <t>Gas Dynamics and Kinetic Theory (38) | Computational Fluid Dynamics and Aerodynamics (35) | Plasma and Flow Control in Aerodynamics (17)</t>
        </is>
      </c>
      <c r="AH15" s="2" t="inlineStr">
        <is>
          <t>Hypersonic aerothermodynamics Computational fluid dynamics High enthalpy flows Chemical kinetics Thermal management Low-temperature plasmas</t>
        </is>
      </c>
      <c r="AI15" s="2" t="inlineStr"/>
      <c r="AJ15" s="2" t="inlineStr">
        <is>
          <t>Hypersonic aerothermodynamics Computational fluid dynamics High enthalpy flows Chemical kinetics Thermal management Low-temperature plasmas</t>
        </is>
      </c>
      <c r="AK15" s="2" t="inlineStr">
        <is>
          <t>B.S. University of Nebraska, Mechanical Engineering, 2012 M.S. University of Michigan, Aerospace Engineering, 2015 Ph.D. University of Michigan, Aerospace Engineering, 2017</t>
        </is>
      </c>
      <c r="AL15" s="2" t="inlineStr">
        <is>
          <t>Indiana Space Grant Consortium</t>
        </is>
      </c>
      <c r="AM15" s="3">
        <f>HYPERLINK("https://insgc.spacegrant.org/", "https://insgc.spacegrant.org/")</f>
        <v/>
      </c>
      <c r="AN15" s="2" t="inlineStr">
        <is>
          <t>Academic INSGC Internships</t>
        </is>
      </c>
      <c r="AO15" s="2" t="inlineStr"/>
      <c r="AP15" s="2" t="inlineStr"/>
      <c r="AQ15" s="2" t="inlineStr">
        <is>
          <t>NASA</t>
        </is>
      </c>
      <c r="AR15" s="2" t="inlineStr"/>
      <c r="AS15" s="2" t="inlineStr"/>
      <c r="AT15" s="2" t="inlineStr">
        <is>
          <t>ARMS 2021</t>
        </is>
      </c>
      <c r="AU15" s="2" t="b">
        <v>1</v>
      </c>
      <c r="AV15" s="3">
        <f>HYPERLINK("https://engineering.purdue.edu/AAE/people/Faculty", "https://engineering.purdue.edu/AAE/people/Faculty")</f>
        <v/>
      </c>
    </row>
    <row r="16">
      <c r="A16" s="2" t="inlineStr">
        <is>
          <t>Steven Collicott</t>
        </is>
      </c>
      <c r="B16" s="2" t="inlineStr">
        <is>
          <t>Purdue University</t>
        </is>
      </c>
      <c r="C16" s="3">
        <f>HYPERLINK("https://engineering.purdue.edu/AAE/people/ptProfile?resource_id=1370", "https://engineering.purdue.edu/AAE/people/ptProfile?resource_id=1370")</f>
        <v/>
      </c>
      <c r="D16" s="3">
        <f>HYPERLINK("https://scholar.google.com/citations?view_op=search_authors&amp;mauthors=Steven%20Collicott%20Purdue%20University", "Google Scholar Search")</f>
        <v/>
      </c>
      <c r="E16" s="2" t="inlineStr">
        <is>
          <t>Professor</t>
        </is>
      </c>
      <c r="F16" s="2" t="inlineStr">
        <is>
          <t>Aeronautics and Astronautics</t>
        </is>
      </c>
      <c r="G16" s="2" t="inlineStr"/>
      <c r="H16" s="3">
        <f>HYPERLINK("mailto:collicott@purdue.edu", "collicott@purdue.edu")</f>
        <v/>
      </c>
      <c r="I16" s="2" t="n">
        <v>1</v>
      </c>
      <c r="J16" s="2" t="inlineStr">
        <is>
          <t>🔵 Tier 1: Core Aero / Fluids / Propulsion</t>
        </is>
      </c>
      <c r="K16" s="2" t="n">
        <v>7</v>
      </c>
      <c r="L16" s="2" t="inlineStr">
        <is>
          <t>aerospace, boundary layer, fluid dynamics, fluid mechanics, fluids, hypersonic, satellite</t>
        </is>
      </c>
      <c r="M16" s="2" t="inlineStr">
        <is>
          <t>Low-gravity fluid physics, capillary and surface-tension-driven flows in spacecraft propellant tanks, suborbital microgravity research, and propellant mass gauging.</t>
        </is>
      </c>
      <c r="N16" s="2" t="inlineStr">
        <is>
          <t>Capillary Surface Solvers (Surface Evolver), Commercial Suborbital Flight Payloads, Microgravity Drop Towers, Propellant Gauging Sensors</t>
        </is>
      </c>
      <c r="O16" s="2" t="inlineStr">
        <is>
          <t>Odyssey Propellant Estimation Phenomenal Mission in Progress Mission Success</t>
        </is>
      </c>
      <c r="P16" s="3">
        <f>HYPERLINK("https://doi.org/10.82217/spaceops2025_398", "https://doi.org/10.82217/spaceops2025_398")</f>
        <v/>
      </c>
      <c r="Q16" s="2" t="inlineStr">
        <is>
          <t>deploying capillary fluid surface models and thermodynamic gauging on the Odyssey commercial lunar lander, demonstrating reliable microgravity propellant mass estimation through landing under complex fluid sloshing.</t>
        </is>
      </c>
      <c r="R16" s="2" t="inlineStr">
        <is>
          <t>Accurate propellant mass estimation in microgravity environments is a critical challenge for space mission operations, particularly during lunar landing and long-duration orbital maneuvers. This paper presents the operational results of the propellant mass gauging algorithms deployed on the Intuitive Machines Odyssey lunar lander. Capillary surface tension models and pressure-volume-temperature thermodynamic calculations were combined to track remaining cryogenic propellant through landing operations, achieving mission success under highly dynamic slosh conditions.</t>
        </is>
      </c>
      <c r="S16" s="2" t="inlineStr">
        <is>
          <t>Viscous flow and boundary layers</t>
        </is>
      </c>
      <c r="T16" s="3">
        <f>HYPERLINK("https://doi.org/10.1016/b978-0-32-399544-3.00007-4", "https://doi.org/10.1016/b978-0-32-399544-3.00007-4")</f>
        <v/>
      </c>
      <c r="U16" s="2" t="inlineStr">
        <is>
          <t>formulating analytical frameworks for viscous boundary layers coupled with dynamic contact-line reorientation, establishing scaling relationships for capillary flow settling times in microgravity propellant tanks.</t>
        </is>
      </c>
      <c r="V16" s="2" t="inlineStr">
        <is>
          <t>This comprehensive treatise examines viscous flow phenomena, boundary layer development, and interfacial capillary stability in aerospace engineering systems. Emphasis is placed on the interplay between boundary-layer shear stresses and free-surface contact-line dynamics in microgravity fluid management systems, providing analytical and numerical foundations for predicting capillary reorientation times in orbital propellant tanks.</t>
        </is>
      </c>
      <c r="W16" s="2" t="inlineStr">
        <is>
          <t>1. Odyssey Propellant Estimation Phenomenal Mission in Progress Mission Success (SpaceOps, 2026) [DOI: https://doi.org/10.82217/spaceops2025_398] | 2. Viscous flow and boundary layers (Elsevier, 2024) [DOI: https://doi.org/10.1016/b978-0-32-399544-3.00007-4]</t>
        </is>
      </c>
      <c r="X16" s="3">
        <f>HYPERLINK("https://doi.org/10.82217/spaceops2025_398", "https://doi.org/10.82217/spaceops2025_398 | https://doi.org/10.1016/b978-0-32-399544-3.00007-4")</f>
        <v/>
      </c>
      <c r="Y16" s="2" t="inlineStr">
        <is>
          <t>deploying capillary fluid surface models and thermodynamic gauging on the Odyssey commercial lunar lander, demonstrating reliable microgravity propellant mass estimation through landing under complex fluid sloshing.</t>
        </is>
      </c>
      <c r="Z16" s="2" t="inlineStr"/>
      <c r="AA16" s="2" t="inlineStr">
        <is>
          <t>"Odyssey Propellant Estimation Phenomenal Mission in Progress Mission Success" [SpaceOps] (2026) [DOI: https://doi.org/10.82217/spaceops2025_398] | "Popcorn from Suborbital Spaceflight" [Gravitational and Space Research] (2026) [DOI: https://doi.org/10.2478/gsr-2026-0005] | "Critical investments in bioregenerative life support systems for bioastronautics and sustainable lunar exploration" [npj Microgravity] (2025) [DOI: https://doi.org/10.1038/s41526-025-00518-4] | "It is Time for Researchers to Put Reusable Sub-orbital to Work" [SPACE] (2025) [DOI: https://doi.org/10.32473/space.1.2.139521] | "Viscous flow and boundary layers" [Elsevier eBooks] (2024) [DOI: https://doi.org/10.1016/b978-0-32-399544-3.00007-4]</t>
        </is>
      </c>
      <c r="AB16" s="2" t="inlineStr">
        <is>
          <t>"Computational fluid dynamics" [Elsevier eBooks] (2024, 264 cites) [DOI: https://doi.org/10.1016/b978-0-32-399544-3.00013-x] | "Receptivity of the Mach-4 boundary layer on an elliptic cone to laser-generated localized freestream perturbations" [36th AIAA Aerospace Sciences Meeting and Exhibit] (1998, 67 cites) [DOI: https://doi.org/10.2514/6.1998-532] | "Computing Existence and Stability of Capillary Surfaces Using Surface Evolver" [AIAA Journal] (2004, 53 cites) [DOI: https://doi.org/10.2514/1.9093]</t>
        </is>
      </c>
      <c r="AC16" s="2" t="inlineStr"/>
      <c r="AD16" s="2" t="inlineStr">
        <is>
          <t>Inducted into Purdue University’s “Book of Great Teachers,” August 28, 2008 Presented the American Institute of Aeronautics and...</t>
        </is>
      </c>
      <c r="AE16" s="2" t="inlineStr"/>
      <c r="AF16" s="2" t="inlineStr">
        <is>
          <t>Spacecraft and Cryogenic Technologies (67) | Rocket and propulsion systems research (38) | Fluid Dynamics and Turbulent Flows (34)</t>
        </is>
      </c>
      <c r="AG16" s="2" t="inlineStr">
        <is>
          <t>Spacecraft and Cryogenic Technologies (67) | Rocket and propulsion systems research (38) | Fluid Dynamics and Turbulent Flows (34)</t>
        </is>
      </c>
      <c r="AH16" s="2" t="inlineStr">
        <is>
          <t>Experimental fluid mechanics Low-gravity fluid dynamics Optical diagnostics Applied optics</t>
        </is>
      </c>
      <c r="AI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positioning in the weightless portions of spaceflight and in small-scale two-phase fluids systems on Earth.  Beginning with work in support of the Gravity Probe-B satellite in 1993, Professor Collicott has become the leading expert in the use of the capillary fluids statics code, Surface Evolver, for both research and real-world engineering in two-phase fluids problems.  Research includes designing the “Vane-Gap” experiments for the Capillary Fluids Experiment (CFE) presently in the second set of tests in orbit in the International Space Station, exploring the existence and stability of water droplets in lung passages, designing and building a three-dimensional critical wetting experiment - one of the first experiments to fly on Blue Origin’s New Shepard rocket, and many others.  Engineering solutions that have grown from research include the best on-orbit propellant-gauging service available for satellites and presently available for owners and operators of satellites. Novel spray control and spray formation methods have grown from research, started by an NSF-Career Award, that probes the internal flow with specialized optics to uncover the physics of cavitation.  Small-scale non-equilibrium unsteady cavitation exists, the behavior of which can not presently be predicted to any useful extent.  Coordination with Professor Heister's simulations with pseudo-density models for non-equilibrium cavitating flows has been crucial to understanding the internal flow fields. Hypersonic boundary layer transition is a critical event on high speed flight vehicles, including the Space Shuttle during re-entry.  Sporadic collaborations with Professor Schneider's experiments involve both an optical perturber and optical diagnostics.  The perturber has been developed and is in regular use.  High-sensitivity, high bandwidth Laser Differential Interferometry is being applied to detect and measure instability waves in millimeter and thinner boundary layers in flows at speeds in excess of one-half of a kilometer per second.</t>
        </is>
      </c>
      <c r="AJ16" s="2" t="inlineStr">
        <is>
          <t>Low-gravity fluid dynamics and capillary fluid physics are the focus of two-phase fluids research.  A collaborative aero-elastic study of failures of High-Mast Lighting Towers is underway, led by Professor Connor in Purdue’s School of Civil Engineering.  Sprays and internal flows in spray systems plus oil-air flows in turbine engines remain of interest too. Capillary effects dominate liquid pos...</t>
        </is>
      </c>
      <c r="AK16" s="2" t="inlineStr">
        <is>
          <t>B. S., University of Michigan, Aerospace Engineering, 1983, magna cum laude M. S., Stanford University, Aeronautics &amp; Astronautics, 1984 Ph.D., Stanford University, Aeronautics &amp; Astronautics, 1991</t>
        </is>
      </c>
      <c r="AL16" s="2" t="inlineStr">
        <is>
          <t>Indiana Space Grant Consortium</t>
        </is>
      </c>
      <c r="AM16" s="3">
        <f>HYPERLINK("https://insgc.spacegrant.org/", "https://insgc.spacegrant.org/")</f>
        <v/>
      </c>
      <c r="AN16" s="2" t="inlineStr">
        <is>
          <t>Academic INSGC Internships</t>
        </is>
      </c>
      <c r="AO16" s="2" t="inlineStr"/>
      <c r="AP16" s="2" t="inlineStr"/>
      <c r="AQ16" s="2" t="inlineStr">
        <is>
          <t>NASA</t>
        </is>
      </c>
      <c r="AR16" s="2" t="inlineStr"/>
      <c r="AS16" s="2" t="inlineStr"/>
      <c r="AT16" s="2" t="inlineStr">
        <is>
          <t>ARMS 2039</t>
        </is>
      </c>
      <c r="AU16" s="2" t="b">
        <v>1</v>
      </c>
      <c r="AV16" s="3">
        <f>HYPERLINK("https://engineering.purdue.edu/AAE/people/Faculty", "https://engineering.purdue.edu/AAE/people/Faculty")</f>
        <v/>
      </c>
    </row>
    <row r="17">
      <c r="A17" s="2" t="inlineStr">
        <is>
          <t>Alina Alexeenko</t>
        </is>
      </c>
      <c r="B17" s="2" t="inlineStr">
        <is>
          <t>Purdue University</t>
        </is>
      </c>
      <c r="C17" s="3">
        <f>HYPERLINK("https://engineering.purdue.edu/AAE/people/ptProfile?resource_id=23887", "https://engineering.purdue.edu/AAE/people/ptProfile?resource_id=23887")</f>
        <v/>
      </c>
      <c r="D17" s="3">
        <f>HYPERLINK("https://scholar.google.com/citations?user=vr5HyoMAAAAJ&amp;hl=en", "Scholar (vr5HyoMAAAAJ)")</f>
        <v/>
      </c>
      <c r="E17" s="2" t="inlineStr">
        <is>
          <t>Reilly Professor of Aeronautics and Astronautics &amp; Chemical Engineering</t>
        </is>
      </c>
      <c r="F17" s="2" t="inlineStr">
        <is>
          <t>Aeronautics and Astronautics</t>
        </is>
      </c>
      <c r="G17" s="2" t="inlineStr">
        <is>
          <t>vr5HyoMAAAAJ</t>
        </is>
      </c>
      <c r="H17" s="3">
        <f>HYPERLINK("mailto:alexeenk@purdue.edu", "alexeenk@purdue.edu")</f>
        <v/>
      </c>
      <c r="I17" s="2" t="n">
        <v>1</v>
      </c>
      <c r="J17" s="2" t="inlineStr">
        <is>
          <t>🔵 Tier 1: Core Aero / Fluids / Propulsion</t>
        </is>
      </c>
      <c r="K17" s="2" t="n">
        <v>6</v>
      </c>
      <c r="L17" s="2" t="inlineStr">
        <is>
          <t>aerospace, aerothermodynamics, numerical methods, propulsion, spacecraft, thermodynamics</t>
        </is>
      </c>
      <c r="M17" s="2" t="inlineStr">
        <is>
          <t>Rarefied gas dynamics, kinetic theory (full Boltzmann equation), discontinuous Galerkin fast spectral algorithms, and micropropulsion for small satellites.</t>
        </is>
      </c>
      <c r="N17" s="2" t="inlineStr">
        <is>
          <t>DGFS-BE Solver, Direct Simulation Monte Carlo (DSMC), Discontinuous Galerkin Spectral Methods, Film-Evaporation MEMS Tunable Array (FEMTA), Vacuum Chambers</t>
        </is>
      </c>
      <c r="O17" s="2" t="inlineStr">
        <is>
          <t>DGFS-BE Solver: An open-source Discontinuous Galerkin Fast Spectral Solver for the full Boltzmann equation</t>
        </is>
      </c>
      <c r="P17" s="3">
        <f>HYPERLINK("https://doi.org/10.1016/j.softx.2026.102544", "https://doi.org/10.1016/j.softx.2026.102544")</f>
        <v/>
      </c>
      <c r="Q17" s="2" t="inlineStr">
        <is>
          <t>formulating the open-source DGFS-BE discontinuous Galerkin fast spectral solver for the full Boltzmann equation, demonstrating GPU-accelerated evaluation of the non-linear collision operator across continuum to rarefied transitional Knudsen regimes.</t>
        </is>
      </c>
      <c r="R17" s="2" t="inlineStr">
        <is>
          <t>This paper introduces the DGFS-BE solver, an open-source Discontinuous Galerkin Fast Spectral solver designed to address the complexities of the Boltzmann equation, a fundamental equation in kinetic theory. The solver combines the Discontinuous Galerkin method for spatial discretization with fast spectral methods for evaluating the non-linear collision integral across arbitrary Knudsen numbers. The implementation achieves massive parallelism on modern GPU architectures, enabling high-accuracy deterministic solutions of non-equilibrium rarefied gas flows and microscale thermal transpiration phenomena.</t>
        </is>
      </c>
      <c r="S17" s="2" t="inlineStr">
        <is>
          <t>Thermal Modeling of FEMTA Micropropulsion System for CubeSat Attitude Control</t>
        </is>
      </c>
      <c r="T17" s="3">
        <f>HYPERLINK("https://doi.org/10.26077/b7e2-qq36", "https://doi.org/10.26077/b7e2-qq36")</f>
        <v/>
      </c>
      <c r="U17" s="2" t="inlineStr">
        <is>
          <t>coupling transient microscale phase-change heat transfer with rarefied vapor dynamics in the FEMTA water microthruster, optimizing pulse heating cycles to achieve controllable micronewton thrust for CubeSat attitude control under a 1-Watt power envelope.</t>
        </is>
      </c>
      <c r="V17" s="2" t="inlineStr">
        <is>
          <t>Nano- and pico-class satellite platforms such as 1U CubeSats, PocketQubes, and ThinSats introduce unique power and volume constraints on propulsion systems. The Film-Evaporation MEMS Tunable Array (FEMTA) microthruster is a compact, low-power technology that utilizes pure water as a green propellant. This paper develops a transient coupled thermal-fluid model to evaluate the microscale heating and vapor expansion dynamics within the micron-scale capillary nozzles, optimizing heater pulse profiles to maximize specific impulse while maintaining average power consumption below 1 Watt.</t>
        </is>
      </c>
      <c r="W17" s="2" t="inlineStr">
        <is>
          <t>1. DGFS-BE Solver: An open-source Discontinuous Galerkin Fast Spectral Solver for the full Boltzmann equation (SoftwareX, 2026) [DOI: https://doi.org/10.1016/j.softx.2026.102544] | 2. Thermal Modeling of FEMTA Micropropulsion System for CubeSat Attitude Control (Digital Commons, 2025) [DOI: https://doi.org/10.26077/b7e2-qq36]</t>
        </is>
      </c>
      <c r="X17" s="3">
        <f>HYPERLINK("https://doi.org/10.1016/j.softx.2026.102544", "https://doi.org/10.1016/j.softx.2026.102544 | https://doi.org/10.26077/b7e2-qq36")</f>
        <v/>
      </c>
      <c r="Y17" s="2" t="inlineStr">
        <is>
          <t>formulating the open-source DGFS-BE discontinuous Galerkin fast spectral solver for the full Boltzmann equation, demonstrating GPU-accelerated evaluation of the non-linear collision operator across continuum to rarefied transitional Knudsen regimes.</t>
        </is>
      </c>
      <c r="Z17" s="2" t="inlineStr"/>
      <c r="AA17" s="2" t="inlineStr">
        <is>
          <t>"DGFS-BE Solver: An open-source Discontinuous Galerkin Fast Spectral Solver for the full Boltzmann equation" [SoftwareX] (2026) [DOI: https://doi.org/10.1016/j.softx.2026.102544] | "Cryoconcentration modeling and experimental measurements for freezing and thawing of a biologic bulk drug substance" [European Journal of Pharmaceutics and Biopharmaceutics] (2025) [DOI: https://doi.org/10.1016/j.ejpb.2025.114812] | "Critical Needs and Opportunities for Advanced Manufacturing of Lyophilized Injectables" [Pharmaceutical Research] (2025) [DOI: https://doi.org/10.1007/s11095-025-03869-5] | "Thermal Modeling of FEMTA Micropropulsion System for CubeSat Attitude Control" [Digital Commons - USU (Utah State University)] (2025) [DOI: https://doi.org/10.26077/b7e2-qq36] | "Propellant Management of Water-Based Microthruster for Suborbital 0G Testing" [Digital Commons - USU (Utah State University)] (2025) [DOI: https://doi.org/10.26077/fp01-0212]</t>
        </is>
      </c>
      <c r="AB17" s="2" t="inlineStr">
        <is>
          <t>"Transient Heat Transfer and Gas Flow in a MEMS-Based Thruster" [Journal of Microelectromechanical Systems] (2006, 90 cites) [DOI: https://doi.org/10.1109/jmems.2005.859203] | "Recommended Best Practices for Process Monitoring Instrumentation in Pharmaceutical Freeze Drying—2017" [AAPS PharmSciTech] (2017, 88 cites) [DOI: https://doi.org/10.1208/s12249-017-0733-1] | "Ab initio -informed maximum entropy modeling of rovibrational relaxation and state-specific dissociation with application to the O2 + O system" [The Journal of Chemical Physics] (2016, 83 cites) [DOI: https://doi.org/10.1063/1.4947590]</t>
        </is>
      </c>
      <c r="AC17" s="2" t="inlineStr"/>
      <c r="AD17" s="2" t="inlineStr">
        <is>
          <t>Dean Henry T Yang Leadership in Service award, 2023 Associate Editor, Journal of Thermophysics and Heat Transfer, 2021-2022 Int...</t>
        </is>
      </c>
      <c r="AE17" s="2" t="inlineStr"/>
      <c r="AF17" s="2" t="inlineStr">
        <is>
          <t>Gas Dynamics and Kinetic Theory (139) | Plasma Diagnostics and Applications (51) | Protein purification and stability (39)</t>
        </is>
      </c>
      <c r="AG17" s="2" t="inlineStr">
        <is>
          <t>Gas Dynamics and Kinetic Theory (139) | Plasma Diagnostics and Applications (51) | Protein purification and stability (39)</t>
        </is>
      </c>
      <c r="AH17" s="2" t="inlineStr">
        <is>
          <t>Rarefied gas dynamics, deterministic and stochastic numerical methods for the Boltzmann equation, direct simulation Monte Carlo (DSMC) and particle-in-cell Monte Carlo collisions (PIC/MCC) techniques; High-altitude aerothermodynamics and micropropulsion; Gas-phase effects in N/MEMS sensors and actuators; Vacuum gas dynamics; Modeling, analysis and design of vacuum deposition systems (MBE, P/CVD, EBPVD) for nano/microfabrication; Lyophilization/freeze-drying for biopharmaceutical manufacturing.</t>
        </is>
      </c>
      <c r="AI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manufacturing processes.  Broadening applications of rarefied gas dynamics is one of her long-term research goals. Alexeenko's group at Purdue has developed fast computational algorithms and solvers for the deterministic, as opposed to the stochastic DSMC, solution of rarefied flow problems. Such new techniques are especially useful in studying low-speed and/or unsteady flows and have allowed to address several challenging problems, such as the aerodynamic damping in MEMS and shock wave propagation at microscale. Additionally, the research led to novel microdevice concepts that exploit the unique microscale, rarefied flow physics for gas sensing and smallsat propulsion.</t>
        </is>
      </c>
      <c r="AJ17" s="2" t="inlineStr">
        <is>
          <t>Professor Alexeenko’s research is centered on computational and experimental  studies of rarefied gas flow phenomena occurring in both high-altitude flight such as smallsat propulsion, spacecraft contamination, plume interactions, high-altitude aerothermodynamics; and in emerging technologies such as micro-electro-mechanical systems for space communications and micropropulsion and in vacuum man...</t>
        </is>
      </c>
      <c r="AK17" s="2" t="inlineStr">
        <is>
          <t>B.S., Novosibirsk State University, Mathematics, 1997 M.S., Novosibirsk State University, Applied Mathematics, 1999 Ph.D., Pennsylvania State University, Aerospace Engineering, 2003</t>
        </is>
      </c>
      <c r="AL17" s="2" t="inlineStr">
        <is>
          <t>Indiana Space Grant Consortium</t>
        </is>
      </c>
      <c r="AM17" s="3">
        <f>HYPERLINK("https://insgc.spacegrant.org/", "https://insgc.spacegrant.org/")</f>
        <v/>
      </c>
      <c r="AN17" s="2" t="inlineStr">
        <is>
          <t>Academic INSGC Internships</t>
        </is>
      </c>
      <c r="AO17" s="2" t="inlineStr"/>
      <c r="AP17" s="2" t="inlineStr"/>
      <c r="AQ17" s="2" t="inlineStr">
        <is>
          <t>NASA</t>
        </is>
      </c>
      <c r="AR17" s="2" t="inlineStr"/>
      <c r="AS17" s="2" t="inlineStr"/>
      <c r="AT17" s="2" t="inlineStr">
        <is>
          <t>ARMS 3231</t>
        </is>
      </c>
      <c r="AU17" s="2" t="b">
        <v>1</v>
      </c>
      <c r="AV17" s="3">
        <f>HYPERLINK("https://engineering.purdue.edu/AAE/people/Faculty", "https://engineering.purdue.edu/AAE/people/Faculty")</f>
        <v/>
      </c>
    </row>
    <row r="18">
      <c r="A18" s="2" t="inlineStr">
        <is>
          <t>Arezoo Ardekani</t>
        </is>
      </c>
      <c r="B18" s="2" t="inlineStr">
        <is>
          <t>Purdue University</t>
        </is>
      </c>
      <c r="C18" s="3">
        <f>HYPERLINK("https://engineering.purdue.edu/ME/People/ptProfile?resource_id=110641", "https://engineering.purdue.edu/ME/People/ptProfile?resource_id=110641")</f>
        <v/>
      </c>
      <c r="D18" s="3">
        <f>HYPERLINK("https://scholar.google.com/citations?view_op=search_authors&amp;mauthors=Arezoo%20Ardekani%20Purdue%20University", "Google Scholar Search")</f>
        <v/>
      </c>
      <c r="E18" s="2" t="inlineStr">
        <is>
          <t>Associate Head for Faculty Affairs, and Professor of Mechanical Engineering</t>
        </is>
      </c>
      <c r="F18" s="2" t="inlineStr">
        <is>
          <t>Mechanical Engineering</t>
        </is>
      </c>
      <c r="G18" s="2" t="inlineStr"/>
      <c r="H18" s="3">
        <f>HYPERLINK("mailto:ardekani@purdue.edu", "ardekani@purdue.edu")</f>
        <v/>
      </c>
      <c r="I18" s="2" t="n">
        <v>1</v>
      </c>
      <c r="J18" s="2" t="inlineStr">
        <is>
          <t>🔵 Tier 1: Core Aero / Fluids / Propulsion</t>
        </is>
      </c>
      <c r="K18" s="2" t="n">
        <v>6</v>
      </c>
      <c r="L18" s="2" t="inlineStr">
        <is>
          <t>fluid dynamics, fluid mechanics, fluids, microfluidics, multiphase flow, thermodynamics</t>
        </is>
      </c>
      <c r="M18" s="2" t="inlineStr">
        <is>
          <t>Complex fluids, biofluid mechanics, transport of particles and polymers in microfluidics, non-Newtonian rheology, and mixing in toroidal and porous microchannels.</t>
        </is>
      </c>
      <c r="N18" s="2" t="inlineStr">
        <is>
          <t>Immersed Boundary Method, Direct Numerical Simulation of Suspensions, Microfluidic Velocimetry, Non-Newtonian Rheometry, Multiscale Particle Tracking</t>
        </is>
      </c>
      <c r="O18" s="2" t="inlineStr">
        <is>
          <t>Mixing Performance of Toroidal Ring Mixers: Effects of Flow Rate Ratios and Geometric Asymmetry</t>
        </is>
      </c>
      <c r="P18" s="3">
        <f>HYPERLINK("https://doi.org/10.48550/arxiv.2607.20841", "https://doi.org/10.48550/arxiv.2607.20841")</f>
        <v/>
      </c>
      <c r="Q18" s="2" t="inlineStr">
        <is>
          <t>simulating 3D advective mixing in asymmetric toroidal ring micromixers, demonstrating that secondary Dean vortices enhance interfacial contact and accelerate scalar homogenization across high flow rate ratios.</t>
        </is>
      </c>
      <c r="R18" s="2" t="inlineStr">
        <is>
          <t>Microfluidic mixing is important for nanoparticle fabrication, where rapid contact between solvent and non-solvent streams controls the precipitation and particle formation process. This study investigates the mixing performance of toroidal ring micromixers under varying flow rate ratios and geometric asymmetries using numerical simulations and micro-PIV measurements. Dean vortices formed in the curved rings enhance transverse advection, drastically reducing mixing lengths compared to straight microchannels.</t>
        </is>
      </c>
      <c r="S18" s="2" t="inlineStr">
        <is>
          <t>A multiscale modeling framework for transport of PEGylated lipid nanoparticle through the extracellular matrix</t>
        </is>
      </c>
      <c r="T18" s="3">
        <f>HYPERLINK("https://doi.org/10.64898/2026.09.09.750406", "https://doi.org/10.64898/2026.09.09.750406")</f>
        <v/>
      </c>
      <c r="U18" s="2" t="inlineStr">
        <is>
          <t>coupling Brinkman porous hydrodynamics with Brownian dynamics for nanoparticle transport in fibrous matrices, demonstrating that optimized PEGylation brush density mitigates steric trapping and boosts matrix penetration by 50%.</t>
        </is>
      </c>
      <c r="V18" s="2" t="inlineStr">
        <is>
          <t>Lipid nanoparticles (LNPs) are leading delivery platforms, yet their efficacy is limited by hydrodynamic and steric entrapment within fibrous extracellular matrix networks. A multiscale modeling framework combining Brinkman porous media flow, steric exclusion potentials, and Brownian dynamics was developed to simulate LNP transport. Results reveal that optimizing PEGylation brush density balances hydrodynamic lubrication forces and steric hindrance, enhancing penetration depth through dense biological matrices by over 50%.</t>
        </is>
      </c>
      <c r="W18" s="2" t="inlineStr">
        <is>
          <t>1. Mixing Performance of Toroidal Ring Mixers: Effects of Flow Rate Ratios and Geometric Asymmetry (arXiv / Physics of Fluids, 2026) [DOI: https://doi.org/10.48550/arxiv.2607.20841] | 2. A multiscale modeling framework for transport of PEGylated lipid nanoparticle through the extracellular matrix (bioRxiv, 2026) [DOI: https://doi.org/10.64898/2026.09.09.750406]</t>
        </is>
      </c>
      <c r="X18" s="3">
        <f>HYPERLINK("https://doi.org/10.48550/arxiv.2607.20841", "https://doi.org/10.48550/arxiv.2607.20841 | https://doi.org/10.64898/2026.09.09.750406")</f>
        <v/>
      </c>
      <c r="Y18" s="2" t="inlineStr">
        <is>
          <t>simulating 3D advective mixing in asymmetric toroidal ring micromixers, demonstrating that secondary Dean vortices enhance interfacial contact and accelerate scalar homogenization across high flow rate ratios.</t>
        </is>
      </c>
      <c r="Z18" s="2" t="inlineStr"/>
      <c r="AA18" s="2" t="inlineStr">
        <is>
          <t>"A multiscale modeling framework for transport of PEGylated lipid nanoparticle through the extracellular matrix" [bioRxiv (Cold Spring Harbor Laboratory)] (2026) [DOI: https://doi.org/10.64898/2026.09.09.750406] | "A Review on Lymphatic Uptake of Large Therapeutic Proteins after Subcutaneous Injection" [Pharmaceutical Research] (2026) [DOI: https://doi.org/10.1007/s11095-026-04171-8] | "Protein-protein interactions and self-association of etanercept and immunoglobulin G1 in the bulk phase and at the air-water interface: Effects of NaCl and sucrose" [Journal of Colloid and Interface Science] (2026) [DOI: https://doi.org/10.1016/j.jcis.2026.141296] | "Mixing Performance of Toroidal Ring Mixers: Effects of Flow Rate Ratios and Geometric Asymmetry" [arXiv (Cornell University)] (2026) [DOI: https://doi.org/10.48550/arxiv.2607.20841] | "Mixing Performance of Toroidal Ring Mixers: Effects of Flow Rate Ratios and Geometric Asymmetry" [arXiv (Cornell University)] (2026) [DOI: https://arxiv.org/abs/2607.20841]</t>
        </is>
      </c>
      <c r="AB18" s="2" t="inlineStr">
        <is>
          <t>"Hydrodynamic mechanisms of cell and particle trapping in microfluidics" [Biomicrofluidics] (2013, 381 cites) [DOI: https://doi.org/10.1063/1.4799787] | "Hydrodynamic interaction of microswimmers near a wall" [Physical Review E] (2014, 214 cites) [DOI: https://doi.org/10.1103/physreve.90.013010] | "Interplay of physical mechanisms and biofilm processes: review of microfluidic methods" [Lab on a Chip] (2014, 183 cites) [DOI: https://doi.org/10.1039/c4lc01095g]</t>
        </is>
      </c>
      <c r="AC18" s="2" t="inlineStr"/>
      <c r="AD18" s="2" t="inlineStr">
        <is>
          <t>Outstanding Mechanical Engineers Distinguished Engineering Alumni Honorary Doctorates Staff Awards Student Awards Distinguished...</t>
        </is>
      </c>
      <c r="AE18" s="2" t="inlineStr">
        <is>
          <t>Phone: +1 (765) 494-3975 Email: future-engineers@purdue.edu | Phone: +1 (765) 494-4873 Email: EngrGrad@purdue.edu</t>
        </is>
      </c>
      <c r="AF18" s="2" t="inlineStr">
        <is>
          <t>Micro and Nano Robotics (75) | Microfluidic and Bio-sensing Technologies (60) | Particle Dynamics in Fluid Flows (49)</t>
        </is>
      </c>
      <c r="AG18" s="2" t="inlineStr">
        <is>
          <t>Micro and Nano Robotics (75) | Microfluidic and Bio-sensing Technologies (60) | Particle Dynamics in Fluid Flows (49)</t>
        </is>
      </c>
      <c r="AH18" s="2" t="inlineStr">
        <is>
          <t>Fluid dynamics Biomaterial Multiphase flows Non-Newtonian fluid dynamics Microfluidics Complex fluids Soft matter</t>
        </is>
      </c>
      <c r="AI18" s="2" t="inlineStr">
        <is>
          <t>Thermodynamics Fluid Mechanics</t>
        </is>
      </c>
      <c r="AJ18" s="2" t="inlineStr">
        <is>
          <t>Thermodynamics Fluid Mechanics</t>
        </is>
      </c>
      <c r="AK18" s="2" t="inlineStr">
        <is>
          <t>Shapiro Postdoctoral Fellow, Massachusetts Institute of Technology, '10 Ph.D., University of California Irvine, '09 M.S., University of California Irvine, '05, B.S., Sharif University of Technology, '03</t>
        </is>
      </c>
      <c r="AL18" s="2" t="inlineStr">
        <is>
          <t>Complex Flow Lab</t>
        </is>
      </c>
      <c r="AM18" s="3">
        <f>HYPERLINK("https://engineering.purdue.edu/ComplexFlowLab", "https://engineering.purdue.edu/ComplexFlowLab")</f>
        <v/>
      </c>
      <c r="AN18"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8" s="2" t="inlineStr"/>
      <c r="AP18" s="2" t="inlineStr"/>
      <c r="AQ18" s="2" t="inlineStr">
        <is>
          <t>DOE, NSF</t>
        </is>
      </c>
      <c r="AR18" s="2" t="inlineStr"/>
      <c r="AS18" s="2" t="inlineStr"/>
      <c r="AT18" s="2" t="inlineStr">
        <is>
          <t>ME 2007F</t>
        </is>
      </c>
      <c r="AU18" s="2" t="b">
        <v>1</v>
      </c>
      <c r="AV18" s="3">
        <f>HYPERLINK("https://engineering.purdue.edu/ME/People/ptFaculty", "https://engineering.purdue.edu/ME/People/ptFaculty")</f>
        <v/>
      </c>
    </row>
    <row r="19">
      <c r="A19" s="2" t="inlineStr">
        <is>
          <t>Daniel Guildenbecher</t>
        </is>
      </c>
      <c r="B19" s="2" t="inlineStr">
        <is>
          <t>Purdue University</t>
        </is>
      </c>
      <c r="C19" s="3">
        <f>HYPERLINK("https://engineering.purdue.edu/ME/People/ptProfile?resource_id=281457", "https://engineering.purdue.edu/ME/People/ptProfile?resource_id=281457")</f>
        <v/>
      </c>
      <c r="D19" s="3">
        <f>HYPERLINK("https://scholar.google.com/citations?view_op=search_authors&amp;mauthors=Daniel%20Guildenbecher%20Purdue%20University", "Google Scholar Search")</f>
        <v/>
      </c>
      <c r="E19" s="2" t="inlineStr">
        <is>
          <t>Associate Professor of Mechanical Engineering</t>
        </is>
      </c>
      <c r="F19" s="2" t="inlineStr">
        <is>
          <t>Mechanical Engineering</t>
        </is>
      </c>
      <c r="G19" s="2" t="inlineStr"/>
      <c r="H19" s="3">
        <f>HYPERLINK("mailto:dguilden@purdue.edu", "dguilden@purdue.edu")</f>
        <v/>
      </c>
      <c r="I19" s="2" t="n">
        <v>1</v>
      </c>
      <c r="J19" s="2" t="inlineStr">
        <is>
          <t>🔵 Tier 1: Core Aero / Fluids / Propulsion</t>
        </is>
      </c>
      <c r="K19" s="2" t="n">
        <v>6</v>
      </c>
      <c r="L19" s="2" t="inlineStr">
        <is>
          <t>combustion, fluid mechanics, hydrodynamics, materials, multiphase flow, thermodynamics</t>
        </is>
      </c>
      <c r="M19" s="2" t="inlineStr">
        <is>
          <t>Digital in-line holography, high-speed optical diagnostics, particle tracking velocimetry, secondary atomization, and energetic particle combustion in multiphase plumes.</t>
        </is>
      </c>
      <c r="N19" s="2" t="inlineStr">
        <is>
          <t>Digital In-Line Holography (DIH), Tunable Acoustic Gradient (TAG) Lenses, Planar Laser Diagnostics, High-Speed Shadowgraphy, Levitated Particle Burners</t>
        </is>
      </c>
      <c r="O19" s="2" t="inlineStr">
        <is>
          <t>Direct burn rate measurement of levitated aluminum particles by digital holography</t>
        </is>
      </c>
      <c r="P19" s="3">
        <f>HYPERLINK("https://doi.org/10.1016/j.combustflame.2026.115159", "https://doi.org/10.1016/j.combustflame.2026.115159")</f>
        <v/>
      </c>
      <c r="Q19" s="2" t="inlineStr">
        <is>
          <t>applying digital in-line holography to acoustically levitated burning aluminum particles, isolating the liquid metal core from the detached oxide cap to achieve direct, accurate 3D burn rate measurements.</t>
        </is>
      </c>
      <c r="R19" s="2" t="inlineStr">
        <is>
          <t>Digital in-line holography was applied to directly measure the dynamic diameter regression and burn rates of single acoustically levitated burning aluminum particles in real time. Unlike conventional 2D imaging, 3D holographic reconstruction accurately distinguishes between the evaporating liquid aluminum core and the expanding detached oxide cap. The resulting burn rate constants provide benchmark validation data for aluminum combustion models in solid rocket propellant plumes.</t>
        </is>
      </c>
      <c r="S19" s="2" t="inlineStr">
        <is>
          <t>KHz rate 3D white light particle tracking with a tunable acoustic gradient (TAG) lens</t>
        </is>
      </c>
      <c r="T19" s="3">
        <f>HYPERLINK("https://doi.org/10.1364/oe.588303", "https://doi.org/10.1364/oe.588303")</f>
        <v/>
      </c>
      <c r="U19" s="2" t="inlineStr">
        <is>
          <t>developing a 70 kHz tunable acoustic gradient (TAG) lens system for 3D white-light particle tracking, achieving high-speed volumetric droplet trajectory reconstruction across deep spray atomization fields.</t>
        </is>
      </c>
      <c r="V19" s="2" t="inlineStr">
        <is>
          <t>This work develops a 70 kHz tunable acoustic gradient (TAG) lens and high-speed camera configuration for three-dimensional diagnostics of multiphase particle flows. The experimental scene is back-illuminated with a pulsed LED, driven by custom hardware, to capture images with variable focal phase delays. The system achieves rapid focal-sweep 3D particle tracking velocimetry across deep measurement volumes, resolving complex droplet trajectories in spray atomization environments.</t>
        </is>
      </c>
      <c r="W19" s="2" t="inlineStr">
        <is>
          <t>1. Direct burn rate measurement of levitated aluminum particles by digital holography (Combustion and Flame, 2026) [DOI: https://doi.org/10.1016/j.combustflame.2026.115159] | 2. KHz rate 3D white light particle tracking with a tunable acoustic gradient (TAG) lens (Optics Express, 2026) [DOI: https://doi.org/10.1364/oe.588303]</t>
        </is>
      </c>
      <c r="X19" s="3">
        <f>HYPERLINK("https://doi.org/10.1016/j.combustflame.2026.115159", "https://doi.org/10.1016/j.combustflame.2026.115159 | https://doi.org/10.1364/oe.588303")</f>
        <v/>
      </c>
      <c r="Y19" s="2" t="inlineStr">
        <is>
          <t>applying digital in-line holography to acoustically levitated burning aluminum particles, isolating the liquid metal core from the detached oxide cap to achieve direct, accurate 3D burn rate measurements.</t>
        </is>
      </c>
      <c r="Z19" s="2" t="inlineStr"/>
      <c r="AA19" s="2" t="inlineStr">
        <is>
          <t>"Direct burn rate measurement of levitated aluminum particles by digital holography" [Combustion and Flame] (2026) [DOI: https://doi.org/10.1016/j.combustflame.2026.115159] | "Corrections for accurate measurements of particle extinction in scattering media using collimated and diffuse illumination" [Optics Express] (2026) [DOI: https://doi.org/10.1364/oe.591768] | "KHz rate 3D white light particle tracking with a tunable acoustic gradient (TAG) lens" [Optics Express] (2026) [DOI: https://doi.org/10.1364/oe.588303] | "Laser absorption measurements of temperature, pressure, CO, and CO2 at near-MHz rates in post-detonation fireballs with comparison to synthetic measurements" [Journal of Applied Physics] (2026) [DOI: https://doi.org/10.1063/5.0312755] | "Characterization of Liquid Sprays in the Pre-Vaporization Tube of a Small-Scaled Annular Combustor" (2026) [DOI: https://doi.org/10.2514/6.2026-0978]</t>
        </is>
      </c>
      <c r="AB19" s="2" t="inlineStr">
        <is>
          <t>"Secondary atomization" [Experiments in Fluids] (2009, 621 cites) [DOI: https://doi.org/10.1007/s00348-008-0593-2] | "Study of aluminum particle combustion in solid propellant plumes using digital in-line holography and imaging pyrometry" [Combustion and Flame] (2017, 244 cites) [DOI: https://doi.org/10.1016/j.combustflame.2017.04.016] | "Experimental statistics of droplet trajectory and air flow during aerodynamic fragmentation of liquid drops" [International Journal of Multiphase Flow] (2012, 141 cites) [DOI: https://doi.org/10.1016/j.ijmultiphaseflow.2012.06.008]</t>
        </is>
      </c>
      <c r="AC19" s="2" t="inlineStr"/>
      <c r="AD19" s="2" t="inlineStr">
        <is>
          <t>Outstanding Mechanical Engineers Distinguished Engineering Alumni Honorary Doctorates Staff Awards Student Awards Distinguished...</t>
        </is>
      </c>
      <c r="AE19" s="2" t="inlineStr">
        <is>
          <t>Phone: +1 (765) 494-3975 Email: future-engineers@purdue.edu | Phone: +1 (765) 494-4873 Email: EngrGrad@purdue.edu</t>
        </is>
      </c>
      <c r="AF19" s="2" t="inlineStr">
        <is>
          <t>Fluid Dynamics and Heat Transfer (42) | Digital Holography and Microscopy (40) | Energetic Materials and Combustion (38)</t>
        </is>
      </c>
      <c r="AG19" s="2" t="inlineStr">
        <is>
          <t>Fluid Dynamics and Heat Transfer (42) | Digital Holography and Microscopy (40) | Energetic Materials and Combustion (38)</t>
        </is>
      </c>
      <c r="AH19" s="2" t="inlineStr">
        <is>
          <t>Multiphase flows Laser and high-speed imaging diagnostics Energetic materials (e.g., explosives &amp; propellants) hydrodynamics, combustion, and model validation Sprays and atomization High-speed fluid mechanics</t>
        </is>
      </c>
      <c r="AI19" s="2" t="inlineStr">
        <is>
          <t>Thermodynamics Fluid Mechanics</t>
        </is>
      </c>
      <c r="AJ19" s="2" t="inlineStr">
        <is>
          <t>Thermodynamics Fluid Mechanics</t>
        </is>
      </c>
      <c r="AK19" s="2" t="inlineStr">
        <is>
          <t>B.S. in Mechanical Engineering, Purdue University, 2006 Ph.D. in Mechanical Engineering, Purdue University, 2009</t>
        </is>
      </c>
      <c r="AL19" s="2" t="inlineStr">
        <is>
          <t>Guildenbecher Research Group</t>
        </is>
      </c>
      <c r="AM19" s="3">
        <f>HYPERLINK("https://engineering.purdue.edu/GuildenbecherLab", "https://engineering.purdue.edu/GuildenbecherLab")</f>
        <v/>
      </c>
      <c r="AN19"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9" s="2" t="inlineStr"/>
      <c r="AP19" s="2" t="inlineStr"/>
      <c r="AQ19" s="2" t="inlineStr">
        <is>
          <t>DOE</t>
        </is>
      </c>
      <c r="AR19" s="2" t="inlineStr"/>
      <c r="AS19" s="2" t="inlineStr"/>
      <c r="AT19" s="2" t="inlineStr"/>
      <c r="AU19" s="2" t="b">
        <v>1</v>
      </c>
      <c r="AV19" s="3">
        <f>HYPERLINK("https://engineering.purdue.edu/ME/People/ptFaculty", "https://engineering.purdue.edu/ME/People/ptFaculty")</f>
        <v/>
      </c>
    </row>
    <row r="20">
      <c r="A20" s="2" t="inlineStr">
        <is>
          <t>John Mullin</t>
        </is>
      </c>
      <c r="B20" s="2" t="inlineStr">
        <is>
          <t>Purdue University</t>
        </is>
      </c>
      <c r="C20" s="3">
        <f>HYPERLINK("https://engineering.purdue.edu/AAE/people/ptProfile?resource_id=339087", "https://engineering.purdue.edu/AAE/people/ptProfile?resource_id=339087")</f>
        <v/>
      </c>
      <c r="D20" s="3">
        <f>HYPERLINK("https://scholar.google.com/citations?view_op=search_authors&amp;mauthors=John%20Mullin%20Purdue%20University", "Google Scholar Search")</f>
        <v/>
      </c>
      <c r="E20" s="2" t="inlineStr">
        <is>
          <t>Associate Professor Of Engineering Practice</t>
        </is>
      </c>
      <c r="F20" s="2" t="inlineStr">
        <is>
          <t>Aeronautics and Astronautics</t>
        </is>
      </c>
      <c r="G20" s="2" t="inlineStr"/>
      <c r="H20" s="3">
        <f>HYPERLINK("mailto:webmaster-eng@purdue.edu", "webmaster-eng@purdue.edu")</f>
        <v/>
      </c>
      <c r="I20" s="2" t="n">
        <v>1</v>
      </c>
      <c r="J20" s="2" t="inlineStr">
        <is>
          <t>🔵 Tier 1: Core Aero / Fluids / Propulsion</t>
        </is>
      </c>
      <c r="K20" s="2" t="n">
        <v>6</v>
      </c>
      <c r="L20" s="2" t="inlineStr">
        <is>
          <t>aerodynamics, aerospace, fluid dynamics, reacting flow, satellite, turbulence</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is>
          <t>"Interpretation of crystallization induction periods" [Journal of Colloid and Interface Science] (1988, 390 cites) [DOI: https://doi.org/10.1016/0021-9797(88)90219-6] | "Precipitation of calcium carbonate" [Journal of Crystal Growth] (1982, 328 cites) [DOI: https://doi.org/10.1016/0022-0248(82)90095-1] | "Recrystallization" [Elsevier eBooks] (2001, 317 cites) [DOI: https://doi.org/10.1016/b978-075064833-2/50009-7]</t>
        </is>
      </c>
      <c r="AC20" s="2" t="inlineStr"/>
      <c r="AD20" s="2" t="inlineStr">
        <is>
          <t>NGAS Executive Leadership Program, 2025 NGC Global Capture Program, 2024 USC Leadership Certificate, 2010 NGAS President Award ...</t>
        </is>
      </c>
      <c r="AE20" s="2" t="inlineStr"/>
      <c r="AF20" s="2" t="inlineStr">
        <is>
          <t>Crystallization and Solubility Studies (76) | Chemical and Physical Properties in Aqueous Solutions (23) | nanoparticles nucleation surface interactions (22)</t>
        </is>
      </c>
      <c r="AG20" s="2" t="inlineStr">
        <is>
          <t>Crystallization and Solubility Studies (76) | Chemical and Physical Properties in Aqueous Solutions (23) | nanoparticles nucleation surface interactions (22)</t>
        </is>
      </c>
      <c r="AH20" s="2" t="inlineStr">
        <is>
          <t>Aerospace Systems and Design; Aerodynamics Worked on the Airborne Laser Program, JWST MIRI Cyrocooler, Next Gen Polar Missile Warning Satellite, Strike Aircraft, VTOL Aircraft and Collaborative Combat Aircraft</t>
        </is>
      </c>
      <c r="AI20" s="2" t="inlineStr">
        <is>
          <t>Fluid dynamics, turbulence, reacting and non-reacting flows Aerospace and Defense Industry and Education Curriculum</t>
        </is>
      </c>
      <c r="AJ20" s="2" t="inlineStr">
        <is>
          <t>Fluid dynamics, turbulence, reacting and non-reacting flows Aerospace and Defense Industry and Education Curriculum</t>
        </is>
      </c>
      <c r="AK20" s="2" t="inlineStr">
        <is>
          <t>MS &amp; PhD, Aerospace Engineering, University Michigan, 2004 BS, Aerospace Engineering, University of Southern California, 1995</t>
        </is>
      </c>
      <c r="AL20" s="2" t="inlineStr">
        <is>
          <t>Indiana Space Grant Consortium</t>
        </is>
      </c>
      <c r="AM20" s="3">
        <f>HYPERLINK("https://insgc.spacegrant.org/", "https://insgc.spacegrant.org/")</f>
        <v/>
      </c>
      <c r="AN20" s="2" t="inlineStr">
        <is>
          <t>Academic INSGC Internships</t>
        </is>
      </c>
      <c r="AO20" s="2" t="inlineStr"/>
      <c r="AP20" s="2" t="inlineStr"/>
      <c r="AQ20" s="2" t="inlineStr">
        <is>
          <t>NASA</t>
        </is>
      </c>
      <c r="AR20" s="2" t="inlineStr"/>
      <c r="AS20" s="2" t="inlineStr"/>
      <c r="AT20" s="2" t="inlineStr">
        <is>
          <t>ARMS 3211</t>
        </is>
      </c>
      <c r="AU20" s="2" t="b">
        <v>1</v>
      </c>
      <c r="AV20" s="3">
        <f>HYPERLINK("https://engineering.purdue.edu/AAE/people/Faculty", "https://engineering.purdue.edu/AAE/people/Faculty")</f>
        <v/>
      </c>
    </row>
    <row r="21">
      <c r="A21" s="2" t="inlineStr">
        <is>
          <t>Luciano Castillo</t>
        </is>
      </c>
      <c r="B21" s="2" t="inlineStr">
        <is>
          <t>Purdue University</t>
        </is>
      </c>
      <c r="C21" s="3">
        <f>HYPERLINK("https://engineering.purdue.edu/ME/People/ptProfile?resource_id=173054", "https://engineering.purdue.edu/ME/People/ptProfile?resource_id=173054")</f>
        <v/>
      </c>
      <c r="D21" s="3">
        <f>HYPERLINK("https://scholar.google.com/citations?view_op=search_authors&amp;mauthors=Luciano%20Castillo%20Purdue%20University", "Google Scholar Search")</f>
        <v/>
      </c>
      <c r="E21" s="2" t="inlineStr">
        <is>
          <t>Kenninger Professor of Renewable Energy and Power Systems</t>
        </is>
      </c>
      <c r="F21" s="2" t="inlineStr">
        <is>
          <t>Mechanical Engineering</t>
        </is>
      </c>
      <c r="G21" s="2" t="inlineStr"/>
      <c r="H21" s="3">
        <f>HYPERLINK("mailto:lcastillo@purdue.edu", "lcastillo@purdue.edu")</f>
        <v/>
      </c>
      <c r="I21" s="2" t="n">
        <v>1</v>
      </c>
      <c r="J21" s="2" t="inlineStr">
        <is>
          <t>🔵 Tier 1: Core Aero / Fluids / Propulsion</t>
        </is>
      </c>
      <c r="K21" s="2" t="n">
        <v>6</v>
      </c>
      <c r="L21" s="2" t="inlineStr">
        <is>
          <t>boundary layer, fluid mechanics, thermal, thermodynamics, turbulence, turbulent</t>
        </is>
      </c>
      <c r="M21" s="2" t="inlineStr">
        <is>
          <t>Turbulent boundary layers under pressure gradients and surface roughness, wind turbine wake aerodynamics, wind farm power optimization, and direct air CO2 capture.</t>
        </is>
      </c>
      <c r="N21" s="2" t="inlineStr">
        <is>
          <t>Wind Tunnel PIV, Hot-Wire Anemometry, Atmospheric Boundary Layer Solvers, Wind Farm LES, Multi-Objective Optimization Algorithms</t>
        </is>
      </c>
      <c r="O21" s="2" t="inlineStr">
        <is>
          <t>Simultaneous electricity generation and low-energy-intensive water desalination using a hydraulic wind turbine</t>
        </is>
      </c>
      <c r="P21" s="3">
        <f>HYPERLINK("https://doi.org/10.1016/j.desal.2025.118526", "https://doi.org/10.1016/j.desal.2025.118526")</f>
        <v/>
      </c>
      <c r="Q21" s="2" t="inlineStr">
        <is>
          <t>coupling wind turbine rotor aerodynamics directly with a hydraulic pumping system, demonstrating that direct mechanical fluid pressurization eliminates electrical conversion losses and improves overall desalination efficiency by 14%.</t>
        </is>
      </c>
      <c r="R21" s="2" t="inlineStr">
        <is>
          <t>This study presents a novel hydraulic wind turbine system capable of simultaneous renewable electricity generation and seawater reverse-osmosis desalination without electric transmission losses. High-pressure hydraulic pumps directly driven by the turbine rotor pressurize seawater above osmotic pressure thresholds. Aerodynamic turbine blade modeling coupled with hydraulic circuit analysis proves that mechanical energy conversion efficiency exceeds conventional wind-to-electric-to-hydraulic systems by 14%, reducing specific energy consumption for fresh water production.</t>
        </is>
      </c>
      <c r="S21" s="2" t="inlineStr">
        <is>
          <t>Polluted-Air Direct Capture Using a CO2 Liquid Filter</t>
        </is>
      </c>
      <c r="T21" s="3">
        <f>HYPERLINK("https://doi.org/10.1007/978-3-032-07974-9_3", "https://doi.org/10.1007/978-3-032-07974-9_3")</f>
        <v/>
      </c>
      <c r="U21" s="2" t="inlineStr">
        <is>
          <t>designing turbulent liquid-film contactors for direct air CO2 capture, demonstrating that induced boundary-layer vortex structures enhance gas-liquid mass transfer rates by 28% at constant pressure loss.</t>
        </is>
      </c>
      <c r="V21" s="2" t="inlineStr">
        <is>
          <t>Direct air capture of carbon dioxide requires energy-efficient contactor designs that maximize gas-liquid mass transfer while minimizing fan power consumption. A liquid-film contactor geometry was designed and evaluated using multiphase flow simulations and experimental test sections. By inducing controlled turbulent vortex structures in the air stream, interfacial mass transfer was enhanced by 28% without increasing pressure drop across the capture filter.</t>
        </is>
      </c>
      <c r="W21" s="2" t="inlineStr">
        <is>
          <t>1. Simultaneous electricity generation and low-energy-intensive water desalination using a hydraulic wind turbine (Desalination, 2025) [DOI: https://doi.org/10.1016/j.desal.2025.118526] | 2. Polluted-Air Direct Capture Using a CO2 Liquid Filter (Springer / Sustainable Energy, 2026) [DOI: https://doi.org/10.1007/978-3-032-07974-9_3]</t>
        </is>
      </c>
      <c r="X21" s="3">
        <f>HYPERLINK("https://doi.org/10.1016/j.desal.2025.118526", "https://doi.org/10.1016/j.desal.2025.118526 | https://doi.org/10.1007/978-3-032-07974-9_3")</f>
        <v/>
      </c>
      <c r="Y21" s="2" t="inlineStr">
        <is>
          <t>coupling wind turbine rotor aerodynamics directly with a hydraulic pumping system, demonstrating that direct mechanical fluid pressurization eliminates electrical conversion losses and improves overall desalination efficiency by 14%.</t>
        </is>
      </c>
      <c r="Z21" s="2" t="inlineStr"/>
      <c r="AA21" s="2" t="inlineStr">
        <is>
          <t>"Polluted-Air Direct Capture Using a $$\textrm{CO}_2$$ Liquid Filter" (2026) [DOI: https://doi.org/10.1007/978-3-032-07974-9_3] | "Quantification Methodology of Offshore and Onshore Sargassum in Eastern Puerto Rico" (2026) [DOI: https://doi.org/10.1007/978-3-032-07974-9_31] | "Building Future Engineers: Students’ Engagement with the Engineering Design Process" (2026) [DOI: https://doi.org/10.1007/978-3-032-07974-9_39] | "Framework for Estimation of $$\textrm{CO}_2$$ Sequestration from Sargassum Using Remote Sensing and Neural Networks" (2026) [DOI: https://doi.org/10.1007/978-3-032-07974-9_28] | "Simultaneous electricity generation and low-energy-intensive water desalination using a hydraulic wind turbine" [Desalination] (2025) [DOI: https://doi.org/10.1016/j.desal.2025.118526]</t>
        </is>
      </c>
      <c r="AB21" s="2" t="inlineStr">
        <is>
          <t>"Zero-Pressure-Gradient Turbulent Boundary Layer" [Applied Mechanics Reviews] (1997, 390 cites) [DOI: https://doi.org/10.1115/1.3101858] | "Experimental study of the horizontally averaged flow structure in a model wind-turbine array boundary layer" [Journal of Renewable and Sustainable Energy] (2010, 356 cites) [DOI: https://doi.org/10.1063/1.3289735] | "Unrestricted wind farm layout optimization (UWFLO): Investigating key factors influencing the maximum power generation" [Renewable Energy] (2011, 339 cites) [DOI: https://doi.org/10.1016/j.renene.2011.06.033]</t>
        </is>
      </c>
      <c r="AC21" s="2" t="inlineStr"/>
      <c r="AD21" s="2" t="inlineStr">
        <is>
          <t>Outstanding Mechanical Engineers Distinguished Engineering Alumni Honorary Doctorates Staff Awards Student Awards Distinguished...</t>
        </is>
      </c>
      <c r="AE21" s="2" t="inlineStr"/>
      <c r="AF21" s="2" t="inlineStr">
        <is>
          <t>Fluid Dynamics and Turbulent Flows (199) | Wind and Air Flow Studies (116) | Heat Transfer Mechanisms (72)</t>
        </is>
      </c>
      <c r="AG21" s="2" t="inlineStr">
        <is>
          <t>Fluid Dynamics and Turbulent Flows (199) | Wind and Air Flow Studies (116) | Heat Transfer Mechanisms (72)</t>
        </is>
      </c>
      <c r="AH21" s="2" t="inlineStr">
        <is>
          <t>Modeling, Experiments and Simulations of turbulent boundary layers: role of initial conditions and bio-inspired micro-surfaces on evolution of velocity/thermal fields. Importance of turbulence and complex topography on wind energy. Integration of renewable with water and thermal storage. Translational research focus on renewable energy &amp; society Wall interaction (e.g., bio-inspired micro surfaces) in respiratory flows Big data in turbulence, renewable energy and biomedical engineering. Energy and social equality</t>
        </is>
      </c>
      <c r="AI21" s="2" t="inlineStr">
        <is>
          <t>Thermodynamics Fluid Mechanics Heat &amp; Mass Transfer</t>
        </is>
      </c>
      <c r="AJ21" s="2" t="inlineStr">
        <is>
          <t>Thermodynamics Fluid Mechanics Heat &amp; Mass Transfer</t>
        </is>
      </c>
      <c r="AK21" s="2" t="inlineStr"/>
      <c r="AL21" s="2" t="inlineStr">
        <is>
          <t>Blue Integrated Partnerships</t>
        </is>
      </c>
      <c r="AM21" s="3">
        <f>HYPERLINK("https://blueintegratedpartners.org/", "https://blueintegratedpartners.org/")</f>
        <v/>
      </c>
      <c r="AN21" s="2" t="inlineStr"/>
      <c r="AO21" s="2" t="inlineStr"/>
      <c r="AP21" s="2" t="inlineStr">
        <is>
          <t>Cluster</t>
        </is>
      </c>
      <c r="AQ21" s="2" t="inlineStr"/>
      <c r="AR21" s="2" t="inlineStr"/>
      <c r="AS21" s="2" t="inlineStr"/>
      <c r="AT21" s="2" t="inlineStr"/>
      <c r="AU21" s="2" t="b">
        <v>1</v>
      </c>
      <c r="AV21" s="3">
        <f>HYPERLINK("https://engineering.purdue.edu/ME/People/ptFaculty", "https://engineering.purdue.edu/ME/People/ptFaculty")</f>
        <v/>
      </c>
    </row>
    <row r="22">
      <c r="A22" s="2" t="inlineStr">
        <is>
          <t>Robert Lucht</t>
        </is>
      </c>
      <c r="B22" s="2" t="inlineStr">
        <is>
          <t>Purdue University</t>
        </is>
      </c>
      <c r="C22" s="3">
        <f>HYPERLINK("https://engineering.purdue.edu/AAE/people/ptProfile?resource_id=28413", "https://engineering.purdue.edu/AAE/people/ptProfile?resource_id=28413")</f>
        <v/>
      </c>
      <c r="D22" s="3">
        <f>HYPERLINK("https://scholar.google.com/citations?view_op=search_authors&amp;mauthors=Robert%20Lucht%20Purdue%20University", "Google Scholar Search")</f>
        <v/>
      </c>
      <c r="E22" s="2" t="inlineStr">
        <is>
          <t>Ralph and Bettye Bailey Distinguished Professor of Mechanical Engineering</t>
        </is>
      </c>
      <c r="F22" s="2" t="inlineStr">
        <is>
          <t>Aeronautics and Astronautics</t>
        </is>
      </c>
      <c r="G22" s="2" t="inlineStr"/>
      <c r="H22" s="3">
        <f>HYPERLINK("mailto:lucht@purdue.edu", "lucht@purdue.edu")</f>
        <v/>
      </c>
      <c r="I22" s="2" t="n">
        <v>1</v>
      </c>
      <c r="J22" s="2" t="inlineStr">
        <is>
          <t>🔵 Tier 1: Core Aero / Fluids / Propulsion</t>
        </is>
      </c>
      <c r="K22" s="2" t="n">
        <v>6</v>
      </c>
      <c r="L22" s="2" t="inlineStr">
        <is>
          <t>combustion, fluid mechanics, heat transfer, materials, propulsion, thermodynamics</t>
        </is>
      </c>
      <c r="M22" s="2" t="inlineStr">
        <is>
          <t>Ultrafast laser spectroscopy (fs/ps coherent anti-Stokes Raman scattering - CARS), diode-laser absorption sensors, and optical diagnostics of high-pressure combustion and hypersonics.</t>
        </is>
      </c>
      <c r="N22" s="2" t="inlineStr">
        <is>
          <t>Femtosecond/Picosecond CARS, Chirped-Probe Pulse (CPP) CARS, Dual-Pump CARS (DPCARS), High-Pressure Combustor Test Rigs, High-Speed Spectrometers</t>
        </is>
      </c>
      <c r="O22" s="2" t="inlineStr">
        <is>
          <t>One-dimensional time-resolved single-shot femtosecond coherent anti-Stokes Raman scattering thermometry in reacting thermal gradients</t>
        </is>
      </c>
      <c r="P22" s="3">
        <f>HYPERLINK("https://doi.org/10.1364/ao.583207", "https://doi.org/10.1364/ao.583207")</f>
        <v/>
      </c>
      <c r="Q22" s="2" t="inlineStr">
        <is>
          <t>developing 1D single-shot chirped-probe pulse coherent anti-Stokes Raman scattering (CARS) thermometry, resolving steep spatiotemporal thermal gradients across reacting turbulent flame fronts with sub-millimeter spatial resolution.</t>
        </is>
      </c>
      <c r="R22" s="2" t="inlineStr">
        <is>
          <t>Time-resolved thermometry is vital for quantitative characterization of reacting turbulent flows but remains largely limited to point measurements, making higher-dimensional approaches attractive for capturing spatiotemporal thermal gradients. In this work, a one-dimensional chirped-probe pulse coherent anti-Stokes Raman scattering (CPP-CARS) technique is developed to perform single-shot temperature measurements along a line in reacting flow environments. Using a high-energy femtosecond laser system and cylindrical focusing optics, spatial temperature profiles across flame fronts were resolved with sub-millimeter spatial resolution and kHz repetition rates.</t>
        </is>
      </c>
      <c r="S22" s="2" t="inlineStr">
        <is>
          <t>Coherent Stokes Raman Scattering for Simultaneous Measurement of CO 2 and CH 4 Temperatures</t>
        </is>
      </c>
      <c r="T22" s="3">
        <f>HYPERLINK("https://doi.org/10.1002/jrs.70176", "https://doi.org/10.1002/jrs.70176")</f>
        <v/>
      </c>
      <c r="U22" s="2" t="inlineStr">
        <is>
          <t>implementing hybrid fs/ps coherent Stokes Raman scattering across methane/air diffusion flames, achieving simultaneous and decoupled temperature measurements of CO2 and CH4 from a single laser shot.</t>
        </is>
      </c>
      <c r="V22" s="2" t="inlineStr">
        <is>
          <t>Experimental measurements of fuel and flame temperatures in a methane/air co-flow diffusion flame are performed using coherent Stokes Raman scattering. A three-beam hybrid fs/ps configuration is employed such that the excitation bandwidth of the ultrafast pulses includes the rovibrational transitions of both CO2 and CH4 molecules. By fitting experimental spectral signatures with numerical molecular Raman models, simultaneous and independent temperature determinations from both species are demonstrated across strong non-premixed reacting gradients.</t>
        </is>
      </c>
      <c r="W22" s="2" t="inlineStr">
        <is>
          <t>1. One-dimensional time-resolved single-shot femtosecond coherent anti-Stokes Raman scattering thermometry in reacting thermal gradients (Applied Optics, 2026) [DOI: https://doi.org/10.1364/ao.583207] | 2. Coherent Stokes Raman Scattering for Simultaneous Measurement of CO 2 and CH 4 Temperatures (Journal of Raman Spectroscopy, 2026) [DOI: https://doi.org/10.1002/jrs.70176]</t>
        </is>
      </c>
      <c r="X22" s="3">
        <f>HYPERLINK("https://doi.org/10.1364/ao.583207", "https://doi.org/10.1364/ao.583207 | https://doi.org/10.1002/jrs.70176")</f>
        <v/>
      </c>
      <c r="Y22" s="2" t="inlineStr">
        <is>
          <t>developing 1D single-shot chirped-probe pulse coherent anti-Stokes Raman scattering (CARS) thermometry, resolving steep spatiotemporal thermal gradients across reacting turbulent flame fronts with sub-millimeter spatial resolution.</t>
        </is>
      </c>
      <c r="Z22" s="2" t="inlineStr"/>
      <c r="AA22" s="2" t="inlineStr">
        <is>
          <t>"Coherent Stokes Raman Scattering for Simultaneous Measurement of CO 2 and CH 4 Temperatures" [Journal of Raman Spectroscopy] (2026) [DOI: https://doi.org/10.1002/jrs.70176] | "One-dimensional time-resolved single-shot femtosecond coherent anti-Stokes Raman scattering thermometry in reacting thermal gradients" [Applied Optics] (2026) [DOI: https://doi.org/10.1364/ao.583207] | "Methodology for Unsteady Exhaust Emissions Characterization in High-Pressure Hydrogen–Ammonia–Methane Flames" (2026) [DOI: https://doi.org/10.2514/6.2026-1621] | "CUBRC 48” Tunnel Hypersonic Ground Testing of NOSpec" (2026) [DOI: https://doi.org/10.2514/6.2026-0872] | "Investigation of NH 3 -H 2 Counterflow Diffusion Flames Using Dual-Pump Coherent Anti-Stokes Raman Scattering (DPCARS)" (2026) [DOI: https://doi.org/10.2514/6.2026-2092]</t>
        </is>
      </c>
      <c r="AB22" s="2" t="inlineStr">
        <is>
          <t>"Nitrogen and hydrogen CARS temperature measurements in a hydrogen/air flame using a near-adiabatic flat-flame burner" [Combustion and Flame] (1997, 191 cites) [DOI: https://doi.org/10.1016/s0010-2180(96)00191-5] | "Mixing of a Sonic Transverse Jet Injected into a Supersonic Flow" [AIAA Journal] (2000, 179 cites) [DOI: https://doi.org/10.2514/2.984] | "Label-Free Bond-Selective Imaging by Listening to Vibrationally Excited Molecules" [Physical Review Letters] (2011, 167 cites) [DOI: https://doi.org/10.1103/physrevlett.106.238106]</t>
        </is>
      </c>
      <c r="AC22" s="2" t="inlineStr"/>
      <c r="AD22" s="2" t="inlineStr"/>
      <c r="AE22" s="2" t="inlineStr"/>
      <c r="AF22" s="2" t="inlineStr">
        <is>
          <t>Combustion and flame dynamics (241) | Spectroscopy and Laser Applications (186) | Advanced Combustion Engine Technologies (114)</t>
        </is>
      </c>
      <c r="AG22" s="2" t="inlineStr">
        <is>
          <t>Combustion and flame dynamics (241) | Spectroscopy and Laser Applications (186) | Advanced Combustion Engine Technologies (114)</t>
        </is>
      </c>
      <c r="AH22" s="2" t="inlineStr">
        <is>
          <t>Laser diagnostics Diode-laser-based sensors Gas turbine and internal engine combustion Materials processing and synthesis Combustion science Fluid mechanics and heat transfer</t>
        </is>
      </c>
      <c r="AI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J22" s="2" t="inlineStr">
        <is>
          <t>Combustion, Energy Utilization, and Thermodynamics Fluid Mechanics &amp; Propulsion Systems, Measurement, and Control Research Links Personal Homepage Faculty Research Presentation Edit var myPronunciation=document.getElementById("pronunciation");
    function play() {
    myPronunciation.play();
    }
    function pause() {
    myPronunciation.pause();
    }</t>
        </is>
      </c>
      <c r="AK22" s="2" t="inlineStr">
        <is>
          <t>Ph.D., Purdue, 1981 M.S., Purdue, 1979 B.S., Purdue, 1977</t>
        </is>
      </c>
      <c r="AL22" s="2" t="inlineStr">
        <is>
          <t>Indiana Space Grant Consortium</t>
        </is>
      </c>
      <c r="AM22" s="3">
        <f>HYPERLINK("https://insgc.spacegrant.org/", "https://insgc.spacegrant.org/")</f>
        <v/>
      </c>
      <c r="AN22" s="2" t="inlineStr">
        <is>
          <t>Academic INSGC Internships</t>
        </is>
      </c>
      <c r="AO22" s="2" t="inlineStr"/>
      <c r="AP22" s="2" t="inlineStr"/>
      <c r="AQ22" s="2" t="inlineStr">
        <is>
          <t>NASA</t>
        </is>
      </c>
      <c r="AR22" s="2" t="inlineStr"/>
      <c r="AS22" s="2" t="inlineStr"/>
      <c r="AT22" s="2" t="inlineStr"/>
      <c r="AU22" s="2" t="b">
        <v>1</v>
      </c>
      <c r="AV22" s="3">
        <f>HYPERLINK("https://engineering.purdue.edu/AAE/people/Faculty", "https://engineering.purdue.edu/AAE/people/Faculty")</f>
        <v/>
      </c>
    </row>
    <row r="23">
      <c r="A23" s="2" t="inlineStr">
        <is>
          <t>Sadegh Dabiri</t>
        </is>
      </c>
      <c r="B23" s="2" t="inlineStr">
        <is>
          <t>Purdue University</t>
        </is>
      </c>
      <c r="C23" s="3">
        <f>HYPERLINK("https://engineering.purdue.edu/ME/People/ptProfile?resource_id=105717", "https://engineering.purdue.edu/ME/People/ptProfile?resource_id=105717")</f>
        <v/>
      </c>
      <c r="D23" s="3">
        <f>HYPERLINK("https://scholar.google.com/citations?view_op=search_authors&amp;mauthors=Sadegh%20Dabiri%20Purdue%20University", "Google Scholar Search")</f>
        <v/>
      </c>
      <c r="E23" s="2" t="inlineStr">
        <is>
          <t>Associate Professor of Agricultural and Biological Engineering, and Mechanical Engineering</t>
        </is>
      </c>
      <c r="F23" s="2" t="inlineStr">
        <is>
          <t>Mechanical Engineering</t>
        </is>
      </c>
      <c r="G23" s="2" t="inlineStr"/>
      <c r="H23" s="3">
        <f>HYPERLINK("mailto:dabiri@purdue.edu", "dabiri@purdue.edu")</f>
        <v/>
      </c>
      <c r="I23" s="2" t="n">
        <v>1</v>
      </c>
      <c r="J23" s="2" t="inlineStr">
        <is>
          <t>🔵 Tier 1: Core Aero / Fluids / Propulsion</t>
        </is>
      </c>
      <c r="K23" s="2" t="n">
        <v>6</v>
      </c>
      <c r="L23" s="2" t="inlineStr">
        <is>
          <t>aerospace, cfd, fluid mechanics, heat transfer, multiphase flow, turbulent</t>
        </is>
      </c>
      <c r="M23" s="2" t="inlineStr">
        <is>
          <t>Multiphase flow simulation, bubble and droplet dynamics, cavitation inception, interface-tracking algorithms, and discrete least squares meshfree methods.</t>
        </is>
      </c>
      <c r="N23" s="2" t="inlineStr">
        <is>
          <t>Front-Tracking Methods, Volume-of-Fluid (VOF), Discrete Least Squares Meshfree (DLSM) Methods, High-Speed Cavitation Imaging, Multiphase DNS</t>
        </is>
      </c>
      <c r="O23" s="2" t="inlineStr">
        <is>
          <t>Perivascular interactions and tissue properties modulate directional glymphatic transport in the brain</t>
        </is>
      </c>
      <c r="P23" s="3">
        <f>HYPERLINK("https://doi.org/10.1186/s12987-025-00668-3", "https://doi.org/10.1186/s12987-025-00668-3")</f>
        <v/>
      </c>
      <c r="Q23" s="2" t="inlineStr">
        <is>
          <t>modeling pulsatile perivascular flow coupled with porous tissue mechanics, demonstrating that arterial wall compliance and channel hydraulic resistance disparities dictate net directional fluid convection through brain tissue.</t>
        </is>
      </c>
      <c r="R23" s="2" t="inlineStr">
        <is>
          <t>The glymphatic system facilitates metabolic waste clearance in the brain through convective fluid transport in perivascular spaces. Using high-resolution computational fluid dynamics coupled with porous brain parenchyma mechanics, we model the convective flow driven by arterial wall pulsations. Simulations demonstrate that directional fluid transport is governed by the hydraulic resistance disparity between periarterial and perivenous channels, proving that vascular compliance modulates net convective clearance rates.</t>
        </is>
      </c>
      <c r="S23" s="2" t="inlineStr">
        <is>
          <t>A model for a laser-induced cavitation bubble</t>
        </is>
      </c>
      <c r="T23" s="3">
        <f>HYPERLINK("https://doi.org/10.1016/j.ijmultiphaseflow.2020.103433", "https://doi.org/10.1016/j.ijmultiphaseflow.2020.103433")</f>
        <v/>
      </c>
      <c r="U23" s="2" t="inlineStr">
        <is>
          <t>simulating laser-induced cavitation bubble collapse near boundaries with compressible interface tracking, resolving shock wave emission and high-speed liquid microjets exceeding 100 m/s that drive surface erosion.</t>
        </is>
      </c>
      <c r="V23" s="2" t="inlineStr">
        <is>
          <t>A computational model is developed to investigate the dynamic expansion, collapse, and liquid-jet rebound of laser-induced cavitation bubbles near solid and compliant boundaries. A compressible multiphase solver tracking the gas-liquid interface captures acoustic shock emission upon bubble collapse. Results quantify the peak impact pressures and high-speed liquid microjets (exceeding 100 m/s) impinging on the boundary, establishing damage criteria for hydraulic and biomedical equipment.</t>
        </is>
      </c>
      <c r="W23" s="2" t="inlineStr">
        <is>
          <t>1. Perivascular interactions and tissue properties modulate directional glymphatic transport in the brain (Fluids and Barriers of the CNS, 2025) [DOI: https://doi.org/10.1186/s12987-025-00668-3] | 2. A model for a laser-induced cavitation bubble (International Journal of Multiphase Flow, 2020) [DOI: https://doi.org/10.1016/j.ijmultiphaseflow.2020.103433]</t>
        </is>
      </c>
      <c r="X23" s="3">
        <f>HYPERLINK("https://doi.org/10.1186/s12987-025-00668-3", "https://doi.org/10.1186/s12987-025-00668-3 | https://doi.org/10.1016/j.ijmultiphaseflow.2020.103433")</f>
        <v/>
      </c>
      <c r="Y23" s="2" t="inlineStr">
        <is>
          <t>modeling pulsatile perivascular flow coupled with porous tissue mechanics, demonstrating that arterial wall compliance and channel hydraulic resistance disparities dictate net directional fluid convection through brain tissue.</t>
        </is>
      </c>
      <c r="Z23" s="2" t="inlineStr"/>
      <c r="AA23" s="2" t="inlineStr">
        <is>
          <t>"Raman microscopy and FTIR spectroscopy of protein-attached chromatography resins for process analytical technology (PAT)" [ChemRxiv] (2026) [DOI: https://doi.org/10.26434/chemrxiv.15001003/v1] | "Perivascular interactions and tissue properties modulate directional glymphatic transport in the brain" [Fluids and Barriers of the CNS] (2025) [DOI: https://doi.org/10.1186/s12987-025-00668-3] | "An arbitrary Lagrangian discrete least squares meshfree method for discontinuity capturing with application in the Saint–Venant equations" [Engineering With Computers] (2025) [DOI: https://doi.org/10.1007/s00366-025-02140-0] | "An arbitrary Lagrangian discrete least squares meshfree method for discontinuity capturing with application in the Saint–Venant equations" [Utrecht University Repository (Utrecht University)] (2025) [DOI: https://dspace.library.uu.nl/handle/1874/476503] | "Autoinjector optimization through cavitation response and severity minimization" [International Journal of Pharmaceutics] (2024) [DOI: https://doi.org/10.1016/j.ijpharm.2024.124888]</t>
        </is>
      </c>
      <c r="AB23" s="2" t="inlineStr">
        <is>
          <t>"Fully resolved numerical simulations of fused deposition modeling. Part I: fluid flow" [Rapid Prototyping Journal] (2018, 138 cites) [DOI: https://doi.org/10.1108/rpj-12-2016-0217] | "A model for a laser-induced cavitation bubble" [International Journal of Multiphase Flow] (2020, 96 cites) [DOI: https://doi.org/10.1016/j.ijmultiphaseflow.2020.103433] | "Cavitation in an orifice flow" [Physics of Fluids] (2007, 75 cites) [DOI: https://doi.org/10.1063/1.2750655]</t>
        </is>
      </c>
      <c r="AC23" s="2" t="inlineStr"/>
      <c r="AD23" s="2" t="inlineStr">
        <is>
          <t>Outstanding Mechanical Engineers Distinguished Engineering Alumni Honorary Doctorates Staff Awards Student Awards Distinguished...</t>
        </is>
      </c>
      <c r="AE23" s="2" t="inlineStr"/>
      <c r="AF23" s="2" t="inlineStr">
        <is>
          <t>Fluid Dynamics and Mixing (31) | Fluid Dynamics and Heat Transfer (29) | Particle Dynamics in Fluid Flows (11)</t>
        </is>
      </c>
      <c r="AG23" s="2" t="inlineStr">
        <is>
          <t>Fluid Dynamics and Mixing (31) | Fluid Dynamics and Heat Transfer (29) | Particle Dynamics in Fluid Flows (11)</t>
        </is>
      </c>
      <c r="AH23" s="2" t="inlineStr">
        <is>
          <t>CFD of multiphase flows Turbulent gas-liquid flows Cavitation Heat transfer</t>
        </is>
      </c>
      <c r="AI23" s="2" t="inlineStr">
        <is>
          <t>Fluid Mechanics Heat &amp; Mass Transfer</t>
        </is>
      </c>
      <c r="AJ23" s="2" t="inlineStr">
        <is>
          <t>Fluid Mechanics Heat &amp; Mass Transfer</t>
        </is>
      </c>
      <c r="AK23" s="2" t="inlineStr">
        <is>
          <t>Postdoctoral Associate, Mechanical Eng., MIT, '09-'10 Ph.D. Aerospace and Mechanical Eng., UC Irvine,  '09 M.Sc. Aerospace and Mechanical Eng., UC Irvine,  '05 B.Sc. Mechanical Eng., Sharif University of Technology, Iran, '03</t>
        </is>
      </c>
      <c r="AL23" s="2" t="inlineStr">
        <is>
          <t>Personal Homepage</t>
        </is>
      </c>
      <c r="AM23" s="3">
        <f>HYPERLINK("http://web.ics.purdue.edu/~sdabiris/", "http://web.ics.purdue.edu/~sdabiris/")</f>
        <v/>
      </c>
      <c r="AN23" s="2" t="inlineStr"/>
      <c r="AO23" s="2" t="inlineStr"/>
      <c r="AP23" s="2" t="inlineStr"/>
      <c r="AQ23" s="2" t="inlineStr"/>
      <c r="AR23" s="2" t="inlineStr"/>
      <c r="AS23" s="2" t="inlineStr"/>
      <c r="AT23" s="2" t="inlineStr"/>
      <c r="AU23" s="2" t="b">
        <v>1</v>
      </c>
      <c r="AV23" s="3">
        <f>HYPERLINK("https://engineering.purdue.edu/ME/People/ptFaculty", "https://engineering.purdue.edu/ME/People/ptFaculty")</f>
        <v/>
      </c>
    </row>
    <row r="24">
      <c r="A24" s="2" t="inlineStr">
        <is>
          <t>Tom Shih</t>
        </is>
      </c>
      <c r="B24" s="2" t="inlineStr">
        <is>
          <t>Purdue University</t>
        </is>
      </c>
      <c r="C24" s="3">
        <f>HYPERLINK("https://engineering.purdue.edu/AAE/people/ptProfile?resource_id=56893", "https://engineering.purdue.edu/AAE/people/ptProfile?resource_id=56893")</f>
        <v/>
      </c>
      <c r="D24" s="3">
        <f>HYPERLINK("https://scholar.google.com/citations?view_op=search_authors&amp;mauthors=Tom%20Shih%20Purdue%20University", "Google Scholar Search")</f>
        <v/>
      </c>
      <c r="E24" s="2" t="inlineStr">
        <is>
          <t>Professor of Aeronautics and Astronautics</t>
        </is>
      </c>
      <c r="F24" s="2" t="inlineStr">
        <is>
          <t>Aeronautics and Astronautics</t>
        </is>
      </c>
      <c r="G24" s="2" t="inlineStr"/>
      <c r="H24" s="3">
        <f>HYPERLINK("mailto:tomshih@purdue.edu", "tomshih@purdue.edu")</f>
        <v/>
      </c>
      <c r="I24" s="2" t="n">
        <v>1</v>
      </c>
      <c r="J24" s="2" t="inlineStr">
        <is>
          <t>🔵 Tier 1: Core Aero / Fluids / Propulsion</t>
        </is>
      </c>
      <c r="K24" s="2" t="n">
        <v>6</v>
      </c>
      <c r="L24" s="2" t="inlineStr">
        <is>
          <t>cfd, computational fluid dynamics, estimation, fluid dynamics, heat transfer, thermal</t>
        </is>
      </c>
      <c r="M24" s="2" t="inlineStr">
        <is>
          <t>Turbine aerothermal cooling, film cooling fluid mechanics, rotating U-duct heat transfer, and outflow boundary conditions for rotating detonation combustors.</t>
        </is>
      </c>
      <c r="N24" s="2" t="inlineStr">
        <is>
          <t>Large-Eddy Simulation (LES / WALE), Steady and Unsteady RANS (SST), Film Cooling Facilities, High-Performance Computing, Transition Duct CFD</t>
        </is>
      </c>
      <c r="O24" s="2" t="inlineStr">
        <is>
          <t>Outflow Boundary Conditions for Turbine-Integrated Rotating Detonation Combustors</t>
        </is>
      </c>
      <c r="P24" s="3">
        <f>HYPERLINK("https://doi.org/10.3390/app152211922", "https://doi.org/10.3390/app152211922")</f>
        <v/>
      </c>
      <c r="Q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R24" s="2" t="inlineStr">
        <is>
          <t>This study examines outflow boundary conditions (BCs) in computational fluid dynamics (CFD) simulations of a transition duct with and without guide vanes that converts supersonic flow exiting a rotating detonation combustor (RDC) to subsonic flow to drive a turbine. Since the flow exiting the transition duct is highly unsteady and non-uniform, standard boundary condition formulations can induce artificial acoustic reflections. Non-reflecting characteristic boundary conditions are evaluated and shown to accurately capture the unsteady shock-expansion trains entering the turbine guide vanes.</t>
        </is>
      </c>
      <c r="S24" s="2" t="inlineStr">
        <is>
          <t>Revisiting Dimensionless Parameters Quantifying Film Cooling</t>
        </is>
      </c>
      <c r="T24" s="3">
        <f>HYPERLINK("https://doi.org/10.1115/1.4067931", "https://doi.org/10.1115/1.4067931")</f>
        <v/>
      </c>
      <c r="U24" s="2" t="inlineStr">
        <is>
          <t>performing dimensional analysis and RANS computations on gas turbine airfoil film cooling, demonstrating that scaling with momentum flux and velocity ratios collapses adiabatic effectiveness data across curved blade walls better than conventional blowing ratio parameterizations.</t>
        </is>
      </c>
      <c r="V24" s="2" t="inlineStr">
        <is>
          <t>The adiabatic effectiveness of film cooling (eta) has traditionally been characterized by density ratio and blowing ratio. In this study, dimensional analysis and computations based on Reynolds-averaged Navier-Stokes (RANS) were performed to identify and examine parameters needed to quantify film cooling effectiveness across diverse mainstream pressure gradients. Results reveal that incorporating momentum flux ratio and coolant-to-mainstream velocity ratio provides a more unified scaling law that collapses adiabatic effectiveness curves across both flat and highly curved turbine airfoil surfaces.</t>
        </is>
      </c>
      <c r="W24" s="2" t="inlineStr">
        <is>
          <t>1. Outflow Boundary Conditions for Turbine-Integrated Rotating Detonation Combustors (Applied Sciences, 2025) [DOI: https://doi.org/10.3390/app152211922] | 2. Revisiting Dimensionless Parameters Quantifying Film Cooling (Journal of Turbomachinery, 2025) [DOI: https://doi.org/10.1115/1.4067931]</t>
        </is>
      </c>
      <c r="X24" s="3">
        <f>HYPERLINK("https://doi.org/10.3390/app152211922", "https://doi.org/10.3390/app152211922 | https://doi.org/10.1115/1.4067931")</f>
        <v/>
      </c>
      <c r="Y24" s="2" t="inlineStr">
        <is>
          <t>evaluating non-reflecting outflow boundary conditions for RDC-to-turbine transition ducts, demonstrating that characteristic-based formulation eliminates spurious acoustic wave reflections and accurately captures unsteady supersonic-to-subsonic shock transitions.</t>
        </is>
      </c>
      <c r="Z24" s="2" t="inlineStr"/>
      <c r="AA24" s="2" t="inlineStr">
        <is>
          <t>"Outflow Boundary Conditions for Turbine-Integrated Rotating Detonation Combustors" [Applied Sciences] (2025) [DOI: https://doi.org/10.3390/app152211922] | "Revisiting Dimensionless Parameters Quantifying Film Cooling" [Journal of Turbomachinery] (2025) [DOI: https://doi.org/10.1115/1.4067931] | "Flow and Heat Transfer in a Ribbed Converging-Diverging U-Duct Under Rotating and Non-Rotating Conditions" [Journal of Turbomachinery] (2024) [DOI: https://doi.org/10.1115/1.4066567] | "Introduction to Advancement in Thermal Power Generation and Propulsion with Low/Zero CO 2 Emission Virtual Collection" [AIAA Journal] (2024) [DOI: https://doi.org/10.2514/1.j063542] | "Large-Eddy vs. Reynolds-Averaged Navier–Stokes Simulations of Flow and Heat Transfer in a U-Duct with Unsteady Flow Separation" [Energies] (2024) [DOI: https://doi.org/10.3390/en17102414]</t>
        </is>
      </c>
      <c r="AB24" s="2" t="inlineStr">
        <is>
          <t>"Mechanics of Fluids" [Medical Entomology and Zoology] (2012, 189 cites) [DOI: http://ci.nii.ac.jp/ncid/BA12971383] | "Single-phase and Two-phase Flow and Heat Transfer in Microchannel Heat Sink with Various Manifold Arrangements" [International Journal of Heat and Mass Transfer] (2021, 162 cites) [DOI: https://doi.org/10.1016/j.ijheatmasstransfer.2021.121118] | "Large-Eddy Simulations of Turbulent Flows in an Axisymmetric Dump Combustor" [AIAA Journal] (2008, 58 cites) [DOI: https://doi.org/10.2514/1.25467]</t>
        </is>
      </c>
      <c r="AC24" s="2" t="inlineStr"/>
      <c r="AD24" s="2" t="inlineStr">
        <is>
          <t>Honors Fellow, American Society of Mechanical Engineers (ASME) Fellow, American Institute of Aeronautics and Astronautics (AIAA...</t>
        </is>
      </c>
      <c r="AE24" s="2" t="inlineStr"/>
      <c r="AF24" s="2" t="inlineStr">
        <is>
          <t>Fluid Dynamics and Turbulent Flows (50) | Heat Transfer Mechanisms (45) | Computational Fluid Dynamics and Aerodynamics (33)</t>
        </is>
      </c>
      <c r="AG24" s="2" t="inlineStr">
        <is>
          <t>Fluid Dynamics and Turbulent Flows (50) | Heat Transfer Mechanisms (45) | Computational Fluid Dynamics and Aerodynamics (33)</t>
        </is>
      </c>
      <c r="AH24" s="2" t="inlineStr">
        <is>
          <t>computational fluid dynamics and heat transfer, error estimation in CFD, thermal management, gas turbine aero-thermal, control of shock-wave/boundary-layer interactions, aircraft icing</t>
        </is>
      </c>
      <c r="AI24" s="2" t="inlineStr"/>
      <c r="AJ24" s="2" t="inlineStr">
        <is>
          <t>computational fluid dynamics and heat transfer, error estimation in CFD, thermal management, gas turbine aero-thermal, control of shock-wave/boundary-layer interactions, aircraft icing</t>
        </is>
      </c>
      <c r="AK24" s="2" t="inlineStr">
        <is>
          <t>Freshman Year, West Virginia University, 1971-72 B.S.E., National Cheng Kung University, 1976 M.S.E., The University of Michigan, 1977 Ph.D., The University of Michigan, 1981</t>
        </is>
      </c>
      <c r="AL24" s="2" t="inlineStr">
        <is>
          <t>Indiana Space Grant Consortium</t>
        </is>
      </c>
      <c r="AM24" s="3">
        <f>HYPERLINK("https://insgc.spacegrant.org/", "https://insgc.spacegrant.org/")</f>
        <v/>
      </c>
      <c r="AN24" s="2" t="inlineStr">
        <is>
          <t>Academic INSGC Internships</t>
        </is>
      </c>
      <c r="AO24" s="2" t="inlineStr"/>
      <c r="AP24" s="2" t="inlineStr"/>
      <c r="AQ24" s="2" t="inlineStr">
        <is>
          <t>NASA</t>
        </is>
      </c>
      <c r="AR24" s="2" t="inlineStr"/>
      <c r="AS24" s="2" t="inlineStr"/>
      <c r="AT24" s="2" t="inlineStr">
        <is>
          <t>ARMS 3307</t>
        </is>
      </c>
      <c r="AU24" s="2" t="b">
        <v>1</v>
      </c>
      <c r="AV24" s="3">
        <f>HYPERLINK("https://engineering.purdue.edu/AAE/people/Faculty", "https://engineering.purdue.edu/AAE/people/Faculty")</f>
        <v/>
      </c>
    </row>
    <row r="25">
      <c r="A25" s="2" t="inlineStr">
        <is>
          <t>Kyle J. DeMars</t>
        </is>
      </c>
      <c r="B25" s="2" t="inlineStr">
        <is>
          <t>Purdue University</t>
        </is>
      </c>
      <c r="C25" s="3">
        <f>HYPERLINK("https://engineering.purdue.edu/AAE/people/ptProfile?resource_id=319705", "https://engineering.purdue.edu/AAE/people/ptProfile?resource_id=319705")</f>
        <v/>
      </c>
      <c r="D25" s="3">
        <f>HYPERLINK("https://scholar.google.com/citations?view_op=search_authors&amp;mauthors=Kyle%20J.%20DeMars%20Purdue%20University", "Google Scholar Search")</f>
        <v/>
      </c>
      <c r="E25" s="2" t="inlineStr">
        <is>
          <t>Professor</t>
        </is>
      </c>
      <c r="F25" s="2" t="inlineStr">
        <is>
          <t>Aeronautics and Astronautics</t>
        </is>
      </c>
      <c r="G25" s="2" t="inlineStr"/>
      <c r="H25" s="3">
        <f>HYPERLINK("mailto:kdemars@purdue.edu", "kdemars@purdue.edu")</f>
        <v/>
      </c>
      <c r="I25" s="2" t="n">
        <v>1</v>
      </c>
      <c r="J25" s="2" t="inlineStr">
        <is>
          <t>🔵 Tier 1: Core Aero / Fluids / Propulsion</t>
        </is>
      </c>
      <c r="K25" s="2" t="n">
        <v>5</v>
      </c>
      <c r="L25" s="2" t="inlineStr">
        <is>
          <t>aerospace, astrodynamics, autonomous, guidance, navigation</t>
        </is>
      </c>
      <c r="M25" s="2" t="inlineStr">
        <is>
          <t>Nonlinear orbital state estimation, Gaussian Mixture Probability Hypothesis Density (GM-PHD) filters, multi-target tracking, and space domain awareness in cislunar space.</t>
        </is>
      </c>
      <c r="N25" s="2" t="inlineStr">
        <is>
          <t>GM-PHD Multi-Target Filters, Equinoctial Orbital Propagators, Reproducing Kernel Hilbert Space (RKHS) Estimators, Directional Splitting Uncertainty Methods</t>
        </is>
      </c>
      <c r="O25" s="2" t="inlineStr">
        <is>
          <t>Cislunar State and Uncertainty Propagation via the Modified Generalized Equinoctial Orbital Elements</t>
        </is>
      </c>
      <c r="P25" s="3">
        <f>HYPERLINK("https://doi.org/10.48550/arxiv.2603.20110", "https://doi.org/10.48550/arxiv.2603.20110")</f>
        <v/>
      </c>
      <c r="Q25" s="2" t="inlineStr">
        <is>
          <t>propagating non-Gaussian cislunar orbital uncertainties via modified generalized equinoctial elements, demonstrating that equinoctial parameterization preserves probability density bounds over multi-revolution lunar transfer trajectories.</t>
        </is>
      </c>
      <c r="R25" s="2" t="inlineStr">
        <is>
          <t>The complex cislunar dynamical environment poses challenges for spacecraft navigation and Space Domain Awareness (SDA) operations, where the knowledge of current and future spacecraft states is essential. Conventional Cartesian Gaussian-based approaches degrade under the severe nonlinearities of three-body dynamics. This work introduces an uncertainty propagation formulation utilizing modified generalized equinoctial orbital elements, preventing non-physical probability dispersion growth and enabling accurate multi-day orbit determination.</t>
        </is>
      </c>
      <c r="S25" s="2" t="inlineStr">
        <is>
          <t>A framework for batch processing tracklets in the GM-PHD filter</t>
        </is>
      </c>
      <c r="T25" s="3">
        <f>HYPERLINK("https://doi.org/10.1016/j.asr.2025.11.124", "https://doi.org/10.1016/j.asr.2025.11.124")</f>
        <v/>
      </c>
      <c r="U25" s="2" t="inlineStr">
        <is>
          <t>incorporating batch optical tracklet measurements into the Gaussian Mixture PHD filter update, demonstrating robust multi-target orbit determination from sparse sensor data with significantly reduced false-alarm tracks.</t>
        </is>
      </c>
      <c r="V25" s="2" t="inlineStr">
        <is>
          <t>The objective of this article is to propose a framework for which tracklet data can be batch processed and used within the update step of the Gaussian Mixture Probability Hypothesis Density (GM-PHD) filter. A tracklet represents a sequence of sensor measurements associated with the same target. By incorporating batch measurement sets directly into the mixture update equations, the filter achieves robust initial orbit determination from sparse optical observations while drastically cutting computational complexity.</t>
        </is>
      </c>
      <c r="W25" s="2" t="inlineStr">
        <is>
          <t>1. Cislunar State and Uncertainty Propagation via the Modified Generalized Equinoctial Orbital Elements (arXiv / AAS, 2026) [DOI: https://doi.org/10.48550/arxiv.2603.20110] | 2. A framework for batch processing tracklets in the GM-PHD filter (Advances in Space Research, 2025) [DOI: https://doi.org/10.1016/j.asr.2025.11.124]</t>
        </is>
      </c>
      <c r="X25" s="3">
        <f>HYPERLINK("https://doi.org/10.48550/arxiv.2603.20110", "https://doi.org/10.48550/arxiv.2603.20110 | https://doi.org/10.1016/j.asr.2025.11.124")</f>
        <v/>
      </c>
      <c r="Y25" s="2" t="inlineStr">
        <is>
          <t>propagating non-Gaussian cislunar orbital uncertainties via modified generalized equinoctial elements, demonstrating that equinoctial parameterization preserves probability density bounds over multi-revolution lunar transfer trajectories.</t>
        </is>
      </c>
      <c r="Z25" s="2" t="inlineStr"/>
      <c r="AA25" s="2" t="inlineStr">
        <is>
          <t>"Cislunar State and Uncertainty Propagation via the Modified Generalized Equinoctial Orbital Elements" [arXiv (Cornell University)] (2026) [DOI: http://arxiv.org/abs/2603.20110]</t>
        </is>
      </c>
      <c r="AB25" s="2" t="inlineStr">
        <is>
          <t>"Cislunar State and Uncertainty Propagation via the Modified Generalized Equinoctial Orbital Elements" [arXiv (Cornell University)] (2026, 0 cites) [DOI: http://arxiv.org/abs/2603.20110]</t>
        </is>
      </c>
      <c r="AC25" s="2" t="inlineStr"/>
      <c r="AD25" s="2" t="inlineStr">
        <is>
          <t>AAS Fellow, 2024 AIAA Associate Fellow, 2021 Senior Editor, Journal of the Astronautical Sciences</t>
        </is>
      </c>
      <c r="AE25" s="2" t="inlineStr"/>
      <c r="AF25" s="2" t="inlineStr">
        <is>
          <t>Target Tracking and Data Fusion in Sensor Networks (1) | Spacecraft Dynamics and Control (1) | Space Satellite Systems and Control (1)</t>
        </is>
      </c>
      <c r="AG25" s="2" t="inlineStr">
        <is>
          <t>Target Tracking and Data Fusion in Sensor Networks (1) | Spacecraft Dynamics and Control (1) | Space Satellite Systems and Control (1)</t>
        </is>
      </c>
      <c r="AH25" s="2" t="inlineStr"/>
      <c r="AI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 pause() {
    myPronunciation.pause();
    }</t>
        </is>
      </c>
      <c r="AJ25" s="2" t="inlineStr">
        <is>
          <t>Space surveillance and space domain awareness; Astrodynamics; Orbit determination; Nonlinear uncertainty prediction; Bayesian filtering; Multitarget tracking; Attitude dynamics, determination, and control; Autonomous navigation, guidance, and control Edit var myPronunciation=document.getElementById("pronunciation");
    function play() {
    myPronunciation.play();
    }
    function...</t>
        </is>
      </c>
      <c r="AK25" s="2" t="inlineStr">
        <is>
          <t>Ph.D., The University of Texas at Austin, Aerospace Engineering, 2010 M.S.E., The University of Texas at Austin, Aerospace Engineering, 2007 B.S., The University of Texas at Austin, Aerospace Engineering, 2004</t>
        </is>
      </c>
      <c r="AL25" s="2" t="inlineStr">
        <is>
          <t>Indiana Space Grant Consortium</t>
        </is>
      </c>
      <c r="AM25" s="3">
        <f>HYPERLINK("https://insgc.spacegrant.org/", "https://insgc.spacegrant.org/")</f>
        <v/>
      </c>
      <c r="AN25" s="2" t="inlineStr">
        <is>
          <t>Academic INSGC Internships</t>
        </is>
      </c>
      <c r="AO25" s="2" t="inlineStr"/>
      <c r="AP25" s="2" t="inlineStr"/>
      <c r="AQ25" s="2" t="inlineStr">
        <is>
          <t>NASA</t>
        </is>
      </c>
      <c r="AR25" s="2" t="inlineStr"/>
      <c r="AS25" s="2" t="inlineStr"/>
      <c r="AT25" s="2" t="inlineStr">
        <is>
          <t>ARMS 3223</t>
        </is>
      </c>
      <c r="AU25" s="2" t="b">
        <v>1</v>
      </c>
      <c r="AV25" s="3">
        <f>HYPERLINK("https://engineering.purdue.edu/AAE/people/Faculty", "https://engineering.purdue.edu/AAE/people/Faculty")</f>
        <v/>
      </c>
    </row>
    <row r="26">
      <c r="A26" s="2" t="inlineStr">
        <is>
          <t>Li Qiao</t>
        </is>
      </c>
      <c r="B26" s="2" t="inlineStr">
        <is>
          <t>Purdue University</t>
        </is>
      </c>
      <c r="C26" s="3">
        <f>HYPERLINK("https://engineering.purdue.edu/AAE/people/ptProfile?resource_id=39640", "https://engineering.purdue.edu/AAE/people/ptProfile?resource_id=39640")</f>
        <v/>
      </c>
      <c r="D26" s="3">
        <f>HYPERLINK("https://scholar.google.com/citations?user=yFXFQPYAAAAJ&amp;hl=en", "Scholar (yFXFQPYAAAAJ)")</f>
        <v/>
      </c>
      <c r="E26" s="2" t="inlineStr">
        <is>
          <t>Professor, Associate Head for Engagement and Recognition</t>
        </is>
      </c>
      <c r="F26" s="2" t="inlineStr">
        <is>
          <t>Aeronautics and Astronautics</t>
        </is>
      </c>
      <c r="G26" s="2" t="inlineStr">
        <is>
          <t>yFXFQPYAAAAJ</t>
        </is>
      </c>
      <c r="H26" s="3">
        <f>HYPERLINK("mailto:lqiao@purdue.edu", "lqiao@purdue.edu")</f>
        <v/>
      </c>
      <c r="I26" s="2" t="n">
        <v>1</v>
      </c>
      <c r="J26" s="2" t="inlineStr">
        <is>
          <t>🔵 Tier 1: Core Aero / Fluids / Propulsion</t>
        </is>
      </c>
      <c r="K26" s="2" t="n">
        <v>5</v>
      </c>
      <c r="L26" s="2" t="inlineStr">
        <is>
          <t>aerospace, combustion, drone, propulsion, thermal</t>
        </is>
      </c>
      <c r="M26" s="2" t="inlineStr">
        <is>
          <t>Combustion kinetics of alternative and droplet fuels, nanofluid fuels with metal nanoparticles, turbulent jet ignition, and high-pressure flame propagation.</t>
        </is>
      </c>
      <c r="N26" s="2" t="inlineStr">
        <is>
          <t>High-Pressure Constant-Volume Combustion Chambers, Droplet Combustion Rigs, Schlieren Imaging, Planar Laser Diagnostics, Chemkin Chemical Kinetics</t>
        </is>
      </c>
      <c r="O26" s="2" t="inlineStr">
        <is>
          <t>On ignition mechanisms of premixed CH 4 /air and H 2 /air using a hot turbulent jet generated by pre-chamber combustion</t>
        </is>
      </c>
      <c r="P26" s="3">
        <f>HYPERLINK("https://doi.org/10.1016/j.applthermaleng.2016.06.070", "https://doi.org/10.1016/j.applthermaleng.2016.06.070")</f>
        <v/>
      </c>
      <c r="Q26" s="2" t="inlineStr">
        <is>
          <t>analyzing turbulent pre-chamber jet ignition across methane/air and hydrogen/air mixtures, demonstrating that active radical ejection from the nozzle reduces main-chamber ignition delay by over 60% compared to spark ignition.</t>
        </is>
      </c>
      <c r="R26" s="2" t="inlineStr">
        <is>
          <t>The ignition mechanisms of premixed methane/air and hydrogen/air mixtures by a hot turbulent jet generated by pre-chamber combustion were investigated. High-speed imaging and chemical kinetic simulations revealed that ignition is governed by the competing rates of turbulent mixing and chemical heat release, establishing operating boundaries for reliable pre-chamber jet ignition in lean-burn engines.</t>
        </is>
      </c>
      <c r="S26" s="2" t="inlineStr">
        <is>
          <t>Combustion characteristics of fuel droplets with addition of nano and micron-sized aluminum particles</t>
        </is>
      </c>
      <c r="T26" s="3">
        <f>HYPERLINK("https://doi.org/10.1016/j.combustflame.2009.11.011", "https://doi.org/10.1016/j.combustflame.2009.11.011")</f>
        <v/>
      </c>
      <c r="U26" s="2" t="inlineStr">
        <is>
          <t>investigating isolated droplet combustion containing suspended aluminum particles, demonstrating that nanoscale aluminum promotes microexplosions that disrupt droplet agglomeration and accelerate secondary fuel atomization.</t>
        </is>
      </c>
      <c r="V26" s="2" t="inlineStr">
        <is>
          <t>An experimental study was conducted to examine the combustion behavior of isolated liquid fuel droplets containing suspended nanoscale and microscale aluminum particles. The combustion process, including droplet burning rate, microexplosion, particle ignition, and agglomeration, was captured using high-speed photography. Nanoparticle addition significantly altered droplet surface tension and promoted microexplosions, leading to enhanced secondary atomization and complete metal burnout.</t>
        </is>
      </c>
      <c r="W26" s="2" t="inlineStr">
        <is>
          <t>1. On ignition mechanisms of premixed CH 4 /air and H 2 /air using a hot turbulent jet generated by pre-chamber combustion (Applied Thermal Engineering, 2016) [DOI: https://doi.org/10.1016/j.applthermaleng.2016.06.070] | 2. Combustion characteristics of fuel droplets with addition of nano and micron-sized aluminum particles (Combustion and Flame, 2010) [DOI: https://doi.org/10.1016/j.combustflame.2009.11.011]</t>
        </is>
      </c>
      <c r="X26" s="3">
        <f>HYPERLINK("https://doi.org/10.1016/j.applthermaleng.2016.06.070", "https://doi.org/10.1016/j.applthermaleng.2016.06.070 | https://doi.org/10.1016/j.combustflame.2009.11.011")</f>
        <v/>
      </c>
      <c r="Y26" s="2" t="inlineStr">
        <is>
          <t>analyzing turbulent pre-chamber jet ignition across methane/air and hydrogen/air mixtures, demonstrating that active radical ejection from the nozzle reduces main-chamber ignition delay by over 60% compared to spark ignition.</t>
        </is>
      </c>
      <c r="Z26" s="2" t="inlineStr"/>
      <c r="AA26" s="2" t="inlineStr">
        <is>
          <t>"Impact of Using Flame-Retardant Electrolyte Additives in Li-Ion Batteries: A Comprehensive Evaluation of Ethoxy (Pentafluoro) Cyclotriphosphazene (PFPN)" [Batteries] (2026) [DOI: https://doi.org/10.3390/batteries12080299] | "Real-time rocket motor internal flow field prediction based on hybrid POD and deep neural networks" [International Journal of Heat and Mass Transfer] (2025) [DOI: https://doi.org/10.1016/j.ijheatmasstransfer.2025.127587] | "Influence of Pre-Chamber Nozzle Orientation on Dilution Tolerance in a Constant-Volume Optical Engine" [SAE International Journal of Engines] (2025) [DOI: https://doi.org/10.4271/03-18-05-0031] | "Inside the search for sustainable aviation fuels, which are on the federal chopping block" (2025) [DOI: https://doi.org/10.64628/aai.xav9uumfu] | "Differential Modules Toward Derived Functors" [Frontiers of Mathematics] (2025) [DOI: https://doi.org/10.1007/s11464-022-0070-x]</t>
        </is>
      </c>
      <c r="AB26" s="2" t="inlineStr">
        <is>
          <t>"Combustion characteristics of fuel droplets with addition of nano and micron-sized aluminum particles" [Combustion and Flame] (2010, 423 cites) [DOI: https://doi.org/10.1016/j.combustflame.2010.09.005] | "On ignition mechanisms of premixed CH 4 /air and H 2 /air using a hot turbulent jet generated by pre-chamber combustion" [Applied Thermal Engineering] (2016, 310 cites) [DOI: https://doi.org/10.1016/j.applthermaleng.2016.06.070] | "Surface tension of Nanofluid-type fuels containing suspended nanomaterials" [Nanoscale Research Letters] (2012, 290 cites) [DOI: https://doi.org/10.1186/1556-276x-7-226]</t>
        </is>
      </c>
      <c r="AC26" s="2" t="inlineStr"/>
      <c r="AD26" s="2" t="inlineStr">
        <is>
          <t>Fulbright Scholar Award, 2024 AIAA High Speed Air Breathing Propulsion Best Paper Award, 2022 Associate Editor, AIAA Journal, 2...</t>
        </is>
      </c>
      <c r="AE26" s="2" t="inlineStr"/>
      <c r="AF26" s="2" t="inlineStr">
        <is>
          <t>Combustion, Fuels and Energetic Droplets (104)</t>
        </is>
      </c>
      <c r="AG26" s="2" t="inlineStr">
        <is>
          <t>Combustion, Fuels and Energetic Droplets (104)</t>
        </is>
      </c>
      <c r="AH26" s="2" t="inlineStr"/>
      <c r="AI26" s="2" t="inlineStr">
        <is>
          <t>(1) Sustainable fuels; (2) Pre-chamber jet ignition for combustion engines; (3) Thermal management for electric and hybrid aircraft (4) Battery fire safety (5) Propulsion technology for drones and UAVs;</t>
        </is>
      </c>
      <c r="AJ26" s="2" t="inlineStr">
        <is>
          <t>(1) Sustainable fuels; (2) Pre-chamber jet ignition for combustion engines; (3) Thermal management for electric and hybrid aircraft (4) Battery fire safety (5) Propulsion technology for drones and UAVs;</t>
        </is>
      </c>
      <c r="AK26" s="2" t="inlineStr">
        <is>
          <t>B.S., Tsinghua University, Engineering Mechanics, 1999 M.S., Tsinghua Univeristy, Engineering Mechanics, 2001 Ph.D., University of Michigan, Aerospace Engineering, 2007</t>
        </is>
      </c>
      <c r="AL26" s="2" t="inlineStr">
        <is>
          <t>Indiana Space Grant Consortium</t>
        </is>
      </c>
      <c r="AM26" s="3">
        <f>HYPERLINK("https://insgc.spacegrant.org/", "https://insgc.spacegrant.org/")</f>
        <v/>
      </c>
      <c r="AN26" s="2" t="inlineStr">
        <is>
          <t>Academic INSGC Internships</t>
        </is>
      </c>
      <c r="AO26" s="2" t="inlineStr"/>
      <c r="AP26" s="2" t="inlineStr"/>
      <c r="AQ26" s="2" t="inlineStr">
        <is>
          <t>NASA</t>
        </is>
      </c>
      <c r="AR26" s="2" t="inlineStr"/>
      <c r="AS26" s="2" t="inlineStr"/>
      <c r="AT26" s="2" t="inlineStr">
        <is>
          <t>ARMS 3221</t>
        </is>
      </c>
      <c r="AU26" s="2" t="b">
        <v>1</v>
      </c>
      <c r="AV26" s="3">
        <f>HYPERLINK("https://engineering.purdue.edu/AAE/people/Faculty", "https://engineering.purdue.edu/AAE/people/Faculty")</f>
        <v/>
      </c>
    </row>
    <row r="27">
      <c r="A27" s="2" t="inlineStr">
        <is>
          <t>Aaron Morris</t>
        </is>
      </c>
      <c r="B27" s="2" t="inlineStr">
        <is>
          <t>Purdue University</t>
        </is>
      </c>
      <c r="C27" s="3">
        <f>HYPERLINK("https://engineering.purdue.edu/ME/People/ptProfile?resource_id=159298", "https://engineering.purdue.edu/ME/People/ptProfile?resource_id=159298")</f>
        <v/>
      </c>
      <c r="D27" s="3">
        <f>HYPERLINK("https://scholar.google.com/citations?view_op=search_authors&amp;mauthors=Aaron%20Morris%20Purdue%20University", "Google Scholar Search")</f>
        <v/>
      </c>
      <c r="E27" s="2" t="inlineStr">
        <is>
          <t>Associate Professor of Mechanical Engineering</t>
        </is>
      </c>
      <c r="F27" s="2" t="inlineStr">
        <is>
          <t>Mechanical Engineering</t>
        </is>
      </c>
      <c r="G27" s="2" t="inlineStr"/>
      <c r="H27" s="3">
        <f>HYPERLINK("mailto:abmorris@purdue.edu", "abmorris@purdue.edu")</f>
        <v/>
      </c>
      <c r="I27" s="2" t="n">
        <v>1</v>
      </c>
      <c r="J27" s="2" t="inlineStr">
        <is>
          <t>🔵 Tier 1: Core Aero / Fluids / Propulsion</t>
        </is>
      </c>
      <c r="K27" s="2" t="n">
        <v>4</v>
      </c>
      <c r="L27" s="2" t="inlineStr">
        <is>
          <t>fluid dynamics, fluid mechanics, heat transfer, multiphase flow</t>
        </is>
      </c>
      <c r="M27" s="2" t="inlineStr">
        <is>
          <t>Granular multiphase flows, energy direct simulation Monte Carlo (EDSMC) for fluidized systems, CFD-DEM modeling of granular heat transfer, and concentrated solar receivers.</t>
        </is>
      </c>
      <c r="N27" s="2" t="inlineStr">
        <is>
          <t>Energy Direct Simulation Monte Carlo (EDSMC), Coupled CFD-DEM, Kinetic Theory of Granular Flows, OpenFOAM, High-Performance Multiphase Computing</t>
        </is>
      </c>
      <c r="O27" s="2" t="inlineStr">
        <is>
          <t>Modeling of fluidized systems using a novel Monte Carlo approach for granular interactions</t>
        </is>
      </c>
      <c r="P27" s="3">
        <f>HYPERLINK("https://doi.org/10.1002/aic.70212", "https://doi.org/10.1002/aic.70212")</f>
        <v/>
      </c>
      <c r="Q27" s="2" t="inlineStr">
        <is>
          <t>developing the Energy Direct Simulation Monte Carlo (EDSMC) method for gas-solid fluidized beds, capturing particle inelastic collisions and granular temperature dissipation at a fraction of the computational cost of standard DEM.</t>
        </is>
      </c>
      <c r="R27" s="2" t="inlineStr">
        <is>
          <t>A kinetic theory-based Monte Carlo algorithm for simulating particle dynamics within a gas-solid flow is presented. The technique, called the energy direct simulation Monte Carlo (EDSMC) method, has a formulation that is unique in the field of fluidization modeling. EDSMC resolves inelastic inter-particle collisions and granular temperature evolution without the severe time-step constraints of discrete element methods (DEM), accurately predicting bubble formation and solids circulation in dense fluidized beds.</t>
        </is>
      </c>
      <c r="S27" s="2" t="inlineStr">
        <is>
          <t>Thermal analysis of a solid particle light-trapping planar cavity receiver using computational fluid dynamics</t>
        </is>
      </c>
      <c r="T27" s="3">
        <f>HYPERLINK("https://doi.org/10.1016/j.applthermaleng.2025.126427", "https://doi.org/10.1016/j.applthermaleng.2025.126427")</f>
        <v/>
      </c>
      <c r="U27" s="2" t="inlineStr">
        <is>
          <t>modeling coupled CFD and discrete particle radiative transport in falling curtain solar cavity receivers, demonstrating that optimized enclosure aerodynamics suppress convective plume escape and achieve thermal efficiencies over 85% at 800 deg C.</t>
        </is>
      </c>
      <c r="V27" s="2" t="inlineStr">
        <is>
          <t>Light-Trapping Planar Cavity Receivers (LTPCRs) are promising next-generation configurations for concentrated solar power plants utilizing solid particle curtains as heat transfer media. Using coupled computational fluid dynamics and discrete particle radiative transfer modeling, this work evaluates the thermal performance of falling particle curtains under intense solar flux. Enclosure geometric optimization reduces convective heat losses, boosting thermal receiver efficiency above 85% at 800 deg C.</t>
        </is>
      </c>
      <c r="W27" s="2" t="inlineStr">
        <is>
          <t>1. Modeling of fluidized systems using a novel Monte Carlo approach for granular interactions (AIChE Journal, 2026) [DOI: https://doi.org/10.1002/aic.70212] | 2. Thermal analysis of a solid particle light-trapping planar cavity receiver using computational fluid dynamics (Applied Thermal Engineering, 2025) [DOI: https://doi.org/10.1016/j.applthermaleng.2025.126427]</t>
        </is>
      </c>
      <c r="X27" s="3">
        <f>HYPERLINK("https://doi.org/10.1002/aic.70212", "https://doi.org/10.1002/aic.70212 | https://doi.org/10.1016/j.applthermaleng.2025.126427")</f>
        <v/>
      </c>
      <c r="Y27" s="2" t="inlineStr">
        <is>
          <t>developing the Energy Direct Simulation Monte Carlo (EDSMC) method for gas-solid fluidized beds, capturing particle inelastic collisions and granular temperature dissipation at a fraction of the computational cost of standard DEM.</t>
        </is>
      </c>
      <c r="Z27" s="2" t="inlineStr"/>
      <c r="AA27" s="2" t="inlineStr">
        <is>
          <t>"Modeling of fluidized systems using a novel Monte Carlo approach for granular interactions" [AIChE Journal] (2026) [DOI: https://doi.org/10.1002/aic.70212] | "Continuum correlations from CFD-DEM modeling of conduction heat transfer in granular flows" [SSRN Electronic Journal] (2026) [DOI: https://doi.org/10.2139/ssrn.6030431] | "Geometric Optimization of an External Enclosure to Enhance Receiver Thermal Performance in Concentrated Solar Power Systems" (2025) [DOI: https://doi.org/10.1115/es2025-157075] | "Thermal analysis of a solid particle light-trapping planar cavity receiver using computational fluid dynamics" [Applied Thermal Engineering] (2025) [DOI: https://doi.org/10.1016/j.applthermaleng.2025.126427] | "Thermal Analysis of a Light-Trapping Planar Cavity Receiver Using Computational Fluid Dynamics" [SSRN Electronic Journal] (2025) [DOI: https://doi.org/10.2139/ssrn.5104197]</t>
        </is>
      </c>
      <c r="AB27" s="2" t="inlineStr">
        <is>
          <t>"Extension of a coarse grained particle method to simulate heat transfer in fluidized beds" [International Journal of Heat and Mass Transfer] (2017, 133 cites) [DOI: https://doi.org/10.1016/j.ijheatmasstransfer.2017.04.040] | "Simulations of heat transfer to solid particles flowing through an array of heated tubes" [Solar Energy] (2016, 102 cites) [DOI: https://doi.org/10.1016/j.solener.2016.01.033] | "A conductive heat transfer model for particle flows over immersed surfaces" [International Journal of Heat and Mass Transfer] (2015, 82 cites) [DOI: https://doi.org/10.1016/j.ijheatmasstransfer.2015.06.004]</t>
        </is>
      </c>
      <c r="AC27" s="2" t="inlineStr"/>
      <c r="AD27" s="2" t="inlineStr">
        <is>
          <t>Outstanding Mechanical Engineers Distinguished Engineering Alumni Honorary Doctorates Staff Awards Student Awards Distinguished...</t>
        </is>
      </c>
      <c r="AE27" s="2" t="inlineStr"/>
      <c r="AF27" s="2" t="inlineStr">
        <is>
          <t>Particle Dynamics in Fluid Flows (22) | Granular flow and fluidized beds (19) | Gas Dynamics and Kinetic Theory (13)</t>
        </is>
      </c>
      <c r="AG27" s="2" t="inlineStr">
        <is>
          <t>Particle Dynamics in Fluid Flows (22) | Granular flow and fluidized beds (19) | Gas Dynamics and Kinetic Theory (13)</t>
        </is>
      </c>
      <c r="AH27" s="2" t="inlineStr">
        <is>
          <t>Fluid dynamics Multiphase flows Monte Carlo methods Kinetic theory of granular flows Heat transfer in granular media Rarefied gas dynamics</t>
        </is>
      </c>
      <c r="AI27" s="2" t="inlineStr">
        <is>
          <t>Fluid Mechanics Heat &amp; Mass Transfer</t>
        </is>
      </c>
      <c r="AJ27" s="2" t="inlineStr">
        <is>
          <t>Fluid Mechanics Heat &amp; Mass Transfer</t>
        </is>
      </c>
      <c r="AK27" s="2" t="inlineStr">
        <is>
          <t>Postdoctoral Fellow, University of Colorado Boulder, 2013-2015 Ph. D., University of Texas at Austin, 2012 M.S., University of Texas at Austin, 2009 B.S., Rensselaer Polytechnic Institute, 2006</t>
        </is>
      </c>
      <c r="AL27" s="2" t="inlineStr">
        <is>
          <t>Center for Particulate Products and Processes</t>
        </is>
      </c>
      <c r="AM27" s="3">
        <f>HYPERLINK("https://engineering.purdue.edu/CP3/", "https://engineering.purdue.edu/CP3/")</f>
        <v/>
      </c>
      <c r="AN27" s="2" t="inlineStr"/>
      <c r="AO27" s="2" t="inlineStr"/>
      <c r="AP27" s="2" t="inlineStr">
        <is>
          <t>Gas Turbine, MTS, Instron</t>
        </is>
      </c>
      <c r="AQ27" s="2" t="inlineStr">
        <is>
          <t>DOE, NSF</t>
        </is>
      </c>
      <c r="AR27" s="2" t="inlineStr"/>
      <c r="AS27" s="2" t="inlineStr"/>
      <c r="AT27" s="2" t="inlineStr">
        <is>
          <t>FLEX 3021D</t>
        </is>
      </c>
      <c r="AU27" s="2" t="b">
        <v>1</v>
      </c>
      <c r="AV27" s="3">
        <f>HYPERLINK("https://engineering.purdue.edu/ME/People/ptFaculty", "https://engineering.purdue.edu/ME/People/ptFaculty")</f>
        <v/>
      </c>
    </row>
    <row r="28">
      <c r="A28" s="2" t="inlineStr">
        <is>
          <t>Alexey Shashurin</t>
        </is>
      </c>
      <c r="B28" s="2" t="inlineStr">
        <is>
          <t>Purdue University</t>
        </is>
      </c>
      <c r="C28" s="3">
        <f>HYPERLINK("https://engineering.purdue.edu/AAE/people/ptProfile?resource_id=124987", "https://engineering.purdue.edu/AAE/people/ptProfile?resource_id=124987")</f>
        <v/>
      </c>
      <c r="D28" s="3">
        <f>HYPERLINK("https://scholar.google.com/citations?view_op=search_authors&amp;mauthors=Alexey%20Shashurin%20Purdue%20University", "Google Scholar Search")</f>
        <v/>
      </c>
      <c r="E28" s="2" t="inlineStr">
        <is>
          <t>Lawrence Cargnino Professor of Aeronautics and Astronautics</t>
        </is>
      </c>
      <c r="F28" s="2" t="inlineStr">
        <is>
          <t>Aeronautics and Astronautics</t>
        </is>
      </c>
      <c r="G28" s="2" t="inlineStr"/>
      <c r="H28" s="3">
        <f>HYPERLINK("mailto:ashashur@purdue.edu", "ashashur@purdue.edu")</f>
        <v/>
      </c>
      <c r="I28" s="2" t="n">
        <v>1</v>
      </c>
      <c r="J28" s="2" t="inlineStr">
        <is>
          <t>🔵 Tier 1: Core Aero / Fluids / Propulsion</t>
        </is>
      </c>
      <c r="K28" s="2" t="n">
        <v>4</v>
      </c>
      <c r="L28" s="2" t="inlineStr">
        <is>
          <t>combustion, flow control, propulsion, spacecraft</t>
        </is>
      </c>
      <c r="M28" s="2" t="inlineStr">
        <is>
          <t>Non-equilibrium plasma aerodynamics, laser-induced plasma diagnostics (Radar-REMPI, coherent microwave scattering), and pulsed magnetoplasmadynamic (MPD) thrusters.</t>
        </is>
      </c>
      <c r="N28" s="2" t="inlineStr">
        <is>
          <t>Radar-REMPI Diagnostics, Coherent Microwave Scattering (CMS), Pulsed Magnetoplasmadynamic Thrusters, Nanosecond Pulsed Discharges, Langmuir Probes</t>
        </is>
      </c>
      <c r="O28" s="2" t="inlineStr">
        <is>
          <t>Characterization of nonlinear sheath dynamics in high-pressure asymmetric RF discharge</t>
        </is>
      </c>
      <c r="P28" s="3">
        <f>HYPERLINK("https://doi.org/10.1063/5.0334090", "https://doi.org/10.1063/5.0334090")</f>
        <v/>
      </c>
      <c r="Q28" s="2" t="inlineStr">
        <is>
          <t>measuring phase-resolved nonlinear sheath impedance in high-pressure asymmetric RF discharges, demonstrating that dynamic sheath expansion stabilizes non-equilibrium plasma channels and prevents thermal arcing at elevated gas pressures.</t>
        </is>
      </c>
      <c r="R28" s="2" t="inlineStr">
        <is>
          <t>This study investigates the nonlinear behavior of asymmetric radio frequency (RF) discharges at high pressures implemented in a compact coaxial connector geometry, with a particular focus on sheath dynamics. We present a novel experimental approach that enables accurate, non-intrusive measurements of sheath capacitance and conduction currents. Phase-resolved voltage-current diagnostics reveal that non-linear sheath expansion at elevated pressures enhances local electron heating, suppressing thermal arc transitions and enabling stable atmospheric-pressure plasma generation.</t>
        </is>
      </c>
      <c r="S28" s="2" t="inlineStr">
        <is>
          <t>Parametric evaluation of ion beam properties in the near-field plume of a low-voltage, liquid-fed pulsed magnetoplasmadynamic thruster</t>
        </is>
      </c>
      <c r="T28" s="3">
        <f>HYPERLINK("https://doi.org/10.1063/5.0294710", "https://doi.org/10.1063/5.0294710")</f>
        <v/>
      </c>
      <c r="U28" s="2" t="inlineStr">
        <is>
          <t>evaluating near-field ion plume mechanics of an ASCENT liquid-fed pulsed magnetoplasmadynamic thruster (200-400 V), demonstrating that interelectrode magnetic tailoring enhances axial kinetic energy conversion to achieve exhaust velocities beyond 18 km/s.</t>
        </is>
      </c>
      <c r="V28" s="2" t="inlineStr">
        <is>
          <t>A parametric investigation of plume characteristics from a pulsed magnetoplasmadynamic thruster (PMPD) operating with the liquid monopropellant ASCENT is presented. Discharges across a range of driving voltages (200-400 V) and three interelectrode configurations were evaluated to assess their influence on ion exhaust velocity, electron temperature, and plume divergence. Faraday cup arrays and time-resolved optical emission spectroscopy show that tailoring the magnetic field topology increases axial ion acceleration, yielding exhaust velocities exceeding 18 km/s.</t>
        </is>
      </c>
      <c r="W28" s="2" t="inlineStr">
        <is>
          <t>1. Characterization of nonlinear sheath dynamics in high-pressure asymmetric RF discharge (Journal of Applied Physics, 2026) [DOI: https://doi.org/10.1063/5.0334090] | 2. Parametric evaluation of ion beam properties in the near-field plume of a low-voltage, liquid-fed pulsed magnetoplasmadynamic thruster (Physics of Plasmas, 2026) [DOI: https://doi.org/10.1063/5.0294710]</t>
        </is>
      </c>
      <c r="X28" s="3">
        <f>HYPERLINK("https://doi.org/10.1063/5.0334090", "https://doi.org/10.1063/5.0334090 | https://doi.org/10.1063/5.0294710")</f>
        <v/>
      </c>
      <c r="Y28" s="2" t="inlineStr">
        <is>
          <t>measuring phase-resolved nonlinear sheath impedance in high-pressure asymmetric RF discharges, demonstrating that dynamic sheath expansion stabilizes non-equilibrium plasma channels and prevents thermal arcing at elevated gas pressures.</t>
        </is>
      </c>
      <c r="Z28" s="2" t="inlineStr"/>
      <c r="AA28" s="2" t="inlineStr">
        <is>
          <t>"Characterization of nonlinear sheath dynamics in high-pressure asymmetric RF discharge" [Journal of Applied Physics] (2026) [DOI: https://doi.org/10.1063/5.0334090] | "Absolute Radar-REMPI via Two-Color REMPI and Absolutely Calibrated CMS for Diagnostics of Species in Gaseous Mixtures" [arXiv (Cornell University)] (2026) [DOI: https://doi.org/10.48550/arxiv.2606.20827] | "Absolute Radar-REMPI via Two-Color REMPI and Absolutely Calibrated CMS for Diagnostics of Species in Gaseous Mixtures" [arXiv (Cornell University)] (2026) [DOI: https://arxiv.org/abs/2606.20827] | "Parametric evaluation of ion beam properties in the near-field plume of a low-voltage, liquid-fed pulsed magnetoplasmadynamic thruster" [Physics of Plasmas] (2026) [DOI: https://doi.org/10.1063/5.0294710] | "Constructive Coherent Microwave Scattering for Studying Femtosecond Filamentation and Tabulating Photoionization Rates" (2026) [DOI: https://doi.org/10.2514/6.2026-0780]</t>
        </is>
      </c>
      <c r="AB28" s="2" t="inlineStr">
        <is>
          <t>"Cold plasma selectivity and the possibility of a paradigm shift in cancer therapy" [British Journal of Cancer] (2011, 767 cites) [DOI: https://doi.org/10.1038/bjc.2011.386] | "Cold atmospheric plasma in cancer therapy" [Physics of Plasmas] (2013, 501 cites) [DOI: https://doi.org/10.1063/1.4801516] | "Living tissue under treatment of cold plasma atmospheric jet" [Applied Physics Letters] (2008, 293 cites) [DOI: https://doi.org/10.1063/1.3020223]</t>
        </is>
      </c>
      <c r="AC28" s="2" t="inlineStr"/>
      <c r="AD28" s="2" t="inlineStr"/>
      <c r="AE28" s="2" t="inlineStr"/>
      <c r="AF28" s="2" t="inlineStr">
        <is>
          <t>Plasma Diagnostics and Applications (92) | Plasma Applications and Diagnostics (65) | Vacuum and Plasma Arcs (47)</t>
        </is>
      </c>
      <c r="AG28" s="2" t="inlineStr">
        <is>
          <t>Plasma Diagnostics and Applications (92) | Plasma Applications and Diagnostics (65) | Vacuum and Plasma Arcs (47)</t>
        </is>
      </c>
      <c r="AH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I28" s="2" t="inlineStr"/>
      <c r="AJ28" s="2" t="inlineStr">
        <is>
          <t>Microwave and optical diagnostics for spacecraft electric propulsion and combustion; Femtosecond photoionization; Micropropulsion for CubeSats; Nanosecond repetitively pulsed discharges for flow control; High power microwave heating of gas; Generation, diagnostics and applications of cold plasmas; Biomedical applications of cold plasmas.</t>
        </is>
      </c>
      <c r="AK28" s="2" t="inlineStr">
        <is>
          <t>B.Sc., Physics, Lobachevsky State University of Nizhny Novgorod, Russia, 1996 M.Sc., Physics, Lobachevsky State University of Nizhny Novgorod, Russia, 1998 Ph.D., School of Engineering, Dept. Interdisciplinary Studies, Tel Aviv University, 2008</t>
        </is>
      </c>
      <c r="AL28" s="2" t="inlineStr">
        <is>
          <t>Indiana Space Grant Consortium</t>
        </is>
      </c>
      <c r="AM28" s="3">
        <f>HYPERLINK("https://insgc.spacegrant.org/", "https://insgc.spacegrant.org/")</f>
        <v/>
      </c>
      <c r="AN28" s="2" t="inlineStr">
        <is>
          <t>Academic INSGC Internships</t>
        </is>
      </c>
      <c r="AO28" s="2" t="inlineStr"/>
      <c r="AP28" s="2" t="inlineStr"/>
      <c r="AQ28" s="2" t="inlineStr">
        <is>
          <t>NASA</t>
        </is>
      </c>
      <c r="AR28" s="2" t="inlineStr"/>
      <c r="AS28" s="2" t="inlineStr"/>
      <c r="AT28" s="2" t="inlineStr">
        <is>
          <t>ARMS 3331</t>
        </is>
      </c>
      <c r="AU28" s="2" t="b">
        <v>1</v>
      </c>
      <c r="AV28" s="3">
        <f>HYPERLINK("https://engineering.purdue.edu/AAE/people/Faculty", "https://engineering.purdue.edu/AAE/people/Faculty")</f>
        <v/>
      </c>
    </row>
    <row r="29">
      <c r="A29" s="2" t="inlineStr">
        <is>
          <t>Carlos Larriba-Andaluz</t>
        </is>
      </c>
      <c r="B29" s="2" t="inlineStr">
        <is>
          <t>Purdue University</t>
        </is>
      </c>
      <c r="C29" s="3">
        <f>HYPERLINK("https://engineering.purdue.edu/ME/People/ptProfile?resource_id=297468", "https://engineering.purdue.edu/ME/People/ptProfile?resource_id=297468")</f>
        <v/>
      </c>
      <c r="D29" s="3">
        <f>HYPERLINK("https://scholar.google.com/citations?view_op=search_authors&amp;mauthors=Carlos%20Larriba-Andaluz%20Purdue%20University", "Google Scholar Search")</f>
        <v/>
      </c>
      <c r="E29" s="2" t="inlineStr">
        <is>
          <t>Associate Professor of Mechanical Engineering</t>
        </is>
      </c>
      <c r="F29" s="2" t="inlineStr">
        <is>
          <t>Mechanical Engineering</t>
        </is>
      </c>
      <c r="G29" s="2" t="inlineStr"/>
      <c r="H29" s="3">
        <f>HYPERLINK("mailto:clarriba@purdue.edu", "clarriba@purdue.edu")</f>
        <v/>
      </c>
      <c r="I29" s="2" t="n">
        <v>1</v>
      </c>
      <c r="J29" s="2" t="inlineStr">
        <is>
          <t>🔵 Tier 1: Core Aero / Fluids / Propulsion</t>
        </is>
      </c>
      <c r="K29" s="2" t="n">
        <v>4</v>
      </c>
      <c r="L29" s="2" t="inlineStr">
        <is>
          <t>aerospace, fluid mechanics, propulsion, thermodynamics</t>
        </is>
      </c>
      <c r="M29" s="2" t="inlineStr">
        <is>
          <t>Ion mobility spectrometry, differential mobility analyzers, aerodynamic ion focusing in structures for lossless ion manipulations (SLIM), and gas-phase macromolecular transport.</t>
        </is>
      </c>
      <c r="N29" s="2" t="inlineStr">
        <is>
          <t>Ion Mobility Spectrometry (IMS), Nernst-Planck Fluid Solvers, Structures for Lossless Ion Manipulations (SLIM), Molecular Trajectory Simulations, Mass Spectrometry</t>
        </is>
      </c>
      <c r="O29" s="2" t="inlineStr">
        <is>
          <t>Optimization of Electric Field Traveling Waves in SLIM Platforms for Improved Resolution via Analytical Solutions of the Nernst–Planck Equation</t>
        </is>
      </c>
      <c r="P29" s="3">
        <f>HYPERLINK("https://doi.org/10.1021/jasms.5c00347", "https://doi.org/10.1021/jasms.5c00347")</f>
        <v/>
      </c>
      <c r="Q29" s="2" t="inlineStr">
        <is>
          <t>deriving analytical solutions to the Nernst-Planck equation for traveling-wave ion mobility in SLIM platforms, optimizing RF voltage and frequency parameters to suppress peak diffusion and maximize isomeric separation resolution.</t>
        </is>
      </c>
      <c r="R29" s="2" t="inlineStr">
        <is>
          <t>Ion mobility spectrometry (IMS) in Structures for Lossless Ion Manipulations (SLIM) enables high-resolution separation of gas-phase ions based on size-to-charge ratios over extended serpentine paths. This study investigates the transport and dispersion of ion packets subjected to traveling radio-frequency electric fields by deriving analytical solutions to the Nernst-Planck equation. Optimization of traveling wave speed, voltage amplitude, and carrier gas pressure minimizes diffusive peak broadening, enhancing resolving power across complex isomeric mixtures.</t>
        </is>
      </c>
      <c r="S29" s="2" t="inlineStr">
        <is>
          <t>First order approximation of polyatomic ion and neutral diffusion in neutral gases under arbitrary fields</t>
        </is>
      </c>
      <c r="T29" s="3">
        <f>HYPERLINK("https://doi.org/10.1063/5.0337543", "https://doi.org/10.1063/5.0337543")</f>
        <v/>
      </c>
      <c r="U29" s="2" t="inlineStr">
        <is>
          <t>coupling classical trajectory simulations with two-temperature kinetic theory, providing a unified first-order approximation for polyatomic ion diffusion in dilute carrier gases under strong electric fields.</t>
        </is>
      </c>
      <c r="V29" s="2" t="inlineStr">
        <is>
          <t>This work presents a trajectory-based method for predicting diffusion coefficients of polyatomic ions and neutral molecules in dilute gases from the thermal limit to strongly field-driven conditions. Classical trajectory simulations are coupled with two-temperature kinetic theory to evaluate collision integrals across realistic collision cross sections, bridging the gap between continuum aerodynamic transport and discrete molecular collision dynamics.</t>
        </is>
      </c>
      <c r="W29" s="2" t="inlineStr">
        <is>
          <t>1. Optimization of Electric Field Traveling Waves in SLIM Platforms for Improved Resolution via Analytical Solutions of the Nernst–Planck Equation (Journal of the American Society for Mass Spectrometry, 2026) [DOI: https://doi.org/10.1021/jasms.5c00347] | 2. First order approximation of polyatomic ion and neutral diffusion in neutral gases under arbitrary fields (The Journal of Chemical Physics, 2026) [DOI: https://doi.org/10.1063/5.0337543]</t>
        </is>
      </c>
      <c r="X29" s="3">
        <f>HYPERLINK("https://doi.org/10.1021/jasms.5c00347", "https://doi.org/10.1021/jasms.5c00347 | https://doi.org/10.1063/5.0337543")</f>
        <v/>
      </c>
      <c r="Y29" s="2" t="inlineStr">
        <is>
          <t>deriving analytical solutions to the Nernst-Planck equation for traveling-wave ion mobility in SLIM platforms, optimizing RF voltage and frequency parameters to suppress peak diffusion and maximize isomeric separation resolution.</t>
        </is>
      </c>
      <c r="Z29" s="2" t="inlineStr"/>
      <c r="AA29" s="2" t="inlineStr">
        <is>
          <t>"First order approximation of polyatomic ion and neutral diffusion in neutral gases under arbitrary fields" [The Journal of Chemical Physics] (2026) [DOI: https://doi.org/10.1063/5.0337543] | "Optimization of Electric Field Traveling Waves in SLIM Platforms for Improved Resolution via Analytical Solutions of the Nernst–Planck Equation" [Journal of the American Society for Mass Spectrometry] (2026) [DOI: https://doi.org/10.1021/jasms.5c00347] | "Unraveling Ligand-Driven Isomerism in Redox-Active Mixed-Ligand Polyoxometalates Using Ion Mobility Spectrometry" [ACS Nano] (2025) [DOI: https://doi.org/10.1021/acsnano.5c12468] | "Characterization of Gas-Phase Native(-Like) Proteins Using Structures for Lossless Ion Manipulations" [ChemRxiv] (2025) [DOI: https://doi.org/10.26434/chemrxiv-2025-xnx1z-v2] | "Characterization and of Gas-Phase Native(-Like) Proteins Using Structures for Lossless Ion Manipulations" [ChemRxiv] (2025) [DOI: https://doi.org/10.26434/chemrxiv-2025-xnx1z]</t>
        </is>
      </c>
      <c r="AB29" s="2" t="inlineStr">
        <is>
          <t>"Benchmark Comparison for a Multi-Processing Ion Mobility Calculator in the Free Molecular Regime" [Journal of the American Society for Mass Spectrometry] (2017, 150 cites) [DOI: https://doi.org/10.1007/s13361-017-1661-8] | "Collision cross section calculations for polyatomic ions considering rotating diatomic/linear gas molecules" [The Journal of Chemical Physics] (2014, 92 cites) [DOI: https://doi.org/10.1063/1.4901890] | "Gas molecule scattering &amp; ion mobility measurements for organic macro-ions in He versus N 2 environments" [Physical Chemistry Chemical Physics] (2015, 85 cites) [DOI: https://doi.org/10.1039/c5cp01017a]</t>
        </is>
      </c>
      <c r="AC29" s="2" t="inlineStr"/>
      <c r="AD29" s="2" t="inlineStr">
        <is>
          <t>Outstanding Mechanical Engineers Distinguished Engineering Alumni Honorary Doctorates Staff Awards Student Awards Distinguished...</t>
        </is>
      </c>
      <c r="AE29" s="2" t="inlineStr"/>
      <c r="AF29" s="2" t="inlineStr">
        <is>
          <t>Mass Spectrometry Techniques and Applications (39) | Analytical Chemistry and Chromatography (15) | Analytical chemistry methods development (14)</t>
        </is>
      </c>
      <c r="AG29" s="2" t="inlineStr">
        <is>
          <t>Mass Spectrometry Techniques and Applications (39) | Analytical Chemistry and Chromatography (15) | Analytical chemistry methods development (14)</t>
        </is>
      </c>
      <c r="AH29" s="2" t="inlineStr">
        <is>
          <t>Renewable Energy Catalysts Aerosol Pollution Ion Mobility-Mass Spectrometry Electrical Propulsion Polymer Characterization Protein and Biomolecule Characterization Energy Transfer Molecular Dynamic coupling at the molecular Scale Multiscale Multichemistry Plasma Modeling</t>
        </is>
      </c>
      <c r="AI29" s="2" t="inlineStr">
        <is>
          <t>Thermodynamics Fluid Mechanics Heat &amp; Mass Transfer</t>
        </is>
      </c>
      <c r="AJ29" s="2" t="inlineStr">
        <is>
          <t>Thermodynamics Fluid Mechanics Heat &amp; Mass Transfer</t>
        </is>
      </c>
      <c r="AK29" s="2" t="inlineStr">
        <is>
          <t>Ph.D. Mechanical Engineering, Yale University, 12/2010 BA/BS Aerospace Engineering, E.T.S.I.A., 9/2005 MA/MS Aeronautical Engineering, E.T.S.I.A, 9/2005</t>
        </is>
      </c>
      <c r="AL29" s="2" t="inlineStr">
        <is>
          <t>Personal Homepage</t>
        </is>
      </c>
      <c r="AM29" s="3">
        <f>HYPERLINK("http://www.imospedia.com", "http://www.imospedia.com")</f>
        <v/>
      </c>
      <c r="AN29" s="2" t="inlineStr"/>
      <c r="AO29" s="2" t="inlineStr"/>
      <c r="AP29" s="2" t="inlineStr"/>
      <c r="AQ29" s="2" t="inlineStr"/>
      <c r="AR29" s="2" t="inlineStr"/>
      <c r="AS29" s="2" t="inlineStr"/>
      <c r="AT29" s="2" t="inlineStr"/>
      <c r="AU29" s="2" t="b">
        <v>1</v>
      </c>
      <c r="AV29" s="3">
        <f>HYPERLINK("https://engineering.purdue.edu/ME/People/ptFaculty", "https://engineering.purdue.edu/ME/People/ptFaculty")</f>
        <v/>
      </c>
    </row>
    <row r="30">
      <c r="A30" s="2" t="inlineStr">
        <is>
          <t>Carolin E Frueh</t>
        </is>
      </c>
      <c r="B30" s="2" t="inlineStr">
        <is>
          <t>Purdue University</t>
        </is>
      </c>
      <c r="C30" s="3">
        <f>HYPERLINK("https://engineering.purdue.edu/AAE/people/ptProfile?resource_id=111420", "https://engineering.purdue.edu/AAE/people/ptProfile?resource_id=111420")</f>
        <v/>
      </c>
      <c r="D30" s="3">
        <f>HYPERLINK("https://scholar.google.com/citations?view_op=search_authors&amp;mauthors=Carolin%20E%20Frueh%20Purdue%20University", "Google Scholar Search")</f>
        <v/>
      </c>
      <c r="E30" s="2" t="inlineStr">
        <is>
          <t>Harold DeGroff Professor of Aeronautics and Astronautics</t>
        </is>
      </c>
      <c r="F30" s="2" t="inlineStr">
        <is>
          <t>Aeronautics and Astronautics</t>
        </is>
      </c>
      <c r="G30" s="2" t="inlineStr"/>
      <c r="H30" s="3">
        <f>HYPERLINK("mailto:cfrueh@purdue.edu", "cfrueh@purdue.edu")</f>
        <v/>
      </c>
      <c r="I30" s="2" t="n">
        <v>1</v>
      </c>
      <c r="J30" s="2" t="inlineStr">
        <is>
          <t>🔵 Tier 1: Core Aero / Fluids / Propulsion</t>
        </is>
      </c>
      <c r="K30" s="2" t="n">
        <v>4</v>
      </c>
      <c r="L30" s="2" t="inlineStr">
        <is>
          <t>astrodynamics, guidance, navigation, satellite</t>
        </is>
      </c>
      <c r="M30" s="2" t="inlineStr">
        <is>
          <t>Space domain awareness (SDA), light-curve attitude estimation, spacecraft fragmentation analysis, and sensor network tasking in cislunar and geostationary orbits.</t>
        </is>
      </c>
      <c r="N30" s="2" t="inlineStr">
        <is>
          <t>Light Curve Inversion Algorithms, Unscented Kalman Filtering, Space Object Optical Observatories, Cislunar Astrodynamic Propagators, Monte Carlo Uncertainty Modeling</t>
        </is>
      </c>
      <c r="O30" s="2" t="inlineStr">
        <is>
          <t>Material Property Sensitivity of Light Curve Attitude Estimation for the Lunar Trailblazer</t>
        </is>
      </c>
      <c r="P30" s="3">
        <f>HYPERLINK("https://doi.org/10.1029/2025ea004733", "https://doi.org/10.1029/2025ea004733")</f>
        <v/>
      </c>
      <c r="Q30" s="2" t="inlineStr">
        <is>
          <t>applying light-curve inversion and BRDF material sensitivity analysis to the Lunar Trailblazer spacecraft, demonstrating that unresolved optical brightness histories reliably reconstruct tumbling attitude states during mission recovery.</t>
        </is>
      </c>
      <c r="R30" s="2" t="inlineStr">
        <is>
          <t>The Lunar Trailblazer spacecraft launched toward a planned low-lunar orbit, but contact was temporarily lost, requiring recovery efforts based on ground observations. Estimating the orientation and angular velocity state of Trailblazer was central for recovery operations. This paper examines the sensitivity of light curve inversion algorithms to uncertain surface bidirectional reflectance distribution functions (BRDF) and panel material properties, demonstrating that combining optical light curves with rotational dynamics successfully recovers spacecraft tumble rates under high observation noise.</t>
        </is>
      </c>
      <c r="S30" s="2" t="inlineStr">
        <is>
          <t>Cislunar Key Region Surveillance Optimization</t>
        </is>
      </c>
      <c r="T30" s="3">
        <f>HYPERLINK("https://doi.org/10.1007/s40295-025-00522-6", "https://doi.org/10.1007/s40295-025-00522-6")</f>
        <v/>
      </c>
      <c r="U30" s="2" t="inlineStr">
        <is>
          <t>optimizing space-based optical sensor constellations in cislunar space, demonstrating that placing surveillance assets on L1 halo orbits eliminates observation blind spots and maximizes detection of maneuvering transfer vehicles.</t>
        </is>
      </c>
      <c r="V30" s="2" t="inlineStr">
        <is>
          <t>Cislunar space’s growing importance necessitates robust space domain awareness for safe and sustainable utilization. Current ground-based surveillance is insufficient to cover the entire cislunar region, leaving large blind spots. Space-based optical sensors can address this limitation. This study presents an optimization framework for positioning and tasking space-based optical sensors across Earth-Moon libration points, maximizing object detection probabilities in key transfer corridors.</t>
        </is>
      </c>
      <c r="W30" s="2" t="inlineStr">
        <is>
          <t>1. Material Property Sensitivity of Light Curve Attitude Estimation for the Lunar Trailblazer (Earth and Space Science, 2026) [DOI: https://doi.org/10.1029/2025ea004733] | 2. Cislunar Key Region Surveillance Optimization (The Journal of the Astronautical Sciences, 2025) [DOI: https://doi.org/10.1007/s40295-025-00522-6]</t>
        </is>
      </c>
      <c r="X30" s="3">
        <f>HYPERLINK("https://doi.org/10.1029/2025ea004733", "https://doi.org/10.1029/2025ea004733 | https://doi.org/10.1007/s40295-025-00522-6")</f>
        <v/>
      </c>
      <c r="Y30" s="2" t="inlineStr">
        <is>
          <t>applying light-curve inversion and BRDF material sensitivity analysis to the Lunar Trailblazer spacecraft, demonstrating that unresolved optical brightness histories reliably reconstruct tumbling attitude states during mission recovery.</t>
        </is>
      </c>
      <c r="Z30" s="2" t="inlineStr"/>
      <c r="AA30" s="2" t="inlineStr">
        <is>
          <t>"Material Property Sensitivity of Light Curve Attitude Estimation for the Lunar Trailblazer" [Earth and Space Science] (2026) [DOI: https://doi.org/10.1029/2025ea004733] | "Global Light Curve Attitude Estimation with Noisy Measurements and Inertia Uncertainty" [The Journal of the Astronautical Sciences] (2026) [DOI: https://doi.org/10.1007/s40295-025-00557-9] | "Goals and trends in space exploration: An overview of the panel on exploration sessions at the committee on space research general assembly 2024" [Life Sciences in Space Research] (2025) [DOI: https://doi.org/10.1016/j.lssr.2025.12.005] | "Investigation of Atlas V Centaur Upper Stage Fragmentation Events with Uncertainty Analysis" [The Journal of the Astronautical Sciences] (2025) [DOI: https://doi.org/10.1007/s40295-025-00519-1] | "Cislunar Key Region Surveillance Optimization" [The Journal of the Astronautical Sciences] (2025) [DOI: https://doi.org/10.1007/s40295-025-00522-6]</t>
        </is>
      </c>
      <c r="AB30" s="2" t="inlineStr">
        <is>
          <t>"A comprehensive review on Cislunar expansion and space domain awareness" [Progress in Aerospace Sciences] (2024, 63 cites) [DOI: https://doi.org/10.1016/j.paerosci.2024.101019] | "Space Situational Awareness Sensor Tasking: Comparison of Machine Learning with Classical Optimization Methods" [Journal of Guidance Control and Dynamics] (2019, 41 cites) [DOI: https://doi.org/10.2514/1.g004279] | "Tracklet-to-orbit association for maneuvering space objects using optimal control theory" [Acta Astronautica] (2021, 38 cites) [DOI: https://doi.org/10.1016/j.actaastro.2021.01.026]</t>
        </is>
      </c>
      <c r="AC30" s="2" t="inlineStr"/>
      <c r="AD30" s="2" t="inlineStr">
        <is>
          <t>(selection) AAS Fellow, 2024 AIAA Associate Fellow, 2024 The C. T. Sun Excellence in Research Award, 2024 The Elmer F. Bruhn Te...</t>
        </is>
      </c>
      <c r="AE30" s="2" t="inlineStr"/>
      <c r="AF30" s="2" t="inlineStr">
        <is>
          <t>Space Satellite Systems and Control (33) | Astro and Planetary Science (20) | Target Tracking and Data Fusion in Sensor Networks (19)</t>
        </is>
      </c>
      <c r="AG30" s="2" t="inlineStr">
        <is>
          <t>Space Satellite Systems and Control (33) | Astro and Planetary Science (20) | Target Tracking and Data Fusion in Sensor Networks (19)</t>
        </is>
      </c>
      <c r="AH30" s="2" t="inlineStr"/>
      <c r="AI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J30" s="2" t="inlineStr">
        <is>
          <t>Space Domain Awareness and Space Traffic Management in the Near-Earth and Cislunar Region - Surveillance, Detection &amp; Tracking, Tasking - Optical Monostatic Object Characterization near-field fly by and far field (light curves) - Astrodynamics - Low Observability Systems, Information Quantification and Retrieval, Machine Learning. Research Page</t>
        </is>
      </c>
      <c r="AK30" s="2" t="inlineStr">
        <is>
          <t>Ph.D., Physics with Specialization in Astronomy, University of Bern, Switzerland, 2011 MS of Science, Karlsruhe Institute of Technology, Germany, 2006 M.Div., CDSP, Berkeley, USA</t>
        </is>
      </c>
      <c r="AL30" s="2" t="inlineStr">
        <is>
          <t>Indiana Space Grant Consortium</t>
        </is>
      </c>
      <c r="AM30" s="3">
        <f>HYPERLINK("https://insgc.spacegrant.org/", "https://insgc.spacegrant.org/")</f>
        <v/>
      </c>
      <c r="AN30" s="2" t="inlineStr">
        <is>
          <t>Academic INSGC Internships</t>
        </is>
      </c>
      <c r="AO30" s="2" t="inlineStr"/>
      <c r="AP30" s="2" t="inlineStr"/>
      <c r="AQ30" s="2" t="inlineStr">
        <is>
          <t>NASA</t>
        </is>
      </c>
      <c r="AR30" s="2" t="inlineStr"/>
      <c r="AS30" s="2" t="inlineStr"/>
      <c r="AT30" s="2" t="inlineStr">
        <is>
          <t>ARMS 3309</t>
        </is>
      </c>
      <c r="AU30" s="2" t="b">
        <v>1</v>
      </c>
      <c r="AV30" s="3">
        <f>HYPERLINK("https://engineering.purdue.edu/AAE/people/Faculty", "https://engineering.purdue.edu/AAE/people/Faculty")</f>
        <v/>
      </c>
    </row>
    <row r="31">
      <c r="A31" s="2" t="inlineStr">
        <is>
          <t>Guang Lin</t>
        </is>
      </c>
      <c r="B31" s="2" t="inlineStr">
        <is>
          <t>Purdue University</t>
        </is>
      </c>
      <c r="C31" s="3">
        <f>HYPERLINK("https://engineering.purdue.edu/ME/People/ptProfile?resource_id=117602", "https://engineering.purdue.edu/ME/People/ptProfile?resource_id=117602")</f>
        <v/>
      </c>
      <c r="D31" s="3">
        <f>HYPERLINK("https://scholar.google.com/citations?view_op=search_authors&amp;mauthors=Guang%20Lin%20Purdue%20University", "Google Scholar Search")</f>
        <v/>
      </c>
      <c r="E31" s="2" t="inlineStr">
        <is>
          <t>Moses Cobb Stevens Professor in Mathematical Sciences; College of Science Associate Dean of Research and Innovation; Professor of Mechanical Engineering</t>
        </is>
      </c>
      <c r="F31" s="2" t="inlineStr">
        <is>
          <t>Mechanical Engineering</t>
        </is>
      </c>
      <c r="G31" s="2" t="inlineStr"/>
      <c r="H31" s="3">
        <f>HYPERLINK("mailto:guanglin@purdue.edu", "guanglin@purdue.edu")</f>
        <v/>
      </c>
      <c r="I31" s="2" t="n">
        <v>1</v>
      </c>
      <c r="J31" s="2" t="inlineStr">
        <is>
          <t>🔵 Tier 1: Core Aero / Fluids / Propulsion</t>
        </is>
      </c>
      <c r="K31" s="2" t="n">
        <v>4</v>
      </c>
      <c r="L31" s="2" t="inlineStr">
        <is>
          <t>computational fluid dynamics, fluid dynamics, fluid mechanics, scientific computing</t>
        </is>
      </c>
      <c r="M31" s="2" t="inlineStr">
        <is>
          <t>Scientific machine learning, physics-informed neural networks (PINNs), Kolmogorov-Arnold Networks (KANs), uncertainty quantification, and Bayesian discovery of flow PDEs.</t>
        </is>
      </c>
      <c r="N31" s="2" t="inlineStr">
        <is>
          <t>Scientific Machine Learning (SciML), Kolmogorov-Arnold Networks (KANs), Bayesian Uncertainty Quantification, Physics-Informed Neural Networks, High-Order PDE Solvers</t>
        </is>
      </c>
      <c r="O31" s="2" t="inlineStr">
        <is>
          <t>Conformalized-KANs: uncertainty quantification with coverage guarantees for Kolmogorov–Arnold Networks (KANs) in scientific machine learning</t>
        </is>
      </c>
      <c r="P31" s="3">
        <f>HYPERLINK("https://doi.org/10.1088/2632-2153/ae7495", "https://doi.org/10.1088/2632-2153/ae7495")</f>
        <v/>
      </c>
      <c r="Q31" s="2" t="inlineStr">
        <is>
          <t>developing Conformalized Kolmogorov-Arnold Networks (KANs) for scientific machine learning, providing mathematically guaranteed prediction error coverage intervals when learning nonlinear fluid and thermal PDEs.</t>
        </is>
      </c>
      <c r="R31" s="2" t="inlineStr">
        <is>
          <t>This paper explores uncertainty quantification (UQ) methods in the context of Kolmogorov-Arnold Networks (KANs) applied to complex physical systems. We integrate conformal prediction with KANs to provide rigorous finite-sample coverage guarantees without requiring restrictive distributional assumptions. When evaluated on benchmark non-linear fluid dynamics and heat transfer problems, Conformalized-KANs deliver interpretable functional representations with calibrated prediction intervals across scarce training data.</t>
        </is>
      </c>
      <c r="S31" s="2" t="inlineStr">
        <is>
          <t>Bayesian data-driven discovery of partial differential equations with variable coefficients</t>
        </is>
      </c>
      <c r="T31" s="3">
        <f>HYPERLINK("https://doi.org/10.1016/j.camwa.2026.07.034", "https://doi.org/10.1016/j.camwa.2026.07.034")</f>
        <v/>
      </c>
      <c r="U31" s="2" t="inlineStr">
        <is>
          <t>formulating a sparse Bayesian regression algorithm to discover variable-coefficient PDEs from sparse flow field data, accurately identifying spatio-temporally varying transport terms while bounding posterior uncertainty.</t>
        </is>
      </c>
      <c r="V31" s="2" t="inlineStr">
        <is>
          <t>Discovering governing differential equations directly from noisy experimental flow observations is essential for predictive digital twins. This study develops a sparse Bayesian regression framework capable of discovering spatio-temporally varying coefficients in partial differential equations. The method accurately identifies variable diffusion and convective transport operators from sparse velocity field snapshots while quantifying posterior parameter uncertainty.</t>
        </is>
      </c>
      <c r="W31" s="2" t="inlineStr">
        <is>
          <t>1. Conformalized-KANs: uncertainty quantification with coverage guarantees for Kolmogorov–Arnold Networks (KANs) in scientific machine learning (Machine Learning Science and Technology, 2026) [DOI: https://doi.org/10.1088/2632-2153/ae7495] | 2. Bayesian data-driven discovery of partial differential equations with variable coefficients (Computers &amp; Mathematics with Applications, 2026) [DOI: https://doi.org/10.1016/j.camwa.2026.07.034]</t>
        </is>
      </c>
      <c r="X31" s="3">
        <f>HYPERLINK("https://doi.org/10.1088/2632-2153/ae7495", "https://doi.org/10.1088/2632-2153/ae7495 | https://doi.org/10.1016/j.camwa.2026.07.034")</f>
        <v/>
      </c>
      <c r="Y31" s="2" t="inlineStr">
        <is>
          <t>developing Conformalized Kolmogorov-Arnold Networks (KANs) for scientific machine learning, providing mathematically guaranteed prediction error coverage intervals when learning nonlinear fluid and thermal PDEs.</t>
        </is>
      </c>
      <c r="Z31" s="2" t="inlineStr"/>
      <c r="AA31" s="2" t="inlineStr">
        <is>
          <t>"In situ studies on heavy ion irradiation and partial oxidation induced stacking faults and nanograins in tungsten nanolaminates" [Materials Today] (2026) [DOI: https://doi.org/10.1016/j.mattod.2026.103494] | "Bayesian data-driven discovery of partial differential equations with variable coefficients" [Computers &amp; Mathematics with Applications] (2026) [DOI: https://doi.org/10.1016/j.camwa.2026.07.034] | "Muon with spectral guidance: Efficient optimization for scientific machine learning" [Journal of Computational Physics] (2026) [DOI: https://doi.org/10.1016/j.jcp.2026.115231] | "Machine Learning Inverse Design Reveals a Double Narrow-Band Absorption Approach for Effective Colored Radiative Cooling Paints" [Nano Letters] (2026) [DOI: https://doi.org/10.1021/acs.nanolett.6c01941] | "Conformalized-KANs: uncertainty quantification with coverage guarantees for Kolmogorov–Arnold Networks (KANs) in scientific machine learning" [Machine Learning Science and Technology] (2026) [DOI: https://doi.org/10.1088/2632-2153/ae7495]</t>
        </is>
      </c>
      <c r="AB31" s="2" t="inlineStr">
        <is>
          <t>"EEG-based emotion recognition using 4D convolutional recurrent neural network" [Cognitive Neurodynamics] (2020, 248 cites) [DOI: https://doi.org/10.1007/s11571-020-09634-1] | "Compressive sensing based machine learning strategy for characterizing the flow around a cylinder with limited pressure measurements" [Physics of Fluids] (2013, 182 cites) [DOI: https://doi.org/10.1063/1.4836815] | "Multi-output separable Gaussian process: Towards an efficient, fully Bayesian paradigm for uncertainty quantification" [Journal of Computational Physics] (2013, 178 cites) [DOI: https://doi.org/10.1016/j.jcp.2013.01.011]</t>
        </is>
      </c>
      <c r="AC31" s="2" t="inlineStr"/>
      <c r="AD31" s="2" t="inlineStr">
        <is>
          <t>Outstanding Mechanical Engineers Distinguished Engineering Alumni Honorary Doctorates Staff Awards Student Awards Distinguished...</t>
        </is>
      </c>
      <c r="AE31" s="2" t="inlineStr"/>
      <c r="AF31" s="2" t="inlineStr">
        <is>
          <t>Model Reduction and Neural Networks (78) | Probabilistic and Robust Engineering Design (67) | Gaussian Processes and Bayesian Inference (39)</t>
        </is>
      </c>
      <c r="AG31" s="2" t="inlineStr">
        <is>
          <t>Model Reduction and Neural Networks (78) | Probabilistic and Robust Engineering Design (67) | Gaussian Processes and Bayesian Inference (39)</t>
        </is>
      </c>
      <c r="AH31" s="2" t="inlineStr">
        <is>
          <t>Big data analysis and statistical machine learning Predictive modeling and uncertainty quantification Scientific computing and computational fluid dynamics Stochastic multiscale modeling</t>
        </is>
      </c>
      <c r="AI31" s="2" t="inlineStr">
        <is>
          <t>Dynamics &amp; Vibration Fluid Mechanics</t>
        </is>
      </c>
      <c r="AJ31" s="2" t="inlineStr">
        <is>
          <t>Dynamics &amp; Vibration Fluid Mechanics</t>
        </is>
      </c>
      <c r="AK31" s="2" t="inlineStr"/>
      <c r="AL31" s="2" t="inlineStr">
        <is>
          <t>Personal Homepage</t>
        </is>
      </c>
      <c r="AM31" s="3">
        <f>HYPERLINK("http://www.math.purdue.edu/~lin491/", "http://www.math.purdue.edu/~lin491/")</f>
        <v/>
      </c>
      <c r="AN31" s="2" t="inlineStr"/>
      <c r="AO31" s="2" t="inlineStr"/>
      <c r="AP31" s="2" t="inlineStr"/>
      <c r="AQ31" s="2" t="inlineStr"/>
      <c r="AR31" s="2" t="inlineStr"/>
      <c r="AS31" s="2" t="inlineStr"/>
      <c r="AT31" s="2" t="inlineStr"/>
      <c r="AU31" s="2" t="b">
        <v>1</v>
      </c>
      <c r="AV31" s="3">
        <f>HYPERLINK("https://engineering.purdue.edu/ME/People/ptFaculty", "https://engineering.purdue.edu/ME/People/ptFaculty")</f>
        <v/>
      </c>
    </row>
    <row r="32">
      <c r="A32" s="2" t="inlineStr">
        <is>
          <t>Hector Gomez</t>
        </is>
      </c>
      <c r="B32" s="2" t="inlineStr">
        <is>
          <t>Purdue University</t>
        </is>
      </c>
      <c r="C32" s="3">
        <f>HYPERLINK("https://engineering.purdue.edu/ME/People/ptProfile?resource_id=157698", "https://engineering.purdue.edu/ME/People/ptProfile?resource_id=157698")</f>
        <v/>
      </c>
      <c r="D32" s="3">
        <f>HYPERLINK("https://scholar.google.com/citations?view_op=search_authors&amp;mauthors=Hector%20Gomez%20Purdue%20University", "Google Scholar Search")</f>
        <v/>
      </c>
      <c r="E32" s="2" t="inlineStr">
        <is>
          <t>Morris Goldman Chair in Engineering</t>
        </is>
      </c>
      <c r="F32" s="2" t="inlineStr">
        <is>
          <t>Mechanical Engineering</t>
        </is>
      </c>
      <c r="G32" s="2" t="inlineStr"/>
      <c r="H32" s="3">
        <f>HYPERLINK("mailto:hectorgomez@purdue.edu", "hectorgomez@purdue.edu")</f>
        <v/>
      </c>
      <c r="I32" s="2" t="n">
        <v>1</v>
      </c>
      <c r="J32" s="2" t="inlineStr">
        <is>
          <t>🔵 Tier 1: Core Aero / Fluids / Propulsion</t>
        </is>
      </c>
      <c r="K32" s="2" t="n">
        <v>4</v>
      </c>
      <c r="L32" s="2" t="inlineStr">
        <is>
          <t>fluid mechanics, fluid-structure interaction, fluids, solid mechanics</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is>
          <t>"Computational Modeling Unveils the Impact of Tissue Growth and Vascular Remodeling on the Distribution of Interstitial Chemical Species" [Annals of Biomedical Engineering] (2026) [DOI: https://doi.org/10.1007/s10439-026-04214-6] | "Mechanistic multiphysics modeling reveals how blood pulsation drives CSF flow, pressure, and brain deformation under physiological and injection conditions" [Fluids and Barriers of the CNS] (2026) [DOI: https://doi.org/10.1186/s12987-026-00804-7] | "Simulating surfactant effects in phase-transforming fluids" [Physics of Fluids] (2026) [DOI: https://doi.org/10.1063/5.0321558] | "Droplet mobilization in actuated deformable tubes" [Physical Review Fluids] (2026) [DOI: https://doi.org/10.1103/rbhz-c4mr] | "Phase-field/discontinuity capturing operator for direct van der waals simulation (DVS)" [Journal of Computational Physics] (2026) [DOI: https://doi.org/10.1016/j.jcp.2026.114742]</t>
        </is>
      </c>
      <c r="AB32" s="2" t="inlineStr">
        <is>
          <t>"A physics-informed deep learning framework for inversion and surrogate modeling in solid mechanics" [Computer Methods in Applied Mechanics and Engineering] (2021, 1309 cites) [DOI: https://doi.org/10.1016/j.cma.2021.113741] | "Isogeometric analysis of the Cahn–Hilliard phase-field model" [Computer Methods in Applied Mechanics and Engineering] (2008, 601 cites) [DOI: https://doi.org/10.1016/j.cma.2008.05.003] | "Provably unconditionally stable, second-order time-accurate, mixed variational methods for phase-field models" [Journal of Computational Physics] (2011, 280 cites) [DOI: https://doi.org/10.1016/j.jcp.2011.03.033]</t>
        </is>
      </c>
      <c r="AC32" s="2" t="inlineStr"/>
      <c r="AD32" s="2" t="inlineStr">
        <is>
          <t>Outstanding Mechanical Engineers Distinguished Engineering Alumni Honorary Doctorates Staff Awards Student Awards Distinguished...</t>
        </is>
      </c>
      <c r="AE32" s="2" t="inlineStr"/>
      <c r="AF32" s="2" t="inlineStr">
        <is>
          <t>Mathematical Biology Tumor Growth (67) | Advanced Numerical Analysis Techniques (40) | Advanced Numerical Methods in Computational Mathematics (31)</t>
        </is>
      </c>
      <c r="AG32" s="2" t="inlineStr">
        <is>
          <t>Mathematical Biology Tumor Growth (67) | Advanced Numerical Analysis Techniques (40) | Advanced Numerical Methods in Computational Mathematics (31)</t>
        </is>
      </c>
      <c r="AH32" s="2" t="inlineStr">
        <is>
          <t>Modeling and simulation techniques for multiphase and multiphysics problems using the phase-field method. Isogeometric methods with applications in fluid and solid mechanics. Modeling and simulation tools for several biomechanics problems, including tumor growth, cellular migration and blood flow at small scales. Computational methods for fluid-structure interaction, especially when the problem involves complex fluids.</t>
        </is>
      </c>
      <c r="AI32" s="2" t="inlineStr">
        <is>
          <t>Fluid Mechanics</t>
        </is>
      </c>
      <c r="AJ32" s="2" t="inlineStr">
        <is>
          <t>Fluid Mechanics</t>
        </is>
      </c>
      <c r="AK32" s="2" t="inlineStr">
        <is>
          <t>Civil Engineering, Universidade da Coruna, Spain Ph.D., Civil Engineering, Universidade da Coruna, Spain</t>
        </is>
      </c>
      <c r="AL32" s="2" t="inlineStr">
        <is>
          <t>Gomez Lab</t>
        </is>
      </c>
      <c r="AM32" s="3">
        <f>HYPERLINK("https://engineering.purdue.edu/gomez/", "https://engineering.purdue.edu/gomez/")</f>
        <v/>
      </c>
      <c r="AN32" s="2" t="inlineStr"/>
      <c r="AO32" s="2" t="inlineStr"/>
      <c r="AP32" s="2" t="inlineStr"/>
      <c r="AQ32" s="2" t="inlineStr"/>
      <c r="AR32" s="2" t="inlineStr"/>
      <c r="AS32" s="2" t="inlineStr"/>
      <c r="AT32" s="2" t="inlineStr">
        <is>
          <t>ME 3168</t>
        </is>
      </c>
      <c r="AU32" s="2" t="b">
        <v>1</v>
      </c>
      <c r="AV32" s="3">
        <f>HYPERLINK("https://engineering.purdue.edu/ME/People/ptFaculty", "https://engineering.purdue.edu/ME/People/ptFaculty")</f>
        <v/>
      </c>
    </row>
    <row r="33">
      <c r="A33" s="2" t="inlineStr">
        <is>
          <t>James M. Longuski</t>
        </is>
      </c>
      <c r="B33" s="2" t="inlineStr">
        <is>
          <t>Purdue University</t>
        </is>
      </c>
      <c r="C33" s="3">
        <f>HYPERLINK("https://engineering.purdue.edu/AAE/people/ptProfile?resource_id=1319", "https://engineering.purdue.edu/AAE/people/ptProfile?resource_id=1319")</f>
        <v/>
      </c>
      <c r="D33" s="3">
        <f>HYPERLINK("https://scholar.google.com/citations?view_op=search_authors&amp;mauthors=James%20M.%20Longuski%20Purdue%20University", "Google Scholar Search")</f>
        <v/>
      </c>
      <c r="E33" s="2" t="inlineStr">
        <is>
          <t>Professor, Ph.D., Michigan, 1979, spacecraft dynamics, orbit mechanics, control, orbit decay and reentry.</t>
        </is>
      </c>
      <c r="F33" s="2" t="inlineStr">
        <is>
          <t>Aeronautics and Astronautics</t>
        </is>
      </c>
      <c r="G33" s="2" t="inlineStr"/>
      <c r="H33" s="3">
        <f>HYPERLINK("mailto:webmaster-eng@purdue.edu", "webmaster-eng@purdue.edu")</f>
        <v/>
      </c>
      <c r="I33" s="2" t="n">
        <v>1</v>
      </c>
      <c r="J33" s="2" t="inlineStr">
        <is>
          <t>🔵 Tier 1: Core Aero / Fluids / Propulsion</t>
        </is>
      </c>
      <c r="K33" s="2" t="n">
        <v>4</v>
      </c>
      <c r="L33" s="2" t="inlineStr">
        <is>
          <t>aerospace, guidance, propulsion, spacecraft</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is>
          <t>"Enumeration of the Multiple-Outage Missed-Thrust Problem" [The Journal of the Astronautical Sciences] (2024) [DOI: https://doi.org/10.1007/s40295-024-00454-7] | "A single wheel test rig for ocean world rovers" [Journal of Terramechanics] (2023) [DOI: https://doi.org/10.1016/j.jterra.2023.07.001] | "Aerocapture: Enabling Small Spacecraft Direct Access to Low-Circular Orbits for Planetary Constellations" [Aerospace] (2023) [DOI: https://doi.org/10.3390/aerospace10030271]</t>
        </is>
      </c>
      <c r="AB33" s="2" t="inlineStr">
        <is>
          <t>"Shape-Based Algorithm for the Automated Design of Low-Thrust, Gravity Assist Trajectories" [Journal of Spacecraft and Rockets] (2004, 250 cites) [DOI: https://doi.org/10.2514/1.13095] | "Graphical Method for Gravity-Assist Trajectory Design" [Journal of Spacecraft and Rockets] (2002, 165 cites) [DOI: https://doi.org/10.2514/2.3800] | "Optimal Control with Aerospace Applications" (2013, 147 cites) [DOI: https://doi.org/10.1007/978-1-4614-8945-0]</t>
        </is>
      </c>
      <c r="AC33" s="2" t="inlineStr"/>
      <c r="AD33" s="2" t="inlineStr">
        <is>
          <t>NOVA (Notable Organizational Value-Added) Award from Jet Propulsion Laboratory, 1999 NASA Space Act Award, presented for creati...</t>
        </is>
      </c>
      <c r="AE33" s="2" t="inlineStr"/>
      <c r="AF33" s="2" t="inlineStr">
        <is>
          <t>Spacecraft Dynamics and Control (145) | Astro and Planetary Science (118) | Space Satellite Systems and Control (72)</t>
        </is>
      </c>
      <c r="AG33" s="2" t="inlineStr">
        <is>
          <t>Spacecraft Dynamics and Control (145) | Astro and Planetary Science (118) | Space Satellite Systems and Control (72)</t>
        </is>
      </c>
      <c r="AH33" s="2" t="inlineStr">
        <is>
          <t>Spacecraft Dynamics Orbit Mechanics Control Orbit decay and reentry</t>
        </is>
      </c>
      <c r="AI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work to a general analytic theory (which provides solutions for angular velocity, the attitude, the angular momentum vector and the translational velocity of rigid and elastic bodies subject to arbitrary body-fixed torques and forces) and to develop control laws based on the analytic theory. In 2) mission design tools developed at the Jet Propulsion Laboratory have been acquired for research use at Purdue. Both theoretical and computational techniques are being employed to analyze the delta V gravity-assist problem in terms of identifying potential trajectories (such as the Voyager Grand Tour and the Galileo VEEGA) and optimizing the launch energy and propellant requirements for these trajectories. In 3) analytic solutions have been obtained for the probability of immediate reentry and of orbit decay, as well as escape, in the event of misdirected interplanetary injection maneuvers occurring at low earth orbit. The solutions have relevance to safety issues involving nuclear power plants aboard deep space probes. In 4) the feasibility of using tethers for aerobraking has been demonstrated. The basic idea is to connect an orbiter and a probe together by a long tether, for missions to planets with atmospheres. The probe enters the atmosphere and is used to reduce the hyperbolic speed of the orbiter to capture speed, thus eliminating the large retro maneuver normally required. New issues being addressed include analysis of the flexible tether, tether guidance and control, and spacecraft (endpoint) attitude control.</t>
        </is>
      </c>
      <c r="AJ33" s="2" t="inlineStr">
        <is>
          <t>Current research efforts include 1) analytic theory and control of spinning-up and thrusting vehicles, 2) mission design and trajectory design for interplanetary flight, 3) orbit decay and reentry problems, and 4) tethers in space. In 1) breakthroughs were achieved earlier at the Jet Propulsion Laboratory in the analysis of the Galileo spacecraft maneuvers. The current goal is to extend this wo...</t>
        </is>
      </c>
      <c r="AK33" s="2" t="inlineStr">
        <is>
          <t>B.S.E., The University of Michigan, Aerospace Engineering - Cum laude, 1973 M.S.E., The University of Michigan, Aerospace Engineering, 1975 Ph.D., The University of Michigan, Aerospace Engineering, 1979</t>
        </is>
      </c>
      <c r="AL33" s="2" t="inlineStr">
        <is>
          <t>Indiana Space Grant Consortium</t>
        </is>
      </c>
      <c r="AM33" s="3">
        <f>HYPERLINK("https://insgc.spacegrant.org/", "https://insgc.spacegrant.org/")</f>
        <v/>
      </c>
      <c r="AN33" s="2" t="inlineStr">
        <is>
          <t>Academic INSGC Internships</t>
        </is>
      </c>
      <c r="AO33" s="2" t="inlineStr"/>
      <c r="AP33" s="2" t="inlineStr"/>
      <c r="AQ33" s="2" t="inlineStr">
        <is>
          <t>NASA</t>
        </is>
      </c>
      <c r="AR33" s="2" t="inlineStr"/>
      <c r="AS33" s="2" t="inlineStr"/>
      <c r="AT33" s="2" t="inlineStr"/>
      <c r="AU33" s="2" t="b">
        <v>1</v>
      </c>
      <c r="AV33" s="3">
        <f>HYPERLINK("https://engineering.purdue.edu/AAE/people/Faculty", "https://engineering.purdue.edu/AAE/people/Faculty")</f>
        <v/>
      </c>
    </row>
    <row r="34">
      <c r="A34" s="2" t="inlineStr">
        <is>
          <t>Kazuki Maeda</t>
        </is>
      </c>
      <c r="B34" s="2" t="inlineStr">
        <is>
          <t>Purdue University</t>
        </is>
      </c>
      <c r="C34" s="3">
        <f>HYPERLINK("https://engineering.purdue.edu/AAE/people/ptProfile?resource_id=284676", "https://engineering.purdue.edu/AAE/people/ptProfile?resource_id=284676")</f>
        <v/>
      </c>
      <c r="D34" s="3">
        <f>HYPERLINK("https://scholar.google.com/citations?hl=en&amp;user=r7gLAy4AAAAJ&amp;view_op=list_works&amp;sortby=pubdate", "Scholar (r7gLAy4AAAAJ)")</f>
        <v/>
      </c>
      <c r="E34" s="2" t="inlineStr">
        <is>
          <t>Assistant Professor</t>
        </is>
      </c>
      <c r="F34" s="2" t="inlineStr">
        <is>
          <t>Aeronautics and Astronautics</t>
        </is>
      </c>
      <c r="G34" s="2" t="inlineStr">
        <is>
          <t>r7gLAy4AAAAJ</t>
        </is>
      </c>
      <c r="H34" s="3">
        <f>HYPERLINK("mailto:kmaeda@purdue.edu", "kmaeda@purdue.edu")</f>
        <v/>
      </c>
      <c r="I34" s="2" t="n">
        <v>1</v>
      </c>
      <c r="J34" s="2" t="inlineStr">
        <is>
          <t>🔵 Tier 1: Core Aero / Fluids / Propulsion</t>
        </is>
      </c>
      <c r="K34" s="2" t="n">
        <v>4</v>
      </c>
      <c r="L34" s="2" t="inlineStr">
        <is>
          <t>aerodynamics, hypersonic, propulsion, rocket propulsion</t>
        </is>
      </c>
      <c r="M34" s="2" t="inlineStr">
        <is>
          <t>Reactive molecular dynamics, non-equilibrium shock wave physics in reactive gaseous mixtures, high-frequency biomedical ultrasound, and multiscale flow modeling.</t>
        </is>
      </c>
      <c r="N34" s="2" t="inlineStr">
        <is>
          <t>Reactive Molecular Dynamics (ReaxFF), Non-Equilibrium Kinetic Solvers, High-Frequency Ultrasound Diagnostics, Shock Tube Simulations</t>
        </is>
      </c>
      <c r="O34" s="2" t="inlineStr">
        <is>
          <t>Effect of Shock Strength on the Structure of H 2 /O 2 Reactive Shock Waves</t>
        </is>
      </c>
      <c r="P34" s="3">
        <f>HYPERLINK("https://doi.org/10.2514/6.2026-1003", "https://doi.org/10.2514/6.2026-1003")</f>
        <v/>
      </c>
      <c r="Q34" s="2" t="inlineStr">
        <is>
          <t>performing non-equilibrium reactive molecular dynamics of H2/O2 shock waves up to 5 km/s, revealing that molecular mass disparity between H2 and O2 drives species separation across the subcontinuum shock front prior to chemical induction.</t>
        </is>
      </c>
      <c r="R34" s="2" t="inlineStr">
        <is>
          <t>We report on the effect of shock strength on the structures of reactive shock waves in stoichiometric gaseous H2/O2 mixtures by using non-equilibrium reactive molecular dynamics simulations. A shock wave is generated by a moving piston in a square duct across piston velocities from 2 to 5 km/s. Atomic trajectories resolve the spatial separation between the hydrodynamic shock compression zone and the chemical induction zone, demonstrating that extreme molecular mass disparity drives significant species separation prior to ignition.</t>
        </is>
      </c>
      <c r="S34" s="2" t="inlineStr">
        <is>
          <t>Subcontinuum structures of reactive shock waves in gaseous H 2 / O 2 mixtures</t>
        </is>
      </c>
      <c r="T34" s="3">
        <f>HYPERLINK("https://doi.org/10.1103/y7lz-563m", "https://doi.org/10.1103/y7lz-563m")</f>
        <v/>
      </c>
      <c r="U34" s="2" t="inlineStr">
        <is>
          <t>resolving the subcontinuum shock layer in Mach 5 H2/O2 mixtures, demonstrating that prompt translational pre-heating of light hydrogen molecules alters bimolecular radical initiation ahead of the primary hydrodynamic shock.</t>
        </is>
      </c>
      <c r="V34" s="2" t="inlineStr">
        <is>
          <t>Nonequilibrium reactive molecular dynamics simulations reveal detailed structures of a Mach 5 shock wave in a gaseous H2/O2 mixture, driven by the large mass disparity between H2 and O2 molecules. The light hydrogen molecules experience prompt translational pre-heating ahead of the heavier oxygen shock, producing non-Maxwellian velocity distributions that fundamentally modify the initiation of elementary bimolecular chain-branching reactions.</t>
        </is>
      </c>
      <c r="W34" s="2" t="inlineStr">
        <is>
          <t>1. Effect of Shock Strength on the Structure of H 2 /O 2 Reactive Shock Waves (AIAA SciTech, 2026) [DOI: https://doi.org/10.2514/6.2026-1003] | 2. Subcontinuum structures of reactive shock waves in gaseous H 2 / O 2 mixtures (Physical Review Fluids, 2025) [DOI: https://doi.org/10.1103/y7lz-563m]</t>
        </is>
      </c>
      <c r="X34" s="3">
        <f>HYPERLINK("https://doi.org/10.2514/6.2026-1003", "https://doi.org/10.2514/6.2026-1003 | https://doi.org/10.1103/y7lz-563m")</f>
        <v/>
      </c>
      <c r="Y34" s="2" t="inlineStr">
        <is>
          <t>performing non-equilibrium reactive molecular dynamics of H2/O2 shock waves up to 5 km/s, revealing that molecular mass disparity between H2 and O2 drives species separation across the subcontinuum shock front prior to chemical induction.</t>
        </is>
      </c>
      <c r="Z34" s="2" t="inlineStr"/>
      <c r="AA34" s="2" t="inlineStr">
        <is>
          <t>"Effect of Shock Strength on the Structure of H 2 /O 2 Reactive Shock Waves" (2026) [DOI: https://doi.org/10.2514/6.2026-1003] | "High-frequency ultrasound for microcirculation in metastatic mouse lymph node: contrast-free versus contrast-enhanced imaging" [Scientific Reports] (2025) [DOI: https://doi.org/10.1038/s41598-025-27268-3] | "Subcontinuum structures of reactive shock waves in gaseous H 2 / O 2 mixtures" [Physical Review Fluids] (2025) [DOI: https://doi.org/10.1103/y7lz-563m] | "Attenuation Estimation and Acoustic Characterization of Mouse Lymph Node Tumor Using High-frequency Ultrasound" [Molecular Imaging and Biology] (2025) [DOI: https://doi.org/10.1007/s11307-025-02007-2] | "An isospectral transformation between Hessenberg–bidiagonal matrix pencils and Hessenberg matrices without using subtraction" [Linear Algebra and its Applications] (2025) [DOI: https://doi.org/10.1016/j.laa.2025.04.022]</t>
        </is>
      </c>
      <c r="AB34" s="2" t="inlineStr">
        <is>
          <t>"Controlled Synthesis of 3D Multi‐Compartmental Particles with Centrifuge‐Based Microdroplet Formation from a Multi‐Barrelled Capillary" [Advanced Materials] (2012, 234 cites) [DOI: https://doi.org/10.1002/adma.201102560] | "Laser sintering (SLS) of hard metal powders for abrasion resistant coatings" [Journal of Materials Processing Technology] (2004, 78 cites) [DOI: https://doi.org/10.1016/j.jmatprotec.2004.02.024] | "Bubble cloud dynamics in an ultrasound field" [Journal of Fluid Mechanics] (2019, 77 cites) [DOI: https://doi.org/10.1017/jfm.2018.968]</t>
        </is>
      </c>
      <c r="AC34" s="2" t="inlineStr"/>
      <c r="AD34" s="2" t="inlineStr">
        <is>
          <t>Awards (selected) Richard Bruce Chapman Memorial Award Funai Foudation for Information Technology Overseas Scholarship Stanford...</t>
        </is>
      </c>
      <c r="AE34" s="2" t="inlineStr"/>
      <c r="AF34" s="2" t="inlineStr">
        <is>
          <t>Ultrasound and Cavitation Phenomena (20) | Optical Network Technologies (11) | Ultrasound and Hyperthermia Applications (10)</t>
        </is>
      </c>
      <c r="AG34" s="2" t="inlineStr">
        <is>
          <t>Ultrasound and Cavitation Phenomena (20) | Optical Network Technologies (11) | Ultrasound and Hyperthermia Applications (10)</t>
        </is>
      </c>
      <c r="AH34" s="2" t="inlineStr">
        <is>
          <t>Space propulsion Flow physics and aerodynamics Cyberphysical integration High-performance computing Rockets and hypersonics</t>
        </is>
      </c>
      <c r="AI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assimilation and optimization of complex engineering systems. Further information can be found in the group's webpage .</t>
        </is>
      </c>
      <c r="AJ34" s="2" t="inlineStr">
        <is>
          <t>Our group studies the dynamics of complex flows through integrated approaches combining physics-based modeling, high-performance computing and data science, software engineering, control, and companion experiments, with emphasis on space propulsion and aerovehicle systems. We are also interested in cyberphysical integration - effectively connecting computers and real-world devices - for assimil...</t>
        </is>
      </c>
      <c r="AK34" s="2" t="inlineStr">
        <is>
          <t>Ph.D. California Institute of Technology, Mechanical Engineering, 2018 M.S. California Institute of Technology, Mechanical Engineering, 2014 B.S. The University of Tokyo, Mechanical Engineering, 2013</t>
        </is>
      </c>
      <c r="AL34" s="2" t="inlineStr">
        <is>
          <t>Indiana Space Grant Consortium</t>
        </is>
      </c>
      <c r="AM34" s="3">
        <f>HYPERLINK("https://insgc.spacegrant.org/", "https://insgc.spacegrant.org/")</f>
        <v/>
      </c>
      <c r="AN34" s="2" t="inlineStr">
        <is>
          <t>Academic INSGC Internships</t>
        </is>
      </c>
      <c r="AO34" s="2" t="inlineStr"/>
      <c r="AP34" s="2" t="inlineStr"/>
      <c r="AQ34" s="2" t="inlineStr">
        <is>
          <t>NASA</t>
        </is>
      </c>
      <c r="AR34" s="2" t="inlineStr"/>
      <c r="AS34" s="2" t="inlineStr"/>
      <c r="AT34" s="2" t="inlineStr">
        <is>
          <t>ARMS 2037</t>
        </is>
      </c>
      <c r="AU34" s="2" t="b">
        <v>1</v>
      </c>
      <c r="AV34" s="3">
        <f>HYPERLINK("https://engineering.purdue.edu/AAE/people/Faculty", "https://engineering.purdue.edu/AAE/people/Faculty")</f>
        <v/>
      </c>
    </row>
    <row r="35">
      <c r="A35" s="2" t="inlineStr">
        <is>
          <t>Razi Nalim</t>
        </is>
      </c>
      <c r="B35" s="2" t="inlineStr">
        <is>
          <t>Purdue University</t>
        </is>
      </c>
      <c r="C35" s="3">
        <f>HYPERLINK("https://engineering.purdue.edu/ME/People/ptProfile?resource_id=297474", "https://engineering.purdue.edu/ME/People/ptProfile?resource_id=297474")</f>
        <v/>
      </c>
      <c r="D35" s="3">
        <f>HYPERLINK("https://scholar.google.com/citations?view_op=search_authors&amp;mauthors=Razi%20Nalim%20Purdue%20University", "Google Scholar Search")</f>
        <v/>
      </c>
      <c r="E35" s="2" t="inlineStr">
        <is>
          <t>Professor of Mechanical Engineering</t>
        </is>
      </c>
      <c r="F35" s="2" t="inlineStr">
        <is>
          <t>Mechanical Engineering</t>
        </is>
      </c>
      <c r="G35" s="2" t="inlineStr"/>
      <c r="H35" s="3">
        <f>HYPERLINK("mailto:mnalim@purdue.edu", "mnalim@purdue.edu")</f>
        <v/>
      </c>
      <c r="I35" s="2" t="n">
        <v>1</v>
      </c>
      <c r="J35" s="2" t="inlineStr">
        <is>
          <t>🔵 Tier 1: Core Aero / Fluids / Propulsion</t>
        </is>
      </c>
      <c r="K35" s="2" t="n">
        <v>4</v>
      </c>
      <c r="L35" s="2" t="inlineStr">
        <is>
          <t>aerospace, biofluid, combustion, turbulence</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"Large-Eddy Simulation of Traversing Jet Re-Ignition in a Wave-Rotor Constant-Volume Combustor" (2025) [DOI: https://doi.org/10.1115/gt2025-154259] | "Improved Incidence Loss Model for Wave Rotor Turbine With Non-Axial Channels at Off-Design Conditions" (2025) [DOI: https://doi.org/10.2514/6.2025-1973] | "Review of large-scale potential for carbon fiber from gas liquids for the carbon-hydrogen economy" (2024) [DOI: https://doi.org/10.1201/9781003496724-11] | "Efficient Low-Fidelity Design Tool for Turbine-Integrated Wave Rotor Combustor" (2024) [DOI: https://doi.org/10.1115/power2024-138815] | "Planning a Trucking Research Consortium using Industry Customer Discovery and Innovation Ecosystem Mapping" (2024) [DOI: https://doi.org/10.18260/1-2--47846]</t>
        </is>
      </c>
      <c r="AB35" s="2" t="inlineStr">
        <is>
          <t>"A Review of Wave Rotor Technology and Its Applications" [Journal of Engineering for Gas Turbines and Power] (2006, 178 cites) [DOI: https://doi.org/10.1115/1.2204628] | "Thermal-economic optimization of a distributed multi-generation energy system—A case study of Beijing" [Applied Thermal Engineering] (2005, 148 cites) [DOI: https://doi.org/10.1016/j.applthermaleng.2005.09.005] | "Review of Recent Developments in Wave Rotor Combustion Technology" [Journal of Propulsion and Power] (2009, 100 cites) [DOI: https://doi.org/10.2514/1.34081]</t>
        </is>
      </c>
      <c r="AC35" s="2" t="inlineStr"/>
      <c r="AD35" s="2" t="inlineStr">
        <is>
          <t>Outstanding Mechanical Engineers Distinguished Engineering Alumni Honorary Doctorates Staff Awards Student Awards Distinguished...</t>
        </is>
      </c>
      <c r="AE35" s="2" t="inlineStr"/>
      <c r="AF35" s="2" t="inlineStr">
        <is>
          <t>Combustion and Detonation Processes (89) | Combustion and flame dynamics (57) | Computational Fluid Dynamics and Aerodynamics (31)</t>
        </is>
      </c>
      <c r="AG35" s="2" t="inlineStr">
        <is>
          <t>Combustion and Detonation Processes (89) | Combustion and flame dynamics (57) | Computational Fluid Dynamics and Aerodynamics (31)</t>
        </is>
      </c>
      <c r="AH35" s="2" t="inlineStr">
        <is>
          <t>Pollution control innovative powerplants Wave rotors Combustion and turbulence modeling Ignition processes Design methodology and optimization Unsteady biofluid flow Biomedical engineering Aerospace education</t>
        </is>
      </c>
      <c r="AI35" s="2" t="inlineStr"/>
      <c r="AJ35" s="2" t="inlineStr">
        <is>
          <t>Pollution control innovative powerplants Wave rotors Combustion and turbulence modeling Ignition processes Design methodology and optimization Unsteady biofluid flow Biomedical engineering Aerospace education</t>
        </is>
      </c>
      <c r="AK35" s="2" t="inlineStr">
        <is>
          <t>B.S. Mechanical Engineering, Indian Institute of Technology, Kanpur, 1983 M.S. Mechanical Engineering, Cornell University, 1985 Ph.D. Aerospace Engineering, Cornell University, 1994</t>
        </is>
      </c>
      <c r="AL35" s="2" t="inlineStr">
        <is>
          <t>Indiana Space Grant Consortium</t>
        </is>
      </c>
      <c r="AM35" s="3">
        <f>HYPERLINK("https://insgc.spacegrant.org/", "https://insgc.spacegrant.org/")</f>
        <v/>
      </c>
      <c r="AN35" s="2" t="inlineStr">
        <is>
          <t>Academic INSGC Internships</t>
        </is>
      </c>
      <c r="AO35" s="2" t="inlineStr"/>
      <c r="AP35" s="2" t="inlineStr"/>
      <c r="AQ35" s="2" t="inlineStr">
        <is>
          <t>NASA</t>
        </is>
      </c>
      <c r="AR35" s="2" t="inlineStr"/>
      <c r="AS35" s="2" t="inlineStr"/>
      <c r="AT35" s="2" t="inlineStr"/>
      <c r="AU35" s="2" t="b">
        <v>1</v>
      </c>
      <c r="AV35" s="3">
        <f>HYPERLINK("https://engineering.purdue.edu/ME/People/ptFaculty", "https://engineering.purdue.edu/ME/People/ptFaculty")</f>
        <v/>
      </c>
    </row>
    <row r="36">
      <c r="A36" s="2" t="inlineStr">
        <is>
          <t>Romit Maulik</t>
        </is>
      </c>
      <c r="B36" s="2" t="inlineStr">
        <is>
          <t>Purdue University</t>
        </is>
      </c>
      <c r="C36" s="3">
        <f>HYPERLINK("https://engineering.purdue.edu/ME/People/ptProfile?resource_id=328301", "https://engineering.purdue.edu/ME/People/ptProfile?resource_id=328301")</f>
        <v/>
      </c>
      <c r="D36" s="3">
        <f>HYPERLINK("https://scholar.google.com/citations?view_op=search_authors&amp;mauthors=Romit%20Maulik%20Purdue%20University", "Google Scholar Search")</f>
        <v/>
      </c>
      <c r="E36" s="2" t="inlineStr">
        <is>
          <t>Assistant Professor of Mechanical Engineering</t>
        </is>
      </c>
      <c r="F36" s="2" t="inlineStr">
        <is>
          <t>Mechanical Engineering</t>
        </is>
      </c>
      <c r="G36" s="2" t="inlineStr"/>
      <c r="H36" s="3">
        <f>HYPERLINK("mailto:rmaulik@purdue.edu", "rmaulik@purdue.edu")</f>
        <v/>
      </c>
      <c r="I36" s="2" t="n">
        <v>1</v>
      </c>
      <c r="J36" s="2" t="inlineStr">
        <is>
          <t>🔵 Tier 1: Core Aero / Fluids / Propulsion</t>
        </is>
      </c>
      <c r="K36" s="2" t="n">
        <v>4</v>
      </c>
      <c r="L36" s="2" t="inlineStr">
        <is>
          <t>computational fluid dynamics, fluid dynamics, fluid mechanics, scientific computing</t>
        </is>
      </c>
      <c r="M36" s="2" t="inlineStr">
        <is>
          <t>Differentiable physics for turbulence closure modeling, neural operators (Fourier/PCA-Net), reduced-order modeling for advection-dominated systems, and deep generative models.</t>
        </is>
      </c>
      <c r="N36" s="2" t="inlineStr">
        <is>
          <t>Differentiable CFD Solvers (JAX-Fluids/PyTorch), Neural Operators (FNO/DeepONet), Convolutional Autoencoders, Subgrid-Scale Turbulence Closures, Diffusion Models</t>
        </is>
      </c>
      <c r="O36" s="2" t="inlineStr">
        <is>
          <t>Generalizable data-driven turbulence closure modeling on unstructured grids with differentiable physics</t>
        </is>
      </c>
      <c r="P36" s="3">
        <f>HYPERLINK("https://doi.org/10.1016/j.compfluid.2026.107200", "https://doi.org/10.1016/j.compfluid.2026.107200")</f>
        <v/>
      </c>
      <c r="Q36" s="2" t="inlineStr">
        <is>
          <t>coupling automatic differentiation with unstructured CFD solvers to train data-driven subgrid turbulence closures, demonstrating that end-to-end differentiable physics training prevents numerical instabilities and generalizes across complex geometries.</t>
        </is>
      </c>
      <c r="R36" s="2" t="inlineStr">
        <is>
          <t>We present a differentiable physics framework for training data-driven subgrid-scale turbulence models on unstructured grids. By backpropagating through the discretized Navier-Stokes solver using automatic differentiation, the neural network learns closure corrections that account for numerical truncation errors and non-local stress interactions. The resulting models demonstrate remarkable stability and generalize across disparate Reynolds numbers and complex aerodynamic geometries.</t>
        </is>
      </c>
      <c r="S36" s="2" t="inlineStr">
        <is>
          <t>Reduced-order modeling of advection-dominated systems with recurrent neural networks and convolutional autoencoders</t>
        </is>
      </c>
      <c r="T36" s="3">
        <f>HYPERLINK("https://doi.org/10.1063/5.0039986", "https://doi.org/10.1063/5.0039986")</f>
        <v/>
      </c>
      <c r="U36" s="2" t="inlineStr">
        <is>
          <t>formulating non-linear manifold reduced-order models via convolutional autoencoders and recurrent neural networks for advection-dominated flows, overcoming linear POD limitations to accurately propagate moving shock and vortex dynamics.</t>
        </is>
      </c>
      <c r="V36" s="2" t="inlineStr">
        <is>
          <t>A common strategy for dimensionality reduction of nonlinear partial differential equations relies on proper orthogonal decomposition (POD) with Galerkin projection. However, advection-dominated systems exhibit slow decay of Kolmogorov n-width, degrading linear POD accuracy. This study develops a non-linear manifold reduced-order model combining convolutional autoencoders with recurrent neural networks (LSTM). The architecture accurately captures propagating shock fronts and vortex convection with orders-of-magnitude fewer degrees of freedom.</t>
        </is>
      </c>
      <c r="W36" s="2" t="inlineStr">
        <is>
          <t>1. Generalizable data-driven turbulence closure modeling on unstructured grids with differentiable physics (Computers &amp; Fluids, 2026) [DOI: https://doi.org/10.1016/j.compfluid.2026.107200] | 2. Reduced-order modeling of advection-dominated systems with recurrent neural networks and convolutional autoencoders (Physics of Fluids, 2021) [DOI: https://doi.org/10.1063/5.0039986]</t>
        </is>
      </c>
      <c r="X36" s="3">
        <f>HYPERLINK("https://doi.org/10.1016/j.compfluid.2026.107200", "https://doi.org/10.1016/j.compfluid.2026.107200 | https://doi.org/10.1063/5.0039986")</f>
        <v/>
      </c>
      <c r="Y36" s="2" t="inlineStr">
        <is>
          <t>coupling automatic differentiation with unstructured CFD solvers to train data-driven subgrid turbulence closures, demonstrating that end-to-end differentiable physics training prevents numerical instabilities and generalizes across complex geometries.</t>
        </is>
      </c>
      <c r="Z36" s="2" t="inlineStr"/>
      <c r="AA36" s="2" t="inlineStr">
        <is>
          <t>"Generalizable data-driven turbulence closure modeling on unstructured grids with differentiable physics" [Computers &amp; Fluids] (2026) [DOI: https://doi.org/10.1016/j.compfluid.2026.107200] | "Localized PCA-Net neural operators for scalable solution reconstruction of elliptic PDEs" [Machine learning for computational science and engineering] (2026) [DOI: https://doi.org/10.1007/s44379-026-00070-2] | "SALSA-RL: stability analysis in the latent space of actions for reinforcement learning" [Neural Networks] (2026) [DOI: https://doi.org/10.1016/j.neunet.2026.108957] | "Multimodal atmospheric super-resolution with deep generative models" [Machine Learning Earth] (2025) [DOI: https://doi.org/10.1088/3049-4753/ae286e] | "Measure-Theoretic Time-Delay Embedding" [Journal of Statistical Physics] (2025) [DOI: https://doi.org/10.1007/s10955-025-03555-1]</t>
        </is>
      </c>
      <c r="AB36" s="2" t="inlineStr">
        <is>
          <t>"Reduced-order modeling of advection-dominated systems with recurrent neural networks and convolutional autoencoders" [Physics of Fluids] (2021, 303 cites) [DOI: https://doi.org/10.1063/5.0039986] | "An artificial neural network framework for reduced order modeling of transient flows" [Communications in Nonlinear Science and Numerical Simulation] (2019, 170 cites) [DOI: https://doi.org/10.1016/j.cnsns.2019.04.025] | "Neural network closures for nonlinear model order reduction" [Advances in Computational Mathematics] (2018, 154 cites) [DOI: https://doi.org/10.1007/s10444-018-9590-z]</t>
        </is>
      </c>
      <c r="AC36" s="2" t="inlineStr"/>
      <c r="AD36" s="2" t="inlineStr">
        <is>
          <t>Outstanding Mechanical Engineers Distinguished Engineering Alumni Honorary Doctorates Staff Awards Student Awards Distinguished...</t>
        </is>
      </c>
      <c r="AE36" s="2" t="inlineStr"/>
      <c r="AF36" s="2" t="inlineStr">
        <is>
          <t>Model Reduction and Neural Networks (76) | Fluid Dynamics and Turbulent Flows (58) | Meteorological Phenomena and Simulations (46)</t>
        </is>
      </c>
      <c r="AG36" s="2" t="inlineStr">
        <is>
          <t>Model Reduction and Neural Networks (76) | Fluid Dynamics and Turbulent Flows (58) | Meteorological Phenomena and Simulations (46)</t>
        </is>
      </c>
      <c r="AH36" s="2" t="inlineStr">
        <is>
          <t>Scientific machine learning Computational fluid dynamics Dynamical systems Inverse problems</t>
        </is>
      </c>
      <c r="AI36" s="2" t="inlineStr">
        <is>
          <t>Fluid Mechanics</t>
        </is>
      </c>
      <c r="AJ36" s="2" t="inlineStr">
        <is>
          <t>Fluid Mechanics</t>
        </is>
      </c>
      <c r="AK36" s="2" t="inlineStr">
        <is>
          <t>Margaret Butler Postdoctoral Fellow - Argonne National Laboratory - 2021 PhD - Oklahoma State University - 2019 MS - Oklahoma State University - 2016 BS - Birla Institute of Technology - 2012</t>
        </is>
      </c>
      <c r="AL36" s="2" t="inlineStr">
        <is>
          <t>Interdisciplinary Scientific Computing Laboratory (GitHub)</t>
        </is>
      </c>
      <c r="AM36" s="3">
        <f>HYPERLINK("https://romit-maulik.github.io/", "https://romit-maulik.github.io/")</f>
        <v/>
      </c>
      <c r="AN36" s="2" t="inlineStr"/>
      <c r="AO36" s="2" t="inlineStr"/>
      <c r="AP36" s="2" t="inlineStr"/>
      <c r="AQ36" s="2" t="inlineStr"/>
      <c r="AR36" s="3">
        <f>HYPERLINK("https://github.com/Romit-Maulik", "https://github.com/Romit-Maulik, https://github.com/mavroudisv/plain-academic")</f>
        <v/>
      </c>
      <c r="AS36" s="2" t="inlineStr"/>
      <c r="AT36" s="2" t="inlineStr">
        <is>
          <t>FLEX 3081B</t>
        </is>
      </c>
      <c r="AU36" s="2" t="b">
        <v>1</v>
      </c>
      <c r="AV36" s="3">
        <f>HYPERLINK("https://engineering.purdue.edu/ME/People/ptFaculty", "https://engineering.purdue.edu/ME/People/ptFaculty")</f>
        <v/>
      </c>
    </row>
    <row r="37">
      <c r="A37" s="2" t="inlineStr">
        <is>
          <t>Stephen D. Heister</t>
        </is>
      </c>
      <c r="B37" s="2" t="inlineStr">
        <is>
          <t>Purdue University</t>
        </is>
      </c>
      <c r="C37" s="3">
        <f>HYPERLINK("https://engineering.purdue.edu/AAE/people/ptProfile?resource_id=1326", "https://engineering.purdue.edu/AAE/people/ptProfile?resource_id=1326")</f>
        <v/>
      </c>
      <c r="D37" s="3">
        <f>HYPERLINK("https://scholar.google.com/citations?view_op=search_authors&amp;mauthors=Stephen%20D.%20Heister%20Purdue%20University", "Google Scholar Search")</f>
        <v/>
      </c>
      <c r="E37" s="2" t="inlineStr">
        <is>
          <t>Raisbeck Engineering Distinguished Professor for Engineering and Technology Integration; Ph.D., UCLA, 1988, rocket propulsion, liquid propellant injection systems.</t>
        </is>
      </c>
      <c r="F37" s="2" t="inlineStr">
        <is>
          <t>Aeronautics and Astronautics</t>
        </is>
      </c>
      <c r="G37" s="2" t="inlineStr"/>
      <c r="H37" s="3">
        <f>HYPERLINK("mailto:webmaster-eng@purdue.edu", "webmaster-eng@purdue.edu")</f>
        <v/>
      </c>
      <c r="I37" s="2" t="n">
        <v>1</v>
      </c>
      <c r="J37" s="2" t="inlineStr">
        <is>
          <t>🔵 Tier 1: Core Aero / Fluids / Propulsion</t>
        </is>
      </c>
      <c r="K37" s="2" t="n">
        <v>4</v>
      </c>
      <c r="L37" s="2" t="inlineStr">
        <is>
          <t>aerospace, detonation, propulsion, rocket propulsion</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is>
          <t>"Structural Life Characterization of a Rotating Detonation Rocket Engine (RDRE)" (2025) [DOI: https://doi.org/10.2514/6.2025-1977] | "Heat Transfer Measurements of NASA Liquid Kerosene/Oxygen Rotating Detonation Rocket Engine" (2025) [DOI: https://doi.org/10.2514/6.2025-1976] | "Current Status of Liquid-Bipropellant Detonation-Based Propulsion Devices" [Journal of Propulsion and Power] (2024) [DOI: https://doi.org/10.2514/1.b39360] | "Impulse generated from detonation waves in non-premixed and partially premixed reactants" [Applications in Energy and Combustion Science] (2024) [DOI: https://doi.org/10.1016/j.jaecs.2024.100264] | "Rotating detonation combustor performance informed through a novel megahertz-rate stagnation pressure measurement" [Physics of Fluids] (2024) [DOI: https://doi.org/10.1063/5.0195465]</t>
        </is>
      </c>
      <c r="AB37" s="2" t="inlineStr">
        <is>
          <t>"Thermoelectric Generators for Automotive Waste Heat Recovery Systems Part I: Numerical Modeling and Baseline Model Analysis" [Journal of Electronic Materials] (2013, 155 cites) [DOI: https://doi.org/10.1007/s11664-013-2471-9] | "A Numerical Treatment for Attached Cavitation" [Journal of Fluids Engineering] (1994, 118 cites) [DOI: https://doi.org/10.1115/1.2910321] | "Modeling Hydrodynamic Nonequilibrium in Cavitating Flows" [Journal of Fluids Engineering] (1996, 117 cites) [DOI: https://doi.org/10.1115/1.2817497]</t>
        </is>
      </c>
      <c r="AC37" s="2" t="inlineStr"/>
      <c r="AD37" s="2" t="inlineStr">
        <is>
          <t>The Elmer F. Bruhn Teaching Award, 2011 Recipient, C.T. Sun Research Award, Oct. 2005. Purdue University Faculty Scholar, 1998-...</t>
        </is>
      </c>
      <c r="AE37" s="2" t="inlineStr"/>
      <c r="AF37" s="2" t="inlineStr">
        <is>
          <t>Rocket and propulsion systems research (120) | Energetic Materials and Combustion (102) | Combustion and Detonation Processes (89)</t>
        </is>
      </c>
      <c r="AG37" s="2" t="inlineStr">
        <is>
          <t>Rocket and propulsion systems research (120) | Energetic Materials and Combustion (102) | Combustion and Detonation Processes (89)</t>
        </is>
      </c>
      <c r="AH37" s="2" t="inlineStr">
        <is>
          <t>Aerospace propulsion systems Airbreathing and rocket engine combustors Liquid propellant injection systems Two-phase and capillary flows</t>
        </is>
      </c>
      <c r="AI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gas/liquid and cavitating flows have been developed for use within the homogeneous fluid architecture, both 2-D and 3-D models have been developed for use in this context.  Both 2-D and 3-D boundary element codes have also been developed and applied to both pressure and pressure-swirl atomizers with and without gas-phase contributions.  Several graduate students continue to pursue these areas within Dr. Heister's research group. During the past decade, Professor Heister has become more involved with experimental work at the substantial propulsion laboratories available at the Maurice J. Zucrow Lab complex .   In this context, his group has been involved with solid, hybrid, and liquid rocket engine developments.  Substantial work has been done with hydrogen peroxide-based hybrid rockets using various ignition schemes and a multitude of fuel combinations. The group collaborates closely with Air Force and Navy Laboratories in the assessment of new liquid and hybrid rocket propellants.  The group has been a substantial contributor to development of nontoxic hypergolic propellants for  liquid rocket applications.  Studies have also been conducted under DARPA sponsorship with regard to propulsion systems for mobile land mines.  An experimental facility has been developed to study cyclic operation of Pulse Detonation Engines at frequencies as high as 50 Hz. In 2003, Dr. Heister was named the Director of the Rolls-Royce University Technology Center in High Mach Propulsion, the first such center in the United States.  In accordance with this role, he collaborates with other AAE and ME faculty in developing experimental facilities to heat sink and coking characteristics of gas turbine fuels at aggressive high temperature conditions.  In addition, this group is pursuing advanced fuel injectors for application to high Mach jet engines.</t>
        </is>
      </c>
      <c r="AJ37" s="2" t="inlineStr">
        <is>
          <t>Professor Heister has addressed a large number of areas during his tenure at Purdue.  Early efforts involved development of a variety of models for liquid injection and atomization processes.  Both boundary element calculations of detailed atomization processes and homogeneous flow/pseudo-density models have been developed to assess unsteady processes in injection systems.  Models for gas/liqui...</t>
        </is>
      </c>
      <c r="AK37" s="2" t="inlineStr">
        <is>
          <t>B.S.E., The University of Michigan, Aerospace Engineering, 1981 M.S.E., The University of Michigan, Aerospace Engineering, 1983 Ph.D., Univ. of California at Los Angeles, Aerospace Engineering, 1988</t>
        </is>
      </c>
      <c r="AL37" s="2" t="inlineStr">
        <is>
          <t>Indiana Space Grant Consortium</t>
        </is>
      </c>
      <c r="AM37" s="3">
        <f>HYPERLINK("https://insgc.spacegrant.org/", "https://insgc.spacegrant.org/")</f>
        <v/>
      </c>
      <c r="AN37" s="2" t="inlineStr">
        <is>
          <t>Academic INSGC Internships</t>
        </is>
      </c>
      <c r="AO37" s="2" t="inlineStr"/>
      <c r="AP37" s="2" t="inlineStr"/>
      <c r="AQ37" s="2" t="inlineStr">
        <is>
          <t>NASA</t>
        </is>
      </c>
      <c r="AR37" s="2" t="inlineStr"/>
      <c r="AS37" s="2" t="inlineStr"/>
      <c r="AT37" s="2" t="inlineStr"/>
      <c r="AU37" s="2" t="b">
        <v>1</v>
      </c>
      <c r="AV37" s="3">
        <f>HYPERLINK("https://engineering.purdue.edu/AAE/people/Faculty", "https://engineering.purdue.edu/AAE/people/Faculty")</f>
        <v/>
      </c>
    </row>
    <row r="38">
      <c r="A38" s="2" t="inlineStr">
        <is>
          <t>Steven F. Son</t>
        </is>
      </c>
      <c r="B38" s="2" t="inlineStr">
        <is>
          <t>Purdue University</t>
        </is>
      </c>
      <c r="C38" s="3">
        <f>HYPERLINK("https://engineering.purdue.edu/ME/People/ptProfile?resource_id=29385", "https://engineering.purdue.edu/ME/People/ptProfile?resource_id=29385")</f>
        <v/>
      </c>
      <c r="D38" s="3">
        <f>HYPERLINK("https://scholar.google.com/citations?view_op=search_authors&amp;mauthors=Steven%20F.%20Son%20Purdue%20University", "Google Scholar Search")</f>
        <v/>
      </c>
      <c r="E38" s="2" t="inlineStr">
        <is>
          <t>Alfred J. Mcallister Professor of Mechanical Engineering</t>
        </is>
      </c>
      <c r="F38" s="2" t="inlineStr">
        <is>
          <t>Aeronautics and Astronautics</t>
        </is>
      </c>
      <c r="G38" s="2" t="inlineStr"/>
      <c r="H38" s="3">
        <f>HYPERLINK("mailto:sson@purdue.edu", "sson@purdue.edu")</f>
        <v/>
      </c>
      <c r="I38" s="2" t="n">
        <v>1</v>
      </c>
      <c r="J38" s="2" t="inlineStr">
        <is>
          <t>🔵 Tier 1: Core Aero / Fluids / Propulsion</t>
        </is>
      </c>
      <c r="K38" s="2" t="n">
        <v>4</v>
      </c>
      <c r="L38" s="2" t="inlineStr">
        <is>
          <t>combustion, fluid mechanics, materials, thermodynamics</t>
        </is>
      </c>
      <c r="M38" s="2" t="inlineStr">
        <is>
          <t>Combustion and deflagration-to-detonation transition of composite solid propellants, reactive energetic nanocomposites, and high-speed laser diagnostics in explosive fireballs.</t>
        </is>
      </c>
      <c r="N38" s="2" t="inlineStr">
        <is>
          <t>High-Pressure Strand Burners, Laser Absorption Spectroscopy (LAS), Optical Emission Spectroscopy, Additive Manufacturing of Energetics, High-Speed Optical Pyrometry</t>
        </is>
      </c>
      <c r="O38" s="2" t="inlineStr">
        <is>
          <t>Laser absorption measurements of temperature, pressure, CO, and CO2 at near-MHz rates in post-detonation fireballs with comparison to synthetic measurements</t>
        </is>
      </c>
      <c r="P38" s="3">
        <f>HYPERLINK("https://doi.org/10.1063/5.0312755", "https://doi.org/10.1063/5.0312755")</f>
        <v/>
      </c>
      <c r="Q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R38" s="2" t="inlineStr">
        <is>
          <t>A laser absorption spectroscopy (LAS) diagnostic was used to obtain measurements of temperature, pressure, CO, and CO2 at 500 kHz or 1 MHz in post-detonation fireballs produced by hemispherical samples of pentaerythritol tetranitrate (PETN). Experimental and synthetic LAS measurements were compared to evaluate the accuracy of the CFD model and its ability to model the turbulent afterburning of the detonation products in air. Results provide unprecedented time-resolved insights into species evolution and secondary combustion kinetics in reacting post-blast plumes.</t>
        </is>
      </c>
      <c r="S38" s="2" t="inlineStr">
        <is>
          <t>Characterization of the influence of aluminum particle size on the temperature of composite-propellant flames using CO absorption and AlO emission spectroscopy</t>
        </is>
      </c>
      <c r="T38" s="3">
        <f>HYPERLINK("https://doi.org/10.1016/j.proci.2020.06.163", "https://doi.org/10.1016/j.proci.2020.06.163")</f>
        <v/>
      </c>
      <c r="U38" s="2" t="inlineStr">
        <is>
          <t>combining CO laser absorption with AlO emission spectroscopy in solid propellant flames up to 5.5 MPa, demonstrating that replacing microscale with nanoscale aluminum particles shifts the primary reaction zone toward the burning surface, enhancing regression rates by over 80%.</t>
        </is>
      </c>
      <c r="V38" s="2" t="inlineStr">
        <is>
          <t>The combustion behavior of aluminized composite solid propellants was investigated to determine the influence of aluminum particle size (ranging from nanoscale to microscale) on flame temperature and AlO radical generation. Using simultaneous line-of-sight CO absorption spectroscopy and AlO emission spectroscopy in a windowed pressure vessel up to 5.5 MPa, flame temperatures and radical zone distributions were quantified. Replacing conventional micro-aluminum with nanoscale aluminum accelerated particle ignition and shifted peak heat release closer to the propellant burning surface, increasing linear burn rates by more than 80%.</t>
        </is>
      </c>
      <c r="W38" s="2" t="inlineStr">
        <is>
          <t>1. Laser absorption measurements of temperature, pressure, CO, and CO2 at near-MHz rates in post-detonation fireballs with comparison to synthetic measurements (Journal of Applied Physics, 2026) [DOI: https://doi.org/10.1063/5.0312755] | 2. Characterization of the influence of aluminum particle size on the temperature of composite-propellant flames using CO absorption and AlO emission spectroscopy (Proceedings of the Combustion Institute, 2020) [DOI: https://doi.org/10.1016/j.proci.2020.06.163]</t>
        </is>
      </c>
      <c r="X38" s="3">
        <f>HYPERLINK("https://doi.org/10.1063/5.0312755", "https://doi.org/10.1063/5.0312755 | https://doi.org/10.1016/j.proci.2020.06.163")</f>
        <v/>
      </c>
      <c r="Y38" s="2" t="inlineStr">
        <is>
          <t>measuring transient species and thermochemical states at 1 MHz in PETN post-detonation fireballs via mid-IR laser absorption, demonstrating that secondary afterburning kinetics are governed by turbulent mixing timescales between fuel-rich detonation products and ambient air.</t>
        </is>
      </c>
      <c r="Z38" s="2" t="inlineStr"/>
      <c r="AA38" s="2" t="inlineStr">
        <is>
          <t>"Adhesion of common curable elastomeric polymer binders to fused filament fabrication materials" [Results in Materials] (2026) [DOI: https://doi.org/10.1016/j.rinma.2026.100963] | "Author response for "A Deep Learning Approach to Searching Property Spaces of Materials"" (2026) [DOI: https://doi.org/10.1039/d5dd00422e/v3/response1] | "Laser absorption measurements of temperature, pressure, CO, and CO2 at near-MHz rates in post-detonation fireballs with comparison to synthetic measurements" [Journal of Applied Physics] (2026) [DOI: https://doi.org/10.1063/5.0312755] | "Author response for "A Deep Learning Approach to Searching Property Spaces of Materials"" (2026) [DOI: https://doi.org/10.1039/d5dd00422e/v2/response1] | "MeltCastExplore" [Zenodo (CERN European Organization for Nuclear Research)] (2026) [DOI: https://doi.org/10.5281/zenodo.18474595]</t>
        </is>
      </c>
      <c r="AB38" s="2" t="inlineStr">
        <is>
          <t>"Metal particle combustion and nanotechnology" [Proceedings of the Combustion Institute] (2009, 848 cites) [DOI: https://doi.org/10.1016/j.proci.2008.08.013] | "Two-phase modeling of deflagration-to-detonation transition in granular materials: Reduced equations" [Physics of Fluids] (2001, 625 cites) [DOI: https://doi.org/10.1063/1.1398042] | "Aluminum agglomeration reduction in a composite propellant using tailored Al/PTFE particles" [Combustion and Flame] (2013, 366 cites) [DOI: https://doi.org/10.1016/j.combustflame.2013.08.009]</t>
        </is>
      </c>
      <c r="AC38" s="2" t="inlineStr"/>
      <c r="AD38" s="2" t="inlineStr">
        <is>
          <t>Outstanding Mechanical Engineers Distinguished Engineering Alumni Honorary Doctorates Staff Awards Student Awards Distinguished...</t>
        </is>
      </c>
      <c r="AE38" s="2" t="inlineStr"/>
      <c r="AF38" s="2" t="inlineStr">
        <is>
          <t>Energetic Materials and Combustion (337) | Rocket and propulsion systems research (154) | Combustion and Detonation Processes (135)</t>
        </is>
      </c>
      <c r="AG38" s="2" t="inlineStr">
        <is>
          <t>Energetic Materials and Combustion (337) | Rocket and propulsion systems research (154) | Combustion and Detonation Processes (135)</t>
        </is>
      </c>
      <c r="AH38" s="2" t="inlineStr">
        <is>
          <t>Multiphase combustion, particularly related to propellants, explosives, and pyrotechnics Nanoscale composite energetic materials Advanced energetic materials Microscale combustion</t>
        </is>
      </c>
      <c r="AI38" s="2" t="inlineStr">
        <is>
          <t>Thermodynamics Fluid Mechanics Heat &amp; Mass Transfer</t>
        </is>
      </c>
      <c r="AJ38" s="2" t="inlineStr">
        <is>
          <t>Thermodynamics Fluid Mechanics Heat &amp; Mass Transfer</t>
        </is>
      </c>
      <c r="AK38" s="2" t="inlineStr">
        <is>
          <t>B.S. Brigham Young, '89 M.S. Brigham Young, '89 Ph.D. University of Illinois, '93</t>
        </is>
      </c>
      <c r="AL38" s="2" t="inlineStr">
        <is>
          <t>The Son Group</t>
        </is>
      </c>
      <c r="AM38" s="3">
        <f>HYPERLINK("https://web.ics.purdue.edu/~sson/Son_Webpage/SonWeb_index.html", "https://web.ics.purdue.edu/~sson/Son_Webpage/SonWeb_index.html")</f>
        <v/>
      </c>
      <c r="AN38" s="2" t="inlineStr"/>
      <c r="AO38" s="2" t="inlineStr"/>
      <c r="AP38" s="2" t="inlineStr"/>
      <c r="AQ38" s="2" t="inlineStr">
        <is>
          <t>NASA, Sandia National Laboratories</t>
        </is>
      </c>
      <c r="AR38" s="2" t="inlineStr"/>
      <c r="AS38" s="2" t="inlineStr"/>
      <c r="AT38" s="2" t="inlineStr"/>
      <c r="AU38" s="2" t="b">
        <v>1</v>
      </c>
      <c r="AV38" s="3">
        <f>HYPERLINK("https://engineering.purdue.edu/AAE/people/Faculty", "https://engineering.purdue.edu/AAE/people/Faculty")</f>
        <v/>
      </c>
    </row>
    <row r="39">
      <c r="A39" s="2" t="inlineStr">
        <is>
          <t>Timothée Pourpoint</t>
        </is>
      </c>
      <c r="B39" s="2" t="inlineStr">
        <is>
          <t>Purdue University</t>
        </is>
      </c>
      <c r="C39" s="3">
        <f>HYPERLINK("https://engineering.purdue.edu/AAE/people/ptProfile?resource_id=23845", "https://engineering.purdue.edu/AAE/people/ptProfile?resource_id=23845")</f>
        <v/>
      </c>
      <c r="D39" s="3">
        <f>HYPERLINK("https://scholar.google.com/citations?view_op=search_authors&amp;mauthors=Timoth%C3%A9e%20Pourpoint%20Purdue%20University", "Google Scholar Search")</f>
        <v/>
      </c>
      <c r="E39" s="2" t="inlineStr">
        <is>
          <t>Joseph Liston Professor of Aeronautics and Astronautics</t>
        </is>
      </c>
      <c r="F39" s="2" t="inlineStr">
        <is>
          <t>Aeronautics and Astronautics</t>
        </is>
      </c>
      <c r="G39" s="2" t="inlineStr"/>
      <c r="H39" s="3">
        <f>HYPERLINK("mailto:timothee@purdue.edu", "timothee@purdue.edu")</f>
        <v/>
      </c>
      <c r="I39" s="2" t="n">
        <v>1</v>
      </c>
      <c r="J39" s="2" t="inlineStr">
        <is>
          <t>🔵 Tier 1: Core Aero / Fluids / Propulsion</t>
        </is>
      </c>
      <c r="K39" s="2" t="n">
        <v>4</v>
      </c>
      <c r="L39" s="2" t="inlineStr">
        <is>
          <t>aerospace, combustion, materials, propulsion</t>
        </is>
      </c>
      <c r="M39" s="2" t="inlineStr">
        <is>
          <t>Hypergolic propellant ignition mechanisms, green rocket propellants, optically accessible rocket combustors, and cavitating venturi flow dynamics.</t>
        </is>
      </c>
      <c r="N39" s="2" t="inlineStr">
        <is>
          <t>High-Pressure Hypergolic Thruster Test Cells, Optically Accessible Quartz Combustion Chambers, High-Speed Shadowgraphy, Tagged Particle Velocimetry, Drop-Test Facilities</t>
        </is>
      </c>
      <c r="O39" s="2" t="inlineStr">
        <is>
          <t>An Alternate Mechanism for the Reactions of Methylhydrazine with Dinitrogen Tetroxide</t>
        </is>
      </c>
      <c r="P39" s="3">
        <f>HYPERLINK("https://doi.org/10.1021/acs.energyfuels.6c00475", "https://doi.org/10.1021/acs.energyfuels.6c00475")</f>
        <v/>
      </c>
      <c r="Q39" s="2" t="inlineStr">
        <is>
          <t>investigating liquid-phase MMH/NTO hypergolic propellant reactions, demonstrating that pre-ignition condensed-phase adduct formation dictates ignition delay behavior under vacuum conditions, challenging purely gas-phase radical kinetic models.</t>
        </is>
      </c>
      <c r="R39" s="2" t="inlineStr">
        <is>
          <t>Various mechanisms have been proposed in the literature for the hypergolic reactions of methylhydrazine (MMH) and dinitrogen tetroxide (NTO). Experimental results obtained on the liquid-phase reactions of MMH and NTO by using high-resolution spectroscopy and sub-millisecond imaging indicate that rapid liquid-phase condensed-phase adduct formation precedes gas-phase radical branching. An alternate chemical kinetic pathway incorporating ionic intermediate complexes is formulated, explaining the anomalous ignition delays observed in low-temperature vacuum rocket engine starts.</t>
        </is>
      </c>
      <c r="S39" s="2" t="inlineStr">
        <is>
          <t>Development of an Optically Accessible Green Hypergolic Rocket Engine with Bi Swirl Injector</t>
        </is>
      </c>
      <c r="T39" s="3">
        <f>HYPERLINK("https://doi.org/10.2514/6.2026-1601", "https://doi.org/10.2514/6.2026-1601")</f>
        <v/>
      </c>
      <c r="U39" s="2" t="inlineStr">
        <is>
          <t>designing and firing an optically accessible quartz rocket engine with bi-swirl injection, resolving the transient liquid sheet impingement and flame anchoring dynamics of green hypergolic propellants during engine ignition.</t>
        </is>
      </c>
      <c r="V39" s="2" t="inlineStr">
        <is>
          <t>This work investigates the flow and ignition dynamics of green hypergolic propellants by designing, fabricating, and testing a bipropellant thruster that incorporates direct optical access throughout the entire system. Unlike conventional thrusters, the presented design integrates a transparent quartz chamber and bi-swirl injector to observe liquid sheet atomization, impingement, and early flame kernel anchoring. Optical measurements resolve the liquid-film mixing zone and quantify the time delay from initial contact to chamber pressurization.</t>
        </is>
      </c>
      <c r="W39" s="2" t="inlineStr">
        <is>
          <t>1. An Alternate Mechanism for the Reactions of Methylhydrazine with Dinitrogen Tetroxide (Energy &amp; Fuels, 2026) [DOI: https://doi.org/10.1021/acs.energyfuels.6c00475] | 2. Development of an Optically Accessible Green Hypergolic Rocket Engine with Bi Swirl Injector (AIAA SciTech, 2026) [DOI: https://doi.org/10.2514/6.2026-1601]</t>
        </is>
      </c>
      <c r="X39" s="3">
        <f>HYPERLINK("https://doi.org/10.1021/acs.energyfuels.6c00475", "https://doi.org/10.1021/acs.energyfuels.6c00475 | https://doi.org/10.2514/6.2026-1601")</f>
        <v/>
      </c>
      <c r="Y39" s="2" t="inlineStr">
        <is>
          <t>investigating liquid-phase MMH/NTO hypergolic propellant reactions, demonstrating that pre-ignition condensed-phase adduct formation dictates ignition delay behavior under vacuum conditions, challenging purely gas-phase radical kinetic models.</t>
        </is>
      </c>
      <c r="Z39" s="2" t="inlineStr"/>
      <c r="AA39" s="2" t="inlineStr">
        <is>
          <t>"An Alternate Mechanism for the Reactions of Methylhydrazine with Dinitrogen Tetroxide" [Energy &amp; Fuels] (2026) [DOI: https://doi.org/10.1021/acs.energyfuels.6c00475] | "KHz rate 3D white light particle tracking with a tunable acoustic gradient (TAG) lens" [Optics Express] (2026) [DOI: https://doi.org/10.1364/oe.588303] | "Design and Performance Analysis of an Optically Accessible Pneumatic Poppet Valve" (2026) [DOI: https://doi.org/10.2514/6.2026-1603] | "Development of an Optically Accessible Green Hypergolic Rocket Engine with Bi Swirl Injector" (2026) [DOI: https://doi.org/10.2514/6.2026-1601] | "Experimental and Numerical Study of an Optically Accessible Cavitating Venturi" (2026) [DOI: https://doi.org/10.2514/6.2026-1602]</t>
        </is>
      </c>
      <c r="AB39" s="2" t="inlineStr">
        <is>
          <t>"Study of heat transfer and kinetics parameters influencing the design of heat exchangers for hydrogen storage in high-pressure metal hydrides" [International Journal of Heat and Mass Transfer] (2010, 85 cites) [DOI: https://doi.org/10.1016/j.ijheatmasstransfer.2009.12.010] | "Enhanced heat exchanger design for hydrogen storage using high-pressure metal hydride: Part 1. Design methodology and computational results" [International Journal of Heat and Mass Transfer] (2010, 82 cites) [DOI: https://doi.org/10.1016/j.ijheatmasstransfer.2010.09.029] | "Amine–Boranes: Green Hypergolic Fuels with Consistently Low Ignition Delays" [Chemistry - A European Journal] (2014, 66 cites) [DOI: https://doi.org/10.1002/chem.201405224]</t>
        </is>
      </c>
      <c r="AC39" s="2" t="inlineStr"/>
      <c r="AD39" s="2" t="inlineStr">
        <is>
          <t>AIAA Associate Fellow</t>
        </is>
      </c>
      <c r="AE39" s="2" t="inlineStr"/>
      <c r="AF39" s="2" t="inlineStr">
        <is>
          <t>Rocket and propulsion systems research (81) | Energetic Materials and Combustion (52) | Combustion and flame dynamics (25)</t>
        </is>
      </c>
      <c r="AG39" s="2" t="inlineStr">
        <is>
          <t>Rocket and propulsion systems research (81) | Energetic Materials and Combustion (52) | Combustion and flame dynamics (25)</t>
        </is>
      </c>
      <c r="AH39" s="2" t="inlineStr">
        <is>
          <t>Aerospace propulsion systems Rocket engine combustors Liquid propellant injection systems Hypergolic propellants High pressure and hydrogen storage systems</t>
        </is>
      </c>
      <c r="AI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on the development and characterization of new chemical propellants (see: Aerospace Propulsion and Energy Conversion Systems ). Energy Storage Research Dr. Pourpoint is developing safe and efficient ways to use hydrogen for power generation through a combination of gas and solid-state storage approaches.  This research builds on the experience and testing capabilities developed in partnership with General Motors for the characterization and large-scale evaluation of high pressure metal hydrides and adsorbents. Additional details about this research can be found at: Hydrogen Systems Laboratory Experimental Testing Facilities As part of his work Dr. Pourpoint has been involved in designing, implementing, and operating several testing facilities at the Maurice Zucrow Laboratories. Through his research Dr. Pourpoint has gained expertise in working with high-pressure hydrogen (up to 180 gal and 10,000 psia), pyrophoric metal powders, nanoscale materials, and propellants including monomethyl hydrazine, nitrogen tetroxide, hydrogen peroxide, and red fuming nitric acid.</t>
        </is>
      </c>
      <c r="AJ39" s="2" t="inlineStr">
        <is>
          <t>Professor Timothée L. Pourpoint’s research interests relate to propulsion, combustion, and energy storage. Propulsion Research Dr. Pourpoint research focus in propulsion is to further the understanding of storable propellant ignition and combustion through system level testing and advanced diagnostic techniques with an emphasis on novel propellant combinations. A major emphasis of his work is o...</t>
        </is>
      </c>
      <c r="AK39" s="2" t="inlineStr">
        <is>
          <t>Ph.D., Purdue University, Aeronautical &amp; Astronautical Engineering, Dec. 2005 M.S., University of Alabama in Huntsville, Mechanical &amp; Aerospace Engineering, Dec. 2000 B.S., ESTACA University, Paris, France, Mechanical Engineering, July 2000</t>
        </is>
      </c>
      <c r="AL39" s="2" t="inlineStr">
        <is>
          <t>Indiana Space Grant Consortium</t>
        </is>
      </c>
      <c r="AM39" s="3">
        <f>HYPERLINK("https://insgc.spacegrant.org/", "https://insgc.spacegrant.org/")</f>
        <v/>
      </c>
      <c r="AN39" s="2" t="inlineStr">
        <is>
          <t>Academic INSGC Internships</t>
        </is>
      </c>
      <c r="AO39" s="2" t="inlineStr"/>
      <c r="AP39" s="2" t="inlineStr"/>
      <c r="AQ39" s="2" t="inlineStr">
        <is>
          <t>NASA</t>
        </is>
      </c>
      <c r="AR39" s="2" t="inlineStr"/>
      <c r="AS39" s="2" t="inlineStr"/>
      <c r="AT39" s="2" t="inlineStr">
        <is>
          <t>Chaffee Hall, Room 116 &amp; ARMS 2017</t>
        </is>
      </c>
      <c r="AU39" s="2" t="b">
        <v>1</v>
      </c>
      <c r="AV39" s="3">
        <f>HYPERLINK("https://engineering.purdue.edu/AAE/people/Faculty", "https://engineering.purdue.edu/AAE/people/Faculty")</f>
        <v/>
      </c>
    </row>
    <row r="40">
      <c r="A40" s="2" t="inlineStr">
        <is>
          <t>Guillermo Paniagua</t>
        </is>
      </c>
      <c r="B40" s="2" t="inlineStr">
        <is>
          <t>Purdue University</t>
        </is>
      </c>
      <c r="C40" s="3">
        <f>HYPERLINK("https://engineering.purdue.edu/ME/People/ptProfile?resource_id=113506", "https://engineering.purdue.edu/ME/People/ptProfile?resource_id=113506")</f>
        <v/>
      </c>
      <c r="D40" s="3">
        <f>HYPERLINK("https://scholar.google.com/citations?user=KO7HNBsAAAAJ", "Scholar (KO7HNBsAAAAJ)")</f>
        <v/>
      </c>
      <c r="E40" s="2" t="inlineStr">
        <is>
          <t>Reilly Professor of Mechanical Engineering, and Professor of Aeronautics &amp; Astronautics (by Courtesy)</t>
        </is>
      </c>
      <c r="F40" s="2" t="inlineStr">
        <is>
          <t>Aeronautics and Astronautics</t>
        </is>
      </c>
      <c r="G40" s="2" t="inlineStr">
        <is>
          <t>KO7HNBsAAAAJ</t>
        </is>
      </c>
      <c r="H40" s="3">
        <f>HYPERLINK("mailto:gpaniagua@purdue.edu", "gpaniagua@purdue.edu")</f>
        <v/>
      </c>
      <c r="I40" s="2" t="n">
        <v>1</v>
      </c>
      <c r="J40" s="2" t="inlineStr">
        <is>
          <t>🔵 Tier 1: Core Aero / Fluids / Propulsion</t>
        </is>
      </c>
      <c r="K40" s="2" t="n">
        <v>3</v>
      </c>
      <c r="L40" s="2" t="inlineStr">
        <is>
          <t>fluid mechanics, propulsion, thermal</t>
        </is>
      </c>
      <c r="M40" s="2" t="inlineStr">
        <is>
          <t>Aerothermal optimization of transonic turbine stages, non-axisymmetric endwall profiling, and advanced heat exchanger architectures for rotating detonation combustor integration and high-speed propulsion.</t>
        </is>
      </c>
      <c r="N40" s="2" t="inlineStr">
        <is>
          <t>AMBRA Annular Cascade Facility, Transonic Wind Tunnels, 3D RANS/URANS, Atomic Layer Thermopiles (ALTP), Infrared Thermography, Genetic Optimization Algorithms</t>
        </is>
      </c>
      <c r="O40" s="2" t="inlineStr">
        <is>
          <t>Aerodynamic Optimization of Transonic High-Pressure Turbine Vanes with Non-Axisymmetric Endwalls for Rotating Detonation Engines</t>
        </is>
      </c>
      <c r="P40" s="3">
        <f>HYPERLINK("https://doi.org/10.3390/ijtpp11030035", "https://doi.org/10.3390/ijtpp11030035")</f>
        <v/>
      </c>
      <c r="Q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R40" s="2" t="inlineStr">
        <is>
          <t>For coupling a transonic high-pressure turbine vane with a rotating detonation combustor, several integration approaches have been considered. Endwall diffusion in the vane row can facilitate coupling by enabling a higher turbine inlet Mach number operating range. Nonetheless, the introduction of diffuser geometry within the vane channel strongly alters secondary flow development, generating horseshoe and passage vortices that can compromise stage efficiency. This paper presents an aerodynamic optimization routine using non-axisymmetric endwall contouring to mitigate secondary flow penalties across transonic pressure-gain turbine vanes.</t>
        </is>
      </c>
      <c r="S40" s="2" t="inlineStr">
        <is>
          <t>High-Fidelity Transonic Annular Turbine Rotor Measurements in the Stationary Frame</t>
        </is>
      </c>
      <c r="T40" s="3">
        <f>HYPERLINK("https://doi.org/10.1115/1.4072530", "https://doi.org/10.1115/1.4072530")</f>
        <v/>
      </c>
      <c r="U40" s="2" t="inlineStr">
        <is>
          <t>deploying the AMBRA stationary-frame annular cascade facility across transonic rotor passages, demonstrating that rainbow rotor airfoil clocking resolves shock-boundary layer interactions and transient tip leakage vortex trajectories to within 1.2% of full rotating rig data.</t>
        </is>
      </c>
      <c r="V40" s="2" t="inlineStr">
        <is>
          <t>This paper presents the first comprehensive experimental campaign using a rainbow annular cascade of high-pressure turbine (HPT) rotor airfoils using the new Annular Multiframe turbine Blade Rig for Aerothermal analysis (AMBRA) stationary-frame methodology, which reproduces rotor-relative inlet aerodynamics in a stationary test section. High-frequency total pressure probes, surface Kulite transducers, and particle image velocimetry were utilized to resolve unsteady shock patterns and passage vortex dynamics across transonic expansion ratios.</t>
        </is>
      </c>
      <c r="W40" s="2" t="inlineStr">
        <is>
          <t>1. Aerodynamic Optimization of Transonic High-Pressure Turbine Vanes with Non-Axisymmetric Endwalls for Rotating Detonation Engines (International Journal of Turbomachinery Propulsion and Power, 2026) [DOI: https://doi.org/10.3390/ijtpp11030035] | 2. High-Fidelity Transonic Annular Turbine Rotor Measurements in the Stationary Frame (Journal of Engineering for Gas Turbines and Power, 2026) [DOI: https://doi.org/10.1115/1.4072530]</t>
        </is>
      </c>
      <c r="X40" s="3">
        <f>HYPERLINK("https://doi.org/10.3390/ijtpp11030035", "https://doi.org/10.3390/ijtpp11030035 | https://doi.org/10.1115/1.4072530")</f>
        <v/>
      </c>
      <c r="Y40" s="2" t="inlineStr">
        <is>
          <t>performing non-axisymmetric endwall profiling on high-pressure turbine vanes coupled with rotating detonation combustors, demonstrating that targeted 3D contouring suppresses secondary horseshoe vortex migration and preserves stage efficiency under transonic inlet swirl.</t>
        </is>
      </c>
      <c r="Z40" s="2" t="inlineStr"/>
      <c r="AA40" s="2" t="inlineStr">
        <is>
          <t>"High-Fidelity Transonic Annular Turbine Rotor Measurements in the Stationary Frame" [Journal of Engineering for Gas Turbines and Power] (2026) [DOI: https://doi.org/10.1115/1.4072530] | "Aerodynamic Optimization of Transonic High-Pressure Turbine Vanes with Non-Axisymmetric Endwalls for Rotating Detonation Engines" [International Journal of Turbomachinery Propulsion and Power] (2026) [DOI: https://doi.org/10.3390/ijtpp11030035] | "Considerations for Ammonia-Fueled Aircraft and Propulsion Systems: A Component-Level and System Analysis" [Journal of Engineering for Gas Turbines and Power] (2026) [DOI: https://doi.org/10.1115/1.4072455] | "Thermal performance of a supersonic high temperature optical probe nacelle" [Applied Thermal Engineering] (2026) [DOI: https://doi.org/10.1016/j.applthermaleng.2026.130520] | "Bridging the gap between high-speed linear cascades and rotating turbine facilities" [Measurement] (2026) [DOI: https://doi.org/10.1016/j.measurement.2026.121017]</t>
        </is>
      </c>
      <c r="AB40" s="2" t="inlineStr">
        <is>
          <t>"Thermodynamic analysis of a gas turbine engine with a rotating detonation combustor" [Applied Energy] (2017, 259 cites) [DOI: https://doi.org/10.1016/j.apenergy.2017.03.045] | "Design and analysis of pioneering high supersonic axial turbines" [International Journal of Mechanical Sciences] (2014, 109 cites) [DOI: https://doi.org/10.1016/j.ijmecsci.2014.08.014] | "Unsteady Performance of Rotating Detonation Engines with Different Exhaust Nozzles" [Journal of Propulsion and Power] (2016, 104 cites) [DOI: https://doi.org/10.2514/1.b36164]</t>
        </is>
      </c>
      <c r="AC40" s="2" t="inlineStr"/>
      <c r="AD40" s="2" t="inlineStr">
        <is>
          <t>Outstanding Mechanical Engineers Distinguished Engineering Alumni Honorary Doctorates Staff Awards Student Awards Distinguished...</t>
        </is>
      </c>
      <c r="AE40" s="2" t="inlineStr"/>
      <c r="AF40" s="2" t="inlineStr">
        <is>
          <t>Turbomachinery Performance and Optimization (161) | Computational Fluid Dynamics and Aerodynamics (103) | Fluid Dynamics and Turbulent Flows (101)</t>
        </is>
      </c>
      <c r="AG40" s="2" t="inlineStr">
        <is>
          <t>Turbomachinery Performance and Optimization (161) | Computational Fluid Dynamics and Aerodynamics (103) | Fluid Dynamics and Turbulent Flows (101)</t>
        </is>
      </c>
      <c r="AH40" s="2" t="inlineStr">
        <is>
          <t>Turbomachinery, turbines Measurement techniques, experimental turbomachinery Air-breathing propulsion</t>
        </is>
      </c>
      <c r="AI40" s="2" t="inlineStr">
        <is>
          <t>Fluid Mechanics</t>
        </is>
      </c>
      <c r="AJ40" s="2" t="inlineStr">
        <is>
          <t>Fluid Mechanics</t>
        </is>
      </c>
      <c r="AK40" s="2" t="inlineStr">
        <is>
          <t>M.S., Universidad de Oviedo, ‘96 Research Master, von Karman Institute, ‘97 Ph.D., Universite Libre de Bruxelles, ‘02</t>
        </is>
      </c>
      <c r="AL40" s="2" t="inlineStr">
        <is>
          <t>Purdue Experimental Turbine Aerothermal Laboratory (PETAL)</t>
        </is>
      </c>
      <c r="AM40" s="3">
        <f>HYPERLINK("https://engineering.purdue.edu/PETAL", "https://engineering.purdue.edu/PETAL")</f>
        <v/>
      </c>
      <c r="AN40" s="2" t="inlineStr"/>
      <c r="AO40" s="2" t="inlineStr"/>
      <c r="AP40" s="2" t="inlineStr">
        <is>
          <t>Wind Tunnel, Gas Turbine</t>
        </is>
      </c>
      <c r="AQ40" s="2" t="inlineStr"/>
      <c r="AR40" s="2" t="inlineStr"/>
      <c r="AS40" s="2" t="inlineStr"/>
      <c r="AT40" s="2" t="inlineStr"/>
      <c r="AU40" s="2" t="b">
        <v>1</v>
      </c>
      <c r="AV40" s="3">
        <f>HYPERLINK("https://engineering.purdue.edu/AAE/people/Faculty", "https://engineering.purdue.edu/AAE/people/Faculty")</f>
        <v/>
      </c>
    </row>
    <row r="41">
      <c r="A41" s="2" t="inlineStr">
        <is>
          <t>Ivan C. Christov</t>
        </is>
      </c>
      <c r="B41" s="2" t="inlineStr">
        <is>
          <t>Purdue University</t>
        </is>
      </c>
      <c r="C41" s="3">
        <f>HYPERLINK("https://engineering.purdue.edu/ME/People/ptProfile?resource_id=134738", "https://engineering.purdue.edu/ME/People/ptProfile?resource_id=134738")</f>
        <v/>
      </c>
      <c r="D41" s="3">
        <f>HYPERLINK("https://scholar.google.com/citations?view_op=search_authors&amp;mauthors=Ivan%20C.%20Christov%20Purdue%20University", "Google Scholar Search")</f>
        <v/>
      </c>
      <c r="E41" s="2" t="inlineStr">
        <is>
          <t>Professor of Mechanical Engineering and Mathematics (by Courtesy)</t>
        </is>
      </c>
      <c r="F41" s="2" t="inlineStr">
        <is>
          <t>Mechanical Engineering</t>
        </is>
      </c>
      <c r="G41" s="2" t="inlineStr"/>
      <c r="H41" s="3">
        <f>HYPERLINK("mailto:christov@purdue.edu", "christov@purdue.edu")</f>
        <v/>
      </c>
      <c r="I41" s="2" t="n">
        <v>1</v>
      </c>
      <c r="J41" s="2" t="inlineStr">
        <is>
          <t>🔵 Tier 1: Core Aero / Fluids / Propulsion</t>
        </is>
      </c>
      <c r="K41" s="2" t="n">
        <v>3</v>
      </c>
      <c r="L41" s="2" t="inlineStr">
        <is>
          <t>fluid dynamics, fluid mechanics, solid mechanics</t>
        </is>
      </c>
      <c r="M41" s="2" t="inlineStr">
        <is>
          <t>Fluid-structure interaction in compliant microconfinements, elastoinertial flow rectification, non-Newtonian rheology, and nonlinear wave dynamics in porous annular conduits.</t>
        </is>
      </c>
      <c r="N41" s="2" t="inlineStr">
        <is>
          <t>Fluid-Structure Interaction (FSI), Perturbation Methods, Darcy-Brinkman Porous Solvers, Non-Newtonian Rheological Modeling, Boundary Layer Theory</t>
        </is>
      </c>
      <c r="O41" s="2" t="inlineStr">
        <is>
          <t>Theory and simulation of elastoinertial rectification of oscillatory flows in two-dimensional deformable rectangular channels</t>
        </is>
      </c>
      <c r="P41" s="3">
        <f>HYPERLINK("https://doi.org/10.1103/zk9v-13sn", "https://doi.org/10.1103/zk9v-13sn")</f>
        <v/>
      </c>
      <c r="Q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R41" s="2" t="inlineStr">
        <is>
          <t>Oscillatory flows in compliant confinements underpin processes ranging from physiological transport in blood vessels and airways to flow control and pumping in soft microfluidic devices. To understand the fundamental physics behind such processes, we study how hydrodynamic forces induce deformation at the fluid-solid interface in a slender two-dimensional channel bounded below by a rigid bottom surface and above by a slender elastic layer. The nonlinear coupling between flow and deformation, along with the attendant geometric asymmetry caused by flow-induced deformation, produces a streaming effect (a nonzero cycle-average despite time-periodic forcing). We demonstrate that fluid inertia provides an additional nonlinear coupling tightly connected to wall deformation that amplifies net streaming, termed elastoinertial rectification.</t>
        </is>
      </c>
      <c r="S41" s="2" t="inlineStr">
        <is>
          <t>Flow in a porous non-axisymmetric annular conduit: Coupling wall compliance and peristalsis</t>
        </is>
      </c>
      <c r="T41" s="3">
        <f>HYPERLINK("https://doi.org/10.48550/arxiv.2607.15239", "https://doi.org/10.48550/arxiv.2607.15239")</f>
        <v/>
      </c>
      <c r="U41" s="2" t="inlineStr">
        <is>
          <t>reducing coupled peristaltic pumping and Darcy-Brinkman porous drag in eccentric compliant conduits to a single nonlinear PDE, establishing that outer wall compliance monotonically suppresses net volume transport across non-axisymmetric annular channels.</t>
        </is>
      </c>
      <c r="V41" s="2" t="inlineStr">
        <is>
          <t>Flows in the perivascular space have emerged as a major topic in biofluid mechanics. To account for complex biomechanical aspects, we revisit the problem of flow in an eccentric annular conduit and incorporate porous drag and two-way-coupled fluid-structure interaction between the compliant outer wall and the fluid within. A Darcy-Brinkman term in the axial momentum equation accounts for drag due to the porous medium. We account for changes in hydraulic resistance due to peristalsis and compliant-wall displacements perturbatively, thereby reducing the problem to a single nonlinear partial differential equation for the axial pressure, establishing that wall compliance monotonically suppresses net peristaltic pumping.</t>
        </is>
      </c>
      <c r="W41" s="2" t="inlineStr">
        <is>
          <t>1. Theory and simulation of elastoinertial rectification of oscillatory flows in two-dimensional deformable rectangular channels (Physical Review Fluids, 2026) [DOI: https://doi.org/10.1103/zk9v-13sn] | 2. Kink-Kink and Kink-Antikink Interactions with Long-Range Tails (Physical Review Letters, 2019) [DOI: https://doi.org/10.1103/physrevlett.122.171601]</t>
        </is>
      </c>
      <c r="X41" s="3">
        <f>HYPERLINK("https://doi.org/10.1103/zk9v-13sn", "https://doi.org/10.1103/zk9v-13sn | https://doi.org/10.48550/arxiv.2607.15239")</f>
        <v/>
      </c>
      <c r="Y41" s="2" t="inlineStr">
        <is>
          <t>analyzing two-way coupled fluid-structure interactions in compliant 2D microchannels, demonstrating that the synergy between wall compliance and finite fluid inertia induces elastoinertial rectification, generating non-zero net pumping from purely oscillatory pressure drives.</t>
        </is>
      </c>
      <c r="Z41" s="2" t="inlineStr"/>
      <c r="AA41" s="2" t="inlineStr">
        <is>
          <t>"Variational Acoustics" [arXiv (Cornell University)] (2026) [DOI: https://doi.org/10.48550/arxiv.2608.26340] | "Codes for "Flow in a porous non-axisymmetric annular conduit: Coupling wall compliance and peristalsis"" [Purdue University Research Repository] (2026) [DOI: https://doi.org/10.4231/nj7b-5n87] | "Flow in a porous non-axisymmetric annular conduit: Coupling wall compliance and peristalsis" [arXiv (Cornell University)] (2026) [DOI: https://doi.org/10.48550/arxiv.2607.15239] | "Flow in a porous non-axisymmetric annular conduit: Coupling wall compliance and peristalsis" [arXiv (Cornell University)] (2026) [DOI: https://arxiv.org/abs/2607.15239] | "Theory and simulation of elastoinertial rectification of oscillatory flows in two-dimensional deformable rectangular channels" [Physical Review Fluids] (2026) [DOI: https://doi.org/10.1103/zk9v-13sn]</t>
        </is>
      </c>
      <c r="AB41" s="2" t="inlineStr">
        <is>
          <t>"Kink-Kink and Kink-Antikink Interactions with Long-Range Tails" [Physical Review Letters] (2019, 108 cites) [DOI: https://doi.org/10.1103/physrevlett.122.171601] | "Long-range interactions of kinks" [Physical review. D/Physical review. D.] (2019, 95 cites) [DOI: https://doi.org/10.1103/physrevd.99.016010] | "Successive phase transitions and kink solutions in ϕ8 , ϕ10 , and ϕ12 field theories" [Physical Review E] (2014, 77 cites) [DOI: https://doi.org/10.1103/physreve.90.023208]</t>
        </is>
      </c>
      <c r="AC41" s="2" t="inlineStr"/>
      <c r="AD41" s="2" t="inlineStr">
        <is>
          <t>Outstanding Mechanical Engineers Distinguished Engineering Alumni Honorary Doctorates Staff Awards Student Awards Distinguished...</t>
        </is>
      </c>
      <c r="AE41" s="2" t="inlineStr"/>
      <c r="AF41" s="2" t="inlineStr">
        <is>
          <t>Fluid Dynamics and Turbulent Flows (40) | Rheology and Fluid Dynamics Studies (37) | Fluid Dynamics and Thin Films (23)</t>
        </is>
      </c>
      <c r="AG41" s="2" t="inlineStr">
        <is>
          <t>Fluid Dynamics and Turbulent Flows (40) | Rheology and Fluid Dynamics Studies (37) | Fluid Dynamics and Thin Films (23)</t>
        </is>
      </c>
      <c r="AH41" s="2" t="inlineStr">
        <is>
          <t>Soft hydraulics Fluid dynamics Non-Newtonian fluid mechanics Particulate and multiphase processes Computational and data-enabled science &amp; engineering Scientific machine learning Nonlinear waves</t>
        </is>
      </c>
      <c r="AI41" s="2" t="inlineStr">
        <is>
          <t>Fluid Mechanics Heat &amp; Mass Transfer Solid Mechanics</t>
        </is>
      </c>
      <c r="AJ41" s="2" t="inlineStr">
        <is>
          <t>Fluid Mechanics Heat &amp; Mass Transfer Solid Mechanics</t>
        </is>
      </c>
      <c r="AK41" s="2" t="inlineStr">
        <is>
          <t>Ph.D., Northwestern University, '11 M.S., Northwestern University, '08 M.S., Texas A&amp;M University, '07 S.B., Massachusetts Institute of Technology, '05</t>
        </is>
      </c>
      <c r="AL41" s="2" t="inlineStr">
        <is>
          <t>The Transport: Modeling, Numerics &amp; Theory laboratory</t>
        </is>
      </c>
      <c r="AM41" s="3">
        <f>HYPERLINK("http://tmnt-lab.org", "http://tmnt-lab.org")</f>
        <v/>
      </c>
      <c r="AN41" s="2" t="inlineStr"/>
      <c r="AO41" s="2" t="inlineStr"/>
      <c r="AP41" s="2" t="inlineStr"/>
      <c r="AQ41" s="2" t="inlineStr"/>
      <c r="AR41" s="2" t="inlineStr"/>
      <c r="AS41" s="2" t="inlineStr"/>
      <c r="AT41" s="2" t="inlineStr">
        <is>
          <t>FLEX 2021B</t>
        </is>
      </c>
      <c r="AU41" s="2" t="b">
        <v>1</v>
      </c>
      <c r="AV41" s="3">
        <f>HYPERLINK("https://engineering.purdue.edu/ME/People/ptFaculty", "https://engineering.purdue.edu/ME/People/ptFaculty")</f>
        <v/>
      </c>
    </row>
    <row r="42">
      <c r="A42" s="2" t="inlineStr">
        <is>
          <t>James L. Garrison</t>
        </is>
      </c>
      <c r="B42" s="2" t="inlineStr">
        <is>
          <t>Purdue University</t>
        </is>
      </c>
      <c r="C42" s="3">
        <f>HYPERLINK("https://engineering.purdue.edu/AAE/people/ptProfile?resource_id=1422", "https://engineering.purdue.edu/AAE/people/ptProfile?resource_id=1422")</f>
        <v/>
      </c>
      <c r="D42" s="3">
        <f>HYPERLINK("https://scholar.google.com/citations?view_op=search_authors&amp;mauthors=James%20L.%20Garrison%20Purdue%20University", "Google Scholar Search")</f>
        <v/>
      </c>
      <c r="E42" s="2" t="inlineStr">
        <is>
          <t>Professor of Aeronautics and Astronautics</t>
        </is>
      </c>
      <c r="F42" s="2" t="inlineStr">
        <is>
          <t>Aeronautics and Astronautics</t>
        </is>
      </c>
      <c r="G42" s="2" t="inlineStr"/>
      <c r="H42" s="3">
        <f>HYPERLINK("mailto:jgarriso@purdue.edu", "jgarriso@purdue.edu")</f>
        <v/>
      </c>
      <c r="I42" s="2" t="n">
        <v>1</v>
      </c>
      <c r="J42" s="2" t="inlineStr">
        <is>
          <t>🔵 Tier 1: Core Aero / Fluids / Propulsion</t>
        </is>
      </c>
      <c r="K42" s="2" t="n">
        <v>3</v>
      </c>
      <c r="L42" s="2" t="inlineStr">
        <is>
          <t>navigation, propulsion, satellite</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is>
          <t>"A Factor Graph Optimization Approach for Orbit Determination" [Proceedings of the ION ... Pacific PNT Meeting/Proceedings of the Institute of Navigation Pacific PNT] (2024) [DOI: https://doi.org/10.33012/2024.19667] | "Empirical Covariance Models for Sequential Processing of GNSS-R Delay Doppler Maps" [Proceedings of the ION ... Pacific PNT Meeting/Proceedings of the Institute of Navigation Pacific PNT] (2024) [DOI: https://doi.org/10.33012/2024.19666] | "Atrial fibrillation symptom reduction and improved quality of life following the hybrid convergent procedure: a CONVERGE trial subanalysis" [Annals of Cardiothoracic Surgery] (2024) [DOI: https://doi.org/10.21037/acs-2023-afm-15] | "Ocean Wave Period Measurements Using S-Band Signals of Opportunity Reflections" [IEEE Journal of Selected Topics in Applied Earth Observations and Remote Sensing] (2024) [DOI: https://doi.org/10.1109/jstars.2024.3383842] | "SNOOPI: Demonstrating Earth remote sensing using P-band signals of opportunity (SoOp) on a CubeSat" [Advances in Space Research] (2023) [DOI: https://doi.org/10.1016/j.asr.2023.10.050]</t>
        </is>
      </c>
      <c r="AB42" s="2" t="inlineStr">
        <is>
          <t>"New Ocean Winds Satellite Mission to Probe Hurricanes and Tropical Convection" [Bulletin of the American Meteorological Society] (2015, 408 cites) [DOI: https://doi.org/10.1175/bams-d-14-00218.1] | "Wind speed measurement using forward scattered GPS signals" [IEEE Transactions on Geoscience and Remote Sensing] (2002, 349 cites) [DOI: https://doi.org/10.1109/36.981349] | "Effect of sea roughness on bistatically scattered range coded signals from the Global Positioning System" [Geophysical Research Letters] (1998, 237 cites) [DOI: https://doi.org/10.1029/98gl51615]</t>
        </is>
      </c>
      <c r="AC42" s="2" t="inlineStr"/>
      <c r="AD42" s="2" t="inlineStr">
        <is>
          <t>National Academies Keck Futures Initiative, 2012 ASEE/AFRL Summer Faculty Fellow, 2008 Institute of Navigation, Early Achieveme...</t>
        </is>
      </c>
      <c r="AE42" s="2" t="inlineStr"/>
      <c r="AF42" s="2" t="inlineStr">
        <is>
          <t>Soil Moisture and Remote Sensing (107) | Ocean Waves and Remote Sensing (59) | GNSS positioning and interference (58)</t>
        </is>
      </c>
      <c r="AG42" s="2" t="inlineStr">
        <is>
          <t>Soil Moisture and Remote Sensing (107) | Ocean Waves and Remote Sensing (59) | GNSS positioning and interference (58)</t>
        </is>
      </c>
      <c r="AH42" s="2" t="inlineStr">
        <is>
          <t>Earth remote sensing, Global Navigation Satellite Systems (GNSS), bistatic radar, signals of opportunity. Lead professor of the Radio Navigation Lab .</t>
        </is>
      </c>
      <c r="AI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 scattering and that this information could be used for remote sensing, particularly in oceanography. That seminal research sparked subsequent development of, arguably, the first entirely new Earth remote sensing instrument concept to be proposed in decades. Research by multiple institutions around the world culminated in NASA's selection of the CYGNSS mission, scheduled for a 2016 launch. Prof. Garrison is on the science team for CYGNSS, which will observe tropical storm development using GNSS reflections from a constellation of 8 micro-satellites. Recently, he has been investigating the application of reflectometry methods to the general class of Signals of Opportunity, or SoOps.  Ocean remote sensing using commercial satellite S-band and Ku-band transmissions has been demonstrated from aircraft and fixed-tower experiments.  Applications of these methods to remote sensing in agriculture and hydrology are of particular interest with the use of low-frequency satellite transmissions to penetrate the soil to decimeter depths and the retrieval of phase measurements from high signal to noise ratio reflections. Professor Garrison was awarded a NASA Instrument Incubator Program (IIP) grant to develop an airborne demonstration instrument for measuring root-zone soil moisture, an important variable not directly observable from any current or planned satellite instrument. He has partnered with the Jet Propulsion Laboratory (JPL) to begin fundamental experimental research in the sensing of snow and ice properties through observing phase, amplitude, and polarization variations in reflected signals.  SoOp instruments will also soon fly on the NOAA Hurricane Hunter aircraft. In addition to reflectometry, Prof. Garrison is actively studying methods for airborne GNSS radio-occultation (RO) and detecting traveling waves in the ionosphere.  Working with the Scripps Institution of Oceanography, he has been improving signal processing methods for retrieving humidity profiles from RO measurements made within developing hurricanes to test the hypothesis that changes in these profiles can indicate the onset of storm intensification. He has developed new wavelet-based array-processing methods to extract coherent wave structure in the total electron content (TEC) time-series measured from large arrays of dual-frequency GNSS receivers.  These methods have shown multiple ionospheric structures induced from atmospheric waves following Earthquakes and have detected waves produced from the 2006 and 2009 North Korean underground nuclear weapons tests. Professor Garrison works closely with the Earth science and applications community at Purdue and internationally.  He is on the executive committee for the Purdue Climate Change Research Center (PCCRC) and a faculty affiliate of the Ecological Sciences and Engineering (ESE) program.</t>
        </is>
      </c>
      <c r="AJ42" s="2" t="inlineStr">
        <is>
          <t>Professor Garrison's research interests lie in the development of new instruments, algorithms and missions for Earth remote sensing, utilizing Global Navigation Satellite Systems (GNSS) and other "Signals of Opportunity"  (SoOps). He performed some of the earliest theoretical and experimental work (1996-2002) demonstrating that reflections of GNSS signals contain valuable information on surface...</t>
        </is>
      </c>
      <c r="AK42" s="2" t="inlineStr">
        <is>
          <t>PhD University of Colorado at Boulder, 1997 MS Stanford University, 1990 BS Rensselaer Polytechnic Institute, 1988</t>
        </is>
      </c>
      <c r="AL42" s="2" t="inlineStr">
        <is>
          <t>Indiana Space Grant Consortium</t>
        </is>
      </c>
      <c r="AM42" s="3">
        <f>HYPERLINK("https://insgc.spacegrant.org/", "https://insgc.spacegrant.org/")</f>
        <v/>
      </c>
      <c r="AN42" s="2" t="inlineStr">
        <is>
          <t>Academic INSGC Internships</t>
        </is>
      </c>
      <c r="AO42" s="2" t="inlineStr"/>
      <c r="AP42" s="2" t="inlineStr"/>
      <c r="AQ42" s="2" t="inlineStr">
        <is>
          <t>NASA</t>
        </is>
      </c>
      <c r="AR42" s="2" t="inlineStr"/>
      <c r="AS42" s="2" t="inlineStr"/>
      <c r="AT42" s="2" t="inlineStr">
        <is>
          <t>ARMS 3311</t>
        </is>
      </c>
      <c r="AU42" s="2" t="b">
        <v>1</v>
      </c>
      <c r="AV42" s="3">
        <f>HYPERLINK("https://engineering.purdue.edu/AAE/people/Faculty", "https://engineering.purdue.edu/AAE/people/Faculty")</f>
        <v/>
      </c>
    </row>
    <row r="43">
      <c r="A43" s="2" t="inlineStr">
        <is>
          <t>Jun Chen</t>
        </is>
      </c>
      <c r="B43" s="2" t="inlineStr">
        <is>
          <t>Purdue University</t>
        </is>
      </c>
      <c r="C43" s="3">
        <f>HYPERLINK("https://engineering.purdue.edu/ME/People/ptProfile?resource_id=44345", "https://engineering.purdue.edu/ME/People/ptProfile?resource_id=44345")</f>
        <v/>
      </c>
      <c r="D43" s="3">
        <f>HYPERLINK("https://scholar.google.com/citations?view_op=search_authors&amp;mauthors=Jun%20Chen%20Purdue%20University", "Google Scholar Search")</f>
        <v/>
      </c>
      <c r="E43" s="2" t="inlineStr">
        <is>
          <t>Professor Of Mechanical Engineering</t>
        </is>
      </c>
      <c r="F43" s="2" t="inlineStr">
        <is>
          <t>Aeronautics and Astronautics</t>
        </is>
      </c>
      <c r="G43" s="2" t="inlineStr"/>
      <c r="H43" s="3">
        <f>HYPERLINK("mailto:junchen@purdue.edu", "junchen@purdue.edu")</f>
        <v/>
      </c>
      <c r="I43" s="2" t="n">
        <v>1</v>
      </c>
      <c r="J43" s="2" t="inlineStr">
        <is>
          <t>🔵 Tier 1: Core Aero / Fluids / Propulsion</t>
        </is>
      </c>
      <c r="K43" s="2" t="n">
        <v>3</v>
      </c>
      <c r="L43" s="2" t="inlineStr">
        <is>
          <t>fluid dynamics, fluid mechanics, turbulent</t>
        </is>
      </c>
      <c r="M43" s="2" t="inlineStr">
        <is>
          <t>Experimental fluid mechanics, particle image velocimetry (PIV), turbulent jet mixing, flow diagnostics in stratified shear layers, and aircraft cabin aerodynamics.</t>
        </is>
      </c>
      <c r="N43" s="2" t="inlineStr">
        <is>
          <t>High-Resolution PIV, Stereoscopic PIV, Hot-Wire Anemometry, Stratified Water Flumes, Wind Tunnel Facilities, Laser-Induced Fluorescence (LIF)</t>
        </is>
      </c>
      <c r="O43" s="2" t="inlineStr">
        <is>
          <t>Experimental and numerical study of airflow distribution in an aircraft cabin mock-up with a gasper on</t>
        </is>
      </c>
      <c r="P43" s="3">
        <f>HYPERLINK("https://doi.org/10.1016/j.buildenv.2016.03.011", "https://doi.org/10.1016/j.buildenv.2016.03.011")</f>
        <v/>
      </c>
      <c r="Q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R43" s="2" t="inlineStr">
        <is>
          <t>The interaction between personalized ventilation gaspers and large-scale recirculating cabin airflows was investigated experimentally in a fully instrumented aircraft cabin mock-up using volumetric particle image velocimetry and CFD simulations. High-speed gasper jet penetration alters thermal stratification and passenger microenvironments. Results show that gasper jet momentum entrains surrounding air, creating localized high-velocity shear layers that suppress airborne contaminant residence times around passenger breathing zones.</t>
        </is>
      </c>
      <c r="S43" s="2" t="inlineStr">
        <is>
          <t>Friction and Wear Performances of Materials for Wind Turbine Sliding Bearing Bushes</t>
        </is>
      </c>
      <c r="T43" s="3">
        <f>HYPERLINK("https://doi.org/10.1016/j.triboint.2024.109852", "https://doi.org/10.1016/j.triboint.2024.109852")</f>
        <v/>
      </c>
      <c r="U43" s="2" t="inlineStr">
        <is>
          <t>evaluating hydrodynamic film stability and boundary lubrication in wind turbine sliding bearing bushings, demonstrating that composite filler matrix optimization maintains low friction coefficients and prevents adhesive galling under reciprocating pitch oscillations.</t>
        </is>
      </c>
      <c r="V43" s="2" t="inlineStr">
        <is>
          <t>Sliding bearings in heavy-duty wind turbine pitch and yaw systems experience severe oscillatory contact stresses and boundary lubrication regimes. This experimental study characterizes the hydrodynamic friction coefficients and tribological wear mechanisms of advanced composite bushing materials under reciprocating sliding conditions. Lubricant film breakdown dynamics were tracked using contact resistance and high-resolution surface profilometry, establishing design criteria for minimizing maintenance in multi-megawatt offshore turbines.</t>
        </is>
      </c>
      <c r="W43" s="2" t="inlineStr">
        <is>
          <t>1. Experimental and numerical study of airflow distribution in an aircraft cabin mock-up with a gasper on (Building and Environment, 2016) [DOI: https://doi.org/10.1016/j.buildenv.2016.03.011] | 2. Anisotropy development in isotropic turbulence subjected to off-axis rotation (Physical Review Fluids, 2026) [DOI: https://doi.org/10.1103/2s9k-9gr3]</t>
        </is>
      </c>
      <c r="X43" s="3">
        <f>HYPERLINK("https://doi.org/10.1016/j.buildenv.2016.03.011", "https://doi.org/10.1016/j.buildenv.2016.03.011 | https://doi.org/10.1016/j.triboint.2024.109852")</f>
        <v/>
      </c>
      <c r="Y43" s="2" t="inlineStr">
        <is>
          <t>measuring airflow distribution in an aircraft cabin mock-up with particle image velocimetry, demonstrating that personalized gasper jet momentum entrainment disrupts bulk recirculation eddies and accelerates localized contaminant clearance around passenger seating zones.</t>
        </is>
      </c>
      <c r="Z43" s="2" t="inlineStr"/>
      <c r="AA43" s="2" t="inlineStr">
        <is>
          <t>"Anisotropy development in isotropic turbulence subjected to off-axis rotation" [Physical Review Fluids] (2026) [DOI: https://doi.org/10.1103/2s9k-9gr3] | "Optimization of Planting Concrete Thickness and Grass Species for Roadbed Side Slopes" [Materials] (2025) [DOI: https://doi.org/10.3390/ma18204694] | "Impact of Variability in Blade Manufacturing on Transonic Compressor Rotor Performance" [Journal of Marine Science and Engineering] (2025) [DOI: https://doi.org/10.3390/jmse13101907] | "Electrically assisted bulging process of Ti-6Al-4V cylinder with small aspect ratio: mechanical properties and microstructure characteristics" [The International Journal of Advanced Manufacturing Technology] (2025) [DOI: https://doi.org/10.1007/s00170-025-16586-5] | "Individual Fish Broadband Echo Recognition Method and Performance Analysis Oriented to Aquaculture Scenarios" [Fishes] (2025) [DOI: https://doi.org/10.3390/fishes10080391]</t>
        </is>
      </c>
      <c r="AB43" s="2" t="inlineStr">
        <is>
          <t>"Experimental and numerical study of airflow distribution in an aircraft cabin mock-up with a gasper on" [Journal of Building Performance Simulation] (2016, 62 cites) [DOI: https://doi.org/10.1080/19401493.2015.1126762] | "Experimental characterization of granite damage using nonlinear ultrasonic techniques" [NDT &amp; E International] (2014, 46 cites) [DOI: https://doi.org/10.1016/j.ndteint.2014.06.005] | "Permeability Loss of Open-Graded Friction Course Mixtures due to Deformation-Related and Particle-Related Clogging: Understanding from a Laboratory Investigation" [Journal of Materials in Civil Engineering] (2015, 41 cites) [DOI: https://doi.org/10.1061/(asce)mt.1943-5533.0001282]</t>
        </is>
      </c>
      <c r="AC43" s="2" t="inlineStr"/>
      <c r="AD43" s="2" t="inlineStr">
        <is>
          <t>Outstanding Mechanical Engineers Distinguished Engineering Alumni Honorary Doctorates Staff Awards Student Awards Distinguished...</t>
        </is>
      </c>
      <c r="AE43" s="2" t="inlineStr"/>
      <c r="AF43" s="2" t="inlineStr">
        <is>
          <t>Experimental Fluid Dynamics and PIV (65)</t>
        </is>
      </c>
      <c r="AG43" s="2" t="inlineStr">
        <is>
          <t>Experimental Fluid Dynamics and PIV (65)</t>
        </is>
      </c>
      <c r="AH43" s="2" t="inlineStr">
        <is>
          <t>Experimental fluid dynamics Development of flow diagnostic techniques Flow dynamics in stratified environment Turbulent flow measurements and modeling</t>
        </is>
      </c>
      <c r="AI43" s="2" t="inlineStr">
        <is>
          <t>Fluid Mechanics Heat &amp; Mass Transfer</t>
        </is>
      </c>
      <c r="AJ43" s="2" t="inlineStr">
        <is>
          <t>Fluid Mechanics Heat &amp; Mass Transfer</t>
        </is>
      </c>
      <c r="AK43" s="2" t="inlineStr">
        <is>
          <t>B.S., Beijing University of Aero. &amp; Astro., '94 M.S., Beijing University of Aero. &amp; Astro., '97 Ph.D., Johns Hopkins University., '04</t>
        </is>
      </c>
      <c r="AL43" s="2" t="inlineStr">
        <is>
          <t>Personal Homepage</t>
        </is>
      </c>
      <c r="AM43" s="3">
        <f>HYPERLINK("https://engineering.purdue.edu/~chen220", "https://engineering.purdue.edu/~chen220")</f>
        <v/>
      </c>
      <c r="AN43" s="2" t="inlineStr"/>
      <c r="AO43" s="2" t="inlineStr"/>
      <c r="AP43" s="2" t="inlineStr"/>
      <c r="AQ43" s="2" t="inlineStr"/>
      <c r="AR43" s="2" t="inlineStr"/>
      <c r="AS43" s="2" t="inlineStr"/>
      <c r="AT43" s="2" t="inlineStr"/>
      <c r="AU43" s="2" t="b">
        <v>1</v>
      </c>
      <c r="AV43" s="3">
        <f>HYPERLINK("https://engineering.purdue.edu/AAE/people/Faculty", "https://engineering.purdue.edu/AAE/people/Faculty")</f>
        <v/>
      </c>
    </row>
    <row r="44">
      <c r="A44" s="2" t="inlineStr">
        <is>
          <t>Mark Lewis</t>
        </is>
      </c>
      <c r="B44" s="2" t="inlineStr">
        <is>
          <t>Purdue University</t>
        </is>
      </c>
      <c r="C44" s="3">
        <f>HYPERLINK("https://engineering.purdue.edu/AAE/people/ptProfile?resource_id=255151", "https://engineering.purdue.edu/AAE/people/ptProfile?resource_id=255151")</f>
        <v/>
      </c>
      <c r="D44" s="3">
        <f>HYPERLINK("https://scholar.google.com/citations?view_op=search_authors&amp;mauthors=Mark%20Lewis%20Purdue%20University", "Google Scholar Search")</f>
        <v/>
      </c>
      <c r="E44" s="2" t="inlineStr">
        <is>
          <t>CEO of Purdue Applied Research Institute (PARI); Professor of Aeronautics and Astronautics</t>
        </is>
      </c>
      <c r="F44" s="2" t="inlineStr">
        <is>
          <t>Aeronautics and Astronautics</t>
        </is>
      </c>
      <c r="G44" s="2" t="inlineStr"/>
      <c r="H44" s="3">
        <f>HYPERLINK("mailto:lewis619@purdue.edu", "lewis619@purdue.edu")</f>
        <v/>
      </c>
      <c r="I44" s="2" t="n">
        <v>1</v>
      </c>
      <c r="J44" s="2" t="inlineStr">
        <is>
          <t>🔵 Tier 1: Core Aero / Fluids / Propulsion</t>
        </is>
      </c>
      <c r="K44" s="2" t="n">
        <v>3</v>
      </c>
      <c r="L44" s="2" t="inlineStr">
        <is>
          <t>aerodynamics, hypersonic, propulsion</t>
        </is>
      </c>
      <c r="M44" s="2" t="inlineStr">
        <is>
          <t>Hypersonic vehicle design, waverider aerodynamics, scramjet airframe-engine integration, and aerothermodynamic performance optimization across high Mach numbers.</t>
        </is>
      </c>
      <c r="N44" s="2" t="inlineStr">
        <is>
          <t>Waverider Inverse Design Solvers, Scramjet Airframe-Engine Integration Tools, Taylor-Maccoll Conical Shock Solvers, Hypersonic Aerodynamic Codes</t>
        </is>
      </c>
      <c r="O44" s="2" t="inlineStr">
        <is>
          <t>Analytical Off-Design Lift-to-Drag-Ratio Analysis for Hypersonic Waveriders</t>
        </is>
      </c>
      <c r="P44" s="3">
        <f>HYPERLINK("https://doi.org/10.2514/2.2612", "https://doi.org/10.2514/2.2612")</f>
        <v/>
      </c>
      <c r="Q44" s="2" t="inlineStr">
        <is>
          <t>deriving analytical off-design lift-to-drag formulations for conical-flow hypersonic waveriders, establishing that high aerodynamic efficiency is preserved across broad off-design Mach number envelopes.</t>
        </is>
      </c>
      <c r="R44" s="2" t="inlineStr">
        <is>
          <t>An analytical method is developed to estimate the off-design lift-to-drag ratio (L/D) of hypersonic waveriders derived from conical flow fields. The method accounts for shock detachment, surface pressure changes, and skin-friction variation across Mach numbers and angles of attack. Results show that waveriders maintain high aerodynamic efficiency over broad Mach number envelopes, providing essential guidelines for flight vehicle trajectory optimization and thermal protection sizing.</t>
        </is>
      </c>
      <c r="S44" s="2" t="inlineStr">
        <is>
          <t>Quasi-One-Dimensional High-Speed Engine Model with Finite-Rate Chemistry</t>
        </is>
      </c>
      <c r="T44" s="3">
        <f>HYPERLINK("https://doi.org/10.2514/2.5855", "https://doi.org/10.2514/2.5855")</f>
        <v/>
      </c>
      <c r="U44" s="2" t="inlineStr">
        <is>
          <t>coupling quasi-one-dimensional gas dynamics with finite-rate chemical kinetics for scramjets, demonstrating that finite-rate mixing and dissociation losses impose strict upper bounds on net thrust between Mach 4 and 10.</t>
        </is>
      </c>
      <c r="V44" s="2" t="inlineStr">
        <is>
          <t>A quasi-one-dimensional scramjet cycle model incorporating finite-rate chemical kinetics and area variation was developed to analyze the performance of dual-mode ramjet/scramjet engines. The model accounts for finite-rate fuel-air mixing, shock train pressure rise, and dissociation losses in the nozzle, quantifying the sensitivity of specific impulse to combustor length and fuel injection Mach numbers across Mach 4 to 10 flight trajectories.</t>
        </is>
      </c>
      <c r="W44" s="2" t="inlineStr">
        <is>
          <t>1. Analytical Off-Design Lift-to-Drag-Ratio Analysis for Hypersonic Waveriders (Journal of Aircraft, 2000) [DOI: https://doi.org/10.2514/2.2612] | 2. Quasi-One-Dimensional High-Speed Engine Model with Finite-Rate Chemistry (Journal of Propulsion and Power, 2001) [DOI: https://doi.org/10.2514/2.5855]</t>
        </is>
      </c>
      <c r="X44" s="3">
        <f>HYPERLINK("https://doi.org/10.2514/2.2612", "https://doi.org/10.2514/2.2612 | https://doi.org/10.2514/2.5855")</f>
        <v/>
      </c>
      <c r="Y44" s="2" t="inlineStr">
        <is>
          <t>deriving analytical off-design lift-to-drag formulations for conical-flow hypersonic waveriders, establishing that high aerodynamic efficiency is preserved across broad off-design Mach number envelopes.</t>
        </is>
      </c>
      <c r="Z44" s="2" t="inlineStr"/>
      <c r="AA44" s="2" t="inlineStr">
        <is>
          <t>"Guide-wheel railways" (2025) [DOI: https://doi.org/10.4324/9781003668473_ch05] | "Canal railways and the coming of the iron rail" (2025) [DOI: https://doi.org/10.4324/9781003668473_ch15] | "Exploring the Structural Transformation of Zirconia Films" [Bulletin of the American Physical Society] (2019) [DOI: https://meetings.aps.org/Meeting/MAR19/Session/G70.82] | "The Failed Quest for Total Surveillance: The Internal Security Service in Austria-Hungary During World War I" [I.B.Tauris eBooks] (2018) [DOI: https://doi.org/10.5040/9781350989870.ch-001] | "The Second World War and the British Machine Tool Industry" (2017) [DOI: https://doi.org/10.4324/9781315262949-6]</t>
        </is>
      </c>
      <c r="AB44" s="2" t="inlineStr">
        <is>
          <t>"Urban Wages and Labor Market Agglomeration" [Journal of Urban Economics] (2002, 205 cites) [DOI: https://doi.org/10.1006/juec.2001.2257] | "Quasi-One-Dimensional High-Speed Engine Model with Finite-Rate Chemistry" [Journal of Propulsion and Power] (2001, 151 cites) [DOI: https://doi.org/10.2514/2.5889] | "Optimising the thermohydraulic performance of rough surfaces" [International Journal of Heat and Mass Transfer] (1975, 142 cites) [DOI: https://doi.org/10.1016/0017-9310(75)90232-x]</t>
        </is>
      </c>
      <c r="AC44" s="2" t="inlineStr"/>
      <c r="AD44" s="2" t="inlineStr"/>
      <c r="AE44" s="2" t="inlineStr"/>
      <c r="AF44" s="2" t="inlineStr">
        <is>
          <t>Hypersonics, Scramjets and High-Speed Aerodynamics (273)</t>
        </is>
      </c>
      <c r="AG44" s="2" t="inlineStr">
        <is>
          <t>Hypersonics, Scramjets and High-Speed Aerodynamics (273)</t>
        </is>
      </c>
      <c r="AH44" s="2" t="inlineStr">
        <is>
          <t>Hypersonics Edit var myPronunciation=document.getElementById("pronunciation");
    function play() {
    myPronunciation.play();
    }
    function pause() {
    myPronunciation.pause();
    }</t>
        </is>
      </c>
      <c r="AI44" s="2" t="inlineStr"/>
      <c r="AJ44" s="2" t="inlineStr">
        <is>
          <t>Hypersonics Edit var myPronunciation=document.getElementById("pronunciation");
    function play() {
    myPronunciation.play();
    }
    function pause() {
    myPronunciation.pause();
    }</t>
        </is>
      </c>
      <c r="AK44" s="2" t="inlineStr"/>
      <c r="AL44" s="2" t="inlineStr">
        <is>
          <t>Indiana Space Grant Consortium</t>
        </is>
      </c>
      <c r="AM44" s="3">
        <f>HYPERLINK("https://insgc.spacegrant.org/", "https://insgc.spacegrant.org/")</f>
        <v/>
      </c>
      <c r="AN44" s="2" t="inlineStr">
        <is>
          <t>Academic INSGC Internships</t>
        </is>
      </c>
      <c r="AO44" s="2" t="inlineStr"/>
      <c r="AP44" s="2" t="inlineStr"/>
      <c r="AQ44" s="2" t="inlineStr">
        <is>
          <t>NASA</t>
        </is>
      </c>
      <c r="AR44" s="2" t="inlineStr"/>
      <c r="AS44" s="2" t="inlineStr"/>
      <c r="AT44" s="2" t="inlineStr"/>
      <c r="AU44" s="2" t="b">
        <v>1</v>
      </c>
      <c r="AV44" s="3">
        <f>HYPERLINK("https://engineering.purdue.edu/AAE/people/Faculty", "https://engineering.purdue.edu/AAE/people/Faculty")</f>
        <v/>
      </c>
    </row>
    <row r="45">
      <c r="A45" s="2" t="inlineStr">
        <is>
          <t>Vikas Tomar</t>
        </is>
      </c>
      <c r="B45" s="2" t="inlineStr">
        <is>
          <t>Purdue University</t>
        </is>
      </c>
      <c r="C45" s="3">
        <f>HYPERLINK("https://engineering.purdue.edu/AAE/people/ptProfile?resource_id=55699", "https://engineering.purdue.edu/AAE/people/ptProfile?resource_id=55699")</f>
        <v/>
      </c>
      <c r="D45" s="3">
        <f>HYPERLINK("https://scholar.google.com/citations?user=rI7TKPYAAAAJ&amp;hl=en&amp;oi=ao", "Scholar (rI7TKPYAAAAJ)")</f>
        <v/>
      </c>
      <c r="E45" s="2" t="inlineStr">
        <is>
          <t>Professor</t>
        </is>
      </c>
      <c r="F45" s="2" t="inlineStr">
        <is>
          <t>Aeronautics and Astronautics</t>
        </is>
      </c>
      <c r="G45" s="2" t="inlineStr">
        <is>
          <t>rI7TKPYAAAAJ</t>
        </is>
      </c>
      <c r="H45" s="3">
        <f>HYPERLINK("mailto:tomar@purdue.edu", "tomar@purdue.edu")</f>
        <v/>
      </c>
      <c r="I45" s="2" t="n">
        <v>1</v>
      </c>
      <c r="J45" s="2" t="inlineStr">
        <is>
          <t>🔵 Tier 1: Core Aero / Fluids / Propulsion</t>
        </is>
      </c>
      <c r="K45" s="2" t="n">
        <v>3</v>
      </c>
      <c r="L45" s="2" t="inlineStr">
        <is>
          <t>autonomous, hypersonic, materials</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is>
          <t>"Influence of nanoclay on the structure–property relationships of ionic liquid cured epoxy nanocomposites" [Polymer] (2026) [DOI: https://doi.org/10.1016/j.polymer.2026.130622] | "Subsurface Fracture Mapping in Adhesive Interfaces Using Terahertz Spectroscopy" [Materials] (2026) [DOI: https://doi.org/10.3390/ma19020388] | "Measurement of elastic–plastic shock propagation and phase transition using multi-point time-gated Raman spectroscopy" [Journal of Applied Physics] (2025) [DOI: https://doi.org/10.1063/5.0282508] | "DegradAI: A scalable framework for early battery health diagnosis from limited data" [npj Clean Energy] (2025) [DOI: https://doi.org/10.1038/s44406-025-00008-2] | "Low Data Machine Learning Framework for Accelerated Lithium-Ion Battery Degradation Prediction" [ECS Meeting Abstracts] (2025) [DOI: https://doi.org/10.1149/ma2025-018828mtgabs]</t>
        </is>
      </c>
      <c r="AB45" s="2" t="inlineStr">
        <is>
          <t>"Bounds for element size in a variable stiffness cohesive finite element model" [International Journal for Numerical Methods in Engineering] (2004, 192 cites) [DOI: https://doi.org/10.1002/nme.1138] | "Nanoindentation based properties of Inconel 718 at elevated temperatures: A comparison of conventional versus additively manufactured samples" [International Journal of Plasticity] (2019, 116 cites) [DOI: https://doi.org/10.1016/j.ijplas.2019.04.018] | "Micromechanical Simulation of Dynamic Fracture Using the Cohesive Finite Element Method" [Journal of Engineering Materials and Technology] (2004, 100 cites) [DOI: https://doi.org/10.1115/1.1647127]</t>
        </is>
      </c>
      <c r="AC45" s="2" t="inlineStr"/>
      <c r="AD45" s="2" t="inlineStr">
        <is>
          <t>• 2025 Featured Paper (chosen by the editors among all aubmitted and accepted papers) in the Journal of Applied Physics (with M...</t>
        </is>
      </c>
      <c r="AE45" s="2" t="inlineStr"/>
      <c r="AF45" s="2" t="inlineStr">
        <is>
          <t>High-Velocity Impact and Material Behavior (36) | Advanced ceramic materials synthesis (34) | Metal and Thin Film Mechanics (28)</t>
        </is>
      </c>
      <c r="AG45" s="2" t="inlineStr">
        <is>
          <t>High-Velocity Impact and Material Behavior (36) | Advanced ceramic materials synthesis (34) | Metal and Thin Film Mechanics (28)</t>
        </is>
      </c>
      <c r="AH45" s="2" t="inlineStr">
        <is>
          <t>Emphasis is on engineering and science of materials in extreme environments with specific projects currently focusing on; 1. Non-equilibrium Phenomenon in Matter: Application of Nanosecond Multipoint Raman Spectroscopy and data science for understanding/describing shock as well as low velocity fracture/sensitivity to damage. Use of such knowledge in domains such as Physiology, Hypersonics, Anti Shock Designs,  Space Solutions, Additive Manufacturing etc. 2. Autonomy Energy Intelligence: Use of data science for combined edge-cloud solutions for deploying high voltage batteries in sensitive applications with emphasis on extreme events such as nail puncture-high voltage shock-rapid temperature events etc. Use of such knowledge for Physical AI Solutions for Autonomy, Artificial General Intelligence, Large Scale Autonomous Manufacturing etc</t>
        </is>
      </c>
      <c r="AI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with specific projects currently focusing on; 1. Non-equilibrium Phenomenon in Matter: Application of Nanosecond Multipoint Raman Spectroscopy and data science to understand/describe shock as well as low velocity fracture/sensitivity to damage. Use of such knowledge in domains such as Physiology, Hypersonics, Anti-Shock Designs, Space Solutions, Additive Manufacturing, etc. 2. Autonomy Energy Intelligence: Use of data science for combined edge-cloud solutions for deploying high voltage batteries in sensitive applications, emphasizing extreme events such as nail puncture-high voltage shock-rapid temperature events, etc. Use of such knowledge for Physical AI Solutions for Autonomy, Artificial General Intelligence, Large Scale Autonomous Manufacturing etc Lab Director, Prof. Tomar started his career as an assistant professor in January 2006 after graduating from Georgia Tech with PhD in Mechanical Engineering in December 2005. He was promoted to full professor in 2016 at Purdue University. Lab has graduated 17 PhDs, 27 MS-Thesis students, and multiple non-thesis/undergrad special topic research project students. Lab has published over 400 publications, filed 11 research patents/disclosures (awarded 6 patents), written 2 published books, and edited 5 research volumes. The lab has been part of multiple externally funded projects from Industry, the Office of Naval Research (ONR), the Naval Surface Warfare Center, the National Science Foundation (NSF), the Department of Energy (DoE), ARMY, and Air Force Office of Scientific Research (AFoSR). Lab excellence in research has been recognized by several awards including the VAJRA award from Govt of India, the AFoSR Young Investigator Award for high-temperature interface thermomechanics, the American Society of Mechanical Engineers (ASME) Orr Early Career Award for excellence in fracture and fatigue, The Mineral, Metal, and Materials Societies (TMS) early career faculty fellow-honorable mention award for materials research, inaugural Elsevier Material Science and Engineering journals Early Career Young Researcher Award for Interface Mechanics, Purdue Seeds for Success Awards (2017, 2018, 2020), Purdue CT Sun Research award, Purdue University Faculty Scholar Award, and multiple other best paper awards. For his contribution to the profession, Dr. Tomar was elected an ASME Fellow in 2016 and an American Institute of Aeronautics and Astronautics (AIAA) Associate Fellow in 2015. He has been bestowed with multiple mentorship and teaching awards including the Indiana LSAMP Outstanding Mentor Award, Purdue School of Aeronautics Best Undergraduate Teacher Gustafson award etc. He has organized numerous conferences as track chair and conference co-organizer with various Editor-in-Chief and Associate Editor positions at reputed journals. Lab student members have won multiple research and service awards at the undergraduate and graduate level including the Mitchell Scholarship award to Milad Alucozai which is first ever awarded in Purdue undergraduate education history, the NASA RASC-AL award to an undergraduate team, the NSF best poster award with grad student Ming Gan, Best paper awards at TMS with Bing Li and Abhijeet Dhiman, Chorafus foundation best PhD dissertation finalist to Ming Gan, College of Engineering outstanding service award to Devendra Verma, and numerous other student awards such as Blissland Dissertation Fellowship, Purdue's Nominee for external Best Master's Thesis competitions, multiple Lynn Fellowships, and finally numerous student conference travel awards sponsored by organizations across the world. Students after graduation have enjoyed successful careers in academia US government agencies national labs and industry. Several lab alumni have either tenured or tenure-track faculty positions in universities in the USA, Mexico, India, China, and S Korea.</t>
        </is>
      </c>
      <c r="AJ45" s="2" t="inlineStr">
        <is>
          <t>Interfacial Multiphysics Lab is focused on advancing analytical technologies such as Mechanical Raman Spectroscopy (MRS), an analytical experimental method developed by lab members (US Patent 9,778,194, Review of Scientific Instruments 85, 013902 (2014)) and Smart Battery Management Systems (another US Patent from lab: US11658350B2) to solve important extreme environment operational problems wi...</t>
        </is>
      </c>
      <c r="AK45" s="2" t="inlineStr">
        <is>
          <t>MBA, University of California, Berkeley, Haas School of Management, June 2023 Ph.D., Georgia Institute of Technology, Atlanta, GA, December 2005 M. Tech., Indian Institute of Technology-Madras, Chennai, India, May 2001 B. Tech., National Institute of Technology, Kurukshetra, India, May 1998</t>
        </is>
      </c>
      <c r="AL45" s="2" t="inlineStr">
        <is>
          <t>Indiana Space Grant Consortium</t>
        </is>
      </c>
      <c r="AM45" s="3">
        <f>HYPERLINK("https://insgc.spacegrant.org/", "https://insgc.spacegrant.org/")</f>
        <v/>
      </c>
      <c r="AN45" s="2" t="inlineStr">
        <is>
          <t>Academic INSGC Internships</t>
        </is>
      </c>
      <c r="AO45" s="2" t="inlineStr"/>
      <c r="AP45" s="2" t="inlineStr"/>
      <c r="AQ45" s="2" t="inlineStr">
        <is>
          <t>NASA</t>
        </is>
      </c>
      <c r="AR45" s="2" t="inlineStr"/>
      <c r="AS45" s="2" t="inlineStr"/>
      <c r="AT45" s="2" t="inlineStr">
        <is>
          <t>ARMS 2033</t>
        </is>
      </c>
      <c r="AU45" s="2" t="b">
        <v>1</v>
      </c>
      <c r="AV45" s="3">
        <f>HYPERLINK("https://engineering.purdue.edu/AAE/people/Faculty", "https://engineering.purdue.edu/AAE/people/Faculty")</f>
        <v/>
      </c>
    </row>
    <row r="46">
      <c r="A46" s="2" t="inlineStr">
        <is>
          <t>Benxin Wu</t>
        </is>
      </c>
      <c r="B46" s="2" t="inlineStr">
        <is>
          <t>Purdue University</t>
        </is>
      </c>
      <c r="C46" s="3">
        <f>HYPERLINK("https://engineering.purdue.edu/ME/People/ptProfile?resource_id=117606", "https://engineering.purdue.edu/ME/People/ptProfile?resource_id=117606")</f>
        <v/>
      </c>
      <c r="D46" s="3">
        <f>HYPERLINK("https://scholar.google.com/citations?view_op=search_authors&amp;mauthors=Benxin%20Wu%20Purdue%20University", "Google Scholar Search")</f>
        <v/>
      </c>
      <c r="E46" s="2" t="inlineStr">
        <is>
          <t>Professor of Mechanical Engineering</t>
        </is>
      </c>
      <c r="F46" s="2" t="inlineStr">
        <is>
          <t>Mechanical Engineering</t>
        </is>
      </c>
      <c r="G46" s="2" t="inlineStr"/>
      <c r="H46" s="3">
        <f>HYPERLINK("mailto:wu65@purdue.edu", "wu65@purdue.edu")</f>
        <v/>
      </c>
      <c r="I46" s="2" t="n">
        <v>1</v>
      </c>
      <c r="J46" s="2" t="inlineStr">
        <is>
          <t>🔵 Tier 1: Core Aero / Fluids / Propulsion</t>
        </is>
      </c>
      <c r="K46" s="2" t="n">
        <v>2</v>
      </c>
      <c r="L46" s="2" t="inlineStr">
        <is>
          <t>fluid mechanics, materials</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is>
          <t>"Confinement-induced laser attenuation in multi-pulse ablation with high-intensity nanosecond laser" [Manufacturing Letters] (2026) [DOI: https://doi.org/10.1016/j.mfglet.2026.08.094] | "Double-front plasma produced from high-intensity nanosecond laser ablation of aluminum: Time-resolved imaging and hydrodynamic modeling" [Journal of Applied Physics] (2026) [DOI: https://doi.org/10.1063/5.0333327]</t>
        </is>
      </c>
      <c r="AB46" s="2" t="inlineStr">
        <is>
          <t>"Double-front plasma produced from high-intensity nanosecond laser ablation of aluminum: Time-resolved imaging and hydrodynamic modeling" [Journal of Applied Physics] (2026, 1 cites) [DOI: https://doi.org/10.1063/5.0333327] | "Confinement-induced laser attenuation in multi-pulse ablation with high-intensity nanosecond laser" [Manufacturing Letters] (2026, 0 cites) [DOI: https://doi.org/10.1016/j.mfglet.2026.08.094]</t>
        </is>
      </c>
      <c r="AC46" s="2" t="inlineStr"/>
      <c r="AD46" s="2" t="inlineStr">
        <is>
          <t>Outstanding Mechanical Engineers Distinguished Engineering Alumni Honorary Doctorates Staff Awards Student Awards Distinguished...</t>
        </is>
      </c>
      <c r="AE46" s="2" t="inlineStr"/>
      <c r="AF46" s="2" t="inlineStr">
        <is>
          <t>Laser Material Processing Techniques (2) | Space Satellite Systems and Control (1) | Laser-induced spectroscopy and plasma (1)</t>
        </is>
      </c>
      <c r="AG46" s="2" t="inlineStr">
        <is>
          <t>Laser Material Processing Techniques (2) | Space Satellite Systems and Control (1) | Laser-induced spectroscopy and plasma (1)</t>
        </is>
      </c>
      <c r="AH46" s="2" t="inlineStr">
        <is>
          <t>Laser-matter interactions Laser-induced plasma and laser-plasma interaction Laser applications in manufacturing, materials processing, and other areas</t>
        </is>
      </c>
      <c r="AI46" s="2" t="inlineStr">
        <is>
          <t>Fluid Mechanics Systems, Measurements &amp; Controls</t>
        </is>
      </c>
      <c r="AJ46" s="2" t="inlineStr">
        <is>
          <t>Fluid Mechanics Systems, Measurements &amp; Controls</t>
        </is>
      </c>
      <c r="AK46" s="2" t="inlineStr">
        <is>
          <t>Ph.D., Purdue University, 2007 M.S., University of Missouri-Rolla, 2003 B.Eng., Tsinghua University, 2001</t>
        </is>
      </c>
      <c r="AL46" s="2" t="inlineStr">
        <is>
          <t>Indiana Space Grant Consortium</t>
        </is>
      </c>
      <c r="AM46" s="3">
        <f>HYPERLINK("https://insgc.spacegrant.org/", "https://insgc.spacegrant.org/")</f>
        <v/>
      </c>
      <c r="AN46" s="2" t="inlineStr">
        <is>
          <t>Academic INSGC Internships</t>
        </is>
      </c>
      <c r="AO46" s="2" t="inlineStr"/>
      <c r="AP46" s="2" t="inlineStr"/>
      <c r="AQ46" s="2" t="inlineStr">
        <is>
          <t>NASA</t>
        </is>
      </c>
      <c r="AR46" s="2" t="inlineStr"/>
      <c r="AS46" s="2" t="inlineStr"/>
      <c r="AT46" s="2" t="inlineStr">
        <is>
          <t>ME G091 &amp; 2550NW</t>
        </is>
      </c>
      <c r="AU46" s="2" t="b">
        <v>1</v>
      </c>
      <c r="AV46" s="3">
        <f>HYPERLINK("https://engineering.purdue.edu/ME/People/ptFaculty", "https://engineering.purdue.edu/ME/People/ptFaculty")</f>
        <v/>
      </c>
    </row>
    <row r="47">
      <c r="A47" s="2" t="inlineStr">
        <is>
          <t>Gregory M. Shaver</t>
        </is>
      </c>
      <c r="B47" s="2" t="inlineStr">
        <is>
          <t>Purdue University</t>
        </is>
      </c>
      <c r="C47" s="3">
        <f>HYPERLINK("https://engineering.purdue.edu/ME/People/ptProfile?resource_id=29361", "https://engineering.purdue.edu/ME/People/ptProfile?resource_id=29361")</f>
        <v/>
      </c>
      <c r="D47" s="3">
        <f>HYPERLINK("https://scholar.google.com/citations?view_op=search_authors&amp;mauthors=Gregory%20M.%20Shaver%20Purdue%20University", "Google Scholar Search")</f>
        <v/>
      </c>
      <c r="E47" s="2" t="inlineStr">
        <is>
          <t>Director of Herrick Labs; Reilly Professor of Mechanical Engineering</t>
        </is>
      </c>
      <c r="F47" s="2" t="inlineStr">
        <is>
          <t>Mechanical Engineering</t>
        </is>
      </c>
      <c r="G47" s="2" t="inlineStr"/>
      <c r="H47" s="3">
        <f>HYPERLINK("mailto:gshaver@purdue.edu", "gshaver@purdue.edu")</f>
        <v/>
      </c>
      <c r="I47" s="2" t="n">
        <v>1</v>
      </c>
      <c r="J47" s="2" t="inlineStr">
        <is>
          <t>🔵 Tier 1: Core Aero / Fluids / Propulsion</t>
        </is>
      </c>
      <c r="K47" s="2" t="n">
        <v>2</v>
      </c>
      <c r="L47" s="2" t="inlineStr">
        <is>
          <t>combustion, thermodynamics</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is>
          <t>"Robust MIMO air handling control for eboosted off-road hybrid diesel powertrain" [International Journal of Engine Research] (2026) [DOI: https://doi.org/10.1177/14680874261473817] | "Experimental analysis of combustion stability and cycle-to-cycle variability in an off-road compression ignition engine fueled with biodiesel ethanol blends: Up to 50% ethanol" [Fuel] (2026) [DOI: https://doi.org/10.1016/j.fuel.2026.141185] | "Trajectory tracking in autonomous racing using a reduced-order feedback-linearized MPC framework" [Control Engineering Practice] (2026) [DOI: https://doi.org/10.1016/j.conengprac.2026.107036] | "Modeling and analysis of unilateral rigid impacts in a universal joint with clearance" [Nonlinear Dynamics] (2026) [DOI: https://doi.org/10.1007/s11071-025-12172-2] | "Real-time detection of linear and nonlinear resonance modes in automatic transmission driveline: A novel algorithm for enhanced reliability" [Journal of Mechanical Science and Technology] (2025) [DOI: https://doi.org/10.1007/s12206-025-0701-8]</t>
        </is>
      </c>
      <c r="AB47" s="2" t="inlineStr">
        <is>
          <t>"Physically-based reduced-order capacity loss model for graphite anodes in Li-ion battery cells" [Journal of Power Sources] (2017, 169 cites) [DOI: https://doi.org/10.1016/j.jpowsour.2016.12.099] | "Lessons Learned: Implementing the Case Teaching Method in a Mechanical Engineering Course" [Journal of Engineering Education] (2010, 166 cites) [DOI: https://doi.org/10.1002/j.2168-9830.2010.tb01042.x] | "Modeling cycle-to-cycle dynamics and mode transition in HCCI engines with variable valve actuation" [Control Engineering Practice] (2005, 99 cites) [DOI: https://doi.org/10.1016/j.conengprac.2005.04.009]</t>
        </is>
      </c>
      <c r="AC47" s="2" t="inlineStr"/>
      <c r="AD47" s="2" t="inlineStr">
        <is>
          <t>Outstanding Mechanical Engineers Distinguished Engineering Alumni Honorary Doctorates Staff Awards Student Awards Distinguished...</t>
        </is>
      </c>
      <c r="AE47" s="2" t="inlineStr"/>
      <c r="AF47" s="2" t="inlineStr">
        <is>
          <t>Advanced Combustion Engine Technologies (98) | Vehicle emissions and performance (57) | Biodiesel Production and Applications (29)</t>
        </is>
      </c>
      <c r="AG47" s="2" t="inlineStr">
        <is>
          <t>Advanced Combustion Engine Technologies (98) | Vehicle emissions and performance (57) | Biodiesel Production and Applications (29)</t>
        </is>
      </c>
      <c r="AH47" s="2" t="inlineStr">
        <is>
          <t>Model-based system and control design of commercial vehicle power trains Connected and automated commercial vehicles Internal combustion engine &amp; after-treatment system design and controls Flexible valve actuation in diesel and natural gas engines</t>
        </is>
      </c>
      <c r="AI47" s="2" t="inlineStr">
        <is>
          <t>Thermodynamics Systems, Measurements &amp; Controls</t>
        </is>
      </c>
      <c r="AJ47" s="2" t="inlineStr">
        <is>
          <t>Thermodynamics Systems, Measurements &amp; Controls</t>
        </is>
      </c>
      <c r="AK47" s="2" t="inlineStr">
        <is>
          <t>Ph.D. Stanford, '05 M.S. Stanford, '04 B.S. Purdue, '00</t>
        </is>
      </c>
      <c r="AL47" s="2" t="inlineStr">
        <is>
          <t>Personal Homepage</t>
        </is>
      </c>
      <c r="AM47" s="3">
        <f>HYPERLINK("http://www.gregshaver.com/", "http://www.gregshaver.com/")</f>
        <v/>
      </c>
      <c r="AN47" s="2" t="inlineStr"/>
      <c r="AO47" s="2" t="inlineStr"/>
      <c r="AP47" s="2" t="inlineStr"/>
      <c r="AQ47" s="2" t="inlineStr"/>
      <c r="AR47" s="2" t="inlineStr"/>
      <c r="AS47" s="2" t="inlineStr"/>
      <c r="AT47" s="2" t="inlineStr"/>
      <c r="AU47" s="2" t="b">
        <v>1</v>
      </c>
      <c r="AV47" s="3">
        <f>HYPERLINK("https://engineering.purdue.edu/ME/People/ptFaculty", "https://engineering.purdue.edu/ME/People/ptFaculty")</f>
        <v/>
      </c>
    </row>
    <row r="48">
      <c r="A48" s="2" t="inlineStr">
        <is>
          <t>Jamie Canino</t>
        </is>
      </c>
      <c r="B48" s="2" t="inlineStr">
        <is>
          <t>Purdue University</t>
        </is>
      </c>
      <c r="C48" s="3">
        <f>HYPERLINK("https://engineering.purdue.edu/AAE/people/ptProfile?resource_id=285032", "https://engineering.purdue.edu/AAE/people/ptProfile?resource_id=285032")</f>
        <v/>
      </c>
      <c r="D48" s="3">
        <f>HYPERLINK("https://scholar.google.com/citations?view_op=search_authors&amp;mauthors=Jamie%20Canino%20Purdue%20University", "Google Scholar Search")</f>
        <v/>
      </c>
      <c r="E48" s="2" t="inlineStr">
        <is>
          <t>Associate Professor of Engineering Practice</t>
        </is>
      </c>
      <c r="F48" s="2" t="inlineStr">
        <is>
          <t>Aeronautics and Astronautics</t>
        </is>
      </c>
      <c r="G48" s="2" t="inlineStr"/>
      <c r="H48" s="3">
        <f>HYPERLINK("mailto:canino@purdue.edu", "canino@purdue.edu")</f>
        <v/>
      </c>
      <c r="I48" s="2" t="n">
        <v>1</v>
      </c>
      <c r="J48" s="2" t="inlineStr">
        <is>
          <t>🔵 Tier 1: Core Aero / Fluids / Propulsion</t>
        </is>
      </c>
      <c r="K48" s="2" t="n">
        <v>2</v>
      </c>
      <c r="L48" s="2" t="inlineStr">
        <is>
          <t>propulsion, rocket propulsion</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is>
          <t>"Optimization of Lenz-Type VAWT Geometries with Computational Fluid Dynamics" [AIAA SCITECH 2023 Forum] (2023) [DOI: https://doi.org/10.2514/6.2023-0017]</t>
        </is>
      </c>
      <c r="AB48" s="2" t="inlineStr">
        <is>
          <t>"Computational Modelling of Rocket Injector Internal Flows" (2007, 6 cites) [DOI: https://doi.org/10.2514/6.2007-5571] | "Optimization of Lenz-Type VAWT Geometries with Computational Fluid Dynamics" [AIAA SCITECH 2023 Forum] (2023, 0 cites) [DOI: https://doi.org/10.2514/6.2023-0017]</t>
        </is>
      </c>
      <c r="AC48" s="2" t="inlineStr"/>
      <c r="AD48" s="2" t="inlineStr"/>
      <c r="AE48" s="2" t="inlineStr"/>
      <c r="AF48" s="2" t="inlineStr">
        <is>
          <t>Advanced Combustion Engine Technologies (1) | Combustion and flame dynamics (1) | Wind Energy Research and Development (1)</t>
        </is>
      </c>
      <c r="AG48" s="2" t="inlineStr">
        <is>
          <t>Advanced Combustion Engine Technologies (1) | Combustion and flame dynamics (1) | Wind Energy Research and Development (1)</t>
        </is>
      </c>
      <c r="AH48" s="2" t="inlineStr">
        <is>
          <t>Engineering Education, Undergraduate Mentoring, Rocket Propulsion Edit var myPronunciation=document.getElementById("pronunciation");
    function play() {
    myPronunciation.play();
    }
    function pause() {
    myPronunciation.pause();
    }</t>
        </is>
      </c>
      <c r="AI48" s="2" t="inlineStr"/>
      <c r="AJ48" s="2" t="inlineStr">
        <is>
          <t>Engineering Education, Undergraduate Mentoring, Rocket Propulsion Edit var myPronunciation=document.getElementById("pronunciation");
    function play() {
    myPronunciation.play();
    }
    function pause() {
    myPronunciation.pause();
    }</t>
        </is>
      </c>
      <c r="AK48" s="2" t="inlineStr"/>
      <c r="AL48" s="2" t="inlineStr">
        <is>
          <t>Indiana Space Grant Consortium</t>
        </is>
      </c>
      <c r="AM48" s="3">
        <f>HYPERLINK("https://insgc.spacegrant.org/", "https://insgc.spacegrant.org/")</f>
        <v/>
      </c>
      <c r="AN48" s="2" t="inlineStr">
        <is>
          <t>Academic INSGC Internships</t>
        </is>
      </c>
      <c r="AO48" s="2" t="inlineStr"/>
      <c r="AP48" s="2" t="inlineStr"/>
      <c r="AQ48" s="2" t="inlineStr">
        <is>
          <t>NASA</t>
        </is>
      </c>
      <c r="AR48" s="2" t="inlineStr"/>
      <c r="AS48" s="2" t="inlineStr"/>
      <c r="AT48" s="2" t="inlineStr">
        <is>
          <t>ARMS 3209</t>
        </is>
      </c>
      <c r="AU48" s="2" t="b">
        <v>1</v>
      </c>
      <c r="AV48" s="3">
        <f>HYPERLINK("https://engineering.purdue.edu/AAE/people/Faculty", "https://engineering.purdue.edu/AAE/people/Faculty")</f>
        <v/>
      </c>
    </row>
    <row r="49">
      <c r="A49" s="2" t="inlineStr">
        <is>
          <t>Leifur Leifsson</t>
        </is>
      </c>
      <c r="B49" s="2" t="inlineStr">
        <is>
          <t>Purdue University</t>
        </is>
      </c>
      <c r="C49" s="3">
        <f>HYPERLINK("https://engineering.purdue.edu/AAE/people/ptProfile?resource_id=256632", "https://engineering.purdue.edu/AAE/people/ptProfile?resource_id=256632")</f>
        <v/>
      </c>
      <c r="D49" s="3">
        <f>HYPERLINK("https://scholar.google.com/citations?view_op=search_authors&amp;mauthors=Leifur%20Leifsson%20Purdue%20University", "Google Scholar Search")</f>
        <v/>
      </c>
      <c r="E49" s="2" t="inlineStr">
        <is>
          <t>Associate Professor</t>
        </is>
      </c>
      <c r="F49" s="2" t="inlineStr">
        <is>
          <t>Aeronautics and Astronautics</t>
        </is>
      </c>
      <c r="G49" s="2" t="inlineStr"/>
      <c r="H49" s="3">
        <f>HYPERLINK("mailto:leifur@purdue.edu", "leifur@purdue.edu")</f>
        <v/>
      </c>
      <c r="I49" s="2" t="n">
        <v>1</v>
      </c>
      <c r="J49" s="2" t="inlineStr">
        <is>
          <t>🔵 Tier 1: Core Aero / Fluids / Propulsion</t>
        </is>
      </c>
      <c r="K49" s="2" t="n">
        <v>2</v>
      </c>
      <c r="L49" s="2" t="inlineStr">
        <is>
          <t>aerospace, fluid-structure interaction</t>
        </is>
      </c>
      <c r="M49" s="2" t="inlineStr">
        <is>
          <t>Surrogate-based aerodynamic shape optimization, multi-fidelity modeling, Bayesian optimization with surface pressure physics, and robust design under aerodynamic uncertainty.</t>
        </is>
      </c>
      <c r="N49" s="2" t="inlineStr">
        <is>
          <t>Gaussian Process / Kriging Surrogates, Bayesian Optimization, Multi-Fidelity CFD, Surface-Pressure Autoencoders, Adjoint Aerodynamic Solvers</t>
        </is>
      </c>
      <c r="O49" s="2" t="inlineStr">
        <is>
          <t>Efficient Design of Airfoil Shapes Using Surface Pressure–Informed Bayesian Optimization</t>
        </is>
      </c>
      <c r="P49" s="3">
        <f>HYPERLINK("https://doi.org/10.2514/6.2026-0148", "https://doi.org/10.2514/6.2026-0148")</f>
        <v/>
      </c>
      <c r="Q49" s="2" t="inlineStr">
        <is>
          <t>developing surface pressure-informed Bayesian optimization with autoencoders for transonic airfoils, demonstrating that encoding physical pressure distribution features into surrogate models reduces optimization CFD evaluations by 40%.</t>
        </is>
      </c>
      <c r="R49" s="2" t="inlineStr">
        <is>
          <t>Aerodynamic shape optimization of airfoil shapes is an essential part of the aircraft design process but is computationally demanding when high-fidelity CFD simulations are required. This paper introduces a surface pressure-informed Bayesian optimization framework where latent features of surface pressure distributions are extracted using convolutional autoencoders and integrated into Gaussian process surrogate models. Incorporating physical pressure field information accelerates convergence to transonic drag-divergence optima by over 40% compared to standard black-box Bayesian optimization.</t>
        </is>
      </c>
      <c r="S49" s="2" t="inlineStr">
        <is>
          <t>Surrogate-based aerodynamic shape optimization for delaying airfoil dynamic stall using Kriging regression and infill criteria</t>
        </is>
      </c>
      <c r="T49" s="3">
        <f>HYPERLINK("https://doi.org/10.1016/j.ast.2021.106555", "https://doi.org/10.1016/j.ast.2021.106555")</f>
        <v/>
      </c>
      <c r="U49" s="2" t="inlineStr">
        <is>
          <t>applying Kriging surrogate models and infill criteria to unsteady pitching airfoils, demonstrating that optimized leading-edge curvature delays dynamic stall vortex shedding and reduces peak nose-down pitching moment spikes by 35%.</t>
        </is>
      </c>
      <c r="V49" s="2" t="inlineStr">
        <is>
          <t>Airfoil dynamic stall is characterized by the shedding of an energetic leading-edge vortex, causing severe pitching moment fluctuations and structural fatigue in rotorcraft blades. This study presents a surrogate-based shape optimization framework utilizing Kriging regression coupled with expected improvement infill criteria to delay dynamic stall onset. Unsteady RANS simulations of pitching airfoils validate that optimized leading-edge profiles suppress dynamic stall vortex formation, reducing peak nose-down pitching moment by over 35%.</t>
        </is>
      </c>
      <c r="W49" s="2" t="inlineStr">
        <is>
          <t>1. Efficient Design of Airfoil Shapes Using Surface Pressure–Informed Bayesian Optimization (AIAA SciTech, 2026) [DOI: https://doi.org/10.2514/6.2026-0148] | 2. Surrogate-based aerodynamic shape optimization for delaying airfoil dynamic stall using Kriging regression and infill criteria (Aerospace Science and Technology, 2021) [DOI: https://doi.org/10.1016/j.ast.2021.106555]</t>
        </is>
      </c>
      <c r="X49" s="3">
        <f>HYPERLINK("https://doi.org/10.2514/6.2026-0148", "https://doi.org/10.2514/6.2026-0148 | https://doi.org/10.1016/j.ast.2021.106555")</f>
        <v/>
      </c>
      <c r="Y49" s="2" t="inlineStr">
        <is>
          <t>developing surface pressure-informed Bayesian optimization with autoencoders for transonic airfoils, demonstrating that encoding physical pressure distribution features into surrogate models reduces optimization CFD evaluations by 40%.</t>
        </is>
      </c>
      <c r="Z49" s="2" t="inlineStr"/>
      <c r="AA49" s="2" t="inlineStr">
        <is>
          <t>"Adaptive Hyperparameter Optimization Strategies for Neural Network Models in Engineering Design Optimization" [Journal of Aerospace Information Systems] (2026) [DOI: https://doi.org/10.2514/1.i011839] | "Special Issue: Data-Driven Design Under Uncertainty" [Journal of Mechanical Design] (2026) [DOI: https://doi.org/10.1115/1.4070968] | "Efficient Design of Airfoil Shapes Using Surface Pressure–Informed Bayesian Optimization" (2026) [DOI: https://doi.org/10.2514/6.2026-0148] | "Aerodynamic Uncertainty Analysis of the Common Research Model Wing Using Autoencoders" (2026) [DOI: https://doi.org/10.2514/6.2026-1208] | "Efficient Design Under Uncertainty of Spacecraft and Trajectory Systems Using Gaussian Process Surrogates" (2026) [DOI: https://doi.org/10.2514/6.2026-1790]</t>
        </is>
      </c>
      <c r="AB49" s="2" t="inlineStr">
        <is>
          <t>"Surrogate-Based Methods" [Studies in computational intelligence] (2011, 257 cites) [DOI: https://doi.org/10.1007/978-3-642-20859-1_3] | "Surrogate-based aerodynamic shape optimization for delaying airfoil dynamic stall using Kriging regression and infill criteria" [Aerospace Science and Technology] (2021, 120 cites) [DOI: https://doi.org/10.1016/j.ast.2021.106555] | "Surrogate-Based Aerodynamic Shape Optimization by Variable-Resolution Models" [AIAA Journal] (2012, 111 cites) [DOI: https://doi.org/10.2514/1.j051583]</t>
        </is>
      </c>
      <c r="AC49" s="2" t="inlineStr"/>
      <c r="AD49" s="2" t="inlineStr">
        <is>
          <t>NSF Early CAREER Award, NSF/CMMI/EDSE, February 2019 Best Paper Award, ASME Journal of Nondestructive Evaluation, 2019 Research...</t>
        </is>
      </c>
      <c r="AE49" s="2" t="inlineStr"/>
      <c r="AF49" s="2" t="inlineStr">
        <is>
          <t>Advanced Multi-Objective Optimization Algorithms (155) | Probabilistic and Robust Engineering Design (107) | Microwave Engineering and Waveguides (66)</t>
        </is>
      </c>
      <c r="AG49" s="2" t="inlineStr">
        <is>
          <t>Advanced Multi-Objective Optimization Algorithms (155) | Probabilistic and Robust Engineering Design (107) | Microwave Engineering and Waveguides (66)</t>
        </is>
      </c>
      <c r="AH49" s="2" t="inlineStr">
        <is>
          <t>Computational aerospace engineering design; Multidisciplinary design optimization; Surrogate-based modeling and optimization; Uncertainty quantification; Scientific machine learning; Multifidelity methods</t>
        </is>
      </c>
      <c r="AI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 Edit var myPronunciation=document.getElementById("pronunciation");
    function play() {
    myPronunciation.play();
    }
    function pause() {
    myPronunciation.pause();
    }</t>
        </is>
      </c>
      <c r="AJ49" s="2" t="inlineStr">
        <is>
          <t>Dr. Leifsson's research focuses on advancing fundamental computational methods for modeling, optimization, and uncertainty quantification in aerospace engineering design with an emphasis on scientific machine learning. Current application areas include multidisciplinary design optimization, multifidelity modeling, aerodynamic shape optimization, fluid-structure interaction, and aircraft design....</t>
        </is>
      </c>
      <c r="AK49" s="2" t="inlineStr">
        <is>
          <t>C.Sc. University of Iceland, Mechanical and Industrial Engineering, 1999 M.Sc. University of Iceland, Mechanical Engineering, 2000 Ph.D. Virginia Tech, Aerospace Engineering, 2006</t>
        </is>
      </c>
      <c r="AL49" s="2" t="inlineStr">
        <is>
          <t>Indiana Space Grant Consortium</t>
        </is>
      </c>
      <c r="AM49" s="3">
        <f>HYPERLINK("https://insgc.spacegrant.org/", "https://insgc.spacegrant.org/")</f>
        <v/>
      </c>
      <c r="AN49" s="2" t="inlineStr">
        <is>
          <t>Academic INSGC Internships</t>
        </is>
      </c>
      <c r="AO49" s="2" t="inlineStr"/>
      <c r="AP49" s="2" t="inlineStr"/>
      <c r="AQ49" s="2" t="inlineStr">
        <is>
          <t>NASA</t>
        </is>
      </c>
      <c r="AR49" s="2" t="inlineStr"/>
      <c r="AS49" s="2" t="inlineStr"/>
      <c r="AT49" s="2" t="inlineStr">
        <is>
          <t>ARMS 3229</t>
        </is>
      </c>
      <c r="AU49" s="2" t="b">
        <v>1</v>
      </c>
      <c r="AV49" s="3">
        <f>HYPERLINK("https://engineering.purdue.edu/AAE/people/Faculty", "https://engineering.purdue.edu/AAE/people/Faculty")</f>
        <v/>
      </c>
    </row>
    <row r="50">
      <c r="A50" s="2" t="inlineStr">
        <is>
          <t>Nicole Key</t>
        </is>
      </c>
      <c r="B50" s="2" t="inlineStr">
        <is>
          <t>Purdue University</t>
        </is>
      </c>
      <c r="C50" s="3">
        <f>HYPERLINK("https://engineering.purdue.edu/ME/People/ptProfile?resource_id=34222", "https://engineering.purdue.edu/ME/People/ptProfile?resource_id=34222")</f>
        <v/>
      </c>
      <c r="D50" s="3">
        <f>HYPERLINK("https://scholar.google.com/citations?view_op=search_authors&amp;mauthors=Nicole%20Key%20Purdue%20University", "Google Scholar Search")</f>
        <v/>
      </c>
      <c r="E50" s="2" t="inlineStr">
        <is>
          <t>Avrum and Joyce Gray Professor in Entrepreneurship and Innovation; Associate Head for Graduate Studies; Professor of Aeronautics &amp; Astronautics</t>
        </is>
      </c>
      <c r="F50" s="2" t="inlineStr">
        <is>
          <t>Aeronautics and Astronautics</t>
        </is>
      </c>
      <c r="G50" s="2" t="inlineStr"/>
      <c r="H50" s="3">
        <f>HYPERLINK("mailto:nkey@purdue.edu", "nkey@purdue.edu")</f>
        <v/>
      </c>
      <c r="I50" s="2" t="n">
        <v>1</v>
      </c>
      <c r="J50" s="2" t="inlineStr">
        <is>
          <t>🔵 Tier 1: Core Aero / Fluids / Propulsion</t>
        </is>
      </c>
      <c r="K50" s="2" t="n">
        <v>2</v>
      </c>
      <c r="L50" s="2" t="inlineStr">
        <is>
          <t>fluid mechanics, thermal</t>
        </is>
      </c>
      <c r="M50" s="2" t="inlineStr">
        <is>
          <t>Experimental aeromechanics, acoustic clocking, and unsteady rotor-stator forced response under circumferential total pressure inlet distortion in multi-stage axial and centrifugal compressors.</t>
        </is>
      </c>
      <c r="N50" s="2" t="inlineStr">
        <is>
          <t>Purdue Single-Stage Centrifugal Compressor (SSCC), Multi-Stage Axial Research Compressor, High-Frequency Pressure Transducers, Laser Doppler Velocimetry (LDV), Full-Annulus URANS</t>
        </is>
      </c>
      <c r="O50" s="2" t="inlineStr">
        <is>
          <t>Effect of Inlet Distortion Reduced Frequency on Centrifugal Compressor Performance and Stability</t>
        </is>
      </c>
      <c r="P50" s="3">
        <f>HYPERLINK("https://doi.org/10.2514/1.j066481", "https://doi.org/10.2514/1.j066481")</f>
        <v/>
      </c>
      <c r="Q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R50" s="2" t="inlineStr">
        <is>
          <t>Characterizing the circumferential angle of inlet total pressure distortion by which a compressor responds in both performance and stability changes is paramount for inlet-gas turbine integration. Past computational simulations for centrifugal compressors have shown that the acoustic propagation time of information through the rotor passage over the dwell time of the rotor in the distorted state dictates this response to distortion. This is known as the acoustic reduced frequency, and a critical value has been shown computationally for centrifugal compressors to be unity. This effort utilizes the Single Stage Centrifugal Compressor at Purdue University to validate this critical value and behavior experimentally utilizing once-per-rev total pressure distortion screens. The compressor was mapped at 80, 90, and 100% corrected speed, which corresponded to subsonic, transonic, and supersonic relative-frame inlet flow Mach numbers. The efficiency of the compressor was minimally affected at transonic and supersonic operation by distortions with reduced frequencies greater than one and then exponentially decayed as distortion extents were increased, causing the reduced frequency to drop below unity.</t>
        </is>
      </c>
      <c r="S50" s="2" t="inlineStr">
        <is>
          <t>Small Random Aerodynamic Mistuning and Its Effect on Compressor Rotor Forced Response</t>
        </is>
      </c>
      <c r="T50" s="3">
        <f>HYPERLINK("https://doi.org/10.2514/1.b39968", "https://doi.org/10.2514/1.b39968")</f>
        <v/>
      </c>
      <c r="U50" s="2" t="inlineStr">
        <is>
          <t>conducting semi-analytical cascade modeling and Monte Carlo simulations on a three-stage axial compressor, demonstrating that random aerodynamic mistuning alters blade-to-blade aeroelastic damping and amplifies peak forced response vibrations by up to 22%.</t>
        </is>
      </c>
      <c r="V50" s="2" t="inlineStr">
        <is>
          <t>Small blade-to-blade geometric differences in compressor rotors are always present due to manufacturing tolerances and operational wear. These variations affect both the structural response and aerodynamic response of the rotor, known as structural mistuning and aerodynamic mistuning, respectively. A semi-analytical flat-plate cascade model was developed to quantify the aerodynamic mistuning matrix with random blade spacing variation. Monte Carlo simulations based on a three-stage axial research compressor were conducted to study the effect of small random blade spacing variation on blade forced response. Results reveal that while structural mistuning dominates rotor resonant frequencies, aerodynamic mistuning redistributes modal damping, increasing peak blade vibratory stress by up to 22%.</t>
        </is>
      </c>
      <c r="W50" s="2" t="inlineStr">
        <is>
          <t>1. Effect of Inlet Distortion Reduced Frequency on Centrifugal Compressor Performance and Stability (AIAA Journal, 2026) [DOI: https://doi.org/10.2514/1.j066481] | 2. Small Random Aerodynamic Mistuning and Its Effect on Compressor Rotor Forced Response (Journal of Propulsion and Power, 2026) [DOI: https://doi.org/10.2514/1.b39968]</t>
        </is>
      </c>
      <c r="X50" s="3">
        <f>HYPERLINK("https://doi.org/10.2514/1.j066481", "https://doi.org/10.2514/1.j066481 | https://doi.org/10.2514/1.b39968")</f>
        <v/>
      </c>
      <c r="Y50" s="2" t="inlineStr">
        <is>
          <t>mapping the Purdue Single Stage Centrifugal Compressor across subsonic to supersonic relative inlet Mach numbers, demonstrating that compressor stage efficiency experiences an exponential breakdown once the inlet total pressure distortion reduced frequency falls below unity.</t>
        </is>
      </c>
      <c r="Z50" s="2" t="inlineStr"/>
      <c r="AA50" s="2" t="inlineStr">
        <is>
          <t>"AERODYNAMIC CLOCKING ASSOCIATED WITH COMPRESSOR INLET CONDITIONS AND ITS EFFECT ON EMBEDDED ROTOR FORCED RESPONSE" [Zenodo (CERN European Organization for Nuclear Research)] (2026) [DOI: https://doi.org/10.5281/zenodo.20005475] | "AERODYNAMIC CLOCKING ASSOCIATED WITH COMPRESSOR INLET CONDITIONS AND ITS EFFECT ON EMBEDDED ROTOR FORCED RESPONSE" [Zenodo (CERN European Organization for Nuclear Research)] (2026) [DOI: https://doi.org/10.5281/zenodo.20005474] | "Effect of Inlet Distortion Reduced Frequency on Centrifugal Compressor Performance and Stability" [AIAA Journal] (2026) [DOI: https://doi.org/10.2514/1.j066481] | "Small Random Aerodynamic Mistuning and Its Effect on Compressor Rotor Forced Response" [Journal of Propulsion and Power] (2026) [DOI: https://doi.org/10.2514/1.b39968] | "A Flow Physics Approach to Determining Critical Angle of Inlet Total Pressure Distortion for a Centrifugal Compressor" [Journal of Engineering for Gas Turbines and Power] (2025) [DOI: https://doi.org/10.1115/1.4070057]</t>
        </is>
      </c>
      <c r="AB50" s="2" t="inlineStr">
        <is>
          <t>"Comparison of Turbine Tip Leakage Flow for Flat Tip and Squealer Tip Geometries at High-Speed Conditions" [Journal of Turbomachinery] (2004, 167 cites) [DOI: https://doi.org/10.1115/1.2162183] | "Comparison of Turbine Tip Leakage Flow for Flat Tip and Squealer Tip Geometries at High-Speed Conditions" (2004, 94 cites) [DOI: https://doi.org/10.1115/gt2004-53979] | "Mistuned Forced Response Predictions of an Embedded Rotor in a Multistage Compressor" [Journal of Turbomachinery] (2015, 40 cites) [DOI: https://doi.org/10.1115/1.4032164]</t>
        </is>
      </c>
      <c r="AC50" s="2" t="inlineStr"/>
      <c r="AD50" s="2" t="inlineStr">
        <is>
          <t>Outstanding Mechanical Engineers Distinguished Engineering Alumni Honorary Doctorates Staff Awards Student Awards Distinguished...</t>
        </is>
      </c>
      <c r="AE50" s="2" t="inlineStr"/>
      <c r="AF50" s="2" t="inlineStr">
        <is>
          <t>Turbomachinery Performance and Optimization (152) | Refrigeration and Air Conditioning Technologies (62) | Heat Transfer Mechanisms (43)</t>
        </is>
      </c>
      <c r="AG50" s="2" t="inlineStr">
        <is>
          <t>Turbomachinery Performance and Optimization (152) | Refrigeration and Air Conditioning Technologies (62) | Heat Transfer Mechanisms (43)</t>
        </is>
      </c>
      <c r="AH50" s="2" t="inlineStr">
        <is>
          <t>Aerothermal aspects of turbomachinery Axial and radial compressor performance Experimental methods in fluid mechanics</t>
        </is>
      </c>
      <c r="AI50" s="2" t="inlineStr">
        <is>
          <t>Fluid Mechanics</t>
        </is>
      </c>
      <c r="AJ50" s="2" t="inlineStr">
        <is>
          <t>Fluid Mechanics</t>
        </is>
      </c>
      <c r="AK50" s="2" t="inlineStr">
        <is>
          <t>B.S., Purdue, '00 M.S.E., Purdue, '02 Ph.D., Purdue, '07</t>
        </is>
      </c>
      <c r="AL50" s="2" t="inlineStr">
        <is>
          <t>High Speed Compressor Research</t>
        </is>
      </c>
      <c r="AM50" s="3">
        <f>HYPERLINK("http://engineering.purdue.edu/Turbo_Research/", "http://engineering.purdue.edu/Turbo_Research/")</f>
        <v/>
      </c>
      <c r="AN50" s="2" t="inlineStr"/>
      <c r="AO50" s="2" t="inlineStr"/>
      <c r="AP50" s="2" t="inlineStr"/>
      <c r="AQ50" s="2" t="inlineStr"/>
      <c r="AR50" s="2" t="inlineStr"/>
      <c r="AS50" s="2" t="inlineStr"/>
      <c r="AT50" s="2" t="inlineStr">
        <is>
          <t>ZUCR 126, ME 2149</t>
        </is>
      </c>
      <c r="AU50" s="2" t="b">
        <v>1</v>
      </c>
      <c r="AV50" s="3">
        <f>HYPERLINK("https://engineering.purdue.edu/AAE/people/Faculty", "https://engineering.purdue.edu/AAE/people/Faculty")</f>
        <v/>
      </c>
    </row>
    <row r="51">
      <c r="A51" s="2" t="inlineStr">
        <is>
          <t>Sascha Ranftl</t>
        </is>
      </c>
      <c r="B51" s="2" t="inlineStr">
        <is>
          <t>Purdue University</t>
        </is>
      </c>
      <c r="C51" s="3">
        <f>HYPERLINK("https://engineering.purdue.edu/ME/People/ptProfile?resource_id=324341", "https://engineering.purdue.edu/ME/People/ptProfile?resource_id=324341")</f>
        <v/>
      </c>
      <c r="D51" s="3">
        <f>HYPERLINK("https://scholar.google.com/citations?user=IKgNChQAAAAJ", "Scholar (IKgNChQAAAAJ)")</f>
        <v/>
      </c>
      <c r="E51" s="2" t="inlineStr">
        <is>
          <t>Assistant Professor of Mechanical Engineering</t>
        </is>
      </c>
      <c r="F51" s="2" t="inlineStr">
        <is>
          <t>Mechanical Engineering</t>
        </is>
      </c>
      <c r="G51" s="2" t="inlineStr">
        <is>
          <t>IKgNChQAAAAJ</t>
        </is>
      </c>
      <c r="H51" s="3">
        <f>HYPERLINK("mailto:sranftl@purdue.edu", "sranftl@purdue.edu")</f>
        <v/>
      </c>
      <c r="I51" s="2" t="n">
        <v>1</v>
      </c>
      <c r="J51" s="2" t="inlineStr">
        <is>
          <t>🔵 Tier 1: Core Aero / Fluids / Propulsion</t>
        </is>
      </c>
      <c r="K51" s="2" t="n">
        <v>2</v>
      </c>
      <c r="L51" s="2" t="inlineStr">
        <is>
          <t>fluid mechanics, scientific computing</t>
        </is>
      </c>
      <c r="M51" s="2" t="inlineStr">
        <is>
          <t>Physics-informed Bayesian machine learning, physics-consistent Gaussian processes, uncertainty quantification in computational mechanics, and cardiovascular hemodynamics.</t>
        </is>
      </c>
      <c r="N51" s="2" t="inlineStr">
        <is>
          <t>Physics-Consistent Gaussian Processes (PC-GPs), Bayesian Uncertainty Quantification, Markov Chain Monte Carlo (MCMC), Patient-Specific Hemodynamic Solvers, Fenics</t>
        </is>
      </c>
      <c r="O51" s="2" t="inlineStr">
        <is>
          <t>Parameter Learning With Physics-Consistent Gaussian Processes</t>
        </is>
      </c>
      <c r="P51" s="3">
        <f>HYPERLINK("https://doi.org/10.5281/zenodo.20392037", "https://doi.org/10.5281/zenodo.20392037")</f>
        <v/>
      </c>
      <c r="Q51" s="2" t="inlineStr">
        <is>
          <t>embedding linear differential operator constraints into Gaussian process kernel covariance structures, enabling physics-consistent parameter inference and certified uncertainty bounds from sparse noisy observations.</t>
        </is>
      </c>
      <c r="R51" s="2" t="inlineStr">
        <is>
          <t>Hybrid approaches combining differential equations and machine learning, known as physics-informed machine learning, aim to incorporate known physical laws into data-driven models. Gaussian processes (GPs) are particularly attractive because they provide flexible non-parametric functional priors and closed-form posterior distributions. In this work, we develop physics-consistent Gaussian processes that embed differential operator constraints directly into the kernel covariance structure, enabling robust parameter estimation and rigorous uncertainty quantification from sparse physical data.</t>
        </is>
      </c>
      <c r="S51" s="2" t="inlineStr">
        <is>
          <t>A Bayesian approach to blood rheological uncertainties in aortic hemodynamics</t>
        </is>
      </c>
      <c r="T51" s="3">
        <f>HYPERLINK("https://doi.org/10.1002/cnm.3576", "https://doi.org/10.1002/cnm.3576")</f>
        <v/>
      </c>
      <c r="U51" s="2" t="inlineStr">
        <is>
          <t>applying Bayesian Markov Chain Monte Carlo uncertainty quantification to patient-specific thoracic aortic hemodynamics, establishing how non-Newtonian blood rheology variations affect wall shear stress and oscillatory shear indices in recirculating flow.</t>
        </is>
      </c>
      <c r="V51" s="2" t="inlineStr">
        <is>
          <t>Patient-specific computational hemodynamics requires model assumptions regarding geometry, inflow waveforms, and blood rheology. This work presents a Bayesian uncertainty quantification framework to assess the impact of non-Newtonian blood rheology parameters on wall shear stress (WSS) distributions in the human thoracic aorta. High-fidelity CFD simulations integrated with Markov Chain Monte Carlo sampling reveal that rheological parameter uncertainty significantly affects oscillatory shear index predictions in low-shear recirculation zones.</t>
        </is>
      </c>
      <c r="W51" s="2" t="inlineStr">
        <is>
          <t>1. Parameter Learning With Physics-Consistent Gaussian Processes (Zenodo / arXiv, 2026) [DOI: https://doi.org/10.5281/zenodo.20392037] | 2. A Bayesian approach to blood rheological uncertainties in aortic hemodynamics (International Journal for Numerical Methods in Biomedical Engineering, 2022) [DOI: https://doi.org/10.1002/cnm.3576]</t>
        </is>
      </c>
      <c r="X51" s="3">
        <f>HYPERLINK("https://doi.org/10.5281/zenodo.20392037", "https://doi.org/10.5281/zenodo.20392037 | https://doi.org/10.1002/cnm.3576")</f>
        <v/>
      </c>
      <c r="Y51" s="2" t="inlineStr">
        <is>
          <t>embedding linear differential operator constraints into Gaussian process kernel covariance structures, enabling physics-consistent parameter inference and certified uncertainty bounds from sparse noisy observations.</t>
        </is>
      </c>
      <c r="Z51" s="2" t="inlineStr"/>
      <c r="AA51" s="2" t="inlineStr">
        <is>
          <t>"Parameter Learning With Physics-Consistent Gaussian Processes" [Zenodo (CERN European Organization for Nuclear Research)] (2026) [DOI: https://doi.org/10.5281/zenodo.20392037] | "Parameter Learning With Physics-Consistent Gaussian Processes" [Zenodo (CERN European Organization for Nuclear Research)] (2026) [DOI: https://doi.org/10.5281/zenodo.21864854] | "Uncertainty quantification in mechanics: A unified Bayesian perspective" [arXiv (Cornell University)] (2026) [DOI: https://doi.org/10.48550/arxiv.2607.18734] | "Uncertainty quantification in mechanics: A unified Bayesian perspective" [arXiv (Cornell University)] (2026) [DOI: https://arxiv.org/abs/2607.18734] | "Parameter Learning With Physics-Consistent Gaussian Processes" [Zenodo (CERN European Organization for Nuclear Research)] (2026) [DOI: https://doi.org/10.5281/zenodo.20392038]</t>
        </is>
      </c>
      <c r="AB51" s="2" t="inlineStr">
        <is>
          <t>"Femtosecond photoexcitation dynamics inside a quantum solvent" [Nature Communications] (2018, 38 cites) [DOI: https://doi.org/10.1038/s41467-018-06413-9] | "A neural network-based material cell for elastoplasticity and its performance in FE analyses of boundary value problems" [International Journal of Plasticity] (2023, 25 cites) [DOI: https://doi.org/10.1016/j.ijplas.2023.103811] | "A Bayesian approach to blood rheological uncertainties in aortic hemodynamics" [International Journal for Numerical Methods in Biomedical Engineering] (2022, 18 cites) [DOI: https://doi.org/10.1002/cnm.3576]</t>
        </is>
      </c>
      <c r="AC51" s="2" t="inlineStr"/>
      <c r="AD51" s="2" t="inlineStr">
        <is>
          <t>Outstanding Mechanical Engineers Distinguished Engineering Alumni Honorary Doctorates Staff Awards Student Awards Distinguished...</t>
        </is>
      </c>
      <c r="AE51" s="2" t="inlineStr"/>
      <c r="AF51" s="2" t="inlineStr">
        <is>
          <t>Quantum, superfluid, helium dynamics (10) | Probabilistic and Robust Engineering Design (9) | Spectroscopy and Quantum Chemical Studies (9)</t>
        </is>
      </c>
      <c r="AG51" s="2" t="inlineStr">
        <is>
          <t>Quantum, superfluid, helium dynamics (10) | Probabilistic and Robust Engineering Design (9) | Spectroscopy and Quantum Chemical Studies (9)</t>
        </is>
      </c>
      <c r="AH51" s="2" t="inlineStr">
        <is>
          <t>Scientific machine learning Bayesian probability theory Uncertainty quantification Data analysis Scientific computing Computational physics &amp; engineering Machine learning applications in engineering</t>
        </is>
      </c>
      <c r="AI51" s="2" t="inlineStr">
        <is>
          <t>Fluid Mechanics</t>
        </is>
      </c>
      <c r="AJ51" s="2" t="inlineStr">
        <is>
          <t>Fluid Mechanics</t>
        </is>
      </c>
      <c r="AK51" s="2" t="inlineStr">
        <is>
          <t>Postdoctoral fellow, Division of Applied Mathematics, Brown University, '25 Postdoctoral fellow, Courant Institute, New York University, '24 Ph.D., Institute of Theoretical &amp; Computational Physics, TU Graz, Austria, '21 Diplom-Ingenieur., Engineering Physics, TU Graz, Austria, '17</t>
        </is>
      </c>
      <c r="AL51" s="2" t="inlineStr">
        <is>
          <t>Personal Website</t>
        </is>
      </c>
      <c r="AM51" s="3">
        <f>HYPERLINK("https://sites.google.com/view/sascha-ranftl", "https://sites.google.com/view/sascha-ranftl")</f>
        <v/>
      </c>
      <c r="AN51" s="2" t="inlineStr">
        <is>
          <t>More About me News Open Positions Publications Contact</t>
        </is>
      </c>
      <c r="AO51" s="2" t="inlineStr"/>
      <c r="AP51" s="2" t="inlineStr">
        <is>
          <t>Supercomputer</t>
        </is>
      </c>
      <c r="AQ51" s="2" t="inlineStr"/>
      <c r="AR51" s="2" t="inlineStr"/>
      <c r="AS51" s="2" t="inlineStr"/>
      <c r="AT51" s="2" t="inlineStr"/>
      <c r="AU51" s="2" t="b">
        <v>1</v>
      </c>
      <c r="AV51" s="3">
        <f>HYPERLINK("https://engineering.purdue.edu/ME/People/ptFaculty", "https://engineering.purdue.edu/ME/People/ptFaculty")</f>
        <v/>
      </c>
    </row>
    <row r="52">
      <c r="A52" s="2" t="inlineStr">
        <is>
          <t>William Anderson</t>
        </is>
      </c>
      <c r="B52" s="2" t="inlineStr">
        <is>
          <t>Purdue University</t>
        </is>
      </c>
      <c r="C52" s="3">
        <f>HYPERLINK("https://engineering.purdue.edu/AAE/people/ptProfile?resource_id=1333", "https://engineering.purdue.edu/AAE/people/ptProfile?resource_id=1333")</f>
        <v/>
      </c>
      <c r="D52" s="3">
        <f>HYPERLINK("https://scholar.google.com/citations?view_op=search_authors&amp;mauthors=William%20Anderson%20Purdue%20University", "Google Scholar Search")</f>
        <v/>
      </c>
      <c r="E52" s="2" t="inlineStr">
        <is>
          <t>Professor; Ph.D. The Pennsylvania State University 1996. Chemical propulsion and design methodologies</t>
        </is>
      </c>
      <c r="F52" s="2" t="inlineStr">
        <is>
          <t>Aeronautics and Astronautics</t>
        </is>
      </c>
      <c r="G52" s="2" t="inlineStr"/>
      <c r="H52" s="3">
        <f>HYPERLINK("mailto:webmaster-eng@purdue.edu", "webmaster-eng@purdue.edu")</f>
        <v/>
      </c>
      <c r="I52" s="2" t="n">
        <v>1</v>
      </c>
      <c r="J52" s="2" t="inlineStr">
        <is>
          <t>🔵 Tier 1: Core Aero / Fluids / Propulsion</t>
        </is>
      </c>
      <c r="K52" s="2" t="n">
        <v>2</v>
      </c>
      <c r="L52" s="2" t="inlineStr">
        <is>
          <t>combustion, propulsion</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is>
          <t>"Defining stem diameter categories for forage‐type bermudagrass" [Crop Forage &amp; Turfgrass Management] (2026) [DOI: https://doi.org/10.1002/cft2.70095] | "Pilot Study: Prospective, First-in-human Clinical Evaluation of a Novel Tissue Apposition Device (ENIVO) Following Simple Unilateral Mastectomy" [Plastic &amp; Reconstructive Surgery Global Open] (2025) [DOI: https://doi.org/10.1097/gox.0000000000007027] | "Evaluating the degree day model for timing insecticide applications to suppress the bermudagrass stem maggot" [Crop Forage &amp; Turfgrass Management] (2025) [DOI: https://doi.org/10.1002/cft2.70056] | "Whole-genome resequencing of a global collection of Napier grass ( Cenchrus purpureus ) to explore global population structure and QTL governing yield and feed quality traits" [G3 Genes Genomes Genetics] (2025) [DOI: https://doi.org/10.1093/g3journal/jkaf113] | "Evaluating the agronomic and economic benefit of including spinosad with and without pyrethroid insecticides in bermudagrass stem maggot treatments" [Crop Forage &amp; Turfgrass Management] (2024) [DOI: https://doi.org/10.1002/cft2.70011]</t>
        </is>
      </c>
      <c r="AB52" s="2" t="inlineStr">
        <is>
          <t>"Human Papillomavirus and Rising Oropharyngeal Cancer Incidence in the United States" [Journal of Clinical Oncology] (2011, 3646 cites) [DOI: https://doi.org/10.1200/jco.2011.36.4596] | "Patterns of Cancer Incidence, Mortality, and Prevalence Across Five Continents: Defining Priorities to Reduce Cancer Disparities in Different Geographic Regions of the World" [Journal of Clinical Oncology] (2006, 3462 cites) [DOI: https://doi.org/10.1200/jco.2005.05.2308] | "Cardiovascular Risk Associated with Celecoxib in a Clinical Trial for Colorectal Adenoma Prevention" [New England Journal of Medicine] (2005, 2058 cites) [DOI: https://doi.org/10.1056/nejmoa050405]</t>
        </is>
      </c>
      <c r="AC52" s="2" t="inlineStr"/>
      <c r="AD52" s="2" t="inlineStr">
        <is>
          <t>Global Engineering Program Director 2011 - 2014 Associate Fellow, American Institute of Aeronautics and Astronautics (AIAA), 20...</t>
        </is>
      </c>
      <c r="AE52" s="2" t="inlineStr"/>
      <c r="AF52" s="2" t="inlineStr">
        <is>
          <t>Global Cancer Incidence and Screening (66) | Cancer Risks and Factors (60) | Economic and Financial Impacts of Cancer (59)</t>
        </is>
      </c>
      <c r="AG52" s="2" t="inlineStr">
        <is>
          <t>Global Cancer Incidence and Screening (66) | Cancer Risks and Factors (60) | Economic and Financial Impacts of Cancer (59)</t>
        </is>
      </c>
      <c r="AH52" s="2" t="inlineStr">
        <is>
          <t>Chemical propulsion and design methodologies</t>
        </is>
      </c>
      <c r="AI52" s="2" t="inlineStr">
        <is>
          <t>Measurement and modeling of combustion dynamics, rocket engine design.</t>
        </is>
      </c>
      <c r="AJ52" s="2" t="inlineStr">
        <is>
          <t>Measurement and modeling of combustion dynamics, rocket engine design.</t>
        </is>
      </c>
      <c r="AK52" s="2" t="inlineStr">
        <is>
          <t>Ph.D., Mechanical Engineering, The Pennsylvania State University, 1996 M.S., Chemical Engineering, University of Arizona, 1984 B.S., Chemistry, Arizona State University, 1979</t>
        </is>
      </c>
      <c r="AL52" s="2" t="inlineStr">
        <is>
          <t>Indiana Space Grant Consortium</t>
        </is>
      </c>
      <c r="AM52" s="3">
        <f>HYPERLINK("https://insgc.spacegrant.org/", "https://insgc.spacegrant.org/")</f>
        <v/>
      </c>
      <c r="AN52" s="2" t="inlineStr">
        <is>
          <t>Academic INSGC Internships</t>
        </is>
      </c>
      <c r="AO52" s="2" t="inlineStr"/>
      <c r="AP52" s="2" t="inlineStr"/>
      <c r="AQ52" s="2" t="inlineStr">
        <is>
          <t>NASA</t>
        </is>
      </c>
      <c r="AR52" s="2" t="inlineStr"/>
      <c r="AS52" s="2" t="inlineStr"/>
      <c r="AT52" s="2" t="inlineStr"/>
      <c r="AU52" s="2" t="b">
        <v>1</v>
      </c>
      <c r="AV52" s="3">
        <f>HYPERLINK("https://engineering.purdue.edu/AAE/people/Faculty", "https://engineering.purdue.edu/AAE/people/Faculty")</f>
        <v/>
      </c>
    </row>
    <row r="53">
      <c r="A53" s="2" t="inlineStr">
        <is>
          <t>Ryan Houim</t>
        </is>
      </c>
      <c r="B53" s="2" t="inlineStr">
        <is>
          <t>Purdue University</t>
        </is>
      </c>
      <c r="C53" s="3">
        <f>HYPERLINK("https://engineering.purdue.edu/AAE/people/ptProfile?resource_id=323130", "https://engineering.purdue.edu/AAE/people/ptProfile?resource_id=323130")</f>
        <v/>
      </c>
      <c r="D53" s="3">
        <f>HYPERLINK("https://scholar.google.com/citations?view_op=search_authors&amp;mauthors=Ryan%20Houim%20Purdue%20University", "Google Scholar Search")</f>
        <v/>
      </c>
      <c r="E53" s="2" t="inlineStr">
        <is>
          <t>Associate Professor</t>
        </is>
      </c>
      <c r="F53" s="2" t="inlineStr">
        <is>
          <t>Aeronautics and Astronautics</t>
        </is>
      </c>
      <c r="G53" s="2" t="inlineStr"/>
      <c r="H53" s="3">
        <f>HYPERLINK("mailto:webmaster-eng@purdue.edu", "webmaster-eng@purdue.edu")</f>
        <v/>
      </c>
      <c r="I53" s="2" t="n">
        <v>1</v>
      </c>
      <c r="J53" s="2" t="inlineStr">
        <is>
          <t>🔵 Tier 1: Core Aero / Fluids / Propulsion</t>
        </is>
      </c>
      <c r="K53" s="2" t="n">
        <v>0</v>
      </c>
      <c r="L53" s="2" t="inlineStr"/>
      <c r="M53" s="2" t="inlineStr">
        <is>
          <t>Multiphase combustion, Eulerian quadrature-based moment methods, explosive dust detonation, and turbulent post-blast reacting flow simulations in heterogeneous energetic mixtures.</t>
        </is>
      </c>
      <c r="N53" s="2" t="inlineStr">
        <is>
          <t>Quadrature-Based Moment Methods (QBMM), Compressible Navier-Stokes with Particle Drag, High-Resolution Shock Capturing (WENO), Diffuse Back-Illumination Extinction Imaging (DBI-EI)</t>
        </is>
      </c>
      <c r="O53" s="2" t="inlineStr">
        <is>
          <t>A robust high-resolution algorithm for quadrature-based moment methods applied to high-speed polydisperse multiphase flows</t>
        </is>
      </c>
      <c r="P53" s="3">
        <f>HYPERLINK("https://doi.org/10.48550/arxiv.2603.13697", "https://doi.org/10.48550/arxiv.2603.13697")</f>
        <v/>
      </c>
      <c r="Q53" s="2" t="inlineStr">
        <is>
          <t>developing a realizability-preserving Eulerian quadrature-based moment method for high-speed compressible granular flows, demonstrating that kinetic moment flux limiting prevents non-physical particle clustering across Mach 3+ blast shock fronts.</t>
        </is>
      </c>
      <c r="R53" s="2" t="inlineStr">
        <is>
          <t>A high-resolution Eulerian method for simulating high-speed polydisperse granular multiphase flows has been developed. The governing equations include a compressible gas that is coupled to mass-based moment equations for a polydisperse granular flow derived from the generalized population balance equation. To ensure numerical stability across strong shock waves and contact discontinuities, a realizability-preserving flux limiter and high-order kinetic reconstruction scheme are implemented. The resulting framework prevents unphysical delta-shock concentrations and accurately predicts particle trajectory crossing in supersonic particulate blast environments.</t>
        </is>
      </c>
      <c r="S53" s="2" t="inlineStr">
        <is>
          <t>Megahertz Rate Optical Diagnostics of Explosively Generated Soot</t>
        </is>
      </c>
      <c r="T53" s="3">
        <f>HYPERLINK("https://doi.org/10.1002/prep.70019", "https://doi.org/10.1002/prep.70019")</f>
        <v/>
      </c>
      <c r="U53" s="2" t="inlineStr">
        <is>
          <t>deploying diffuse back-illumination extinction imaging at megahertz rates in explosive fireballs, demonstrating that condensed carbon soot undergoes primary agglomeration and optical extinction decay within the initial 50 microseconds following detonation shock arrival.</t>
        </is>
      </c>
      <c r="V53" s="2" t="inlineStr">
        <is>
          <t>Detonation of a solid explosive produces a turbulent and luminous post-detonation fireball containing condensed carbon soot. Diagnostics of soot dynamics are needed for model validation and to interpret emission signals. Diffuse back-illumination extinction imaging (DBI-EI) and laser-induced incandescence were implemented at megahertz frame rates to capture the spatial distribution and volume fraction of soot in expanding explosive plumes. The measurements reveal rapid soot agglomeration occurring within the first 50 microseconds post-detonation, providing benchmark datasets for turbulent soot kinetics in multiphase detonations.</t>
        </is>
      </c>
      <c r="W53" s="2" t="inlineStr">
        <is>
          <t>1. A robust high-resolution algorithm for quadrature-based moment methods applied to high-speed polydisperse multiphase flows (Journal of Computational Physics / arXiv, 2026) [DOI: https://doi.org/10.48550/arxiv.2603.13697] | 2. Megahertz Rate Optical Diagnostics of Explosively Generated Soot (Propellants Explosives Pyrotechnics, 2025) [DOI: https://doi.org/10.1002/prep.70019]</t>
        </is>
      </c>
      <c r="X53" s="3">
        <f>HYPERLINK("https://doi.org/10.48550/arxiv.2603.13697", "https://doi.org/10.48550/arxiv.2603.13697 | https://doi.org/10.1002/prep.70019")</f>
        <v/>
      </c>
      <c r="Y53" s="2" t="inlineStr">
        <is>
          <t>developing a realizability-preserving Eulerian quadrature-based moment method for high-speed compressible granular flows, demonstrating that kinetic moment flux limiting prevents non-physical particle clustering across Mach 3+ blast shock fronts.</t>
        </is>
      </c>
      <c r="Z53" s="2" t="inlineStr"/>
      <c r="AA53" s="2" t="inlineStr">
        <is>
          <t>"A robust high-resolution algorithm for quadrature-based moment methods applied to high-speed polydisperse multiphase flows" [Iowa State University Digital Repository (Iowa State University)] (2026) [DOI: https://doi.org/10.48550/arxiv.2603.13697] | "A robust high-resolution algorithm for quadrature-based moment methods applied to high-speed polydisperse multiphase flows" [arXiv (Cornell University)] (2026) [DOI: http://arxiv.org/abs/2603.13697] | "Megahertz Rate Optical Diagnostics of Explosively Generated Soot" [Propellants Explosives Pyrotechnics] (2025) [DOI: https://doi.org/10.1002/prep.70019] | "Particle and fluid time scales in a spherical multiphase blast flow" [Shock Waves] (2025) [DOI: https://doi.org/10.1007/s00193-024-01207-z] | "Aluminum Powder Oxidation in a Hydrogen-Oxygen Post-Detonation Environment" (2025) [DOI: https://doi.org/10.2514/6.2025-2534]</t>
        </is>
      </c>
      <c r="AB53" s="2" t="inlineStr">
        <is>
          <t>"Formation and evolution of distorted tulip flames" [Combustion and Flame] (2015, 271 cites) [DOI: https://doi.org/10.1016/j.combustflame.2015.08.020] | "Effects of pressure waves on the stability of flames propagating in tubes" [Proceedings of the Combustion Institute] (2016, 174 cites) [DOI: https://doi.org/10.1016/j.proci.2016.06.126] | "Effect of decreasing blockage ratio on DDT in small channels with obstacles" [Combustion and Flame] (2016, 157 cites) [DOI: https://doi.org/10.1016/j.combustflame.2016.07.029]</t>
        </is>
      </c>
      <c r="AC53" s="2" t="inlineStr"/>
      <c r="AD53" s="2" t="inlineStr"/>
      <c r="AE53" s="2" t="inlineStr"/>
      <c r="AF53" s="2" t="inlineStr">
        <is>
          <t>Combustion and Detonation Processes (62) | Energetic Materials and Combustion (32) | Computational Fluid Dynamics and Aerodynamics (21)</t>
        </is>
      </c>
      <c r="AG53" s="2" t="inlineStr">
        <is>
          <t>Combustion and Detonation Processes (62) | Energetic Materials and Combustion (32) | Computational Fluid Dynamics and Aerodynamics (21)</t>
        </is>
      </c>
      <c r="AH53" s="2" t="inlineStr"/>
      <c r="AI53" s="2" t="inlineStr"/>
      <c r="AJ53" s="2" t="inlineStr"/>
      <c r="AK53" s="2" t="inlineStr"/>
      <c r="AL53" s="2" t="inlineStr">
        <is>
          <t>Indiana Space Grant Consortium</t>
        </is>
      </c>
      <c r="AM53" s="3">
        <f>HYPERLINK("https://insgc.spacegrant.org/", "https://insgc.spacegrant.org/")</f>
        <v/>
      </c>
      <c r="AN53" s="2" t="inlineStr">
        <is>
          <t>Academic INSGC Internships</t>
        </is>
      </c>
      <c r="AO53" s="2" t="inlineStr"/>
      <c r="AP53" s="2" t="inlineStr"/>
      <c r="AQ53" s="2" t="inlineStr">
        <is>
          <t>NASA</t>
        </is>
      </c>
      <c r="AR53" s="2" t="inlineStr"/>
      <c r="AS53" s="2" t="inlineStr"/>
      <c r="AT53" s="2" t="inlineStr"/>
      <c r="AU53" s="2" t="b">
        <v>0</v>
      </c>
      <c r="AV53" s="3">
        <f>HYPERLINK("https://engineering.purdue.edu/AAE/people/Faculty", "https://engineering.purdue.edu/AAE/people/Faculty")</f>
        <v/>
      </c>
    </row>
    <row r="54">
      <c r="A54" s="2" t="inlineStr">
        <is>
          <t>Amy Marconnet</t>
        </is>
      </c>
      <c r="B54" s="2" t="inlineStr">
        <is>
          <t>Purdue University</t>
        </is>
      </c>
      <c r="C54" s="3">
        <f>HYPERLINK("https://engineering.purdue.edu/ME/People/ptProfile?resource_id=86360", "https://engineering.purdue.edu/ME/People/ptProfile?resource_id=86360")</f>
        <v/>
      </c>
      <c r="D54" s="3">
        <f>HYPERLINK("https://scholar.google.com/citations?view_op=search_authors&amp;mauthors=Amy%20Marconnet%20Purdue%20University", "Google Scholar Search")</f>
        <v/>
      </c>
      <c r="E54" s="2" t="inlineStr">
        <is>
          <t>Professor of Mechanical Engineering</t>
        </is>
      </c>
      <c r="F54" s="2" t="inlineStr">
        <is>
          <t>Mechanical Engineering</t>
        </is>
      </c>
      <c r="G54" s="2" t="inlineStr"/>
      <c r="H54" s="3">
        <f>HYPERLINK("mailto:marconnet@purdue.edu", "marconnet@purdue.edu")</f>
        <v/>
      </c>
      <c r="I54" s="2" t="n">
        <v>2</v>
      </c>
      <c r="J54" s="2" t="inlineStr">
        <is>
          <t>🟡 Tier 2: Thermal / Heat Transfer / Energy</t>
        </is>
      </c>
      <c r="K54" s="2" t="n">
        <v>5</v>
      </c>
      <c r="L54" s="2" t="inlineStr">
        <is>
          <t>fluid mechanics, fluids, heat transfer, materials, thermal</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is>
          <t>Outstanding Mechanical Engineers Distinguished Engineering Alumni Honorary Doctorates Staff Awards Student Awards Distinguished...</t>
        </is>
      </c>
      <c r="AE54" s="2" t="inlineStr">
        <is>
          <t>Purdue students are welcome to contact Professor Marconnet regarding independent study research opportunities and are also encouraged to apply for the SURF program. Qualified undergraduates from other institutions are encouraged to apply for the SURF program. | We are always looking for highly qualified, talented, and self-motivated graduate students with interests in heat transfer, thermal sciences, nanotechnology, energy conversion, and/or materials. However, Professor Marconnet generally does not reply to unsolicited emails from applicants unless they have already applied to Purdue's Mechanical Engineering program.</t>
        </is>
      </c>
      <c r="AF54" s="2" t="inlineStr"/>
      <c r="AG54" s="2" t="inlineStr"/>
      <c r="AH54" s="2" t="inlineStr">
        <is>
          <t>Transport Phenomena in Multi-Scale, Heterogeneous Materials &amp; Systems Fundamentals of Nanoscale Thermal Transport Heat Transfer in Natural and Synthetic Fiber Systems Thermofluids Interactions Multi-Physics Metrology Design Electronics Cooling and Thermal Management</t>
        </is>
      </c>
      <c r="AI54" s="2" t="inlineStr">
        <is>
          <t>Fluid Mechanics Heat &amp; Mass Transfer</t>
        </is>
      </c>
      <c r="AJ54" s="2" t="inlineStr">
        <is>
          <t>Fluid Mechanics Heat &amp; Mass Transfer</t>
        </is>
      </c>
      <c r="AK54" s="2" t="inlineStr">
        <is>
          <t>Ph.D. Stanford University, '12 M.S. Stanford University, '09 B.S. University of Wisconsin - Madison, '07</t>
        </is>
      </c>
      <c r="AL54" s="2" t="inlineStr">
        <is>
          <t>Personal Homepage</t>
        </is>
      </c>
      <c r="AM54" s="3">
        <f>HYPERLINK("http://engineering.purdue.edu/MTEC", "http://engineering.purdue.edu/MTEC")</f>
        <v/>
      </c>
      <c r="AN54" s="2" t="inlineStr">
        <is>
          <t>Purdue students are welcome to contact Professor Marconnet regarding independent study research opportunities and are also encouraged to apply for the SURF program. Qualified undergraduates from other institutions are encouraged to apply for the SURF program. | We are always looking for highly qualified, talented, and self-motivated graduate students with interests in heat transfer, thermal sciences, nanotechnology, energy conversion, and/or materials. However, Professor Marconnet generally does not reply to unsolicited emails from applicants unless they have already applied to Purdue's Mechanical Engineering program.</t>
        </is>
      </c>
      <c r="AO54" s="2" t="inlineStr"/>
      <c r="AP54" s="2" t="inlineStr"/>
      <c r="AQ54" s="2" t="inlineStr">
        <is>
          <t>DOE</t>
        </is>
      </c>
      <c r="AR54" s="2" t="inlineStr"/>
      <c r="AS54" s="2" t="inlineStr"/>
      <c r="AT54" s="2" t="inlineStr"/>
      <c r="AU54" s="2" t="b">
        <v>1</v>
      </c>
      <c r="AV54" s="3">
        <f>HYPERLINK("https://engineering.purdue.edu/ME/People/ptFaculty", "https://engineering.purdue.edu/ME/People/ptFaculty")</f>
        <v/>
      </c>
    </row>
    <row r="55">
      <c r="A55" s="2" t="inlineStr">
        <is>
          <t>Thomas Beechem</t>
        </is>
      </c>
      <c r="B55" s="2" t="inlineStr">
        <is>
          <t>Purdue University</t>
        </is>
      </c>
      <c r="C55" s="3">
        <f>HYPERLINK("https://engineering.purdue.edu/ME/People/ptProfile?resource_id=256658", "https://engineering.purdue.edu/ME/People/ptProfile?resource_id=256658")</f>
        <v/>
      </c>
      <c r="D55" s="3">
        <f>HYPERLINK("https://scholar.google.com/citations?user=OEAnMz0AAAAJ&amp;hl=en", "Scholar (OEAnMz0AAAAJ)")</f>
        <v/>
      </c>
      <c r="E55" s="2" t="inlineStr">
        <is>
          <t>Professor Of Mechanical Engineering</t>
        </is>
      </c>
      <c r="F55" s="2" t="inlineStr">
        <is>
          <t>Mechanical Engineering</t>
        </is>
      </c>
      <c r="G55" s="2" t="inlineStr">
        <is>
          <t>OEAnMz0AAAAJ</t>
        </is>
      </c>
      <c r="H55" s="3">
        <f>HYPERLINK("mailto:tbeechem@purdue.edu", "tbeechem@purdue.edu")</f>
        <v/>
      </c>
      <c r="I55" s="2" t="n">
        <v>2</v>
      </c>
      <c r="J55" s="2" t="inlineStr">
        <is>
          <t>🟡 Tier 2: Thermal / Heat Transfer / Energy</t>
        </is>
      </c>
      <c r="K55" s="2" t="n">
        <v>4</v>
      </c>
      <c r="L55" s="2" t="inlineStr">
        <is>
          <t>materials, solid mechanics, thermal, thermodynamics</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is>
          <t>Outstanding Mechanical Engineers Distinguished Engineering Alumni Honorary Doctorates Staff Awards Student Awards Distinguished...</t>
        </is>
      </c>
      <c r="AE55" s="2" t="inlineStr">
        <is>
          <t>Purdue University School of Mechanical Engineering School of Materials Engineering (Courtesy) Email: tbeechem at purdue.edu Phone: 765.494.0492</t>
        </is>
      </c>
      <c r="AF55" s="2" t="inlineStr"/>
      <c r="AG55" s="2" t="inlineStr"/>
      <c r="AH55" s="2" t="inlineStr">
        <is>
          <t>Thermal Physics ... Heat Moving Energy Spectroscopy ... "Seeing" energy with light Nanophotonics ... Pushing light to see more 2D Materials ... Creating functionality by losing dimension</t>
        </is>
      </c>
      <c r="AI55" s="2" t="inlineStr">
        <is>
          <t>Thermodynamics Heat &amp; Mass Transfer Solid Mechanics</t>
        </is>
      </c>
      <c r="AJ55" s="2" t="inlineStr">
        <is>
          <t>Thermodynamics Heat &amp; Mass Transfer Solid Mechanics</t>
        </is>
      </c>
      <c r="AK55" s="2" t="inlineStr">
        <is>
          <t>Ph.D. Georgia Institute of Technology, 2008 M.S. University of Dayton, 2005 B.S. University of  Dayton, 2003</t>
        </is>
      </c>
      <c r="AL55" s="2" t="inlineStr">
        <is>
          <t>Specere Laboratory</t>
        </is>
      </c>
      <c r="AM55" s="3">
        <f>HYPERLINK("https://www.specere.org/", "https://www.specere.org/")</f>
        <v/>
      </c>
      <c r="AN55" s="2" t="inlineStr">
        <is>
          <t>Seeking motivated problem solvers capable of devoting 10-20 hours to research projects during the semester. | Join us for a summer via Purdue’s SURF (Summer Undergraduate Research Fellowship) Program .</t>
        </is>
      </c>
      <c r="AO55" s="2" t="inlineStr"/>
      <c r="AP55" s="2" t="inlineStr"/>
      <c r="AQ55" s="2" t="inlineStr"/>
      <c r="AR55" s="2" t="inlineStr"/>
      <c r="AS55" s="2" t="inlineStr"/>
      <c r="AT55" s="2" t="inlineStr"/>
      <c r="AU55" s="2" t="b">
        <v>1</v>
      </c>
      <c r="AV55" s="3">
        <f>HYPERLINK("https://engineering.purdue.edu/ME/People/ptFaculty", "https://engineering.purdue.edu/ME/People/ptFaculty")</f>
        <v/>
      </c>
    </row>
    <row r="56">
      <c r="A56" s="2" t="inlineStr">
        <is>
          <t>Ahmed Hassanein</t>
        </is>
      </c>
      <c r="B56" s="2" t="inlineStr">
        <is>
          <t>Purdue University</t>
        </is>
      </c>
      <c r="C56" s="3">
        <f>HYPERLINK("https://engineering.purdue.edu/NE/people/ptProfile?resource_id=34242", "https://engineering.purdue.edu/NE/people/ptProfile?resource_id=34242")</f>
        <v/>
      </c>
      <c r="D56" s="3">
        <f>HYPERLINK("https://scholar.google.com/citations?view_op=search_authors&amp;mauthors=Ahmed%20Hassanein%20Purdue%20University", "Google Scholar Search")</f>
        <v/>
      </c>
      <c r="E56" s="2" t="inlineStr">
        <is>
          <t>Paul L. Wattelet Distinguished Professor of Nuclear Engineering; Professor of Mechanical Engineering (by Courtesy)</t>
        </is>
      </c>
      <c r="F56" s="2" t="inlineStr">
        <is>
          <t>Mechanical Engineering</t>
        </is>
      </c>
      <c r="G56" s="2" t="inlineStr"/>
      <c r="H56" s="3">
        <f>HYPERLINK("mailto:hassanein@purdue.edu", "hassanein@purdue.edu")</f>
        <v/>
      </c>
      <c r="I56" s="2" t="n">
        <v>2</v>
      </c>
      <c r="J56" s="2" t="inlineStr">
        <is>
          <t>🟡 Tier 2: Thermal / Heat Transfer / Energy</t>
        </is>
      </c>
      <c r="K56" s="2" t="n">
        <v>3</v>
      </c>
      <c r="L56" s="2" t="inlineStr">
        <is>
          <t>hydrodynamics, materials, radiation</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is>
          <t>Plasma Material Interactions Magnetic and Inertial Fusion Research Computational Physics and Hydrodynamics Extreme Ultraviolet Lithography Laser and discharge produced plasma Radiation and Particle Transport in Materials Biomedical Engineering Applications</t>
        </is>
      </c>
      <c r="AI56" s="2" t="inlineStr"/>
      <c r="AJ56" s="2" t="inlineStr">
        <is>
          <t>Plasma Material Interactions Magnetic and Inertial Fusion Research Computational Physics and Hydrodynamics Extreme Ultraviolet Lithography Laser and discharge produced plasma Radiation and Particle Transport in Materials Biomedical Engineering Applications</t>
        </is>
      </c>
      <c r="AK56" s="2" t="inlineStr"/>
      <c r="AL56" s="2" t="inlineStr">
        <is>
          <t>Indiana Space Grant Consortium</t>
        </is>
      </c>
      <c r="AM56" s="3">
        <f>HYPERLINK("https://insgc.spacegrant.org/", "https://insgc.spacegrant.org/")</f>
        <v/>
      </c>
      <c r="AN56" s="2" t="inlineStr">
        <is>
          <t>Academic INSGC Internships</t>
        </is>
      </c>
      <c r="AO56" s="2" t="inlineStr"/>
      <c r="AP56" s="2" t="inlineStr"/>
      <c r="AQ56" s="2" t="inlineStr">
        <is>
          <t>NASA</t>
        </is>
      </c>
      <c r="AR56" s="2" t="inlineStr"/>
      <c r="AS56" s="2" t="inlineStr"/>
      <c r="AT56" s="2" t="inlineStr">
        <is>
          <t>POTR 376C</t>
        </is>
      </c>
      <c r="AU56" s="2" t="b">
        <v>1</v>
      </c>
      <c r="AV56" s="3">
        <f>HYPERLINK("https://engineering.purdue.edu/ME/People/ptFaculty", "https://engineering.purdue.edu/ME/People/ptFaculty")</f>
        <v/>
      </c>
    </row>
    <row r="57">
      <c r="A57" s="2" t="inlineStr">
        <is>
          <t>David Warsinger</t>
        </is>
      </c>
      <c r="B57" s="2" t="inlineStr">
        <is>
          <t>Purdue University</t>
        </is>
      </c>
      <c r="C57" s="3">
        <f>HYPERLINK("https://engineering.purdue.edu/ME/People/ptProfile?resource_id=183058", "https://engineering.purdue.edu/ME/People/ptProfile?resource_id=183058")</f>
        <v/>
      </c>
      <c r="D57" s="3">
        <f>HYPERLINK("https://scholar.google.com/citations?view_op=search_authors&amp;mauthors=David%20Warsinger%20Purdue%20University", "Google Scholar Search")</f>
        <v/>
      </c>
      <c r="E57" s="2" t="inlineStr">
        <is>
          <t>Associate Professor of Mechanical Engineering</t>
        </is>
      </c>
      <c r="F57" s="2" t="inlineStr">
        <is>
          <t>Mechanical Engineering</t>
        </is>
      </c>
      <c r="G57" s="2" t="inlineStr"/>
      <c r="H57" s="3">
        <f>HYPERLINK("mailto:dwarsing@purdue.edu", "dwarsing@purdue.edu")</f>
        <v/>
      </c>
      <c r="I57" s="2" t="n">
        <v>2</v>
      </c>
      <c r="J57" s="2" t="inlineStr">
        <is>
          <t>🟡 Tier 2: Thermal / Heat Transfer / Energy</t>
        </is>
      </c>
      <c r="K57" s="2" t="n">
        <v>3</v>
      </c>
      <c r="L57" s="2" t="inlineStr">
        <is>
          <t>fluid mechanics, fluids, thermodynamics</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is>
          <t>Outstanding Mechanical Engineers Distinguished Engineering Alumni Honorary Doctorates Staff Awards Student Awards Distinguished...</t>
        </is>
      </c>
      <c r="AE57" s="2" t="inlineStr"/>
      <c r="AF57" s="2" t="inlineStr"/>
      <c r="AG57" s="2" t="inlineStr"/>
      <c r="AH57" s="2" t="inlineStr">
        <is>
          <t>Desalination &amp; Water Treatment Water-Food-Energy Nexus Thermofluids Nanotechnology Membrane Science</t>
        </is>
      </c>
      <c r="AI57" s="2" t="inlineStr">
        <is>
          <t>Thermodynamics Fluid Mechanics Heat &amp; Mass Transfer</t>
        </is>
      </c>
      <c r="AJ57" s="2" t="inlineStr">
        <is>
          <t>Thermodynamics Fluid Mechanics Heat &amp; Mass Transfer</t>
        </is>
      </c>
      <c r="AK57" s="2" t="inlineStr">
        <is>
          <t>Ph.D., Massachusetts Institute of Technology M.Eng., Cornell University B.S., Cornell University</t>
        </is>
      </c>
      <c r="AL57" s="2" t="inlineStr">
        <is>
          <t>Research Website</t>
        </is>
      </c>
      <c r="AM57" s="3">
        <f>HYPERLINK("http://www.warsinger.com", "http://www.warsinger.com")</f>
        <v/>
      </c>
      <c r="AN57" s="2" t="inlineStr">
        <is>
          <t>PostDoc and PhD Positions available on vapor selective membranes and reverse osmosis technologies. | Type of Undergraduate work: A wide variety of experience is possible, including apparatus building and testing, machining, running experiments, controls work, technical writing, patents, academic diagrams, data analysis, and mathematical modelling. New positions include all areas mentioned on the research page.</t>
        </is>
      </c>
      <c r="AO57" s="2" t="inlineStr"/>
      <c r="AP57" s="2" t="inlineStr">
        <is>
          <t>Gas Turbine, SEM</t>
        </is>
      </c>
      <c r="AQ57" s="2" t="inlineStr">
        <is>
          <t>DOE, NSF</t>
        </is>
      </c>
      <c r="AR57" s="3">
        <f>HYPERLINK("https://github.com/arao53/awh-limits/blob/main/lego_maps/warsinger_lego_maps.ipynb", "https://github.com/arao53/awh-limits/blob/main/lego_maps/warsinger_lego_maps.ipynb")</f>
        <v/>
      </c>
      <c r="AS57" s="2" t="inlineStr"/>
      <c r="AT57" s="2" t="inlineStr"/>
      <c r="AU57" s="2" t="b">
        <v>1</v>
      </c>
      <c r="AV57" s="3">
        <f>HYPERLINK("https://engineering.purdue.edu/ME/People/ptFaculty", "https://engineering.purdue.edu/ME/People/ptFaculty")</f>
        <v/>
      </c>
    </row>
    <row r="58">
      <c r="A58" s="2" t="inlineStr">
        <is>
          <t>Jingang Li</t>
        </is>
      </c>
      <c r="B58" s="2" t="inlineStr">
        <is>
          <t>Purdue University</t>
        </is>
      </c>
      <c r="C58" s="3">
        <f>HYPERLINK("https://engineering.purdue.edu/ME/People/ptProfile?resource_id=318598", "https://engineering.purdue.edu/ME/People/ptProfile?resource_id=318598")</f>
        <v/>
      </c>
      <c r="D58" s="3">
        <f>HYPERLINK("https://scholar.google.com/citations?user=SxOdEgEAAAAJ&amp;hl=en&amp;oi=ao", "Scholar (SxOdEgEAAAAJ)")</f>
        <v/>
      </c>
      <c r="E58" s="2" t="inlineStr">
        <is>
          <t>Assistant Professor of Mechanical Engineering and Materials Engineering</t>
        </is>
      </c>
      <c r="F58" s="2" t="inlineStr">
        <is>
          <t>Mechanical Engineering</t>
        </is>
      </c>
      <c r="G58" s="2" t="inlineStr">
        <is>
          <t>SxOdEgEAAAAJ</t>
        </is>
      </c>
      <c r="H58" s="3">
        <f>HYPERLINK("mailto:jingang@purdue.edu", "jingang@purdue.edu")</f>
        <v/>
      </c>
      <c r="I58" s="2" t="n">
        <v>2</v>
      </c>
      <c r="J58" s="2" t="inlineStr">
        <is>
          <t>🟡 Tier 2: Thermal / Heat Transfer / Energy</t>
        </is>
      </c>
      <c r="K58" s="2" t="n">
        <v>3</v>
      </c>
      <c r="L58" s="2" t="inlineStr">
        <is>
          <t>materials, thermal, thermodynamics</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is>
          <t>Outstanding Mechanical Engineers Distinguished Engineering Alumni Honorary Doctorates Staff Awards Student Awards Distinguished...</t>
        </is>
      </c>
      <c r="AE58" s="2" t="inlineStr"/>
      <c r="AF58" s="2" t="inlineStr"/>
      <c r="AG58" s="2" t="inlineStr"/>
      <c r="AH58" s="2" t="inlineStr">
        <is>
          <t>Optical tweezers and optical manipulation Nanophotonics Photothermal conversion and applications Optical and optoelectronic materials Nanoscale energy transfer Laser processing and diagnosis</t>
        </is>
      </c>
      <c r="AI58" s="2" t="inlineStr">
        <is>
          <t>Thermodynamics Heat &amp; Mass Transfer</t>
        </is>
      </c>
      <c r="AJ58" s="2" t="inlineStr">
        <is>
          <t>Thermodynamics Heat &amp; Mass Transfer</t>
        </is>
      </c>
      <c r="AK58" s="2" t="inlineStr">
        <is>
          <t>Postdoctoral Fellow, University of California, Berkeley, 2025 Ph.D., The University of Texas at Austin, 2021 B.S., University of Science and Technology of China, 2017</t>
        </is>
      </c>
      <c r="AL58" s="2" t="inlineStr">
        <is>
          <t>Lab Website</t>
        </is>
      </c>
      <c r="AM58" s="3">
        <f>HYPERLINK("https://www.jingangli.org", "https://www.jingangli.org")</f>
        <v/>
      </c>
      <c r="AN58" s="2" t="inlineStr">
        <is>
          <t>More Home Members Research Publications Open Positions News Contact</t>
        </is>
      </c>
      <c r="AO58" s="2" t="inlineStr"/>
      <c r="AP58" s="2" t="inlineStr"/>
      <c r="AQ58" s="2" t="inlineStr"/>
      <c r="AR58" s="2" t="inlineStr"/>
      <c r="AS58" s="2" t="inlineStr"/>
      <c r="AT58" s="2" t="inlineStr"/>
      <c r="AU58" s="2" t="b">
        <v>1</v>
      </c>
      <c r="AV58" s="3">
        <f>HYPERLINK("https://engineering.purdue.edu/ME/People/ptFaculty", "https://engineering.purdue.edu/ME/People/ptFaculty")</f>
        <v/>
      </c>
    </row>
    <row r="59">
      <c r="A59" s="2" t="inlineStr">
        <is>
          <t>Neera Jain</t>
        </is>
      </c>
      <c r="B59" s="2" t="inlineStr">
        <is>
          <t>Purdue University</t>
        </is>
      </c>
      <c r="C59" s="3">
        <f>HYPERLINK("https://engineering.purdue.edu/ME/People/ptProfile?resource_id=119137", "https://engineering.purdue.edu/ME/People/ptProfile?resource_id=119137")</f>
        <v/>
      </c>
      <c r="D59" s="3">
        <f>HYPERLINK("https://scholar.google.com/citations?view_op=search_authors&amp;mauthors=Neera%20Jain%20Purdue%20University", "Google Scholar Search")</f>
        <v/>
      </c>
      <c r="E59" s="2" t="inlineStr">
        <is>
          <t>Associate Professor of Mechanical Engineering</t>
        </is>
      </c>
      <c r="F59" s="2" t="inlineStr">
        <is>
          <t>Aeronautics and Astronautics</t>
        </is>
      </c>
      <c r="G59" s="2" t="inlineStr"/>
      <c r="H59" s="3">
        <f>HYPERLINK("mailto:neerajain@purdue.edu", "neerajain@purdue.edu")</f>
        <v/>
      </c>
      <c r="I59" s="2" t="n">
        <v>2</v>
      </c>
      <c r="J59" s="2" t="inlineStr">
        <is>
          <t>🟡 Tier 2: Thermal / Heat Transfer / Energy</t>
        </is>
      </c>
      <c r="K59" s="2" t="n">
        <v>3</v>
      </c>
      <c r="L59" s="2" t="inlineStr">
        <is>
          <t>control theory, thermal, thermodynamics</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is>
          <t>Outstanding Mechanical Engineers Distinguished Engineering Alumni Honorary Doctorates Staff Awards Student Awards Distinguished...</t>
        </is>
      </c>
      <c r="AE59" s="2" t="inlineStr"/>
      <c r="AF59" s="2" t="inlineStr"/>
      <c r="AG59" s="2" t="inlineStr"/>
      <c r="AH59" s="2" t="inlineStr">
        <is>
          <t>Physics-based and data-driven modeling of dynamical systems Control theory, analysis, and design Control co-design Applications: human-machine teaming, multi-phase thermal-fluid systems, manufacturing processes, vehicle electrification</t>
        </is>
      </c>
      <c r="AI59" s="2" t="inlineStr">
        <is>
          <t>Thermodynamics Systems, Measurements &amp; Controls</t>
        </is>
      </c>
      <c r="AJ59" s="2" t="inlineStr">
        <is>
          <t>Thermodynamics Systems, Measurements &amp; Controls</t>
        </is>
      </c>
      <c r="AK59" s="2" t="inlineStr">
        <is>
          <t>S.B. Mechanical Engineering, Massachusetts Institute of Technology, '06 M.S. Mechanical Engineering, University of Illinois at Urbana-Champaign, '09 Ph.D. Mechanical Engineering, University of Illinois at Urbana-Champaign, '13</t>
        </is>
      </c>
      <c r="AL59" s="2" t="inlineStr">
        <is>
          <t>Jain Research Laboratory</t>
        </is>
      </c>
      <c r="AM59" s="3">
        <f>HYPERLINK("https://engineering.purdue.edu/JainResearchLab", "https://engineering.purdue.edu/JainResearchLab")</f>
        <v/>
      </c>
      <c r="AN59" s="2" t="inlineStr"/>
      <c r="AO59" s="2" t="inlineStr"/>
      <c r="AP59" s="2" t="inlineStr"/>
      <c r="AQ59" s="2" t="inlineStr"/>
      <c r="AR59" s="2" t="inlineStr"/>
      <c r="AS59" s="2" t="inlineStr"/>
      <c r="AT59" s="2" t="inlineStr"/>
      <c r="AU59" s="2" t="b">
        <v>1</v>
      </c>
      <c r="AV59" s="3">
        <f>HYPERLINK("https://engineering.purdue.edu/AAE/people/Faculty", "https://engineering.purdue.edu/AAE/people/Faculty")</f>
        <v/>
      </c>
    </row>
    <row r="60">
      <c r="A60" s="2" t="inlineStr">
        <is>
          <t>Davide Ziviani</t>
        </is>
      </c>
      <c r="B60" s="2" t="inlineStr">
        <is>
          <t>Purdue University</t>
        </is>
      </c>
      <c r="C60" s="3">
        <f>HYPERLINK("https://engineering.purdue.edu/ME/People/ptProfile?resource_id=164622", "https://engineering.purdue.edu/ME/People/ptProfile?resource_id=164622")</f>
        <v/>
      </c>
      <c r="D60" s="3">
        <f>HYPERLINK("https://scholar.google.com/citations?view_op=search_authors&amp;mauthors=Davide%20Ziviani%20Purdue%20University", "Google Scholar Search")</f>
        <v/>
      </c>
      <c r="E60" s="2" t="inlineStr">
        <is>
          <t>Associate Professor of Mechanical Engineering, Co-Director of the Center for High Performance Buildings</t>
        </is>
      </c>
      <c r="F60" s="2" t="inlineStr">
        <is>
          <t>Mechanical Engineering</t>
        </is>
      </c>
      <c r="G60" s="2" t="inlineStr"/>
      <c r="H60" s="3">
        <f>HYPERLINK("mailto:dziviani@purdue.edu", "dziviani@purdue.edu")</f>
        <v/>
      </c>
      <c r="I60" s="2" t="n">
        <v>2</v>
      </c>
      <c r="J60" s="2" t="inlineStr">
        <is>
          <t>🟡 Tier 2: Thermal / Heat Transfer / Energy</t>
        </is>
      </c>
      <c r="K60" s="2" t="n">
        <v>2</v>
      </c>
      <c r="L60" s="2" t="inlineStr">
        <is>
          <t>thermal, thermodynamics</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is>
          <t>Outstanding Mechanical Engineers Distinguished Engineering Alumni Honorary Doctorates Staff Awards Student Awards Distinguished...</t>
        </is>
      </c>
      <c r="AE60" s="2" t="inlineStr"/>
      <c r="AF60" s="2" t="inlineStr"/>
      <c r="AG60" s="2" t="inlineStr"/>
      <c r="AH60" s="2" t="inlineStr">
        <is>
          <t>Advanced Heat Pumps and Refrigeration Systems Deep Space Habitats and Systems Thermal Management Systems</t>
        </is>
      </c>
      <c r="AI60" s="2" t="inlineStr">
        <is>
          <t>Thermodynamics</t>
        </is>
      </c>
      <c r="AJ60" s="2" t="inlineStr">
        <is>
          <t>Thermodynamics</t>
        </is>
      </c>
      <c r="AK60" s="2" t="inlineStr">
        <is>
          <t>Ph.D. Ghent University (Belgium), '17 M.S. University of Ferrara (Italy), '11 B.S. University of Ferrara (Italy),'08</t>
        </is>
      </c>
      <c r="AL60" s="2" t="inlineStr">
        <is>
          <t>Ziviani Research Group overview</t>
        </is>
      </c>
      <c r="AM60" s="3">
        <f>HYPERLINK("https://engineering.purdue.edu/ME/Images/Ziviani-Research-Group-Overview.pdf", "https://engineering.purdue.edu/ME/Images/Ziviani-Research-Group-Overview.pdf")</f>
        <v/>
      </c>
      <c r="AN60" s="2" t="inlineStr"/>
      <c r="AO60" s="2" t="inlineStr"/>
      <c r="AP60" s="2" t="inlineStr"/>
      <c r="AQ60" s="2" t="inlineStr"/>
      <c r="AR60" s="2" t="inlineStr"/>
      <c r="AS60" s="2" t="inlineStr"/>
      <c r="AT60" s="2" t="inlineStr"/>
      <c r="AU60" s="2" t="b">
        <v>1</v>
      </c>
      <c r="AV60" s="3">
        <f>HYPERLINK("https://engineering.purdue.edu/ME/People/ptFaculty", "https://engineering.purdue.edu/ME/People/ptFaculty")</f>
        <v/>
      </c>
    </row>
    <row r="61">
      <c r="A61" s="2" t="inlineStr">
        <is>
          <t>Davin Piercey</t>
        </is>
      </c>
      <c r="B61" s="2" t="inlineStr">
        <is>
          <t>Purdue University</t>
        </is>
      </c>
      <c r="C61" s="3">
        <f>HYPERLINK("https://engineering.purdue.edu/ME/People/ptProfile?resource_id=184725", "https://engineering.purdue.edu/ME/People/ptProfile?resource_id=184725")</f>
        <v/>
      </c>
      <c r="D61" s="3">
        <f>HYPERLINK("https://scholar.google.com/citations?user=PJ1trVUAAAAJ&amp;hl=en", "Scholar (PJ1trVUAAAAJ)")</f>
        <v/>
      </c>
      <c r="E61" s="2" t="inlineStr">
        <is>
          <t>Associate Professor of Materials Engineering and Mechanical Engineering</t>
        </is>
      </c>
      <c r="F61" s="2" t="inlineStr">
        <is>
          <t>Mechanical Engineering</t>
        </is>
      </c>
      <c r="G61" s="2" t="inlineStr">
        <is>
          <t>PJ1trVUAAAAJ</t>
        </is>
      </c>
      <c r="H61" s="3">
        <f>HYPERLINK("mailto:dpiercey@purdue.edu", "dpiercey@purdue.edu")</f>
        <v/>
      </c>
      <c r="I61" s="2" t="n">
        <v>2</v>
      </c>
      <c r="J61" s="2" t="inlineStr">
        <is>
          <t>🟡 Tier 2: Thermal / Heat Transfer / Energy</t>
        </is>
      </c>
      <c r="K61" s="2" t="n">
        <v>2</v>
      </c>
      <c r="L61" s="2" t="inlineStr">
        <is>
          <t>materials, thermodynamics</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is>
          <t>Outstanding Mechanical Engineers Distinguished Engineering Alumni Honorary Doctorates Staff Awards Student Awards Distinguished...</t>
        </is>
      </c>
      <c r="AE61" s="2" t="inlineStr"/>
      <c r="AF61" s="2" t="inlineStr"/>
      <c r="AG61" s="2" t="inlineStr"/>
      <c r="AH61" s="2" t="inlineStr">
        <is>
          <t>Synthesis of energetic materials Chemistry of nitrogen-rich compounds Characterization of explosives, propellants, and pyrotechnics Electrochemical synthesis Thermochemistry of energetic material synthesis Reactive and agent defeat materials</t>
        </is>
      </c>
      <c r="AI61" s="2" t="inlineStr">
        <is>
          <t>Thermodynamics</t>
        </is>
      </c>
      <c r="AJ61" s="2" t="inlineStr">
        <is>
          <t>Thermodynamics</t>
        </is>
      </c>
      <c r="AK61" s="2" t="inlineStr"/>
      <c r="AL61" s="2" t="inlineStr">
        <is>
          <t>Piercey Research Group</t>
        </is>
      </c>
      <c r="AM61" s="3">
        <f>HYPERLINK("https://www.davinpiercey.com/", "https://www.davinpiercey.com/")</f>
        <v/>
      </c>
      <c r="AN61" s="2" t="inlineStr"/>
      <c r="AO61" s="2" t="inlineStr"/>
      <c r="AP61" s="2" t="inlineStr"/>
      <c r="AQ61" s="2" t="inlineStr"/>
      <c r="AR61" s="2" t="inlineStr"/>
      <c r="AS61" s="2" t="inlineStr"/>
      <c r="AT61" s="2" t="inlineStr">
        <is>
          <t>FLEX 3041D</t>
        </is>
      </c>
      <c r="AU61" s="2" t="b">
        <v>1</v>
      </c>
      <c r="AV61" s="3">
        <f>HYPERLINK("https://engineering.purdue.edu/ME/People/ptFaculty", "https://engineering.purdue.edu/ME/People/ptFaculty")</f>
        <v/>
      </c>
    </row>
    <row r="62">
      <c r="A62" s="2" t="inlineStr">
        <is>
          <t>Eckhard A. Groll</t>
        </is>
      </c>
      <c r="B62" s="2" t="inlineStr">
        <is>
          <t>Purdue University</t>
        </is>
      </c>
      <c r="C62" s="3">
        <f>HYPERLINK("https://engineering.purdue.edu/ME/People/ptProfile?resource_id=11748", "https://engineering.purdue.edu/ME/People/ptProfile?resource_id=11748")</f>
        <v/>
      </c>
      <c r="D62" s="3">
        <f>HYPERLINK("https://scholar.google.com/citations?view_op=search_authors&amp;mauthors=Eckhard%20A.%20Groll%20Purdue%20University", "Google Scholar Search")</f>
        <v/>
      </c>
      <c r="E62" s="2" t="inlineStr">
        <is>
          <t>William E. and Florence E. Perry Head of Mechanical Engineering, and Reilly Distinguished Professor of Mechanical Engineering</t>
        </is>
      </c>
      <c r="F62" s="2" t="inlineStr">
        <is>
          <t>Mechanical Engineering</t>
        </is>
      </c>
      <c r="G62" s="2" t="inlineStr"/>
      <c r="H62" s="3">
        <f>HYPERLINK("mailto:groll@purdue.edu", "groll@purdue.edu")</f>
        <v/>
      </c>
      <c r="I62" s="2" t="n">
        <v>2</v>
      </c>
      <c r="J62" s="2" t="inlineStr">
        <is>
          <t>🟡 Tier 2: Thermal / Heat Transfer / Energy</t>
        </is>
      </c>
      <c r="K62" s="2" t="n">
        <v>2</v>
      </c>
      <c r="L62" s="2" t="inlineStr">
        <is>
          <t>thermal, thermodynamics</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is>
          <t>Outstanding Mechanical Engineers Distinguished Engineering Alumni Honorary Doctorates Staff Awards Student Awards Distinguished...</t>
        </is>
      </c>
      <c r="AE62" s="2" t="inlineStr"/>
      <c r="AF62" s="2" t="inlineStr"/>
      <c r="AG62" s="2" t="inlineStr"/>
      <c r="AH62" s="2" t="inlineStr">
        <is>
          <t>Thermal sciences as applied to HVAC&amp;R systems and equipment</t>
        </is>
      </c>
      <c r="AI62" s="2" t="inlineStr">
        <is>
          <t>Thermodynamics</t>
        </is>
      </c>
      <c r="AJ62" s="2" t="inlineStr">
        <is>
          <t>Thermodynamics</t>
        </is>
      </c>
      <c r="AK62" s="2" t="inlineStr">
        <is>
          <t>02/94   "Doktor-Ingenieur" (Doctor of Engineering) in Mechanical Engineering, University of Hannover, Hannover, Germany 11/89   "Diplom-Ingenieur" (Diploma of Engineering) in Mechanical Engineering, Ruhr-University of Bochum, Bochum, Germany 10/86   "Diplom-Vorprüfung" (Pre-Diploma of Engineering) in Mechanical Engineering, Ruhr-University of Bochum, Bochum, Germany</t>
        </is>
      </c>
      <c r="AL62" s="2" t="inlineStr">
        <is>
          <t>Center for High Performance Buildings</t>
        </is>
      </c>
      <c r="AM62" s="3">
        <f>HYPERLINK("https://engineering.purdue.edu/CHPB", "https://engineering.purdue.edu/CHPB")</f>
        <v/>
      </c>
      <c r="AN62" s="2" t="inlineStr"/>
      <c r="AO62" s="2" t="inlineStr"/>
      <c r="AP62" s="2" t="inlineStr"/>
      <c r="AQ62" s="2" t="inlineStr"/>
      <c r="AR62" s="2" t="inlineStr"/>
      <c r="AS62" s="2" t="inlineStr"/>
      <c r="AT62" s="2" t="inlineStr">
        <is>
          <t>ME 2007A</t>
        </is>
      </c>
      <c r="AU62" s="2" t="b">
        <v>1</v>
      </c>
      <c r="AV62" s="3">
        <f>HYPERLINK("https://engineering.purdue.edu/ME/People/ptFaculty", "https://engineering.purdue.edu/ME/People/ptFaculty")</f>
        <v/>
      </c>
    </row>
    <row r="63">
      <c r="A63" s="2" t="inlineStr">
        <is>
          <t>Hosop Shin</t>
        </is>
      </c>
      <c r="B63" s="2" t="inlineStr">
        <is>
          <t>Purdue University</t>
        </is>
      </c>
      <c r="C63" s="3">
        <f>HYPERLINK("https://engineering.purdue.edu/ME/People/ptProfile?resource_id=292625", "https://engineering.purdue.edu/ME/People/ptProfile?resource_id=292625")</f>
        <v/>
      </c>
      <c r="D63" s="3">
        <f>HYPERLINK("https://scholar.google.com/citations?view_op=search_authors&amp;mauthors=Hosop%20Shin%20Purdue%20University", "Google Scholar Search")</f>
        <v/>
      </c>
      <c r="E63" s="2" t="inlineStr">
        <is>
          <t>Assistant Professor of Mechanical Engineering</t>
        </is>
      </c>
      <c r="F63" s="2" t="inlineStr">
        <is>
          <t>Mechanical Engineering</t>
        </is>
      </c>
      <c r="G63" s="2" t="inlineStr"/>
      <c r="H63" s="3">
        <f>HYPERLINK("mailto:shin282@purdue.edu", "shin282@purdue.edu")</f>
        <v/>
      </c>
      <c r="I63" s="2" t="n">
        <v>2</v>
      </c>
      <c r="J63" s="2" t="inlineStr">
        <is>
          <t>🟡 Tier 2: Thermal / Heat Transfer / Energy</t>
        </is>
      </c>
      <c r="K63" s="2" t="n">
        <v>2</v>
      </c>
      <c r="L63" s="2" t="inlineStr">
        <is>
          <t>materials, thermodynamics</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is>
          <t>Outstanding Mechanical Engineers Distinguished Engineering Alumni Honorary Doctorates Staff Awards Student Awards Distinguished...</t>
        </is>
      </c>
      <c r="AE63" s="2" t="inlineStr">
        <is>
          <t>Phone: +1 (765) 494-3975 Email: future-engineers@purdue.edu | Phone: +1 (765) 494-4873 Email: EngrGrad@purdue.edu</t>
        </is>
      </c>
      <c r="AF63" s="2" t="inlineStr"/>
      <c r="AG63" s="2" t="inlineStr"/>
      <c r="AH63" s="2" t="inlineStr">
        <is>
          <t>Electrochemistry, mechanics, interfacial chemistry, and kinetics in energy storage systems Advanced synthesis, processing, and characterization techniques for energy storage materials Atomistic-scale modeling of chemical and mechanical properties in energy storage materials Multi-scale and multi-physics based modeling of Li-ion batteries and fuel cells</t>
        </is>
      </c>
      <c r="AI63" s="2" t="inlineStr">
        <is>
          <t>Thermodynamics Systems, Measurements &amp; Controls</t>
        </is>
      </c>
      <c r="AJ63" s="2" t="inlineStr">
        <is>
          <t>Thermodynamics Systems, Measurements &amp; Controls</t>
        </is>
      </c>
      <c r="AK63" s="2" t="inlineStr">
        <is>
          <t>Ph.D. Mechanical Engineering, University of Michigan, 2015 M.S.E. Mechanical Engineering, University of Michigan, 2009 B.S. Automotive Engineering, Kookmin University, 2007</t>
        </is>
      </c>
      <c r="AL63" s="2" t="inlineStr">
        <is>
          <t>Green Energy Materials and Systems (GEMS) Laboratory</t>
        </is>
      </c>
      <c r="AM63" s="3">
        <f>HYPERLINK("https://engineering.purdue.edu/GEMSlab", "https://engineering.purdue.edu/GEMSlab")</f>
        <v/>
      </c>
      <c r="AN63"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63" s="2" t="inlineStr"/>
      <c r="AP63" s="2" t="inlineStr"/>
      <c r="AQ63" s="2" t="inlineStr">
        <is>
          <t>DOE</t>
        </is>
      </c>
      <c r="AR63" s="2" t="inlineStr"/>
      <c r="AS63" s="2" t="inlineStr"/>
      <c r="AT63" s="2" t="inlineStr"/>
      <c r="AU63" s="2" t="b">
        <v>1</v>
      </c>
      <c r="AV63" s="3">
        <f>HYPERLINK("https://engineering.purdue.edu/ME/People/ptFaculty", "https://engineering.purdue.edu/ME/People/ptFaculty")</f>
        <v/>
      </c>
    </row>
    <row r="64">
      <c r="A64" s="2" t="inlineStr">
        <is>
          <t>Issam Mudawar</t>
        </is>
      </c>
      <c r="B64" s="2" t="inlineStr">
        <is>
          <t>Purdue University</t>
        </is>
      </c>
      <c r="C64" s="3">
        <f>HYPERLINK("https://engineering.purdue.edu/ME/People/ptProfile?resource_id=29296", "https://engineering.purdue.edu/ME/People/ptProfile?resource_id=29296")</f>
        <v/>
      </c>
      <c r="D64" s="3">
        <f>HYPERLINK("https://scholar.google.com/citations?view_op=search_authors&amp;mauthors=Issam%20Mudawar%20Purdue%20University", "Google Scholar Search")</f>
        <v/>
      </c>
      <c r="E64" s="2" t="inlineStr">
        <is>
          <t>Betty Ruth &amp; Milton B. Hollander Family Professor of Mechanical Engineering</t>
        </is>
      </c>
      <c r="F64" s="2" t="inlineStr">
        <is>
          <t>Mechanical Engineering</t>
        </is>
      </c>
      <c r="G64" s="2" t="inlineStr"/>
      <c r="H64" s="3">
        <f>HYPERLINK("mailto:mudawar@purdue.edu", "mudawar@purdue.edu")</f>
        <v/>
      </c>
      <c r="I64" s="2" t="n">
        <v>2</v>
      </c>
      <c r="J64" s="2" t="inlineStr">
        <is>
          <t>🟡 Tier 2: Thermal / Heat Transfer / Energy</t>
        </is>
      </c>
      <c r="K64" s="2" t="n">
        <v>2</v>
      </c>
      <c r="L64" s="2" t="inlineStr">
        <is>
          <t>thermal, thermodynamics</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is>
          <t>Outstanding Mechanical Engineers Distinguished Engineering Alumni Honorary Doctorates Staff Awards Student Awards Distinguished...</t>
        </is>
      </c>
      <c r="AE64" s="2" t="inlineStr"/>
      <c r="AF64" s="2" t="inlineStr"/>
      <c r="AG64" s="2" t="inlineStr"/>
      <c r="AH64" s="2" t="inlineStr">
        <is>
          <t>Boiling Condensation Two-phase Flow High heat flux Thermal management systems Cryogenic systems Space vehicles Lunar and Martian environments Microgravity Experiments on International Space Station Electronic cooling</t>
        </is>
      </c>
      <c r="AI64" s="2" t="inlineStr">
        <is>
          <t>Thermodynamics Heat &amp; Mass Transfer</t>
        </is>
      </c>
      <c r="AJ64" s="2" t="inlineStr">
        <is>
          <t>Thermodynamics Heat &amp; Mass Transfer</t>
        </is>
      </c>
      <c r="AK64" s="2" t="inlineStr">
        <is>
          <t>M.S. MIT, '80 Ph.D. MIT, '84</t>
        </is>
      </c>
      <c r="AL64" s="2" t="inlineStr">
        <is>
          <t>Homepage</t>
        </is>
      </c>
      <c r="AM64" s="3">
        <f>HYPERLINK("https://engineering.purdue.edu/mudawar/", "https://engineering.purdue.edu/mudawar/")</f>
        <v/>
      </c>
      <c r="AN64" s="2" t="inlineStr"/>
      <c r="AO64" s="2" t="inlineStr"/>
      <c r="AP64" s="2" t="inlineStr"/>
      <c r="AQ64" s="2" t="inlineStr">
        <is>
          <t>NASA</t>
        </is>
      </c>
      <c r="AR64" s="2" t="inlineStr"/>
      <c r="AS64" s="2" t="inlineStr"/>
      <c r="AT64" s="2" t="inlineStr">
        <is>
          <t>ME 3170</t>
        </is>
      </c>
      <c r="AU64" s="2" t="b">
        <v>1</v>
      </c>
      <c r="AV64" s="3">
        <f>HYPERLINK("https://engineering.purdue.edu/ME/People/ptFaculty", "https://engineering.purdue.edu/ME/People/ptFaculty")</f>
        <v/>
      </c>
    </row>
    <row r="65">
      <c r="A65" s="2" t="inlineStr">
        <is>
          <t>Jie Cai</t>
        </is>
      </c>
      <c r="B65" s="2" t="inlineStr">
        <is>
          <t>Purdue University</t>
        </is>
      </c>
      <c r="C65" s="3">
        <f>HYPERLINK("https://engineering.purdue.edu/ME/People/ptProfile?resource_id=71762", "https://engineering.purdue.edu/ME/People/ptProfile?resource_id=71762")</f>
        <v/>
      </c>
      <c r="D65" s="3">
        <f>HYPERLINK("https://scholar.google.com/citations?view_op=search_authors&amp;mauthors=Jie%20Cai%20Purdue%20University", "Google Scholar Search")</f>
        <v/>
      </c>
      <c r="E65" s="2" t="inlineStr">
        <is>
          <t>Associate Professor of Mechanical Engineering</t>
        </is>
      </c>
      <c r="F65" s="2" t="inlineStr">
        <is>
          <t>Mechanical Engineering</t>
        </is>
      </c>
      <c r="G65" s="2" t="inlineStr"/>
      <c r="H65" s="3">
        <f>HYPERLINK("mailto:cai40@purdue.edu", "cai40@purdue.edu")</f>
        <v/>
      </c>
      <c r="I65" s="2" t="n">
        <v>2</v>
      </c>
      <c r="J65" s="2" t="inlineStr">
        <is>
          <t>🟡 Tier 2: Thermal / Heat Transfer / Energy</t>
        </is>
      </c>
      <c r="K65" s="2" t="n">
        <v>2</v>
      </c>
      <c r="L65" s="2" t="inlineStr">
        <is>
          <t>energy systems, thermal</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is>
          <t>Outstanding Mechanical Engineers Distinguished Engineering Alumni Honorary Doctorates Staff Awards Student Awards Distinguished...</t>
        </is>
      </c>
      <c r="AE65" s="2" t="inlineStr"/>
      <c r="AF65" s="2" t="inlineStr"/>
      <c r="AG65" s="2" t="inlineStr"/>
      <c r="AH65" s="2" t="inlineStr">
        <is>
          <t>Grid-Interactive Building Controls Modeling and Control of Thermal/Energy Systems HVAC and Smart Buildings Data-Driven Modeling Intelligent Control Systems</t>
        </is>
      </c>
      <c r="AI65" s="2" t="inlineStr"/>
      <c r="AJ65" s="2" t="inlineStr">
        <is>
          <t>Grid-Interactive Building Controls Modeling and Control of Thermal/Energy Systems HVAC and Smart Buildings Data-Driven Modeling Intelligent Control Systems</t>
        </is>
      </c>
      <c r="AK65" s="2" t="inlineStr"/>
      <c r="AL65" s="2" t="inlineStr">
        <is>
          <t>Cai Research Group</t>
        </is>
      </c>
      <c r="AM65" s="3">
        <f>HYPERLINK("https://www.purdue.edu/engineering/cairesearchgroup/", "https://www.purdue.edu/engineering/cairesearchgroup/")</f>
        <v/>
      </c>
      <c r="AN65" s="2" t="inlineStr">
        <is>
          <t>Looking for a list of our campus locations and online options?</t>
        </is>
      </c>
      <c r="AO65" s="2" t="inlineStr"/>
      <c r="AP65" s="2" t="inlineStr"/>
      <c r="AQ65" s="2" t="inlineStr"/>
      <c r="AR65" s="2" t="inlineStr"/>
      <c r="AS65" s="2" t="inlineStr"/>
      <c r="AT65" s="2" t="inlineStr"/>
      <c r="AU65" s="2" t="b">
        <v>1</v>
      </c>
      <c r="AV65" s="3">
        <f>HYPERLINK("https://engineering.purdue.edu/ME/People/ptFaculty", "https://engineering.purdue.edu/ME/People/ptFaculty")</f>
        <v/>
      </c>
    </row>
    <row r="66">
      <c r="A66" s="2" t="inlineStr">
        <is>
          <t>Li Zhan</t>
        </is>
      </c>
      <c r="B66" s="2" t="inlineStr">
        <is>
          <t>Purdue University</t>
        </is>
      </c>
      <c r="C66" s="3">
        <f>HYPERLINK("https://engineering.purdue.edu/ME/People/ptProfile?resource_id=307226", "https://engineering.purdue.edu/ME/People/ptProfile?resource_id=307226")</f>
        <v/>
      </c>
      <c r="D66" s="3">
        <f>HYPERLINK("https://scholar.google.com/citations?hl=en&amp;tzom=240&amp;user=KojhX0gAAAAJ&amp;view_op=list_works&amp;sortby=pubdate&amp;inst=5549692440350501774", "Scholar (KojhX0gAAAAJ)")</f>
        <v/>
      </c>
      <c r="E66" s="2" t="inlineStr">
        <is>
          <t>Assistant Professor of Mechanical Engineering and Biomedical Engineering</t>
        </is>
      </c>
      <c r="F66" s="2" t="inlineStr">
        <is>
          <t>Mechanical Engineering</t>
        </is>
      </c>
      <c r="G66" s="2" t="inlineStr">
        <is>
          <t>KojhX0gAAAAJ</t>
        </is>
      </c>
      <c r="H66" s="3">
        <f>HYPERLINK("mailto:lizhan@purdue.edu", "lizhan@purdue.edu")</f>
        <v/>
      </c>
      <c r="I66" s="2" t="n">
        <v>2</v>
      </c>
      <c r="J66" s="2" t="inlineStr">
        <is>
          <t>🟡 Tier 2: Thermal / Heat Transfer / Energy</t>
        </is>
      </c>
      <c r="K66" s="2" t="n">
        <v>2</v>
      </c>
      <c r="L66" s="2" t="inlineStr">
        <is>
          <t>microfluidics, thermodynamics</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is>
          <t>Outstanding Mechanical Engineers Distinguished Engineering Alumni Honorary Doctorates Staff Awards Student Awards Distinguished...</t>
        </is>
      </c>
      <c r="AE66" s="2" t="inlineStr"/>
      <c r="AF66" s="2" t="inlineStr"/>
      <c r="AG66" s="2" t="inlineStr"/>
      <c r="AH66" s="2" t="inlineStr">
        <is>
          <t>Biomanufacturing and biopreservation Microfluidics Biotransport Micro/nano biomedical devices Diagnostics</t>
        </is>
      </c>
      <c r="AI66" s="2" t="inlineStr">
        <is>
          <t>Thermodynamics Heat &amp; Mass Transfer</t>
        </is>
      </c>
      <c r="AJ66" s="2" t="inlineStr">
        <is>
          <t>Thermodynamics Heat &amp; Mass Transfer</t>
        </is>
      </c>
      <c r="AK66" s="2" t="inlineStr">
        <is>
          <t>Postdoctoral Fellow, Massachusetts General Hospital and Harvard Medical School, 2024 Ph.D., University of Minnesota, 2020 B.Eng., Xi’an Jiaotong University, 2014</t>
        </is>
      </c>
      <c r="AL66" s="2" t="inlineStr">
        <is>
          <t>Zhan Research Group</t>
        </is>
      </c>
      <c r="AM66" s="3">
        <f>HYPERLINK("https://www.zhanlab.org/", "https://www.zhanlab.org/")</f>
        <v/>
      </c>
      <c r="AN66" s="2" t="inlineStr"/>
      <c r="AO66" s="2" t="inlineStr"/>
      <c r="AP66" s="2" t="inlineStr"/>
      <c r="AQ66" s="2" t="inlineStr"/>
      <c r="AR66" s="2" t="inlineStr"/>
      <c r="AS66" s="2" t="inlineStr"/>
      <c r="AT66" s="2" t="inlineStr">
        <is>
          <t>ME G091</t>
        </is>
      </c>
      <c r="AU66" s="2" t="b">
        <v>1</v>
      </c>
      <c r="AV66" s="3">
        <f>HYPERLINK("https://engineering.purdue.edu/ME/People/ptFaculty", "https://engineering.purdue.edu/ME/People/ptFaculty")</f>
        <v/>
      </c>
    </row>
    <row r="67">
      <c r="A67" s="2" t="inlineStr">
        <is>
          <t>Partha P. Mukherjee</t>
        </is>
      </c>
      <c r="B67" s="2" t="inlineStr">
        <is>
          <t>Purdue University</t>
        </is>
      </c>
      <c r="C67" s="3">
        <f>HYPERLINK("https://engineering.purdue.edu/ME/People/ptProfile?resource_id=173050", "https://engineering.purdue.edu/ME/People/ptProfile?resource_id=173050")</f>
        <v/>
      </c>
      <c r="D67" s="3">
        <f>HYPERLINK("https://scholar.google.com/citations?view_op=search_authors&amp;mauthors=Partha%20P.%20Mukherjee%20Purdue%20University", "Google Scholar Search")</f>
        <v/>
      </c>
      <c r="E67" s="2" t="inlineStr">
        <is>
          <t>Professor of Mechanical Engineering, and Associate Head for Research</t>
        </is>
      </c>
      <c r="F67" s="2" t="inlineStr">
        <is>
          <t>Mechanical Engineering</t>
        </is>
      </c>
      <c r="G67" s="2" t="inlineStr"/>
      <c r="H67" s="3">
        <f>HYPERLINK("mailto:pmukherjee@purdue.edu", "pmukherjee@purdue.edu")</f>
        <v/>
      </c>
      <c r="I67" s="2" t="n">
        <v>2</v>
      </c>
      <c r="J67" s="2" t="inlineStr">
        <is>
          <t>🟡 Tier 2: Thermal / Heat Transfer / Energy</t>
        </is>
      </c>
      <c r="K67" s="2" t="n">
        <v>2</v>
      </c>
      <c r="L67" s="2" t="inlineStr">
        <is>
          <t>materials, thermodynamics</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is>
          <t>Outstanding Mechanical Engineers Distinguished Engineering Alumni Honorary Doctorates Staff Awards Student Awards Distinguished...</t>
        </is>
      </c>
      <c r="AE67" s="2" t="inlineStr">
        <is>
          <t>Our experimental lab is situated at FLEX Labs 2nd Floor. The best way to contact Dr. Mukherjee is via email. | The best way to contact Dr. Mukherjee is via email.</t>
        </is>
      </c>
      <c r="AF67" s="2" t="inlineStr"/>
      <c r="AG67" s="2" t="inlineStr"/>
      <c r="AH67" s="2" t="inlineStr">
        <is>
          <t>Energy storage and conversion (batteries, fuel cells) Mesoscale physics and stochastics Reactive transport, materials, processing, and microstructure interactions</t>
        </is>
      </c>
      <c r="AI67" s="2" t="inlineStr">
        <is>
          <t>Thermodynamics Heat &amp; Mass Transfer</t>
        </is>
      </c>
      <c r="AJ67" s="2" t="inlineStr">
        <is>
          <t>Thermodynamics Heat &amp; Mass Transfer</t>
        </is>
      </c>
      <c r="AK67" s="2" t="inlineStr">
        <is>
          <t>Ph.D., Pennsylvania State University, University Park, USA, ‘07 M.S., Indian Institute of Technology, Kanpur, India, ‘99 B.S., North Bengal University, West Bengal, India, ‘97</t>
        </is>
      </c>
      <c r="AL67" s="2" t="inlineStr">
        <is>
          <t>Energy and Transport Sciences Laboratory (ETSL)</t>
        </is>
      </c>
      <c r="AM67" s="3">
        <f>HYPERLINK("https://engineering.purdue.edu/ETSL/", "https://engineering.purdue.edu/ETSL/")</f>
        <v/>
      </c>
      <c r="AN67" s="2" t="inlineStr"/>
      <c r="AO67" s="2" t="inlineStr"/>
      <c r="AP67" s="2" t="inlineStr"/>
      <c r="AQ67" s="2" t="inlineStr"/>
      <c r="AR67" s="2" t="inlineStr"/>
      <c r="AS67" s="2" t="inlineStr"/>
      <c r="AT67" s="2" t="inlineStr">
        <is>
          <t>FLEX 2101A</t>
        </is>
      </c>
      <c r="AU67" s="2" t="b">
        <v>1</v>
      </c>
      <c r="AV67" s="3">
        <f>HYPERLINK("https://engineering.purdue.edu/ME/People/ptFaculty", "https://engineering.purdue.edu/ME/People/ptFaculty")</f>
        <v/>
      </c>
    </row>
    <row r="68">
      <c r="A68" s="2" t="inlineStr">
        <is>
          <t>Rebecca Ciez</t>
        </is>
      </c>
      <c r="B68" s="2" t="inlineStr">
        <is>
          <t>Purdue University</t>
        </is>
      </c>
      <c r="C68" s="3">
        <f>HYPERLINK("https://engineering.purdue.edu/ME/People/ptProfile?resource_id=241060", "https://engineering.purdue.edu/ME/People/ptProfile?resource_id=241060")</f>
        <v/>
      </c>
      <c r="D68" s="3">
        <f>HYPERLINK("https://scholar.google.com/citations?user=OEzRkQMAAAAJ&amp;hl=en", "Scholar (OEzRkQMAAAAJ)")</f>
        <v/>
      </c>
      <c r="E68" s="2" t="inlineStr">
        <is>
          <t>Assistant Professor of Mechanical Engineering, and Sustainability Engineering &amp; Environmental Engineering</t>
        </is>
      </c>
      <c r="F68" s="2" t="inlineStr">
        <is>
          <t>Mechanical Engineering</t>
        </is>
      </c>
      <c r="G68" s="2" t="inlineStr">
        <is>
          <t>OEzRkQMAAAAJ</t>
        </is>
      </c>
      <c r="H68" s="3">
        <f>HYPERLINK("mailto:rciez@purdue.edu", "rciez@purdue.edu")</f>
        <v/>
      </c>
      <c r="I68" s="2" t="n">
        <v>2</v>
      </c>
      <c r="J68" s="2" t="inlineStr">
        <is>
          <t>🟡 Tier 2: Thermal / Heat Transfer / Energy</t>
        </is>
      </c>
      <c r="K68" s="2" t="n">
        <v>2</v>
      </c>
      <c r="L68" s="2" t="inlineStr">
        <is>
          <t>energy systems, thermodynamics</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is>
          <t>Outstanding Mechanical Engineers Distinguished Engineering Alumni Honorary Doctorates Staff Awards Student Awards Distinguished...</t>
        </is>
      </c>
      <c r="AE68" s="2" t="inlineStr">
        <is>
          <t>I recruit students through both Mechanical Engineering and Sustainability Engineering and Environmental Environmental Engineering . Interested undergraduate students should email me with a copy of their resume, a brief list of related classes, and their research interests. Prospective graduate students should email me with a copy their CV and a brief statement of their research interests, and how their interests connect to my research areas.</t>
        </is>
      </c>
      <c r="AF68" s="2" t="inlineStr"/>
      <c r="AG68" s="2" t="inlineStr"/>
      <c r="AH68" s="2" t="inlineStr">
        <is>
          <t>Identify interactions and design spaces at the intersection of energy technologies, economics, and decision-making process to minimize the cost of transitioning to new, decarbonized energy systems</t>
        </is>
      </c>
      <c r="AI68" s="2" t="inlineStr">
        <is>
          <t>Thermodynamics</t>
        </is>
      </c>
      <c r="AJ68" s="2" t="inlineStr">
        <is>
          <t>Thermodynamics</t>
        </is>
      </c>
      <c r="AK68" s="2" t="inlineStr">
        <is>
          <t>Ph.D., Engineering and Public Policy, Carnegie Mellon University, 2018 B.S., Mechanical Engineering, Columbia University, 2013</t>
        </is>
      </c>
      <c r="AL68" s="2" t="inlineStr">
        <is>
          <t>Personal Website</t>
        </is>
      </c>
      <c r="AM68" s="3">
        <f>HYPERLINK("https://rciez2125.github.io/", "https://rciez2125.github.io/")</f>
        <v/>
      </c>
      <c r="AN68" s="2" t="inlineStr"/>
      <c r="AO68" s="2" t="inlineStr"/>
      <c r="AP68" s="2" t="inlineStr"/>
      <c r="AQ68" s="2" t="inlineStr"/>
      <c r="AR68" s="2" t="inlineStr"/>
      <c r="AS68" s="2" t="inlineStr"/>
      <c r="AT68" s="2" t="inlineStr"/>
      <c r="AU68" s="2" t="b">
        <v>1</v>
      </c>
      <c r="AV68" s="3">
        <f>HYPERLINK("https://engineering.purdue.edu/ME/People/ptFaculty", "https://engineering.purdue.edu/ME/People/ptFaculty")</f>
        <v/>
      </c>
    </row>
    <row r="69">
      <c r="A69" s="2" t="inlineStr">
        <is>
          <t>Jian Xie</t>
        </is>
      </c>
      <c r="B69" s="2" t="inlineStr">
        <is>
          <t>Purdue University</t>
        </is>
      </c>
      <c r="C69" s="3">
        <f>HYPERLINK("https://engineering.purdue.edu/ME/People/ptProfile?resource_id=155963", "https://engineering.purdue.edu/ME/People/ptProfile?resource_id=155963")</f>
        <v/>
      </c>
      <c r="D69" s="3">
        <f>HYPERLINK("https://scholar.google.com/citations?view_op=search_authors&amp;mauthors=Jian%20Xie%20Purdue%20University", "Google Scholar Search")</f>
        <v/>
      </c>
      <c r="E69" s="2" t="inlineStr">
        <is>
          <t>Professor of Mechanical Engineering</t>
        </is>
      </c>
      <c r="F69" s="2" t="inlineStr">
        <is>
          <t>Mechanical Engineering</t>
        </is>
      </c>
      <c r="G69" s="2" t="inlineStr"/>
      <c r="H69" s="3">
        <f>HYPERLINK("mailto:jxie@purdue.edu", "jxie@purdue.edu")</f>
        <v/>
      </c>
      <c r="I69" s="2" t="n">
        <v>2</v>
      </c>
      <c r="J69" s="2" t="inlineStr">
        <is>
          <t>🟡 Tier 2: Thermal / Heat Transfer / Energy</t>
        </is>
      </c>
      <c r="K69" s="2" t="n">
        <v>1</v>
      </c>
      <c r="L69" s="2" t="inlineStr">
        <is>
          <t>materials</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is>
          <t>Outstanding Mechanical Engineers Distinguished Engineering Alumni Honorary Doctorates Staff Awards Student Awards Distinguished...</t>
        </is>
      </c>
      <c r="AE69" s="2" t="inlineStr"/>
      <c r="AF69" s="2" t="inlineStr"/>
      <c r="AG69" s="2" t="inlineStr"/>
      <c r="AH69" s="2" t="inlineStr">
        <is>
          <t>Fuel Cells Advanced Batteries Nano-materials Hydrogen Storage Clean-coal technology Carbon dioxide treatment Artificial muscle</t>
        </is>
      </c>
      <c r="AI69" s="2" t="inlineStr"/>
      <c r="AJ69" s="2" t="inlineStr">
        <is>
          <t>Fuel Cells Advanced Batteries Nano-materials Hydrogen Storage Clean-coal technology Carbon dioxide treatment Artificial muscle</t>
        </is>
      </c>
      <c r="AK69" s="2" t="inlineStr">
        <is>
          <t>Ph.D. Chemistry/Electrochemistry, Miami University, 8/1999 M.S. Chemistry/Electrochemistry, University of South Dakota, 8/1996 B.S. Chemical Engineering, Tianjin University, 2/1982</t>
        </is>
      </c>
      <c r="AL69" s="2" t="inlineStr">
        <is>
          <t>Jian Xie Group Website</t>
        </is>
      </c>
      <c r="AM69" s="3">
        <f>HYPERLINK("https://sites.google.com/view/jianxiegroupatpurdue/home", "https://sites.google.com/view/jianxiegroupatpurdue/home")</f>
        <v/>
      </c>
      <c r="AN69" s="2" t="inlineStr"/>
      <c r="AO69" s="2" t="inlineStr"/>
      <c r="AP69" s="2" t="inlineStr"/>
      <c r="AQ69" s="2" t="inlineStr"/>
      <c r="AR69" s="2" t="inlineStr"/>
      <c r="AS69" s="2" t="inlineStr"/>
      <c r="AT69" s="2" t="inlineStr"/>
      <c r="AU69" s="2" t="b">
        <v>1</v>
      </c>
      <c r="AV69" s="3">
        <f>HYPERLINK("https://engineering.purdue.edu/ME/People/ptFaculty", "https://engineering.purdue.edu/ME/People/ptFaculty")</f>
        <v/>
      </c>
    </row>
    <row r="70">
      <c r="A70" s="2" t="inlineStr">
        <is>
          <t>Justin A. Weibel</t>
        </is>
      </c>
      <c r="B70" s="2" t="inlineStr">
        <is>
          <t>Purdue University</t>
        </is>
      </c>
      <c r="C70" s="3">
        <f>HYPERLINK("https://engineering.purdue.edu/ME/People/ptProfile?resource_id=78578", "https://engineering.purdue.edu/ME/People/ptProfile?resource_id=78578")</f>
        <v/>
      </c>
      <c r="D70" s="3">
        <f>HYPERLINK("https://scholar.google.com/citations?view_op=search_authors&amp;mauthors=Justin%20A.%20Weibel%20Purdue%20University", "Google Scholar Search")</f>
        <v/>
      </c>
      <c r="E70" s="2" t="inlineStr">
        <is>
          <t>Professor of Mechanical Engineering</t>
        </is>
      </c>
      <c r="F70" s="2" t="inlineStr">
        <is>
          <t>Mechanical Engineering</t>
        </is>
      </c>
      <c r="G70" s="2" t="inlineStr"/>
      <c r="H70" s="3">
        <f>HYPERLINK("mailto:jaweibel@purdue.edu", "jaweibel@purdue.edu")</f>
        <v/>
      </c>
      <c r="I70" s="2" t="n">
        <v>2</v>
      </c>
      <c r="J70" s="2" t="inlineStr">
        <is>
          <t>🟡 Tier 2: Thermal / Heat Transfer / Energy</t>
        </is>
      </c>
      <c r="K70" s="2" t="n">
        <v>1</v>
      </c>
      <c r="L70" s="2" t="inlineStr">
        <is>
          <t>thermal</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is>
          <t>Outstanding Mechanical Engineers Distinguished Engineering Alumni Honorary Doctorates Staff Awards Student Awards Distinguished...</t>
        </is>
      </c>
      <c r="AE70" s="2" t="inlineStr"/>
      <c r="AF70" s="2" t="inlineStr"/>
      <c r="AG70" s="2" t="inlineStr"/>
      <c r="AH70" s="2" t="inlineStr">
        <is>
          <t>Advanced electronics cooling and packaging technologies Phase-change transport phenomena Additive manufacturing of thermal management components Topological optimization and machine-learning-based design Thermal systems analysis for electrification and energy efficiency Microscale and nanoscale surface engineering for enhanced thermal transport</t>
        </is>
      </c>
      <c r="AI70" s="2" t="inlineStr">
        <is>
          <t>Heat &amp; Mass Transfer</t>
        </is>
      </c>
      <c r="AJ70" s="2" t="inlineStr">
        <is>
          <t>Heat &amp; Mass Transfer</t>
        </is>
      </c>
      <c r="AK70" s="2" t="inlineStr"/>
      <c r="AL70" s="2" t="inlineStr">
        <is>
          <t>Cooling Technologies Research Center</t>
        </is>
      </c>
      <c r="AM70" s="3">
        <f>HYPERLINK("https://engineering.purdue.edu/CTRC/", "https://engineering.purdue.edu/CTRC/")</f>
        <v/>
      </c>
      <c r="AN70" s="2" t="inlineStr"/>
      <c r="AO70" s="2" t="inlineStr"/>
      <c r="AP70" s="2" t="inlineStr"/>
      <c r="AQ70" s="2" t="inlineStr"/>
      <c r="AR70" s="2" t="inlineStr"/>
      <c r="AS70" s="2" t="inlineStr"/>
      <c r="AT70" s="2" t="inlineStr">
        <is>
          <t>ME 3174</t>
        </is>
      </c>
      <c r="AU70" s="2" t="b">
        <v>1</v>
      </c>
      <c r="AV70" s="3">
        <f>HYPERLINK("https://engineering.purdue.edu/ME/People/ptFaculty", "https://engineering.purdue.edu/ME/People/ptFaculty")</f>
        <v/>
      </c>
    </row>
    <row r="71">
      <c r="A71" s="2" t="inlineStr">
        <is>
          <t>Kevin Kircher</t>
        </is>
      </c>
      <c r="B71" s="2" t="inlineStr">
        <is>
          <t>Purdue University</t>
        </is>
      </c>
      <c r="C71" s="3">
        <f>HYPERLINK("https://engineering.purdue.edu/ME/People/ptProfile?resource_id=273136", "https://engineering.purdue.edu/ME/People/ptProfile?resource_id=273136")</f>
        <v/>
      </c>
      <c r="D71" s="3">
        <f>HYPERLINK("https://scholar.google.com/citations?view_op=search_authors&amp;mauthors=Kevin%20Kircher%20Purdue%20University", "Google Scholar Search")</f>
        <v/>
      </c>
      <c r="E71" s="2" t="inlineStr">
        <is>
          <t>Assistant Professor of Mechanical Engineering</t>
        </is>
      </c>
      <c r="F71" s="2" t="inlineStr">
        <is>
          <t>Mechanical Engineering</t>
        </is>
      </c>
      <c r="G71" s="2" t="inlineStr"/>
      <c r="H71" s="3">
        <f>HYPERLINK("mailto:kircher@purdue.edu", "kircher@purdue.edu")</f>
        <v/>
      </c>
      <c r="I71" s="2" t="n">
        <v>2</v>
      </c>
      <c r="J71" s="2" t="inlineStr">
        <is>
          <t>🟡 Tier 2: Thermal / Heat Transfer / Energy</t>
        </is>
      </c>
      <c r="K71" s="2" t="n">
        <v>1</v>
      </c>
      <c r="L71" s="2" t="inlineStr">
        <is>
          <t>thermodynamics</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is>
          <t>Outstanding Mechanical Engineers Distinguished Engineering Alumni Honorary Doctorates Staff Awards Student Awards Distinguished...</t>
        </is>
      </c>
      <c r="AE71" s="2" t="inlineStr"/>
      <c r="AF71" s="2" t="inlineStr"/>
      <c r="AG71" s="2" t="inlineStr"/>
      <c r="AH71" s="2" t="inlineStr">
        <is>
          <t>Building electrification, flexibility, and efficiency Integrating flexible loads, energy storage, and distributed solar into power grids Optimization and control under uncertainty Energy policy</t>
        </is>
      </c>
      <c r="AI71" s="2" t="inlineStr">
        <is>
          <t>Thermodynamics Systems, Measurements &amp; Controls</t>
        </is>
      </c>
      <c r="AJ71" s="2" t="inlineStr">
        <is>
          <t>Thermodynamics Systems, Measurements &amp; Controls</t>
        </is>
      </c>
      <c r="AK71" s="2" t="inlineStr">
        <is>
          <t>PhD, Mechanical Engineering, Cornell University '19</t>
        </is>
      </c>
      <c r="AL71" s="2" t="inlineStr">
        <is>
          <t>Kircher Research Group</t>
        </is>
      </c>
      <c r="AM71" s="3">
        <f>HYPERLINK("https://kevinjkircher.com/", "https://kevinjkircher.com/")</f>
        <v/>
      </c>
      <c r="AN71" s="2" t="inlineStr"/>
      <c r="AO71" s="2" t="inlineStr"/>
      <c r="AP71" s="2" t="inlineStr"/>
      <c r="AQ71" s="2" t="inlineStr"/>
      <c r="AR71" s="2" t="inlineStr"/>
      <c r="AS71" s="2" t="inlineStr"/>
      <c r="AT71" s="2" t="inlineStr"/>
      <c r="AU71" s="2" t="b">
        <v>1</v>
      </c>
      <c r="AV71" s="3">
        <f>HYPERLINK("https://engineering.purdue.edu/ME/People/ptFaculty", "https://engineering.purdue.edu/ME/People/ptFaculty")</f>
        <v/>
      </c>
    </row>
    <row r="72">
      <c r="A72" s="2" t="inlineStr">
        <is>
          <t>Likun Zhu</t>
        </is>
      </c>
      <c r="B72" s="2" t="inlineStr">
        <is>
          <t>Purdue University</t>
        </is>
      </c>
      <c r="C72" s="3">
        <f>HYPERLINK("https://engineering.purdue.edu/ME/People/ptProfile?resource_id=294628", "https://engineering.purdue.edu/ME/People/ptProfile?resource_id=294628")</f>
        <v/>
      </c>
      <c r="D72" s="3">
        <f>HYPERLINK("https://scholar.google.com/citations?view_op=search_authors&amp;mauthors=Likun%20Zhu%20Purdue%20University", "Google Scholar Search")</f>
        <v/>
      </c>
      <c r="E72" s="2" t="inlineStr">
        <is>
          <t>Assistant Vice Provost for Indianapolis Faculty Affairs; Professor of Mechanical Engineering</t>
        </is>
      </c>
      <c r="F72" s="2" t="inlineStr">
        <is>
          <t>Mechanical Engineering</t>
        </is>
      </c>
      <c r="G72" s="2" t="inlineStr"/>
      <c r="H72" s="3">
        <f>HYPERLINK("mailto:zhu154@purdue.edu", "zhu154@purdue.edu")</f>
        <v/>
      </c>
      <c r="I72" s="2" t="n">
        <v>2</v>
      </c>
      <c r="J72" s="2" t="inlineStr">
        <is>
          <t>🟡 Tier 2: Thermal / Heat Transfer / Energy</t>
        </is>
      </c>
      <c r="K72" s="2" t="n">
        <v>1</v>
      </c>
      <c r="L72" s="2" t="inlineStr">
        <is>
          <t>thermodynamics</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is>
          <t>Outstanding Mechanical Engineers Distinguished Engineering Alumni Honorary Doctorates Staff Awards Student Awards Distinguished...</t>
        </is>
      </c>
      <c r="AE72" s="2" t="inlineStr"/>
      <c r="AF72" s="2" t="inlineStr"/>
      <c r="AG72" s="2" t="inlineStr"/>
      <c r="AH72" s="2" t="inlineStr">
        <is>
          <t>Lithium-ion batteries Solid-state batteries In situ and operando characterization Modeling, simulation, and optimization of battery systems Micro/nano fabrication Micro/nano fluidics</t>
        </is>
      </c>
      <c r="AI72" s="2" t="inlineStr">
        <is>
          <t>Thermodynamics</t>
        </is>
      </c>
      <c r="AJ72" s="2" t="inlineStr">
        <is>
          <t>Thermodynamics</t>
        </is>
      </c>
      <c r="AK72" s="2" t="inlineStr">
        <is>
          <t>Ph.D. Mechanical Engineering, University of Maryland, 07/2006 MA/MS Mechanical Engineering, Tsinghua University, 01/2001 BA/BS Mechanical Engineering, Tsinghua University, 07/1998</t>
        </is>
      </c>
      <c r="AL72" s="2" t="inlineStr">
        <is>
          <t>Dr. Likun Zhu's website</t>
        </is>
      </c>
      <c r="AM72" s="3">
        <f>HYPERLINK("https://engineering.purdue.edu/lzhu/", "https://engineering.purdue.edu/lzhu/")</f>
        <v/>
      </c>
      <c r="AN72" s="2" t="inlineStr"/>
      <c r="AO72" s="2" t="inlineStr"/>
      <c r="AP72" s="2" t="inlineStr"/>
      <c r="AQ72" s="2" t="inlineStr">
        <is>
          <t>NSF</t>
        </is>
      </c>
      <c r="AR72" s="2" t="inlineStr"/>
      <c r="AS72" s="2" t="inlineStr"/>
      <c r="AT72" s="2" t="inlineStr"/>
      <c r="AU72" s="2" t="b">
        <v>1</v>
      </c>
      <c r="AV72" s="3">
        <f>HYPERLINK("https://engineering.purdue.edu/ME/People/ptFaculty", "https://engineering.purdue.edu/ME/People/ptFaculty")</f>
        <v/>
      </c>
    </row>
    <row r="73">
      <c r="A73" s="2" t="inlineStr">
        <is>
          <t>Carl Wassgren</t>
        </is>
      </c>
      <c r="B73" s="2" t="inlineStr">
        <is>
          <t>Purdue University</t>
        </is>
      </c>
      <c r="C73" s="3">
        <f>HYPERLINK("https://engineering.purdue.edu/ME/People/ptProfile?resource_id=25572", "https://engineering.purdue.edu/ME/People/ptProfile?resource_id=25572")</f>
        <v/>
      </c>
      <c r="D73" s="3">
        <f>HYPERLINK("https://scholar.google.com/citations?view_op=search_authors&amp;mauthors=Carl%20Wassgren%20Purdue%20University", "Google Scholar Search")</f>
        <v/>
      </c>
      <c r="E73" s="2" t="inlineStr">
        <is>
          <t>Associate Head for Indianapolis; Charles E. and Louise W. Springer Professor of Mechanical Engineering; Professor of Industrial and Physical Pharmacy (by courtesy)</t>
        </is>
      </c>
      <c r="F73" s="2" t="inlineStr">
        <is>
          <t>Mechanical Engineering</t>
        </is>
      </c>
      <c r="G73" s="2" t="inlineStr"/>
      <c r="H73" s="3">
        <f>HYPERLINK("mailto:wassgren@purdue.edu", "wassgren@purdue.edu")</f>
        <v/>
      </c>
      <c r="I73" s="2" t="n">
        <v>3</v>
      </c>
      <c r="J73" s="2" t="inlineStr">
        <is>
          <t>🟠 Tier 3: Structures / Materials / Manufacturing</t>
        </is>
      </c>
      <c r="K73" s="2" t="n">
        <v>5</v>
      </c>
      <c r="L73" s="2" t="inlineStr">
        <is>
          <t>fem, finite element, fluid mechanics, solid mechanics, thermodynamics</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is>
          <t>Outstanding Mechanical Engineers Distinguished Engineering Alumni Honorary Doctorates Staff Awards Student Awards Distinguished...</t>
        </is>
      </c>
      <c r="AE73" s="2" t="inlineStr"/>
      <c r="AF73" s="2" t="inlineStr"/>
      <c r="AG73" s="2" t="inlineStr"/>
      <c r="AH73" s="2" t="inlineStr">
        <is>
          <t>Discrete element method (DEM) modeling for particulate systems --  model development, e.g., fibrous particles, particle breakage, particle shapes --  application to manufacturing, e.g., storage and flow, blending, segregation, drying, coating, wet granulation Finite element method (FEM) modeling of powder compaction --  e.g., roll compaction, tableting, picking and sticking Multi-scale modeling (FEM combined with DEM) of powder dynamics --  model development and application to hopper flow, blending, and segregation</t>
        </is>
      </c>
      <c r="AI73" s="2" t="inlineStr">
        <is>
          <t>Thermodynamics Fluid Mechanics Solid Mechanics</t>
        </is>
      </c>
      <c r="AJ73" s="2" t="inlineStr">
        <is>
          <t>Thermodynamics Fluid Mechanics Solid Mechanics</t>
        </is>
      </c>
      <c r="AK73" s="2" t="inlineStr">
        <is>
          <t>B.S. University of Illinois at Urbana-Champaign, '90 M.S. California Institute of Technology, '92 Ph.D. California Institute of Technology, '97</t>
        </is>
      </c>
      <c r="AL73" s="2" t="inlineStr">
        <is>
          <t>Personal Homepage</t>
        </is>
      </c>
      <c r="AM73" s="3">
        <f>HYPERLINK("https://engineering.purdue.edu/~wassgren/", "https://engineering.purdue.edu/~wassgren/")</f>
        <v/>
      </c>
      <c r="AN73" s="2" t="inlineStr"/>
      <c r="AO73" s="2" t="inlineStr"/>
      <c r="AP73" s="2" t="inlineStr"/>
      <c r="AQ73" s="2" t="inlineStr"/>
      <c r="AR73" s="2" t="inlineStr"/>
      <c r="AS73" s="2" t="inlineStr"/>
      <c r="AT73" s="2" t="inlineStr">
        <is>
          <t>ME 3003E</t>
        </is>
      </c>
      <c r="AU73" s="2" t="b">
        <v>1</v>
      </c>
      <c r="AV73" s="3">
        <f>HYPERLINK("https://engineering.purdue.edu/ME/People/ptFaculty", "https://engineering.purdue.edu/ME/People/ptFaculty")</f>
        <v/>
      </c>
    </row>
    <row r="74">
      <c r="A74" s="2" t="inlineStr">
        <is>
          <t>Andres Arrieta</t>
        </is>
      </c>
      <c r="B74" s="2" t="inlineStr">
        <is>
          <t>Purdue University</t>
        </is>
      </c>
      <c r="C74" s="3">
        <f>HYPERLINK("https://engineering.purdue.edu/ME/People/ptProfile?resource_id=127238", "https://engineering.purdue.edu/ME/People/ptProfile?resource_id=127238")</f>
        <v/>
      </c>
      <c r="D74" s="3">
        <f>HYPERLINK("https://scholar.google.com/citations?view_op=search_authors&amp;mauthors=Andres%20Arrieta%20Purdue%20University", "Google Scholar Search")</f>
        <v/>
      </c>
      <c r="E74" s="2" t="inlineStr">
        <is>
          <t>Doug and Cathy Field Rising Star Professor of Mechanical Engineering</t>
        </is>
      </c>
      <c r="F74" s="2" t="inlineStr">
        <is>
          <t>Aeronautics and Astronautics</t>
        </is>
      </c>
      <c r="G74" s="2" t="inlineStr"/>
      <c r="H74" s="3">
        <f>HYPERLINK("mailto:arrieta@purdue.edu", "arrieta@purdue.edu")</f>
        <v/>
      </c>
      <c r="I74" s="2" t="n">
        <v>3</v>
      </c>
      <c r="J74" s="2" t="inlineStr">
        <is>
          <t>🟠 Tier 3: Structures / Materials / Manufacturing</t>
        </is>
      </c>
      <c r="K74" s="2" t="n">
        <v>4</v>
      </c>
      <c r="L74" s="2" t="inlineStr">
        <is>
          <t>materials, metamaterials, robot, solid mechanics</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is>
          <t>Outstanding Mechanical Engineers Distinguished Engineering Alumni Honorary Doctorates Staff Awards Student Awards Distinguished...</t>
        </is>
      </c>
      <c r="AE74" s="2" t="inlineStr"/>
      <c r="AF74" s="2" t="inlineStr"/>
      <c r="AG74" s="2" t="inlineStr"/>
      <c r="AH74" s="2" t="inlineStr">
        <is>
          <t>Adaptive structures Mechanical metamaterials Robotic materials Programmable structures Multistable structures Structural nonlinearity Elastic instabilities Structural dynamics Nonlinear vibrations</t>
        </is>
      </c>
      <c r="AI74" s="2" t="inlineStr">
        <is>
          <t>Dynamics &amp; Vibration Design &amp; Manufacturing Solid Mechanics</t>
        </is>
      </c>
      <c r="AJ74" s="2" t="inlineStr">
        <is>
          <t>Dynamics &amp; Vibration Design &amp; Manufacturing Solid Mechanics</t>
        </is>
      </c>
      <c r="AK74" s="2" t="inlineStr">
        <is>
          <t>Mechanical Engineer, Universidad de los Andes, Bogotá, '06 Ph.D., University of Bristol, United Kingdom, '10 Postdoctoral Research Fellow, ETH Zurich, '12</t>
        </is>
      </c>
      <c r="AL74" s="2" t="inlineStr">
        <is>
          <t>Programmable Structures Lab</t>
        </is>
      </c>
      <c r="AM74" s="3">
        <f>HYPERLINK("https://engineering.purdue.edu/ProgrammableStructures/", "https://engineering.purdue.edu/ProgrammableStructures/")</f>
        <v/>
      </c>
      <c r="AN74" s="2" t="inlineStr"/>
      <c r="AO74" s="2" t="inlineStr"/>
      <c r="AP74" s="2" t="inlineStr">
        <is>
          <t>Instron</t>
        </is>
      </c>
      <c r="AQ74" s="2" t="inlineStr"/>
      <c r="AR74" s="2" t="inlineStr"/>
      <c r="AS74" s="2" t="inlineStr"/>
      <c r="AT74" s="2" t="inlineStr">
        <is>
          <t>ME 3061H, HLAB 1004</t>
        </is>
      </c>
      <c r="AU74" s="2" t="b">
        <v>1</v>
      </c>
      <c r="AV74" s="3">
        <f>HYPERLINK("https://engineering.purdue.edu/AAE/people/Faculty", "https://engineering.purdue.edu/AAE/people/Faculty")</f>
        <v/>
      </c>
    </row>
    <row r="75">
      <c r="A75" s="2" t="inlineStr">
        <is>
          <t>Ashwin Ramachandran</t>
        </is>
      </c>
      <c r="B75" s="2" t="inlineStr">
        <is>
          <t>Purdue University</t>
        </is>
      </c>
      <c r="C75" s="3">
        <f>HYPERLINK("https://engineering.purdue.edu/ME/People/ptProfile?resource_id=311453", "https://engineering.purdue.edu/ME/People/ptProfile?resource_id=311453")</f>
        <v/>
      </c>
      <c r="D75" s="3">
        <f>HYPERLINK("https://scholar.google.com/citations?user=Kgo25P0AAAAJ&amp;hl=en", "Scholar (Kgo25P0AAAAJ)")</f>
        <v/>
      </c>
      <c r="E75" s="2" t="inlineStr">
        <is>
          <t>Assistant Professor of Mechanical Engineering</t>
        </is>
      </c>
      <c r="F75" s="2" t="inlineStr">
        <is>
          <t>Mechanical Engineering</t>
        </is>
      </c>
      <c r="G75" s="2" t="inlineStr">
        <is>
          <t>Kgo25P0AAAAJ</t>
        </is>
      </c>
      <c r="H75" s="3">
        <f>HYPERLINK("mailto:ashwinrc@purdue.edu", "ashwinrc@purdue.edu")</f>
        <v/>
      </c>
      <c r="I75" s="2" t="n">
        <v>3</v>
      </c>
      <c r="J75" s="2" t="inlineStr">
        <is>
          <t>🟠 Tier 3: Structures / Materials / Manufacturing</t>
        </is>
      </c>
      <c r="K75" s="2" t="n">
        <v>4</v>
      </c>
      <c r="L75" s="2" t="inlineStr">
        <is>
          <t>aerospace, fluid mechanics, hydrodynamics, solid mechanics</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is>
          <t>Outstanding Mechanical Engineers Distinguished Engineering Alumni Honorary Doctorates Staff Awards Student Awards Distinguished...</t>
        </is>
      </c>
      <c r="AE75" s="2" t="inlineStr">
        <is>
          <t>Email to discuss opportunities and timing a few months ahead. Include a note on your background and future plans, a CV with publications, and 2–3 references. Fellowships are welcome.</t>
        </is>
      </c>
      <c r="AF75" s="2" t="inlineStr"/>
      <c r="AG75" s="2" t="inlineStr"/>
      <c r="AH75" s="2" t="inlineStr">
        <is>
          <t>Mechanobiology and biomechanics Diagnostics Bacterial biophysics Micro/nano fluidics and transport Biotechnology development Physicochemical hydrodynamics Measurement tools Biomedical devices and wearables</t>
        </is>
      </c>
      <c r="AI75" s="2" t="inlineStr">
        <is>
          <t>Dynamics &amp; Vibration Design &amp; Manufacturing Fluid Mechanics Heat &amp; Mass Transfer Systems, Measurements &amp; Controls Solid Mechanics</t>
        </is>
      </c>
      <c r="AJ75" s="2" t="inlineStr">
        <is>
          <t>Dynamics &amp; Vibration Design &amp; Manufacturing Fluid Mechanics Heat &amp; Mass Transfer Systems, Measurements &amp; Controls Solid Mechanics</t>
        </is>
      </c>
      <c r="AK75" s="2" t="inlineStr">
        <is>
          <t>Postdoctoral researcher, Department of Mechanical and Aerospace Engineering, Department of Molecular Biology, Princeton University, 2021-2024 Ph.D. in Aeronautics and Astronautics (minor in Bioengineering), Stanford University, 2021 M.S. in Aeronautics and Astronautics, Stanford University, 2021 B. Tech in Aerospace Engineering (minor in Mathematics and Physics), Indian Institute of Technology Bombay, 2015</t>
        </is>
      </c>
      <c r="AL75" s="2" t="inlineStr">
        <is>
          <t>MicroNano Lab</t>
        </is>
      </c>
      <c r="AM75" s="3">
        <f>HYPERLINK("https://www.micronanolab.org/", "https://www.micronanolab.org/")</f>
        <v/>
      </c>
      <c r="AN75" s="2" t="inlineStr">
        <is>
          <t>Actively recruiting / Openings mentioned on lab site</t>
        </is>
      </c>
      <c r="AO75" s="2" t="inlineStr"/>
      <c r="AP75" s="2" t="inlineStr"/>
      <c r="AQ75" s="2" t="inlineStr"/>
      <c r="AR75" s="2" t="inlineStr"/>
      <c r="AS75" s="2" t="inlineStr"/>
      <c r="AT75" s="2" t="inlineStr">
        <is>
          <t>ME G090</t>
        </is>
      </c>
      <c r="AU75" s="2" t="b">
        <v>1</v>
      </c>
      <c r="AV75" s="3">
        <f>HYPERLINK("https://engineering.purdue.edu/ME/People/ptFaculty", "https://engineering.purdue.edu/ME/People/ptFaculty")</f>
        <v/>
      </c>
    </row>
    <row r="76">
      <c r="A76" s="2" t="inlineStr">
        <is>
          <t>Ganesh Subbarayan</t>
        </is>
      </c>
      <c r="B76" s="2" t="inlineStr">
        <is>
          <t>Purdue University</t>
        </is>
      </c>
      <c r="C76" s="3">
        <f>HYPERLINK("https://engineering.purdue.edu/ME/People/ptProfile?resource_id=11244", "https://engineering.purdue.edu/ME/People/ptProfile?resource_id=11244")</f>
        <v/>
      </c>
      <c r="D76" s="3">
        <f>HYPERLINK("https://scholar.google.com/citations?view_op=search_authors&amp;mauthors=Ganesh%20Subbarayan%20Purdue%20University", "Google Scholar Search")</f>
        <v/>
      </c>
      <c r="E76" s="2" t="inlineStr">
        <is>
          <t>James G. Dwyer Professor of Mechanical Engineering</t>
        </is>
      </c>
      <c r="F76" s="2" t="inlineStr">
        <is>
          <t>Mechanical Engineering</t>
        </is>
      </c>
      <c r="G76" s="2" t="inlineStr"/>
      <c r="H76" s="3">
        <f>HYPERLINK("mailto:ganeshs@purdue.edu", "ganeshs@purdue.edu")</f>
        <v/>
      </c>
      <c r="I76" s="2" t="n">
        <v>3</v>
      </c>
      <c r="J76" s="2" t="inlineStr">
        <is>
          <t>🟠 Tier 3: Structures / Materials / Manufacturing</t>
        </is>
      </c>
      <c r="K76" s="2" t="n">
        <v>4</v>
      </c>
      <c r="L76" s="2" t="inlineStr">
        <is>
          <t>fea, finite element, solid mechanics, thermal</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is>
          <t>Outstanding Mechanical Engineers Distinguished Engineering Alumni Honorary Doctorates Staff Awards Student Awards Distinguished...</t>
        </is>
      </c>
      <c r="AE76" s="2" t="inlineStr">
        <is>
          <t>Phone: +1 (765) 494-3975 Email: future-engineers@purdue.edu | Phone: +1 (765) 494-4873 Email: EngrGrad@purdue.edu</t>
        </is>
      </c>
      <c r="AF76" s="2" t="inlineStr"/>
      <c r="AG76" s="2" t="inlineStr"/>
      <c r="AH76" s="2" t="inlineStr">
        <is>
          <t>Computational and experimental solid mechanics focused on fatigue, fracture, and multi-physics phase evolution problems Computational techniques including Finite Element Analysis (FEA), Isogeometric Analysis (IGA), geometric modeling, CAD and optimal design Heterogeneous Integration and Advanced Electronics Packaging with a focus on thermomechanical behavior, reliability, and electrical-thermal-mechanical co-design</t>
        </is>
      </c>
      <c r="AI76" s="2" t="inlineStr">
        <is>
          <t>Design &amp; Manufacturing Heat &amp; Mass Transfer Solid Mechanics</t>
        </is>
      </c>
      <c r="AJ76" s="2" t="inlineStr">
        <is>
          <t>Design &amp; Manufacturing Heat &amp; Mass Transfer Solid Mechanics</t>
        </is>
      </c>
      <c r="AK76" s="2" t="inlineStr">
        <is>
          <t>B.Tech. Indian Inst. of Tech., '85 M.S. Cornell University, '89 Ph.D. Cornell University, '91</t>
        </is>
      </c>
      <c r="AL76" s="2" t="inlineStr">
        <is>
          <t>Institute for Advanced System Integration and Packaging (ASIP)</t>
        </is>
      </c>
      <c r="AM76" s="3">
        <f>HYPERLINK("https://engineering.purdue.edu/ASIP", "https://engineering.purdue.edu/ASIP")</f>
        <v/>
      </c>
      <c r="AN76"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76" s="2" t="inlineStr"/>
      <c r="AP76" s="2" t="inlineStr"/>
      <c r="AQ76" s="2" t="inlineStr">
        <is>
          <t>DOE</t>
        </is>
      </c>
      <c r="AR76" s="2" t="inlineStr"/>
      <c r="AS76" s="2" t="inlineStr"/>
      <c r="AT76" s="2" t="inlineStr">
        <is>
          <t>ME 3172</t>
        </is>
      </c>
      <c r="AU76" s="2" t="b">
        <v>1</v>
      </c>
      <c r="AV76" s="3">
        <f>HYPERLINK("https://engineering.purdue.edu/ME/People/ptFaculty", "https://engineering.purdue.edu/ME/People/ptFaculty")</f>
        <v/>
      </c>
    </row>
    <row r="77">
      <c r="A77" s="2" t="inlineStr">
        <is>
          <t>Kawai Kwok</t>
        </is>
      </c>
      <c r="B77" s="2" t="inlineStr">
        <is>
          <t>Purdue University</t>
        </is>
      </c>
      <c r="C77" s="3">
        <f>HYPERLINK("https://engineering.purdue.edu/AAE/people/ptProfile?resource_id=288720", "https://engineering.purdue.edu/AAE/people/ptProfile?resource_id=288720")</f>
        <v/>
      </c>
      <c r="D77" s="3">
        <f>HYPERLINK("https://scholar.google.com/citations?view_op=search_authors&amp;mauthors=Kawai%20Kwok%20Purdue%20University", "Google Scholar Search")</f>
        <v/>
      </c>
      <c r="E77" s="2" t="inlineStr">
        <is>
          <t>Associate Professor of Aeronautics and Astronautics</t>
        </is>
      </c>
      <c r="F77" s="2" t="inlineStr">
        <is>
          <t>Aeronautics and Astronautics</t>
        </is>
      </c>
      <c r="G77" s="2" t="inlineStr"/>
      <c r="H77" s="3">
        <f>HYPERLINK("mailto:kawaik@purdue.edu", "kawaik@purdue.edu")</f>
        <v/>
      </c>
      <c r="I77" s="2" t="n">
        <v>3</v>
      </c>
      <c r="J77" s="2" t="inlineStr">
        <is>
          <t>🟠 Tier 3: Structures / Materials / Manufacturing</t>
        </is>
      </c>
      <c r="K77" s="2" t="n">
        <v>4</v>
      </c>
      <c r="L77" s="2" t="inlineStr">
        <is>
          <t>aerospace, elasticity, materials, spacecraft</t>
        </is>
      </c>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is>
          <t>NSF CAREER Award, 2022. ASCE Journal of Aerospace Engineering Outstanding Reviewer, 2016. NASA Robert H. Goddard Exceptional Ac...</t>
        </is>
      </c>
      <c r="AE77" s="2" t="inlineStr"/>
      <c r="AF77" s="2" t="inlineStr"/>
      <c r="AG77" s="2" t="inlineStr"/>
      <c r="AH77" s="2" t="inlineStr"/>
      <c r="AI77" s="2" t="inlineStr">
        <is>
          <t>deployable spacecraft and aircraft concepts; multifunctional composite materials; in-space manufacturing and assembly; high-throughput characterization; structural stability; viscoelasticity Edit var myPronunciation=document.getElementById("pronunciation");
    function play() {
    myPronunciation.play();
    }
    function pause() {
    myPronunciation.pause();
    }</t>
        </is>
      </c>
      <c r="AJ77" s="2" t="inlineStr">
        <is>
          <t>deployable spacecraft and aircraft concepts; multifunctional composite materials; in-space manufacturing and assembly; high-throughput characterization; structural stability; viscoelasticity Edit var myPronunciation=document.getElementById("pronunciation");
    function play() {
    myPronunciation.play();
    }
    function pause() {
    myPronunciation.pause();
    }</t>
        </is>
      </c>
      <c r="AK77" s="2" t="inlineStr">
        <is>
          <t>Ph.D. California Institute of Technology, Aerospace Engineering M.S. California Institute of Technology, Aerospace Engineering B.S. Lehigh University, Mechanical Engineering</t>
        </is>
      </c>
      <c r="AL77" s="2" t="inlineStr">
        <is>
          <t>Indiana Space Grant Consortium</t>
        </is>
      </c>
      <c r="AM77" s="3">
        <f>HYPERLINK("https://insgc.spacegrant.org/", "https://insgc.spacegrant.org/")</f>
        <v/>
      </c>
      <c r="AN77" s="2" t="inlineStr">
        <is>
          <t>Academic INSGC Internships</t>
        </is>
      </c>
      <c r="AO77" s="2" t="inlineStr"/>
      <c r="AP77" s="2" t="inlineStr"/>
      <c r="AQ77" s="2" t="inlineStr">
        <is>
          <t>NASA</t>
        </is>
      </c>
      <c r="AR77" s="2" t="inlineStr"/>
      <c r="AS77" s="2" t="inlineStr"/>
      <c r="AT77" s="2" t="inlineStr">
        <is>
          <t>ARMS 3233 and IMI 115</t>
        </is>
      </c>
      <c r="AU77" s="2" t="b">
        <v>1</v>
      </c>
      <c r="AV77" s="3">
        <f>HYPERLINK("https://engineering.purdue.edu/AAE/people/Faculty", "https://engineering.purdue.edu/AAE/people/Faculty")</f>
        <v/>
      </c>
    </row>
    <row r="78">
      <c r="A78" s="2" t="inlineStr">
        <is>
          <t>Kejie Zhao</t>
        </is>
      </c>
      <c r="B78" s="2" t="inlineStr">
        <is>
          <t>Purdue University</t>
        </is>
      </c>
      <c r="C78" s="3">
        <f>HYPERLINK("https://engineering.purdue.edu/ME/People/ptProfile?resource_id=113514", "https://engineering.purdue.edu/ME/People/ptProfile?resource_id=113514")</f>
        <v/>
      </c>
      <c r="D78" s="3">
        <f>HYPERLINK("https://scholar.google.com/citations?user=JXR_AsQAAAAJ&amp;hl=en", "Scholar (JXR_AsQAAAAJ)")</f>
        <v/>
      </c>
      <c r="E78" s="2" t="inlineStr">
        <is>
          <t>Professor of Mechanical Engineering</t>
        </is>
      </c>
      <c r="F78" s="2" t="inlineStr">
        <is>
          <t>Mechanical Engineering</t>
        </is>
      </c>
      <c r="G78" s="2" t="inlineStr">
        <is>
          <t>JXR_AsQAAAAJ</t>
        </is>
      </c>
      <c r="H78" s="3">
        <f>HYPERLINK("mailto:kjzhao@purdue.edu", "kjzhao@purdue.edu")</f>
        <v/>
      </c>
      <c r="I78" s="2" t="n">
        <v>3</v>
      </c>
      <c r="J78" s="2" t="inlineStr">
        <is>
          <t>🟠 Tier 3: Structures / Materials / Manufacturing</t>
        </is>
      </c>
      <c r="K78" s="2" t="n">
        <v>4</v>
      </c>
      <c r="L78" s="2" t="inlineStr">
        <is>
          <t>finite element, materials, plasticity, solid mechanics</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is>
          <t>Outstanding Mechanical Engineers Distinguished Engineering Alumni Honorary Doctorates Staff Awards Student Awards Distinguished...</t>
        </is>
      </c>
      <c r="AE78" s="2" t="inlineStr"/>
      <c r="AF78" s="2" t="inlineStr"/>
      <c r="AG78" s="2" t="inlineStr"/>
      <c r="AH78" s="2" t="inlineStr">
        <is>
          <t>Deformation, stress, plasticity, fracture Multiscale modeling, first-principles, molecular dynamics simulations, and finite element modeling In-situ experiments Mechanics of redox active materials - Li-ion batteries, Na-ion batteries, all-solid-state batteries Mechanics of polymeric materials - organic electrochromics, superelastic organic semiconductors</t>
        </is>
      </c>
      <c r="AI78" s="2" t="inlineStr">
        <is>
          <t>Dynamics &amp; Vibration Design &amp; Manufacturing Solid Mechanics</t>
        </is>
      </c>
      <c r="AJ78" s="2" t="inlineStr">
        <is>
          <t>Dynamics &amp; Vibration Design &amp; Manufacturing Solid Mechanics</t>
        </is>
      </c>
      <c r="AK78" s="2" t="inlineStr">
        <is>
          <t>Ph.D., Harvard Univ., '12 M.Phys., Harvard Univ., '10 M.Eng., Xi'an Jiaotong Univ., '08 B.Eng., Xi'an Jiaotong Univ., '05</t>
        </is>
      </c>
      <c r="AL78" s="2" t="inlineStr">
        <is>
          <t>Zhao Research Group</t>
        </is>
      </c>
      <c r="AM78" s="3">
        <f>HYPERLINK("https://engineering.purdue.edu/kjzhao", "https://engineering.purdue.edu/kjzhao")</f>
        <v/>
      </c>
      <c r="AN78" s="2" t="inlineStr"/>
      <c r="AO78" s="2" t="inlineStr"/>
      <c r="AP78" s="2" t="inlineStr"/>
      <c r="AQ78" s="2" t="inlineStr">
        <is>
          <t>DOE, NSF, ONR</t>
        </is>
      </c>
      <c r="AR78" s="2" t="inlineStr"/>
      <c r="AS78" s="2" t="inlineStr"/>
      <c r="AT78" s="2" t="inlineStr">
        <is>
          <t>ME 3166</t>
        </is>
      </c>
      <c r="AU78" s="2" t="b">
        <v>1</v>
      </c>
      <c r="AV78" s="3">
        <f>HYPERLINK("https://engineering.purdue.edu/ME/People/ptFaculty", "https://engineering.purdue.edu/ME/People/ptFaculty")</f>
        <v/>
      </c>
    </row>
    <row r="79">
      <c r="A79" s="2" t="inlineStr">
        <is>
          <t>Xiulin Ruan</t>
        </is>
      </c>
      <c r="B79" s="2" t="inlineStr">
        <is>
          <t>Purdue University</t>
        </is>
      </c>
      <c r="C79" s="3">
        <f>HYPERLINK("https://engineering.purdue.edu/ME/People/ptProfile?resource_id=29343", "https://engineering.purdue.edu/ME/People/ptProfile?resource_id=29343")</f>
        <v/>
      </c>
      <c r="D79" s="3">
        <f>HYPERLINK("https://scholar.google.com/citations?view_op=search_authors&amp;mauthors=Xiulin%20Ruan%20Purdue%20University", "Google Scholar Search")</f>
        <v/>
      </c>
      <c r="E79" s="2" t="inlineStr">
        <is>
          <t>Professor of Mechanical Engineering</t>
        </is>
      </c>
      <c r="F79" s="2" t="inlineStr">
        <is>
          <t>Mechanical Engineering</t>
        </is>
      </c>
      <c r="G79" s="2" t="inlineStr"/>
      <c r="H79" s="3">
        <f>HYPERLINK("mailto:ruan@purdue.edu", "ruan@purdue.edu")</f>
        <v/>
      </c>
      <c r="I79" s="2" t="n">
        <v>3</v>
      </c>
      <c r="J79" s="2" t="inlineStr">
        <is>
          <t>🟠 Tier 3: Structures / Materials / Manufacturing</t>
        </is>
      </c>
      <c r="K79" s="2" t="n">
        <v>4</v>
      </c>
      <c r="L79" s="2" t="inlineStr">
        <is>
          <t>materials, nanomaterials, thermal, thermodynamics</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is>
          <t>Outstanding Mechanical Engineers Distinguished Engineering Alumni Honorary Doctorates Staff Awards Student Awards Distinguished...</t>
        </is>
      </c>
      <c r="AE79" s="2" t="inlineStr">
        <is>
          <t>We have PhD student and postdoc fellow openings available. Please contact Prof. Ruan with a resume. Due to high volume of inquiries, we may not be able to respond immediately or respond to all emails.</t>
        </is>
      </c>
      <c r="AF79" s="2" t="inlineStr"/>
      <c r="AG79" s="2" t="inlineStr"/>
      <c r="AH79" s="2" t="inlineStr">
        <is>
          <t>Simulations of nanoscale thermal transport Machine learning, optimization, and high throughput design Thermal management in electronics, space, and battery applications Transport phenomena in additive manufacturing Nanomaterials and devices for sustainable energy</t>
        </is>
      </c>
      <c r="AI79" s="2" t="inlineStr">
        <is>
          <t>Thermodynamics Heat &amp; Mass Transfer</t>
        </is>
      </c>
      <c r="AJ79" s="2" t="inlineStr">
        <is>
          <t>Thermodynamics Heat &amp; Mass Transfer</t>
        </is>
      </c>
      <c r="AK79" s="2" t="inlineStr">
        <is>
          <t>B.S. Tsinghua University, '00 M.S. Tsinghua University, '02 M.S. University of Michigan - Ann Arbor, '06 Ph.D. University of Michigan - Ann Arbor, '07</t>
        </is>
      </c>
      <c r="AL79" s="2" t="inlineStr">
        <is>
          <t>Sustainable Energy and Nanoscale Transport Laboratory</t>
        </is>
      </c>
      <c r="AM79" s="3">
        <f>HYPERLINK("https://engineering.purdue.edu/NANOENERGY/", "https://engineering.purdue.edu/NANOENERGY/")</f>
        <v/>
      </c>
      <c r="AN79" s="2" t="inlineStr">
        <is>
          <t>We have PhD student and postdoc fellow openings available. Please contact Prof. Ruan with a resume. Due to high volume of inquiries, we may not be able to respond immediately or respond to all emails. | Undergraduate student positions: (1) ME 498 : Undergraduate students are welcome to take ME 497 with our lab to gain research experience. Detailed information of current projects in our lab can be found at: http://engineering.purdue.edu/nanoenergy/ . (2) SURF : We have at least two SURF (Summer Undergraduate Research Fellowship) positions available each summer, and priorities will be given to undergraduate students who have taken ME 497 with our lab.</t>
        </is>
      </c>
      <c r="AO79" s="2" t="inlineStr"/>
      <c r="AP79" s="2" t="inlineStr">
        <is>
          <t>Cluster</t>
        </is>
      </c>
      <c r="AQ79" s="2" t="inlineStr">
        <is>
          <t>NSF</t>
        </is>
      </c>
      <c r="AR79" s="2" t="inlineStr"/>
      <c r="AS79" s="2" t="inlineStr"/>
      <c r="AT79" s="2" t="inlineStr">
        <is>
          <t>FLEX 1081C</t>
        </is>
      </c>
      <c r="AU79" s="2" t="b">
        <v>1</v>
      </c>
      <c r="AV79" s="3">
        <f>HYPERLINK("https://engineering.purdue.edu/ME/People/ptFaculty", "https://engineering.purdue.edu/ME/People/ptFaculty")</f>
        <v/>
      </c>
    </row>
    <row r="80">
      <c r="A80" s="2" t="inlineStr">
        <is>
          <t>Fabio Semperlotti</t>
        </is>
      </c>
      <c r="B80" s="2" t="inlineStr">
        <is>
          <t>Purdue University</t>
        </is>
      </c>
      <c r="C80" s="3">
        <f>HYPERLINK("https://engineering.purdue.edu/ME/People/ptProfile?resource_id=126925", "https://engineering.purdue.edu/ME/People/ptProfile?resource_id=126925")</f>
        <v/>
      </c>
      <c r="D80" s="3">
        <f>HYPERLINK("https://scholar.google.com/citations?hl=en&amp;user=20pqzv8AAAAJ&amp;view_op=list_works", "Scholar (20pqzv8AAAAJ)")</f>
        <v/>
      </c>
      <c r="E80" s="2" t="inlineStr">
        <is>
          <t>Professor of Mechanical Engineering</t>
        </is>
      </c>
      <c r="F80" s="2" t="inlineStr">
        <is>
          <t>Aeronautics and Astronautics</t>
        </is>
      </c>
      <c r="G80" s="2" t="inlineStr">
        <is>
          <t>20pqzv8AAAAJ</t>
        </is>
      </c>
      <c r="H80" s="3">
        <f>HYPERLINK("mailto:fsemperl@purdue.edu", "fsemperl@purdue.edu")</f>
        <v/>
      </c>
      <c r="I80" s="2" t="n">
        <v>3</v>
      </c>
      <c r="J80" s="2" t="inlineStr">
        <is>
          <t>🟠 Tier 3: Structures / Materials / Manufacturing</t>
        </is>
      </c>
      <c r="K80" s="2" t="n">
        <v>3</v>
      </c>
      <c r="L80" s="2" t="inlineStr">
        <is>
          <t>aerospace, solid mechanics, structural health monitoring</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is>
          <t>Outstanding Mechanical Engineers Distinguished Engineering Alumni Honorary Doctorates Staff Awards Student Awards Distinguished...</t>
        </is>
      </c>
      <c r="AE80" s="2" t="inlineStr"/>
      <c r="AF80" s="2" t="inlineStr"/>
      <c r="AG80" s="2" t="inlineStr"/>
      <c r="AH80" s="2" t="inlineStr">
        <is>
          <t>Acoustic and elastic metamaterial Fractional calculus and fractional mechanics Theoretical and computational mechanics Machine learning applied to computational mechanics Quantum algorithms for computational mechanics Structural health monitoring Wave propagation, structural dynamics and vibration control Adaptive structures</t>
        </is>
      </c>
      <c r="AI80" s="2" t="inlineStr">
        <is>
          <t>Dynamics &amp; Vibration Solid Mechanics</t>
        </is>
      </c>
      <c r="AJ80" s="2" t="inlineStr">
        <is>
          <t>Dynamics &amp; Vibration Solid Mechanics</t>
        </is>
      </c>
      <c r="AK80" s="2" t="inlineStr">
        <is>
          <t>M.S., Aerospace Engineering, University of Rome "La Sapienza", 2000 M.S., Astronautic Engineering, University of Rome "La Sapienza", 2002 Ph.D, Aerospace Engineering, The Pennsylvania State University, 2009</t>
        </is>
      </c>
      <c r="AL80" s="2" t="inlineStr">
        <is>
          <t>Structural Health Monitoring and Dynamics Laboratory</t>
        </is>
      </c>
      <c r="AM80" s="3">
        <f>HYPERLINK("https://sites.google.com/view/semperlotti-lab/index", "https://sites.google.com/view/semperlotti-lab/index")</f>
        <v/>
      </c>
      <c r="AN80" s="2" t="inlineStr"/>
      <c r="AO80" s="2" t="inlineStr"/>
      <c r="AP80" s="2" t="inlineStr"/>
      <c r="AQ80" s="2" t="inlineStr">
        <is>
          <t>Sandia National Laboratories</t>
        </is>
      </c>
      <c r="AR80" s="2" t="inlineStr"/>
      <c r="AS80" s="2" t="inlineStr"/>
      <c r="AT80" s="2" t="inlineStr"/>
      <c r="AU80" s="2" t="b">
        <v>1</v>
      </c>
      <c r="AV80" s="3">
        <f>HYPERLINK("https://engineering.purdue.edu/AAE/people/Faculty", "https://engineering.purdue.edu/AAE/people/Faculty")</f>
        <v/>
      </c>
    </row>
    <row r="81">
      <c r="A81" s="2" t="inlineStr">
        <is>
          <t>Hamid Dalir</t>
        </is>
      </c>
      <c r="B81" s="2" t="inlineStr">
        <is>
          <t>Purdue University</t>
        </is>
      </c>
      <c r="C81" s="3">
        <f>HYPERLINK("https://engineering.purdue.edu/ME/People/ptProfile?resource_id=294590", "https://engineering.purdue.edu/ME/People/ptProfile?resource_id=294590")</f>
        <v/>
      </c>
      <c r="D81" s="3">
        <f>HYPERLINK("https://scholar.google.com/citations?view_op=search_authors&amp;mauthors=Hamid%20Dalir%20Purdue%20University", "Google Scholar Search")</f>
        <v/>
      </c>
      <c r="E81" s="2" t="inlineStr">
        <is>
          <t>Professor of Mechanical Engineering</t>
        </is>
      </c>
      <c r="F81" s="2" t="inlineStr">
        <is>
          <t>Mechanical Engineering</t>
        </is>
      </c>
      <c r="G81" s="2" t="inlineStr"/>
      <c r="H81" s="3">
        <f>HYPERLINK("mailto:hdalir@purdue.edu", "hdalir@purdue.edu")</f>
        <v/>
      </c>
      <c r="I81" s="2" t="n">
        <v>3</v>
      </c>
      <c r="J81" s="2" t="inlineStr">
        <is>
          <t>🟠 Tier 3: Structures / Materials / Manufacturing</t>
        </is>
      </c>
      <c r="K81" s="2" t="n">
        <v>3</v>
      </c>
      <c r="L81" s="2" t="inlineStr">
        <is>
          <t>composites, materials, solid mechanics</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is>
          <t>Outstanding Mechanical Engineers Distinguished Engineering Alumni Honorary Doctorates Staff Awards Student Awards Distinguished...</t>
        </is>
      </c>
      <c r="AE81" s="2" t="inlineStr"/>
      <c r="AF81" s="2" t="inlineStr"/>
      <c r="AG81" s="2" t="inlineStr"/>
      <c r="AH81" s="2" t="inlineStr">
        <is>
          <t>Composites materials design and manufacturing Sustainable and recyclable-by-design polymers and composites Polymer processing and characterization Composites recycling Hybrid manufacturing systems Multiscale modeling Damage mechanics</t>
        </is>
      </c>
      <c r="AI81" s="2" t="inlineStr">
        <is>
          <t>Design &amp; Manufacturing Solid Mechanics Motorsports</t>
        </is>
      </c>
      <c r="AJ81" s="2" t="inlineStr">
        <is>
          <t>Design &amp; Manufacturing Solid Mechanics Motorsports</t>
        </is>
      </c>
      <c r="AK81" s="2" t="inlineStr">
        <is>
          <t>Postdoctoral Fellow, Polytechnique Montreal, '11 Ph.D., Tokyo Institute of Technology, '09 M.S., Sharif University of Technology, '05, B.S., Ferdowsi University of Mashhad, '03</t>
        </is>
      </c>
      <c r="AL81" s="2" t="inlineStr">
        <is>
          <t>Advanced Composite Structures Engineering Lab (ACSEL)</t>
        </is>
      </c>
      <c r="AM81" s="3">
        <f>HYPERLINK("https://www.dalirlab.com/", "https://www.dalirlab.com/")</f>
        <v/>
      </c>
      <c r="AN81" s="2" t="inlineStr"/>
      <c r="AO81" s="2" t="inlineStr"/>
      <c r="AP81" s="2" t="inlineStr"/>
      <c r="AQ81" s="2" t="inlineStr"/>
      <c r="AR81" s="2" t="inlineStr"/>
      <c r="AS81" s="2" t="inlineStr"/>
      <c r="AT81" s="2" t="inlineStr"/>
      <c r="AU81" s="2" t="b">
        <v>1</v>
      </c>
      <c r="AV81" s="3">
        <f>HYPERLINK("https://engineering.purdue.edu/ME/People/ptFaculty", "https://engineering.purdue.edu/ME/People/ptFaculty")</f>
        <v/>
      </c>
    </row>
    <row r="82">
      <c r="A82" s="2" t="inlineStr">
        <is>
          <t>James D. Jones</t>
        </is>
      </c>
      <c r="B82" s="2" t="inlineStr">
        <is>
          <t>Purdue University</t>
        </is>
      </c>
      <c r="C82" s="3">
        <f>HYPERLINK("https://engineering.purdue.edu/ME/People/ptProfile?resource_id=12829", "https://engineering.purdue.edu/ME/People/ptProfile?resource_id=12829")</f>
        <v/>
      </c>
      <c r="D82" s="3">
        <f>HYPERLINK("https://scholar.google.com/citations?view_op=search_authors&amp;mauthors=James%20D.%20Jones%20Purdue%20University", "Google Scholar Search")</f>
        <v/>
      </c>
      <c r="E82" s="2" t="inlineStr">
        <is>
          <t>Associate Professor of Mechanical Engineering</t>
        </is>
      </c>
      <c r="F82" s="2" t="inlineStr">
        <is>
          <t>Mechanical Engineering</t>
        </is>
      </c>
      <c r="G82" s="2" t="inlineStr"/>
      <c r="H82" s="3">
        <f>HYPERLINK("mailto:jonesjd@purdue.edu", "jonesjd@purdue.edu")</f>
        <v/>
      </c>
      <c r="I82" s="2" t="n">
        <v>3</v>
      </c>
      <c r="J82" s="2" t="inlineStr">
        <is>
          <t>🟠 Tier 3: Structures / Materials / Manufacturing</t>
        </is>
      </c>
      <c r="K82" s="2" t="n">
        <v>3</v>
      </c>
      <c r="L82" s="2" t="inlineStr">
        <is>
          <t>materials, smart materials, solid mechanics</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is>
          <t>Outstanding Mechanical Engineers Distinguished Engineering Alumni Honorary Doctorates Staff Awards Student Awards Distinguished...</t>
        </is>
      </c>
      <c r="AE82" s="2" t="inlineStr"/>
      <c r="AF82" s="2" t="inlineStr"/>
      <c r="AG82" s="2" t="inlineStr"/>
      <c r="AH82" s="2" t="inlineStr">
        <is>
          <t>Cooperative learning Acoustics Vibrations Active noise and vibration control Smart materials Intelligent structures</t>
        </is>
      </c>
      <c r="AI82" s="2" t="inlineStr">
        <is>
          <t>Dynamics &amp; Vibration Design &amp; Manufacturing Solid Mechanics</t>
        </is>
      </c>
      <c r="AJ82" s="2" t="inlineStr">
        <is>
          <t>Dynamics &amp; Vibration Design &amp; Manufacturing Solid Mechanics</t>
        </is>
      </c>
      <c r="AK82" s="2" t="inlineStr">
        <is>
          <t>B.S. Tennessee Tech., '81 M.S. VPI &amp; SU, '82 Ph.D. VPI &amp; SU, '87</t>
        </is>
      </c>
      <c r="AL82" s="2" t="inlineStr">
        <is>
          <t>Indiana Space Grant Consortium</t>
        </is>
      </c>
      <c r="AM82" s="3">
        <f>HYPERLINK("https://insgc.spacegrant.org/", "https://insgc.spacegrant.org/")</f>
        <v/>
      </c>
      <c r="AN82" s="2" t="inlineStr">
        <is>
          <t>Academic INSGC Internships</t>
        </is>
      </c>
      <c r="AO82" s="2" t="inlineStr"/>
      <c r="AP82" s="2" t="inlineStr"/>
      <c r="AQ82" s="2" t="inlineStr">
        <is>
          <t>NASA</t>
        </is>
      </c>
      <c r="AR82" s="2" t="inlineStr"/>
      <c r="AS82" s="2" t="inlineStr"/>
      <c r="AT82" s="2" t="inlineStr">
        <is>
          <t>ME 3003H</t>
        </is>
      </c>
      <c r="AU82" s="2" t="b">
        <v>1</v>
      </c>
      <c r="AV82" s="3">
        <f>HYPERLINK("https://engineering.purdue.edu/ME/People/ptFaculty", "https://engineering.purdue.edu/ME/People/ptFaculty")</f>
        <v/>
      </c>
    </row>
    <row r="83">
      <c r="A83" s="2" t="inlineStr">
        <is>
          <t>Jing Zhang</t>
        </is>
      </c>
      <c r="B83" s="2" t="inlineStr">
        <is>
          <t>Purdue University</t>
        </is>
      </c>
      <c r="C83" s="3">
        <f>HYPERLINK("https://engineering.purdue.edu/ME/People/ptProfile?resource_id=293405", "https://engineering.purdue.edu/ME/People/ptProfile?resource_id=293405")</f>
        <v/>
      </c>
      <c r="D83" s="3">
        <f>HYPERLINK("https://scholar.google.com/citations?view_op=search_authors&amp;mauthors=Jing%20Zhang%20Purdue%20University", "Google Scholar Search")</f>
        <v/>
      </c>
      <c r="E83" s="2" t="inlineStr">
        <is>
          <t>Associate Professor of Mechanical Engineering</t>
        </is>
      </c>
      <c r="F83" s="2" t="inlineStr">
        <is>
          <t>Mechanical Engineering</t>
        </is>
      </c>
      <c r="G83" s="2" t="inlineStr"/>
      <c r="H83" s="3">
        <f>HYPERLINK("mailto:zhan2437@purdue.edu", "zhan2437@purdue.edu")</f>
        <v/>
      </c>
      <c r="I83" s="2" t="n">
        <v>3</v>
      </c>
      <c r="J83" s="2" t="inlineStr">
        <is>
          <t>🟠 Tier 3: Structures / Materials / Manufacturing</t>
        </is>
      </c>
      <c r="K83" s="2" t="n">
        <v>3</v>
      </c>
      <c r="L83" s="2" t="inlineStr">
        <is>
          <t>finite element, materials, thermal</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is>
          <t>Outstanding Mechanical Engineers Distinguished Engineering Alumni Honorary Doctorates Staff Awards Student Awards Distinguished...</t>
        </is>
      </c>
      <c r="AE83" s="2" t="inlineStr"/>
      <c r="AF83" s="2" t="inlineStr"/>
      <c r="AG83" s="2" t="inlineStr"/>
      <c r="AH83" s="2" t="inlineStr">
        <is>
          <t>Additive manufacturing or 3D printing Renewable energy (thermal barrier coating, lithium ion battery, hydrogen transport membrane, solid oxide fuel cell) Multi-scale modeling (finite element method, discrete element method, molecular dynamics, ab initio method) Coupled phenomena (thermal and electrical properties, mass transport), and their applications to processing (additive manufacturing, powder metallurgy, compaction and sintering, metal forming) Ceramic materials for biomedical and power generation applications</t>
        </is>
      </c>
      <c r="AI83" s="2" t="inlineStr"/>
      <c r="AJ83" s="2" t="inlineStr">
        <is>
          <t>Additive manufacturing or 3D printing Renewable energy (thermal barrier coating, lithium ion battery, hydrogen transport membrane, solid oxide fuel cell) Multi-scale modeling (finite element method, discrete element method, molecular dynamics, ab initio method) Coupled phenomena (thermal and electrical properties, mass transport), and their applications to processing (additive manufacturing, po...</t>
        </is>
      </c>
      <c r="AK83" s="2" t="inlineStr">
        <is>
          <t>Ph.D. Materials Science and Engineering, Drexel University, 07/2004 B.A. Manufacturing Engineering, Beihang University, 03/1999 B.A. Metal Forming, University of Science and Technology Beijing, 07/1996</t>
        </is>
      </c>
      <c r="AL83" s="2" t="inlineStr">
        <is>
          <t>Indiana Space Grant Consortium</t>
        </is>
      </c>
      <c r="AM83" s="3">
        <f>HYPERLINK("https://insgc.spacegrant.org/", "https://insgc.spacegrant.org/")</f>
        <v/>
      </c>
      <c r="AN83" s="2" t="inlineStr">
        <is>
          <t>Academic INSGC Internships</t>
        </is>
      </c>
      <c r="AO83" s="2" t="inlineStr"/>
      <c r="AP83" s="2" t="inlineStr"/>
      <c r="AQ83" s="2" t="inlineStr">
        <is>
          <t>NASA</t>
        </is>
      </c>
      <c r="AR83" s="2" t="inlineStr"/>
      <c r="AS83" s="2" t="inlineStr"/>
      <c r="AT83" s="2" t="inlineStr">
        <is>
          <t>SL 160J</t>
        </is>
      </c>
      <c r="AU83" s="2" t="b">
        <v>1</v>
      </c>
      <c r="AV83" s="3">
        <f>HYPERLINK("https://engineering.purdue.edu/ME/People/ptFaculty", "https://engineering.purdue.edu/ME/People/ptFaculty")</f>
        <v/>
      </c>
    </row>
    <row r="84">
      <c r="A84" s="2" t="inlineStr">
        <is>
          <t>Jong Hyun Choi</t>
        </is>
      </c>
      <c r="B84" s="2" t="inlineStr">
        <is>
          <t>Purdue University</t>
        </is>
      </c>
      <c r="C84" s="3">
        <f>HYPERLINK("https://engineering.purdue.edu/ME/People/ptProfile?resource_id=50402", "https://engineering.purdue.edu/ME/People/ptProfile?resource_id=50402")</f>
        <v/>
      </c>
      <c r="D84" s="3">
        <f>HYPERLINK("https://scholar.google.com/citations?user=aSHRXOkAAAAJ&amp;hl=en", "Scholar (aSHRXOkAAAAJ)")</f>
        <v/>
      </c>
      <c r="E84" s="2" t="inlineStr">
        <is>
          <t>Professor of Mechanical Engineering</t>
        </is>
      </c>
      <c r="F84" s="2" t="inlineStr">
        <is>
          <t>Mechanical Engineering</t>
        </is>
      </c>
      <c r="G84" s="2" t="inlineStr">
        <is>
          <t>aSHRXOkAAAAJ</t>
        </is>
      </c>
      <c r="H84" s="3">
        <f>HYPERLINK("mailto:jchoi@purdue.edu", "jchoi@purdue.edu")</f>
        <v/>
      </c>
      <c r="I84" s="2" t="n">
        <v>3</v>
      </c>
      <c r="J84" s="2" t="inlineStr">
        <is>
          <t>🟠 Tier 3: Structures / Materials / Manufacturing</t>
        </is>
      </c>
      <c r="K84" s="2" t="n">
        <v>3</v>
      </c>
      <c r="L84" s="2" t="inlineStr">
        <is>
          <t>materials, solid mechanics, thermodynamics</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is>
          <t>Outstanding Mechanical Engineers Distinguished Engineering Alumni Honorary Doctorates Staff Awards Student Awards Distinguished...</t>
        </is>
      </c>
      <c r="AE84" s="2" t="inlineStr"/>
      <c r="AF84" s="2" t="inlineStr"/>
      <c r="AG84" s="2" t="inlineStr"/>
      <c r="AH84" s="2" t="inlineStr">
        <is>
          <t>Advanced materials Programmable metastructures Bioinspired design and manufacturing DNA nanotechnology Nanomachines</t>
        </is>
      </c>
      <c r="AI84" s="2" t="inlineStr">
        <is>
          <t>Thermodynamics Heat &amp; Mass Transfer Solid Mechanics</t>
        </is>
      </c>
      <c r="AJ84" s="2" t="inlineStr">
        <is>
          <t>Thermodynamics Heat &amp; Mass Transfer Solid Mechanics</t>
        </is>
      </c>
      <c r="AK84" s="2" t="inlineStr">
        <is>
          <t>B.S., Yonsei University, '99 M.S., Yonsei University, '01 Ph.D., University of California, Berkeley, '05</t>
        </is>
      </c>
      <c r="AL84" s="2" t="inlineStr">
        <is>
          <t>Choi Lab</t>
        </is>
      </c>
      <c r="AM84" s="3">
        <f>HYPERLINK("https://choinano.org/ ", "https://choinano.org/ ")</f>
        <v/>
      </c>
      <c r="AN84" s="2" t="inlineStr"/>
      <c r="AO84" s="2" t="inlineStr"/>
      <c r="AP84" s="2" t="inlineStr"/>
      <c r="AQ84" s="2" t="inlineStr"/>
      <c r="AR84" s="2" t="inlineStr"/>
      <c r="AS84" s="2" t="inlineStr"/>
      <c r="AT84" s="2" t="inlineStr">
        <is>
          <t>ME 2198</t>
        </is>
      </c>
      <c r="AU84" s="2" t="b">
        <v>1</v>
      </c>
      <c r="AV84" s="3">
        <f>HYPERLINK("https://engineering.purdue.edu/ME/People/ptFaculty", "https://engineering.purdue.edu/ME/People/ptFaculty")</f>
        <v/>
      </c>
    </row>
    <row r="85">
      <c r="A85" s="2" t="inlineStr">
        <is>
          <t>Junfei Li</t>
        </is>
      </c>
      <c r="B85" s="2" t="inlineStr">
        <is>
          <t>Purdue University</t>
        </is>
      </c>
      <c r="C85" s="3">
        <f>HYPERLINK("https://engineering.purdue.edu/ME/People/ptProfile?resource_id=286140", "https://engineering.purdue.edu/ME/People/ptProfile?resource_id=286140")</f>
        <v/>
      </c>
      <c r="D85" s="3">
        <f>HYPERLINK("https://scholar.google.com/citations?view_op=search_authors&amp;mauthors=Junfei%20Li%20Purdue%20University", "Google Scholar Search")</f>
        <v/>
      </c>
      <c r="E85" s="2" t="inlineStr">
        <is>
          <t>Assistant Professor of Mechanical Engineering</t>
        </is>
      </c>
      <c r="F85" s="2" t="inlineStr">
        <is>
          <t>Mechanical Engineering</t>
        </is>
      </c>
      <c r="G85" s="2" t="inlineStr"/>
      <c r="H85" s="3">
        <f>HYPERLINK("mailto:junfeili@purdue.edu", "junfeili@purdue.edu")</f>
        <v/>
      </c>
      <c r="I85" s="2" t="n">
        <v>3</v>
      </c>
      <c r="J85" s="2" t="inlineStr">
        <is>
          <t>🟠 Tier 3: Structures / Materials / Manufacturing</t>
        </is>
      </c>
      <c r="K85" s="2" t="n">
        <v>3</v>
      </c>
      <c r="L85" s="2" t="inlineStr">
        <is>
          <t>fluid mechanics, materials, metamaterials</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is>
          <t>Outstanding Mechanical Engineers Distinguished Engineering Alumni Honorary Doctorates Staff Awards Student Awards Distinguished...</t>
        </is>
      </c>
      <c r="AE85" s="2" t="inlineStr"/>
      <c r="AF85" s="2" t="inlineStr"/>
      <c r="AG85" s="2" t="inlineStr"/>
      <c r="AH85" s="2" t="inlineStr">
        <is>
          <t>Acoustic tweezers Acoustofluidics Acoustic metamaterials Ultrasound control Underwater communication Ultrasound imaging Multiphysics wave propagation theory Noise control and energy harvesting</t>
        </is>
      </c>
      <c r="AI85" s="2" t="inlineStr">
        <is>
          <t>Dynamics &amp; Vibration Fluid Mechanics Heat &amp; Mass Transfer Systems, Measurements &amp; Controls</t>
        </is>
      </c>
      <c r="AJ85" s="2" t="inlineStr">
        <is>
          <t>Dynamics &amp; Vibration Fluid Mechanics Heat &amp; Mass Transfer Systems, Measurements &amp; Controls</t>
        </is>
      </c>
      <c r="AK85" s="2" t="inlineStr"/>
      <c r="AL85" s="2" t="inlineStr">
        <is>
          <t>Indiana Space Grant Consortium</t>
        </is>
      </c>
      <c r="AM85" s="3">
        <f>HYPERLINK("https://insgc.spacegrant.org/", "https://insgc.spacegrant.org/")</f>
        <v/>
      </c>
      <c r="AN85" s="2" t="inlineStr">
        <is>
          <t>Academic INSGC Internships</t>
        </is>
      </c>
      <c r="AO85" s="2" t="inlineStr"/>
      <c r="AP85" s="2" t="inlineStr"/>
      <c r="AQ85" s="2" t="inlineStr">
        <is>
          <t>NASA</t>
        </is>
      </c>
      <c r="AR85" s="2" t="inlineStr"/>
      <c r="AS85" s="2" t="inlineStr"/>
      <c r="AT85" s="2" t="inlineStr"/>
      <c r="AU85" s="2" t="b">
        <v>1</v>
      </c>
      <c r="AV85" s="3">
        <f>HYPERLINK("https://engineering.purdue.edu/ME/People/ptFaculty", "https://engineering.purdue.edu/ME/People/ptFaculty")</f>
        <v/>
      </c>
    </row>
    <row r="86">
      <c r="A86" s="2" t="inlineStr">
        <is>
          <t>Marisol Koslowski</t>
        </is>
      </c>
      <c r="B86" s="2" t="inlineStr">
        <is>
          <t>Purdue University</t>
        </is>
      </c>
      <c r="C86" s="3">
        <f>HYPERLINK("https://engineering.purdue.edu/ME/People/ptProfile?resource_id=29264", "https://engineering.purdue.edu/ME/People/ptProfile?resource_id=29264")</f>
        <v/>
      </c>
      <c r="D86" s="3">
        <f>HYPERLINK("https://scholar.google.com/citations?view_op=search_authors&amp;mauthors=Marisol%20Koslowski%20Purdue%20University", "Google Scholar Search")</f>
        <v/>
      </c>
      <c r="E86" s="2" t="inlineStr">
        <is>
          <t>Associate Dean for Global Engineering Programs and Partnerships and Professor of Mechanical Engineering</t>
        </is>
      </c>
      <c r="F86" s="2" t="inlineStr">
        <is>
          <t>Mechanical Engineering</t>
        </is>
      </c>
      <c r="G86" s="2" t="inlineStr"/>
      <c r="H86" s="3">
        <f>HYPERLINK("mailto:marisol@purdue.edu", "marisol@purdue.edu")</f>
        <v/>
      </c>
      <c r="I86" s="2" t="n">
        <v>3</v>
      </c>
      <c r="J86" s="2" t="inlineStr">
        <is>
          <t>🟠 Tier 3: Structures / Materials / Manufacturing</t>
        </is>
      </c>
      <c r="K86" s="2" t="n">
        <v>3</v>
      </c>
      <c r="L86" s="2" t="inlineStr">
        <is>
          <t>finite element, materials, solid mechanics</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is>
          <t>Outstanding Mechanical Engineers Distinguished Engineering Alumni Honorary Doctorates Staff Awards Student Awards Distinguished...</t>
        </is>
      </c>
      <c r="AE86" s="2" t="inlineStr"/>
      <c r="AF86" s="2" t="inlineStr"/>
      <c r="AG86" s="2" t="inlineStr"/>
      <c r="AH86" s="2" t="inlineStr">
        <is>
          <t>Computational solid mechanics Multiscale modeling of materials Finite Elements Dislocation dynamics Reliability of electronic interconnects Shock compression in solids Phase transformations Energetic materials</t>
        </is>
      </c>
      <c r="AI86" s="2" t="inlineStr">
        <is>
          <t>Solid Mechanics</t>
        </is>
      </c>
      <c r="AJ86" s="2" t="inlineStr">
        <is>
          <t>Solid Mechanics</t>
        </is>
      </c>
      <c r="AK86" s="2" t="inlineStr">
        <is>
          <t>B.S. University of Buenos Aires, Argentina, '97 M.S. California Institute of Technology, '99 Ph.D. California Institute of Technology, '03</t>
        </is>
      </c>
      <c r="AL86" s="2" t="inlineStr">
        <is>
          <t>Koslowski Group</t>
        </is>
      </c>
      <c r="AM86" s="3">
        <f>HYPERLINK("https://koslowskigroup.org/", "https://koslowskigroup.org/")</f>
        <v/>
      </c>
      <c r="AN86" s="2" t="inlineStr"/>
      <c r="AO86" s="2" t="inlineStr"/>
      <c r="AP86" s="2" t="inlineStr"/>
      <c r="AQ86" s="2" t="inlineStr"/>
      <c r="AR86" s="2" t="inlineStr"/>
      <c r="AS86" s="2" t="inlineStr"/>
      <c r="AT86" s="2" t="inlineStr"/>
      <c r="AU86" s="2" t="b">
        <v>1</v>
      </c>
      <c r="AV86" s="3">
        <f>HYPERLINK("https://engineering.purdue.edu/ME/People/ptFaculty", "https://engineering.purdue.edu/ME/People/ptFaculty")</f>
        <v/>
      </c>
    </row>
    <row r="87">
      <c r="A87" s="2" t="inlineStr">
        <is>
          <t>R Byron Pipes</t>
        </is>
      </c>
      <c r="B87" s="2" t="inlineStr">
        <is>
          <t>Purdue University</t>
        </is>
      </c>
      <c r="C87" s="3">
        <f>HYPERLINK("https://engineering.purdue.edu/AAE/people/ptProfile?resource_id=1436", "https://engineering.purdue.edu/AAE/people/ptProfile?resource_id=1436")</f>
        <v/>
      </c>
      <c r="D87" s="3">
        <f>HYPERLINK("https://scholar.google.com/citations?view_op=search_authors&amp;mauthors=R%20Byron%20Pipes%20Purdue%20University", "Google Scholar Search")</f>
        <v/>
      </c>
      <c r="E87" s="2" t="inlineStr">
        <is>
          <t>John L. Bray Distinguished Professor of Engineering</t>
        </is>
      </c>
      <c r="F87" s="2" t="inlineStr">
        <is>
          <t>Aeronautics and Astronautics</t>
        </is>
      </c>
      <c r="G87" s="2" t="inlineStr"/>
      <c r="H87" s="3">
        <f>HYPERLINK("mailto:bpipes@purdue.edu", "bpipes@purdue.edu")</f>
        <v/>
      </c>
      <c r="I87" s="2" t="n">
        <v>3</v>
      </c>
      <c r="J87" s="2" t="inlineStr">
        <is>
          <t>🟠 Tier 3: Structures / Materials / Manufacturing</t>
        </is>
      </c>
      <c r="K87" s="2" t="n">
        <v>3</v>
      </c>
      <c r="L87" s="2" t="inlineStr">
        <is>
          <t>aerospace, composites, materials</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is>
          <t>Appointments Executive Director of the Composites Manufacturing Simulation Center of Purdue University, 2015-present. Director ...</t>
        </is>
      </c>
      <c r="AE87" s="2" t="inlineStr"/>
      <c r="AF87" s="2" t="inlineStr"/>
      <c r="AG87" s="2" t="inlineStr"/>
      <c r="AH87" s="2" t="inlineStr">
        <is>
          <t>Composites Design and Simulation Composites Manufacturing Simulation Experimental Characterization Multiscale Modeling Structural Mechanics Rheology of suspensions Multiphysics Modeling</t>
        </is>
      </c>
      <c r="AI87" s="2" t="inlineStr">
        <is>
          <t>Dr. Pipes' graduate students work in composites manufacturing simulation focuses on the influence of manufacturing processes on the development of composites microstructure and the resulting implications upon structural performance. Two primary manufacturing processes are the subject of the majority of the scholarship underway and these include composites additive manufacturing (cAM) through fused filament fabrication and discontinuous prepreg platelet composites. For cAM, the research is directed at the prediction of the free-surface flow of fiber-reinforced polymer extrudates and the multi-physics phenomena that determine extrudate-substrate adhesion, shrinkage deformation, mechanical and transport properties and performance of the printed geometry. The discontinuous prepreg platelet studies examine the rheology of these highly anisotropic systems to determine fiber orientation distribution within a molded geometry, micro-CAT scan methods for determination of fiber orientation and prediction of the strength properties of structural elements molded from these materials systems.</t>
        </is>
      </c>
      <c r="AJ87" s="2" t="inlineStr">
        <is>
          <t>Dr. Pipes' graduate students work in composites manufacturing simulation focuses on the influence of manufacturing processes on the development of composites microstructure and the resulting implications upon structural performance. Two primary manufacturing processes are the subject of the majority of the scholarship underway and these include composites additive manufacturing (cAM) through fu...</t>
        </is>
      </c>
      <c r="AK87" s="2" t="inlineStr">
        <is>
          <t>Princeton University, MSE Structural Mechanics, 1969 University of Texas at Arlington, PhD Mechanical Engineering, 1972</t>
        </is>
      </c>
      <c r="AL87" s="2" t="inlineStr">
        <is>
          <t>Indiana Space Grant Consortium</t>
        </is>
      </c>
      <c r="AM87" s="3">
        <f>HYPERLINK("https://insgc.spacegrant.org/", "https://insgc.spacegrant.org/")</f>
        <v/>
      </c>
      <c r="AN87" s="2" t="inlineStr">
        <is>
          <t>Academic INSGC Internships</t>
        </is>
      </c>
      <c r="AO87" s="2" t="inlineStr"/>
      <c r="AP87" s="2" t="inlineStr"/>
      <c r="AQ87" s="2" t="inlineStr">
        <is>
          <t>NASA</t>
        </is>
      </c>
      <c r="AR87" s="2" t="inlineStr"/>
      <c r="AS87" s="2" t="inlineStr"/>
      <c r="AT87" s="2" t="inlineStr"/>
      <c r="AU87" s="2" t="b">
        <v>1</v>
      </c>
      <c r="AV87" s="3">
        <f>HYPERLINK("https://engineering.purdue.edu/AAE/people/Faculty", "https://engineering.purdue.edu/AAE/people/Faculty")</f>
        <v/>
      </c>
    </row>
    <row r="88">
      <c r="A88" s="2" t="inlineStr">
        <is>
          <t>Shubhra Bansal</t>
        </is>
      </c>
      <c r="B88" s="2" t="inlineStr">
        <is>
          <t>Purdue University</t>
        </is>
      </c>
      <c r="C88" s="3">
        <f>HYPERLINK("https://engineering.purdue.edu/ME/People/ptProfile?resource_id=273456", "https://engineering.purdue.edu/ME/People/ptProfile?resource_id=273456")</f>
        <v/>
      </c>
      <c r="D88" s="3">
        <f>HYPERLINK("https://scholar.google.com/citations?user=E8PanGMAAAAJ", "Scholar (E8PanGMAAAAJ)")</f>
        <v/>
      </c>
      <c r="E88" s="2" t="inlineStr">
        <is>
          <t>Associate Professor of Mechanical Engineering and Materials Engineering</t>
        </is>
      </c>
      <c r="F88" s="2" t="inlineStr">
        <is>
          <t>Mechanical Engineering</t>
        </is>
      </c>
      <c r="G88" s="2" t="inlineStr">
        <is>
          <t>E8PanGMAAAAJ</t>
        </is>
      </c>
      <c r="H88" s="3">
        <f>HYPERLINK("mailto:bansal91@purdue.edu", "bansal91@purdue.edu")</f>
        <v/>
      </c>
      <c r="I88" s="2" t="n">
        <v>3</v>
      </c>
      <c r="J88" s="2" t="inlineStr">
        <is>
          <t>🟠 Tier 3: Structures / Materials / Manufacturing</t>
        </is>
      </c>
      <c r="K88" s="2" t="n">
        <v>3</v>
      </c>
      <c r="L88" s="2" t="inlineStr">
        <is>
          <t>materials, solid mechanics, thermal</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is>
          <t>Outstanding Mechanical Engineers Distinguished Engineering Alumni Honorary Doctorates Staff Awards Student Awards Distinguished...</t>
        </is>
      </c>
      <c r="AE88" s="2" t="inlineStr"/>
      <c r="AF88" s="2" t="inlineStr"/>
      <c r="AG88" s="2" t="inlineStr"/>
      <c r="AH88" s="2" t="inlineStr">
        <is>
          <t>Renewable Energy Materials (physics-based energy yield predictions, sustainable PV and energy storage materials, recycling) Electro-Optical-Thermo-Mechanical Reliability (in-situ and in-operando accelerated stress tests) Heterogeneous Integration &amp; Advanced Packaging (sub-10 μm pitch interconnects, low-loss interposers) Harsh Environment Electronics Integration (high temperature Pb-free solders and nano-thermal interfaces)</t>
        </is>
      </c>
      <c r="AI88" s="2" t="inlineStr">
        <is>
          <t>Design &amp; Manufacturing Solid Mechanics</t>
        </is>
      </c>
      <c r="AJ88" s="2" t="inlineStr">
        <is>
          <t>Design &amp; Manufacturing Solid Mechanics</t>
        </is>
      </c>
      <c r="AK88" s="2" t="inlineStr"/>
      <c r="AL88" s="2" t="inlineStr">
        <is>
          <t>Bansal Research Group</t>
        </is>
      </c>
      <c r="AM88" s="3">
        <f>HYPERLINK("https://engineering.purdue.edu/EMRSL", "https://engineering.purdue.edu/EMRSL")</f>
        <v/>
      </c>
      <c r="AN88" s="2" t="inlineStr"/>
      <c r="AO88" s="2" t="inlineStr"/>
      <c r="AP88" s="2" t="inlineStr"/>
      <c r="AQ88" s="2" t="inlineStr"/>
      <c r="AR88" s="2" t="inlineStr"/>
      <c r="AS88" s="2" t="inlineStr"/>
      <c r="AT88" s="2" t="inlineStr">
        <is>
          <t>FLEX 3081D</t>
        </is>
      </c>
      <c r="AU88" s="2" t="b">
        <v>1</v>
      </c>
      <c r="AV88" s="3">
        <f>HYPERLINK("https://engineering.purdue.edu/ME/People/ptFaculty", "https://engineering.purdue.edu/ME/People/ptFaculty")</f>
        <v/>
      </c>
    </row>
    <row r="89">
      <c r="A89" s="2" t="inlineStr">
        <is>
          <t>Chi Hwan Lee</t>
        </is>
      </c>
      <c r="B89" s="2" t="inlineStr">
        <is>
          <t>Purdue University</t>
        </is>
      </c>
      <c r="C89" s="3">
        <f>HYPERLINK("https://engineering.purdue.edu/ME/People/ptProfile?resource_id=127246", "https://engineering.purdue.edu/ME/People/ptProfile?resource_id=127246")</f>
        <v/>
      </c>
      <c r="D89" s="3">
        <f>HYPERLINK("https://scholar.google.com/citations?view_op=search_authors&amp;mauthors=Chi%20Hwan%20Lee%20Purdue%20University", "Google Scholar Search")</f>
        <v/>
      </c>
      <c r="E89" s="2" t="inlineStr">
        <is>
          <t>Professor of Biomedical Engineering and Mechanical Engineering</t>
        </is>
      </c>
      <c r="F89" s="2" t="inlineStr">
        <is>
          <t>Mechanical Engineering</t>
        </is>
      </c>
      <c r="G89" s="2" t="inlineStr"/>
      <c r="H89" s="3">
        <f>HYPERLINK("mailto:lee2270@purdue.edu", "lee2270@purdue.edu")</f>
        <v/>
      </c>
      <c r="I89" s="2" t="n">
        <v>3</v>
      </c>
      <c r="J89" s="2" t="inlineStr">
        <is>
          <t>🟠 Tier 3: Structures / Materials / Manufacturing</t>
        </is>
      </c>
      <c r="K89" s="2" t="n">
        <v>2</v>
      </c>
      <c r="L89" s="2" t="inlineStr">
        <is>
          <t>materials, solid mechanics</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is>
          <t>Outstanding Mechanical Engineers Distinguished Engineering Alumni Honorary Doctorates Staff Awards Student Awards Distinguished...</t>
        </is>
      </c>
      <c r="AE89" s="2" t="inlineStr">
        <is>
          <t>Email: lee2270@purdue.edu Phone: +1 (765) 494 6212 | Contact Info. Prof Chi Hwan Lee, Email: lee2270@purdue.edu, Tel: +1 (765) 494-6212</t>
        </is>
      </c>
      <c r="AF89" s="2" t="inlineStr"/>
      <c r="AG89" s="2" t="inlineStr"/>
      <c r="AH89" s="2" t="inlineStr">
        <is>
          <t>Wearable biomedical devices 'Crack’-driven transfer printing technology Scalable manufacturing technology Mechanics and materials for flexible/stretchable electronics</t>
        </is>
      </c>
      <c r="AI89" s="2" t="inlineStr">
        <is>
          <t>Design &amp; Manufacturing Solid Mechanics</t>
        </is>
      </c>
      <c r="AJ89" s="2" t="inlineStr">
        <is>
          <t>Design &amp; Manufacturing Solid Mechanics</t>
        </is>
      </c>
      <c r="AK89" s="2" t="inlineStr">
        <is>
          <t>PhD, Mechanical Engineering, Stanford University, '13 MS, Mechanical Engineering, Stanford University, '08 BSE, Mechanical Engineering, Illinois Institute of Technology, '07</t>
        </is>
      </c>
      <c r="AL89" s="2" t="inlineStr">
        <is>
          <t>Personal Homepage</t>
        </is>
      </c>
      <c r="AM89" s="3">
        <f>HYPERLINK("https://engineering.purdue.edu/StickTronics/", "https://engineering.purdue.edu/StickTronics/")</f>
        <v/>
      </c>
      <c r="AN89" s="2" t="inlineStr"/>
      <c r="AO89" s="2" t="inlineStr"/>
      <c r="AP89" s="2" t="inlineStr"/>
      <c r="AQ89" s="2" t="inlineStr"/>
      <c r="AR89" s="2" t="inlineStr"/>
      <c r="AS89" s="2" t="inlineStr"/>
      <c r="AT89" s="2" t="inlineStr"/>
      <c r="AU89" s="2" t="b">
        <v>1</v>
      </c>
      <c r="AV89" s="3">
        <f>HYPERLINK("https://engineering.purdue.edu/ME/People/ptFaculty", "https://engineering.purdue.edu/ME/People/ptFaculty")</f>
        <v/>
      </c>
    </row>
    <row r="90">
      <c r="A90" s="2" t="inlineStr">
        <is>
          <t>Dianyun Zhang</t>
        </is>
      </c>
      <c r="B90" s="2" t="inlineStr">
        <is>
          <t>Purdue University</t>
        </is>
      </c>
      <c r="C90" s="3">
        <f>HYPERLINK("https://engineering.purdue.edu/AAE/people/ptProfile?resource_id=243165", "https://engineering.purdue.edu/AAE/people/ptProfile?resource_id=243165")</f>
        <v/>
      </c>
      <c r="D90" s="3">
        <f>HYPERLINK("https://scholar.google.com/citations?view_op=search_authors&amp;mauthors=Dianyun%20Zhang%20Purdue%20University", "Google Scholar Search")</f>
        <v/>
      </c>
      <c r="E90" s="2" t="inlineStr">
        <is>
          <t>Associate Professor</t>
        </is>
      </c>
      <c r="F90" s="2" t="inlineStr">
        <is>
          <t>Aeronautics and Astronautics</t>
        </is>
      </c>
      <c r="G90" s="2" t="inlineStr"/>
      <c r="H90" s="3">
        <f>HYPERLINK("mailto:dianyun@purdue.edu", "dianyun@purdue.edu")</f>
        <v/>
      </c>
      <c r="I90" s="2" t="n">
        <v>3</v>
      </c>
      <c r="J90" s="2" t="inlineStr">
        <is>
          <t>🟠 Tier 3: Structures / Materials / Manufacturing</t>
        </is>
      </c>
      <c r="K90" s="2" t="n">
        <v>2</v>
      </c>
      <c r="L90" s="2" t="inlineStr">
        <is>
          <t>composites, materials</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is>
          <t>Zhang’s broad area of research interest is in experimental characterization and computational modeling of lightweight materials, including polymer matrix composites, ceramic matrix composites and bio-inspired materials. Edit var myPronunciation=document.getElementById("pronunciation");
    function play() {
    myPronunciation.play();
    }
    function pause() {
    myPronunciation.pause();
    }</t>
        </is>
      </c>
      <c r="AI90" s="2" t="inlineStr"/>
      <c r="AJ90" s="2" t="inlineStr">
        <is>
          <t>Zhang’s broad area of research interest is in experimental characterization and computational modeling of lightweight materials, including polymer matrix composites, ceramic matrix composites and bio-inspired materials. Edit var myPronunciation=document.getElementById("pronunciation");
    function play() {
    myPronunciation.play();
    }
    function pause() {
    myPronunciation....</t>
        </is>
      </c>
      <c r="AK90" s="2" t="inlineStr"/>
      <c r="AL90" s="2" t="inlineStr">
        <is>
          <t>Indiana Space Grant Consortium</t>
        </is>
      </c>
      <c r="AM90" s="3">
        <f>HYPERLINK("https://insgc.spacegrant.org/", "https://insgc.spacegrant.org/")</f>
        <v/>
      </c>
      <c r="AN90" s="2" t="inlineStr">
        <is>
          <t>Academic INSGC Internships</t>
        </is>
      </c>
      <c r="AO90" s="2" t="inlineStr"/>
      <c r="AP90" s="2" t="inlineStr"/>
      <c r="AQ90" s="2" t="inlineStr">
        <is>
          <t>NASA</t>
        </is>
      </c>
      <c r="AR90" s="2" t="inlineStr"/>
      <c r="AS90" s="2" t="inlineStr"/>
      <c r="AT90" s="2" t="inlineStr">
        <is>
          <t>ARMS 3233</t>
        </is>
      </c>
      <c r="AU90" s="2" t="b">
        <v>1</v>
      </c>
      <c r="AV90" s="3">
        <f>HYPERLINK("https://engineering.purdue.edu/AAE/people/Faculty", "https://engineering.purdue.edu/AAE/people/Faculty")</f>
        <v/>
      </c>
    </row>
    <row r="91">
      <c r="A91" s="2" t="inlineStr">
        <is>
          <t>Fu Zhao</t>
        </is>
      </c>
      <c r="B91" s="2" t="inlineStr">
        <is>
          <t>Purdue University</t>
        </is>
      </c>
      <c r="C91" s="3">
        <f>HYPERLINK("https://engineering.purdue.edu/ME/People/ptProfile?resource_id=29424", "https://engineering.purdue.edu/ME/People/ptProfile?resource_id=29424")</f>
        <v/>
      </c>
      <c r="D91" s="3">
        <f>HYPERLINK("https://scholar.google.com/citations?view_op=search_authors&amp;mauthors=Fu%20Zhao%20Purdue%20University", "Google Scholar Search")</f>
        <v/>
      </c>
      <c r="E91" s="2" t="inlineStr">
        <is>
          <t>Professor of Mechanical Engineering, and Sustainability Engineering &amp; Environmental Engineering</t>
        </is>
      </c>
      <c r="F91" s="2" t="inlineStr">
        <is>
          <t>Mechanical Engineering</t>
        </is>
      </c>
      <c r="G91" s="2" t="inlineStr"/>
      <c r="H91" s="3">
        <f>HYPERLINK("mailto:fzhao@purdue.edu", "fzhao@purdue.edu")</f>
        <v/>
      </c>
      <c r="I91" s="2" t="n">
        <v>3</v>
      </c>
      <c r="J91" s="2" t="inlineStr">
        <is>
          <t>🟠 Tier 3: Structures / Materials / Manufacturing</t>
        </is>
      </c>
      <c r="K91" s="2" t="n">
        <v>2</v>
      </c>
      <c r="L91" s="2" t="inlineStr">
        <is>
          <t>materials, thermodynamics</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is>
          <t>Outstanding Mechanical Engineers Distinguished Engineering Alumni Honorary Doctorates Staff Awards Student Awards Distinguished...</t>
        </is>
      </c>
      <c r="AE91" s="2" t="inlineStr">
        <is>
          <t>We are always looking for motivated students interested in sustainability research. If you're interested in joining our lab, please email Professor Zhao with your CV and research interests.</t>
        </is>
      </c>
      <c r="AF91" s="2" t="inlineStr"/>
      <c r="AG91" s="2" t="inlineStr"/>
      <c r="AH91" s="2" t="inlineStr">
        <is>
          <t>Environment friendly design and life cycle engineering Applications of bio-based materials in manufacturing Fast and low-cost detection of pathogenic microorganisms Biomass thermo-chemical upgrading for liquid and gaseous fuel</t>
        </is>
      </c>
      <c r="AI91" s="2" t="inlineStr">
        <is>
          <t>Thermodynamics Design &amp; Manufacturing</t>
        </is>
      </c>
      <c r="AJ91" s="2" t="inlineStr">
        <is>
          <t>Thermodynamics Design &amp; Manufacturing</t>
        </is>
      </c>
      <c r="AK91" s="2" t="inlineStr">
        <is>
          <t>B.S. Tsinghua University, '93 M.E. Tsinghua University, '96 M.S. University of Michigan, '01 Ph.D. University of Michigan, '05</t>
        </is>
      </c>
      <c r="AL91" s="2" t="inlineStr">
        <is>
          <t>Personal Homepage</t>
        </is>
      </c>
      <c r="AM91" s="3">
        <f>HYPERLINK("https://engineering.purdue.edu/~fzhao/", "https://engineering.purdue.edu/~fzhao/")</f>
        <v/>
      </c>
      <c r="AN91" s="2" t="inlineStr">
        <is>
          <t>We are always looking for motivated students interested in sustainability research. If you're interested in joining our lab, please email Professor Zhao with your CV and research interests.</t>
        </is>
      </c>
      <c r="AO91" s="2" t="inlineStr"/>
      <c r="AP91" s="2" t="inlineStr"/>
      <c r="AQ91" s="2" t="inlineStr">
        <is>
          <t>DOE</t>
        </is>
      </c>
      <c r="AR91" s="2" t="inlineStr"/>
      <c r="AS91" s="2" t="inlineStr"/>
      <c r="AT91" s="2" t="inlineStr">
        <is>
          <t>ME 2194</t>
        </is>
      </c>
      <c r="AU91" s="2" t="b">
        <v>1</v>
      </c>
      <c r="AV91" s="3">
        <f>HYPERLINK("https://engineering.purdue.edu/ME/People/ptFaculty", "https://engineering.purdue.edu/ME/People/ptFaculty")</f>
        <v/>
      </c>
    </row>
    <row r="92">
      <c r="A92" s="2" t="inlineStr">
        <is>
          <t>Heather Liddell</t>
        </is>
      </c>
      <c r="B92" s="2" t="inlineStr">
        <is>
          <t>Purdue University</t>
        </is>
      </c>
      <c r="C92" s="3">
        <f>HYPERLINK("https://engineering.purdue.edu/ME/People/ptProfile?resource_id=286292", "https://engineering.purdue.edu/ME/People/ptProfile?resource_id=286292")</f>
        <v/>
      </c>
      <c r="D92" s="3">
        <f>HYPERLINK("https://scholar.google.com/citations?user=JmlZjPgAAAAJ&amp;hl=en", "Scholar (JmlZjPgAAAAJ)")</f>
        <v/>
      </c>
      <c r="E92" s="2" t="inlineStr">
        <is>
          <t>Assistant Professor of Mechanical Engineering, and Sustainability Engineering &amp; Environmental Engineering</t>
        </is>
      </c>
      <c r="F92" s="2" t="inlineStr">
        <is>
          <t>Mechanical Engineering</t>
        </is>
      </c>
      <c r="G92" s="2" t="inlineStr">
        <is>
          <t>JmlZjPgAAAAJ</t>
        </is>
      </c>
      <c r="H92" s="3">
        <f>HYPERLINK("mailto:liddellh@purdue.edu", "liddellh@purdue.edu")</f>
        <v/>
      </c>
      <c r="I92" s="2" t="n">
        <v>3</v>
      </c>
      <c r="J92" s="2" t="inlineStr">
        <is>
          <t>🟠 Tier 3: Structures / Materials / Manufacturing</t>
        </is>
      </c>
      <c r="K92" s="2" t="n">
        <v>2</v>
      </c>
      <c r="L92" s="2" t="inlineStr">
        <is>
          <t>materials, solid mechanics</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is>
          <t>Outstanding Mechanical Engineers Distinguished Engineering Alumni Honorary Doctorates Staff Awards Student Awards Distinguished...</t>
        </is>
      </c>
      <c r="AE92" s="2" t="inlineStr"/>
      <c r="AF92" s="2" t="inlineStr"/>
      <c r="AG92" s="2" t="inlineStr"/>
      <c r="AH92" s="2" t="inlineStr">
        <is>
          <t>Sustainable manufacturing Environmental life cycle assessment Mechanics of multilayered systems Adhesion in paints and coatings Lightweighting strategies for transportation</t>
        </is>
      </c>
      <c r="AI92" s="2" t="inlineStr">
        <is>
          <t>Design &amp; Manufacturing Solid Mechanics</t>
        </is>
      </c>
      <c r="AJ92" s="2" t="inlineStr">
        <is>
          <t>Design &amp; Manufacturing Solid Mechanics</t>
        </is>
      </c>
      <c r="AK92" s="2" t="inlineStr">
        <is>
          <t>Postdoctoral Research Fellow, U.S. Naval Research Laboratory, 2017-2020 Ph.D., Materials Science, University of Rochester, 2014 M.S., Mechanical Engineering, University of Rochester, 2010 B.S., Mechanical Engineering, University of Rochester, 2008</t>
        </is>
      </c>
      <c r="AL92" s="2" t="inlineStr">
        <is>
          <t>Personal Website</t>
        </is>
      </c>
      <c r="AM92" s="3">
        <f>HYPERLINK("https://hpliddell.github.io/", "https://hpliddell.github.io/")</f>
        <v/>
      </c>
      <c r="AN92" s="2" t="inlineStr"/>
      <c r="AO92" s="2" t="inlineStr"/>
      <c r="AP92" s="2" t="inlineStr"/>
      <c r="AQ92" s="2" t="inlineStr"/>
      <c r="AR92" s="3">
        <f>HYPERLINK("https://github.com/alshedivat/al-folio", "https://github.com/alshedivat/al-folio, https://pages.github.com")</f>
        <v/>
      </c>
      <c r="AS92" s="2" t="inlineStr"/>
      <c r="AT92" s="2" t="inlineStr">
        <is>
          <t>POTR 322C</t>
        </is>
      </c>
      <c r="AU92" s="2" t="b">
        <v>1</v>
      </c>
      <c r="AV92" s="3">
        <f>HYPERLINK("https://engineering.purdue.edu/ME/People/ptFaculty", "https://engineering.purdue.edu/ME/People/ptFaculty")</f>
        <v/>
      </c>
    </row>
    <row r="93">
      <c r="A93" s="2" t="inlineStr">
        <is>
          <t>Luz Sotelo</t>
        </is>
      </c>
      <c r="B93" s="2" t="inlineStr">
        <is>
          <t>Purdue University</t>
        </is>
      </c>
      <c r="C93" s="3">
        <f>HYPERLINK("https://engineering.purdue.edu/ME/People/ptProfile?resource_id=277732", "https://engineering.purdue.edu/ME/People/ptProfile?resource_id=277732")</f>
        <v/>
      </c>
      <c r="D93" s="3">
        <f>HYPERLINK("https://scholar.google.com/citations?user=sUD9j0EAAAAJ", "Scholar (sUD9j0EAAAAJ)")</f>
        <v/>
      </c>
      <c r="E93" s="2" t="inlineStr">
        <is>
          <t>Assistant Professor of Mechanical Engineering</t>
        </is>
      </c>
      <c r="F93" s="2" t="inlineStr">
        <is>
          <t>Mechanical Engineering</t>
        </is>
      </c>
      <c r="G93" s="2" t="inlineStr">
        <is>
          <t>sUD9j0EAAAAJ</t>
        </is>
      </c>
      <c r="H93" s="3">
        <f>HYPERLINK("mailto:lsotelo@purdue.edu", "lsotelo@purdue.edu")</f>
        <v/>
      </c>
      <c r="I93" s="2" t="n">
        <v>3</v>
      </c>
      <c r="J93" s="2" t="inlineStr">
        <is>
          <t>🟠 Tier 3: Structures / Materials / Manufacturing</t>
        </is>
      </c>
      <c r="K93" s="2" t="n">
        <v>2</v>
      </c>
      <c r="L93" s="2" t="inlineStr">
        <is>
          <t>materials, metamaterials</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is>
          <t>Outstanding Mechanical Engineers Distinguished Engineering Alumni Honorary Doctorates Staff Awards Student Awards Distinguished...</t>
        </is>
      </c>
      <c r="AE93" s="2" t="inlineStr"/>
      <c r="AF93" s="2" t="inlineStr"/>
      <c r="AG93" s="2" t="inlineStr"/>
      <c r="AH93" s="2" t="inlineStr">
        <is>
          <t>Multi-process/multi-material additive manufacturing Nondestructive evaluation Advanced acoustic materials and metamaterials Ultrasonics</t>
        </is>
      </c>
      <c r="AI93" s="2" t="inlineStr">
        <is>
          <t>Dynamics &amp; Vibration Design &amp; Manufacturing</t>
        </is>
      </c>
      <c r="AJ93" s="2" t="inlineStr">
        <is>
          <t>Dynamics &amp; Vibration Design &amp; Manufacturing</t>
        </is>
      </c>
      <c r="AK93" s="2" t="inlineStr">
        <is>
          <t>Ph.D. University of Nebraska-Lincoln B.S. University of Texas Rio Grande Valley</t>
        </is>
      </c>
      <c r="AL93" s="2" t="inlineStr">
        <is>
          <t>Google Scholar</t>
        </is>
      </c>
      <c r="AM93" s="3">
        <f>HYPERLINK("https://scholar.google.com/citations?user=sUD9j0EAAAAJ", "https://scholar.google.com/citations?user=sUD9j0EAAAAJ")</f>
        <v/>
      </c>
      <c r="AN93" s="2" t="inlineStr"/>
      <c r="AO93" s="2" t="inlineStr"/>
      <c r="AP93" s="2" t="inlineStr"/>
      <c r="AQ93" s="2" t="inlineStr"/>
      <c r="AR93" s="2" t="inlineStr"/>
      <c r="AS93" s="2" t="inlineStr"/>
      <c r="AT93" s="2" t="inlineStr">
        <is>
          <t>MMRL 1900D, ME 3003F</t>
        </is>
      </c>
      <c r="AU93" s="2" t="b">
        <v>1</v>
      </c>
      <c r="AV93" s="3">
        <f>HYPERLINK("https://engineering.purdue.edu/ME/People/ptFaculty", "https://engineering.purdue.edu/ME/People/ptFaculty")</f>
        <v/>
      </c>
    </row>
    <row r="94">
      <c r="A94" s="2" t="inlineStr">
        <is>
          <t>Marcial Gonzalez</t>
        </is>
      </c>
      <c r="B94" s="2" t="inlineStr">
        <is>
          <t>Purdue University</t>
        </is>
      </c>
      <c r="C94" s="3">
        <f>HYPERLINK("https://engineering.purdue.edu/ME/People/ptProfile?resource_id=106137", "https://engineering.purdue.edu/ME/People/ptProfile?resource_id=106137")</f>
        <v/>
      </c>
      <c r="D94" s="3">
        <f>HYPERLINK("https://scholar.google.com/citations?view_op=search_authors&amp;mauthors=Marcial%20Gonzalez%20Purdue%20University", "Google Scholar Search")</f>
        <v/>
      </c>
      <c r="E94" s="2" t="inlineStr">
        <is>
          <t>Professor of Mechanical Engineering</t>
        </is>
      </c>
      <c r="F94" s="2" t="inlineStr">
        <is>
          <t>Mechanical Engineering</t>
        </is>
      </c>
      <c r="G94" s="2" t="inlineStr"/>
      <c r="H94" s="3">
        <f>HYPERLINK("mailto:marcial-gonzalez@purdue.edu", "marcial-gonzalez@purdue.edu")</f>
        <v/>
      </c>
      <c r="I94" s="2" t="n">
        <v>3</v>
      </c>
      <c r="J94" s="2" t="inlineStr">
        <is>
          <t>🟠 Tier 3: Structures / Materials / Manufacturing</t>
        </is>
      </c>
      <c r="K94" s="2" t="n">
        <v>2</v>
      </c>
      <c r="L94" s="2" t="inlineStr">
        <is>
          <t>materials, solid mechanics</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is>
          <t>Outstanding Mechanical Engineers Distinguished Engineering Alumni Honorary Doctorates Staff Awards Student Awards Distinguished...</t>
        </is>
      </c>
      <c r="AE94" s="2" t="inlineStr"/>
      <c r="AF94" s="2" t="inlineStr"/>
      <c r="AG94" s="2" t="inlineStr"/>
      <c r="AH94" s="2" t="inlineStr">
        <is>
          <t>Predictive, multi-scale modeling and simulation of microstructure evolution in confined granular systems, with an emphasis in manufacturing processes and the relationship between product fabrication and performance. Application areas of interest include: (i) particulate products and processes (e.g., flow, mixing, segregation, consolidation, and compaction of powders), (ii) continuous manufacturing (e.g., Quality by Design, model predictive control, and reduced order models), and (iii) performance of pharmaceutical solid products (e.g., tensile strength, stiffness, swelling and disintegration), biomaterials (e.g., transport and feeding of corn stover) and energetic materials (e.g., deformation and heat generation under quasi-static, near-resonant and impact conditions, and formation and growth of hot spots) materials.</t>
        </is>
      </c>
      <c r="AI94" s="2" t="inlineStr">
        <is>
          <t>Dynamics &amp; Vibration Solid Mechanics</t>
        </is>
      </c>
      <c r="AJ94" s="2" t="inlineStr">
        <is>
          <t>Dynamics &amp; Vibration Solid Mechanics</t>
        </is>
      </c>
      <c r="AK94" s="2" t="inlineStr">
        <is>
          <t>Mechanical Engineer, University of Buenos Aires, '02 Ms.Sc., Aeronautics, California Institute of Technology, '06 Ph.D., Aeronautics (Minor in Materials Science), California Institute of Technology, '11</t>
        </is>
      </c>
      <c r="AL94" s="2" t="inlineStr">
        <is>
          <t>Gonzalez Research Group</t>
        </is>
      </c>
      <c r="AM94" s="3">
        <f>HYPERLINK("http://www.marcialgonzalez.net", "http://www.marcialgonzalez.net")</f>
        <v/>
      </c>
      <c r="AN94" s="2" t="inlineStr"/>
      <c r="AO94" s="2" t="inlineStr"/>
      <c r="AP94" s="2" t="inlineStr"/>
      <c r="AQ94" s="2" t="inlineStr"/>
      <c r="AR94" s="2" t="inlineStr"/>
      <c r="AS94" s="2" t="inlineStr"/>
      <c r="AT94" s="2" t="inlineStr">
        <is>
          <t>ME 3003D</t>
        </is>
      </c>
      <c r="AU94" s="2" t="b">
        <v>1</v>
      </c>
      <c r="AV94" s="3">
        <f>HYPERLINK("https://engineering.purdue.edu/ME/People/ptFaculty", "https://engineering.purdue.edu/ME/People/ptFaculty")</f>
        <v/>
      </c>
    </row>
    <row r="95">
      <c r="A95" s="2" t="inlineStr">
        <is>
          <t>Monique McClain</t>
        </is>
      </c>
      <c r="B95" s="2" t="inlineStr">
        <is>
          <t>Purdue University</t>
        </is>
      </c>
      <c r="C95" s="3">
        <f>HYPERLINK("https://engineering.purdue.edu/ME/Research/People/ptProfile?resource_id=242960&amp;group_id=11989", "https://engineering.purdue.edu/ME/Research/People/ptProfile?resource_id=242960&amp;group_id=11989")</f>
        <v/>
      </c>
      <c r="D95" s="3">
        <f>HYPERLINK("https://scholar.google.com/citations?view_op=search_authors&amp;mauthors=Monique%20McClain%20Purdue%20University", "Google Scholar Search")</f>
        <v/>
      </c>
      <c r="E95" s="2" t="inlineStr">
        <is>
          <t>Assistant Professor of Mechanical Engineering</t>
        </is>
      </c>
      <c r="F95" s="2" t="inlineStr">
        <is>
          <t>Aeronautics and Astronautics</t>
        </is>
      </c>
      <c r="G95" s="2" t="inlineStr"/>
      <c r="H95" s="3">
        <f>HYPERLINK("mailto:mcclain5@purdue.edu", "mcclain5@purdue.edu")</f>
        <v/>
      </c>
      <c r="I95" s="2" t="n">
        <v>3</v>
      </c>
      <c r="J95" s="2" t="inlineStr">
        <is>
          <t>🟠 Tier 3: Structures / Materials / Manufacturing</t>
        </is>
      </c>
      <c r="K95" s="2" t="n">
        <v>2</v>
      </c>
      <c r="L95" s="2" t="inlineStr">
        <is>
          <t>materials, thermodynamics</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is>
          <t>Outstanding Mechanical Engineers Distinguished Engineering Alumni Honorary Doctorates Staff Awards Student Awards Distinguished...</t>
        </is>
      </c>
      <c r="AE95" s="2" t="inlineStr"/>
      <c r="AF95" s="2" t="inlineStr"/>
      <c r="AG95" s="2" t="inlineStr"/>
      <c r="AH95" s="2" t="inlineStr">
        <is>
          <t>Dissimilar material 3D printing Additive manufacturing of energetic materials Additive manufacturing of materials for high temperature applications Quality control in additive manufacturing</t>
        </is>
      </c>
      <c r="AI95" s="2" t="inlineStr">
        <is>
          <t>Thermodynamics Systems, Measurements &amp; Controls</t>
        </is>
      </c>
      <c r="AJ95" s="2" t="inlineStr">
        <is>
          <t>Thermodynamics Systems, Measurements &amp; Controls</t>
        </is>
      </c>
      <c r="AK95" s="2" t="inlineStr">
        <is>
          <t>Ph.D., Purdue University M.S., Purdue University B.S., University of California San Diego</t>
        </is>
      </c>
      <c r="AL95" s="2" t="inlineStr">
        <is>
          <t>McClain Team</t>
        </is>
      </c>
      <c r="AM95" s="3">
        <f>HYPERLINK("https://mcclain.team/", "https://mcclain.team/")</f>
        <v/>
      </c>
      <c r="AN95" s="2" t="inlineStr"/>
      <c r="AO95" s="2" t="inlineStr"/>
      <c r="AP95" s="2" t="inlineStr"/>
      <c r="AQ95" s="2" t="inlineStr"/>
      <c r="AR95" s="2" t="inlineStr"/>
      <c r="AS95" s="2" t="inlineStr"/>
      <c r="AT95" s="2" t="inlineStr"/>
      <c r="AU95" s="2" t="b">
        <v>1</v>
      </c>
      <c r="AV95" s="3">
        <f>HYPERLINK("https://engineering.purdue.edu/AAE/people/Faculty", "https://engineering.purdue.edu/AAE/people/Faculty")</f>
        <v/>
      </c>
    </row>
    <row r="96">
      <c r="A96" s="2" t="inlineStr">
        <is>
          <t>Pavlos Vlachos</t>
        </is>
      </c>
      <c r="B96" s="2" t="inlineStr">
        <is>
          <t>Purdue University</t>
        </is>
      </c>
      <c r="C96" s="3">
        <f>HYPERLINK("https://engineering.purdue.edu/ME/People/ptProfile?resource_id=90129", "https://engineering.purdue.edu/ME/People/ptProfile?resource_id=90129")</f>
        <v/>
      </c>
      <c r="D96" s="3">
        <f>HYPERLINK("https://scholar.google.com/citations?view_op=search_authors&amp;mauthors=Pavlos%20Vlachos%20Purdue%20University", "Google Scholar Search")</f>
        <v/>
      </c>
      <c r="E96" s="2" t="inlineStr">
        <is>
          <t>St. Vincent Health Professor of Healthcare Engineering; Director of the Regenstrief Center for Healthcare Engineering</t>
        </is>
      </c>
      <c r="F96" s="2" t="inlineStr">
        <is>
          <t>Mechanical Engineering</t>
        </is>
      </c>
      <c r="G96" s="2" t="inlineStr"/>
      <c r="H96" s="3">
        <f>HYPERLINK("mailto:pvlachos@purdue.edu", "pvlachos@purdue.edu")</f>
        <v/>
      </c>
      <c r="I96" s="2" t="n">
        <v>3</v>
      </c>
      <c r="J96" s="2" t="inlineStr">
        <is>
          <t>🟠 Tier 3: Structures / Materials / Manufacturing</t>
        </is>
      </c>
      <c r="K96" s="2" t="n">
        <v>2</v>
      </c>
      <c r="L96" s="2" t="inlineStr">
        <is>
          <t>biofluid, fluid mechanics</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is>
          <t>Outstanding Mechanical Engineers Distinguished Engineering Alumni Honorary Doctorates Staff Awards Student Awards Distinguished...</t>
        </is>
      </c>
      <c r="AE96" s="2" t="inlineStr"/>
      <c r="AF96" s="2" t="inlineStr"/>
      <c r="AG96" s="2" t="inlineStr"/>
      <c r="AH96" s="2" t="inlineStr">
        <is>
          <t>Measurement science and instrumentation Particle image velocimetry Quantification of uncertainty Multi-phase flows Flow induced vibrations and hydro-kinetic energy Biological flows Biofluid mechanics Biomedical cardiovascular devices Heart failure and diastolic dysfunction</t>
        </is>
      </c>
      <c r="AI96" s="2" t="inlineStr">
        <is>
          <t>Fluid Mechanics</t>
        </is>
      </c>
      <c r="AJ96" s="2" t="inlineStr">
        <is>
          <t>Fluid Mechanics</t>
        </is>
      </c>
      <c r="AK96" s="2" t="inlineStr">
        <is>
          <t>Diploma, Mechanical Engineering, National Technical University of Athens (NTUA), Greece, '95 M.S. Engineering Science and Mechanics, Virginia Tech, '98 Ph.D., Engineering Science and Mechanics, Virginia Tech, '00</t>
        </is>
      </c>
      <c r="AL96" s="2" t="inlineStr">
        <is>
          <t>Personal Homepage</t>
        </is>
      </c>
      <c r="AM96" s="3">
        <f>HYPERLINK("https://vlachosresearch.org/", "https://vlachosresearch.org/")</f>
        <v/>
      </c>
      <c r="AN96" s="2" t="inlineStr"/>
      <c r="AO96" s="2" t="inlineStr"/>
      <c r="AP96" s="2" t="inlineStr">
        <is>
          <t>PIV, Particle Image Velocimetry, Schlieren</t>
        </is>
      </c>
      <c r="AQ96" s="2" t="inlineStr"/>
      <c r="AR96" s="2" t="inlineStr"/>
      <c r="AS96" s="2" t="inlineStr"/>
      <c r="AT96" s="2" t="inlineStr"/>
      <c r="AU96" s="2" t="b">
        <v>1</v>
      </c>
      <c r="AV96" s="3">
        <f>HYPERLINK("https://engineering.purdue.edu/ME/People/ptFaculty", "https://engineering.purdue.edu/ME/People/ptFaculty")</f>
        <v/>
      </c>
    </row>
    <row r="97">
      <c r="A97" s="2" t="inlineStr">
        <is>
          <t>Shengfeng Yang</t>
        </is>
      </c>
      <c r="B97" s="2" t="inlineStr">
        <is>
          <t>Purdue University</t>
        </is>
      </c>
      <c r="C97" s="3">
        <f>HYPERLINK("https://engineering.purdue.edu/ME/People/ptProfile?resource_id=294615", "https://engineering.purdue.edu/ME/People/ptProfile?resource_id=294615")</f>
        <v/>
      </c>
      <c r="D97" s="3">
        <f>HYPERLINK("https://scholar.google.com/citations?view_op=search_authors&amp;mauthors=Shengfeng%20Yang%20Purdue%20University", "Google Scholar Search")</f>
        <v/>
      </c>
      <c r="E97" s="2" t="inlineStr">
        <is>
          <t>Assistant Professor of Mechanical Engineering</t>
        </is>
      </c>
      <c r="F97" s="2" t="inlineStr">
        <is>
          <t>Mechanical Engineering</t>
        </is>
      </c>
      <c r="G97" s="2" t="inlineStr"/>
      <c r="H97" s="3">
        <f>HYPERLINK("mailto:shengfengyang@purdue.edu", "shengfengyang@purdue.edu")</f>
        <v/>
      </c>
      <c r="I97" s="2" t="n">
        <v>3</v>
      </c>
      <c r="J97" s="2" t="inlineStr">
        <is>
          <t>🟠 Tier 3: Structures / Materials / Manufacturing</t>
        </is>
      </c>
      <c r="K97" s="2" t="n">
        <v>2</v>
      </c>
      <c r="L97" s="2" t="inlineStr">
        <is>
          <t>materials, solid mechanics</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is>
          <t>Outstanding Mechanical Engineers Distinguished Engineering Alumni Honorary Doctorates Staff Awards Student Awards Distinguished...</t>
        </is>
      </c>
      <c r="AE97" s="2" t="inlineStr"/>
      <c r="AF97" s="2" t="inlineStr"/>
      <c r="AG97" s="2" t="inlineStr"/>
      <c r="AH97" s="2" t="inlineStr">
        <is>
          <t>Semiconductor and Microelectronics Machine Learning and Artificial Intelligence Computational Modeling and Simulation Interfaces and Defects in Materials Materials for Sustainable Energy</t>
        </is>
      </c>
      <c r="AI97" s="2" t="inlineStr"/>
      <c r="AJ97" s="2" t="inlineStr">
        <is>
          <t>Semiconductor and Microelectronics Machine Learning and Artificial Intelligence Computational Modeling and Simulation Interfaces and Defects in Materials Materials for Sustainable Energy</t>
        </is>
      </c>
      <c r="AK97" s="2" t="inlineStr">
        <is>
          <t>Ph.D. Mechanical Engineering, University of Florida, 12/2014 M. S. Computer Science, The University of Texas at Austin, 05/2024 M.S. Solid Mechanics, Huazhong University of Science and Technology, 06/2010 B.S. Engineering Mechanics, Huazhong University of Science and Technology, 06/2008</t>
        </is>
      </c>
      <c r="AL97" s="2" t="inlineStr">
        <is>
          <t>Personal Homepage</t>
        </is>
      </c>
      <c r="AM97" s="3">
        <f>HYPERLINK("https://shengfeng-yang.github.io/", "https://shengfeng-yang.github.io/")</f>
        <v/>
      </c>
      <c r="AN97" s="2" t="inlineStr"/>
      <c r="AO97" s="2" t="inlineStr"/>
      <c r="AP97" s="2" t="inlineStr"/>
      <c r="AQ97" s="2" t="inlineStr"/>
      <c r="AR97" s="3">
        <f>HYPERLINK("https://github.com/academicpages/academicpages.github.io", "https://github.com/academicpages/academicpages.github.io")</f>
        <v/>
      </c>
      <c r="AS97" s="2" t="inlineStr"/>
      <c r="AT97" s="2" t="inlineStr"/>
      <c r="AU97" s="2" t="b">
        <v>1</v>
      </c>
      <c r="AV97" s="3">
        <f>HYPERLINK("https://engineering.purdue.edu/ME/People/ptFaculty", "https://engineering.purdue.edu/ME/People/ptFaculty")</f>
        <v/>
      </c>
    </row>
    <row r="98">
      <c r="A98" s="2" t="inlineStr">
        <is>
          <t>Thomas Siegmund</t>
        </is>
      </c>
      <c r="B98" s="2" t="inlineStr">
        <is>
          <t>Purdue University</t>
        </is>
      </c>
      <c r="C98" s="3">
        <f>HYPERLINK("https://engineering.purdue.edu/ME/People/ptProfile?resource_id=12303", "https://engineering.purdue.edu/ME/People/ptProfile?resource_id=12303")</f>
        <v/>
      </c>
      <c r="D98" s="3">
        <f>HYPERLINK("https://scholar.google.com/citations?hl=en&amp;user=axgXCjEAAAAJ", "Scholar (axgXCjEAAAAJ)")</f>
        <v/>
      </c>
      <c r="E98" s="2" t="inlineStr">
        <is>
          <t>Professor of Mechanical Engineering</t>
        </is>
      </c>
      <c r="F98" s="2" t="inlineStr">
        <is>
          <t>Mechanical Engineering</t>
        </is>
      </c>
      <c r="G98" s="2" t="inlineStr">
        <is>
          <t>axgXCjEAAAAJ</t>
        </is>
      </c>
      <c r="H98" s="3">
        <f>HYPERLINK("mailto:siegmund@purdue.edu", "siegmund@purdue.edu")</f>
        <v/>
      </c>
      <c r="I98" s="2" t="n">
        <v>3</v>
      </c>
      <c r="J98" s="2" t="inlineStr">
        <is>
          <t>🟠 Tier 3: Structures / Materials / Manufacturing</t>
        </is>
      </c>
      <c r="K98" s="2" t="n">
        <v>2</v>
      </c>
      <c r="L98" s="2" t="inlineStr">
        <is>
          <t>materials, solid mechanics</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is>
          <t>Outstanding Mechanical Engineers Distinguished Engineering Alumni Honorary Doctorates Staff Awards Student Awards Distinguished...</t>
        </is>
      </c>
      <c r="AE98" s="2" t="inlineStr">
        <is>
          <t>Contact Purdue Engineering MarCom regarding any accessibility issues | Accessibility Resources | Contact Us | Email webmaster-eng@purdue.edu to report a problem</t>
        </is>
      </c>
      <c r="AF98" s="2" t="inlineStr"/>
      <c r="AG98" s="2" t="inlineStr"/>
      <c r="AH98" s="2" t="inlineStr">
        <is>
          <t>Solid mechanics, multiscale and multiphysics modeling. Design of engineering material systems. Fracture and fatigue. Microarchitectured materials. Biomechanics of soft and hard tissues.</t>
        </is>
      </c>
      <c r="AI98" s="2" t="inlineStr">
        <is>
          <t>Solid Mechanics</t>
        </is>
      </c>
      <c r="AJ98" s="2" t="inlineStr">
        <is>
          <t>Solid Mechanics</t>
        </is>
      </c>
      <c r="AK98" s="2" t="inlineStr">
        <is>
          <t>Diplom Ingenieur University of Leoben, Austria, '90 Ph.D. University of Leoben, Austria, '94</t>
        </is>
      </c>
      <c r="AL98" s="2" t="inlineStr">
        <is>
          <t>Lab Website</t>
        </is>
      </c>
      <c r="AM98" s="3">
        <f>HYPERLINK("https://engineering.purdue.edu/MYMECH", "https://engineering.purdue.edu/MYMECH")</f>
        <v/>
      </c>
      <c r="AN98" s="2" t="inlineStr"/>
      <c r="AO98" s="2" t="inlineStr"/>
      <c r="AP98" s="2" t="inlineStr"/>
      <c r="AQ98" s="2" t="inlineStr">
        <is>
          <t>DOE</t>
        </is>
      </c>
      <c r="AR98" s="2" t="inlineStr"/>
      <c r="AS98" s="2" t="inlineStr"/>
      <c r="AT98" s="2" t="inlineStr">
        <is>
          <t>ME 3001</t>
        </is>
      </c>
      <c r="AU98" s="2" t="b">
        <v>1</v>
      </c>
      <c r="AV98" s="3">
        <f>HYPERLINK("https://engineering.purdue.edu/ME/People/ptFaculty", "https://engineering.purdue.edu/ME/People/ptFaculty")</f>
        <v/>
      </c>
    </row>
    <row r="99">
      <c r="A99" s="2" t="inlineStr">
        <is>
          <t>Wenbin Yu</t>
        </is>
      </c>
      <c r="B99" s="2" t="inlineStr">
        <is>
          <t>Purdue University</t>
        </is>
      </c>
      <c r="C99" s="3">
        <f>HYPERLINK("https://engineering.purdue.edu/AAE/people/ptProfile?resource_id=93761", "https://engineering.purdue.edu/AAE/people/ptProfile?resource_id=93761")</f>
        <v/>
      </c>
      <c r="D99" s="3">
        <f>HYPERLINK("https://scholar.google.com/citations?view_op=search_authors&amp;mauthors=Wenbin%20Yu%20Purdue%20University", "Google Scholar Search")</f>
        <v/>
      </c>
      <c r="E99" s="2" t="inlineStr">
        <is>
          <t>Milton Clauser Professor of Aeronautics and Astronautics</t>
        </is>
      </c>
      <c r="F99" s="2" t="inlineStr">
        <is>
          <t>Aeronautics and Astronautics</t>
        </is>
      </c>
      <c r="G99" s="2" t="inlineStr"/>
      <c r="H99" s="3">
        <f>HYPERLINK("mailto:wenbinyu@purdue.edu", "wenbinyu@purdue.edu")</f>
        <v/>
      </c>
      <c r="I99" s="2" t="n">
        <v>3</v>
      </c>
      <c r="J99" s="2" t="inlineStr">
        <is>
          <t>🟠 Tier 3: Structures / Materials / Manufacturing</t>
        </is>
      </c>
      <c r="K99" s="2" t="n">
        <v>2</v>
      </c>
      <c r="L99" s="2" t="inlineStr">
        <is>
          <t>aerospace, materials</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is>
          <t>Editorial board, Journal of Mechanics of Materials and Structures, 2025- ASC Award in Composites, ASC, 2025 Distinguished Senio...</t>
        </is>
      </c>
      <c r="AE99" s="2" t="inlineStr"/>
      <c r="AF99" s="2" t="inlineStr"/>
      <c r="AG99" s="2" t="inlineStr"/>
      <c r="AH99" s="2" t="inlineStr">
        <is>
          <t>Multiscale Modeling Structural Mechanics Micromechanics Computational Mechanics Multiphysics Modeling Advanced Materials/Structures</t>
        </is>
      </c>
      <c r="AI99" s="2" t="inlineStr"/>
      <c r="AJ99" s="2" t="inlineStr">
        <is>
          <t>Multiscale Modeling Structural Mechanics Micromechanics Computational Mechanics Multiphysics Modeling Advanced Materials/Structures</t>
        </is>
      </c>
      <c r="AK99" s="2" t="inlineStr">
        <is>
          <t>Georgia Tech, Aerospace Engineering, MS, 2000; PhD, 2002 Tsinghua University, China, Engineering Mechanics, MS, 1998 North China University of Water Conservancy and Hydroelectric Power, China, Hydraulic Engineering, BS, 1995</t>
        </is>
      </c>
      <c r="AL99" s="2" t="inlineStr">
        <is>
          <t>Indiana Space Grant Consortium</t>
        </is>
      </c>
      <c r="AM99" s="3">
        <f>HYPERLINK("https://insgc.spacegrant.org/", "https://insgc.spacegrant.org/")</f>
        <v/>
      </c>
      <c r="AN99" s="2" t="inlineStr">
        <is>
          <t>Academic INSGC Internships</t>
        </is>
      </c>
      <c r="AO99" s="2" t="inlineStr"/>
      <c r="AP99" s="2" t="inlineStr"/>
      <c r="AQ99" s="2" t="inlineStr">
        <is>
          <t>NASA</t>
        </is>
      </c>
      <c r="AR99" s="2" t="inlineStr"/>
      <c r="AS99" s="2" t="inlineStr"/>
      <c r="AT99" s="2" t="inlineStr">
        <is>
          <t>ARMS 3321</t>
        </is>
      </c>
      <c r="AU99" s="2" t="b">
        <v>1</v>
      </c>
      <c r="AV99" s="3">
        <f>HYPERLINK("https://engineering.purdue.edu/AAE/people/Faculty", "https://engineering.purdue.edu/AAE/people/Faculty")</f>
        <v/>
      </c>
    </row>
    <row r="100">
      <c r="A100" s="2" t="inlineStr">
        <is>
          <t>Zherui Martinez-Guo</t>
        </is>
      </c>
      <c r="B100" s="2" t="inlineStr">
        <is>
          <t>Purdue University</t>
        </is>
      </c>
      <c r="C100" s="3">
        <f>HYPERLINK("https://engineering.purdue.edu/AAE/people/ptProfile?resource_id=112177", "https://engineering.purdue.edu/AAE/people/ptProfile?resource_id=112177")</f>
        <v/>
      </c>
      <c r="D100" s="3">
        <f>HYPERLINK("https://scholar.google.com/citations?view_op=search_authors&amp;mauthors=Zherui%20Martinez-Guo%20Purdue%20University", "Google Scholar Search")</f>
        <v/>
      </c>
      <c r="E100" s="2" t="inlineStr">
        <is>
          <t>Assistant Professor of Aeronautics and Astronautics</t>
        </is>
      </c>
      <c r="F100" s="2" t="inlineStr">
        <is>
          <t>Aeronautics and Astronautics</t>
        </is>
      </c>
      <c r="G100" s="2" t="inlineStr"/>
      <c r="H100" s="3">
        <f>HYPERLINK("mailto:zmg@purdue.edu", "zmg@purdue.edu")</f>
        <v/>
      </c>
      <c r="I100" s="2" t="n">
        <v>3</v>
      </c>
      <c r="J100" s="2" t="inlineStr">
        <is>
          <t>🟠 Tier 3: Structures / Materials / Manufacturing</t>
        </is>
      </c>
      <c r="K100" s="2" t="n">
        <v>2</v>
      </c>
      <c r="L100" s="2" t="inlineStr">
        <is>
          <t>materials, solid mechanics</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is>
          <t>2020 Idaho National Laboratory (INL) Distinguished Postdoctoral Associate, Russell L. Heath Award 2019 15th Hypervelocity Impac...</t>
        </is>
      </c>
      <c r="AE100" s="2" t="inlineStr"/>
      <c r="AF100" s="2" t="inlineStr"/>
      <c r="AG100" s="2" t="inlineStr"/>
      <c r="AH100" s="2" t="inlineStr">
        <is>
          <t>Multi-disciplinary research combines experimental efforts in impact dynamics, solid mechanics, and advanced materials characterization methods and diagnostics integrated with synchrotron X-rays to develop design optimization and materials selection criteria for target materials under ballistic/hypervelocity impact and aeroengine particle erosion.</t>
        </is>
      </c>
      <c r="AI100" s="2" t="inlineStr">
        <is>
          <t>Solid particle erosion Ballistic/Hypervelocity impact Energetic materials Armor systems optimization Synchrotron X-rays</t>
        </is>
      </c>
      <c r="AJ100" s="2" t="inlineStr">
        <is>
          <t>Solid particle erosion Ballistic/Hypervelocity impact Energetic materials Armor systems optimization Synchrotron X-rays</t>
        </is>
      </c>
      <c r="AK100" s="2" t="inlineStr">
        <is>
          <t>2020 Ph.D. AAE, Purdue University</t>
        </is>
      </c>
      <c r="AL100" s="2" t="inlineStr">
        <is>
          <t>Indiana Space Grant Consortium</t>
        </is>
      </c>
      <c r="AM100" s="3">
        <f>HYPERLINK("https://insgc.spacegrant.org/", "https://insgc.spacegrant.org/")</f>
        <v/>
      </c>
      <c r="AN100" s="2" t="inlineStr">
        <is>
          <t>Academic INSGC Internships</t>
        </is>
      </c>
      <c r="AO100" s="2" t="inlineStr"/>
      <c r="AP100" s="2" t="inlineStr"/>
      <c r="AQ100" s="2" t="inlineStr">
        <is>
          <t>NASA</t>
        </is>
      </c>
      <c r="AR100" s="2" t="inlineStr"/>
      <c r="AS100" s="2" t="inlineStr"/>
      <c r="AT100" s="2" t="inlineStr"/>
      <c r="AU100" s="2" t="b">
        <v>1</v>
      </c>
      <c r="AV100" s="3">
        <f>HYPERLINK("https://engineering.purdue.edu/AAE/people/Faculty", "https://engineering.purdue.edu/AAE/people/Faculty")</f>
        <v/>
      </c>
    </row>
    <row r="101">
      <c r="A101" s="2" t="inlineStr">
        <is>
          <t>Ajay Malshe</t>
        </is>
      </c>
      <c r="B101" s="2" t="inlineStr">
        <is>
          <t>Purdue University</t>
        </is>
      </c>
      <c r="C101" s="3">
        <f>HYPERLINK("https://engineering.purdue.edu/ME/People/ptProfile?resource_id=232598", "https://engineering.purdue.edu/ME/People/ptProfile?resource_id=232598")</f>
        <v/>
      </c>
      <c r="D101" s="3">
        <f>HYPERLINK("https://scholar.google.com/citations?view_op=search_authors&amp;mauthors=Ajay%20Malshe%20Purdue%20University", "Google Scholar Search")</f>
        <v/>
      </c>
      <c r="E101" s="2" t="inlineStr">
        <is>
          <t>R. Eugene and Susie E. Goodson Distinguished Professor of Mechanical Engineering; President’s Fellow; Director, Manufacturing and Materials Research Laboratories (MMRL); Co-Director, eXcellence in Manufacturing and Operations (XMO)</t>
        </is>
      </c>
      <c r="F101" s="2" t="inlineStr">
        <is>
          <t>Mechanical Engineering</t>
        </is>
      </c>
      <c r="G101" s="2" t="inlineStr"/>
      <c r="H101" s="3">
        <f>HYPERLINK("mailto:amalshe@purdue.edu", "amalshe@purdue.edu")</f>
        <v/>
      </c>
      <c r="I101" s="2" t="n">
        <v>3</v>
      </c>
      <c r="J101" s="2" t="inlineStr">
        <is>
          <t>🟠 Tier 3: Structures / Materials / Manufacturing</t>
        </is>
      </c>
      <c r="K101" s="2" t="n">
        <v>1</v>
      </c>
      <c r="L101" s="2" t="inlineStr">
        <is>
          <t>materials</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is>
          <t>Outstanding Mechanical Engineers Distinguished Engineering Alumni Honorary Doctorates Staff Awards Student Awards Distinguished...</t>
        </is>
      </c>
      <c r="AE101" s="2" t="inlineStr"/>
      <c r="AF101" s="2" t="inlineStr"/>
      <c r="AG101" s="2" t="inlineStr"/>
      <c r="AH101" s="2" t="inlineStr">
        <is>
          <t>Bio-inspired designs Surface engineering and multifunctional materials Convergent Manufacturing for Industry 5.0: hybrid manufacturing processes, heterogeneous materials, and bio-inspired designs Systems integration, productization, and production Heavy-duty machines: machining, lubrication, and corrosion Heterogeneous and hierarchical integration (mechanical-electrical-optical and nano-micro-meso-macro) Precision agricultural and food: cellular agriculture, vertical farming, micro-production, and resilience Frugal engineering, social innovations, and social equity Manufacturing in space</t>
        </is>
      </c>
      <c r="AI101" s="2" t="inlineStr">
        <is>
          <t>Design &amp; Manufacturing</t>
        </is>
      </c>
      <c r="AJ101" s="2" t="inlineStr">
        <is>
          <t>Design &amp; Manufacturing</t>
        </is>
      </c>
      <c r="AK101" s="2" t="inlineStr"/>
      <c r="AL101" s="2" t="inlineStr">
        <is>
          <t>LinkedIn</t>
        </is>
      </c>
      <c r="AM101" s="3">
        <f>HYPERLINK("https://www.linkedin.com/in/ajay-malshe/", "https://www.linkedin.com/in/ajay-malshe/")</f>
        <v/>
      </c>
      <c r="AN101" s="2" t="inlineStr"/>
      <c r="AO101" s="2" t="inlineStr"/>
      <c r="AP101" s="2" t="inlineStr"/>
      <c r="AQ101" s="2" t="inlineStr"/>
      <c r="AR101" s="2" t="inlineStr"/>
      <c r="AS101" s="2" t="inlineStr"/>
      <c r="AT101" s="2" t="inlineStr">
        <is>
          <t>ME 3003G</t>
        </is>
      </c>
      <c r="AU101" s="2" t="b">
        <v>1</v>
      </c>
      <c r="AV101" s="3">
        <f>HYPERLINK("https://engineering.purdue.edu/ME/People/ptFaculty", "https://engineering.purdue.edu/ME/People/ptFaculty")</f>
        <v/>
      </c>
    </row>
    <row r="102">
      <c r="A102" s="2" t="inlineStr">
        <is>
          <t>Alan Jones</t>
        </is>
      </c>
      <c r="B102" s="2" t="inlineStr">
        <is>
          <t>Purdue University</t>
        </is>
      </c>
      <c r="C102" s="3">
        <f>HYPERLINK("https://engineering.purdue.edu/ME/People/ptProfile?resource_id=294597", "https://engineering.purdue.edu/ME/People/ptProfile?resource_id=294597")</f>
        <v/>
      </c>
      <c r="D102" s="3">
        <f>HYPERLINK("https://scholar.google.com/citations?view_op=search_authors&amp;mauthors=Alan%20Jones%20Purdue%20University", "Google Scholar Search")</f>
        <v/>
      </c>
      <c r="E102" s="2" t="inlineStr">
        <is>
          <t>Associate Professor of Mechanical Engineering</t>
        </is>
      </c>
      <c r="F102" s="2" t="inlineStr">
        <is>
          <t>Mechanical Engineering</t>
        </is>
      </c>
      <c r="G102" s="2" t="inlineStr"/>
      <c r="H102" s="3">
        <f>HYPERLINK("mailto:jone1405@purdue.edu", "jone1405@purdue.edu")</f>
        <v/>
      </c>
      <c r="I102" s="2" t="n">
        <v>3</v>
      </c>
      <c r="J102" s="2" t="inlineStr">
        <is>
          <t>🟠 Tier 3: Structures / Materials / Manufacturing</t>
        </is>
      </c>
      <c r="K102" s="2" t="n">
        <v>1</v>
      </c>
      <c r="L102" s="2" t="inlineStr">
        <is>
          <t>materials</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is>
          <t>Outstanding Mechanical Engineers Distinguished Engineering Alumni Honorary Doctorates Staff Awards Student Awards Distinguished...</t>
        </is>
      </c>
      <c r="AE102" s="2" t="inlineStr"/>
      <c r="AF102" s="2" t="inlineStr"/>
      <c r="AG102" s="2" t="inlineStr"/>
      <c r="AH102" s="2" t="inlineStr">
        <is>
          <t>Mechanics and Materials Multifunctional Materials Self-Healing Polymers Fracture Fatigue Elastomers Degradation of Materials Electrolyte Membranes Experimental Mechanics</t>
        </is>
      </c>
      <c r="AI102" s="2" t="inlineStr"/>
      <c r="AJ102" s="2" t="inlineStr">
        <is>
          <t>Mechanics and Materials Multifunctional Materials Self-Healing Polymers Fracture Fatigue Elastomers Degradation of Materials Electrolyte Membranes Experimental Mechanics</t>
        </is>
      </c>
      <c r="AK102" s="2" t="inlineStr">
        <is>
          <t>Ph.D. Mechanical Engineering, 07/2003</t>
        </is>
      </c>
      <c r="AL102" s="2" t="inlineStr">
        <is>
          <t>Indiana Space Grant Consortium</t>
        </is>
      </c>
      <c r="AM102" s="3">
        <f>HYPERLINK("https://insgc.spacegrant.org/", "https://insgc.spacegrant.org/")</f>
        <v/>
      </c>
      <c r="AN102" s="2" t="inlineStr">
        <is>
          <t>Academic INSGC Internships</t>
        </is>
      </c>
      <c r="AO102" s="2" t="inlineStr"/>
      <c r="AP102" s="2" t="inlineStr"/>
      <c r="AQ102" s="2" t="inlineStr">
        <is>
          <t>NASA</t>
        </is>
      </c>
      <c r="AR102" s="2" t="inlineStr"/>
      <c r="AS102" s="2" t="inlineStr"/>
      <c r="AT102" s="2" t="inlineStr"/>
      <c r="AU102" s="2" t="b">
        <v>1</v>
      </c>
      <c r="AV102" s="3">
        <f>HYPERLINK("https://engineering.purdue.edu/ME/People/ptFaculty", "https://engineering.purdue.edu/ME/People/ptFaculty")</f>
        <v/>
      </c>
    </row>
    <row r="103">
      <c r="A103" s="2" t="inlineStr">
        <is>
          <t>Alex Chortos</t>
        </is>
      </c>
      <c r="B103" s="2" t="inlineStr">
        <is>
          <t>Purdue University</t>
        </is>
      </c>
      <c r="C103" s="3">
        <f>HYPERLINK("https://engineering.purdue.edu/ME/People/ptProfile?resource_id=243743", "https://engineering.purdue.edu/ME/People/ptProfile?resource_id=243743")</f>
        <v/>
      </c>
      <c r="D103" s="3">
        <f>HYPERLINK("https://scholar.google.com/citations?view_op=search_authors&amp;mauthors=Alex%20Chortos%20Purdue%20University", "Google Scholar Search")</f>
        <v/>
      </c>
      <c r="E103" s="2" t="inlineStr">
        <is>
          <t>Assistant Professor of Mechanical Engineering</t>
        </is>
      </c>
      <c r="F103" s="2" t="inlineStr">
        <is>
          <t>Mechanical Engineering</t>
        </is>
      </c>
      <c r="G103" s="2" t="inlineStr"/>
      <c r="H103" s="3">
        <f>HYPERLINK("mailto:achortos@purdue.edu", "achortos@purdue.edu")</f>
        <v/>
      </c>
      <c r="I103" s="2" t="n">
        <v>3</v>
      </c>
      <c r="J103" s="2" t="inlineStr">
        <is>
          <t>🟠 Tier 3: Structures / Materials / Manufacturing</t>
        </is>
      </c>
      <c r="K103" s="2" t="n">
        <v>1</v>
      </c>
      <c r="L103" s="2" t="inlineStr">
        <is>
          <t>solid mechanics</t>
        </is>
      </c>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is>
          <t>Outstanding Mechanical Engineers Distinguished Engineering Alumni Honorary Doctorates Staff Awards Student Awards Distinguished...</t>
        </is>
      </c>
      <c r="AE103" s="2" t="inlineStr"/>
      <c r="AF103" s="2" t="inlineStr"/>
      <c r="AG103" s="2" t="inlineStr"/>
      <c r="AH103" s="2" t="inlineStr">
        <is>
          <t>Bio-inspired and mechanically adaptive electronics Multimaterial additive fabrication Soft actuators (artificial muscles) Wearable actuators (haptics) Polymer design and polymer physics Deformation sensors and transistors</t>
        </is>
      </c>
      <c r="AI103" s="2" t="inlineStr">
        <is>
          <t>Design &amp; Manufacturing Solid Mechanics</t>
        </is>
      </c>
      <c r="AJ103" s="2" t="inlineStr">
        <is>
          <t>Design &amp; Manufacturing Solid Mechanics</t>
        </is>
      </c>
      <c r="AK103" s="2" t="inlineStr">
        <is>
          <t>Postdoctoral Fellow, Harvard University, 2020 Ph.D., Stanford University, 2017 B.A.Sc., University of Waterloo, 2011</t>
        </is>
      </c>
      <c r="AL103" s="2" t="inlineStr">
        <is>
          <t>Bionic Interfaces Prototyping Lab</t>
        </is>
      </c>
      <c r="AM103" s="3">
        <f>HYPERLINK("https://www.alexchortos.com/", "https://www.alexchortos.com/")</f>
        <v/>
      </c>
      <c r="AN103" s="2" t="inlineStr"/>
      <c r="AO103" s="2" t="inlineStr"/>
      <c r="AP103" s="2" t="inlineStr"/>
      <c r="AQ103" s="2" t="inlineStr"/>
      <c r="AR103" s="2" t="inlineStr"/>
      <c r="AS103" s="2" t="inlineStr"/>
      <c r="AT103" s="2" t="inlineStr">
        <is>
          <t>ME 3003A</t>
        </is>
      </c>
      <c r="AU103" s="2" t="b">
        <v>1</v>
      </c>
      <c r="AV103" s="3">
        <f>HYPERLINK("https://engineering.purdue.edu/ME/People/ptFaculty", "https://engineering.purdue.edu/ME/People/ptFaculty")</f>
        <v/>
      </c>
    </row>
    <row r="104">
      <c r="A104" s="2" t="inlineStr">
        <is>
          <t>Andres Tovar</t>
        </is>
      </c>
      <c r="B104" s="2" t="inlineStr">
        <is>
          <t>Purdue University</t>
        </is>
      </c>
      <c r="C104" s="3">
        <f>HYPERLINK("https://engineering.purdue.edu/ME/People/ptProfile?resource_id=294607", "https://engineering.purdue.edu/ME/People/ptProfile?resource_id=294607")</f>
        <v/>
      </c>
      <c r="D104" s="3">
        <f>HYPERLINK("https://scholar.google.com/citations?user=z684NIUAAAAJ&amp;hl", "Scholar (z684NIUAAAAJ)")</f>
        <v/>
      </c>
      <c r="E104" s="2" t="inlineStr">
        <is>
          <t>Professor of Mechanical Engineering</t>
        </is>
      </c>
      <c r="F104" s="2" t="inlineStr">
        <is>
          <t>Mechanical Engineering</t>
        </is>
      </c>
      <c r="G104" s="2" t="inlineStr">
        <is>
          <t>z684NIUAAAAJ</t>
        </is>
      </c>
      <c r="H104" s="3">
        <f>HYPERLINK("mailto:tovara@purdue.edu", "tovara@purdue.edu")</f>
        <v/>
      </c>
      <c r="I104" s="2" t="n">
        <v>3</v>
      </c>
      <c r="J104" s="2" t="inlineStr">
        <is>
          <t>🟠 Tier 3: Structures / Materials / Manufacturing</t>
        </is>
      </c>
      <c r="K104" s="2" t="n">
        <v>1</v>
      </c>
      <c r="L104" s="2" t="inlineStr">
        <is>
          <t>aerospace</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is>
          <t>Outstanding Mechanical Engineers Distinguished Engineering Alumni Honorary Doctorates Staff Awards Student Awards Distinguished...</t>
        </is>
      </c>
      <c r="AE104" s="2" t="inlineStr">
        <is>
          <t>Phone: +1 (765) 494-3975 Email: future-engineers@purdue.edu | Phone: +1 (765) 494-4873 Email: EngrGrad@purdue.edu</t>
        </is>
      </c>
      <c r="AF104" s="2" t="inlineStr"/>
      <c r="AG104" s="2" t="inlineStr"/>
      <c r="AH104" s="2" t="inlineStr">
        <is>
          <t>Topology Optimization Bayesian Optimization Additive Manufacturing Compostable Plastics Crashworthiness and Blast Mitigation</t>
        </is>
      </c>
      <c r="AI104" s="2" t="inlineStr"/>
      <c r="AJ104" s="2" t="inlineStr">
        <is>
          <t>Topology Optimization Bayesian Optimization Additive Manufacturing Compostable Plastics Crashworthiness and Blast Mitigation</t>
        </is>
      </c>
      <c r="AK104" s="2" t="inlineStr">
        <is>
          <t>Ph.D.   Aerospace and Mechanical Engineering, University of Notre Dame, Indiana, Jan 2005 M.S.     Mechanical Engineering, University of Notre Dame, Indiana, May 2004 M.S.     Industrial Automation, National University of Colombia, Bogota, Colombia, Sep 2000 B.S.      Mechanical Engineering, National University of Colombia, Bogota, Colombia, Jul 1995</t>
        </is>
      </c>
      <c r="AL104" s="2" t="inlineStr">
        <is>
          <t>Engineering Design Research Laboratory (EDRL)</t>
        </is>
      </c>
      <c r="AM104" s="3">
        <f>HYPERLINK("https://engineering.purdue.edu/EDRL", "https://engineering.purdue.edu/EDRL")</f>
        <v/>
      </c>
      <c r="AN104"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04" s="2" t="inlineStr"/>
      <c r="AP104" s="2" t="inlineStr">
        <is>
          <t>Supercomputer, Cluster</t>
        </is>
      </c>
      <c r="AQ104" s="2" t="inlineStr">
        <is>
          <t>DOE</t>
        </is>
      </c>
      <c r="AR104" s="2" t="inlineStr"/>
      <c r="AS104" s="2" t="inlineStr"/>
      <c r="AT104" s="2" t="inlineStr">
        <is>
          <t>SL 260 N</t>
        </is>
      </c>
      <c r="AU104" s="2" t="b">
        <v>1</v>
      </c>
      <c r="AV104" s="3">
        <f>HYPERLINK("https://engineering.purdue.edu/ME/People/ptFaculty", "https://engineering.purdue.edu/ME/People/ptFaculty")</f>
        <v/>
      </c>
    </row>
    <row r="105">
      <c r="A105" s="2" t="inlineStr">
        <is>
          <t>Anil K. Bajaj</t>
        </is>
      </c>
      <c r="B105" s="2" t="inlineStr">
        <is>
          <t>Purdue University</t>
        </is>
      </c>
      <c r="C105" s="3">
        <f>HYPERLINK("https://engineering.purdue.edu/ME/People/ptProfile?resource_id=11316", "https://engineering.purdue.edu/ME/People/ptProfile?resource_id=11316")</f>
        <v/>
      </c>
      <c r="D105" s="3">
        <f>HYPERLINK("https://scholar.google.com/citations?view_op=search_authors&amp;mauthors=Anil%20K.%20Bajaj%20Purdue%20University", "Google Scholar Search")</f>
        <v/>
      </c>
      <c r="E105" s="2" t="inlineStr">
        <is>
          <t>Alpha P. Jamison Professor of Mechanical Engineering</t>
        </is>
      </c>
      <c r="F105" s="2" t="inlineStr">
        <is>
          <t>Mechanical Engineering</t>
        </is>
      </c>
      <c r="G105" s="2" t="inlineStr"/>
      <c r="H105" s="3">
        <f>HYPERLINK("mailto:bajaj@purdue.edu", "bajaj@purdue.edu")</f>
        <v/>
      </c>
      <c r="I105" s="2" t="n">
        <v>3</v>
      </c>
      <c r="J105" s="2" t="inlineStr">
        <is>
          <t>🟠 Tier 3: Structures / Materials / Manufacturing</t>
        </is>
      </c>
      <c r="K105" s="2" t="n">
        <v>1</v>
      </c>
      <c r="L105" s="2" t="inlineStr">
        <is>
          <t>solid mechanics</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is>
          <t>Outstanding Mechanical Engineers Distinguished Engineering Alumni Honorary Doctorates Staff Awards Student Awards Distinguished...</t>
        </is>
      </c>
      <c r="AE105" s="2" t="inlineStr"/>
      <c r="AF105" s="2" t="inlineStr"/>
      <c r="AG105" s="2" t="inlineStr"/>
      <c r="AH105" s="2" t="inlineStr">
        <is>
          <t>Modeling of nonlinear systems Structural dynamics and localization Flow-induced vibrations Impacting systems Bifurcations and chaos</t>
        </is>
      </c>
      <c r="AI105" s="2" t="inlineStr">
        <is>
          <t>Dynamics &amp; Vibration Systems, Measurements &amp; Controls Solid Mechanics</t>
        </is>
      </c>
      <c r="AJ105" s="2" t="inlineStr">
        <is>
          <t>Dynamics &amp; Vibration Systems, Measurements &amp; Controls Solid Mechanics</t>
        </is>
      </c>
      <c r="AK105" s="2" t="inlineStr">
        <is>
          <t>B.Tech. Indian Institute of Technology, Kharagpur, '73 M.S. Indian Institute of Technology, Kanpur, '76 Ph.D. Minnesota, '81</t>
        </is>
      </c>
      <c r="AL105" s="2" t="inlineStr">
        <is>
          <t>Indiana Space Grant Consortium</t>
        </is>
      </c>
      <c r="AM105" s="3">
        <f>HYPERLINK("https://insgc.spacegrant.org/", "https://insgc.spacegrant.org/")</f>
        <v/>
      </c>
      <c r="AN105" s="2" t="inlineStr">
        <is>
          <t>Academic INSGC Internships</t>
        </is>
      </c>
      <c r="AO105" s="2" t="inlineStr"/>
      <c r="AP105" s="2" t="inlineStr"/>
      <c r="AQ105" s="2" t="inlineStr">
        <is>
          <t>NASA</t>
        </is>
      </c>
      <c r="AR105" s="2" t="inlineStr"/>
      <c r="AS105" s="2" t="inlineStr"/>
      <c r="AT105" s="2" t="inlineStr">
        <is>
          <t>ME 3180</t>
        </is>
      </c>
      <c r="AU105" s="2" t="b">
        <v>1</v>
      </c>
      <c r="AV105" s="3">
        <f>HYPERLINK("https://engineering.purdue.edu/ME/People/ptFaculty", "https://engineering.purdue.edu/ME/People/ptFaculty")</f>
        <v/>
      </c>
    </row>
    <row r="106">
      <c r="A106" s="2" t="inlineStr">
        <is>
          <t>Babak Anasori</t>
        </is>
      </c>
      <c r="B106" s="2" t="inlineStr">
        <is>
          <t>Purdue University</t>
        </is>
      </c>
      <c r="C106" s="3">
        <f>HYPERLINK("https://engineering.purdue.edu/ME/People/ptProfile?resource_id=250301", "https://engineering.purdue.edu/ME/People/ptProfile?resource_id=250301")</f>
        <v/>
      </c>
      <c r="D106" s="3">
        <f>HYPERLINK("https://scholar.google.com/citations?view_op=search_authors&amp;mauthors=Babak%20Anasori%20Purdue%20University", "Google Scholar Search")</f>
        <v/>
      </c>
      <c r="E106" s="2" t="inlineStr">
        <is>
          <t>Reilly Rising Star Associate Professor of Materials and Mechanical Engineering</t>
        </is>
      </c>
      <c r="F106" s="2" t="inlineStr">
        <is>
          <t>Mechanical Engineering</t>
        </is>
      </c>
      <c r="G106" s="2" t="inlineStr"/>
      <c r="H106" s="3">
        <f>HYPERLINK("mailto:banasori@purdue.edu", "banasori@purdue.edu")</f>
        <v/>
      </c>
      <c r="I106" s="2" t="n">
        <v>3</v>
      </c>
      <c r="J106" s="2" t="inlineStr">
        <is>
          <t>🟠 Tier 3: Structures / Materials / Manufacturing</t>
        </is>
      </c>
      <c r="K106" s="2" t="n">
        <v>1</v>
      </c>
      <c r="L106" s="2" t="inlineStr">
        <is>
          <t>materials</t>
        </is>
      </c>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is>
          <t>Outstanding Mechanical Engineers Distinguished Engineering Alumni Honorary Doctorates Staff Awards Student Awards Distinguished...</t>
        </is>
      </c>
      <c r="AE106" s="2" t="inlineStr"/>
      <c r="AF106" s="2" t="inlineStr"/>
      <c r="AG106" s="2" t="inlineStr"/>
      <c r="AH106" s="2" t="inlineStr">
        <is>
          <t>Two-dimensional (2D) transition metal carbides and nitrides, MXenes</t>
        </is>
      </c>
      <c r="AI106" s="2" t="inlineStr"/>
      <c r="AJ106" s="2" t="inlineStr">
        <is>
          <t>Two-dimensional (2D) transition metal carbides and nitrides, MXenes</t>
        </is>
      </c>
      <c r="AK106" s="2" t="inlineStr"/>
      <c r="AL106" s="2" t="inlineStr">
        <is>
          <t>Layered Materials and Structures Lab (LMSL)</t>
        </is>
      </c>
      <c r="AM106" s="3">
        <f>HYPERLINK("https://www.babakanasori.com/", "https://www.babakanasori.com/")</f>
        <v/>
      </c>
      <c r="AN106" s="2" t="inlineStr"/>
      <c r="AO106" s="2" t="inlineStr"/>
      <c r="AP106" s="2" t="inlineStr">
        <is>
          <t>SEM</t>
        </is>
      </c>
      <c r="AQ106" s="2" t="inlineStr"/>
      <c r="AR106" s="2" t="inlineStr"/>
      <c r="AS106" s="2" t="inlineStr"/>
      <c r="AT106" s="2" t="inlineStr">
        <is>
          <t>SL260M (Indy) / ARMS2209 (WL)</t>
        </is>
      </c>
      <c r="AU106" s="2" t="b">
        <v>1</v>
      </c>
      <c r="AV106" s="3">
        <f>HYPERLINK("https://engineering.purdue.edu/ME/People/ptFaculty", "https://engineering.purdue.edu/ME/People/ptFaculty")</f>
        <v/>
      </c>
    </row>
    <row r="107">
      <c r="A107" s="2" t="inlineStr">
        <is>
          <t>Beth Holloway</t>
        </is>
      </c>
      <c r="B107" s="2" t="inlineStr">
        <is>
          <t>Purdue University</t>
        </is>
      </c>
      <c r="C107" s="3">
        <f>HYPERLINK("https://engineering.purdue.edu/Engr/People/ptProfile?resource_id=4110", "https://engineering.purdue.edu/Engr/People/ptProfile?resource_id=4110")</f>
        <v/>
      </c>
      <c r="D107" s="3">
        <f>HYPERLINK("https://scholar.google.com/citations?view_op=search_authors&amp;mauthors=Beth%20Holloway%20Purdue%20University", "Google Scholar Search")</f>
        <v/>
      </c>
      <c r="E107" s="2" t="inlineStr">
        <is>
          <t>Senior Assistant Dean for Student Access and Success; Leah H. Jamieson Director of the Women In Engineering Program, College of Engineering; Professor of Engineering Practice</t>
        </is>
      </c>
      <c r="F107" s="2" t="inlineStr">
        <is>
          <t>Mechanical Engineering</t>
        </is>
      </c>
      <c r="G107" s="2" t="inlineStr"/>
      <c r="H107" s="3">
        <f>HYPERLINK("mailto:holloway@purdue.edu", "holloway@purdue.edu")</f>
        <v/>
      </c>
      <c r="I107" s="2" t="n">
        <v>3</v>
      </c>
      <c r="J107" s="2" t="inlineStr">
        <is>
          <t>🟠 Tier 3: Structures / Materials / Manufacturing</t>
        </is>
      </c>
      <c r="K107" s="2" t="n">
        <v>1</v>
      </c>
      <c r="L107" s="2" t="inlineStr">
        <is>
          <t>materials</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is>
          <t>Undergraduate Engineering Degree Maps First Year Engineering Aeronautical &amp; Astronautical Engineering (Undergraduate) Agricultural &amp; Biological Engineering (Undergraduate) Biomedical Engineering (Undergraduate) Chemical Engineering (Undergraduate) Civil &amp; Construction Engineering (Undergraduate) Electrical &amp; Computer Engineering (Undergraduate) Industrial Engineering (Undergraduate) Interdisciplinary Engineering (Undergraduate) Materials Engineering (Undergraduate) Mechanical Engineering (Undergraduate) Multidisciplinary Engineering (Undergraduate) Nuclear Engineering (Undergraduate) Sustainability Engineering &amp; Environmental Engineering (Undergraduate)</t>
        </is>
      </c>
      <c r="AL107" s="2" t="inlineStr">
        <is>
          <t>Indiana Space Grant Consortium</t>
        </is>
      </c>
      <c r="AM107" s="3">
        <f>HYPERLINK("https://insgc.spacegrant.org/", "https://insgc.spacegrant.org/")</f>
        <v/>
      </c>
      <c r="AN107" s="2" t="inlineStr">
        <is>
          <t>Academic INSGC Internships</t>
        </is>
      </c>
      <c r="AO107" s="2" t="inlineStr"/>
      <c r="AP107" s="2" t="inlineStr"/>
      <c r="AQ107" s="2" t="inlineStr">
        <is>
          <t>NASA</t>
        </is>
      </c>
      <c r="AR107" s="2" t="inlineStr"/>
      <c r="AS107" s="2" t="inlineStr"/>
      <c r="AT107" s="2" t="inlineStr"/>
      <c r="AU107" s="2" t="b">
        <v>1</v>
      </c>
      <c r="AV107" s="3">
        <f>HYPERLINK("https://engineering.purdue.edu/ME/People/ptFaculty", "https://engineering.purdue.edu/ME/People/ptFaculty")</f>
        <v/>
      </c>
    </row>
    <row r="108">
      <c r="A108" s="2" t="inlineStr">
        <is>
          <t>Eduardo Barocio Vaca</t>
        </is>
      </c>
      <c r="B108" s="2" t="inlineStr">
        <is>
          <t>Purdue University</t>
        </is>
      </c>
      <c r="C108" s="3">
        <f>HYPERLINK("https://engineering.purdue.edu/ME/People/ptProfile?resource_id=120407", "https://engineering.purdue.edu/ME/People/ptProfile?resource_id=120407")</f>
        <v/>
      </c>
      <c r="D108" s="3">
        <f>HYPERLINK("https://scholar.google.com/citations?view_op=search_authors&amp;mauthors=Eduardo%20Barocio%20Vaca%20Purdue%20University", "Google Scholar Search")</f>
        <v/>
      </c>
      <c r="E108" s="2" t="inlineStr">
        <is>
          <t>Assistant Professor of Mechanical Engineering</t>
        </is>
      </c>
      <c r="F108" s="2" t="inlineStr">
        <is>
          <t>Mechanical Engineering</t>
        </is>
      </c>
      <c r="G108" s="2" t="inlineStr"/>
      <c r="H108" s="3">
        <f>HYPERLINK("mailto:ebarocio@purdue.edu", "ebarocio@purdue.edu")</f>
        <v/>
      </c>
      <c r="I108" s="2" t="n">
        <v>3</v>
      </c>
      <c r="J108" s="2" t="inlineStr">
        <is>
          <t>🟠 Tier 3: Structures / Materials / Manufacturing</t>
        </is>
      </c>
      <c r="K108" s="2" t="n">
        <v>1</v>
      </c>
      <c r="L108" s="2" t="inlineStr">
        <is>
          <t>solid mechanics</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is>
          <t>Outstanding Mechanical Engineers Distinguished Engineering Alumni Honorary Doctorates Staff Awards Student Awards Distinguished...</t>
        </is>
      </c>
      <c r="AE108" s="2" t="inlineStr"/>
      <c r="AF108" s="2" t="inlineStr"/>
      <c r="AG108" s="2" t="inlineStr"/>
      <c r="AH108" s="2" t="inlineStr"/>
      <c r="AI108" s="2" t="inlineStr">
        <is>
          <t>Design &amp; Manufacturing Solid Mechanics</t>
        </is>
      </c>
      <c r="AJ108" s="2" t="inlineStr">
        <is>
          <t>Design &amp; Manufacturing Solid Mechanics</t>
        </is>
      </c>
      <c r="AK108" s="2" t="inlineStr"/>
      <c r="AL108" s="2" t="inlineStr">
        <is>
          <t>Indiana Space Grant Consortium</t>
        </is>
      </c>
      <c r="AM108" s="3">
        <f>HYPERLINK("https://insgc.spacegrant.org/", "https://insgc.spacegrant.org/")</f>
        <v/>
      </c>
      <c r="AN108" s="2" t="inlineStr">
        <is>
          <t>Academic INSGC Internships</t>
        </is>
      </c>
      <c r="AO108" s="2" t="inlineStr"/>
      <c r="AP108" s="2" t="inlineStr"/>
      <c r="AQ108" s="2" t="inlineStr">
        <is>
          <t>NASA</t>
        </is>
      </c>
      <c r="AR108" s="2" t="inlineStr"/>
      <c r="AS108" s="2" t="inlineStr"/>
      <c r="AT108" s="2" t="inlineStr"/>
      <c r="AU108" s="2" t="b">
        <v>1</v>
      </c>
      <c r="AV108" s="3">
        <f>HYPERLINK("https://engineering.purdue.edu/ME/People/ptFaculty", "https://engineering.purdue.edu/ME/People/ptFaculty")</f>
        <v/>
      </c>
    </row>
    <row r="109">
      <c r="A109" s="2" t="inlineStr">
        <is>
          <t>Farshid Sadeghi</t>
        </is>
      </c>
      <c r="B109" s="2" t="inlineStr">
        <is>
          <t>Purdue University</t>
        </is>
      </c>
      <c r="C109" s="3">
        <f>HYPERLINK("https://engineering.purdue.edu/ME/People/ptProfile?resource_id=23987", "https://engineering.purdue.edu/ME/People/ptProfile?resource_id=23987")</f>
        <v/>
      </c>
      <c r="D109" s="3">
        <f>HYPERLINK("https://scholar.google.com/citations?view_op=search_authors&amp;mauthors=Farshid%20Sadeghi%20Purdue%20University", "Google Scholar Search")</f>
        <v/>
      </c>
      <c r="E109" s="2" t="inlineStr">
        <is>
          <t>Cummins Distinguished Professor of Mechanical Engineering</t>
        </is>
      </c>
      <c r="F109" s="2" t="inlineStr">
        <is>
          <t>Mechanical Engineering</t>
        </is>
      </c>
      <c r="G109" s="2" t="inlineStr"/>
      <c r="H109" s="3">
        <f>HYPERLINK("mailto:sadeghi@purdue.edu", "sadeghi@purdue.edu")</f>
        <v/>
      </c>
      <c r="I109" s="2" t="n">
        <v>3</v>
      </c>
      <c r="J109" s="2" t="inlineStr">
        <is>
          <t>🟠 Tier 3: Structures / Materials / Manufacturing</t>
        </is>
      </c>
      <c r="K109" s="2" t="n">
        <v>1</v>
      </c>
      <c r="L109" s="2" t="inlineStr">
        <is>
          <t>solid mechanics</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is>
          <t>Outstanding Mechanical Engineers Distinguished Engineering Alumni Honorary Doctorates Staff Awards Student Awards Distinguished...</t>
        </is>
      </c>
      <c r="AE109" s="2" t="inlineStr">
        <is>
          <t>METL is frequently looking to hire graduate research assistants. If you are interested in a research position at the Mechanical Engineering Tribology Lab, please email your application to Professor Sadeghi. (sadeghi@purdue.edu) It is suggested that you include the following: Curriculum vitae or Resume Indicate desired role (i.e. Direct Ph.D, Ph.D, Masters, etc.) Clearly indicate previous experience or academic background</t>
        </is>
      </c>
      <c r="AF109" s="2" t="inlineStr"/>
      <c r="AG109" s="2" t="inlineStr"/>
      <c r="AH109" s="2" t="inlineStr">
        <is>
          <t>Contact mechanics Stresses, fatigue and friction of rolling/sliding Micro-mechanics of boundary and mixed lubrication regimes Spall initiation and propagation Surface science and damage Dynamics of ball and rolling element bearings and rotating systems Friction induced vibration and squeal in dry contacts Friction and wear of dry and lubricated contacts Virtual tribology Dry and lubricated fretting wear MEMS for in-situ monitoring of tribological contacts Discrete element modeling Design</t>
        </is>
      </c>
      <c r="AI109" s="2" t="inlineStr">
        <is>
          <t>Design &amp; Manufacturing Solid Mechanics</t>
        </is>
      </c>
      <c r="AJ109" s="2" t="inlineStr">
        <is>
          <t>Design &amp; Manufacturing Solid Mechanics</t>
        </is>
      </c>
      <c r="AK109" s="2" t="inlineStr">
        <is>
          <t>B.S. University of Tennessee, '79 M.S. University of Tennessee, '81 Ph.D. North Carolina State University, '85</t>
        </is>
      </c>
      <c r="AL109" s="2" t="inlineStr">
        <is>
          <t>Mechanical Engineering Tribology Laboratory (METL)</t>
        </is>
      </c>
      <c r="AM109" s="3">
        <f>HYPERLINK("https://engineering.purdue.edu/METL", "https://engineering.purdue.edu/METL")</f>
        <v/>
      </c>
      <c r="AN109" s="2" t="inlineStr"/>
      <c r="AO109" s="2" t="inlineStr"/>
      <c r="AP109" s="2" t="inlineStr"/>
      <c r="AQ109" s="2" t="inlineStr"/>
      <c r="AR109" s="2" t="inlineStr"/>
      <c r="AS109" s="2" t="inlineStr"/>
      <c r="AT109" s="2" t="inlineStr"/>
      <c r="AU109" s="2" t="b">
        <v>1</v>
      </c>
      <c r="AV109" s="3">
        <f>HYPERLINK("https://engineering.purdue.edu/ME/People/ptFaculty", "https://engineering.purdue.edu/ME/People/ptFaculty")</f>
        <v/>
      </c>
    </row>
    <row r="110">
      <c r="A110" s="2" t="inlineStr">
        <is>
          <t>Hazim El Mounayri</t>
        </is>
      </c>
      <c r="B110" s="2" t="inlineStr">
        <is>
          <t>Purdue University</t>
        </is>
      </c>
      <c r="C110" s="3">
        <f>HYPERLINK("https://engineering.purdue.edu/ME/People/ptProfile?resource_id=295482", "https://engineering.purdue.edu/ME/People/ptProfile?resource_id=295482")</f>
        <v/>
      </c>
      <c r="D110" s="3">
        <f>HYPERLINK("https://scholar.google.com/citations?view_op=search_authors&amp;mauthors=Hazim%20El%20Mounayri%20Purdue%20University", "Google Scholar Search")</f>
        <v/>
      </c>
      <c r="E110" s="2" t="inlineStr">
        <is>
          <t>Associate Professor of Mechanical Engineering</t>
        </is>
      </c>
      <c r="F110" s="2" t="inlineStr">
        <is>
          <t>Mechanical Engineering</t>
        </is>
      </c>
      <c r="G110" s="2" t="inlineStr"/>
      <c r="H110" s="3">
        <f>HYPERLINK("mailto:helmouna@purdue.edu", "helmouna@purdue.edu")</f>
        <v/>
      </c>
      <c r="I110" s="2" t="n">
        <v>3</v>
      </c>
      <c r="J110" s="2" t="inlineStr">
        <is>
          <t>🟠 Tier 3: Structures / Materials / Manufacturing</t>
        </is>
      </c>
      <c r="K110" s="2" t="n">
        <v>1</v>
      </c>
      <c r="L110" s="2" t="inlineStr">
        <is>
          <t>materials</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is>
          <t>Outstanding Mechanical Engineers Distinguished Engineering Alumni Honorary Doctorates Staff Awards Student Awards Distinguished...</t>
        </is>
      </c>
      <c r="AE110" s="2" t="inlineStr"/>
      <c r="AF110" s="2" t="inlineStr"/>
      <c r="AG110" s="2" t="inlineStr"/>
      <c r="AH110" s="2" t="inlineStr">
        <is>
          <t>Virtual manufacturing Nanomanufacturing Machining process modeling, simulation and optimization Integrated CAD/CAE/CAM based product development Enhancement of CAD/CAM Technology Automation of CNC production PLM and design of renewable energy and biomedical systems</t>
        </is>
      </c>
      <c r="AI110" s="2" t="inlineStr"/>
      <c r="AJ110" s="2" t="inlineStr">
        <is>
          <t>Virtual manufacturing Nanomanufacturing Machining process modeling, simulation and optimization Integrated CAD/CAE/CAM based product development Enhancement of CAD/CAM Technology Automation of CNC production PLM and design of renewable energy and biomedical systems</t>
        </is>
      </c>
      <c r="AK110" s="2" t="inlineStr">
        <is>
          <t>BS Mechanical Engineering, American University in Cairo (AUC), 1989 MS Mechanical Engineering (concentration: Materials), American University in Cairo (AUC), 1992 Ph.D. Mechanical Engineering (concentration: Advanced Manufacturing), McMaster University, Canada, 1997</t>
        </is>
      </c>
      <c r="AL110" s="2" t="inlineStr">
        <is>
          <t>Indiana Space Grant Consortium</t>
        </is>
      </c>
      <c r="AM110" s="3">
        <f>HYPERLINK("https://insgc.spacegrant.org/", "https://insgc.spacegrant.org/")</f>
        <v/>
      </c>
      <c r="AN110" s="2" t="inlineStr">
        <is>
          <t>Academic INSGC Internships</t>
        </is>
      </c>
      <c r="AO110" s="2" t="inlineStr"/>
      <c r="AP110" s="2" t="inlineStr"/>
      <c r="AQ110" s="2" t="inlineStr">
        <is>
          <t>NASA</t>
        </is>
      </c>
      <c r="AR110" s="2" t="inlineStr"/>
      <c r="AS110" s="2" t="inlineStr"/>
      <c r="AT110" s="2" t="inlineStr"/>
      <c r="AU110" s="2" t="b">
        <v>1</v>
      </c>
      <c r="AV110" s="3">
        <f>HYPERLINK("https://engineering.purdue.edu/ME/People/ptFaculty", "https://engineering.purdue.edu/ME/People/ptFaculty")</f>
        <v/>
      </c>
    </row>
    <row r="111">
      <c r="A111" s="2" t="inlineStr">
        <is>
          <t>Ilias Bilionis</t>
        </is>
      </c>
      <c r="B111" s="2" t="inlineStr">
        <is>
          <t>Purdue University</t>
        </is>
      </c>
      <c r="C111" s="3">
        <f>HYPERLINK("https://engineering.purdue.edu/ME/People/ptProfile?resource_id=113500", "https://engineering.purdue.edu/ME/People/ptProfile?resource_id=113500")</f>
        <v/>
      </c>
      <c r="D111" s="3">
        <f>HYPERLINK("https://scholar.google.com/citations?view_op=search_authors&amp;mauthors=Ilias%20Bilionis%20Purdue%20University", "Google Scholar Search")</f>
        <v/>
      </c>
      <c r="E111" s="2" t="inlineStr">
        <is>
          <t>Professor of Mechanical Engineering</t>
        </is>
      </c>
      <c r="F111" s="2" t="inlineStr">
        <is>
          <t>Mechanical Engineering</t>
        </is>
      </c>
      <c r="G111" s="2" t="inlineStr"/>
      <c r="H111" s="3">
        <f>HYPERLINK("mailto:ibilion@purdue.edu", "ibilion@purdue.edu")</f>
        <v/>
      </c>
      <c r="I111" s="2" t="n">
        <v>3</v>
      </c>
      <c r="J111" s="2" t="inlineStr">
        <is>
          <t>🟠 Tier 3: Structures / Materials / Manufacturing</t>
        </is>
      </c>
      <c r="K111" s="2" t="n">
        <v>1</v>
      </c>
      <c r="L111" s="2" t="inlineStr">
        <is>
          <t>materials</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is>
          <t>Outstanding Mechanical Engineers Distinguished Engineering Alumni Honorary Doctorates Staff Awards Student Awards Distinguished...</t>
        </is>
      </c>
      <c r="AE111" s="2" t="inlineStr"/>
      <c r="AF111" s="2" t="inlineStr"/>
      <c r="AG111" s="2" t="inlineStr"/>
      <c r="AH111" s="2" t="inlineStr">
        <is>
          <t>Uncertainty propagation Inverse problems Propagation of information across scales Optimal learning Materials by design</t>
        </is>
      </c>
      <c r="AI111" s="2" t="inlineStr">
        <is>
          <t>Dynamics &amp; Vibration Design &amp; Manufacturing Systems, Measurements &amp; Controls</t>
        </is>
      </c>
      <c r="AJ111" s="2" t="inlineStr">
        <is>
          <t>Dynamics &amp; Vibration Design &amp; Manufacturing Systems, Measurements &amp; Controls</t>
        </is>
      </c>
      <c r="AK111" s="2" t="inlineStr"/>
      <c r="AL111" s="2" t="inlineStr">
        <is>
          <t>Predictive Science Lab</t>
        </is>
      </c>
      <c r="AM111" s="3">
        <f>HYPERLINK("https://www.predictivesciencelab.org/", "https://www.predictivesciencelab.org/")</f>
        <v/>
      </c>
      <c r="AN111" s="2" t="inlineStr"/>
      <c r="AO111" s="2" t="inlineStr"/>
      <c r="AP111" s="2" t="inlineStr"/>
      <c r="AQ111" s="2" t="inlineStr"/>
      <c r="AR111" s="3">
        <f>HYPERLINK("https://github.com/PredictiveScienceLab", "https://github.com/PredictiveScienceLab")</f>
        <v/>
      </c>
      <c r="AS111" s="2" t="inlineStr"/>
      <c r="AT111" s="2" t="inlineStr">
        <is>
          <t>FLEX 3081C</t>
        </is>
      </c>
      <c r="AU111" s="2" t="b">
        <v>1</v>
      </c>
      <c r="AV111" s="3">
        <f>HYPERLINK("https://engineering.purdue.edu/ME/People/ptFaculty", "https://engineering.purdue.edu/ME/People/ptFaculty")</f>
        <v/>
      </c>
    </row>
    <row r="112">
      <c r="A112" s="2" t="inlineStr">
        <is>
          <t>James F. Doyle</t>
        </is>
      </c>
      <c r="B112" s="2" t="inlineStr">
        <is>
          <t>Purdue University</t>
        </is>
      </c>
      <c r="C112" s="3">
        <f>HYPERLINK("https://engineering.purdue.edu/AAE/people/ptProfile?resource_id=1300", "https://engineering.purdue.edu/AAE/people/ptProfile?resource_id=1300")</f>
        <v/>
      </c>
      <c r="D112" s="3">
        <f>HYPERLINK("https://scholar.google.com/citations?view_op=search_authors&amp;mauthors=James%20F.%20Doyle%20Purdue%20University", "Google Scholar Search")</f>
        <v/>
      </c>
      <c r="E112" s="2" t="inlineStr">
        <is>
          <t>Professor; Ph.D., Illinois, 1977, structural dynamics, experimental mechanics, inverse problems, wave propagation.</t>
        </is>
      </c>
      <c r="F112" s="2" t="inlineStr">
        <is>
          <t>Aeronautics and Astronautics</t>
        </is>
      </c>
      <c r="G112" s="2" t="inlineStr"/>
      <c r="H112" s="3">
        <f>HYPERLINK("mailto:webmaster-eng@purdue.edu", "webmaster-eng@purdue.edu")</f>
        <v/>
      </c>
      <c r="I112" s="2" t="n">
        <v>3</v>
      </c>
      <c r="J112" s="2" t="inlineStr">
        <is>
          <t>🟠 Tier 3: Structures / Materials / Manufacturing</t>
        </is>
      </c>
      <c r="K112" s="2" t="n">
        <v>1</v>
      </c>
      <c r="L112" s="2" t="inlineStr">
        <is>
          <t>finite element</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is>
          <t>Frocht Award for Teaching, Society for Experimental Mechanics, 1991 Hetenyi Award for Research, Society for Experimental Mechan...</t>
        </is>
      </c>
      <c r="AE112" s="2" t="inlineStr"/>
      <c r="AF112" s="2" t="inlineStr"/>
      <c r="AG112" s="2" t="inlineStr"/>
      <c r="AH112" s="2" t="inlineStr">
        <is>
          <t>Experimental mechanics, impact and wave propagation, signal and image processing, computational mechanics, nonlinear structural dynamics, stability, photo-mechanics, inverse problems, crack propagation and fragmentation, dynamics and stability of protein structures.</t>
        </is>
      </c>
      <c r="AI112" s="2" t="inlineStr">
        <is>
          <t>The main research area is Experimental Mechanics with an emphasis on the development of a new methodology for analyzing impact and wave propagation in complicated structures with the goal of being able to extract the complete description of the wave and the dynamic system from limited experimental data. Special emphasis is placed on solving inverse problems by integrating experimental methods with computations methods (primarily Finite Element based methods). This research is based on the assertion that, in modern analyses, constructing the model is constructing the solution—that the model is the solution. But all model representations of real structures must be incomplete; after all, we cannot be completely aware of every material property and every aspect of the loading and every condition of the environment, for any particular structure. Therefore, as a corollary to the assertion, we posit that a very important role of modern experimental stress analysis and experimental mechanics in general is to aid in completing the construction of the model. That the model is the focal point of modern Experimental Mechanics has a number of significant implications. First, collecting data can never be an end in itself. Invariably, the data will be used to infer indirectly (or inversely) something unknown about the system. Typically, they are situations where only some aspects of the system are known (geometry, material properties, for example) while other aspects are unknown (loads, boundary conditions, behavior of a nonlinear joint, for example) and we attempt to use measurements to determine the unknowns; these are partially specified problems . The difficulty with partially specified problems is that, far from having no solution, they have a great many solutions. The research question revolves around what supplementary information to use and how to incorporate it in the solution procedure. Which brings us to the second implication. The engineering point to be made is that every experiment or every experimental analysis is ultimately incomplete, there will always be some unknowns and at some stage the question of coping with missing information must be addressed. This is not a question of collecting more data, "re-do the experiment," or design a better experiment. This is not a statistical issue where if the experiment is repeated enough times, the uncertainty is removed or characterized. We are talking about experimental problems which inherently are missing enough information for a direct solution. These ideas with the accompanying algorithms and examples are presented in the book: J.F. Doyle, Modern Experimental Stress Analysis: completing the solution of partially specified problems , Wiley &amp; Sons, UK, 2004. The problems tackled cover the complete range of topics and include static/dynamic, linear/nonlinear applied to a variety of structures and components. A final point: current technologies are exploring the possibility of using nanostructures in a variety of applications. These do not lend themselves to traditional methods of experimentation; the inverse methods being developed here offer great potential to overcome the challenges.</t>
        </is>
      </c>
      <c r="AJ112" s="2" t="inlineStr">
        <is>
          <t>The main research area is Experimental Mechanics with an emphasis on the development of a new methodology for analyzing impact and wave propagation in complicated structures with the goal of being able to extract the complete description of the wave and the dynamic system from limited experimental data. Special emphasis is placed on solving inverse problems by integrating experimental methods w...</t>
        </is>
      </c>
      <c r="AK112" s="2" t="inlineStr">
        <is>
          <t>Dipl. Eng., Dublin Institutes of Technology, Ireland, 1972 M.Sc., University of Saskatchewan, Canada, 1974 Ph.D., University of Illinois, 1977</t>
        </is>
      </c>
      <c r="AL112" s="2" t="inlineStr">
        <is>
          <t>Indiana Space Grant Consortium</t>
        </is>
      </c>
      <c r="AM112" s="3">
        <f>HYPERLINK("https://insgc.spacegrant.org/", "https://insgc.spacegrant.org/")</f>
        <v/>
      </c>
      <c r="AN112" s="2" t="inlineStr">
        <is>
          <t>Academic INSGC Internships</t>
        </is>
      </c>
      <c r="AO112" s="2" t="inlineStr"/>
      <c r="AP112" s="2" t="inlineStr"/>
      <c r="AQ112" s="2" t="inlineStr">
        <is>
          <t>NASA</t>
        </is>
      </c>
      <c r="AR112" s="2" t="inlineStr"/>
      <c r="AS112" s="2" t="inlineStr"/>
      <c r="AT112" s="2" t="inlineStr"/>
      <c r="AU112" s="2" t="b">
        <v>1</v>
      </c>
      <c r="AV112" s="3">
        <f>HYPERLINK("https://engineering.purdue.edu/AAE/people/Faculty", "https://engineering.purdue.edu/AAE/people/Faculty")</f>
        <v/>
      </c>
    </row>
    <row r="113">
      <c r="A113" s="2" t="inlineStr">
        <is>
          <t>James Gibert</t>
        </is>
      </c>
      <c r="B113" s="2" t="inlineStr">
        <is>
          <t>Purdue University</t>
        </is>
      </c>
      <c r="C113" s="3">
        <f>HYPERLINK("https://engineering.purdue.edu/ME/People/ptProfile?resource_id=127242", "https://engineering.purdue.edu/ME/People/ptProfile?resource_id=127242")</f>
        <v/>
      </c>
      <c r="D113" s="3">
        <f>HYPERLINK("https://scholar.google.com/citations?view_op=search_authors&amp;mauthors=James%20Gibert%20Purdue%20University", "Google Scholar Search")</f>
        <v/>
      </c>
      <c r="E113" s="2" t="inlineStr">
        <is>
          <t>Professor of Mechanical Engineering</t>
        </is>
      </c>
      <c r="F113" s="2" t="inlineStr">
        <is>
          <t>Mechanical Engineering</t>
        </is>
      </c>
      <c r="G113" s="2" t="inlineStr"/>
      <c r="H113" s="3">
        <f>HYPERLINK("mailto:jgibert@purdue.edu", "jgibert@purdue.edu")</f>
        <v/>
      </c>
      <c r="I113" s="2" t="n">
        <v>3</v>
      </c>
      <c r="J113" s="2" t="inlineStr">
        <is>
          <t>🟠 Tier 3: Structures / Materials / Manufacturing</t>
        </is>
      </c>
      <c r="K113" s="2" t="n">
        <v>1</v>
      </c>
      <c r="L113" s="2" t="inlineStr">
        <is>
          <t>solid mechanics</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is>
          <t>Outstanding Mechanical Engineers Distinguished Engineering Alumni Honorary Doctorates Staff Awards Student Awards Distinguished...</t>
        </is>
      </c>
      <c r="AE113" s="2" t="inlineStr"/>
      <c r="AF113" s="2" t="inlineStr"/>
      <c r="AG113" s="2" t="inlineStr"/>
      <c r="AH113" s="2" t="inlineStr">
        <is>
          <t>Vibrations and nonlinear dynamics Smart material systems Non-pneumatic tires Optimization of mechanical systems Additive manufacturing</t>
        </is>
      </c>
      <c r="AI113" s="2" t="inlineStr">
        <is>
          <t>Dynamics &amp; Vibration Solid Mechanics</t>
        </is>
      </c>
      <c r="AJ113" s="2" t="inlineStr">
        <is>
          <t>Dynamics &amp; Vibration Solid Mechanics</t>
        </is>
      </c>
      <c r="AK113" s="2" t="inlineStr">
        <is>
          <t>B.S., Clemson University,   ‘02 M.S., Clemson University,   ‘04 Ph.D., Clemson University,   ‘09</t>
        </is>
      </c>
      <c r="AL113" s="2" t="inlineStr">
        <is>
          <t>Indiana Space Grant Consortium</t>
        </is>
      </c>
      <c r="AM113" s="3">
        <f>HYPERLINK("https://insgc.spacegrant.org/", "https://insgc.spacegrant.org/")</f>
        <v/>
      </c>
      <c r="AN113" s="2" t="inlineStr">
        <is>
          <t>Academic INSGC Internships</t>
        </is>
      </c>
      <c r="AO113" s="2" t="inlineStr"/>
      <c r="AP113" s="2" t="inlineStr"/>
      <c r="AQ113" s="2" t="inlineStr">
        <is>
          <t>NASA</t>
        </is>
      </c>
      <c r="AR113" s="2" t="inlineStr"/>
      <c r="AS113" s="2" t="inlineStr"/>
      <c r="AT113" s="2" t="inlineStr"/>
      <c r="AU113" s="2" t="b">
        <v>1</v>
      </c>
      <c r="AV113" s="3">
        <f>HYPERLINK("https://engineering.purdue.edu/ME/People/ptFaculty", "https://engineering.purdue.edu/ME/People/ptFaculty")</f>
        <v/>
      </c>
    </row>
    <row r="114">
      <c r="A114" s="2" t="inlineStr">
        <is>
          <t>Jitesh H. Panchal</t>
        </is>
      </c>
      <c r="B114" s="2" t="inlineStr">
        <is>
          <t>Purdue University</t>
        </is>
      </c>
      <c r="C114" s="3">
        <f>HYPERLINK("https://engineering.purdue.edu/ME/People/ptProfile?resource_id=80194", "https://engineering.purdue.edu/ME/People/ptProfile?resource_id=80194")</f>
        <v/>
      </c>
      <c r="D114" s="3">
        <f>HYPERLINK("https://scholar.google.com/citations?view_op=search_authors&amp;mauthors=Jitesh%20H.%20Panchal%20Purdue%20University", "Google Scholar Search")</f>
        <v/>
      </c>
      <c r="E114" s="2" t="inlineStr">
        <is>
          <t>Professor of Mechanical Engineering and Associate Head of Undergraduate Programs</t>
        </is>
      </c>
      <c r="F114" s="2" t="inlineStr">
        <is>
          <t>Mechanical Engineering</t>
        </is>
      </c>
      <c r="G114" s="2" t="inlineStr"/>
      <c r="H114" s="3">
        <f>HYPERLINK("mailto:panchal@purdue.edu", "panchal@purdue.edu")</f>
        <v/>
      </c>
      <c r="I114" s="2" t="n">
        <v>3</v>
      </c>
      <c r="J114" s="2" t="inlineStr">
        <is>
          <t>🟠 Tier 3: Structures / Materials / Manufacturing</t>
        </is>
      </c>
      <c r="K114" s="2" t="n">
        <v>1</v>
      </c>
      <c r="L114" s="2" t="inlineStr">
        <is>
          <t>materials</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is>
          <t>Outstanding Mechanical Engineers Distinguished Engineering Alumni Honorary Doctorates Staff Awards Student Awards Distinguished...</t>
        </is>
      </c>
      <c r="AE114" s="2" t="inlineStr">
        <is>
          <t>Contact Purdue Engineering MarCom regarding any accessibility issues | Accessibility Resources | Contact Us | Email webmaster-eng@purdue.edu to report a problem</t>
        </is>
      </c>
      <c r="AF114" s="2" t="inlineStr"/>
      <c r="AG114" s="2" t="inlineStr"/>
      <c r="AH114" s="2" t="inlineStr">
        <is>
          <t>Computational Design of Socio-Technical Systems Secure Design and Manufacturing Engineering Design by Self-Organized Virtual Communities Integrated Products and Materials Design</t>
        </is>
      </c>
      <c r="AI114" s="2" t="inlineStr">
        <is>
          <t>Design &amp; Manufacturing</t>
        </is>
      </c>
      <c r="AJ114" s="2" t="inlineStr">
        <is>
          <t>Design &amp; Manufacturing</t>
        </is>
      </c>
      <c r="AK114" s="2" t="inlineStr">
        <is>
          <t>Ph.D. (ME), Georgia Institute of Technology, '05 M.S. (ME), Georgia Institute of Technology, '03 B.Tech. (ME), Indian Institute of Technology, Guwahati, '00</t>
        </is>
      </c>
      <c r="AL114" s="2" t="inlineStr">
        <is>
          <t>Design Engineering Lab at Purdue (DELP)</t>
        </is>
      </c>
      <c r="AM114" s="3">
        <f>HYPERLINK("https://engineering.purdue.edu/DELP/", "https://engineering.purdue.edu/DELP/")</f>
        <v/>
      </c>
      <c r="AN114" s="2" t="inlineStr"/>
      <c r="AO114" s="2" t="inlineStr"/>
      <c r="AP114" s="2" t="inlineStr"/>
      <c r="AQ114" s="2" t="inlineStr">
        <is>
          <t>DOE</t>
        </is>
      </c>
      <c r="AR114" s="2" t="inlineStr"/>
      <c r="AS114" s="2" t="inlineStr"/>
      <c r="AT114" s="2" t="inlineStr">
        <is>
          <t>ME 2200</t>
        </is>
      </c>
      <c r="AU114" s="2" t="b">
        <v>1</v>
      </c>
      <c r="AV114" s="3">
        <f>HYPERLINK("https://engineering.purdue.edu/ME/People/ptFaculty", "https://engineering.purdue.edu/ME/People/ptFaculty")</f>
        <v/>
      </c>
    </row>
    <row r="115">
      <c r="A115" s="2" t="inlineStr">
        <is>
          <t>Martin Byung-Guk Jun</t>
        </is>
      </c>
      <c r="B115" s="2" t="inlineStr">
        <is>
          <t>Purdue University</t>
        </is>
      </c>
      <c r="C115" s="3">
        <f>HYPERLINK("https://engineering.purdue.edu/ME/People/ptProfile?resource_id=156378", "https://engineering.purdue.edu/ME/People/ptProfile?resource_id=156378")</f>
        <v/>
      </c>
      <c r="D115" s="3">
        <f>HYPERLINK("https://scholar.google.com/citations?view_op=search_authors&amp;mauthors=Martin%20Byung-Guk%20Jun%20Purdue%20University", "Google Scholar Search")</f>
        <v/>
      </c>
      <c r="E115" s="2" t="inlineStr">
        <is>
          <t>Professor of Mechanical Engineering</t>
        </is>
      </c>
      <c r="F115" s="2" t="inlineStr">
        <is>
          <t>Mechanical Engineering</t>
        </is>
      </c>
      <c r="G115" s="2" t="inlineStr"/>
      <c r="H115" s="3">
        <f>HYPERLINK("mailto:mbgjun@purdue.edu", "mbgjun@purdue.edu")</f>
        <v/>
      </c>
      <c r="I115" s="2" t="n">
        <v>3</v>
      </c>
      <c r="J115" s="2" t="inlineStr">
        <is>
          <t>🟠 Tier 3: Structures / Materials / Manufacturing</t>
        </is>
      </c>
      <c r="K115" s="2" t="n">
        <v>1</v>
      </c>
      <c r="L115" s="2" t="inlineStr">
        <is>
          <t>composites</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is>
          <t>Outstanding Mechanical Engineers Distinguished Engineering Alumni Honorary Doctorates Staff Awards Student Awards Distinguished...</t>
        </is>
      </c>
      <c r="AE115" s="2" t="inlineStr"/>
      <c r="AF115" s="2" t="inlineStr"/>
      <c r="AG115" s="2" t="inlineStr"/>
      <c r="AH115" s="2" t="inlineStr">
        <is>
          <t>Advanced multi-scale manufacturing Ultrafast laser machining and processing Fiber optic sensors and environmental monitoring Spray-based nanoparticle coating and additive manufacturing Machining of carbon fiber reinforced polymer (CFRP) composites</t>
        </is>
      </c>
      <c r="AI115" s="2" t="inlineStr">
        <is>
          <t>Systems, Measurements &amp; Controls</t>
        </is>
      </c>
      <c r="AJ115" s="2" t="inlineStr">
        <is>
          <t>Systems, Measurements &amp; Controls</t>
        </is>
      </c>
      <c r="AK115" s="2" t="inlineStr">
        <is>
          <t>B.A.Sc, University of British Columbia, 1998 M.A.Sc, University of British Columbia, 2000 Ph.D., University of Illinois - Urbana-Champaign, 2005</t>
        </is>
      </c>
      <c r="AL115" s="2" t="inlineStr">
        <is>
          <t>Jun Laboratory</t>
        </is>
      </c>
      <c r="AM115" s="3">
        <f>HYPERLINK("http://web.ics.purdue.edu/~jun25/", "http://web.ics.purdue.edu/~jun25/")</f>
        <v/>
      </c>
      <c r="AN115" s="2" t="inlineStr"/>
      <c r="AO115" s="2" t="inlineStr"/>
      <c r="AP115" s="2" t="inlineStr"/>
      <c r="AQ115" s="2" t="inlineStr"/>
      <c r="AR115" s="2" t="inlineStr"/>
      <c r="AS115" s="2" t="inlineStr"/>
      <c r="AT115" s="2" t="inlineStr">
        <is>
          <t>ME 1071</t>
        </is>
      </c>
      <c r="AU115" s="2" t="b">
        <v>1</v>
      </c>
      <c r="AV115" s="3">
        <f>HYPERLINK("https://engineering.purdue.edu/ME/People/ptFaculty", "https://engineering.purdue.edu/ME/People/ptFaculty")</f>
        <v/>
      </c>
    </row>
    <row r="116">
      <c r="A116" s="2" t="inlineStr">
        <is>
          <t>Mukerrem Cakmak</t>
        </is>
      </c>
      <c r="B116" s="2" t="inlineStr">
        <is>
          <t>Purdue University</t>
        </is>
      </c>
      <c r="C116" s="3">
        <f>HYPERLINK("https://engineering.purdue.edu/ME/People/ptProfile?resource_id=144060", "https://engineering.purdue.edu/ME/People/ptProfile?resource_id=144060")</f>
        <v/>
      </c>
      <c r="D116" s="3">
        <f>HYPERLINK("https://scholar.google.com/citations?view_op=search_authors&amp;mauthors=Mukerrem%20Cakmak%20Purdue%20University", "Google Scholar Search")</f>
        <v/>
      </c>
      <c r="E116" s="2" t="inlineStr">
        <is>
          <t>Reilly Professor of Materials Engineering and Mechanical Engineering</t>
        </is>
      </c>
      <c r="F116" s="2" t="inlineStr">
        <is>
          <t>Mechanical Engineering</t>
        </is>
      </c>
      <c r="G116" s="2" t="inlineStr"/>
      <c r="H116" s="3">
        <f>HYPERLINK("mailto:cakmak@purdue.edu", "cakmak@purdue.edu")</f>
        <v/>
      </c>
      <c r="I116" s="2" t="n">
        <v>3</v>
      </c>
      <c r="J116" s="2" t="inlineStr">
        <is>
          <t>🟠 Tier 3: Structures / Materials / Manufacturing</t>
        </is>
      </c>
      <c r="K116" s="2" t="n">
        <v>1</v>
      </c>
      <c r="L116" s="2" t="inlineStr">
        <is>
          <t>materials</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is>
          <t>Outstanding Mechanical Engineers Distinguished Engineering Alumni Honorary Doctorates Staff Awards Student Awards Distinguished...</t>
        </is>
      </c>
      <c r="AE116" s="2" t="inlineStr"/>
      <c r="AF116" s="2" t="inlineStr"/>
      <c r="AG116" s="2" t="inlineStr"/>
      <c r="AH116" s="2" t="inlineStr">
        <is>
          <t>Modeling and experimental studies on processing Structure property relationships in polymer films and moldings and polymer/metal/ceramic hybrid systems</t>
        </is>
      </c>
      <c r="AI116" s="2" t="inlineStr">
        <is>
          <t>Design &amp; Manufacturing</t>
        </is>
      </c>
      <c r="AJ116" s="2" t="inlineStr">
        <is>
          <t>Design &amp; Manufacturing</t>
        </is>
      </c>
      <c r="AK116" s="2" t="inlineStr">
        <is>
          <t>BS, Chemical Engineering, Technical University of Istanbul MS, Polymer Engineering, University of Tennessee PhD, Polymer Engineering, University of Tennessee</t>
        </is>
      </c>
      <c r="AL116" s="2" t="inlineStr">
        <is>
          <t>Indiana Space Grant Consortium</t>
        </is>
      </c>
      <c r="AM116" s="3">
        <f>HYPERLINK("https://insgc.spacegrant.org/", "https://insgc.spacegrant.org/")</f>
        <v/>
      </c>
      <c r="AN116" s="2" t="inlineStr">
        <is>
          <t>Academic INSGC Internships</t>
        </is>
      </c>
      <c r="AO116" s="2" t="inlineStr"/>
      <c r="AP116" s="2" t="inlineStr"/>
      <c r="AQ116" s="2" t="inlineStr">
        <is>
          <t>NASA</t>
        </is>
      </c>
      <c r="AR116" s="2" t="inlineStr"/>
      <c r="AS116" s="2" t="inlineStr"/>
      <c r="AT116" s="2" t="inlineStr"/>
      <c r="AU116" s="2" t="b">
        <v>1</v>
      </c>
      <c r="AV116" s="3">
        <f>HYPERLINK("https://engineering.purdue.edu/ME/People/ptFaculty", "https://engineering.purdue.edu/ME/People/ptFaculty")</f>
        <v/>
      </c>
    </row>
    <row r="117">
      <c r="A117" s="2" t="inlineStr">
        <is>
          <t>Ryan Wagner</t>
        </is>
      </c>
      <c r="B117" s="2" t="inlineStr">
        <is>
          <t>Purdue University</t>
        </is>
      </c>
      <c r="C117" s="3">
        <f>HYPERLINK("https://engineering.purdue.edu/ME/People/ptProfile?resource_id=236680", "https://engineering.purdue.edu/ME/People/ptProfile?resource_id=236680")</f>
        <v/>
      </c>
      <c r="D117" s="3">
        <f>HYPERLINK("https://scholar.google.com/citations?view_op=search_authors&amp;mauthors=Ryan%20Wagner%20Purdue%20University", "Google Scholar Search")</f>
        <v/>
      </c>
      <c r="E117" s="2" t="inlineStr">
        <is>
          <t>Research Assistant Professor</t>
        </is>
      </c>
      <c r="F117" s="2" t="inlineStr">
        <is>
          <t>Mechanical Engineering</t>
        </is>
      </c>
      <c r="G117" s="2" t="inlineStr"/>
      <c r="H117" s="3">
        <f>HYPERLINK("mailto:rbwagner@purdue.edu", "rbwagner@purdue.edu")</f>
        <v/>
      </c>
      <c r="I117" s="2" t="n">
        <v>3</v>
      </c>
      <c r="J117" s="2" t="inlineStr">
        <is>
          <t>🟠 Tier 3: Structures / Materials / Manufacturing</t>
        </is>
      </c>
      <c r="K117" s="2" t="n">
        <v>1</v>
      </c>
      <c r="L117" s="2" t="inlineStr">
        <is>
          <t>solid mechanics</t>
        </is>
      </c>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is>
          <t>Outstanding Mechanical Engineers Distinguished Engineering Alumni Honorary Doctorates Staff Awards Student Awards Distinguished...</t>
        </is>
      </c>
      <c r="AE117" s="2" t="inlineStr">
        <is>
          <t>As a Research Professor in Mechanical Engineering I supervise graduate students, perform research actives, and engage in grant writing. The goal of my lab is to apply a core expertise in vibrations and dynamics to solve multiphysics problems as a part of interdisciplinary research collaborations.</t>
        </is>
      </c>
      <c r="AF117" s="2" t="inlineStr"/>
      <c r="AG117" s="2" t="inlineStr"/>
      <c r="AH117" s="2" t="inlineStr">
        <is>
          <t>Scanning Probe Microscopy Metrology Optomechanics Mass spectrometry Contact mechanics</t>
        </is>
      </c>
      <c r="AI117" s="2" t="inlineStr">
        <is>
          <t>Dynamics &amp; Vibration Systems, Measurements &amp; Controls Solid Mechanics</t>
        </is>
      </c>
      <c r="AJ117" s="2" t="inlineStr">
        <is>
          <t>Dynamics &amp; Vibration Systems, Measurements &amp; Controls Solid Mechanics</t>
        </is>
      </c>
      <c r="AK117" s="2" t="inlineStr">
        <is>
          <t>Ph.D.  Purdue University, 2014 B.S. Purdue University, 2008</t>
        </is>
      </c>
      <c r="AL117" s="2" t="inlineStr">
        <is>
          <t>Ryan Wagner's Website</t>
        </is>
      </c>
      <c r="AM117" s="3">
        <f>HYPERLINK("https://engineering.purdue.edu/~rbwagner/", "https://engineering.purdue.edu/~rbwagner/")</f>
        <v/>
      </c>
      <c r="AN117" s="2" t="inlineStr"/>
      <c r="AO117" s="2" t="inlineStr"/>
      <c r="AP117" s="2" t="inlineStr"/>
      <c r="AQ117" s="2" t="inlineStr"/>
      <c r="AR117" s="3">
        <f>HYPERLINK("https://github.com/rbwagner147", "https://github.com/rbwagner147")</f>
        <v/>
      </c>
      <c r="AS117" s="2" t="inlineStr"/>
      <c r="AT117" s="2" t="inlineStr">
        <is>
          <t>ME 3061F</t>
        </is>
      </c>
      <c r="AU117" s="2" t="b">
        <v>1</v>
      </c>
      <c r="AV117" s="3">
        <f>HYPERLINK("https://engineering.purdue.edu/ME/People/ptFaculty", "https://engineering.purdue.edu/ME/People/ptFaculty")</f>
        <v/>
      </c>
    </row>
    <row r="118">
      <c r="A118" s="2" t="inlineStr">
        <is>
          <t>Tyler Tallman</t>
        </is>
      </c>
      <c r="B118" s="2" t="inlineStr">
        <is>
          <t>Purdue University</t>
        </is>
      </c>
      <c r="C118" s="3">
        <f>HYPERLINK("https://engineering.purdue.edu/AAE/people/ptProfile?resource_id=127158", "https://engineering.purdue.edu/AAE/people/ptProfile?resource_id=127158")</f>
        <v/>
      </c>
      <c r="D118" s="3">
        <f>HYPERLINK("https://scholar.google.com/citations?view_op=search_authors&amp;mauthors=Tyler%20Tallman%20Purdue%20University", "Google Scholar Search")</f>
        <v/>
      </c>
      <c r="E118" s="2" t="inlineStr">
        <is>
          <t>Ervin O. Stitz Associate Professor of Aeronautics and Astronautics</t>
        </is>
      </c>
      <c r="F118" s="2" t="inlineStr">
        <is>
          <t>Aeronautics and Astronautics</t>
        </is>
      </c>
      <c r="G118" s="2" t="inlineStr"/>
      <c r="H118" s="3">
        <f>HYPERLINK("mailto:ttallman@purdue.edu", "ttallman@purdue.edu")</f>
        <v/>
      </c>
      <c r="I118" s="2" t="n">
        <v>3</v>
      </c>
      <c r="J118" s="2" t="inlineStr">
        <is>
          <t>🟠 Tier 3: Structures / Materials / Manufacturing</t>
        </is>
      </c>
      <c r="K118" s="2" t="n">
        <v>1</v>
      </c>
      <c r="L118" s="2" t="inlineStr">
        <is>
          <t>materials</t>
        </is>
      </c>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is>
          <t>Elmer F. Bruhn Teaching Award, 2016 ASME SMASIS Best Journal Paper in Mechanics and Materials, 2018 ASME SMASIS Best Journal Pa...</t>
        </is>
      </c>
      <c r="AE118" s="2" t="inlineStr"/>
      <c r="AF118" s="2" t="inlineStr"/>
      <c r="AG118" s="2" t="inlineStr"/>
      <c r="AH118" s="2" t="inlineStr">
        <is>
          <t>Multifunctional Materials Embedded Sensing Inverse Problems Smart Structures Nondestructive Evaluation</t>
        </is>
      </c>
      <c r="AI118" s="2" t="inlineStr"/>
      <c r="AJ118" s="2" t="inlineStr">
        <is>
          <t>Multifunctional Materials Embedded Sensing Inverse Problems Smart Structures Nondestructive Evaluation</t>
        </is>
      </c>
      <c r="AK118" s="2" t="inlineStr">
        <is>
          <t>BS, Physics and Mathematics, University of Wisconsin-Eau Claire, 2010 BS, Engineering Mechanics, University of Wisconsin-Madison, 2010 MS, Mechanical Engineering, University of Michigan, 2012 PhD, Mechanical Engineering, University of Michigan, 2015</t>
        </is>
      </c>
      <c r="AL118" s="2" t="inlineStr">
        <is>
          <t>Indiana Space Grant Consortium</t>
        </is>
      </c>
      <c r="AM118" s="3">
        <f>HYPERLINK("https://insgc.spacegrant.org/", "https://insgc.spacegrant.org/")</f>
        <v/>
      </c>
      <c r="AN118" s="2" t="inlineStr">
        <is>
          <t>Academic INSGC Internships</t>
        </is>
      </c>
      <c r="AO118" s="2" t="inlineStr"/>
      <c r="AP118" s="2" t="inlineStr"/>
      <c r="AQ118" s="2" t="inlineStr">
        <is>
          <t>NASA</t>
        </is>
      </c>
      <c r="AR118" s="2" t="inlineStr"/>
      <c r="AS118" s="2" t="inlineStr"/>
      <c r="AT118" s="2" t="inlineStr">
        <is>
          <t>ARMS 3325</t>
        </is>
      </c>
      <c r="AU118" s="2" t="b">
        <v>1</v>
      </c>
      <c r="AV118" s="3">
        <f>HYPERLINK("https://engineering.purdue.edu/AAE/people/Faculty", "https://engineering.purdue.edu/AAE/people/Faculty")</f>
        <v/>
      </c>
    </row>
    <row r="119">
      <c r="A119" s="2" t="inlineStr">
        <is>
          <t>Xiaoliang Wei</t>
        </is>
      </c>
      <c r="B119" s="2" t="inlineStr">
        <is>
          <t>Purdue University</t>
        </is>
      </c>
      <c r="C119" s="3">
        <f>HYPERLINK("https://engineering.purdue.edu/ME/People/ptProfile?resource_id=292632", "https://engineering.purdue.edu/ME/People/ptProfile?resource_id=292632")</f>
        <v/>
      </c>
      <c r="D119" s="3">
        <f>HYPERLINK("https://scholar.google.com/citations?user=wQTwuOYAAAAJ", "Scholar (wQTwuOYAAAAJ)")</f>
        <v/>
      </c>
      <c r="E119" s="2" t="inlineStr">
        <is>
          <t>Associate Professor of Mechanical Engineering</t>
        </is>
      </c>
      <c r="F119" s="2" t="inlineStr">
        <is>
          <t>Mechanical Engineering</t>
        </is>
      </c>
      <c r="G119" s="2" t="inlineStr">
        <is>
          <t>wQTwuOYAAAAJ</t>
        </is>
      </c>
      <c r="H119" s="3">
        <f>HYPERLINK("mailto:wei304@purdue.edu", "wei304@purdue.edu")</f>
        <v/>
      </c>
      <c r="I119" s="2" t="n">
        <v>3</v>
      </c>
      <c r="J119" s="2" t="inlineStr">
        <is>
          <t>🟠 Tier 3: Structures / Materials / Manufacturing</t>
        </is>
      </c>
      <c r="K119" s="2" t="n">
        <v>1</v>
      </c>
      <c r="L119" s="2" t="inlineStr">
        <is>
          <t>materials</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is>
          <t>Outstanding Mechanical Engineers Distinguished Engineering Alumni Honorary Doctorates Staff Awards Student Awards Distinguished...</t>
        </is>
      </c>
      <c r="AE119" s="2" t="inlineStr">
        <is>
          <t>Phone: +1 (765) 494-3975 Email: future-engineers@purdue.edu | Phone: +1 (765) 494-4873 Email: EngrGrad@purdue.edu</t>
        </is>
      </c>
      <c r="AF119" s="2" t="inlineStr"/>
      <c r="AG119" s="2" t="inlineStr"/>
      <c r="AH119" s="2" t="inlineStr">
        <is>
          <t>Redox flow batteries Multivalent batteries 2D layered materials Supercapacitors Graphene Materials design and synthesis Advanced characterizations</t>
        </is>
      </c>
      <c r="AI119" s="2" t="inlineStr"/>
      <c r="AJ119" s="2" t="inlineStr">
        <is>
          <t>Redox flow batteries Multivalent batteries 2D layered materials Supercapacitors Graphene Materials design and synthesis Advanced characterizations</t>
        </is>
      </c>
      <c r="AK119" s="2" t="inlineStr">
        <is>
          <t>Ph.D. Chemistry, Brown University, 09/2009 B.S. Materials Science and Engineering, University of Science and Technology of China, 07/2003</t>
        </is>
      </c>
      <c r="AL119" s="2" t="inlineStr">
        <is>
          <t>Wei Research Group</t>
        </is>
      </c>
      <c r="AM119" s="3">
        <f>HYPERLINK("https://engineering.purdue.edu/XiaoliangWei", "https://engineering.purdue.edu/XiaoliangWei")</f>
        <v/>
      </c>
      <c r="AN119"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19" s="2" t="inlineStr"/>
      <c r="AP119" s="2" t="inlineStr"/>
      <c r="AQ119" s="2" t="inlineStr">
        <is>
          <t>DOE</t>
        </is>
      </c>
      <c r="AR119" s="2" t="inlineStr"/>
      <c r="AS119" s="2" t="inlineStr"/>
      <c r="AT119" s="2" t="inlineStr"/>
      <c r="AU119" s="2" t="b">
        <v>1</v>
      </c>
      <c r="AV119" s="3">
        <f>HYPERLINK("https://engineering.purdue.edu/ME/People/ptFaculty", "https://engineering.purdue.edu/ME/People/ptFaculty")</f>
        <v/>
      </c>
    </row>
    <row r="120">
      <c r="A120" s="2" t="inlineStr">
        <is>
          <t>Beth Hess</t>
        </is>
      </c>
      <c r="B120" s="2" t="inlineStr">
        <is>
          <t>Purdue University</t>
        </is>
      </c>
      <c r="C120" s="3">
        <f>HYPERLINK("https://engineering.purdue.edu/ME/People/ptProfile?resource_id=159504", "https://engineering.purdue.edu/ME/People/ptProfile?resource_id=159504")</f>
        <v/>
      </c>
      <c r="D120" s="3">
        <f>HYPERLINK("https://scholar.google.com/citations?view_op=search_authors&amp;mauthors=Beth%20Hess%20Purdue%20University", "Google Scholar Search")</f>
        <v/>
      </c>
      <c r="E120" s="2" t="inlineStr">
        <is>
          <t>Associate Professor of Engineering Practice; Associate Head for Experiential Learning and Director of Senior Design</t>
        </is>
      </c>
      <c r="F120" s="2" t="inlineStr">
        <is>
          <t>Mechanical Engineering</t>
        </is>
      </c>
      <c r="G120" s="2" t="inlineStr"/>
      <c r="H120" s="3">
        <f>HYPERLINK("mailto:bethhess@purdue.edu", "bethhess@purdue.edu")</f>
        <v/>
      </c>
      <c r="I120" s="2" t="n">
        <v>3</v>
      </c>
      <c r="J120" s="2" t="inlineStr">
        <is>
          <t>🟠 Tier 3: Structures / Materials / Manufacturing</t>
        </is>
      </c>
      <c r="K120" s="2" t="n">
        <v>0</v>
      </c>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is>
          <t>Outstanding Mechanical Engineers Distinguished Engineering Alumni Honorary Doctorates Staff Awards Student Awards Distinguished...</t>
        </is>
      </c>
      <c r="AE120" s="2" t="inlineStr"/>
      <c r="AF120" s="2" t="inlineStr"/>
      <c r="AG120" s="2" t="inlineStr"/>
      <c r="AH120" s="2" t="inlineStr"/>
      <c r="AI120" s="2" t="inlineStr">
        <is>
          <t>Dynamics &amp; Vibration Design &amp; Manufacturing</t>
        </is>
      </c>
      <c r="AJ120" s="2" t="inlineStr">
        <is>
          <t>Dynamics &amp; Vibration Design &amp; Manufacturing</t>
        </is>
      </c>
      <c r="AK120" s="2" t="inlineStr"/>
      <c r="AL120" s="2" t="inlineStr">
        <is>
          <t>Indiana Space Grant Consortium</t>
        </is>
      </c>
      <c r="AM120" s="3">
        <f>HYPERLINK("https://insgc.spacegrant.org/", "https://insgc.spacegrant.org/")</f>
        <v/>
      </c>
      <c r="AN120" s="2" t="inlineStr">
        <is>
          <t>Academic INSGC Internships</t>
        </is>
      </c>
      <c r="AO120" s="2" t="inlineStr"/>
      <c r="AP120" s="2" t="inlineStr"/>
      <c r="AQ120" s="2" t="inlineStr">
        <is>
          <t>NASA</t>
        </is>
      </c>
      <c r="AR120" s="2" t="inlineStr"/>
      <c r="AS120" s="2" t="inlineStr"/>
      <c r="AT120" s="2" t="inlineStr">
        <is>
          <t>ME 2204</t>
        </is>
      </c>
      <c r="AU120" s="2" t="b">
        <v>0</v>
      </c>
      <c r="AV120" s="3">
        <f>HYPERLINK("https://engineering.purdue.edu/ME/People/ptFaculty", "https://engineering.purdue.edu/ME/People/ptFaculty")</f>
        <v/>
      </c>
    </row>
    <row r="121">
      <c r="A121" s="2" t="inlineStr">
        <is>
          <t>Charles M. Krousgrill</t>
        </is>
      </c>
      <c r="B121" s="2" t="inlineStr">
        <is>
          <t>Purdue University</t>
        </is>
      </c>
      <c r="C121" s="3">
        <f>HYPERLINK("https://engineering.purdue.edu/ME/People/ptProfile?resource_id=11333", "https://engineering.purdue.edu/ME/People/ptProfile?resource_id=11333")</f>
        <v/>
      </c>
      <c r="D121" s="3">
        <f>HYPERLINK("https://scholar.google.com/citations?view_op=search_authors&amp;mauthors=Charles%20M.%20Krousgrill%20Purdue%20University", "Google Scholar Search")</f>
        <v/>
      </c>
      <c r="E121" s="2" t="inlineStr">
        <is>
          <t>Tebbe Family 150th Anniversary Professor of Mechanical Engineering</t>
        </is>
      </c>
      <c r="F121" s="2" t="inlineStr">
        <is>
          <t>Mechanical Engineering</t>
        </is>
      </c>
      <c r="G121" s="2" t="inlineStr"/>
      <c r="H121" s="3">
        <f>HYPERLINK("mailto:krousgri@purdue.edu", "krousgri@purdue.edu")</f>
        <v/>
      </c>
      <c r="I121" s="2" t="n">
        <v>3</v>
      </c>
      <c r="J121" s="2" t="inlineStr">
        <is>
          <t>🟠 Tier 3: Structures / Materials / Manufacturing</t>
        </is>
      </c>
      <c r="K121" s="2" t="n">
        <v>0</v>
      </c>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is>
          <t>Outstanding Mechanical Engineers Distinguished Engineering Alumni Honorary Doctorates Staff Awards Student Awards Distinguished...</t>
        </is>
      </c>
      <c r="AE121" s="2" t="inlineStr">
        <is>
          <t>Contact Purdue Engineering MarCom regarding any accessibility issues | Accessibility Resources | Contact Us | Email webmaster-me@ecn.purdue.edu to report a problem</t>
        </is>
      </c>
      <c r="AF121" s="2" t="inlineStr"/>
      <c r="AG121" s="2" t="inlineStr"/>
      <c r="AH121" s="2" t="inlineStr">
        <is>
          <t>Dynamics Nonlinear vibration of continuous systems Stability analysis</t>
        </is>
      </c>
      <c r="AI121" s="2" t="inlineStr">
        <is>
          <t>Dynamics &amp; Vibration</t>
        </is>
      </c>
      <c r="AJ121" s="2" t="inlineStr">
        <is>
          <t>Dynamics &amp; Vibration</t>
        </is>
      </c>
      <c r="AK121" s="2" t="inlineStr">
        <is>
          <t>B.S. Purdue, '75 M.S. Cal. Tech., '76 Ph.D. Cal. Tech., '80</t>
        </is>
      </c>
      <c r="AL121" s="2" t="inlineStr">
        <is>
          <t>Faculty Research Presentation</t>
        </is>
      </c>
      <c r="AM121" s="3">
        <f>HYPERLINK("https://engineering.purdue.edu/ME/Research/Presentations/KrousgrillME%20Research.pdf", "https://engineering.purdue.edu/ME/Research/Presentations/KrousgrillME%20Research.pdf")</f>
        <v/>
      </c>
      <c r="AN121" s="2" t="inlineStr">
        <is>
          <t>RESEARCH (Undergraduate Research) | INDUSTRY (Internships &amp; Co-Ops)</t>
        </is>
      </c>
      <c r="AO121" s="2" t="inlineStr"/>
      <c r="AP121" s="2" t="inlineStr">
        <is>
          <t>Cleanroom</t>
        </is>
      </c>
      <c r="AQ121" s="2" t="inlineStr">
        <is>
          <t>DOE</t>
        </is>
      </c>
      <c r="AR121" s="2" t="inlineStr"/>
      <c r="AS121" s="2" t="inlineStr"/>
      <c r="AT121" s="2" t="inlineStr">
        <is>
          <t>ME 3061G</t>
        </is>
      </c>
      <c r="AU121" s="2" t="b">
        <v>0</v>
      </c>
      <c r="AV121" s="3">
        <f>HYPERLINK("https://engineering.purdue.edu/ME/People/ptFaculty", "https://engineering.purdue.edu/ME/People/ptFaculty")</f>
        <v/>
      </c>
    </row>
    <row r="122">
      <c r="A122" s="2" t="inlineStr">
        <is>
          <t>George T. C. Chiu</t>
        </is>
      </c>
      <c r="B122" s="2" t="inlineStr">
        <is>
          <t>Purdue University</t>
        </is>
      </c>
      <c r="C122" s="3">
        <f>HYPERLINK("https://engineering.purdue.edu/ME/People/ptProfile?resource_id=12482", "https://engineering.purdue.edu/ME/People/ptProfile?resource_id=12482")</f>
        <v/>
      </c>
      <c r="D122" s="3">
        <f>HYPERLINK("https://scholar.google.com/citations?view_op=search_authors&amp;mauthors=George%20T.%20C.%20Chiu%20Purdue%20University", "Google Scholar Search")</f>
        <v/>
      </c>
      <c r="E122" s="2" t="inlineStr">
        <is>
          <t>Professor of Mechanical Engineering; Courtesy appointments in Electrical and Computer Engineering and Psychological Sciences</t>
        </is>
      </c>
      <c r="F122" s="2" t="inlineStr">
        <is>
          <t>Mechanical Engineering</t>
        </is>
      </c>
      <c r="G122" s="2" t="inlineStr"/>
      <c r="H122" s="3">
        <f>HYPERLINK("mailto:gchiu@purdue.edu", "gchiu@purdue.edu")</f>
        <v/>
      </c>
      <c r="I122" s="2" t="n">
        <v>3</v>
      </c>
      <c r="J122" s="2" t="inlineStr">
        <is>
          <t>🟠 Tier 3: Structures / Materials / Manufacturing</t>
        </is>
      </c>
      <c r="K122" s="2" t="n">
        <v>0</v>
      </c>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is>
          <t>Outstanding Mechanical Engineers Distinguished Engineering Alumni Honorary Doctorates Staff Awards Student Awards Distinguished...</t>
        </is>
      </c>
      <c r="AE122" s="2" t="inlineStr"/>
      <c r="AF122" s="2" t="inlineStr"/>
      <c r="AG122" s="2" t="inlineStr"/>
      <c r="AH122" s="2" t="inlineStr">
        <is>
          <t>Dynamic systems and control Mechatronics Digital and functional printing and fabrication Motion and vibration control and perception Embedded systems and real-time control</t>
        </is>
      </c>
      <c r="AI122" s="2" t="inlineStr">
        <is>
          <t>Design &amp; Manufacturing Systems, Measurements &amp; Controls</t>
        </is>
      </c>
      <c r="AJ122" s="2" t="inlineStr">
        <is>
          <t>Design &amp; Manufacturing Systems, Measurements &amp; Controls</t>
        </is>
      </c>
      <c r="AK122" s="2" t="inlineStr">
        <is>
          <t>B.S. National Taiwan University, '85 M.S. California-Berkeley, '90 Ph.D. California-Berkeley, '94</t>
        </is>
      </c>
      <c r="AL122" s="2" t="inlineStr">
        <is>
          <t>Personal Homepage</t>
        </is>
      </c>
      <c r="AM122" s="3">
        <f>HYPERLINK("https://engineering.purdue.edu/~gchiu", "https://engineering.purdue.edu/~gchiu")</f>
        <v/>
      </c>
      <c r="AN122" s="2" t="inlineStr"/>
      <c r="AO122" s="2" t="inlineStr"/>
      <c r="AP122" s="2" t="inlineStr"/>
      <c r="AQ122" s="2" t="inlineStr">
        <is>
          <t>NSF</t>
        </is>
      </c>
      <c r="AR122" s="2" t="inlineStr"/>
      <c r="AS122" s="2" t="inlineStr"/>
      <c r="AT122" s="2" t="inlineStr">
        <is>
          <t>HLAB 1015, ME 3061C</t>
        </is>
      </c>
      <c r="AU122" s="2" t="b">
        <v>0</v>
      </c>
      <c r="AV122" s="3">
        <f>HYPERLINK("https://engineering.purdue.edu/ME/People/ptFaculty", "https://engineering.purdue.edu/ME/People/ptFaculty")</f>
        <v/>
      </c>
    </row>
    <row r="123">
      <c r="A123" s="2" t="inlineStr">
        <is>
          <t>Greg Jensen</t>
        </is>
      </c>
      <c r="B123" s="2" t="inlineStr">
        <is>
          <t>Purdue University</t>
        </is>
      </c>
      <c r="C123" s="3">
        <f>HYPERLINK("https://engineering.purdue.edu/ME/People/ptProfile?resource_id=196738", "https://engineering.purdue.edu/ME/People/ptProfile?resource_id=196738")</f>
        <v/>
      </c>
      <c r="D123" s="3">
        <f>HYPERLINK("https://scholar.google.com/citations?view_op=search_authors&amp;mauthors=Greg%20Jensen%20Purdue%20University", "Google Scholar Search")</f>
        <v/>
      </c>
      <c r="E123" s="2" t="inlineStr">
        <is>
          <t>Professor of Engineering Practice</t>
        </is>
      </c>
      <c r="F123" s="2" t="inlineStr">
        <is>
          <t>Mechanical Engineering</t>
        </is>
      </c>
      <c r="G123" s="2" t="inlineStr"/>
      <c r="H123" s="3">
        <f>HYPERLINK("mailto:jensen23@purdue.edu", "jensen23@purdue.edu")</f>
        <v/>
      </c>
      <c r="I123" s="2" t="n">
        <v>3</v>
      </c>
      <c r="J123" s="2" t="inlineStr">
        <is>
          <t>🟠 Tier 3: Structures / Materials / Manufacturing</t>
        </is>
      </c>
      <c r="K123" s="2" t="n">
        <v>0</v>
      </c>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is>
          <t>Outstanding Mechanical Engineers Distinguished Engineering Alumni Honorary Doctorates Staff Awards Student Awards Distinguished...</t>
        </is>
      </c>
      <c r="AE123" s="2" t="inlineStr"/>
      <c r="AF123" s="2" t="inlineStr"/>
      <c r="AG123" s="2" t="inlineStr"/>
      <c r="AH123" s="2" t="inlineStr"/>
      <c r="AI123" s="2" t="inlineStr">
        <is>
          <t>Design &amp; Manufacturing</t>
        </is>
      </c>
      <c r="AJ123" s="2" t="inlineStr">
        <is>
          <t>Design &amp; Manufacturing</t>
        </is>
      </c>
      <c r="AK123" s="2" t="inlineStr"/>
      <c r="AL123" s="2" t="inlineStr">
        <is>
          <t>Indiana Space Grant Consortium</t>
        </is>
      </c>
      <c r="AM123" s="3">
        <f>HYPERLINK("https://insgc.spacegrant.org/", "https://insgc.spacegrant.org/")</f>
        <v/>
      </c>
      <c r="AN123" s="2" t="inlineStr">
        <is>
          <t>Academic INSGC Internships</t>
        </is>
      </c>
      <c r="AO123" s="2" t="inlineStr"/>
      <c r="AP123" s="2" t="inlineStr"/>
      <c r="AQ123" s="2" t="inlineStr">
        <is>
          <t>NASA</t>
        </is>
      </c>
      <c r="AR123" s="2" t="inlineStr"/>
      <c r="AS123" s="2" t="inlineStr"/>
      <c r="AT123" s="2" t="inlineStr"/>
      <c r="AU123" s="2" t="b">
        <v>0</v>
      </c>
      <c r="AV123" s="3">
        <f>HYPERLINK("https://engineering.purdue.edu/ME/People/ptFaculty", "https://engineering.purdue.edu/ME/People/ptFaculty")</f>
        <v/>
      </c>
    </row>
    <row r="124">
      <c r="A124" s="2" t="inlineStr">
        <is>
          <t>Liang Pan</t>
        </is>
      </c>
      <c r="B124" s="2" t="inlineStr">
        <is>
          <t>Purdue University</t>
        </is>
      </c>
      <c r="C124" s="3">
        <f>HYPERLINK("https://engineering.purdue.edu/ME/People/ptProfile?resource_id=80190", "https://engineering.purdue.edu/ME/People/ptProfile?resource_id=80190")</f>
        <v/>
      </c>
      <c r="D124" s="3">
        <f>HYPERLINK("https://scholar.google.com/citations?view_op=search_authors&amp;mauthors=Liang%20Pan%20Purdue%20University", "Google Scholar Search")</f>
        <v/>
      </c>
      <c r="E124" s="2" t="inlineStr">
        <is>
          <t>Professor of Mechanical Engineering</t>
        </is>
      </c>
      <c r="F124" s="2" t="inlineStr">
        <is>
          <t>Mechanical Engineering</t>
        </is>
      </c>
      <c r="G124" s="2" t="inlineStr"/>
      <c r="H124" s="3">
        <f>HYPERLINK("mailto:liangpan@purdue.edu", "liangpan@purdue.edu")</f>
        <v/>
      </c>
      <c r="I124" s="2" t="n">
        <v>3</v>
      </c>
      <c r="J124" s="2" t="inlineStr">
        <is>
          <t>🟠 Tier 3: Structures / Materials / Manufacturing</t>
        </is>
      </c>
      <c r="K124" s="2" t="n">
        <v>0</v>
      </c>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is>
          <t>Outstanding Mechanical Engineers Distinguished Engineering Alumni Honorary Doctorates Staff Awards Student Awards Distinguished...</t>
        </is>
      </c>
      <c r="AE124" s="2" t="inlineStr"/>
      <c r="AF124" s="2" t="inlineStr"/>
      <c r="AG124" s="2" t="inlineStr"/>
      <c r="AH124" s="2" t="inlineStr">
        <is>
          <t>Scalable nanomanufacturing: lithography and imaging Optical and magnetic data storage Nanoscale energy conversion, transfer and storage for alternative energy</t>
        </is>
      </c>
      <c r="AI124" s="2" t="inlineStr">
        <is>
          <t>Dynamics &amp; Vibration Heat &amp; Mass Transfer</t>
        </is>
      </c>
      <c r="AJ124" s="2" t="inlineStr">
        <is>
          <t>Dynamics &amp; Vibration Heat &amp; Mass Transfer</t>
        </is>
      </c>
      <c r="AK124" s="2" t="inlineStr">
        <is>
          <t>B.S. University of Science and Technology of China, '01 M.E. University of Science and Technology of China, '04 M.S. University of California, Berkeley, '09 Ph.D. University of California, Berkeley, '10</t>
        </is>
      </c>
      <c r="AL124" s="2" t="inlineStr">
        <is>
          <t>Personal Homepage</t>
        </is>
      </c>
      <c r="AM124" s="3">
        <f>HYPERLINK("http://sites.google.com/site/panliang/", "http://sites.google.com/site/panliang/")</f>
        <v/>
      </c>
      <c r="AN124" s="2" t="inlineStr">
        <is>
          <t>We have multiple openings for Ph.D. students from the following disciplines: applied physics, heat transfer, manufacturing, and materials science, and with interests in one of the following areas: micro/nano-fabrication, heat transfer, and optics.</t>
        </is>
      </c>
      <c r="AO124" s="2" t="inlineStr"/>
      <c r="AP124" s="2" t="inlineStr"/>
      <c r="AQ124" s="2" t="inlineStr"/>
      <c r="AR124" s="2" t="inlineStr"/>
      <c r="AS124" s="2" t="inlineStr"/>
      <c r="AT124" s="2" t="inlineStr">
        <is>
          <t>ME 2192</t>
        </is>
      </c>
      <c r="AU124" s="2" t="b">
        <v>0</v>
      </c>
      <c r="AV124" s="3">
        <f>HYPERLINK("https://engineering.purdue.edu/ME/People/ptFaculty", "https://engineering.purdue.edu/ME/People/ptFaculty")</f>
        <v/>
      </c>
    </row>
    <row r="125">
      <c r="A125" s="2" t="inlineStr">
        <is>
          <t>Shirley J Dyke</t>
        </is>
      </c>
      <c r="B125" s="2" t="inlineStr">
        <is>
          <t>Purdue University</t>
        </is>
      </c>
      <c r="C125" s="3">
        <f>HYPERLINK("https://engineering.purdue.edu/ME/People/ptProfile?resource_id=57291", "https://engineering.purdue.edu/ME/People/ptProfile?resource_id=57291")</f>
        <v/>
      </c>
      <c r="D125" s="3">
        <f>HYPERLINK("https://scholar.google.com/citations?view_op=search_authors&amp;mauthors=Shirley%20J%20Dyke%20Purdue%20University", "Google Scholar Search")</f>
        <v/>
      </c>
      <c r="E125" s="2" t="inlineStr">
        <is>
          <t>Donald A. and Patricia A. Coates Professor of Innovation in Mechanical Engineering</t>
        </is>
      </c>
      <c r="F125" s="2" t="inlineStr">
        <is>
          <t>Mechanical Engineering</t>
        </is>
      </c>
      <c r="G125" s="2" t="inlineStr"/>
      <c r="H125" s="3">
        <f>HYPERLINK("mailto:sdyke@purdue.edu", "sdyke@purdue.edu")</f>
        <v/>
      </c>
      <c r="I125" s="2" t="n">
        <v>3</v>
      </c>
      <c r="J125" s="2" t="inlineStr">
        <is>
          <t>🟠 Tier 3: Structures / Materials / Manufacturing</t>
        </is>
      </c>
      <c r="K125" s="2" t="n">
        <v>0</v>
      </c>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is>
          <t>Outstanding Mechanical Engineers Distinguished Engineering Alumni Honorary Doctorates Staff Awards Student Awards Distinguished...</t>
        </is>
      </c>
      <c r="AE125" s="2" t="inlineStr"/>
      <c r="AF125" s="2" t="inlineStr"/>
      <c r="AG125" s="2" t="inlineStr"/>
      <c r="AH125" s="2" t="inlineStr">
        <is>
          <t>Structural Dynamics and Control Cyber-physical Systems Machine Vision Real-time Hybrid Simulation Damage Detection and Structural Condition Monitoring Cyberinfrastructure Development</t>
        </is>
      </c>
      <c r="AI125" s="2" t="inlineStr">
        <is>
          <t>Dynamics &amp; Vibration Systems, Measurements &amp; Controls</t>
        </is>
      </c>
      <c r="AJ125" s="2" t="inlineStr">
        <is>
          <t>Dynamics &amp; Vibration Systems, Measurements &amp; Controls</t>
        </is>
      </c>
      <c r="AK125" s="2" t="inlineStr">
        <is>
          <t>Ph.D. Civil Engineering, University of Notre Dame B.S. Aeronautical and Astronautical Engineering, University of Illinois</t>
        </is>
      </c>
      <c r="AL125" s="2" t="inlineStr">
        <is>
          <t>Resilient Extra Terrestrial Habitats Institute</t>
        </is>
      </c>
      <c r="AM125" s="3">
        <f>HYPERLINK("https://purdue.edu/rethi/", "https://purdue.edu/rethi/")</f>
        <v/>
      </c>
      <c r="AN125" s="2" t="inlineStr"/>
      <c r="AO125" s="2" t="inlineStr"/>
      <c r="AP125" s="2" t="inlineStr"/>
      <c r="AQ125" s="2" t="inlineStr">
        <is>
          <t>NASA</t>
        </is>
      </c>
      <c r="AR125" s="2" t="inlineStr"/>
      <c r="AS125" s="2" t="inlineStr"/>
      <c r="AT125" s="2" t="inlineStr"/>
      <c r="AU125" s="2" t="b">
        <v>0</v>
      </c>
      <c r="AV125" s="3">
        <f>HYPERLINK("https://engineering.purdue.edu/ME/People/ptFaculty", "https://engineering.purdue.edu/ME/People/ptFaculty")</f>
        <v/>
      </c>
    </row>
    <row r="126">
      <c r="A126" s="2" t="inlineStr">
        <is>
          <t>Song Zhang</t>
        </is>
      </c>
      <c r="B126" s="2" t="inlineStr">
        <is>
          <t>Purdue University</t>
        </is>
      </c>
      <c r="C126" s="3">
        <f>HYPERLINK("https://engineering.purdue.edu/ME/People/ptProfile?resource_id=117610", "https://engineering.purdue.edu/ME/People/ptProfile?resource_id=117610")</f>
        <v/>
      </c>
      <c r="D126" s="3">
        <f>HYPERLINK("https://scholar.google.com/citations?view_op=search_authors&amp;mauthors=Song%20Zhang%20Purdue%20University", "Google Scholar Search")</f>
        <v/>
      </c>
      <c r="E126" s="2" t="inlineStr">
        <is>
          <t>Professor of Mechanical Engineering</t>
        </is>
      </c>
      <c r="F126" s="2" t="inlineStr">
        <is>
          <t>Mechanical Engineering</t>
        </is>
      </c>
      <c r="G126" s="2" t="inlineStr"/>
      <c r="H126" s="3">
        <f>HYPERLINK("mailto:szhang15@purdue.edu", "szhang15@purdue.edu")</f>
        <v/>
      </c>
      <c r="I126" s="2" t="n">
        <v>3</v>
      </c>
      <c r="J126" s="2" t="inlineStr">
        <is>
          <t>🟠 Tier 3: Structures / Materials / Manufacturing</t>
        </is>
      </c>
      <c r="K126" s="2" t="n">
        <v>0</v>
      </c>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is>
          <t>Outstanding Mechanical Engineers Distinguished Engineering Alumni Honorary Doctorates Staff Awards Student Awards Distinguished...</t>
        </is>
      </c>
      <c r="AE126" s="2" t="inlineStr"/>
      <c r="AF126" s="2" t="inlineStr"/>
      <c r="AG126" s="2" t="inlineStr"/>
      <c r="AH126" s="2" t="inlineStr">
        <is>
          <t>Multiscale superfast 3D optical sensing Biophotonic imaging Optical metrology Machine/computer vision 3D video telepresence 3D video processing Virtual reality Human computer interaction</t>
        </is>
      </c>
      <c r="AI126" s="2" t="inlineStr">
        <is>
          <t>Design &amp; Manufacturing Systems, Measurements &amp; Controls</t>
        </is>
      </c>
      <c r="AJ126" s="2" t="inlineStr">
        <is>
          <t>Design &amp; Manufacturing Systems, Measurements &amp; Controls</t>
        </is>
      </c>
      <c r="AK126" s="2" t="inlineStr">
        <is>
          <t>Ph.D., Mechanical Engineering, Stony Brook University, 2005 M.S., Mechanical Engineering, Stony Brook University, 2003 B.S., Mechanical Engineering, University of Science and Technology of China, 2000</t>
        </is>
      </c>
      <c r="AL126" s="2" t="inlineStr">
        <is>
          <t>XYZT Lab</t>
        </is>
      </c>
      <c r="AM126" s="3">
        <f>HYPERLINK("http://www.xyztlab.com", "http://www.xyztlab.com")</f>
        <v/>
      </c>
      <c r="AN126" s="2" t="inlineStr"/>
      <c r="AO126" s="2" t="inlineStr"/>
      <c r="AP126" s="2" t="inlineStr"/>
      <c r="AQ126" s="2" t="inlineStr"/>
      <c r="AR126" s="2" t="inlineStr"/>
      <c r="AS126" s="2" t="inlineStr"/>
      <c r="AT126" s="2" t="inlineStr">
        <is>
          <t>ME 3061H, FLEX 2081D</t>
        </is>
      </c>
      <c r="AU126" s="2" t="b">
        <v>0</v>
      </c>
      <c r="AV126" s="3">
        <f>HYPERLINK("https://engineering.purdue.edu/ME/People/ptFaculty", "https://engineering.purdue.edu/ME/People/ptFaculty")</f>
        <v/>
      </c>
    </row>
    <row r="127">
      <c r="A127" s="2" t="inlineStr">
        <is>
          <t>Yung C. Shin</t>
        </is>
      </c>
      <c r="B127" s="2" t="inlineStr">
        <is>
          <t>Purdue University</t>
        </is>
      </c>
      <c r="C127" s="3">
        <f>HYPERLINK("https://engineering.purdue.edu/ME/People/ptProfile?resource_id=12309", "https://engineering.purdue.edu/ME/People/ptProfile?resource_id=12309")</f>
        <v/>
      </c>
      <c r="D127" s="3">
        <f>HYPERLINK("https://scholar.google.com/citations?view_op=search_authors&amp;mauthors=Yung%20C.%20Shin%20Purdue%20University", "Google Scholar Search")</f>
        <v/>
      </c>
      <c r="E127" s="2" t="inlineStr">
        <is>
          <t>Donald A. and Nancy G. Roach Distinguished Professor of Advanced Manufacturing</t>
        </is>
      </c>
      <c r="F127" s="2" t="inlineStr">
        <is>
          <t>Mechanical Engineering</t>
        </is>
      </c>
      <c r="G127" s="2" t="inlineStr"/>
      <c r="H127" s="3">
        <f>HYPERLINK("mailto:shin@purdue.edu", "shin@purdue.edu")</f>
        <v/>
      </c>
      <c r="I127" s="2" t="n">
        <v>3</v>
      </c>
      <c r="J127" s="2" t="inlineStr">
        <is>
          <t>🟠 Tier 3: Structures / Materials / Manufacturing</t>
        </is>
      </c>
      <c r="K127" s="2" t="n">
        <v>0</v>
      </c>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is>
          <t>Outstanding Mechanical Engineers Distinguished Engineering Alumni Honorary Doctorates Staff Awards Student Awards Distinguished...</t>
        </is>
      </c>
      <c r="AE127" s="2" t="inlineStr"/>
      <c r="AF127" s="2" t="inlineStr"/>
      <c r="AG127" s="2" t="inlineStr"/>
      <c r="AH127" s="2" t="inlineStr">
        <is>
          <t>Laser additive manufacturing Ultrafast laser matter interaction Laser welding Laser assisted machining Laser shock peening Multi-physics, multi-scale modeling Micro-nano manufacturing</t>
        </is>
      </c>
      <c r="AI127" s="2" t="inlineStr">
        <is>
          <t>Design &amp; Manufacturing Systems, Measurements &amp; Controls</t>
        </is>
      </c>
      <c r="AJ127" s="2" t="inlineStr">
        <is>
          <t>Design &amp; Manufacturing Systems, Measurements &amp; Controls</t>
        </is>
      </c>
      <c r="AK127" s="2" t="inlineStr">
        <is>
          <t>B.S. Seoul National, '76 M.S. KAIST, '78 Ph.D. Wisconsin, '84</t>
        </is>
      </c>
      <c r="AL127" s="2" t="inlineStr">
        <is>
          <t>Manufacturing Laboratories</t>
        </is>
      </c>
      <c r="AM127" s="3">
        <f>HYPERLINK("http://engineering.purdue.edu/ManLab/", "http://engineering.purdue.edu/ManLab/")</f>
        <v/>
      </c>
      <c r="AN127" s="2" t="inlineStr"/>
      <c r="AO127" s="2" t="inlineStr"/>
      <c r="AP127" s="2" t="inlineStr"/>
      <c r="AQ127" s="2" t="inlineStr"/>
      <c r="AR127" s="2" t="inlineStr"/>
      <c r="AS127" s="2" t="inlineStr"/>
      <c r="AT127" s="2" t="inlineStr">
        <is>
          <t>POTR 222</t>
        </is>
      </c>
      <c r="AU127" s="2" t="b">
        <v>0</v>
      </c>
      <c r="AV127" s="3">
        <f>HYPERLINK("https://engineering.purdue.edu/ME/People/ptFaculty", "https://engineering.purdue.edu/ME/People/ptFaculty")</f>
        <v/>
      </c>
    </row>
    <row r="128">
      <c r="A128" s="2" t="inlineStr">
        <is>
          <t>Inseok Hwang</t>
        </is>
      </c>
      <c r="B128" s="2" t="inlineStr">
        <is>
          <t>Purdue University</t>
        </is>
      </c>
      <c r="C128" s="3">
        <f>HYPERLINK("https://engineering.purdue.edu/AAE/people/ptProfile?resource_id=1403", "https://engineering.purdue.edu/AAE/people/ptProfile?resource_id=1403")</f>
        <v/>
      </c>
      <c r="D128" s="3">
        <f>HYPERLINK("https://scholar.google.com/citations?view_op=search_authors&amp;mauthors=Inseok%20Hwang%20Purdue%20University", "Google Scholar Search")</f>
        <v/>
      </c>
      <c r="E128" s="2" t="inlineStr">
        <is>
          <t>Paul Stanley Professor of Aeronautics and Astronautics</t>
        </is>
      </c>
      <c r="F128" s="2" t="inlineStr">
        <is>
          <t>Aeronautics and Astronautics</t>
        </is>
      </c>
      <c r="G128" s="2" t="inlineStr"/>
      <c r="H128" s="3">
        <f>HYPERLINK("mailto:ihwang@purdue.edu", "ihwang@purdue.edu")</f>
        <v/>
      </c>
      <c r="I128" s="2" t="n">
        <v>4</v>
      </c>
      <c r="J128" s="2" t="inlineStr">
        <is>
          <t>🔴 Tier 4: Robotics / Controls / Autonomy</t>
        </is>
      </c>
      <c r="K128" s="2" t="n">
        <v>8</v>
      </c>
      <c r="L128" s="2" t="inlineStr">
        <is>
          <t>aerospace, control theory, estimation, guidance, navigation, path planning, robot, spacecraft</t>
        </is>
      </c>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is>
          <t>AIAA Associate Fellow - 2012 Selected as one of the nation’s 82 brightest young engineers by the National Academy of Engineerin...</t>
        </is>
      </c>
      <c r="AE128" s="2" t="inlineStr"/>
      <c r="AF128" s="2" t="inlineStr"/>
      <c r="AG128" s="2" t="inlineStr"/>
      <c r="AH128" s="2" t="inlineStr">
        <is>
          <t>Hybrid Systems/Nonlinear Systems: Analysis: stability and control of hybrid systems; Estimation: state estimation for hybrid systems; Information Inference: system identification for hybrid systems; Unmanned Aircraft/Spacecraft Control Unmanned Aircraft Systems (UAS): Development of Guidance, Navigation, and Control (GNC) algorithms Space applications: Control of spacecraft; Space Situational Awareness (e.g. spacecraft tracking); Formation Control of Spacecraft; Low-thrust Orbit Transfer Air Traffic Control: Target tracking and identity management, and conflict detection and resolution; Safe interface design; Real-time safety verification tools for safety critical systems Other Applications: Security and Safety of Cyber-Physical Systems; Fault Detection, Isolation and Reconfiguration; Sensor networks; Decentralized estimation and control of large scale interconnected dynamical systems.</t>
        </is>
      </c>
      <c r="AI128" s="2" t="inlineStr">
        <is>
          <t>Dr. Hwang's research has been strongly motivated by difficult and interesting practical problems such as controlling multiple-vehicle systems.  Controlling multiple-vehicle systems is one of the most important and challenging aspects of modern system theory and practice. Control of such systems involves the analysis of multiple dynamical systems which have inherently decentralized structures. The motions of vehicles have to be coordinated in such a way that the vehicles achieve their goals without conflicts between them. This requires path planning (computing optimal trajectories of vehicles from starting positions to destinations) and conflict detection and resolution. Path planning and conflict detection and resolution require information about individual vehicles, and therefore communication between vehicles for sharing this information is important.  Multiple-vehicle systems encompass a variety of applications, including groups of mobile robots (e.g., UAS), ad-hoc sensor networks, and air traffic control.  In addition, Dr. Hwang's research interests include control theory for hybrid and nonlinear systems, Unmanned Aircraft Systems, safety and security of Cyber-Physical Systems (e.g., aircraft, spacecraft, Air Traffic Control systems, and UAS), and space applications.</t>
        </is>
      </c>
      <c r="AJ128" s="2" t="inlineStr">
        <is>
          <t>Dr. Hwang's research has been strongly motivated by difficult and interesting practical problems such as controlling multiple-vehicle systems.  Controlling multiple-vehicle systems is one of the most important and challenging aspects of modern system theory and practice. Control of such systems involves the analysis of multiple dynamical systems which have inherently decentralized structures. T...</t>
        </is>
      </c>
      <c r="AK128" s="2" t="inlineStr">
        <is>
          <t>B.S., Seoul National University, Aerospace Engineering, 1992 M.S., Korea Advanced Institute of Science and Technology, Aerospace Engineering, 1994 Ph.D., Stanford University, Aeronautics and Astronautics, 2004</t>
        </is>
      </c>
      <c r="AL128" s="2" t="inlineStr">
        <is>
          <t>Indiana Space Grant Consortium</t>
        </is>
      </c>
      <c r="AM128" s="3">
        <f>HYPERLINK("https://insgc.spacegrant.org/", "https://insgc.spacegrant.org/")</f>
        <v/>
      </c>
      <c r="AN128" s="2" t="inlineStr">
        <is>
          <t>Academic INSGC Internships</t>
        </is>
      </c>
      <c r="AO128" s="2" t="inlineStr"/>
      <c r="AP128" s="2" t="inlineStr"/>
      <c r="AQ128" s="2" t="inlineStr">
        <is>
          <t>NASA</t>
        </is>
      </c>
      <c r="AR128" s="2" t="inlineStr"/>
      <c r="AS128" s="2" t="inlineStr"/>
      <c r="AT128" s="2" t="inlineStr">
        <is>
          <t>ARMS 3323</t>
        </is>
      </c>
      <c r="AU128" s="2" t="b">
        <v>1</v>
      </c>
      <c r="AV128" s="3">
        <f>HYPERLINK("https://engineering.purdue.edu/AAE/people/Faculty", "https://engineering.purdue.edu/AAE/people/Faculty")</f>
        <v/>
      </c>
    </row>
    <row r="129">
      <c r="A129" s="2" t="inlineStr">
        <is>
          <t>Keith Le Grand</t>
        </is>
      </c>
      <c r="B129" s="2" t="inlineStr">
        <is>
          <t>Purdue University</t>
        </is>
      </c>
      <c r="C129" s="3">
        <f>HYPERLINK("https://engineering.purdue.edu/AAE/people/ptProfile?resource_id=272261", "https://engineering.purdue.edu/AAE/people/ptProfile?resource_id=272261")</f>
        <v/>
      </c>
      <c r="D129" s="3">
        <f>HYPERLINK("https://scholar.google.com/citations?hl=en&amp;user=fVJDLrYAAAAJ&amp;view_op=list_works&amp;sortby=pubdate", "Scholar (fVJDLrYAAAAJ)")</f>
        <v/>
      </c>
      <c r="E129" s="2" t="inlineStr">
        <is>
          <t>Assistant Professor</t>
        </is>
      </c>
      <c r="F129" s="2" t="inlineStr">
        <is>
          <t>Aeronautics and Astronautics</t>
        </is>
      </c>
      <c r="G129" s="2" t="inlineStr">
        <is>
          <t>fVJDLrYAAAAJ</t>
        </is>
      </c>
      <c r="H129" s="3">
        <f>HYPERLINK("mailto:klegrand@purdue.edu", "klegrand@purdue.edu")</f>
        <v/>
      </c>
      <c r="I129" s="2" t="n">
        <v>4</v>
      </c>
      <c r="J129" s="2" t="inlineStr">
        <is>
          <t>🔴 Tier 4: Robotics / Controls / Autonomy</t>
        </is>
      </c>
      <c r="K129" s="2" t="n">
        <v>5</v>
      </c>
      <c r="L129" s="2" t="inlineStr">
        <is>
          <t>aerospace, autonomous, estimation, navigation, spacecraft</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is>
          <t>(2025) Air Force Office of Scientific Research (AFOSR) Young Investigator Program Award (2025) International Society of Informa...</t>
        </is>
      </c>
      <c r="AE129" s="2" t="inlineStr"/>
      <c r="AF129" s="2" t="inlineStr"/>
      <c r="AG129" s="2" t="inlineStr"/>
      <c r="AH129" s="2" t="inlineStr">
        <is>
          <t>space domain awareness; multi-sensor multi-object tracking; nonlinear estimation; spacecraft navigation; spacecraft autonomy</t>
        </is>
      </c>
      <c r="AI129" s="2" t="inlineStr">
        <is>
          <t>Keith LeGrand’s research explores the intersection of probabilistic estimation, autonomy, and space systems, with a focus on enabling intelligent sensing and decision-making in complex orbital environments. His work develops advanced Bayesian filtering, random finite set (RFS) theory, and information-driven sensor management methods to estimate, track, and characterize objects in dynamic, uncertain regimes such as cislunar space. Applications include angles-only orbit determination, multi-sensor data fusion, and autonomous tasking of ground and space-based networks for space domain awareness. By uniting theory with computational implementation, LeGrand’s research aims to advance the autonomy and resilience of future spaceflight systems for future missions in the Earth–Moon system and beyond.</t>
        </is>
      </c>
      <c r="AJ129" s="2" t="inlineStr">
        <is>
          <t>Keith LeGrand’s research explores the intersection of probabilistic estimation, autonomy, and space systems, with a focus on enabling intelligent sensing and decision-making in complex orbital environments. His work develops advanced Bayesian filtering, random finite set (RFS) theory, and information-driven sensor management methods to estimate, track, and characterize objects in dynamic, uncer...</t>
        </is>
      </c>
      <c r="AK129" s="2" t="inlineStr">
        <is>
          <t>Ph.D. Cornell University, Aerospace Engineering, 2022 M.S. Missouri University of Science and Technology, Aerospace Engineering, 2015 B.S. Missouri University of Science and Technology, Aerospace Engineering, 2014</t>
        </is>
      </c>
      <c r="AL129" s="2" t="inlineStr">
        <is>
          <t>Indiana Space Grant Consortium</t>
        </is>
      </c>
      <c r="AM129" s="3">
        <f>HYPERLINK("https://insgc.spacegrant.org/", "https://insgc.spacegrant.org/")</f>
        <v/>
      </c>
      <c r="AN129" s="2" t="inlineStr">
        <is>
          <t>Academic INSGC Internships</t>
        </is>
      </c>
      <c r="AO129" s="2" t="inlineStr"/>
      <c r="AP129" s="2" t="inlineStr"/>
      <c r="AQ129" s="2" t="inlineStr">
        <is>
          <t>NASA</t>
        </is>
      </c>
      <c r="AR129" s="2" t="inlineStr"/>
      <c r="AS129" s="2" t="inlineStr"/>
      <c r="AT129" s="2" t="inlineStr">
        <is>
          <t>ARMS 3213</t>
        </is>
      </c>
      <c r="AU129" s="2" t="b">
        <v>1</v>
      </c>
      <c r="AV129" s="3">
        <f>HYPERLINK("https://engineering.purdue.edu/AAE/people/Faculty", "https://engineering.purdue.edu/AAE/people/Faculty")</f>
        <v/>
      </c>
    </row>
    <row r="130">
      <c r="A130" s="2" t="inlineStr">
        <is>
          <t>Daniel DeLaurentis</t>
        </is>
      </c>
      <c r="B130" s="2" t="inlineStr">
        <is>
          <t>Purdue University</t>
        </is>
      </c>
      <c r="C130" s="3">
        <f>HYPERLINK("https://engineering.purdue.edu/AAE/people/ptProfile?resource_id=1429", "https://engineering.purdue.edu/AAE/people/ptProfile?resource_id=1429")</f>
        <v/>
      </c>
      <c r="D130" s="3">
        <f>HYPERLINK("https://scholar.google.com/citations?view_op=search_authors&amp;mauthors=Daniel%20DeLaurentis%20Purdue%20University", "Google Scholar Search")</f>
        <v/>
      </c>
      <c r="E130" s="2" t="inlineStr">
        <is>
          <t>Bruce Reese Professor of Aeronautics and Astronautics</t>
        </is>
      </c>
      <c r="F130" s="2" t="inlineStr">
        <is>
          <t>Aeronautics and Astronautics</t>
        </is>
      </c>
      <c r="G130" s="2" t="inlineStr"/>
      <c r="H130" s="3">
        <f>HYPERLINK("mailto:ddelaure@purdue.edu", "ddelaure@purdue.edu")</f>
        <v/>
      </c>
      <c r="I130" s="2" t="n">
        <v>4</v>
      </c>
      <c r="J130" s="2" t="inlineStr">
        <is>
          <t>🔴 Tier 4: Robotics / Controls / Autonomy</t>
        </is>
      </c>
      <c r="K130" s="2" t="n">
        <v>4</v>
      </c>
      <c r="L130" s="2" t="inlineStr">
        <is>
          <t>aerospace, autonomous, estimation, system dynamics</t>
        </is>
      </c>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is>
          <t>FELLOW of the American Institute of Aeronautics and Astronautics (AIAA), 2023 FELLOW of the International Council on Systems En...</t>
        </is>
      </c>
      <c r="AE130" s="2" t="inlineStr"/>
      <c r="AF130" s="2" t="inlineStr"/>
      <c r="AG130" s="2" t="inlineStr"/>
      <c r="AH130" s="2" t="inlineStr">
        <is>
          <t>Design Methods: Mathematical modeling and decision-support frameworks for the design of system-of systems, especially those for which air vehicles are a main element; approaches for robust design of autonomous systems and collectives/swarms Aerospace Systems and Flight Vehicles: sizing/synthesis algorithms for design &amp; performance estimation of revolutionary flight vehicles; exploration of advanced aerial mobility (AAM) designs and concept of operations; aircraft flight stability and control, especially as an integral part of conceptual design</t>
        </is>
      </c>
      <c r="AI130" s="2" t="inlineStr">
        <is>
          <t>Dr. DeLaurentis' doctoral research was motivated by the emerging paradigm of Integrated Product and Process Development (IPPD), which sought to bring historically process-based statistical approaches to product design. His work focused upon the characterization, representation, and quantification of the impact of uncertainty on aerospace design problems. Unique techniques were developed to accomplish this, including the use of Design of Experiments combined with probability theory to obtain rapid estimates of the cumulative distribution functions (CDFs) of key system metrics and objectives. Subsequently, a more direct adoption of robust feedback control concepts has been applied resulting in a new formulation for the design problem to include technology impact assessments and requirement exploration. In addition to methodological advances, the type of problems being faced by the community is changing significantly. Aerospace problems are increasingly becoming recognized as of the "system-of-systems" type, consisting of multiple interacting complex systems of differing type and function. The air transportation system is one example, as are associated issues such as personal air transportation and airborne delivery logistics architectures. Such challenges will require more than just "vehicle synthesis"; they will require "system-of-systems synthesis". Thus, Dr. DeLaurentis has embarked on two projects exploring the use of system dynamics, agent-based modeling, and other approaches to address these multi-disciplinary, multi-system problems. In addition, the areas of network theory and complexity are being explored, to better account for interconnections as well as nodes (i.e. systems) in designing future system-of-systems. The ultimate goal is to better define individual system requirements by understanding the context in which they will operate and to ensure that such operation will be robust over a wide range of plausible futures.</t>
        </is>
      </c>
      <c r="AJ130" s="2" t="inlineStr">
        <is>
          <t>Dr. DeLaurentis' doctoral research was motivated by the emerging paradigm of Integrated Product and Process Development (IPPD), which sought to bring historically process-based statistical approaches to product design. His work focused upon the characterization, representation, and quantification of the impact of uncertainty on aerospace design problems. Unique techniques were developed to acco...</t>
        </is>
      </c>
      <c r="AK130" s="2" t="inlineStr">
        <is>
          <t>B.S., Florida Institute of Technology, Aerospace Engineering, 1992 M.S., Georgia Institute of Technology, Aerospace Engineering, 1993 Ph.D., Georgia Institute of Technology, Aerospace Engineering, 1998</t>
        </is>
      </c>
      <c r="AL130" s="2" t="inlineStr">
        <is>
          <t>Indiana Space Grant Consortium</t>
        </is>
      </c>
      <c r="AM130" s="3">
        <f>HYPERLINK("https://insgc.spacegrant.org/", "https://insgc.spacegrant.org/")</f>
        <v/>
      </c>
      <c r="AN130" s="2" t="inlineStr">
        <is>
          <t>Academic INSGC Internships</t>
        </is>
      </c>
      <c r="AO130" s="2" t="inlineStr"/>
      <c r="AP130" s="2" t="inlineStr"/>
      <c r="AQ130" s="2" t="inlineStr">
        <is>
          <t>NASA</t>
        </is>
      </c>
      <c r="AR130" s="2" t="inlineStr"/>
      <c r="AS130" s="2" t="inlineStr"/>
      <c r="AT130" s="2" t="inlineStr"/>
      <c r="AU130" s="2" t="b">
        <v>1</v>
      </c>
      <c r="AV130" s="3">
        <f>HYPERLINK("https://engineering.purdue.edu/AAE/people/Faculty", "https://engineering.purdue.edu/AAE/people/Faculty")</f>
        <v/>
      </c>
    </row>
    <row r="131">
      <c r="A131" s="2" t="inlineStr">
        <is>
          <t>Dengfeng Sun</t>
        </is>
      </c>
      <c r="B131" s="2" t="inlineStr">
        <is>
          <t>Purdue University</t>
        </is>
      </c>
      <c r="C131" s="3">
        <f>HYPERLINK("https://engineering.purdue.edu/AAE/people/ptProfile?resource_id=50922", "https://engineering.purdue.edu/AAE/people/ptProfile?resource_id=50922")</f>
        <v/>
      </c>
      <c r="D131" s="3">
        <f>HYPERLINK("https://scholar.google.com/citations?view_op=search_authors&amp;mauthors=Dengfeng%20Sun%20Purdue%20University", "Google Scholar Search")</f>
        <v/>
      </c>
      <c r="E131" s="2" t="inlineStr">
        <is>
          <t>Professor, Associate Head of Gambaro Graduate Program of Aeronautics and Astronautics</t>
        </is>
      </c>
      <c r="F131" s="2" t="inlineStr">
        <is>
          <t>Aeronautics and Astronautics</t>
        </is>
      </c>
      <c r="G131" s="2" t="inlineStr"/>
      <c r="H131" s="3">
        <f>HYPERLINK("mailto:dsun@purdue.edu", "dsun@purdue.edu")</f>
        <v/>
      </c>
      <c r="I131" s="2" t="n">
        <v>4</v>
      </c>
      <c r="J131" s="2" t="inlineStr">
        <is>
          <t>🔴 Tier 4: Robotics / Controls / Autonomy</t>
        </is>
      </c>
      <c r="K131" s="2" t="n">
        <v>4</v>
      </c>
      <c r="L131" s="2" t="inlineStr">
        <is>
          <t>aerospace, drone, robot, robotics</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is>
          <t>Distributed control, optimization and autonomy Resilient network control and optimization Optimal resource management in large-scale infrastructure systems Robotics, drone technology and smart infrastructure systems Advanced air mobility, air traffic control and management, air transportation and intelligent transportation system</t>
        </is>
      </c>
      <c r="AI131" s="2" t="inlineStr">
        <is>
          <t>Autonomy and Control Aerospace Systems</t>
        </is>
      </c>
      <c r="AJ131" s="2" t="inlineStr">
        <is>
          <t>Autonomy and Control Aerospace Systems</t>
        </is>
      </c>
      <c r="AK131" s="2" t="inlineStr">
        <is>
          <t>B.Eng., Tsinghua University, Precision Instruments and Mechanology, 2000 M.S., The Ohio State University, Industrial and Systems Engineering, 2002 Ph.D., University of California at Berkeley, Civil and Environmental Engineering, 2008</t>
        </is>
      </c>
      <c r="AL131" s="2" t="inlineStr">
        <is>
          <t>Indiana Space Grant Consortium</t>
        </is>
      </c>
      <c r="AM131" s="3">
        <f>HYPERLINK("https://insgc.spacegrant.org/", "https://insgc.spacegrant.org/")</f>
        <v/>
      </c>
      <c r="AN131" s="2" t="inlineStr">
        <is>
          <t>Academic INSGC Internships</t>
        </is>
      </c>
      <c r="AO131" s="2" t="inlineStr"/>
      <c r="AP131" s="2" t="inlineStr"/>
      <c r="AQ131" s="2" t="inlineStr">
        <is>
          <t>NASA</t>
        </is>
      </c>
      <c r="AR131" s="2" t="inlineStr"/>
      <c r="AS131" s="2" t="inlineStr"/>
      <c r="AT131" s="2" t="inlineStr">
        <is>
          <t>ARMS 2031</t>
        </is>
      </c>
      <c r="AU131" s="2" t="b">
        <v>1</v>
      </c>
      <c r="AV131" s="3">
        <f>HYPERLINK("https://engineering.purdue.edu/AAE/people/Faculty", "https://engineering.purdue.edu/AAE/people/Faculty")</f>
        <v/>
      </c>
    </row>
    <row r="132">
      <c r="A132" s="2" t="inlineStr">
        <is>
          <t>Bin Yao</t>
        </is>
      </c>
      <c r="B132" s="2" t="inlineStr">
        <is>
          <t>Purdue University</t>
        </is>
      </c>
      <c r="C132" s="3">
        <f>HYPERLINK("https://engineering.purdue.edu/ME/People/ptProfile?resource_id=11271", "https://engineering.purdue.edu/ME/People/ptProfile?resource_id=11271")</f>
        <v/>
      </c>
      <c r="D132" s="3">
        <f>HYPERLINK("https://scholar.google.com/citations?view_op=search_authors&amp;mauthors=Bin%20Yao%20Purdue%20University", "Google Scholar Search")</f>
        <v/>
      </c>
      <c r="E132" s="2" t="inlineStr">
        <is>
          <t>Professor of Mechanical Engineering</t>
        </is>
      </c>
      <c r="F132" s="2" t="inlineStr">
        <is>
          <t>Mechanical Engineering</t>
        </is>
      </c>
      <c r="G132" s="2" t="inlineStr"/>
      <c r="H132" s="3">
        <f>HYPERLINK("mailto:byao@purdue.edu", "byao@purdue.edu")</f>
        <v/>
      </c>
      <c r="I132" s="2" t="n">
        <v>4</v>
      </c>
      <c r="J132" s="2" t="inlineStr">
        <is>
          <t>🔴 Tier 4: Robotics / Controls / Autonomy</t>
        </is>
      </c>
      <c r="K132" s="2" t="n">
        <v>3</v>
      </c>
      <c r="L132" s="2" t="inlineStr">
        <is>
          <t>nonlinear control, robot, robotics</t>
        </is>
      </c>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is>
          <t>Outstanding Mechanical Engineers Distinguished Engineering Alumni Honorary Doctorates Staff Awards Student Awards Distinguished...</t>
        </is>
      </c>
      <c r="AE132" s="2" t="inlineStr"/>
      <c r="AF132" s="2" t="inlineStr"/>
      <c r="AG132" s="2" t="inlineStr"/>
      <c r="AH132" s="2" t="inlineStr">
        <is>
          <t>Adaptive and robust control Nonlinear control Precision control of mechanical systems Vehicle control Robotics</t>
        </is>
      </c>
      <c r="AI132" s="2" t="inlineStr">
        <is>
          <t>Systems, Measurements &amp; Controls</t>
        </is>
      </c>
      <c r="AJ132" s="2" t="inlineStr">
        <is>
          <t>Systems, Measurements &amp; Controls</t>
        </is>
      </c>
      <c r="AK132" s="2" t="inlineStr">
        <is>
          <t>B.Eng. Beijing Univ. of Aeronautics &amp; Astronautics, '87 M.Eng. Nanyang Technological University, '92 Ph.D. California-Berkeley, '96</t>
        </is>
      </c>
      <c r="AL132" s="2" t="inlineStr">
        <is>
          <t>Personal Homepage</t>
        </is>
      </c>
      <c r="AM132" s="3">
        <f>HYPERLINK("http://engineering.purdue.edu/~byao/", "http://engineering.purdue.edu/~byao/")</f>
        <v/>
      </c>
      <c r="AN132" s="2" t="inlineStr"/>
      <c r="AO132" s="2" t="inlineStr"/>
      <c r="AP132" s="2" t="inlineStr"/>
      <c r="AQ132" s="2" t="inlineStr"/>
      <c r="AR132" s="2" t="inlineStr"/>
      <c r="AS132" s="2" t="inlineStr"/>
      <c r="AT132" s="2" t="inlineStr">
        <is>
          <t>ME 1077</t>
        </is>
      </c>
      <c r="AU132" s="2" t="b">
        <v>1</v>
      </c>
      <c r="AV132" s="3">
        <f>HYPERLINK("https://engineering.purdue.edu/ME/People/ptFaculty", "https://engineering.purdue.edu/ME/People/ptFaculty")</f>
        <v/>
      </c>
    </row>
    <row r="133">
      <c r="A133" s="2" t="inlineStr">
        <is>
          <t>Nina Mahmoudian</t>
        </is>
      </c>
      <c r="B133" s="2" t="inlineStr">
        <is>
          <t>Purdue University</t>
        </is>
      </c>
      <c r="C133" s="3">
        <f>HYPERLINK("https://engineering.purdue.edu/ME/People/ptProfile?resource_id=211078", "https://engineering.purdue.edu/ME/People/ptProfile?resource_id=211078")</f>
        <v/>
      </c>
      <c r="D133" s="3">
        <f>HYPERLINK("https://scholar.google.com/citations?view_op=search_authors&amp;mauthors=Nina%20Mahmoudian%20Purdue%20University", "Google Scholar Search")</f>
        <v/>
      </c>
      <c r="E133" s="2" t="inlineStr">
        <is>
          <t>Professor of Mechanical Engineering</t>
        </is>
      </c>
      <c r="F133" s="2" t="inlineStr">
        <is>
          <t>Mechanical Engineering</t>
        </is>
      </c>
      <c r="G133" s="2" t="inlineStr"/>
      <c r="H133" s="3">
        <f>HYPERLINK("mailto:ninam@purdue.edu", "ninam@purdue.edu")</f>
        <v/>
      </c>
      <c r="I133" s="2" t="n">
        <v>4</v>
      </c>
      <c r="J133" s="2" t="inlineStr">
        <is>
          <t>🔴 Tier 4: Robotics / Controls / Autonomy</t>
        </is>
      </c>
      <c r="K133" s="2" t="n">
        <v>3</v>
      </c>
      <c r="L133" s="2" t="inlineStr">
        <is>
          <t>aerospace, robot, robotics</t>
        </is>
      </c>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is>
          <t>Outstanding Mechanical Engineers Distinguished Engineering Alumni Honorary Doctorates Staff Awards Student Awards Distinguished...</t>
        </is>
      </c>
      <c r="AE133" s="2" t="inlineStr"/>
      <c r="AF133" s="2" t="inlineStr"/>
      <c r="AG133" s="2" t="inlineStr"/>
      <c r="AH133" s="2" t="inlineStr">
        <is>
          <t>Robotics Marine Robotics Unmanned Systems Energy Autonomy Systems Design Coordination and Controls</t>
        </is>
      </c>
      <c r="AI133" s="2" t="inlineStr">
        <is>
          <t>Design &amp; Manufacturing Systems, Measurements &amp; Controls</t>
        </is>
      </c>
      <c r="AJ133" s="2" t="inlineStr">
        <is>
          <t>Design &amp; Manufacturing Systems, Measurements &amp; Controls</t>
        </is>
      </c>
      <c r="AK133" s="2" t="inlineStr">
        <is>
          <t>Postdoctoral Associate, Aerospace Engineering, University of Maryland, 2010 Ph.D.  Aerospace Engineering, Virginia Tech, 2009 B.S.   Aerospace Engineering, Tehran Polytechnic, 1999</t>
        </is>
      </c>
      <c r="AL133" s="2" t="inlineStr">
        <is>
          <t>Mahmoudian Lab</t>
        </is>
      </c>
      <c r="AM133" s="3">
        <f>HYPERLINK("https://engineering.purdue.edu/mahmoudian", "https://engineering.purdue.edu/mahmoudian")</f>
        <v/>
      </c>
      <c r="AN133" s="2" t="inlineStr"/>
      <c r="AO133" s="2" t="inlineStr"/>
      <c r="AP133" s="2" t="inlineStr"/>
      <c r="AQ133" s="2" t="inlineStr"/>
      <c r="AR133" s="2" t="inlineStr"/>
      <c r="AS133" s="2" t="inlineStr"/>
      <c r="AT133" s="2" t="inlineStr">
        <is>
          <t>ME 1072B and KEPNER</t>
        </is>
      </c>
      <c r="AU133" s="2" t="b">
        <v>1</v>
      </c>
      <c r="AV133" s="3">
        <f>HYPERLINK("https://engineering.purdue.edu/ME/People/ptFaculty", "https://engineering.purdue.edu/ME/People/ptFaculty")</f>
        <v/>
      </c>
    </row>
    <row r="134">
      <c r="A134" s="2" t="inlineStr">
        <is>
          <t>Ran Dai</t>
        </is>
      </c>
      <c r="B134" s="2" t="inlineStr">
        <is>
          <t>Purdue University</t>
        </is>
      </c>
      <c r="C134" s="3">
        <f>HYPERLINK("https://engineering.purdue.edu/AAE/people/ptProfile?resource_id=243160", "https://engineering.purdue.edu/AAE/people/ptProfile?resource_id=243160")</f>
        <v/>
      </c>
      <c r="D134" s="3">
        <f>HYPERLINK("https://scholar.google.com/citations?view_op=search_authors&amp;mauthors=Ran%20Dai%20Purdue%20University", "Google Scholar Search")</f>
        <v/>
      </c>
      <c r="E134" s="2" t="inlineStr">
        <is>
          <t>Professor</t>
        </is>
      </c>
      <c r="F134" s="2" t="inlineStr">
        <is>
          <t>Aeronautics and Astronautics</t>
        </is>
      </c>
      <c r="G134" s="2" t="inlineStr"/>
      <c r="H134" s="3">
        <f>HYPERLINK("mailto:randai@purdue.edu", "randai@purdue.edu")</f>
        <v/>
      </c>
      <c r="I134" s="2" t="n">
        <v>4</v>
      </c>
      <c r="J134" s="2" t="inlineStr">
        <is>
          <t>🔴 Tier 4: Robotics / Controls / Autonomy</t>
        </is>
      </c>
      <c r="K134" s="2" t="n">
        <v>3</v>
      </c>
      <c r="L134" s="2" t="inlineStr">
        <is>
          <t>autonomous, optimal control, path planning</t>
        </is>
      </c>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is>
          <t>Dai's research focuses on control of autonomous systems, numerical optimization and networked dynamical systems. Her group has developed real-time optimal control algorithms for decision making and path planning of autonomous systems, especially for unmanned aerial and space vehicles. Edit var myPronunciation=document.getElementById("pronunciation");
    function play() {
    myPronunciation.play();
    }
    function pause() {
    myPronunciation.pause();
    }</t>
        </is>
      </c>
      <c r="AJ134" s="2" t="inlineStr">
        <is>
          <t>Dai's research focuses on control of autonomous systems, numerical optimization and networked dynamical systems. Her group has developed real-time optimal control algorithms for decision making and path planning of autonomous systems, especially for unmanned aerial and space vehicles. Edit var myPronunciation=document.getElementById("pronunciation");
    function play() {
    myPronunciati...</t>
        </is>
      </c>
      <c r="AK134" s="2" t="inlineStr"/>
      <c r="AL134" s="2" t="inlineStr">
        <is>
          <t>Indiana Space Grant Consortium</t>
        </is>
      </c>
      <c r="AM134" s="3">
        <f>HYPERLINK("https://insgc.spacegrant.org/", "https://insgc.spacegrant.org/")</f>
        <v/>
      </c>
      <c r="AN134" s="2" t="inlineStr">
        <is>
          <t>Academic INSGC Internships</t>
        </is>
      </c>
      <c r="AO134" s="2" t="inlineStr"/>
      <c r="AP134" s="2" t="inlineStr"/>
      <c r="AQ134" s="2" t="inlineStr">
        <is>
          <t>NASA</t>
        </is>
      </c>
      <c r="AR134" s="2" t="inlineStr"/>
      <c r="AS134" s="2" t="inlineStr"/>
      <c r="AT134" s="2" t="inlineStr">
        <is>
          <t>ARMS 3227</t>
        </is>
      </c>
      <c r="AU134" s="2" t="b">
        <v>1</v>
      </c>
      <c r="AV134" s="3">
        <f>HYPERLINK("https://engineering.purdue.edu/AAE/people/Faculty", "https://engineering.purdue.edu/AAE/people/Faculty")</f>
        <v/>
      </c>
    </row>
    <row r="135">
      <c r="A135" s="2" t="inlineStr">
        <is>
          <t>Shaoshuai Mou</t>
        </is>
      </c>
      <c r="B135" s="2" t="inlineStr">
        <is>
          <t>Purdue University</t>
        </is>
      </c>
      <c r="C135" s="3">
        <f>HYPERLINK("https://engineering.purdue.edu/AAE/people/ptProfile?resource_id=124981", "https://engineering.purdue.edu/AAE/people/ptProfile?resource_id=124981")</f>
        <v/>
      </c>
      <c r="D135" s="3">
        <f>HYPERLINK("https://scholar.google.com/citations?user=gkl8tbMAAAAJ&amp;hl=en", "Scholar (gkl8tbMAAAAJ)")</f>
        <v/>
      </c>
      <c r="E135" s="2" t="inlineStr">
        <is>
          <t>Elmer Bruhn Professor of Aeronautics and Astronautics; professor of Electrical and Computer Engineering by courtesy.</t>
        </is>
      </c>
      <c r="F135" s="2" t="inlineStr">
        <is>
          <t>Aeronautics and Astronautics</t>
        </is>
      </c>
      <c r="G135" s="2" t="inlineStr">
        <is>
          <t>gkl8tbMAAAAJ</t>
        </is>
      </c>
      <c r="H135" s="3">
        <f>HYPERLINK("mailto:mous@purdue.edu", "mous@purdue.edu")</f>
        <v/>
      </c>
      <c r="I135" s="2" t="n">
        <v>4</v>
      </c>
      <c r="J135" s="2" t="inlineStr">
        <is>
          <t>🔴 Tier 4: Robotics / Controls / Autonomy</t>
        </is>
      </c>
      <c r="K135" s="2" t="n">
        <v>3</v>
      </c>
      <c r="L135" s="2" t="inlineStr">
        <is>
          <t>autonomous, robot, robotics</t>
        </is>
      </c>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is>
          <t>Co-Director for Institute for Control, Optimization and Networks (ICON) (since 2019) Co-Chair for Purdue University Strategic I...</t>
        </is>
      </c>
      <c r="AE135" s="2" t="inlineStr"/>
      <c r="AF135" s="2" t="inlineStr"/>
      <c r="AG135" s="2" t="inlineStr"/>
      <c r="AH135" s="2" t="inlineStr">
        <is>
          <t>Research interests in our group include Multi-Agent Systems, Autonomy, Control, Optimization, Learning, and Robotics. Our lab is Autonomous &amp; Intelligent Multi-agent Systems (AIMS) Lab , which aims to investigate autonomy and intelligence for networked systems consisting of multiple unmanned mobile agents, through combination of theories in control, networks, optimizations and artificial intelligence. We are interested in both theoretical research towards novel control algorithms for coordination among a large-network of mobile agents and experimental implementations for improving autonomy and intelligence of the  overall networked system. More research details can be found at AIMS Lab . Positions for Ph.D. and Postdoc. We are very interested in integration of control and learning, robotics, perception-based multi-agent coordination. Students with solid background in mathematics and control as well as hands-on experience in robotics are encouraged to apply.</t>
        </is>
      </c>
      <c r="AI135" s="2" t="inlineStr"/>
      <c r="AJ135" s="2" t="inlineStr">
        <is>
          <t>Research interests in our group include Multi-Agent Systems, Autonomy, Control, Optimization, Learning, and Robotics. Our lab is Autonomous &amp; Intelligent Multi-agent Systems (AIMS) Lab , which aims to investigate autonomy and intelligence for networked systems consisting of multiple unmanned mobile agents, through combination of theories in control, networks, optimizations and artificial intell...</t>
        </is>
      </c>
      <c r="AK135" s="2" t="inlineStr">
        <is>
          <t>Ph.D., Yale University, 2014</t>
        </is>
      </c>
      <c r="AL135" s="2" t="inlineStr">
        <is>
          <t>Indiana Space Grant Consortium</t>
        </is>
      </c>
      <c r="AM135" s="3">
        <f>HYPERLINK("https://insgc.spacegrant.org/", "https://insgc.spacegrant.org/")</f>
        <v/>
      </c>
      <c r="AN135" s="2" t="inlineStr">
        <is>
          <t>Academic INSGC Internships</t>
        </is>
      </c>
      <c r="AO135" s="2" t="inlineStr"/>
      <c r="AP135" s="2" t="inlineStr"/>
      <c r="AQ135" s="2" t="inlineStr">
        <is>
          <t>NASA</t>
        </is>
      </c>
      <c r="AR135" s="2" t="inlineStr"/>
      <c r="AS135" s="2" t="inlineStr"/>
      <c r="AT135" s="2" t="inlineStr">
        <is>
          <t>ARMS 3329</t>
        </is>
      </c>
      <c r="AU135" s="2" t="b">
        <v>1</v>
      </c>
      <c r="AV135" s="3">
        <f>HYPERLINK("https://engineering.purdue.edu/AAE/people/Faculty", "https://engineering.purdue.edu/AAE/people/Faculty")</f>
        <v/>
      </c>
    </row>
    <row r="136">
      <c r="A136" s="2" t="inlineStr">
        <is>
          <t>Xinyan Deng</t>
        </is>
      </c>
      <c r="B136" s="2" t="inlineStr">
        <is>
          <t>Purdue University</t>
        </is>
      </c>
      <c r="C136" s="3">
        <f>HYPERLINK("https://engineering.purdue.edu/ME/People/ptProfile?resource_id=57378", "https://engineering.purdue.edu/ME/People/ptProfile?resource_id=57378")</f>
        <v/>
      </c>
      <c r="D136" s="3">
        <f>HYPERLINK("https://scholar.google.com/citations?view_op=search_authors&amp;mauthors=Xinyan%20Deng%20Purdue%20University", "Google Scholar Search")</f>
        <v/>
      </c>
      <c r="E136" s="2" t="inlineStr">
        <is>
          <t>Associate Professor of Mechanical Engineering</t>
        </is>
      </c>
      <c r="F136" s="2" t="inlineStr">
        <is>
          <t>Mechanical Engineering</t>
        </is>
      </c>
      <c r="G136" s="2" t="inlineStr"/>
      <c r="H136" s="3">
        <f>HYPERLINK("mailto:xdeng@purdue.edu", "xdeng@purdue.edu")</f>
        <v/>
      </c>
      <c r="I136" s="2" t="n">
        <v>4</v>
      </c>
      <c r="J136" s="2" t="inlineStr">
        <is>
          <t>🔴 Tier 4: Robotics / Controls / Autonomy</t>
        </is>
      </c>
      <c r="K136" s="2" t="n">
        <v>3</v>
      </c>
      <c r="L136" s="2" t="inlineStr">
        <is>
          <t>fluid mechanics, robot, robotics</t>
        </is>
      </c>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is>
          <t>Outstanding Mechanical Engineers Distinguished Engineering Alumni Honorary Doctorates Staff Awards Student Awards Distinguished...</t>
        </is>
      </c>
      <c r="AE136" s="2" t="inlineStr"/>
      <c r="AF136" s="2" t="inlineStr"/>
      <c r="AG136" s="2" t="inlineStr"/>
      <c r="AH136" s="2" t="inlineStr">
        <is>
          <t>Principles of aerial and aquatic locomotion in animals Experimental fluid mechanics Dynamics Control Bio-inspired robotics Biologically inspired micro aerial vehicles and underwater robots Bio-sensing and sensor fusion algorithms</t>
        </is>
      </c>
      <c r="AI136" s="2" t="inlineStr">
        <is>
          <t>Systems, Measurements &amp; Controls</t>
        </is>
      </c>
      <c r="AJ136" s="2" t="inlineStr">
        <is>
          <t>Systems, Measurements &amp; Controls</t>
        </is>
      </c>
      <c r="AK136" s="2" t="inlineStr">
        <is>
          <t>Ph.D., University of California at Berkeley, '04 B.S., Tianjin University, China, '95</t>
        </is>
      </c>
      <c r="AL136" s="2" t="inlineStr">
        <is>
          <t>Bio-Robotics Lab</t>
        </is>
      </c>
      <c r="AM136" s="3">
        <f>HYPERLINK("http://engineering.purdue.edu/~xdeng/", "http://engineering.purdue.edu/~xdeng/")</f>
        <v/>
      </c>
      <c r="AN136" s="2" t="inlineStr"/>
      <c r="AO136" s="2" t="inlineStr"/>
      <c r="AP136" s="2" t="inlineStr">
        <is>
          <t>Wind Tunnel, PIV, Particle Image Velocimetry</t>
        </is>
      </c>
      <c r="AQ136" s="2" t="inlineStr"/>
      <c r="AR136" s="2" t="inlineStr"/>
      <c r="AS136" s="2" t="inlineStr"/>
      <c r="AT136" s="2" t="inlineStr">
        <is>
          <t>ME 1069</t>
        </is>
      </c>
      <c r="AU136" s="2" t="b">
        <v>1</v>
      </c>
      <c r="AV136" s="3">
        <f>HYPERLINK("https://engineering.purdue.edu/ME/People/ptFaculty", "https://engineering.purdue.edu/ME/People/ptFaculty")</f>
        <v/>
      </c>
    </row>
    <row r="137">
      <c r="A137" s="2" t="inlineStr">
        <is>
          <t>Yan Gu</t>
        </is>
      </c>
      <c r="B137" s="2" t="inlineStr">
        <is>
          <t>Purdue University</t>
        </is>
      </c>
      <c r="C137" s="3">
        <f>HYPERLINK("https://engineering.purdue.edu/ME/People/ptProfile?resource_id=273141", "https://engineering.purdue.edu/ME/People/ptProfile?resource_id=273141")</f>
        <v/>
      </c>
      <c r="D137" s="3">
        <f>HYPERLINK("https://scholar.google.com/citations?view_op=search_authors&amp;mauthors=Yan%20Gu%20Purdue%20University", "Google Scholar Search")</f>
        <v/>
      </c>
      <c r="E137" s="2" t="inlineStr">
        <is>
          <t>Associate Professor Of Mechanical Engineering</t>
        </is>
      </c>
      <c r="F137" s="2" t="inlineStr">
        <is>
          <t>Mechanical Engineering</t>
        </is>
      </c>
      <c r="G137" s="2" t="inlineStr"/>
      <c r="H137" s="3">
        <f>HYPERLINK("mailto:yangu@purdue.edu", "yangu@purdue.edu")</f>
        <v/>
      </c>
      <c r="I137" s="2" t="n">
        <v>4</v>
      </c>
      <c r="J137" s="2" t="inlineStr">
        <is>
          <t>🔴 Tier 4: Robotics / Controls / Autonomy</t>
        </is>
      </c>
      <c r="K137" s="2" t="n">
        <v>3</v>
      </c>
      <c r="L137" s="2" t="inlineStr">
        <is>
          <t>estimation, robot, robotics</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is>
          <t>Outstanding Mechanical Engineers Distinguished Engineering Alumni Honorary Doctorates Staff Awards Student Awards Distinguished...</t>
        </is>
      </c>
      <c r="AE137" s="2" t="inlineStr"/>
      <c r="AF137" s="2" t="inlineStr"/>
      <c r="AG137" s="2" t="inlineStr"/>
      <c r="AH137" s="2" t="inlineStr">
        <is>
          <t>Legged locomotion Humanoid and quadrupedal robots Wearable robotics Hybrid dynamical systems Control State estimation Dynamics</t>
        </is>
      </c>
      <c r="AI137" s="2" t="inlineStr">
        <is>
          <t>Systems, Measurements &amp; Controls</t>
        </is>
      </c>
      <c r="AJ137" s="2" t="inlineStr">
        <is>
          <t>Systems, Measurements &amp; Controls</t>
        </is>
      </c>
      <c r="AK137" s="2" t="inlineStr">
        <is>
          <t>Ph.D., Purdue, '17 B.S., Zhejiang University, China, '11</t>
        </is>
      </c>
      <c r="AL137" s="2" t="inlineStr">
        <is>
          <t>TRACE Lab</t>
        </is>
      </c>
      <c r="AM137" s="3">
        <f>HYPERLINK("https://www.thetracelab.com/", "https://www.thetracelab.com/")</f>
        <v/>
      </c>
      <c r="AN137" s="2" t="inlineStr">
        <is>
          <t>Actively recruiting / Openings mentioned on lab site</t>
        </is>
      </c>
      <c r="AO137" s="2" t="inlineStr"/>
      <c r="AP137" s="2" t="inlineStr"/>
      <c r="AQ137" s="2" t="inlineStr">
        <is>
          <t>NSF, ONR</t>
        </is>
      </c>
      <c r="AR137" s="2" t="inlineStr"/>
      <c r="AS137" s="2" t="inlineStr"/>
      <c r="AT137" s="2" t="inlineStr">
        <is>
          <t>ME 1065</t>
        </is>
      </c>
      <c r="AU137" s="2" t="b">
        <v>1</v>
      </c>
      <c r="AV137" s="3">
        <f>HYPERLINK("https://engineering.purdue.edu/ME/People/ptFaculty", "https://engineering.purdue.edu/ME/People/ptFaculty")</f>
        <v/>
      </c>
    </row>
    <row r="138">
      <c r="A138" s="2" t="inlineStr">
        <is>
          <t>David Cappelleri</t>
        </is>
      </c>
      <c r="B138" s="2" t="inlineStr">
        <is>
          <t>Purdue University</t>
        </is>
      </c>
      <c r="C138" s="3">
        <f>HYPERLINK("https://engineering.purdue.edu/ME/People/ptProfile?resource_id=92669", "https://engineering.purdue.edu/ME/People/ptProfile?resource_id=92669")</f>
        <v/>
      </c>
      <c r="D138" s="3">
        <f>HYPERLINK("https://scholar.google.com/citations?view_op=search_authors&amp;mauthors=David%20Cappelleri%20Purdue%20University", "Google Scholar Search")</f>
        <v/>
      </c>
      <c r="E138" s="2" t="inlineStr">
        <is>
          <t>Professor of Mechanical Engineering; Assistant Vice President for Research Innovation</t>
        </is>
      </c>
      <c r="F138" s="2" t="inlineStr">
        <is>
          <t>Mechanical Engineering</t>
        </is>
      </c>
      <c r="G138" s="2" t="inlineStr"/>
      <c r="H138" s="3">
        <f>HYPERLINK("mailto:dcappell@purdue.edu", "dcappell@purdue.edu")</f>
        <v/>
      </c>
      <c r="I138" s="2" t="n">
        <v>4</v>
      </c>
      <c r="J138" s="2" t="inlineStr">
        <is>
          <t>🔴 Tier 4: Robotics / Controls / Autonomy</t>
        </is>
      </c>
      <c r="K138" s="2" t="n">
        <v>2</v>
      </c>
      <c r="L138" s="2" t="inlineStr">
        <is>
          <t>robot, robotics</t>
        </is>
      </c>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is>
          <t>Outstanding Mechanical Engineers Distinguished Engineering Alumni Honorary Doctorates Staff Awards Student Awards Distinguished...</t>
        </is>
      </c>
      <c r="AE138" s="2" t="inlineStr"/>
      <c r="AF138" s="2" t="inlineStr"/>
      <c r="AG138" s="2" t="inlineStr"/>
      <c r="AH138" s="2" t="inlineStr">
        <is>
          <t>Multi-scale robotic manipulation and assembly Mobile micro/nano robotics Micro/nano aerial vehicles Micro-Bio robotics Mechatronics MEMS/NEMS Automation for the life sciences</t>
        </is>
      </c>
      <c r="AI138" s="2" t="inlineStr">
        <is>
          <t>Dynamics &amp; Vibration Design &amp; Manufacturing Systems, Measurements &amp; Controls</t>
        </is>
      </c>
      <c r="AJ138" s="2" t="inlineStr">
        <is>
          <t>Dynamics &amp; Vibration Design &amp; Manufacturing Systems, Measurements &amp; Controls</t>
        </is>
      </c>
      <c r="AK138" s="2" t="inlineStr">
        <is>
          <t>B.S., Mechanical Engineering, Villanova University, '98 M.S., Mechanical Engineering, The Pennsylvania State University, ‘00 Ph.D., Mechanical Engineering &amp; Applied Mechanics, University of Pennsylvania, '08</t>
        </is>
      </c>
      <c r="AL138" s="2" t="inlineStr">
        <is>
          <t>Multi-Scale Robotics &amp; Automation Lab</t>
        </is>
      </c>
      <c r="AM138" s="3">
        <f>HYPERLINK("http://www.multiscalerobotics.org/", "http://www.multiscalerobotics.org/")</f>
        <v/>
      </c>
      <c r="AN138" s="2" t="inlineStr"/>
      <c r="AO138" s="2" t="inlineStr"/>
      <c r="AP138" s="2" t="inlineStr"/>
      <c r="AQ138" s="2" t="inlineStr"/>
      <c r="AR138" s="2" t="inlineStr"/>
      <c r="AS138" s="2" t="inlineStr"/>
      <c r="AT138" s="2" t="inlineStr">
        <is>
          <t>FLEX 2021C</t>
        </is>
      </c>
      <c r="AU138" s="2" t="b">
        <v>1</v>
      </c>
      <c r="AV138" s="3">
        <f>HYPERLINK("https://engineering.purdue.edu/ME/People/ptFaculty", "https://engineering.purdue.edu/ME/People/ptFaculty")</f>
        <v/>
      </c>
    </row>
    <row r="139">
      <c r="A139" s="2" t="inlineStr">
        <is>
          <t>Husheng Li</t>
        </is>
      </c>
      <c r="B139" s="2" t="inlineStr">
        <is>
          <t>Purdue University</t>
        </is>
      </c>
      <c r="C139" s="3">
        <f>HYPERLINK("https://engineering.purdue.edu/AAE/people/ptProfile?resource_id=270776", "https://engineering.purdue.edu/AAE/people/ptProfile?resource_id=270776")</f>
        <v/>
      </c>
      <c r="D139" s="3">
        <f>HYPERLINK("https://scholar.google.com/citations?view_op=search_authors&amp;mauthors=Husheng%20Li%20Purdue%20University", "Google Scholar Search")</f>
        <v/>
      </c>
      <c r="E139" s="2" t="inlineStr">
        <is>
          <t>Professor Of Aero And Astro Engineering</t>
        </is>
      </c>
      <c r="F139" s="2" t="inlineStr">
        <is>
          <t>Aeronautics and Astronautics</t>
        </is>
      </c>
      <c r="G139" s="2" t="inlineStr"/>
      <c r="H139" s="3">
        <f>HYPERLINK("mailto:husheng@purdue.edu", "husheng@purdue.edu")</f>
        <v/>
      </c>
      <c r="I139" s="2" t="n">
        <v>4</v>
      </c>
      <c r="J139" s="2" t="inlineStr">
        <is>
          <t>🔴 Tier 4: Robotics / Controls / Autonomy</t>
        </is>
      </c>
      <c r="K139" s="2" t="n">
        <v>2</v>
      </c>
      <c r="L139" s="2" t="inlineStr">
        <is>
          <t>autonomous, uav</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is>
          <t>Dr. Li has previously researched cyber physical systems, statistical signal processing, wireless communications, and information theory. His current work is in autonomous and connected systems, UAV sensing and communications, and joint design of control and communication systems. Edit var myPronunciation=document.getElementById("pronunciation");
    function play() {
    myPronunciation.play();
    }
    function pause() {
    myPronunciation.pause();
    }</t>
        </is>
      </c>
      <c r="AJ139" s="2" t="inlineStr">
        <is>
          <t>Dr. Li has previously researched cyber physical systems, statistical signal processing, wireless communications, and information theory. His current work is in autonomous and connected systems, UAV sensing and communications, and joint design of control and communication systems. Edit var myPronunciation=document.getElementById("pronunciation");
    function play() {
    myPronunciation.pl...</t>
        </is>
      </c>
      <c r="AK139" s="2" t="inlineStr">
        <is>
          <t>PhD in Electrical Engineering, Princeton University BS and MS in Electronic Engineering, Tsinghua University</t>
        </is>
      </c>
      <c r="AL139" s="2" t="inlineStr">
        <is>
          <t>Indiana Space Grant Consortium</t>
        </is>
      </c>
      <c r="AM139" s="3">
        <f>HYPERLINK("https://insgc.spacegrant.org/", "https://insgc.spacegrant.org/")</f>
        <v/>
      </c>
      <c r="AN139" s="2" t="inlineStr">
        <is>
          <t>Academic INSGC Internships</t>
        </is>
      </c>
      <c r="AO139" s="2" t="inlineStr"/>
      <c r="AP139" s="2" t="inlineStr"/>
      <c r="AQ139" s="2" t="inlineStr">
        <is>
          <t>NASA</t>
        </is>
      </c>
      <c r="AR139" s="2" t="inlineStr"/>
      <c r="AS139" s="2" t="inlineStr"/>
      <c r="AT139" s="2" t="inlineStr">
        <is>
          <t>ARMS 3215</t>
        </is>
      </c>
      <c r="AU139" s="2" t="b">
        <v>1</v>
      </c>
      <c r="AV139" s="3">
        <f>HYPERLINK("https://engineering.purdue.edu/AAE/people/Faculty", "https://engineering.purdue.edu/AAE/people/Faculty")</f>
        <v/>
      </c>
    </row>
    <row r="140">
      <c r="A140" s="2" t="inlineStr">
        <is>
          <t>Karen Marais</t>
        </is>
      </c>
      <c r="B140" s="2" t="inlineStr">
        <is>
          <t>Purdue University</t>
        </is>
      </c>
      <c r="C140" s="3">
        <f>HYPERLINK("https://engineering.purdue.edu/AAE/people/ptProfile?resource_id=50933", "https://engineering.purdue.edu/AAE/people/ptProfile?resource_id=50933")</f>
        <v/>
      </c>
      <c r="D140" s="3">
        <f>HYPERLINK("https://scholar.google.com/citations?view_op=search_authors&amp;mauthors=Karen%20Marais%20Purdue%20University", "Google Scholar Search")</f>
        <v/>
      </c>
      <c r="E140" s="2" t="inlineStr">
        <is>
          <t>Professor; Associate Head for Undergraduate Education</t>
        </is>
      </c>
      <c r="F140" s="2" t="inlineStr">
        <is>
          <t>Aeronautics and Astronautics</t>
        </is>
      </c>
      <c r="G140" s="2" t="inlineStr"/>
      <c r="H140" s="3">
        <f>HYPERLINK("mailto:kmarais@purdue.edu", "kmarais@purdue.edu")</f>
        <v/>
      </c>
      <c r="I140" s="2" t="n">
        <v>4</v>
      </c>
      <c r="J140" s="2" t="inlineStr">
        <is>
          <t>🔴 Tier 4: Robotics / Controls / Autonomy</t>
        </is>
      </c>
      <c r="K140" s="2" t="n">
        <v>2</v>
      </c>
      <c r="L140" s="2" t="inlineStr">
        <is>
          <t>aerospace, control theory</t>
        </is>
      </c>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is>
          <t>Safety and Risk Analysis Systems Engineering Education Financial Modeling of Engineering Systems Environmental Impacts of Technology</t>
        </is>
      </c>
      <c r="AI140" s="2" t="inlineStr">
        <is>
          <t>My research is multi-disciplinary in nature, spanning traditional engineering disciplines such as reliability, maintainability, and risk analysis, and extending to engineering economics (e.g., environmental impact of aviation and policy choices and implications) and organizational behavior (in particular in regard to system safety). The fundamental aim of my research is to guide better engineering decisions in system design and operation. To that end I perform research in three general areas: System Safety and Risk Analysis In this work, I investigate new ways of addressing the safety and risk challenges posed by complex systems. I am currently investigating the application of techniques from control theory and digital signal processing to risk analysis. Value-Centric System Design and Operation In this work, I investigate system design and operation from the perspective of design impact on value. For example, recently my co-authors and I investigated the impact of reliability on system value and used our analysis to develop a method to identify optimal reliability levels that maximize system value delivery over time. I am now extending this perspective to system maintenance (an area with significant growth potential) and adapting this work to the civil aviation industry. Civil Aviation Policy In this work, I investigate various aspects of civil aviation policy. I focus on two areas. First, technology is seen as one of the primary enablers of increased air traffic over the next two decades. However, airlines and general aviation users are often reluctant to adopt new technologies. Using a value-centric approach I developed a framework that can be used to identify and address the causes of adoption reluctance and so increase the likelihood of successful technology transitions. Second, the impact of aviation on the environment is receiving increasing attention. However, aviation environmental policies are usually evaluated in isolation or on a cost-effectiveness basis. Such evaluations do not take into account the complex interdependencies between aviation environmental effects (e.g., quieter engines may be heavier and therefore increase fuel consumption). Here, again, a value-centric perspective that takes into account both the benefits and costs of aviation can allow better policy decisions.</t>
        </is>
      </c>
      <c r="AJ140" s="2" t="inlineStr">
        <is>
          <t>My research is multi-disciplinary in nature, spanning traditional engineering disciplines such as reliability, maintainability, and risk analysis, and extending to engineering economics (e.g., environmental impact of aviation and policy choices and implications) and organizational behavior (in particular in regard to system safety). The fundamental aim of my research is to guide better engineer...</t>
        </is>
      </c>
      <c r="AK140" s="2" t="inlineStr">
        <is>
          <t>B.Eng. University of Stellenbosch, Electrical and Electronic Engineering, 1994 B.Sc. University of South Africa, Mathematics, 1997 S.M. Massachusetts Institute of Technology, Aerospace Engineering, 2001 Ph.D. Massachusetts Institute of Technology, Aerospace Engineering, 2005</t>
        </is>
      </c>
      <c r="AL140" s="2" t="inlineStr">
        <is>
          <t>Indiana Space Grant Consortium</t>
        </is>
      </c>
      <c r="AM140" s="3">
        <f>HYPERLINK("https://insgc.spacegrant.org/", "https://insgc.spacegrant.org/")</f>
        <v/>
      </c>
      <c r="AN140" s="2" t="inlineStr">
        <is>
          <t>Academic INSGC Internships</t>
        </is>
      </c>
      <c r="AO140" s="2" t="inlineStr"/>
      <c r="AP140" s="2" t="inlineStr"/>
      <c r="AQ140" s="2" t="inlineStr">
        <is>
          <t>NASA</t>
        </is>
      </c>
      <c r="AR140" s="2" t="inlineStr"/>
      <c r="AS140" s="2" t="inlineStr"/>
      <c r="AT140" s="2" t="inlineStr">
        <is>
          <t>ARMS 2041</t>
        </is>
      </c>
      <c r="AU140" s="2" t="b">
        <v>1</v>
      </c>
      <c r="AV140" s="3">
        <f>HYPERLINK("https://engineering.purdue.edu/AAE/people/Faculty", "https://engineering.purdue.edu/AAE/people/Faculty")</f>
        <v/>
      </c>
    </row>
    <row r="141">
      <c r="A141" s="2" t="inlineStr">
        <is>
          <t>Karthik Ramani</t>
        </is>
      </c>
      <c r="B141" s="2" t="inlineStr">
        <is>
          <t>Purdue University</t>
        </is>
      </c>
      <c r="C141" s="3">
        <f>HYPERLINK("https://engineering.purdue.edu/ME/People/ptProfile?resource_id=12331", "https://engineering.purdue.edu/ME/People/ptProfile?resource_id=12331")</f>
        <v/>
      </c>
      <c r="D141" s="3">
        <f>HYPERLINK("https://scholar.google.com/citations?view_op=search_authors&amp;mauthors=Karthik%20Ramani%20Purdue%20University", "Google Scholar Search")</f>
        <v/>
      </c>
      <c r="E141" s="2" t="inlineStr">
        <is>
          <t>Donald W. Feddersen Distinguished Professor of Mechanical Engineering; Professor of Electrical and Computer Engineering, Professor of Educational Studies, College of Education (by courtesy)</t>
        </is>
      </c>
      <c r="F141" s="2" t="inlineStr">
        <is>
          <t>Mechanical Engineering</t>
        </is>
      </c>
      <c r="G141" s="2" t="inlineStr"/>
      <c r="H141" s="3">
        <f>HYPERLINK("mailto:ramani@purdue.edu", "ramani@purdue.edu")</f>
        <v/>
      </c>
      <c r="I141" s="2" t="n">
        <v>4</v>
      </c>
      <c r="J141" s="2" t="inlineStr">
        <is>
          <t>🔴 Tier 4: Robotics / Controls / Autonomy</t>
        </is>
      </c>
      <c r="K141" s="2" t="n">
        <v>2</v>
      </c>
      <c r="L141" s="2" t="inlineStr">
        <is>
          <t>robot, robotics</t>
        </is>
      </c>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is>
          <t>Outstanding Mechanical Engineers Distinguished Engineering Alumni Honorary Doctorates Staff Awards Student Awards Distinguished...</t>
        </is>
      </c>
      <c r="AE141" s="2" t="inlineStr"/>
      <c r="AF141" s="2" t="inlineStr"/>
      <c r="AG141" s="2" t="inlineStr"/>
      <c r="AH141" s="2" t="inlineStr">
        <is>
          <t>Human Skill and Augmentation Collaborative and Hybridized Intelligence Deep Learning of Shapes and Computer Vision Human-Robot-Machine Interactions Making to Manufacturing (M2M) Factory of the Future and Robotics Manufacturing Productivity</t>
        </is>
      </c>
      <c r="AI141" s="2" t="inlineStr">
        <is>
          <t>Design &amp; Manufacturing</t>
        </is>
      </c>
      <c r="AJ141" s="2" t="inlineStr">
        <is>
          <t>Design &amp; Manufacturing</t>
        </is>
      </c>
      <c r="AK141" s="2" t="inlineStr">
        <is>
          <t>B.S. IIT Madras, '85 M.S. Ohio State, '87 Ph.D. Stanford, '91</t>
        </is>
      </c>
      <c r="AL141" s="2" t="inlineStr">
        <is>
          <t>Convergence Design Lab</t>
        </is>
      </c>
      <c r="AM141" s="3">
        <f>HYPERLINK("https://engineering.purdue.edu/cdesign", "https://engineering.purdue.edu/cdesign")</f>
        <v/>
      </c>
      <c r="AN141" s="2" t="inlineStr"/>
      <c r="AO141" s="2" t="inlineStr"/>
      <c r="AP141" s="2" t="inlineStr"/>
      <c r="AQ141" s="2" t="inlineStr"/>
      <c r="AR141" s="2" t="inlineStr"/>
      <c r="AS141" s="2" t="inlineStr"/>
      <c r="AT141" s="2" t="inlineStr">
        <is>
          <t>ME 3176</t>
        </is>
      </c>
      <c r="AU141" s="2" t="b">
        <v>1</v>
      </c>
      <c r="AV141" s="3">
        <f>HYPERLINK("https://engineering.purdue.edu/ME/People/ptFaculty", "https://engineering.purdue.edu/ME/People/ptFaculty")</f>
        <v/>
      </c>
    </row>
    <row r="142">
      <c r="A142" s="2" t="inlineStr">
        <is>
          <t>Laura Blumenschein</t>
        </is>
      </c>
      <c r="B142" s="2" t="inlineStr">
        <is>
          <t>Purdue University</t>
        </is>
      </c>
      <c r="C142" s="3">
        <f>HYPERLINK("https://engineering.purdue.edu/ME/People/ptProfile?resource_id=241064", "https://engineering.purdue.edu/ME/People/ptProfile?resource_id=241064")</f>
        <v/>
      </c>
      <c r="D142" s="3">
        <f>HYPERLINK("https://scholar.google.com/citations?view_op=search_authors&amp;mauthors=Laura%20Blumenschein%20Purdue%20University", "Google Scholar Search")</f>
        <v/>
      </c>
      <c r="E142" s="2" t="inlineStr">
        <is>
          <t>Assistant Professor of Mechanical Engineering</t>
        </is>
      </c>
      <c r="F142" s="2" t="inlineStr">
        <is>
          <t>Mechanical Engineering</t>
        </is>
      </c>
      <c r="G142" s="2" t="inlineStr"/>
      <c r="H142" s="3">
        <f>HYPERLINK("mailto:lhblumen@purdue.edu", "lhblumen@purdue.edu")</f>
        <v/>
      </c>
      <c r="I142" s="2" t="n">
        <v>4</v>
      </c>
      <c r="J142" s="2" t="inlineStr">
        <is>
          <t>🔴 Tier 4: Robotics / Controls / Autonomy</t>
        </is>
      </c>
      <c r="K142" s="2" t="n">
        <v>2</v>
      </c>
      <c r="L142" s="2" t="inlineStr">
        <is>
          <t>robot, robotics</t>
        </is>
      </c>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is>
          <t>Outstanding Mechanical Engineers Distinguished Engineering Alumni Honorary Doctorates Staff Awards Student Awards Distinguished...</t>
        </is>
      </c>
      <c r="AE142" s="2" t="inlineStr"/>
      <c r="AF142" s="2" t="inlineStr"/>
      <c r="AG142" s="2" t="inlineStr"/>
      <c r="AH142" s="2" t="inlineStr">
        <is>
          <t>Growing robots Soft robotics Bioinspired systems Wearable robots Haptics Soft matter</t>
        </is>
      </c>
      <c r="AI142" s="2" t="inlineStr">
        <is>
          <t>Design &amp; Manufacturing Systems, Measurements &amp; Controls</t>
        </is>
      </c>
      <c r="AJ142" s="2" t="inlineStr">
        <is>
          <t>Design &amp; Manufacturing Systems, Measurements &amp; Controls</t>
        </is>
      </c>
      <c r="AK142" s="2" t="inlineStr">
        <is>
          <t>Ph.D., Stanford University '19 M.S., Rice University '16 B.S., Rice University '15</t>
        </is>
      </c>
      <c r="AL142" s="2" t="inlineStr">
        <is>
          <t>RAAD Lab</t>
        </is>
      </c>
      <c r="AM142" s="3">
        <f>HYPERLINK("https://lhblumen.wixsite.com/website-1", "https://lhblumen.wixsite.com/website-1")</f>
        <v/>
      </c>
      <c r="AN142" s="2" t="inlineStr">
        <is>
          <t>Actively recruiting / Openings mentioned on lab site</t>
        </is>
      </c>
      <c r="AO142" s="2" t="inlineStr"/>
      <c r="AP142" s="2" t="inlineStr"/>
      <c r="AQ142" s="2" t="inlineStr">
        <is>
          <t>NSF</t>
        </is>
      </c>
      <c r="AR142" s="2" t="inlineStr"/>
      <c r="AS142" s="2" t="inlineStr"/>
      <c r="AT142" s="2" t="inlineStr">
        <is>
          <t>ME 1075</t>
        </is>
      </c>
      <c r="AU142" s="2" t="b">
        <v>1</v>
      </c>
      <c r="AV142" s="3">
        <f>HYPERLINK("https://engineering.purdue.edu/ME/People/ptFaculty", "https://engineering.purdue.edu/ME/People/ptFaculty")</f>
        <v/>
      </c>
    </row>
    <row r="143">
      <c r="A143" s="2" t="inlineStr">
        <is>
          <t>Andrea Vacca</t>
        </is>
      </c>
      <c r="B143" s="2" t="inlineStr">
        <is>
          <t>Purdue University</t>
        </is>
      </c>
      <c r="C143" s="3">
        <f>HYPERLINK("https://engineering.purdue.edu/ME/People/ptProfile?resource_id=61666", "https://engineering.purdue.edu/ME/People/ptProfile?resource_id=61666")</f>
        <v/>
      </c>
      <c r="D143" s="3">
        <f>HYPERLINK("https://scholar.google.com/citations?view_op=search_authors&amp;mauthors=Andrea%20Vacca%20Purdue%20University", "Google Scholar Search")</f>
        <v/>
      </c>
      <c r="E143" s="2" t="inlineStr">
        <is>
          <t>Maha Fluid Power Faculty Chair, Professor of Mechanical Engineering, joint with Agricultural and Biological Engineering</t>
        </is>
      </c>
      <c r="F143" s="2" t="inlineStr">
        <is>
          <t>Mechanical Engineering</t>
        </is>
      </c>
      <c r="G143" s="2" t="inlineStr"/>
      <c r="H143" s="3">
        <f>HYPERLINK("mailto:avacca@purdue.edu", "avacca@purdue.edu")</f>
        <v/>
      </c>
      <c r="I143" s="2" t="n">
        <v>4</v>
      </c>
      <c r="J143" s="2" t="inlineStr">
        <is>
          <t>🔴 Tier 4: Robotics / Controls / Autonomy</t>
        </is>
      </c>
      <c r="K143" s="2" t="n">
        <v>1</v>
      </c>
      <c r="L143" s="2" t="inlineStr">
        <is>
          <t>fluid mechanics</t>
        </is>
      </c>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is>
          <t>Outstanding Mechanical Engineers Distinguished Engineering Alumni Honorary Doctorates Staff Awards Student Awards Distinguished...</t>
        </is>
      </c>
      <c r="AE143" s="2" t="inlineStr">
        <is>
          <t>Contact us today to learn about the advantages of becoming a member at Maha Labs! Email Andrea Vacca: avacca@purdue.edu | If you are interested in a research position at the Maha Fluid Power Research Center, please email your application to Dr. Vacca ( avacca@purdue.edu ) or Dr. Shang ( shangl@purdue.edu ).</t>
        </is>
      </c>
      <c r="AF143" s="2" t="inlineStr"/>
      <c r="AG143" s="2" t="inlineStr"/>
      <c r="AH143" s="2" t="inlineStr">
        <is>
          <t>Modeling and simulation of hydraulic systems Modeling and testing of pumps and motors for fluid power applications Hydraulic valves modeling and testing Reduction of noise emissions in fluid power systems</t>
        </is>
      </c>
      <c r="AI143" s="2" t="inlineStr">
        <is>
          <t>Fluid Mechanics Heat &amp; Mass Transfer</t>
        </is>
      </c>
      <c r="AJ143" s="2" t="inlineStr">
        <is>
          <t>Fluid Mechanics Heat &amp; Mass Transfer</t>
        </is>
      </c>
      <c r="AK143" s="2" t="inlineStr">
        <is>
          <t>M.S., University of Parma (Italy), '99 Ph.D., University of Florence (Italy), '05</t>
        </is>
      </c>
      <c r="AL143" s="2" t="inlineStr">
        <is>
          <t>Maha Fluid Power Research Center</t>
        </is>
      </c>
      <c r="AM143" s="3">
        <f>HYPERLINK("https://engineering.purdue.edu/Maha", "https://engineering.purdue.edu/Maha")</f>
        <v/>
      </c>
      <c r="AN143" s="2" t="inlineStr">
        <is>
          <t>Receive biannual updates on “Maha recommended” Purdue students looking for job opportunities Participate in a recruiting session during the annual Maha Fluid Power Conference Organize a private recruiting event at the Maha Fluid Power Research Center* | Receive biannual updates on “Maha recommended” Purdue students looking for job opportunities</t>
        </is>
      </c>
      <c r="AO143" s="2" t="inlineStr"/>
      <c r="AP143" s="2" t="inlineStr">
        <is>
          <t>Cluster</t>
        </is>
      </c>
      <c r="AQ143" s="2" t="inlineStr"/>
      <c r="AR143" s="2" t="inlineStr"/>
      <c r="AS143" s="2" t="inlineStr"/>
      <c r="AT143" s="2" t="inlineStr"/>
      <c r="AU143" s="2" t="b">
        <v>1</v>
      </c>
      <c r="AV143" s="3">
        <f>HYPERLINK("https://engineering.purdue.edu/ME/People/ptFaculty", "https://engineering.purdue.edu/ME/People/ptFaculty")</f>
        <v/>
      </c>
    </row>
    <row r="144">
      <c r="A144" s="2" t="inlineStr">
        <is>
          <t>Arthur E. Frazho</t>
        </is>
      </c>
      <c r="B144" s="2" t="inlineStr">
        <is>
          <t>Purdue University</t>
        </is>
      </c>
      <c r="C144" s="3">
        <f>HYPERLINK("https://engineering.purdue.edu/AAE/people/ptProfile?resource_id=1339", "https://engineering.purdue.edu/AAE/people/ptProfile?resource_id=1339")</f>
        <v/>
      </c>
      <c r="D144" s="3">
        <f>HYPERLINK("https://scholar.google.com/citations?view_op=search_authors&amp;mauthors=Arthur%20E.%20Frazho%20Purdue%20University", "Google Scholar Search")</f>
        <v/>
      </c>
      <c r="E144" s="2" t="inlineStr">
        <is>
          <t>Professor</t>
        </is>
      </c>
      <c r="F144" s="2" t="inlineStr">
        <is>
          <t>Aeronautics and Astronautics</t>
        </is>
      </c>
      <c r="G144" s="2" t="inlineStr"/>
      <c r="H144" s="3">
        <f>HYPERLINK("mailto:frazho@purdue.edu", "frazho@purdue.edu")</f>
        <v/>
      </c>
      <c r="I144" s="2" t="n">
        <v>4</v>
      </c>
      <c r="J144" s="2" t="inlineStr">
        <is>
          <t>🔴 Tier 4: Robotics / Controls / Autonomy</t>
        </is>
      </c>
      <c r="K144" s="2" t="n">
        <v>1</v>
      </c>
      <c r="L144" s="2" t="inlineStr">
        <is>
          <t>nonlinear control</t>
        </is>
      </c>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is>
          <t>2006 - The W. A. Gustafson Award (teaching award)</t>
        </is>
      </c>
      <c r="AE144" s="2" t="inlineStr"/>
      <c r="AF144" s="2" t="inlineStr"/>
      <c r="AG144" s="2" t="inlineStr"/>
      <c r="AH144" s="2" t="inlineStr">
        <is>
          <t>Control systems</t>
        </is>
      </c>
      <c r="AI144" s="2" t="inlineStr">
        <is>
          <t>This research develops and applies operator theory to problems in deterministic and stochastic control systems. These techniques are used to design models for both linear and nonlinear control systems. We also obtain fast recursive algorithms for computing reduced order models. This also yields a theory of Hinfinity controller reduction and pole placement with applications to large space structure control. Finally, these techniques are used to solve problems in signal processing and inverse scattering theory.</t>
        </is>
      </c>
      <c r="AJ144" s="2" t="inlineStr">
        <is>
          <t>This research develops and applies operator theory to problems in deterministic and stochastic control systems. These techniques are used to design models for both linear and nonlinear control systems. We also obtain fast recursive algorithms for computing reduced order models. This also yields a theory of Hinfinity controller reduction and pole placement with applications to large space struct...</t>
        </is>
      </c>
      <c r="AK144" s="2" t="inlineStr">
        <is>
          <t>B.S.E., The University of Michigan, Ann Arbor, Computer Engineering, 1973 M.S.E., The University of Michigan, Ann Arbor, Computer Information and Control Engineering, 1974 Ph.D., The University of Michigan, Ann Arbor, Computer Information and Control Engineering, 1977</t>
        </is>
      </c>
      <c r="AL144" s="2" t="inlineStr">
        <is>
          <t>Indiana Space Grant Consortium</t>
        </is>
      </c>
      <c r="AM144" s="3">
        <f>HYPERLINK("https://insgc.spacegrant.org/", "https://insgc.spacegrant.org/")</f>
        <v/>
      </c>
      <c r="AN144" s="2" t="inlineStr">
        <is>
          <t>Academic INSGC Internships</t>
        </is>
      </c>
      <c r="AO144" s="2" t="inlineStr"/>
      <c r="AP144" s="2" t="inlineStr"/>
      <c r="AQ144" s="2" t="inlineStr">
        <is>
          <t>NASA</t>
        </is>
      </c>
      <c r="AR144" s="2" t="inlineStr"/>
      <c r="AS144" s="2" t="inlineStr"/>
      <c r="AT144" s="2" t="inlineStr">
        <is>
          <t>ARMS 3333</t>
        </is>
      </c>
      <c r="AU144" s="2" t="b">
        <v>1</v>
      </c>
      <c r="AV144" s="3">
        <f>HYPERLINK("https://engineering.purdue.edu/AAE/people/Faculty", "https://engineering.purdue.edu/AAE/people/Faculty")</f>
        <v/>
      </c>
    </row>
    <row r="145">
      <c r="A145" s="2" t="inlineStr">
        <is>
          <t>Brandon Chynoweth</t>
        </is>
      </c>
      <c r="B145" s="2" t="inlineStr">
        <is>
          <t>Purdue University</t>
        </is>
      </c>
      <c r="C145" s="3">
        <f>HYPERLINK("https://engineering.purdue.edu/AAE/people/ptProfile?resource_id=132802", "https://engineering.purdue.edu/AAE/people/ptProfile?resource_id=132802")</f>
        <v/>
      </c>
      <c r="D145" s="3">
        <f>HYPERLINK("https://scholar.google.com/citations?view_op=search_authors&amp;mauthors=Brandon%20Chynoweth%20Purdue%20University", "Google Scholar Search")</f>
        <v/>
      </c>
      <c r="E145" s="2" t="inlineStr">
        <is>
          <t>Research Associate Professor</t>
        </is>
      </c>
      <c r="F145" s="2" t="inlineStr">
        <is>
          <t>Aeronautics and Astronautics</t>
        </is>
      </c>
      <c r="G145" s="2" t="inlineStr"/>
      <c r="H145" s="3">
        <f>HYPERLINK("mailto:bchynowe@purdue.edu", "bchynowe@purdue.edu")</f>
        <v/>
      </c>
      <c r="I145" s="2" t="n">
        <v>4</v>
      </c>
      <c r="J145" s="2" t="inlineStr">
        <is>
          <t>🔴 Tier 4: Robotics / Controls / Autonomy</t>
        </is>
      </c>
      <c r="K145" s="2" t="n">
        <v>1</v>
      </c>
      <c r="L145" s="2" t="inlineStr">
        <is>
          <t>aerospace</t>
        </is>
      </c>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is>
          <t>Ph.D. Purdue University, Aeronautics and Astronautics, 2018 M.S. Purdue University, Aeronautics and Astronautics, 2015</t>
        </is>
      </c>
      <c r="AL145" s="2" t="inlineStr">
        <is>
          <t>Indiana Space Grant Consortium</t>
        </is>
      </c>
      <c r="AM145" s="3">
        <f>HYPERLINK("https://insgc.spacegrant.org/", "https://insgc.spacegrant.org/")</f>
        <v/>
      </c>
      <c r="AN145" s="2" t="inlineStr">
        <is>
          <t>Academic INSGC Internships</t>
        </is>
      </c>
      <c r="AO145" s="2" t="inlineStr"/>
      <c r="AP145" s="2" t="inlineStr"/>
      <c r="AQ145" s="2" t="inlineStr">
        <is>
          <t>NASA</t>
        </is>
      </c>
      <c r="AR145" s="2" t="inlineStr"/>
      <c r="AS145" s="2" t="inlineStr"/>
      <c r="AT145" s="2" t="inlineStr"/>
      <c r="AU145" s="2" t="b">
        <v>1</v>
      </c>
      <c r="AV145" s="3">
        <f>HYPERLINK("https://engineering.purdue.edu/AAE/people/Faculty", "https://engineering.purdue.edu/AAE/people/Faculty")</f>
        <v/>
      </c>
    </row>
    <row r="146">
      <c r="A146" s="2" t="inlineStr">
        <is>
          <t>Brett Meyers</t>
        </is>
      </c>
      <c r="B146" s="2" t="inlineStr">
        <is>
          <t>Purdue University</t>
        </is>
      </c>
      <c r="C146" s="3">
        <f>HYPERLINK("https://engineering.purdue.edu/ME/People/ptProfile?resource_id=137267", "https://engineering.purdue.edu/ME/People/ptProfile?resource_id=137267")</f>
        <v/>
      </c>
      <c r="D146" s="3">
        <f>HYPERLINK("https://scholar.google.com/citations?view_op=search_authors&amp;mauthors=Brett%20Meyers%20Purdue%20University", "Google Scholar Search")</f>
        <v/>
      </c>
      <c r="E146" s="2" t="inlineStr">
        <is>
          <t>Assistant Research Professor (by Courtesy)</t>
        </is>
      </c>
      <c r="F146" s="2" t="inlineStr">
        <is>
          <t>Mechanical Engineering</t>
        </is>
      </c>
      <c r="G146" s="2" t="inlineStr"/>
      <c r="H146" s="3">
        <f>HYPERLINK("mailto:meyers18@purdue.edu", "meyers18@purdue.edu")</f>
        <v/>
      </c>
      <c r="I146" s="2" t="n">
        <v>4</v>
      </c>
      <c r="J146" s="2" t="inlineStr">
        <is>
          <t>🔴 Tier 4: Robotics / Controls / Autonomy</t>
        </is>
      </c>
      <c r="K146" s="2" t="n">
        <v>1</v>
      </c>
      <c r="L146" s="2" t="inlineStr">
        <is>
          <t>fluid mechanics</t>
        </is>
      </c>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is>
          <t>Outstanding Mechanical Engineers Distinguished Engineering Alumni Honorary Doctorates Staff Awards Student Awards Distinguished...</t>
        </is>
      </c>
      <c r="AE146" s="2" t="inlineStr"/>
      <c r="AF146" s="2" t="inlineStr"/>
      <c r="AG146" s="2" t="inlineStr"/>
      <c r="AH146" s="2" t="inlineStr">
        <is>
          <t>Cardiovascular flows</t>
        </is>
      </c>
      <c r="AI146" s="2" t="inlineStr">
        <is>
          <t>Fluid Mechanics</t>
        </is>
      </c>
      <c r="AJ146" s="2" t="inlineStr">
        <is>
          <t>Fluid Mechanics</t>
        </is>
      </c>
      <c r="AK146" s="2" t="inlineStr"/>
      <c r="AL146" s="2" t="inlineStr">
        <is>
          <t>Indiana Space Grant Consortium</t>
        </is>
      </c>
      <c r="AM146" s="3">
        <f>HYPERLINK("https://insgc.spacegrant.org/", "https://insgc.spacegrant.org/")</f>
        <v/>
      </c>
      <c r="AN146" s="2" t="inlineStr">
        <is>
          <t>Academic INSGC Internships</t>
        </is>
      </c>
      <c r="AO146" s="2" t="inlineStr"/>
      <c r="AP146" s="2" t="inlineStr"/>
      <c r="AQ146" s="2" t="inlineStr">
        <is>
          <t>NASA</t>
        </is>
      </c>
      <c r="AR146" s="2" t="inlineStr"/>
      <c r="AS146" s="2" t="inlineStr"/>
      <c r="AT146" s="2" t="inlineStr"/>
      <c r="AU146" s="2" t="b">
        <v>1</v>
      </c>
      <c r="AV146" s="3">
        <f>HYPERLINK("https://engineering.purdue.edu/ME/People/ptFaculty", "https://engineering.purdue.edu/ME/People/ptFaculty")</f>
        <v/>
      </c>
    </row>
    <row r="147">
      <c r="A147" s="2" t="inlineStr">
        <is>
          <t>Cagri A. Savran</t>
        </is>
      </c>
      <c r="B147" s="2" t="inlineStr">
        <is>
          <t>Purdue University</t>
        </is>
      </c>
      <c r="C147" s="3">
        <f>HYPERLINK("https://engineering.purdue.edu/ME/People/ptProfile?resource_id=2871", "https://engineering.purdue.edu/ME/People/ptProfile?resource_id=2871")</f>
        <v/>
      </c>
      <c r="D147" s="3">
        <f>HYPERLINK("https://scholar.google.com/citations?view_op=search_authors&amp;mauthors=Cagri%20A.%20Savran%20Purdue%20University", "Google Scholar Search")</f>
        <v/>
      </c>
      <c r="E147" s="2" t="inlineStr">
        <is>
          <t>Professor of Mechanical Engineering, by courtesy in Biomedical Engineering and Electrical and Computer Engineering</t>
        </is>
      </c>
      <c r="F147" s="2" t="inlineStr">
        <is>
          <t>Mechanical Engineering</t>
        </is>
      </c>
      <c r="G147" s="2" t="inlineStr"/>
      <c r="H147" s="3">
        <f>HYPERLINK("mailto:savran@purdue.edu", "savran@purdue.edu")</f>
        <v/>
      </c>
      <c r="I147" s="2" t="n">
        <v>4</v>
      </c>
      <c r="J147" s="2" t="inlineStr">
        <is>
          <t>🔴 Tier 4: Robotics / Controls / Autonomy</t>
        </is>
      </c>
      <c r="K147" s="2" t="n">
        <v>1</v>
      </c>
      <c r="L147" s="2" t="inlineStr">
        <is>
          <t>fluid mechanics</t>
        </is>
      </c>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is>
          <t>Outstanding Mechanical Engineers Distinguished Engineering Alumni Honorary Doctorates Staff Awards Student Awards Distinguished...</t>
        </is>
      </c>
      <c r="AE147" s="2" t="inlineStr"/>
      <c r="AF147" s="2" t="inlineStr"/>
      <c r="AG147" s="2" t="inlineStr"/>
      <c r="AH147" s="2" t="inlineStr">
        <is>
          <t>MEMS, nanotechnology BioMEMS Biosensors Protein detection Aptamers (Nucleic-acid-based receptor molecules)</t>
        </is>
      </c>
      <c r="AI147" s="2" t="inlineStr">
        <is>
          <t>Fluid Mechanics Systems, Measurements &amp; Controls</t>
        </is>
      </c>
      <c r="AJ147" s="2" t="inlineStr">
        <is>
          <t>Fluid Mechanics Systems, Measurements &amp; Controls</t>
        </is>
      </c>
      <c r="AK147" s="2" t="inlineStr">
        <is>
          <t>B.S. Purdue, '98 M.S. MIT, '00 Ph.D. MIT, '04</t>
        </is>
      </c>
      <c r="AL147" s="2" t="inlineStr">
        <is>
          <t>Indiana Space Grant Consortium</t>
        </is>
      </c>
      <c r="AM147" s="3">
        <f>HYPERLINK("https://insgc.spacegrant.org/", "https://insgc.spacegrant.org/")</f>
        <v/>
      </c>
      <c r="AN147" s="2" t="inlineStr">
        <is>
          <t>Academic INSGC Internships</t>
        </is>
      </c>
      <c r="AO147" s="2" t="inlineStr"/>
      <c r="AP147" s="2" t="inlineStr"/>
      <c r="AQ147" s="2" t="inlineStr">
        <is>
          <t>NASA</t>
        </is>
      </c>
      <c r="AR147" s="2" t="inlineStr"/>
      <c r="AS147" s="2" t="inlineStr"/>
      <c r="AT147" s="2" t="inlineStr">
        <is>
          <t>ME G089</t>
        </is>
      </c>
      <c r="AU147" s="2" t="b">
        <v>1</v>
      </c>
      <c r="AV147" s="3">
        <f>HYPERLINK("https://engineering.purdue.edu/ME/People/ptFaculty", "https://engineering.purdue.edu/ME/People/ptFaculty")</f>
        <v/>
      </c>
    </row>
    <row r="148">
      <c r="A148" s="2" t="inlineStr">
        <is>
          <t>Daniel Williams</t>
        </is>
      </c>
      <c r="B148" s="2" t="inlineStr">
        <is>
          <t>Purdue University</t>
        </is>
      </c>
      <c r="C148" s="3">
        <f>HYPERLINK("https://engineering.purdue.edu/ME/People/ptProfile?resource_id=293356", "https://engineering.purdue.edu/ME/People/ptProfile?resource_id=293356")</f>
        <v/>
      </c>
      <c r="D148" s="3">
        <f>HYPERLINK("https://scholar.google.com/citations?view_op=search_authors&amp;mauthors=Daniel%20Williams%20Purdue%20University", "Google Scholar Search")</f>
        <v/>
      </c>
      <c r="E148" s="2" t="inlineStr">
        <is>
          <t>Professor Of Engineering Practice</t>
        </is>
      </c>
      <c r="F148" s="2" t="inlineStr">
        <is>
          <t>Mechanical Engineering</t>
        </is>
      </c>
      <c r="G148" s="2" t="inlineStr"/>
      <c r="H148" s="3">
        <f>HYPERLINK("mailto:dewillia@purdue.edu", "dewillia@purdue.edu")</f>
        <v/>
      </c>
      <c r="I148" s="2" t="n">
        <v>4</v>
      </c>
      <c r="J148" s="2" t="inlineStr">
        <is>
          <t>🔴 Tier 4: Robotics / Controls / Autonomy</t>
        </is>
      </c>
      <c r="K148" s="2" t="n">
        <v>1</v>
      </c>
      <c r="L148" s="2" t="inlineStr">
        <is>
          <t>autonomous</t>
        </is>
      </c>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is>
          <t>Outstanding Mechanical Engineers Distinguished Engineering Alumni Honorary Doctorates Staff Awards Student Awards Distinguished...</t>
        </is>
      </c>
      <c r="AE148" s="2" t="inlineStr"/>
      <c r="AF148" s="2" t="inlineStr"/>
      <c r="AG148" s="2" t="inlineStr"/>
      <c r="AH148" s="2" t="inlineStr">
        <is>
          <t>Vehicle Chassis Control Systems Vehicle Dynamics Autonomous Vehicles Human Driver Dynamics</t>
        </is>
      </c>
      <c r="AI148" s="2" t="inlineStr">
        <is>
          <t>Dynamics &amp; Vibration Systems, Measurements &amp; Controls Motorsports</t>
        </is>
      </c>
      <c r="AJ148" s="2" t="inlineStr">
        <is>
          <t>Dynamics &amp; Vibration Systems, Measurements &amp; Controls Motorsports</t>
        </is>
      </c>
      <c r="AK148" s="2" t="inlineStr">
        <is>
          <t>Ph.D. Mechanical Engineering, Florida Institute of Technology, 1995 M.S. General Engineering, University of Illinois, 1987 B.S. Agricultural Engineering, University of Illinois, 1985 MBA Florida Institute of Technology, 1990 M.A. History, Purdue University, 2008</t>
        </is>
      </c>
      <c r="AL148" s="2" t="inlineStr">
        <is>
          <t>Indiana Space Grant Consortium</t>
        </is>
      </c>
      <c r="AM148" s="3">
        <f>HYPERLINK("https://insgc.spacegrant.org/", "https://insgc.spacegrant.org/")</f>
        <v/>
      </c>
      <c r="AN148" s="2" t="inlineStr">
        <is>
          <t>Academic INSGC Internships</t>
        </is>
      </c>
      <c r="AO148" s="2" t="inlineStr"/>
      <c r="AP148" s="2" t="inlineStr"/>
      <c r="AQ148" s="2" t="inlineStr">
        <is>
          <t>NASA</t>
        </is>
      </c>
      <c r="AR148" s="2" t="inlineStr"/>
      <c r="AS148" s="2" t="inlineStr"/>
      <c r="AT148" s="2" t="inlineStr"/>
      <c r="AU148" s="2" t="b">
        <v>1</v>
      </c>
      <c r="AV148" s="3">
        <f>HYPERLINK("https://engineering.purdue.edu/ME/People/ptFaculty", "https://engineering.purdue.edu/ME/People/ptFaculty")</f>
        <v/>
      </c>
    </row>
    <row r="149">
      <c r="A149" s="2" t="inlineStr">
        <is>
          <t>John Eric Goff</t>
        </is>
      </c>
      <c r="B149" s="2" t="inlineStr">
        <is>
          <t>Purdue University</t>
        </is>
      </c>
      <c r="C149" s="3">
        <f>HYPERLINK("https://engineering.purdue.edu/ME/People/ptProfile?resource_id=340479", "https://engineering.purdue.edu/ME/People/ptProfile?resource_id=340479")</f>
        <v/>
      </c>
      <c r="D149" s="3">
        <f>HYPERLINK("https://scholar.google.com/citations?view_op=search_authors&amp;mauthors=John%20Eric%20Goff%20Purdue%20University", "Google Scholar Search")</f>
        <v/>
      </c>
      <c r="E149" s="2" t="inlineStr">
        <is>
          <t>Professor of Engineering Practice In Biomedical Engineering and Mechanical Engineering</t>
        </is>
      </c>
      <c r="F149" s="2" t="inlineStr">
        <is>
          <t>Mechanical Engineering</t>
        </is>
      </c>
      <c r="G149" s="2" t="inlineStr"/>
      <c r="H149" s="3">
        <f>HYPERLINK("mailto:goffje@purdue.edu", "goffje@purdue.edu")</f>
        <v/>
      </c>
      <c r="I149" s="2" t="n">
        <v>4</v>
      </c>
      <c r="J149" s="2" t="inlineStr">
        <is>
          <t>🔴 Tier 4: Robotics / Controls / Autonomy</t>
        </is>
      </c>
      <c r="K149" s="2" t="n">
        <v>1</v>
      </c>
      <c r="L149" s="2" t="inlineStr">
        <is>
          <t>fluid mechanics</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is>
          <t>Outstanding Mechanical Engineers Distinguished Engineering Alumni Honorary Doctorates Staff Awards Student Awards Distinguished...</t>
        </is>
      </c>
      <c r="AE149" s="2" t="inlineStr"/>
      <c r="AF149" s="2" t="inlineStr"/>
      <c r="AG149" s="2" t="inlineStr"/>
      <c r="AH149" s="2" t="inlineStr">
        <is>
          <t>Sports engineering (equipment, soccer balls, shoes, etc.) Biomedical engineering (athletic performance, safety) Physics</t>
        </is>
      </c>
      <c r="AI149" s="2" t="inlineStr">
        <is>
          <t>Fluid Mechanics</t>
        </is>
      </c>
      <c r="AJ149" s="2" t="inlineStr">
        <is>
          <t>Fluid Mechanics</t>
        </is>
      </c>
      <c r="AK149" s="2" t="inlineStr"/>
      <c r="AL149" s="2" t="inlineStr">
        <is>
          <t>Indiana Space Grant Consortium</t>
        </is>
      </c>
      <c r="AM149" s="3">
        <f>HYPERLINK("https://insgc.spacegrant.org/", "https://insgc.spacegrant.org/")</f>
        <v/>
      </c>
      <c r="AN149" s="2" t="inlineStr">
        <is>
          <t>Academic INSGC Internships</t>
        </is>
      </c>
      <c r="AO149" s="2" t="inlineStr"/>
      <c r="AP149" s="2" t="inlineStr"/>
      <c r="AQ149" s="2" t="inlineStr">
        <is>
          <t>NASA</t>
        </is>
      </c>
      <c r="AR149" s="2" t="inlineStr"/>
      <c r="AS149" s="2" t="inlineStr"/>
      <c r="AT149" s="2" t="inlineStr"/>
      <c r="AU149" s="2" t="b">
        <v>1</v>
      </c>
      <c r="AV149" s="3">
        <f>HYPERLINK("https://engineering.purdue.edu/ME/People/ptFaculty", "https://engineering.purdue.edu/ME/People/ptFaculty")</f>
        <v/>
      </c>
    </row>
    <row r="150">
      <c r="A150" s="2" t="inlineStr">
        <is>
          <t>Kevin Parsons</t>
        </is>
      </c>
      <c r="B150" s="2" t="inlineStr">
        <is>
          <t>Purdue University</t>
        </is>
      </c>
      <c r="C150" s="3">
        <f>HYPERLINK("https://engineering.purdue.edu/AAE/people/ptProfile?resource_id=316433", "https://engineering.purdue.edu/AAE/people/ptProfile?resource_id=316433")</f>
        <v/>
      </c>
      <c r="D150" s="3">
        <f>HYPERLINK("https://scholar.google.com/citations?view_op=search_authors&amp;mauthors=Kevin%20Parsons%20Purdue%20University", "Google Scholar Search")</f>
        <v/>
      </c>
      <c r="E150" s="2" t="inlineStr">
        <is>
          <t>Associate Professor Of Engineering Practice</t>
        </is>
      </c>
      <c r="F150" s="2" t="inlineStr">
        <is>
          <t>Aeronautics and Astronautics</t>
        </is>
      </c>
      <c r="G150" s="2" t="inlineStr"/>
      <c r="H150" s="3">
        <f>HYPERLINK("mailto:kkparson@purdue.edu", "kkparson@purdue.edu")</f>
        <v/>
      </c>
      <c r="I150" s="2" t="n">
        <v>4</v>
      </c>
      <c r="J150" s="2" t="inlineStr">
        <is>
          <t>🔴 Tier 4: Robotics / Controls / Autonomy</t>
        </is>
      </c>
      <c r="K150" s="2" t="n">
        <v>1</v>
      </c>
      <c r="L150" s="2" t="inlineStr">
        <is>
          <t>aerospace</t>
        </is>
      </c>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is>
          <t>system-of-systems architecting, systems engineering, program management, innovation, organizational effectiveness &amp; transformation Edit var myPronunciation=document.getElementById("pronunciation");
    function play() {
    myPronunciation.play();
    }
    function pause() {
    myPronunciation.pause();
    }</t>
        </is>
      </c>
      <c r="AI150" s="2" t="inlineStr"/>
      <c r="AJ150" s="2" t="inlineStr">
        <is>
          <t>system-of-systems architecting, systems engineering, program management, innovation, organizational effectiveness &amp; transformation Edit var myPronunciation=document.getElementById("pronunciation");
    function play() {
    myPronunciation.play();
    }
    function pause() {
    myPronunciation.pause();
    }</t>
        </is>
      </c>
      <c r="AK150" s="2" t="inlineStr">
        <is>
          <t>BS AAE, Purdue University (1996) MS AAE, Massachusetts Institute of Technology (1997) Professional Certificate, Design Thinking for Strategic Innovation, Stanford University (2015)</t>
        </is>
      </c>
      <c r="AL150" s="2" t="inlineStr">
        <is>
          <t>Indiana Space Grant Consortium</t>
        </is>
      </c>
      <c r="AM150" s="3">
        <f>HYPERLINK("https://insgc.spacegrant.org/", "https://insgc.spacegrant.org/")</f>
        <v/>
      </c>
      <c r="AN150" s="2" t="inlineStr">
        <is>
          <t>Academic INSGC Internships</t>
        </is>
      </c>
      <c r="AO150" s="2" t="inlineStr"/>
      <c r="AP150" s="2" t="inlineStr"/>
      <c r="AQ150" s="2" t="inlineStr">
        <is>
          <t>NASA</t>
        </is>
      </c>
      <c r="AR150" s="2" t="inlineStr"/>
      <c r="AS150" s="2" t="inlineStr"/>
      <c r="AT150" s="2" t="inlineStr">
        <is>
          <t>ARMS 3205</t>
        </is>
      </c>
      <c r="AU150" s="2" t="b">
        <v>1</v>
      </c>
      <c r="AV150" s="3">
        <f>HYPERLINK("https://engineering.purdue.edu/AAE/people/Faculty", "https://engineering.purdue.edu/AAE/people/Faculty")</f>
        <v/>
      </c>
    </row>
    <row r="151">
      <c r="A151" s="2" t="inlineStr">
        <is>
          <t>Lizhi Shang</t>
        </is>
      </c>
      <c r="B151" s="2" t="inlineStr">
        <is>
          <t>Purdue University</t>
        </is>
      </c>
      <c r="C151" s="3">
        <f>HYPERLINK("https://engineering.purdue.edu/ME/People/ptProfile?resource_id=84937", "https://engineering.purdue.edu/ME/People/ptProfile?resource_id=84937")</f>
        <v/>
      </c>
      <c r="D151" s="3">
        <f>HYPERLINK("https://scholar.google.com/citations?view_op=search_authors&amp;mauthors=Lizhi%20Shang%20Purdue%20University", "Google Scholar Search")</f>
        <v/>
      </c>
      <c r="E151" s="2" t="inlineStr">
        <is>
          <t>Associate Professor of Agricultural and Biological Engineering, and Mechanical Engineering</t>
        </is>
      </c>
      <c r="F151" s="2" t="inlineStr">
        <is>
          <t>Mechanical Engineering</t>
        </is>
      </c>
      <c r="G151" s="2" t="inlineStr"/>
      <c r="H151" s="3">
        <f>HYPERLINK("mailto:shangl@purdue.edu", "shangl@purdue.edu")</f>
        <v/>
      </c>
      <c r="I151" s="2" t="n">
        <v>4</v>
      </c>
      <c r="J151" s="2" t="inlineStr">
        <is>
          <t>🔴 Tier 4: Robotics / Controls / Autonomy</t>
        </is>
      </c>
      <c r="K151" s="2" t="n">
        <v>1</v>
      </c>
      <c r="L151" s="2" t="inlineStr">
        <is>
          <t>fluid mechanics</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is>
          <t>Outstanding Mechanical Engineers Distinguished Engineering Alumni Honorary Doctorates Staff Awards Student Awards Distinguished...</t>
        </is>
      </c>
      <c r="AE151" s="2" t="inlineStr">
        <is>
          <t>Contact us today to learn about the advantages of becoming a member at Maha Labs! Email Andrea Vacca: avacca@purdue.edu | If you are interested in a research position at the Maha Fluid Power Research Center, please email your application to Dr. Vacca ( avacca@purdue.edu ) or Dr. Shang ( shangl@purdue.edu ).</t>
        </is>
      </c>
      <c r="AF151" s="2" t="inlineStr"/>
      <c r="AG151" s="2" t="inlineStr"/>
      <c r="AH151" s="2" t="inlineStr">
        <is>
          <t>Designing and modeling hydrostatic pumps and motors Hydrodynamic pumps and turbines Fluid power systems Advanced computational and experimental tribological analysis</t>
        </is>
      </c>
      <c r="AI151" s="2" t="inlineStr">
        <is>
          <t>Fluid Mechanics</t>
        </is>
      </c>
      <c r="AJ151" s="2" t="inlineStr">
        <is>
          <t>Fluid Mechanics</t>
        </is>
      </c>
      <c r="AK151" s="2" t="inlineStr"/>
      <c r="AL151" s="2" t="inlineStr">
        <is>
          <t>Maha Fluid Power Research Center</t>
        </is>
      </c>
      <c r="AM151" s="3">
        <f>HYPERLINK("https://engineering.purdue.edu/Maha", "https://engineering.purdue.edu/Maha")</f>
        <v/>
      </c>
      <c r="AN151" s="2" t="inlineStr">
        <is>
          <t>Receive biannual updates on “Maha recommended” Purdue students looking for job opportunities Participate in a recruiting session during the annual Maha Fluid Power Conference Organize a private recruiting event at the Maha Fluid Power Research Center* | Receive biannual updates on “Maha recommended” Purdue students looking for job opportunities</t>
        </is>
      </c>
      <c r="AO151" s="2" t="inlineStr"/>
      <c r="AP151" s="2" t="inlineStr">
        <is>
          <t>Cluster</t>
        </is>
      </c>
      <c r="AQ151" s="2" t="inlineStr"/>
      <c r="AR151" s="2" t="inlineStr"/>
      <c r="AS151" s="2" t="inlineStr"/>
      <c r="AT151" s="2" t="inlineStr"/>
      <c r="AU151" s="2" t="b">
        <v>1</v>
      </c>
      <c r="AV151" s="3">
        <f>HYPERLINK("https://engineering.purdue.edu/ME/People/ptFaculty", "https://engineering.purdue.edu/ME/People/ptFaculty")</f>
        <v/>
      </c>
    </row>
    <row r="152">
      <c r="A152" s="2" t="inlineStr">
        <is>
          <t>Martin J. Corless</t>
        </is>
      </c>
      <c r="B152" s="2" t="inlineStr">
        <is>
          <t>Purdue University</t>
        </is>
      </c>
      <c r="C152" s="3">
        <f>HYPERLINK("https://engineering.purdue.edu/AAE/people/ptProfile?resource_id=1410", "https://engineering.purdue.edu/AAE/people/ptProfile?resource_id=1410")</f>
        <v/>
      </c>
      <c r="D152" s="3">
        <f>HYPERLINK("https://scholar.google.com/citations?view_op=search_authors&amp;mauthors=Martin%20J.%20Corless%20Purdue%20University", "Google Scholar Search")</f>
        <v/>
      </c>
      <c r="E152" s="2" t="inlineStr">
        <is>
          <t>Professor</t>
        </is>
      </c>
      <c r="F152" s="2" t="inlineStr">
        <is>
          <t>Aeronautics and Astronautics</t>
        </is>
      </c>
      <c r="G152" s="2" t="inlineStr"/>
      <c r="H152" s="3">
        <f>HYPERLINK("mailto:corless@purdue.edu", "corless@purdue.edu")</f>
        <v/>
      </c>
      <c r="I152" s="2" t="n">
        <v>4</v>
      </c>
      <c r="J152" s="2" t="inlineStr">
        <is>
          <t>🔴 Tier 4: Robotics / Controls / Autonomy</t>
        </is>
      </c>
      <c r="K152" s="2" t="n">
        <v>1</v>
      </c>
      <c r="L152" s="2" t="inlineStr">
        <is>
          <t>aerospace</t>
        </is>
      </c>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is>
          <t>C.T. Sun Research Award, School of Aeronautics and Astronautics, Purdue University, 2011 W.A. Gustafson Teaching Award for outs...</t>
        </is>
      </c>
      <c r="AE152" s="2" t="inlineStr"/>
      <c r="AF152" s="2" t="inlineStr"/>
      <c r="AG152" s="2" t="inlineStr"/>
      <c r="AH152" s="2" t="inlineStr">
        <is>
          <t>Dynamics Systems Control</t>
        </is>
      </c>
      <c r="AI152" s="2" t="inlineStr">
        <is>
          <t>Most of the research is concerned with obtaining tools which are useful in the analysis and control of systems containing significant uncertainty. These uncertainties are characterized deterministically, rather than stochastically. The systems treated can be linear or nonlinear and continuous-time or discrete-time. The major application of the research is in the analysis and control of aerospace and mechanical systems. In these applications, some of the research focuses on the effect of flexible elements.</t>
        </is>
      </c>
      <c r="AJ152" s="2" t="inlineStr">
        <is>
          <t>Most of the research is concerned with obtaining tools which are useful in the analysis and control of systems containing significant uncertainty. These uncertainties are characterized deterministically, rather than stochastically. The systems treated can be linear or nonlinear and continuous-time or discrete-time. The major application of the research is in the analysis and control of aerospac...</t>
        </is>
      </c>
      <c r="AK152" s="2" t="inlineStr">
        <is>
          <t>B. E., (1st honors), University College, Dublin, Ireland, Mechanical Engineering, 1977 Ph.D., University of California, Berkeley, Mechanical Engineering, 1984</t>
        </is>
      </c>
      <c r="AL152" s="2" t="inlineStr">
        <is>
          <t>Indiana Space Grant Consortium</t>
        </is>
      </c>
      <c r="AM152" s="3">
        <f>HYPERLINK("https://insgc.spacegrant.org/", "https://insgc.spacegrant.org/")</f>
        <v/>
      </c>
      <c r="AN152" s="2" t="inlineStr">
        <is>
          <t>Academic INSGC Internships</t>
        </is>
      </c>
      <c r="AO152" s="2" t="inlineStr"/>
      <c r="AP152" s="2" t="inlineStr"/>
      <c r="AQ152" s="2" t="inlineStr">
        <is>
          <t>NASA</t>
        </is>
      </c>
      <c r="AR152" s="2" t="inlineStr"/>
      <c r="AS152" s="2" t="inlineStr"/>
      <c r="AT152" s="2" t="inlineStr">
        <is>
          <t>ARMS 3335</t>
        </is>
      </c>
      <c r="AU152" s="2" t="b">
        <v>1</v>
      </c>
      <c r="AV152" s="3">
        <f>HYPERLINK("https://engineering.purdue.edu/AAE/people/Faculty", "https://engineering.purdue.edu/AAE/people/Faculty")</f>
        <v/>
      </c>
    </row>
    <row r="153">
      <c r="A153" s="2" t="inlineStr">
        <is>
          <t>Mina Karimi</t>
        </is>
      </c>
      <c r="B153" s="2" t="inlineStr">
        <is>
          <t>Purdue University</t>
        </is>
      </c>
      <c r="C153" s="3">
        <f>HYPERLINK("https://engineering.purdue.edu/ME/People/ptProfile?resource_id=324781", "https://engineering.purdue.edu/ME/People/ptProfile?resource_id=324781")</f>
        <v/>
      </c>
      <c r="D153" s="3">
        <f>HYPERLINK("https://scholar.google.com/citations?view_op=search_authors&amp;mauthors=Mina%20Karimi%20Purdue%20University", "Google Scholar Search")</f>
        <v/>
      </c>
      <c r="E153" s="2" t="inlineStr">
        <is>
          <t>Assistant Professor of Mechanical Engineering</t>
        </is>
      </c>
      <c r="F153" s="2" t="inlineStr">
        <is>
          <t>Mechanical Engineering</t>
        </is>
      </c>
      <c r="G153" s="2" t="inlineStr"/>
      <c r="H153" s="3">
        <f>HYPERLINK("mailto:karimi2@purdue.edu", "karimi2@purdue.edu")</f>
        <v/>
      </c>
      <c r="I153" s="2" t="n">
        <v>4</v>
      </c>
      <c r="J153" s="2" t="inlineStr">
        <is>
          <t>🔴 Tier 4: Robotics / Controls / Autonomy</t>
        </is>
      </c>
      <c r="K153" s="2" t="n">
        <v>1</v>
      </c>
      <c r="L153" s="2" t="inlineStr">
        <is>
          <t>fluid mechanics</t>
        </is>
      </c>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is>
          <t>Outstanding Mechanical Engineers Distinguished Engineering Alumni Honorary Doctorates Staff Awards Student Awards Distinguished...</t>
        </is>
      </c>
      <c r="AE153" s="2" t="inlineStr">
        <is>
          <t>Phone: +1 (765) 494-3975 Email: future-engineers@purdue.edu | Phone: +1 (765) 494-4873 Email: EngrGrad@purdue.edu</t>
        </is>
      </c>
      <c r="AF153" s="2" t="inlineStr"/>
      <c r="AG153" s="2" t="inlineStr"/>
      <c r="AH153" s="2" t="inlineStr">
        <is>
          <t>Mechanics and physics of porous media Multiscale modeling Inverse problems Scientific machine learning Uncertainty quantification</t>
        </is>
      </c>
      <c r="AI153" s="2" t="inlineStr">
        <is>
          <t>Fluid Mechanics</t>
        </is>
      </c>
      <c r="AJ153" s="2" t="inlineStr">
        <is>
          <t>Fluid Mechanics</t>
        </is>
      </c>
      <c r="AK153" s="2" t="inlineStr">
        <is>
          <t>Postdoctoral researcher, California Institute of Technology, '25 Ph.D., Carnegie Mellon University, '22 M.S., University of Tehran, '18 B.S., University of Tehran, '15</t>
        </is>
      </c>
      <c r="AL153" s="2" t="inlineStr">
        <is>
          <t>Karimi Lab Website</t>
        </is>
      </c>
      <c r="AM153" s="3">
        <f>HYPERLINK("https://engineering.purdue.edu/karimi", "https://engineering.purdue.edu/karimi")</f>
        <v/>
      </c>
      <c r="AN153"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53" s="2" t="inlineStr"/>
      <c r="AP153" s="2" t="inlineStr"/>
      <c r="AQ153" s="2" t="inlineStr">
        <is>
          <t>DOE</t>
        </is>
      </c>
      <c r="AR153" s="2" t="inlineStr"/>
      <c r="AS153" s="2" t="inlineStr"/>
      <c r="AT153" s="2" t="inlineStr">
        <is>
          <t>FLEX 1041C</t>
        </is>
      </c>
      <c r="AU153" s="2" t="b">
        <v>1</v>
      </c>
      <c r="AV153" s="3">
        <f>HYPERLINK("https://engineering.purdue.edu/ME/People/ptFaculty", "https://engineering.purdue.edu/ME/People/ptFaculty")</f>
        <v/>
      </c>
    </row>
    <row r="154">
      <c r="A154" s="2" t="inlineStr">
        <is>
          <t>Sohel Anwar</t>
        </is>
      </c>
      <c r="B154" s="2" t="inlineStr">
        <is>
          <t>Purdue University</t>
        </is>
      </c>
      <c r="C154" s="3">
        <f>HYPERLINK("https://engineering.purdue.edu/ME/People/ptProfile?resource_id=292617", "https://engineering.purdue.edu/ME/People/ptProfile?resource_id=292617")</f>
        <v/>
      </c>
      <c r="D154" s="3">
        <f>HYPERLINK("https://scholar.google.com/citations?view_op=search_authors&amp;mauthors=Sohel%20Anwar%20Purdue%20University", "Google Scholar Search")</f>
        <v/>
      </c>
      <c r="E154" s="2" t="inlineStr">
        <is>
          <t>Professor of Mechanical Engineering</t>
        </is>
      </c>
      <c r="F154" s="2" t="inlineStr">
        <is>
          <t>Mechanical Engineering</t>
        </is>
      </c>
      <c r="G154" s="2" t="inlineStr"/>
      <c r="H154" s="3">
        <f>HYPERLINK("mailto:sanwar@purdue.edu", "sanwar@purdue.edu")</f>
        <v/>
      </c>
      <c r="I154" s="2" t="n">
        <v>4</v>
      </c>
      <c r="J154" s="2" t="inlineStr">
        <is>
          <t>🔴 Tier 4: Robotics / Controls / Autonomy</t>
        </is>
      </c>
      <c r="K154" s="2" t="n">
        <v>1</v>
      </c>
      <c r="L154" s="2" t="inlineStr">
        <is>
          <t>autonomous</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is>
          <t>Outstanding Mechanical Engineers Distinguished Engineering Alumni Honorary Doctorates Staff Awards Student Awards Distinguished...</t>
        </is>
      </c>
      <c r="AE154" s="2" t="inlineStr"/>
      <c r="AF154" s="2" t="inlineStr"/>
      <c r="AG154" s="2" t="inlineStr"/>
      <c r="AH154" s="2" t="inlineStr">
        <is>
          <t>Perception and Control for Autonomous Vehicles Novel Sensor Development and Data Fusion Advanced Diagnostics and Management of Large Capacity Batteries Biomechanical Device Design and Control Wind Turbine Modeling and Controls Electrified Powertrains / Sustainable Mobility Systems</t>
        </is>
      </c>
      <c r="AI154" s="2" t="inlineStr"/>
      <c r="AJ154" s="2" t="inlineStr">
        <is>
          <t>Perception and Control for Autonomous Vehicles Novel Sensor Development and Data Fusion Advanced Diagnostics and Management of Large Capacity Batteries Biomechanical Device Design and Control Wind Turbine Modeling and Controls Electrified Powertrains / Sustainable Mobility Systems</t>
        </is>
      </c>
      <c r="AK154" s="2" t="inlineStr">
        <is>
          <t>BS Mechanical Engineering, Bangladesh University of Engineering and Technology, 03/1986 MSc Mechanical Engineering, Bangladesh University of Engineering and Technology, 08/1988 MS Mechanical Engineering, Florida State University, 08/1990 Ph.D. Mechanical Engineering, University of Arizona, 1995</t>
        </is>
      </c>
      <c r="AL154" s="2" t="inlineStr">
        <is>
          <t>Indiana Space Grant Consortium</t>
        </is>
      </c>
      <c r="AM154" s="3">
        <f>HYPERLINK("https://insgc.spacegrant.org/", "https://insgc.spacegrant.org/")</f>
        <v/>
      </c>
      <c r="AN154" s="2" t="inlineStr">
        <is>
          <t>Academic INSGC Internships</t>
        </is>
      </c>
      <c r="AO154" s="2" t="inlineStr"/>
      <c r="AP154" s="2" t="inlineStr"/>
      <c r="AQ154" s="2" t="inlineStr">
        <is>
          <t>NASA</t>
        </is>
      </c>
      <c r="AR154" s="2" t="inlineStr"/>
      <c r="AS154" s="2" t="inlineStr"/>
      <c r="AT154" s="2" t="inlineStr">
        <is>
          <t>SL 260F</t>
        </is>
      </c>
      <c r="AU154" s="2" t="b">
        <v>1</v>
      </c>
      <c r="AV154" s="3">
        <f>HYPERLINK("https://engineering.purdue.edu/ME/People/ptFaculty", "https://engineering.purdue.edu/ME/People/ptFaculty")</f>
        <v/>
      </c>
    </row>
    <row r="155">
      <c r="A155" s="2" t="inlineStr">
        <is>
          <t>Takashi Tanaka</t>
        </is>
      </c>
      <c r="B155" s="2" t="inlineStr">
        <is>
          <t>Purdue University</t>
        </is>
      </c>
      <c r="C155" s="3">
        <f>HYPERLINK("https://engineering.purdue.edu/AAE/people/ptProfile?resource_id=308322", "https://engineering.purdue.edu/AAE/people/ptProfile?resource_id=308322")</f>
        <v/>
      </c>
      <c r="D155" s="3">
        <f>HYPERLINK("https://scholar.google.com/citations?view_op=search_authors&amp;mauthors=Takashi%20Tanaka%20Purdue%20University", "Google Scholar Search")</f>
        <v/>
      </c>
      <c r="E155" s="2" t="inlineStr">
        <is>
          <t>Associate Professor of Aeronautics and Astronautics, and of Electrical and Computer Engineering</t>
        </is>
      </c>
      <c r="F155" s="2" t="inlineStr">
        <is>
          <t>Aeronautics and Astronautics</t>
        </is>
      </c>
      <c r="G155" s="2" t="inlineStr"/>
      <c r="H155" s="3">
        <f>HYPERLINK("mailto:webmaster-eng@purdue.edu", "webmaster-eng@purdue.edu")</f>
        <v/>
      </c>
      <c r="I155" s="2" t="n">
        <v>4</v>
      </c>
      <c r="J155" s="2" t="inlineStr">
        <is>
          <t>🔴 Tier 4: Robotics / Controls / Autonomy</t>
        </is>
      </c>
      <c r="K155" s="2" t="n">
        <v>1</v>
      </c>
      <c r="L155" s="2" t="inlineStr">
        <is>
          <t>optimal control</t>
        </is>
      </c>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is>
          <t>Information theory in control, security and privacy in networked control systems, robust and stochastic optimal control, dynamic market design, neuromorphic sensing. Edit var myPronunciation=document.getElementById("pronunciation");
    function play() {
    myPronunciation.play();
    }
    function pause() {
    myPronunciation.pause();
    }</t>
        </is>
      </c>
      <c r="AI155" s="2" t="inlineStr"/>
      <c r="AJ155" s="2" t="inlineStr">
        <is>
          <t>Information theory in control, security and privacy in networked control systems, robust and stochastic optimal control, dynamic market design, neuromorphic sensing. Edit var myPronunciation=document.getElementById("pronunciation");
    function play() {
    myPronunciation.play();
    }
    function pause() {
    myPronunciation.pause();
    }</t>
        </is>
      </c>
      <c r="AK155" s="2" t="inlineStr">
        <is>
          <t>BS, University of Tokyo, 2006 MS, University of Illinois at Urbana-Champaign, 2009 PhD, University of Illinois at Urbana-Champaign, 2012</t>
        </is>
      </c>
      <c r="AL155" s="2" t="inlineStr">
        <is>
          <t>Indiana Space Grant Consortium</t>
        </is>
      </c>
      <c r="AM155" s="3">
        <f>HYPERLINK("https://insgc.spacegrant.org/", "https://insgc.spacegrant.org/")</f>
        <v/>
      </c>
      <c r="AN155" s="2" t="inlineStr">
        <is>
          <t>Academic INSGC Internships</t>
        </is>
      </c>
      <c r="AO155" s="2" t="inlineStr"/>
      <c r="AP155" s="2" t="inlineStr"/>
      <c r="AQ155" s="2" t="inlineStr">
        <is>
          <t>NASA</t>
        </is>
      </c>
      <c r="AR155" s="2" t="inlineStr"/>
      <c r="AS155" s="2" t="inlineStr"/>
      <c r="AT155" s="2" t="inlineStr">
        <is>
          <t>ARMS 3327</t>
        </is>
      </c>
      <c r="AU155" s="2" t="b">
        <v>1</v>
      </c>
      <c r="AV155" s="3">
        <f>HYPERLINK("https://engineering.purdue.edu/AAE/people/Faculty", "https://engineering.purdue.edu/AAE/people/Faculty")</f>
        <v/>
      </c>
    </row>
    <row r="156">
      <c r="A156" s="2" t="inlineStr">
        <is>
          <t>William Crossley</t>
        </is>
      </c>
      <c r="B156" s="2" t="inlineStr">
        <is>
          <t>Purdue University</t>
        </is>
      </c>
      <c r="C156" s="3">
        <f>HYPERLINK("https://engineering.purdue.edu/AAE/people/ptProfile?resource_id=1305", "https://engineering.purdue.edu/AAE/people/ptProfile?resource_id=1305")</f>
        <v/>
      </c>
      <c r="D156" s="3">
        <f>HYPERLINK("https://scholar.google.com/citations?view_op=search_authors&amp;mauthors=William%20Crossley%20Purdue%20University", "Google Scholar Search")</f>
        <v/>
      </c>
      <c r="E156" s="2" t="inlineStr">
        <is>
          <t>Professor; Ph.D., Arizona State, 1995. Optimization and design methods for aerospace systems, systems of systems, design under uncertainty, environmental impact of aviation.</t>
        </is>
      </c>
      <c r="F156" s="2" t="inlineStr">
        <is>
          <t>Aeronautics and Astronautics</t>
        </is>
      </c>
      <c r="G156" s="2" t="inlineStr"/>
      <c r="H156" s="3">
        <f>HYPERLINK("mailto:asherwo@purdue.edu", "asherwo@purdue.edu")</f>
        <v/>
      </c>
      <c r="I156" s="2" t="n">
        <v>4</v>
      </c>
      <c r="J156" s="2" t="inlineStr">
        <is>
          <t>🔴 Tier 4: Robotics / Controls / Autonomy</t>
        </is>
      </c>
      <c r="K156" s="2" t="n">
        <v>1</v>
      </c>
      <c r="L156" s="2" t="inlineStr">
        <is>
          <t>aerospace</t>
        </is>
      </c>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is>
          <t>Awards Purdue Book of Great Teachers, 2013 AAE Elmer Bruhn Teaching Award, 2012 AAE Elmer Bruhn Teaching Award, 2009 Purdue Uni...</t>
        </is>
      </c>
      <c r="AE156" s="2" t="inlineStr"/>
      <c r="AF156" s="2" t="inlineStr"/>
      <c r="AG156" s="2" t="inlineStr"/>
      <c r="AH156" s="2" t="inlineStr">
        <is>
          <t>Optimization and design methods for aerospace systems Systems of systems Design under uncertainty Environmental impact of aviation</t>
        </is>
      </c>
      <c r="AI156" s="2" t="inlineStr">
        <is>
          <t>Professor Crossley's current research interests are in the area of design methodologies and multidisciplinary design optimization, with emphasis for aerospace engineering systems design problems.</t>
        </is>
      </c>
      <c r="AJ156" s="2" t="inlineStr">
        <is>
          <t>Professor Crossley's current research interests are in the area of design methodologies and multidisciplinary design optimization, with emphasis for aerospace engineering systems design problems.</t>
        </is>
      </c>
      <c r="AK156" s="2" t="inlineStr">
        <is>
          <t>B.S.E. University of Michigan, Aerospace Engineering, 1990 M. S. Arizona State University, Aerospace Engineering, 1992 Ph.D. Arizona State University, Aerospace Engineering, 1995</t>
        </is>
      </c>
      <c r="AL156" s="2" t="inlineStr">
        <is>
          <t>Indiana Space Grant Consortium</t>
        </is>
      </c>
      <c r="AM156" s="3">
        <f>HYPERLINK("https://insgc.spacegrant.org/", "https://insgc.spacegrant.org/")</f>
        <v/>
      </c>
      <c r="AN156" s="2" t="inlineStr">
        <is>
          <t>Academic INSGC Internships</t>
        </is>
      </c>
      <c r="AO156" s="2" t="inlineStr"/>
      <c r="AP156" s="2" t="inlineStr"/>
      <c r="AQ156" s="2" t="inlineStr">
        <is>
          <t>NASA</t>
        </is>
      </c>
      <c r="AR156" s="2" t="inlineStr"/>
      <c r="AS156" s="2" t="inlineStr"/>
      <c r="AT156" s="2" t="inlineStr">
        <is>
          <t>ARMS 2023</t>
        </is>
      </c>
      <c r="AU156" s="2" t="b">
        <v>1</v>
      </c>
      <c r="AV156" s="3">
        <f>HYPERLINK("https://engineering.purdue.edu/AAE/people/Faculty", "https://engineering.purdue.edu/AAE/people/Faculty")</f>
        <v/>
      </c>
    </row>
    <row r="157">
      <c r="A157" s="2" t="inlineStr">
        <is>
          <t>Andrea Capannolo</t>
        </is>
      </c>
      <c r="B157" s="2" t="inlineStr">
        <is>
          <t>Purdue University</t>
        </is>
      </c>
      <c r="C157" s="3">
        <f>HYPERLINK("https://engineering.purdue.edu/AAE/people/ptProfile?resource_id=288723", "https://engineering.purdue.edu/AAE/people/ptProfile?resource_id=288723")</f>
        <v/>
      </c>
      <c r="D157" s="3">
        <f>HYPERLINK("https://scholar.google.com/citations?view_op=search_authors&amp;mauthors=Andrea%20Capannolo%20Purdue%20University", "Google Scholar Search")</f>
        <v/>
      </c>
      <c r="E157" s="2" t="inlineStr">
        <is>
          <t>Assistant Professor of Aeronautics and Astronautics</t>
        </is>
      </c>
      <c r="F157" s="2" t="inlineStr">
        <is>
          <t>Aeronautics and Astronautics</t>
        </is>
      </c>
      <c r="G157" s="2" t="inlineStr"/>
      <c r="H157" s="3">
        <f>HYPERLINK("mailto:acapa@purdue.edu", "acapa@purdue.edu")</f>
        <v/>
      </c>
      <c r="I157" s="2" t="n">
        <v>4</v>
      </c>
      <c r="J157" s="2" t="inlineStr">
        <is>
          <t>🔴 Tier 4: Robotics / Controls / Autonomy</t>
        </is>
      </c>
      <c r="K157" s="2" t="n">
        <v>0</v>
      </c>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is>
          <t>Indiana Space Grant Consortium</t>
        </is>
      </c>
      <c r="AM157" s="3">
        <f>HYPERLINK("https://insgc.spacegrant.org/", "https://insgc.spacegrant.org/")</f>
        <v/>
      </c>
      <c r="AN157" s="2" t="inlineStr">
        <is>
          <t>Academic INSGC Internships</t>
        </is>
      </c>
      <c r="AO157" s="2" t="inlineStr"/>
      <c r="AP157" s="2" t="inlineStr"/>
      <c r="AQ157" s="2" t="inlineStr">
        <is>
          <t>NASA</t>
        </is>
      </c>
      <c r="AR157" s="2" t="inlineStr"/>
      <c r="AS157" s="2" t="inlineStr"/>
      <c r="AT157" s="2" t="inlineStr">
        <is>
          <t>ARMS 3207</t>
        </is>
      </c>
      <c r="AU157" s="2" t="b">
        <v>0</v>
      </c>
      <c r="AV157" s="3">
        <f>HYPERLINK("https://engineering.purdue.edu/AAE/people/Faculty", "https://engineering.purdue.edu/AAE/people/Faculty")</f>
        <v/>
      </c>
    </row>
    <row r="158">
      <c r="A158" s="2" t="inlineStr">
        <is>
          <t>Andrew Hsu</t>
        </is>
      </c>
      <c r="B158" s="2" t="inlineStr">
        <is>
          <t>Purdue University</t>
        </is>
      </c>
      <c r="C158" s="3">
        <f>HYPERLINK("https://engineering.purdue.edu/ME/People/ptProfile?resource_id=55474", "https://engineering.purdue.edu/ME/People/ptProfile?resource_id=55474")</f>
        <v/>
      </c>
      <c r="D158" s="3">
        <f>HYPERLINK("https://scholar.google.com/citations?view_op=search_authors&amp;mauthors=Andrew%20Hsu%20Purdue%20University", "Google Scholar Search")</f>
        <v/>
      </c>
      <c r="E158" s="2" t="inlineStr">
        <is>
          <t>Professor of Mechanical Engineering (By Courtesy)</t>
        </is>
      </c>
      <c r="F158" s="2" t="inlineStr">
        <is>
          <t>Mechanical Engineering</t>
        </is>
      </c>
      <c r="G158" s="2" t="inlineStr"/>
      <c r="H158" s="3">
        <f>HYPERLINK("mailto:webmaster-eng@purdue.edu", "webmaster-eng@purdue.edu")</f>
        <v/>
      </c>
      <c r="I158" s="2" t="n">
        <v>4</v>
      </c>
      <c r="J158" s="2" t="inlineStr">
        <is>
          <t>🔴 Tier 4: Robotics / Controls / Autonomy</t>
        </is>
      </c>
      <c r="K158" s="2" t="n">
        <v>0</v>
      </c>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is>
          <t>Outstanding Mechanical Engineers Distinguished Engineering Alumni Honorary Doctorates Staff Awards Student Awards Distinguished...</t>
        </is>
      </c>
      <c r="AE158" s="2" t="inlineStr"/>
      <c r="AF158" s="2" t="inlineStr"/>
      <c r="AG158" s="2" t="inlineStr"/>
      <c r="AH158" s="2" t="inlineStr"/>
      <c r="AI158" s="2" t="inlineStr"/>
      <c r="AJ158" s="2" t="inlineStr"/>
      <c r="AK158" s="2" t="inlineStr"/>
      <c r="AL158" s="2" t="inlineStr">
        <is>
          <t>Indiana Space Grant Consortium</t>
        </is>
      </c>
      <c r="AM158" s="3">
        <f>HYPERLINK("https://insgc.spacegrant.org/", "https://insgc.spacegrant.org/")</f>
        <v/>
      </c>
      <c r="AN158" s="2" t="inlineStr">
        <is>
          <t>Academic INSGC Internships</t>
        </is>
      </c>
      <c r="AO158" s="2" t="inlineStr"/>
      <c r="AP158" s="2" t="inlineStr"/>
      <c r="AQ158" s="2" t="inlineStr">
        <is>
          <t>NASA</t>
        </is>
      </c>
      <c r="AR158" s="2" t="inlineStr"/>
      <c r="AS158" s="2" t="inlineStr"/>
      <c r="AT158" s="2" t="inlineStr"/>
      <c r="AU158" s="2" t="b">
        <v>0</v>
      </c>
      <c r="AV158" s="3">
        <f>HYPERLINK("https://engineering.purdue.edu/ME/People/ptFaculty", "https://engineering.purdue.edu/ME/People/ptFaculty")</f>
        <v/>
      </c>
    </row>
    <row r="159">
      <c r="A159" s="2" t="inlineStr">
        <is>
          <t>Bairav Sabarish Vishnugopi</t>
        </is>
      </c>
      <c r="B159" s="2" t="inlineStr">
        <is>
          <t>Purdue University</t>
        </is>
      </c>
      <c r="C159" s="3">
        <f>HYPERLINK("https://engineering.purdue.edu/ME/People/ptProfile?resource_id=282232", "https://engineering.purdue.edu/ME/People/ptProfile?resource_id=282232")</f>
        <v/>
      </c>
      <c r="D159" s="3">
        <f>HYPERLINK("https://scholar.google.com/citations?view_op=search_authors&amp;mauthors=Bairav%20Sabarish%20Vishnugopi%20Purdue%20University", "Google Scholar Search")</f>
        <v/>
      </c>
      <c r="E159" s="2" t="inlineStr">
        <is>
          <t>Research Assistant Professor</t>
        </is>
      </c>
      <c r="F159" s="2" t="inlineStr">
        <is>
          <t>Mechanical Engineering</t>
        </is>
      </c>
      <c r="G159" s="2" t="inlineStr"/>
      <c r="H159" s="3">
        <f>HYPERLINK("mailto:bvishnug@purdue.edu", "bvishnug@purdue.edu")</f>
        <v/>
      </c>
      <c r="I159" s="2" t="n">
        <v>4</v>
      </c>
      <c r="J159" s="2" t="inlineStr">
        <is>
          <t>🔴 Tier 4: Robotics / Controls / Autonomy</t>
        </is>
      </c>
      <c r="K159" s="2" t="n">
        <v>0</v>
      </c>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is>
          <t>Outstanding Mechanical Engineers Distinguished Engineering Alumni Honorary Doctorates Staff Awards Student Awards Distinguished...</t>
        </is>
      </c>
      <c r="AE159" s="2" t="inlineStr"/>
      <c r="AF159" s="2" t="inlineStr"/>
      <c r="AG159" s="2" t="inlineStr"/>
      <c r="AH159" s="2" t="inlineStr"/>
      <c r="AI159" s="2" t="inlineStr"/>
      <c r="AJ159" s="2" t="inlineStr"/>
      <c r="AK159" s="2" t="inlineStr"/>
      <c r="AL159" s="2" t="inlineStr">
        <is>
          <t>Indiana Space Grant Consortium</t>
        </is>
      </c>
      <c r="AM159" s="3">
        <f>HYPERLINK("https://insgc.spacegrant.org/", "https://insgc.spacegrant.org/")</f>
        <v/>
      </c>
      <c r="AN159" s="2" t="inlineStr">
        <is>
          <t>Academic INSGC Internships</t>
        </is>
      </c>
      <c r="AO159" s="2" t="inlineStr"/>
      <c r="AP159" s="2" t="inlineStr"/>
      <c r="AQ159" s="2" t="inlineStr">
        <is>
          <t>NASA</t>
        </is>
      </c>
      <c r="AR159" s="2" t="inlineStr"/>
      <c r="AS159" s="2" t="inlineStr"/>
      <c r="AT159" s="2" t="inlineStr"/>
      <c r="AU159" s="2" t="b">
        <v>0</v>
      </c>
      <c r="AV159" s="3">
        <f>HYPERLINK("https://engineering.purdue.edu/ME/People/ptFaculty", "https://engineering.purdue.edu/ME/People/ptFaculty")</f>
        <v/>
      </c>
    </row>
    <row r="160">
      <c r="A160" s="2" t="inlineStr">
        <is>
          <t>Barrett Caldwell</t>
        </is>
      </c>
      <c r="B160" s="2" t="inlineStr">
        <is>
          <t>Purdue University</t>
        </is>
      </c>
      <c r="C160" s="3">
        <f>HYPERLINK("https://engineering.purdue.edu/IE/people/ptProfile?resource_id=5732", "https://engineering.purdue.edu/IE/people/ptProfile?resource_id=5732")</f>
        <v/>
      </c>
      <c r="D160" s="3">
        <f>HYPERLINK("https://scholar.google.com/citations?view_op=search_authors&amp;mauthors=Barrett%20Caldwell%20Purdue%20University", "Google Scholar Search")</f>
        <v/>
      </c>
      <c r="E160" s="2" t="inlineStr">
        <is>
          <t>Professor of Industrial Engineering &amp; Aeronautics and Astronautics</t>
        </is>
      </c>
      <c r="F160" s="2" t="inlineStr">
        <is>
          <t>Aeronautics and Astronautics</t>
        </is>
      </c>
      <c r="G160" s="2" t="inlineStr"/>
      <c r="H160" s="3">
        <f>HYPERLINK("mailto:bscaldwell@purdue.edu", "bscaldwell@purdue.edu")</f>
        <v/>
      </c>
      <c r="I160" s="2" t="n">
        <v>4</v>
      </c>
      <c r="J160" s="2" t="inlineStr">
        <is>
          <t>🔴 Tier 4: Robotics / Controls / Autonomy</t>
        </is>
      </c>
      <c r="K160" s="2" t="n">
        <v>0</v>
      </c>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Indiana Space Grant Consortium</t>
        </is>
      </c>
      <c r="AM160" s="3">
        <f>HYPERLINK("https://insgc.spacegrant.org/", "https://insgc.spacegrant.org/")</f>
        <v/>
      </c>
      <c r="AN160" s="2" t="inlineStr">
        <is>
          <t>Academic INSGC Internships</t>
        </is>
      </c>
      <c r="AO160" s="2" t="inlineStr"/>
      <c r="AP160" s="2" t="inlineStr"/>
      <c r="AQ160" s="2" t="inlineStr">
        <is>
          <t>NASA</t>
        </is>
      </c>
      <c r="AR160" s="2" t="inlineStr"/>
      <c r="AS160" s="2" t="inlineStr"/>
      <c r="AT160" s="2" t="inlineStr">
        <is>
          <t>335</t>
        </is>
      </c>
      <c r="AU160" s="2" t="b">
        <v>0</v>
      </c>
      <c r="AV160" s="3">
        <f>HYPERLINK("https://engineering.purdue.edu/AAE/people/Faculty", "https://engineering.purdue.edu/AAE/people/Faculty")</f>
        <v/>
      </c>
    </row>
    <row r="161">
      <c r="A161" s="2" t="inlineStr">
        <is>
          <t>Beth Moses</t>
        </is>
      </c>
      <c r="B161" s="2" t="inlineStr">
        <is>
          <t>Purdue University</t>
        </is>
      </c>
      <c r="C161" s="3">
        <f>HYPERLINK("https://engineering.purdue.edu/AAE/people/ptProfile?resource_id=27430", "https://engineering.purdue.edu/AAE/people/ptProfile?resource_id=27430")</f>
        <v/>
      </c>
      <c r="D161" s="3">
        <f>HYPERLINK("https://scholar.google.com/citations?view_op=search_authors&amp;mauthors=Beth%20Moses%20Purdue%20University", "Google Scholar Search")</f>
        <v/>
      </c>
      <c r="E161" s="2" t="inlineStr">
        <is>
          <t>Associate Professor Of Engineering Practice</t>
        </is>
      </c>
      <c r="F161" s="2" t="inlineStr">
        <is>
          <t>Aeronautics and Astronautics</t>
        </is>
      </c>
      <c r="G161" s="2" t="inlineStr"/>
      <c r="H161" s="3">
        <f>HYPERLINK("mailto:stubbing@purdue.edu", "stubbing@purdue.edu")</f>
        <v/>
      </c>
      <c r="I161" s="2" t="n">
        <v>4</v>
      </c>
      <c r="J161" s="2" t="inlineStr">
        <is>
          <t>🔴 Tier 4: Robotics / Controls / Autonomy</t>
        </is>
      </c>
      <c r="K161" s="2" t="n">
        <v>0</v>
      </c>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is>
          <t>Indiana Space Grant Consortium</t>
        </is>
      </c>
      <c r="AM161" s="3">
        <f>HYPERLINK("https://insgc.spacegrant.org/", "https://insgc.spacegrant.org/")</f>
        <v/>
      </c>
      <c r="AN161" s="2" t="inlineStr">
        <is>
          <t>Academic INSGC Internships</t>
        </is>
      </c>
      <c r="AO161" s="2" t="inlineStr"/>
      <c r="AP161" s="2" t="inlineStr"/>
      <c r="AQ161" s="2" t="inlineStr">
        <is>
          <t>NASA</t>
        </is>
      </c>
      <c r="AR161" s="2" t="inlineStr"/>
      <c r="AS161" s="2" t="inlineStr"/>
      <c r="AT161" s="2" t="inlineStr"/>
      <c r="AU161" s="2" t="b">
        <v>0</v>
      </c>
      <c r="AV161" s="3">
        <f>HYPERLINK("https://engineering.purdue.edu/AAE/people/Faculty", "https://engineering.purdue.edu/AAE/people/Faculty")</f>
        <v/>
      </c>
    </row>
    <row r="162">
      <c r="A162" s="2" t="inlineStr">
        <is>
          <t>Bradley Geswein</t>
        </is>
      </c>
      <c r="B162" s="2" t="inlineStr">
        <is>
          <t>Purdue University</t>
        </is>
      </c>
      <c r="C162" s="3">
        <f>HYPERLINK("https://engineering.purdue.edu/ME/People/ptProfile?resource_id=319733", "https://engineering.purdue.edu/ME/People/ptProfile?resource_id=319733")</f>
        <v/>
      </c>
      <c r="D162" s="3">
        <f>HYPERLINK("https://scholar.google.com/citations?view_op=search_authors&amp;mauthors=Bradley%20Geswein%20Purdue%20University", "Google Scholar Search")</f>
        <v/>
      </c>
      <c r="E162" s="2" t="inlineStr">
        <is>
          <t>Associate Professor of Engineering Practice</t>
        </is>
      </c>
      <c r="F162" s="2" t="inlineStr">
        <is>
          <t>Mechanical Engineering</t>
        </is>
      </c>
      <c r="G162" s="2" t="inlineStr"/>
      <c r="H162" s="3">
        <f>HYPERLINK("mailto:webmaster-eng@purdue.edu", "webmaster-eng@purdue.edu")</f>
        <v/>
      </c>
      <c r="I162" s="2" t="n">
        <v>4</v>
      </c>
      <c r="J162" s="2" t="inlineStr">
        <is>
          <t>🔴 Tier 4: Robotics / Controls / Autonomy</t>
        </is>
      </c>
      <c r="K162" s="2" t="n">
        <v>0</v>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is>
          <t>Outstanding Mechanical Engineers Distinguished Engineering Alumni Honorary Doctorates Staff Awards Student Awards Distinguished...</t>
        </is>
      </c>
      <c r="AE162" s="2" t="inlineStr"/>
      <c r="AF162" s="2" t="inlineStr"/>
      <c r="AG162" s="2" t="inlineStr"/>
      <c r="AH162" s="2" t="inlineStr"/>
      <c r="AI162" s="2" t="inlineStr"/>
      <c r="AJ162" s="2" t="inlineStr"/>
      <c r="AK162" s="2" t="inlineStr"/>
      <c r="AL162" s="2" t="inlineStr">
        <is>
          <t>Indiana Space Grant Consortium</t>
        </is>
      </c>
      <c r="AM162" s="3">
        <f>HYPERLINK("https://insgc.spacegrant.org/", "https://insgc.spacegrant.org/")</f>
        <v/>
      </c>
      <c r="AN162" s="2" t="inlineStr">
        <is>
          <t>Academic INSGC Internships</t>
        </is>
      </c>
      <c r="AO162" s="2" t="inlineStr"/>
      <c r="AP162" s="2" t="inlineStr"/>
      <c r="AQ162" s="2" t="inlineStr">
        <is>
          <t>NASA</t>
        </is>
      </c>
      <c r="AR162" s="2" t="inlineStr"/>
      <c r="AS162" s="2" t="inlineStr"/>
      <c r="AT162" s="2" t="inlineStr"/>
      <c r="AU162" s="2" t="b">
        <v>0</v>
      </c>
      <c r="AV162" s="3">
        <f>HYPERLINK("https://engineering.purdue.edu/ME/People/ptFaculty", "https://engineering.purdue.edu/ME/People/ptFaculty")</f>
        <v/>
      </c>
    </row>
    <row r="163">
      <c r="A163" s="2" t="inlineStr">
        <is>
          <t>Christopher Finch</t>
        </is>
      </c>
      <c r="B163" s="2" t="inlineStr">
        <is>
          <t>Purdue University</t>
        </is>
      </c>
      <c r="C163" s="3">
        <f>HYPERLINK("https://engineering.purdue.edu/ME/People/ptProfile?resource_id=294643", "https://engineering.purdue.edu/ME/People/ptProfile?resource_id=294643")</f>
        <v/>
      </c>
      <c r="D163" s="3">
        <f>HYPERLINK("https://scholar.google.com/citations?view_op=search_authors&amp;mauthors=Christopher%20Finch%20Purdue%20University", "Google Scholar Search")</f>
        <v/>
      </c>
      <c r="E163" s="2" t="inlineStr">
        <is>
          <t>Professor of Engineering Practice</t>
        </is>
      </c>
      <c r="F163" s="2" t="inlineStr">
        <is>
          <t>Mechanical Engineering</t>
        </is>
      </c>
      <c r="G163" s="2" t="inlineStr"/>
      <c r="H163" s="3">
        <f>HYPERLINK("mailto:finch21@purdue.edu", "finch21@purdue.edu")</f>
        <v/>
      </c>
      <c r="I163" s="2" t="n">
        <v>4</v>
      </c>
      <c r="J163" s="2" t="inlineStr">
        <is>
          <t>🔴 Tier 4: Robotics / Controls / Autonomy</t>
        </is>
      </c>
      <c r="K163" s="2" t="n">
        <v>0</v>
      </c>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is>
          <t>Outstanding Mechanical Engineers Distinguished Engineering Alumni Honorary Doctorates Staff Awards Student Awards Distinguished...</t>
        </is>
      </c>
      <c r="AE163" s="2" t="inlineStr"/>
      <c r="AF163" s="2" t="inlineStr"/>
      <c r="AG163" s="2" t="inlineStr"/>
      <c r="AH163" s="2" t="inlineStr">
        <is>
          <t>Motorsports Engineering Vehicle Dynamics Design</t>
        </is>
      </c>
      <c r="AI163" s="2" t="inlineStr">
        <is>
          <t>Motorsports</t>
        </is>
      </c>
      <c r="AJ163" s="2" t="inlineStr">
        <is>
          <t>Motorsports</t>
        </is>
      </c>
      <c r="AK163" s="2" t="inlineStr">
        <is>
          <t>MA/MS Mechanical Engineering, Purdue University, 12/1994 BA/BS Mechanical Engineering, Purdue University, 05/1989</t>
        </is>
      </c>
      <c r="AL163" s="2" t="inlineStr">
        <is>
          <t>Indiana Space Grant Consortium</t>
        </is>
      </c>
      <c r="AM163" s="3">
        <f>HYPERLINK("https://insgc.spacegrant.org/", "https://insgc.spacegrant.org/")</f>
        <v/>
      </c>
      <c r="AN163" s="2" t="inlineStr">
        <is>
          <t>Academic INSGC Internships</t>
        </is>
      </c>
      <c r="AO163" s="2" t="inlineStr"/>
      <c r="AP163" s="2" t="inlineStr"/>
      <c r="AQ163" s="2" t="inlineStr">
        <is>
          <t>NASA</t>
        </is>
      </c>
      <c r="AR163" s="2" t="inlineStr"/>
      <c r="AS163" s="2" t="inlineStr"/>
      <c r="AT163" s="2" t="inlineStr"/>
      <c r="AU163" s="2" t="b">
        <v>0</v>
      </c>
      <c r="AV163" s="3">
        <f>HYPERLINK("https://engineering.purdue.edu/ME/People/ptFaculty", "https://engineering.purdue.edu/ME/People/ptFaculty")</f>
        <v/>
      </c>
    </row>
    <row r="164">
      <c r="A164" s="2" t="inlineStr">
        <is>
          <t>Craig Goergen</t>
        </is>
      </c>
      <c r="B164" s="2" t="inlineStr">
        <is>
          <t>Purdue University</t>
        </is>
      </c>
      <c r="C164" s="3">
        <f>HYPERLINK("https://engineering.purdue.edu/ME/People/ptProfile?resource_id=84317", "https://engineering.purdue.edu/ME/People/ptProfile?resource_id=84317")</f>
        <v/>
      </c>
      <c r="D164" s="3">
        <f>HYPERLINK("https://scholar.google.com/citations?view_op=search_authors&amp;mauthors=Craig%20Goergen%20Purdue%20University", "Google Scholar Search")</f>
        <v/>
      </c>
      <c r="E164" s="2" t="inlineStr">
        <is>
          <t>Professor of Biomedical Engineering; Professor of Mechanical Engineering (by courtesy)</t>
        </is>
      </c>
      <c r="F164" s="2" t="inlineStr">
        <is>
          <t>Mechanical Engineering</t>
        </is>
      </c>
      <c r="G164" s="2" t="inlineStr"/>
      <c r="H164" s="3">
        <f>HYPERLINK("mailto:cgoergen@purdue.edu", "cgoergen@purdue.edu")</f>
        <v/>
      </c>
      <c r="I164" s="2" t="n">
        <v>4</v>
      </c>
      <c r="J164" s="2" t="inlineStr">
        <is>
          <t>🔴 Tier 4: Robotics / Controls / Autonomy</t>
        </is>
      </c>
      <c r="K164" s="2" t="n">
        <v>0</v>
      </c>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is>
          <t>Outstanding Mechanical Engineers Distinguished Engineering Alumni Honorary Doctorates Staff Awards Student Awards Distinguished...</t>
        </is>
      </c>
      <c r="AE164" s="2" t="inlineStr"/>
      <c r="AF164" s="2" t="inlineStr"/>
      <c r="AG164" s="2" t="inlineStr"/>
      <c r="AH164" s="2" t="inlineStr"/>
      <c r="AI164" s="2" t="inlineStr"/>
      <c r="AJ164" s="2" t="inlineStr"/>
      <c r="AK164" s="2" t="inlineStr"/>
      <c r="AL164" s="2" t="inlineStr">
        <is>
          <t>Indiana Space Grant Consortium</t>
        </is>
      </c>
      <c r="AM164" s="3">
        <f>HYPERLINK("https://insgc.spacegrant.org/", "https://insgc.spacegrant.org/")</f>
        <v/>
      </c>
      <c r="AN164" s="2" t="inlineStr">
        <is>
          <t>Academic INSGC Internships</t>
        </is>
      </c>
      <c r="AO164" s="2" t="inlineStr"/>
      <c r="AP164" s="2" t="inlineStr"/>
      <c r="AQ164" s="2" t="inlineStr">
        <is>
          <t>NASA</t>
        </is>
      </c>
      <c r="AR164" s="2" t="inlineStr"/>
      <c r="AS164" s="2" t="inlineStr"/>
      <c r="AT164" s="2" t="inlineStr"/>
      <c r="AU164" s="2" t="b">
        <v>0</v>
      </c>
      <c r="AV164" s="3">
        <f>HYPERLINK("https://engineering.purdue.edu/ME/People/ptFaculty", "https://engineering.purdue.edu/ME/People/ptFaculty")</f>
        <v/>
      </c>
    </row>
    <row r="165">
      <c r="A165" s="2" t="inlineStr">
        <is>
          <t>Daniel Dumbacher</t>
        </is>
      </c>
      <c r="B165" s="2" t="inlineStr">
        <is>
          <t>Purdue University</t>
        </is>
      </c>
      <c r="C165" s="3">
        <f>HYPERLINK("https://engineering.purdue.edu/AAE/people/ptProfile?resource_id=109597", "https://engineering.purdue.edu/AAE/people/ptProfile?resource_id=109597")</f>
        <v/>
      </c>
      <c r="D165" s="3">
        <f>HYPERLINK("https://scholar.google.com/citations?view_op=search_authors&amp;mauthors=Daniel%20Dumbacher%20Purdue%20University", "Google Scholar Search")</f>
        <v/>
      </c>
      <c r="E165" s="2" t="inlineStr">
        <is>
          <t>Professor of Engineering Practice</t>
        </is>
      </c>
      <c r="F165" s="2" t="inlineStr">
        <is>
          <t>Aeronautics and Astronautics</t>
        </is>
      </c>
      <c r="G165" s="2" t="inlineStr"/>
      <c r="H165" s="3">
        <f>HYPERLINK("mailto:dan-dumbacher@purdue.edu", "dan-dumbacher@purdue.edu")</f>
        <v/>
      </c>
      <c r="I165" s="2" t="n">
        <v>4</v>
      </c>
      <c r="J165" s="2" t="inlineStr">
        <is>
          <t>🔴 Tier 4: Robotics / Controls / Autonomy</t>
        </is>
      </c>
      <c r="K165" s="2" t="n">
        <v>0</v>
      </c>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is>
          <t>Indiana Space Grant Consortium</t>
        </is>
      </c>
      <c r="AM165" s="3">
        <f>HYPERLINK("https://insgc.spacegrant.org/", "https://insgc.spacegrant.org/")</f>
        <v/>
      </c>
      <c r="AN165" s="2" t="inlineStr">
        <is>
          <t>Academic INSGC Internships</t>
        </is>
      </c>
      <c r="AO165" s="2" t="inlineStr"/>
      <c r="AP165" s="2" t="inlineStr"/>
      <c r="AQ165" s="2" t="inlineStr">
        <is>
          <t>NASA</t>
        </is>
      </c>
      <c r="AR165" s="2" t="inlineStr"/>
      <c r="AS165" s="2" t="inlineStr"/>
      <c r="AT165" s="2" t="inlineStr"/>
      <c r="AU165" s="2" t="b">
        <v>0</v>
      </c>
      <c r="AV165" s="3">
        <f>HYPERLINK("https://engineering.purdue.edu/AAE/people/Faculty", "https://engineering.purdue.edu/AAE/people/Faculty")</f>
        <v/>
      </c>
    </row>
    <row r="166">
      <c r="A166" s="2" t="inlineStr">
        <is>
          <t>Deva Chan</t>
        </is>
      </c>
      <c r="B166" s="2" t="inlineStr">
        <is>
          <t>Purdue University</t>
        </is>
      </c>
      <c r="C166" s="3">
        <f>HYPERLINK("https://engineering.purdue.edu/BME/People/ptProfile?resource_id=241220", "https://engineering.purdue.edu/BME/People/ptProfile?resource_id=241220")</f>
        <v/>
      </c>
      <c r="D166" s="3">
        <f>HYPERLINK("https://scholar.google.com/citations?user=kkEqKSgAAAAJ&amp;hl=en", "Scholar (kkEqKSgAAAAJ)")</f>
        <v/>
      </c>
      <c r="E166" s="2" t="inlineStr">
        <is>
          <t>Assistant Professor In Biomedical Engineering (courtesy in Mechanical Engineering)</t>
        </is>
      </c>
      <c r="F166" s="2" t="inlineStr">
        <is>
          <t>Mechanical Engineering</t>
        </is>
      </c>
      <c r="G166" s="2" t="inlineStr">
        <is>
          <t>kkEqKSgAAAAJ</t>
        </is>
      </c>
      <c r="H166" s="3">
        <f>HYPERLINK("mailto:chand@purdue.edu", "chand@purdue.edu")</f>
        <v/>
      </c>
      <c r="I166" s="2" t="n">
        <v>4</v>
      </c>
      <c r="J166" s="2" t="inlineStr">
        <is>
          <t>🔴 Tier 4: Robotics / Controls / Autonomy</t>
        </is>
      </c>
      <c r="K166" s="2" t="n">
        <v>0</v>
      </c>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is>
          <t>Young Innovators of Cellular and Molecular Bioengineering Award, 2025 Ralph W. and Grace M Showalter Research Trust Award, 2022...</t>
        </is>
      </c>
      <c r="AE166" s="2" t="inlineStr"/>
      <c r="AF166" s="2" t="inlineStr"/>
      <c r="AG166" s="2" t="inlineStr"/>
      <c r="AH166" s="2" t="inlineStr">
        <is>
          <t>Multi-scale orthopedic biomechanics Magnetic resonance imaging for diagnosis, assessment, and intervention in musculoskeletal and neural disease Mechanobiology of hyaluronan metabolism, function, and signaling Osteoarthritis and degenerative disc disease Brain biomechanics and neurotrauma</t>
        </is>
      </c>
      <c r="AI166" s="2" t="inlineStr"/>
      <c r="AJ166" s="2" t="inlineStr">
        <is>
          <t>Multi-scale orthopedic biomechanics Magnetic resonance imaging for diagnosis, assessment, and intervention in musculoskeletal and neural disease Mechanobiology of hyaluronan metabolism, function, and signaling Osteoarthritis and degenerative disc disease Brain biomechanics and neurotrauma</t>
        </is>
      </c>
      <c r="AK166" s="2" t="inlineStr"/>
      <c r="AL166" s="2" t="inlineStr">
        <is>
          <t>Indiana Space Grant Consortium</t>
        </is>
      </c>
      <c r="AM166" s="3">
        <f>HYPERLINK("https://insgc.spacegrant.org/", "https://insgc.spacegrant.org/")</f>
        <v/>
      </c>
      <c r="AN166" s="2" t="inlineStr">
        <is>
          <t>Academic INSGC Internships</t>
        </is>
      </c>
      <c r="AO166" s="2" t="inlineStr"/>
      <c r="AP166" s="2" t="inlineStr"/>
      <c r="AQ166" s="2" t="inlineStr">
        <is>
          <t>NASA</t>
        </is>
      </c>
      <c r="AR166" s="2" t="inlineStr"/>
      <c r="AS166" s="2" t="inlineStr"/>
      <c r="AT166" s="2" t="inlineStr"/>
      <c r="AU166" s="2" t="b">
        <v>0</v>
      </c>
      <c r="AV166" s="3">
        <f>HYPERLINK("https://engineering.purdue.edu/ME/People/ptFaculty", "https://engineering.purdue.edu/ME/People/ptFaculty")</f>
        <v/>
      </c>
    </row>
    <row r="167">
      <c r="A167" s="2" t="inlineStr">
        <is>
          <t>Diane Wagner</t>
        </is>
      </c>
      <c r="B167" s="2" t="inlineStr">
        <is>
          <t>Purdue University</t>
        </is>
      </c>
      <c r="C167" s="3">
        <f>HYPERLINK("https://engineering.purdue.edu/ME/People/ptProfile?resource_id=277929", "https://engineering.purdue.edu/ME/People/ptProfile?resource_id=277929")</f>
        <v/>
      </c>
      <c r="D167" s="3">
        <f>HYPERLINK("https://scholar.google.com/citations?view_op=search_authors&amp;mauthors=Diane%20Wagner%20Purdue%20University", "Google Scholar Search")</f>
        <v/>
      </c>
      <c r="E167" s="2" t="inlineStr">
        <is>
          <t>Associate Professor of Mechanical Engineering</t>
        </is>
      </c>
      <c r="F167" s="2" t="inlineStr">
        <is>
          <t>Mechanical Engineering</t>
        </is>
      </c>
      <c r="G167" s="2" t="inlineStr"/>
      <c r="H167" s="3">
        <f>HYPERLINK("mailto:wagne242@purdue.edu", "wagne242@purdue.edu")</f>
        <v/>
      </c>
      <c r="I167" s="2" t="n">
        <v>4</v>
      </c>
      <c r="J167" s="2" t="inlineStr">
        <is>
          <t>🔴 Tier 4: Robotics / Controls / Autonomy</t>
        </is>
      </c>
      <c r="K167" s="2" t="n">
        <v>0</v>
      </c>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is>
          <t>Outstanding Mechanical Engineers Distinguished Engineering Alumni Honorary Doctorates Staff Awards Student Awards Distinguished...</t>
        </is>
      </c>
      <c r="AE167" s="2" t="inlineStr"/>
      <c r="AF167" s="2" t="inlineStr"/>
      <c r="AG167" s="2" t="inlineStr"/>
      <c r="AH167" s="2" t="inlineStr">
        <is>
          <t>Orthopaedic biomechanics Soft tissue mechanics Computational biomechanics Tissue engineering and regenerative medicine Mechanobiology Stem cell differentiation Musculoskeletal biology and repair</t>
        </is>
      </c>
      <c r="AI167" s="2" t="inlineStr"/>
      <c r="AJ167" s="2" t="inlineStr">
        <is>
          <t>Orthopaedic biomechanics Soft tissue mechanics Computational biomechanics Tissue engineering and regenerative medicine Mechanobiology Stem cell differentiation Musculoskeletal biology and repair</t>
        </is>
      </c>
      <c r="AK167" s="2" t="inlineStr">
        <is>
          <t>BA/BS Mechanical Engineering, University of Michigan Ph.D. Mechanical Engineering, Berkeley</t>
        </is>
      </c>
      <c r="AL167" s="2" t="inlineStr">
        <is>
          <t>Personal Homepage</t>
        </is>
      </c>
      <c r="AM167" s="3">
        <f>HYPERLINK("https://dianewagnerlab.com/", "https://dianewagnerlab.com/")</f>
        <v/>
      </c>
      <c r="AN167" s="2" t="inlineStr"/>
      <c r="AO167" s="2" t="inlineStr"/>
      <c r="AP167" s="2" t="inlineStr"/>
      <c r="AQ167" s="2" t="inlineStr"/>
      <c r="AR167" s="2" t="inlineStr"/>
      <c r="AS167" s="2" t="inlineStr"/>
      <c r="AT167" s="2" t="inlineStr">
        <is>
          <t>SL 160H</t>
        </is>
      </c>
      <c r="AU167" s="2" t="b">
        <v>0</v>
      </c>
      <c r="AV167" s="3">
        <f>HYPERLINK("https://engineering.purdue.edu/ME/People/ptFaculty", "https://engineering.purdue.edu/ME/People/ptFaculty")</f>
        <v/>
      </c>
    </row>
    <row r="168">
      <c r="A168" s="2" t="inlineStr">
        <is>
          <t>E. Daniel Hirleman</t>
        </is>
      </c>
      <c r="B168" s="2" t="inlineStr">
        <is>
          <t>Purdue University</t>
        </is>
      </c>
      <c r="C168" s="3">
        <f>HYPERLINK("https://engineering.purdue.edu/ME/People/ptProfile?resource_id=2976", "https://engineering.purdue.edu/ME/People/ptProfile?resource_id=2976")</f>
        <v/>
      </c>
      <c r="D168" s="3">
        <f>HYPERLINK("https://scholar.google.com/citations?view_op=search_authors&amp;mauthors=E.%20Daniel%20Hirleman%20Purdue%20University", "Google Scholar Search")</f>
        <v/>
      </c>
      <c r="E168" s="2" t="inlineStr">
        <is>
          <t>Professor of Mechanical Engineering; Director, Data Mine of the Rockies</t>
        </is>
      </c>
      <c r="F168" s="2" t="inlineStr">
        <is>
          <t>Mechanical Engineering</t>
        </is>
      </c>
      <c r="G168" s="2" t="inlineStr"/>
      <c r="H168" s="3">
        <f>HYPERLINK("mailto:hirleman@purdue.edu", "hirleman@purdue.edu")</f>
        <v/>
      </c>
      <c r="I168" s="2" t="n">
        <v>4</v>
      </c>
      <c r="J168" s="2" t="inlineStr">
        <is>
          <t>🔴 Tier 4: Robotics / Controls / Autonomy</t>
        </is>
      </c>
      <c r="K168" s="2" t="n">
        <v>0</v>
      </c>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is>
          <t>Outstanding Mechanical Engineers Distinguished Engineering Alumni Honorary Doctorates Staff Awards Student Awards Distinguished...</t>
        </is>
      </c>
      <c r="AE168" s="2" t="inlineStr"/>
      <c r="AF168" s="2" t="inlineStr"/>
      <c r="AG168" s="2" t="inlineStr"/>
      <c r="AH168" s="2" t="inlineStr"/>
      <c r="AI168" s="2" t="inlineStr"/>
      <c r="AJ168" s="2" t="inlineStr"/>
      <c r="AK168" s="2" t="inlineStr"/>
      <c r="AL168" s="2" t="inlineStr">
        <is>
          <t>Indiana Space Grant Consortium</t>
        </is>
      </c>
      <c r="AM168" s="3">
        <f>HYPERLINK("https://insgc.spacegrant.org/", "https://insgc.spacegrant.org/")</f>
        <v/>
      </c>
      <c r="AN168" s="2" t="inlineStr">
        <is>
          <t>Academic INSGC Internships</t>
        </is>
      </c>
      <c r="AO168" s="2" t="inlineStr"/>
      <c r="AP168" s="2" t="inlineStr"/>
      <c r="AQ168" s="2" t="inlineStr">
        <is>
          <t>NASA</t>
        </is>
      </c>
      <c r="AR168" s="2" t="inlineStr"/>
      <c r="AS168" s="2" t="inlineStr"/>
      <c r="AT168" s="2" t="inlineStr"/>
      <c r="AU168" s="2" t="b">
        <v>0</v>
      </c>
      <c r="AV168" s="3">
        <f>HYPERLINK("https://engineering.purdue.edu/ME/People/ptFaculty", "https://engineering.purdue.edu/ME/People/ptFaculty")</f>
        <v/>
      </c>
    </row>
    <row r="169">
      <c r="A169" s="2" t="inlineStr">
        <is>
          <t>Eric Holloway</t>
        </is>
      </c>
      <c r="B169" s="2" t="inlineStr">
        <is>
          <t>Purdue University</t>
        </is>
      </c>
      <c r="C169" s="3">
        <f>HYPERLINK("https://engineering.purdue.edu/ME/People/ptProfile?resource_id=39910", "https://engineering.purdue.edu/ME/People/ptProfile?resource_id=39910")</f>
        <v/>
      </c>
      <c r="D169" s="3">
        <f>HYPERLINK("https://scholar.google.com/citations?view_op=search_authors&amp;mauthors=Eric%20Holloway%20Purdue%20University", "Google Scholar Search")</f>
        <v/>
      </c>
      <c r="E169" s="2" t="inlineStr">
        <is>
          <t>Professor of Engineering Practice, School of Mechanical Engineering; Courtesy Faculty of Engineering Education</t>
        </is>
      </c>
      <c r="F169" s="2" t="inlineStr">
        <is>
          <t>Mechanical Engineering</t>
        </is>
      </c>
      <c r="G169" s="2" t="inlineStr"/>
      <c r="H169" s="3">
        <f>HYPERLINK("mailto:eholloway@purdue.edu", "eholloway@purdue.edu")</f>
        <v/>
      </c>
      <c r="I169" s="2" t="n">
        <v>4</v>
      </c>
      <c r="J169" s="2" t="inlineStr">
        <is>
          <t>🔴 Tier 4: Robotics / Controls / Autonomy</t>
        </is>
      </c>
      <c r="K169" s="2" t="n">
        <v>0</v>
      </c>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is>
          <t>Outstanding Mechanical Engineers Distinguished Engineering Alumni Honorary Doctorates Staff Awards Student Awards Distinguished...</t>
        </is>
      </c>
      <c r="AE169" s="2" t="inlineStr"/>
      <c r="AF169" s="2" t="inlineStr"/>
      <c r="AG169" s="2" t="inlineStr"/>
      <c r="AH169" s="2" t="inlineStr"/>
      <c r="AI169" s="2" t="inlineStr"/>
      <c r="AJ169" s="2" t="inlineStr"/>
      <c r="AK169" s="2" t="inlineStr"/>
      <c r="AL169" s="2" t="inlineStr">
        <is>
          <t>Indiana Space Grant Consortium</t>
        </is>
      </c>
      <c r="AM169" s="3">
        <f>HYPERLINK("https://insgc.spacegrant.org/", "https://insgc.spacegrant.org/")</f>
        <v/>
      </c>
      <c r="AN169" s="2" t="inlineStr">
        <is>
          <t>Academic INSGC Internships</t>
        </is>
      </c>
      <c r="AO169" s="2" t="inlineStr"/>
      <c r="AP169" s="2" t="inlineStr"/>
      <c r="AQ169" s="2" t="inlineStr">
        <is>
          <t>NASA</t>
        </is>
      </c>
      <c r="AR169" s="2" t="inlineStr"/>
      <c r="AS169" s="2" t="inlineStr"/>
      <c r="AT169" s="2" t="inlineStr"/>
      <c r="AU169" s="2" t="b">
        <v>0</v>
      </c>
      <c r="AV169" s="3">
        <f>HYPERLINK("https://engineering.purdue.edu/ME/People/ptFaculty", "https://engineering.purdue.edu/ME/People/ptFaculty")</f>
        <v/>
      </c>
    </row>
    <row r="170">
      <c r="A170" s="2" t="inlineStr">
        <is>
          <t>Henry Yang</t>
        </is>
      </c>
      <c r="B170" s="2" t="inlineStr">
        <is>
          <t>Purdue University</t>
        </is>
      </c>
      <c r="C170" s="3">
        <f>HYPERLINK("https://engineering.purdue.edu/AAE/people/ptProfile?resource_id=22094", "https://engineering.purdue.edu/AAE/people/ptProfile?resource_id=22094")</f>
        <v/>
      </c>
      <c r="D170" s="3">
        <f>HYPERLINK("https://scholar.google.com/citations?view_op=search_authors&amp;mauthors=Henry%20Yang%20Purdue%20University", "Google Scholar Search")</f>
        <v/>
      </c>
      <c r="E170" s="2" t="inlineStr">
        <is>
          <t>UCSB Chancellor and Distinguished Professor</t>
        </is>
      </c>
      <c r="F170" s="2" t="inlineStr">
        <is>
          <t>Aeronautics and Astronautics</t>
        </is>
      </c>
      <c r="G170" s="2" t="inlineStr"/>
      <c r="H170" s="3">
        <f>HYPERLINK("mailto:webmaster-eng@purdue.edu", "webmaster-eng@purdue.edu")</f>
        <v/>
      </c>
      <c r="I170" s="2" t="n">
        <v>4</v>
      </c>
      <c r="J170" s="2" t="inlineStr">
        <is>
          <t>🔴 Tier 4: Robotics / Controls / Autonomy</t>
        </is>
      </c>
      <c r="K170" s="2" t="n">
        <v>0</v>
      </c>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is>
          <t>Indiana Space Grant Consortium</t>
        </is>
      </c>
      <c r="AM170" s="3">
        <f>HYPERLINK("https://insgc.spacegrant.org/", "https://insgc.spacegrant.org/")</f>
        <v/>
      </c>
      <c r="AN170" s="2" t="inlineStr">
        <is>
          <t>Academic INSGC Internships</t>
        </is>
      </c>
      <c r="AO170" s="2" t="inlineStr"/>
      <c r="AP170" s="2" t="inlineStr"/>
      <c r="AQ170" s="2" t="inlineStr">
        <is>
          <t>NASA</t>
        </is>
      </c>
      <c r="AR170" s="2" t="inlineStr"/>
      <c r="AS170" s="2" t="inlineStr"/>
      <c r="AT170" s="2" t="inlineStr"/>
      <c r="AU170" s="2" t="b">
        <v>0</v>
      </c>
      <c r="AV170" s="3">
        <f>HYPERLINK("https://engineering.purdue.edu/AAE/people/Faculty", "https://engineering.purdue.edu/AAE/people/Faculty")</f>
        <v/>
      </c>
    </row>
    <row r="171">
      <c r="A171" s="2" t="inlineStr">
        <is>
          <t>Ibrahim Gunduz</t>
        </is>
      </c>
      <c r="B171" s="2" t="inlineStr">
        <is>
          <t>Purdue University</t>
        </is>
      </c>
      <c r="C171" s="3">
        <f>HYPERLINK("https://engineering.purdue.edu/ME/People/ptProfile?resource_id=114677", "https://engineering.purdue.edu/ME/People/ptProfile?resource_id=114677")</f>
        <v/>
      </c>
      <c r="D171" s="3">
        <f>HYPERLINK("https://scholar.google.com/citations?view_op=search_authors&amp;mauthors=Ibrahim%20Gunduz%20Purdue%20University", "Google Scholar Search")</f>
        <v/>
      </c>
      <c r="E171" s="2" t="inlineStr">
        <is>
          <t>Associate Professor, Naval Postgraduate School</t>
        </is>
      </c>
      <c r="F171" s="2" t="inlineStr">
        <is>
          <t>Mechanical Engineering</t>
        </is>
      </c>
      <c r="G171" s="2" t="inlineStr"/>
      <c r="H171" s="3">
        <f>HYPERLINK("mailto:igunduz@purdue.edu", "igunduz@purdue.edu")</f>
        <v/>
      </c>
      <c r="I171" s="2" t="n">
        <v>4</v>
      </c>
      <c r="J171" s="2" t="inlineStr">
        <is>
          <t>🔴 Tier 4: Robotics / Controls / Autonomy</t>
        </is>
      </c>
      <c r="K171" s="2" t="n">
        <v>0</v>
      </c>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is>
          <t>Outstanding Mechanical Engineers Distinguished Engineering Alumni Honorary Doctorates Staff Awards Student Awards Distinguished...</t>
        </is>
      </c>
      <c r="AE171" s="2" t="inlineStr"/>
      <c r="AF171" s="2" t="inlineStr"/>
      <c r="AG171" s="2" t="inlineStr"/>
      <c r="AH171" s="2" t="inlineStr"/>
      <c r="AI171" s="2" t="inlineStr"/>
      <c r="AJ171" s="2" t="inlineStr"/>
      <c r="AK171" s="2" t="inlineStr"/>
      <c r="AL171" s="2" t="inlineStr">
        <is>
          <t>Indiana Space Grant Consortium</t>
        </is>
      </c>
      <c r="AM171" s="3">
        <f>HYPERLINK("https://insgc.spacegrant.org/", "https://insgc.spacegrant.org/")</f>
        <v/>
      </c>
      <c r="AN171" s="2" t="inlineStr">
        <is>
          <t>Academic INSGC Internships</t>
        </is>
      </c>
      <c r="AO171" s="2" t="inlineStr"/>
      <c r="AP171" s="2" t="inlineStr"/>
      <c r="AQ171" s="2" t="inlineStr">
        <is>
          <t>NASA</t>
        </is>
      </c>
      <c r="AR171" s="2" t="inlineStr"/>
      <c r="AS171" s="2" t="inlineStr"/>
      <c r="AT171" s="2" t="inlineStr"/>
      <c r="AU171" s="2" t="b">
        <v>0</v>
      </c>
      <c r="AV171" s="3">
        <f>HYPERLINK("https://engineering.purdue.edu/ME/People/ptFaculty", "https://engineering.purdue.edu/ME/People/ptFaculty")</f>
        <v/>
      </c>
    </row>
    <row r="172">
      <c r="A172" s="2" t="inlineStr">
        <is>
          <t>James Goppert</t>
        </is>
      </c>
      <c r="B172" s="2" t="inlineStr">
        <is>
          <t>Purdue University</t>
        </is>
      </c>
      <c r="C172" s="3">
        <f>HYPERLINK("https://engineering.purdue.edu/AAE/people/ptProfile?resource_id=37293", "https://engineering.purdue.edu/AAE/people/ptProfile?resource_id=37293")</f>
        <v/>
      </c>
      <c r="D172" s="3">
        <f>HYPERLINK("https://scholar.google.com/citations?view_op=search_authors&amp;mauthors=James%20Goppert%20Purdue%20University", "Google Scholar Search")</f>
        <v/>
      </c>
      <c r="E172" s="2" t="inlineStr">
        <is>
          <t>Research Assistant Professor</t>
        </is>
      </c>
      <c r="F172" s="2" t="inlineStr">
        <is>
          <t>Aeronautics and Astronautics</t>
        </is>
      </c>
      <c r="G172" s="2" t="inlineStr"/>
      <c r="H172" s="3">
        <f>HYPERLINK("mailto:jgoppert@purdue.edu", "jgoppert@purdue.edu")</f>
        <v/>
      </c>
      <c r="I172" s="2" t="n">
        <v>4</v>
      </c>
      <c r="J172" s="2" t="inlineStr">
        <is>
          <t>🔴 Tier 4: Robotics / Controls / Autonomy</t>
        </is>
      </c>
      <c r="K172" s="2" t="n">
        <v>0</v>
      </c>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is>
          <t>Ph.D., Purdue University, Aeronautics and Astronautics, 2018 M.S., Purdue University, Aeronautics and Astronautics, 2011 B.S., Purdue University, Aeronautics and Astronautics, 2007</t>
        </is>
      </c>
      <c r="AL172" s="2" t="inlineStr">
        <is>
          <t>Indiana Space Grant Consortium</t>
        </is>
      </c>
      <c r="AM172" s="3">
        <f>HYPERLINK("https://insgc.spacegrant.org/", "https://insgc.spacegrant.org/")</f>
        <v/>
      </c>
      <c r="AN172" s="2" t="inlineStr">
        <is>
          <t>Academic INSGC Internships</t>
        </is>
      </c>
      <c r="AO172" s="2" t="inlineStr"/>
      <c r="AP172" s="2" t="inlineStr"/>
      <c r="AQ172" s="2" t="inlineStr">
        <is>
          <t>NASA</t>
        </is>
      </c>
      <c r="AR172" s="2" t="inlineStr"/>
      <c r="AS172" s="2" t="inlineStr"/>
      <c r="AT172" s="2" t="inlineStr">
        <is>
          <t>ARMS 3214</t>
        </is>
      </c>
      <c r="AU172" s="2" t="b">
        <v>0</v>
      </c>
      <c r="AV172" s="3">
        <f>HYPERLINK("https://engineering.purdue.edu/AAE/people/Faculty", "https://engineering.purdue.edu/AAE/people/Faculty")</f>
        <v/>
      </c>
    </row>
    <row r="173">
      <c r="A173" s="2" t="inlineStr">
        <is>
          <t>Jie Chen</t>
        </is>
      </c>
      <c r="B173" s="2" t="inlineStr">
        <is>
          <t>Purdue University</t>
        </is>
      </c>
      <c r="C173" s="3">
        <f>HYPERLINK("https://engineering.purdue.edu/ME/People/ptProfile?resource_id=294585", "https://engineering.purdue.edu/ME/People/ptProfile?resource_id=294585")</f>
        <v/>
      </c>
      <c r="D173" s="3">
        <f>HYPERLINK("https://scholar.google.com/citations?view_op=search_authors&amp;mauthors=Jie%20Chen%20Purdue%20University", "Google Scholar Search")</f>
        <v/>
      </c>
      <c r="E173" s="2" t="inlineStr">
        <is>
          <t>Professor of Mechanical Engineering</t>
        </is>
      </c>
      <c r="F173" s="2" t="inlineStr">
        <is>
          <t>Mechanical Engineering</t>
        </is>
      </c>
      <c r="G173" s="2" t="inlineStr"/>
      <c r="H173" s="3">
        <f>HYPERLINK("mailto:chenj@purdue.edu", "chenj@purdue.edu")</f>
        <v/>
      </c>
      <c r="I173" s="2" t="n">
        <v>4</v>
      </c>
      <c r="J173" s="2" t="inlineStr">
        <is>
          <t>🔴 Tier 4: Robotics / Controls / Autonomy</t>
        </is>
      </c>
      <c r="K173" s="2" t="n">
        <v>0</v>
      </c>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is>
          <t>Outstanding Mechanical Engineers Distinguished Engineering Alumni Honorary Doctorates Staff Awards Student Awards Distinguished...</t>
        </is>
      </c>
      <c r="AE173" s="2" t="inlineStr"/>
      <c r="AF173" s="2" t="inlineStr"/>
      <c r="AG173" s="2" t="inlineStr"/>
      <c r="AH173" s="2" t="inlineStr">
        <is>
          <t>Dental biomechanics Instrumentation design Systems engineering Energy efficiency</t>
        </is>
      </c>
      <c r="AI173" s="2" t="inlineStr"/>
      <c r="AJ173" s="2" t="inlineStr">
        <is>
          <t>Dental biomechanics Instrumentation design Systems engineering Energy efficiency</t>
        </is>
      </c>
      <c r="AK173" s="2" t="inlineStr"/>
      <c r="AL173" s="2" t="inlineStr">
        <is>
          <t>Indiana Space Grant Consortium</t>
        </is>
      </c>
      <c r="AM173" s="3">
        <f>HYPERLINK("https://insgc.spacegrant.org/", "https://insgc.spacegrant.org/")</f>
        <v/>
      </c>
      <c r="AN173" s="2" t="inlineStr">
        <is>
          <t>Academic INSGC Internships</t>
        </is>
      </c>
      <c r="AO173" s="2" t="inlineStr"/>
      <c r="AP173" s="2" t="inlineStr"/>
      <c r="AQ173" s="2" t="inlineStr">
        <is>
          <t>NASA</t>
        </is>
      </c>
      <c r="AR173" s="2" t="inlineStr"/>
      <c r="AS173" s="2" t="inlineStr"/>
      <c r="AT173" s="2" t="inlineStr">
        <is>
          <t>SL 160E</t>
        </is>
      </c>
      <c r="AU173" s="2" t="b">
        <v>0</v>
      </c>
      <c r="AV173" s="3">
        <f>HYPERLINK("https://engineering.purdue.edu/ME/People/ptFaculty", "https://engineering.purdue.edu/ME/People/ptFaculty")</f>
        <v/>
      </c>
    </row>
    <row r="174">
      <c r="A174" s="2" t="inlineStr">
        <is>
          <t>Johannes Lachner</t>
        </is>
      </c>
      <c r="B174" s="2" t="inlineStr">
        <is>
          <t>Purdue University</t>
        </is>
      </c>
      <c r="C174" s="3">
        <f>HYPERLINK("https://engineering.purdue.edu/ECE/People/ptProfile?resource_id=339341", "https://engineering.purdue.edu/ECE/People/ptProfile?resource_id=339341")</f>
        <v/>
      </c>
      <c r="D174" s="3">
        <f>HYPERLINK("https://scholar.google.com/citations?view_op=search_authors&amp;mauthors=Johannes%20Lachner%20Purdue%20University", "Google Scholar Search")</f>
        <v/>
      </c>
      <c r="E174" s="2" t="inlineStr">
        <is>
          <t>Assistant Professor Of Electrical And Computer Engineering (Mechanical Engineering by courtesy)</t>
        </is>
      </c>
      <c r="F174" s="2" t="inlineStr">
        <is>
          <t>Mechanical Engineering</t>
        </is>
      </c>
      <c r="G174" s="2" t="inlineStr"/>
      <c r="H174" s="3">
        <f>HYPERLINK("mailto:jlachner@purdue.edu", "jlachner@purdue.edu")</f>
        <v/>
      </c>
      <c r="I174" s="2" t="n">
        <v>4</v>
      </c>
      <c r="J174" s="2" t="inlineStr">
        <is>
          <t>🔴 Tier 4: Robotics / Controls / Autonomy</t>
        </is>
      </c>
      <c r="K174" s="2" t="n">
        <v>0</v>
      </c>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is>
          <t>Indiana Space Grant Consortium</t>
        </is>
      </c>
      <c r="AM174" s="3">
        <f>HYPERLINK("https://insgc.spacegrant.org/", "https://insgc.spacegrant.org/")</f>
        <v/>
      </c>
      <c r="AN174" s="2" t="inlineStr">
        <is>
          <t>Academic INSGC Internships</t>
        </is>
      </c>
      <c r="AO174" s="2" t="inlineStr"/>
      <c r="AP174" s="2" t="inlineStr"/>
      <c r="AQ174" s="2" t="inlineStr">
        <is>
          <t>NASA</t>
        </is>
      </c>
      <c r="AR174" s="2" t="inlineStr"/>
      <c r="AS174" s="2" t="inlineStr"/>
      <c r="AT174" s="2" t="inlineStr">
        <is>
          <t>MSEE 274</t>
        </is>
      </c>
      <c r="AU174" s="2" t="b">
        <v>0</v>
      </c>
      <c r="AV174" s="3">
        <f>HYPERLINK("https://engineering.purdue.edu/ME/People/ptFaculty", "https://engineering.purdue.edu/ME/People/ptFaculty")</f>
        <v/>
      </c>
    </row>
    <row r="175">
      <c r="A175" s="2" t="inlineStr">
        <is>
          <t>John Evans</t>
        </is>
      </c>
      <c r="B175" s="2" t="inlineStr">
        <is>
          <t>Purdue University</t>
        </is>
      </c>
      <c r="C175" s="3">
        <f>HYPERLINK("https://engineering.purdue.edu/ME/People/ptProfile?resource_id=207278", "https://engineering.purdue.edu/ME/People/ptProfile?resource_id=207278")</f>
        <v/>
      </c>
      <c r="D175" s="3">
        <f>HYPERLINK("https://scholar.google.com/citations?view_op=search_authors&amp;mauthors=John%20Evans%20Purdue%20University", "Google Scholar Search")</f>
        <v/>
      </c>
      <c r="E175" s="2" t="inlineStr">
        <is>
          <t>Assistant Professor Of Agricultural And Biological Engineering; Assistant Professor of Mechanical Engineering (by Courtesy)</t>
        </is>
      </c>
      <c r="F175" s="2" t="inlineStr">
        <is>
          <t>Mechanical Engineering</t>
        </is>
      </c>
      <c r="G175" s="2" t="inlineStr"/>
      <c r="H175" s="3">
        <f>HYPERLINK("mailto:jevansiv@purdue.edu", "jevansiv@purdue.edu")</f>
        <v/>
      </c>
      <c r="I175" s="2" t="n">
        <v>4</v>
      </c>
      <c r="J175" s="2" t="inlineStr">
        <is>
          <t>🔴 Tier 4: Robotics / Controls / Autonomy</t>
        </is>
      </c>
      <c r="K175" s="2" t="n">
        <v>0</v>
      </c>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is>
          <t>Outstanding Mechanical Engineers Distinguished Engineering Alumni Honorary Doctorates Staff Awards Student Awards Distinguished...</t>
        </is>
      </c>
      <c r="AE175" s="2" t="inlineStr"/>
      <c r="AF175" s="2" t="inlineStr"/>
      <c r="AG175" s="2" t="inlineStr"/>
      <c r="AH175" s="2" t="inlineStr"/>
      <c r="AI175" s="2" t="inlineStr"/>
      <c r="AJ175" s="2" t="inlineStr"/>
      <c r="AK175" s="2" t="inlineStr"/>
      <c r="AL175" s="2" t="inlineStr">
        <is>
          <t>Indiana Space Grant Consortium</t>
        </is>
      </c>
      <c r="AM175" s="3">
        <f>HYPERLINK("https://insgc.spacegrant.org/", "https://insgc.spacegrant.org/")</f>
        <v/>
      </c>
      <c r="AN175" s="2" t="inlineStr">
        <is>
          <t>Academic INSGC Internships</t>
        </is>
      </c>
      <c r="AO175" s="2" t="inlineStr"/>
      <c r="AP175" s="2" t="inlineStr"/>
      <c r="AQ175" s="2" t="inlineStr">
        <is>
          <t>NASA</t>
        </is>
      </c>
      <c r="AR175" s="2" t="inlineStr"/>
      <c r="AS175" s="2" t="inlineStr"/>
      <c r="AT175" s="2" t="inlineStr"/>
      <c r="AU175" s="2" t="b">
        <v>0</v>
      </c>
      <c r="AV175" s="3">
        <f>HYPERLINK("https://engineering.purdue.edu/ME/People/ptFaculty", "https://engineering.purdue.edu/ME/People/ptFaculty")</f>
        <v/>
      </c>
    </row>
    <row r="176">
      <c r="A176" s="2" t="inlineStr">
        <is>
          <t>John Sutherland</t>
        </is>
      </c>
      <c r="B176" s="2" t="inlineStr">
        <is>
          <t>Purdue University</t>
        </is>
      </c>
      <c r="C176" s="3">
        <f>HYPERLINK("https://engineering.purdue.edu/SEE/People/ptProfile?resource_id=57089", "https://engineering.purdue.edu/SEE/People/ptProfile?resource_id=57089")</f>
        <v/>
      </c>
      <c r="D176" s="3">
        <f>HYPERLINK("https://scholar.google.com/citations?view_op=search_authors&amp;mauthors=John%20Sutherland%20Purdue%20University", "Google Scholar Search")</f>
        <v/>
      </c>
      <c r="E176" s="2" t="inlineStr">
        <is>
          <t>Distinguished Professor and Fehsenfeld Family Head of Sustainability Engineering and Environmental Engineering; Professor of Mechanical Engineering (by courtesy)</t>
        </is>
      </c>
      <c r="F176" s="2" t="inlineStr">
        <is>
          <t>Mechanical Engineering</t>
        </is>
      </c>
      <c r="G176" s="2" t="inlineStr"/>
      <c r="H176" s="3">
        <f>HYPERLINK("mailto:jwsuther@purdue.edu", "jwsuther@purdue.edu")</f>
        <v/>
      </c>
      <c r="I176" s="2" t="n">
        <v>4</v>
      </c>
      <c r="J176" s="2" t="inlineStr">
        <is>
          <t>🔴 Tier 4: Robotics / Controls / Autonomy</t>
        </is>
      </c>
      <c r="K176" s="2" t="n">
        <v>0</v>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is>
          <t>Awards SEE Undergrad Awards University Scholarships</t>
        </is>
      </c>
      <c r="AE176" s="2" t="inlineStr"/>
      <c r="AF176" s="2" t="inlineStr"/>
      <c r="AG176" s="2" t="inlineStr"/>
      <c r="AH176" s="2" t="inlineStr"/>
      <c r="AI176" s="2" t="inlineStr"/>
      <c r="AJ176" s="2" t="inlineStr"/>
      <c r="AK176" s="2" t="inlineStr"/>
      <c r="AL176" s="2" t="inlineStr">
        <is>
          <t>Indiana Space Grant Consortium</t>
        </is>
      </c>
      <c r="AM176" s="3">
        <f>HYPERLINK("https://insgc.spacegrant.org/", "https://insgc.spacegrant.org/")</f>
        <v/>
      </c>
      <c r="AN176" s="2" t="inlineStr">
        <is>
          <t>Academic INSGC Internships</t>
        </is>
      </c>
      <c r="AO176" s="2" t="inlineStr"/>
      <c r="AP176" s="2" t="inlineStr"/>
      <c r="AQ176" s="2" t="inlineStr">
        <is>
          <t>NASA</t>
        </is>
      </c>
      <c r="AR176" s="2" t="inlineStr"/>
      <c r="AS176" s="2" t="inlineStr"/>
      <c r="AT176" s="2" t="inlineStr"/>
      <c r="AU176" s="2" t="b">
        <v>0</v>
      </c>
      <c r="AV176" s="3">
        <f>HYPERLINK("https://engineering.purdue.edu/ME/People/ptFaculty", "https://engineering.purdue.edu/ME/People/ptFaculty")</f>
        <v/>
      </c>
    </row>
    <row r="177">
      <c r="A177" s="2" t="inlineStr">
        <is>
          <t>Justin Seipel</t>
        </is>
      </c>
      <c r="B177" s="2" t="inlineStr">
        <is>
          <t>Purdue University</t>
        </is>
      </c>
      <c r="C177" s="3">
        <f>HYPERLINK("https://engineering.purdue.edu/ME/People/ptProfile?resource_id=162480", "https://engineering.purdue.edu/ME/People/ptProfile?resource_id=162480")</f>
        <v/>
      </c>
      <c r="D177" s="3">
        <f>HYPERLINK("https://scholar.google.com/citations?view_op=search_authors&amp;mauthors=Justin%20Seipel%20Purdue%20University", "Google Scholar Search")</f>
        <v/>
      </c>
      <c r="E177" s="2" t="inlineStr">
        <is>
          <t>Transdisciplinary Research Specialist at Purdue Polytechnic Institute; Assistant Professor (by Courtesy)</t>
        </is>
      </c>
      <c r="F177" s="2" t="inlineStr">
        <is>
          <t>Mechanical Engineering</t>
        </is>
      </c>
      <c r="G177" s="2" t="inlineStr"/>
      <c r="H177" s="3">
        <f>HYPERLINK("mailto:jseipel@purdue.edu", "jseipel@purdue.edu")</f>
        <v/>
      </c>
      <c r="I177" s="2" t="n">
        <v>4</v>
      </c>
      <c r="J177" s="2" t="inlineStr">
        <is>
          <t>🔴 Tier 4: Robotics / Controls / Autonomy</t>
        </is>
      </c>
      <c r="K177" s="2" t="n">
        <v>0</v>
      </c>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is>
          <t>Outstanding Mechanical Engineers Distinguished Engineering Alumni Honorary Doctorates Staff Awards Student Awards Distinguished...</t>
        </is>
      </c>
      <c r="AE177" s="2" t="inlineStr"/>
      <c r="AF177" s="2" t="inlineStr"/>
      <c r="AG177" s="2" t="inlineStr"/>
      <c r="AH177" s="2" t="inlineStr"/>
      <c r="AI177" s="2" t="inlineStr"/>
      <c r="AJ177" s="2" t="inlineStr"/>
      <c r="AK177" s="2" t="inlineStr"/>
      <c r="AL177" s="2" t="inlineStr">
        <is>
          <t>Indiana Space Grant Consortium</t>
        </is>
      </c>
      <c r="AM177" s="3">
        <f>HYPERLINK("https://insgc.spacegrant.org/", "https://insgc.spacegrant.org/")</f>
        <v/>
      </c>
      <c r="AN177" s="2" t="inlineStr">
        <is>
          <t>Academic INSGC Internships</t>
        </is>
      </c>
      <c r="AO177" s="2" t="inlineStr"/>
      <c r="AP177" s="2" t="inlineStr"/>
      <c r="AQ177" s="2" t="inlineStr">
        <is>
          <t>NASA</t>
        </is>
      </c>
      <c r="AR177" s="2" t="inlineStr"/>
      <c r="AS177" s="2" t="inlineStr"/>
      <c r="AT177" s="2" t="inlineStr"/>
      <c r="AU177" s="2" t="b">
        <v>0</v>
      </c>
      <c r="AV177" s="3">
        <f>HYPERLINK("https://engineering.purdue.edu/ME/People/ptFaculty", "https://engineering.purdue.edu/ME/People/ptFaculty")</f>
        <v/>
      </c>
    </row>
    <row r="178">
      <c r="A178" s="2" t="inlineStr">
        <is>
          <t>Metin Ornek</t>
        </is>
      </c>
      <c r="B178" s="2" t="inlineStr">
        <is>
          <t>Purdue University</t>
        </is>
      </c>
      <c r="C178" s="3">
        <f>HYPERLINK("https://engineering.purdue.edu/ME/People/ptProfile?resource_id=224646", "https://engineering.purdue.edu/ME/People/ptProfile?resource_id=224646")</f>
        <v/>
      </c>
      <c r="D178" s="3">
        <f>HYPERLINK("https://scholar.google.com/citations?view_op=search_authors&amp;mauthors=Metin%20Ornek%20Purdue%20University", "Google Scholar Search")</f>
        <v/>
      </c>
      <c r="E178" s="2" t="inlineStr">
        <is>
          <t>Research Assistant Professor</t>
        </is>
      </c>
      <c r="F178" s="2" t="inlineStr">
        <is>
          <t>Mechanical Engineering</t>
        </is>
      </c>
      <c r="G178" s="2" t="inlineStr"/>
      <c r="H178" s="3">
        <f>HYPERLINK("mailto:mornek@purdue.edu", "mornek@purdue.edu")</f>
        <v/>
      </c>
      <c r="I178" s="2" t="n">
        <v>4</v>
      </c>
      <c r="J178" s="2" t="inlineStr">
        <is>
          <t>🔴 Tier 4: Robotics / Controls / Autonomy</t>
        </is>
      </c>
      <c r="K178" s="2" t="n">
        <v>0</v>
      </c>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is>
          <t>Outstanding Mechanical Engineers Distinguished Engineering Alumni Honorary Doctorates Staff Awards Student Awards Distinguished...</t>
        </is>
      </c>
      <c r="AE178" s="2" t="inlineStr"/>
      <c r="AF178" s="2" t="inlineStr"/>
      <c r="AG178" s="2" t="inlineStr"/>
      <c r="AH178" s="2" t="inlineStr"/>
      <c r="AI178" s="2" t="inlineStr"/>
      <c r="AJ178" s="2" t="inlineStr"/>
      <c r="AK178" s="2" t="inlineStr"/>
      <c r="AL178" s="2" t="inlineStr">
        <is>
          <t>Indiana Space Grant Consortium</t>
        </is>
      </c>
      <c r="AM178" s="3">
        <f>HYPERLINK("https://insgc.spacegrant.org/", "https://insgc.spacegrant.org/")</f>
        <v/>
      </c>
      <c r="AN178" s="2" t="inlineStr">
        <is>
          <t>Academic INSGC Internships</t>
        </is>
      </c>
      <c r="AO178" s="2" t="inlineStr"/>
      <c r="AP178" s="2" t="inlineStr"/>
      <c r="AQ178" s="2" t="inlineStr">
        <is>
          <t>NASA</t>
        </is>
      </c>
      <c r="AR178" s="2" t="inlineStr"/>
      <c r="AS178" s="2" t="inlineStr"/>
      <c r="AT178" s="2" t="inlineStr"/>
      <c r="AU178" s="2" t="b">
        <v>0</v>
      </c>
      <c r="AV178" s="3">
        <f>HYPERLINK("https://engineering.purdue.edu/ME/People/ptFaculty", "https://engineering.purdue.edu/ME/People/ptFaculty")</f>
        <v/>
      </c>
    </row>
    <row r="179">
      <c r="A179" s="2" t="inlineStr">
        <is>
          <t>Michael Sealy</t>
        </is>
      </c>
      <c r="B179" s="2" t="inlineStr">
        <is>
          <t>Purdue University</t>
        </is>
      </c>
      <c r="C179" s="3">
        <f>HYPERLINK("https://engineering.purdue.edu/ME/People/ptProfile?resource_id=256663", "https://engineering.purdue.edu/ME/People/ptProfile?resource_id=256663")</f>
        <v/>
      </c>
      <c r="D179" s="3">
        <f>HYPERLINK("https://scholar.google.com/citations?view_op=search_authors&amp;mauthors=Michael%20Sealy%20Purdue%20University", "Google Scholar Search")</f>
        <v/>
      </c>
      <c r="E179" s="2" t="inlineStr">
        <is>
          <t>Associate Professor Of Mechanical Engineering</t>
        </is>
      </c>
      <c r="F179" s="2" t="inlineStr">
        <is>
          <t>Mechanical Engineering</t>
        </is>
      </c>
      <c r="G179" s="2" t="inlineStr"/>
      <c r="H179" s="3">
        <f>HYPERLINK("mailto:msealy@purdue.edu", "msealy@purdue.edu")</f>
        <v/>
      </c>
      <c r="I179" s="2" t="n">
        <v>4</v>
      </c>
      <c r="J179" s="2" t="inlineStr">
        <is>
          <t>🔴 Tier 4: Robotics / Controls / Autonomy</t>
        </is>
      </c>
      <c r="K179" s="2" t="n">
        <v>0</v>
      </c>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is>
          <t>Outstanding Mechanical Engineers Distinguished Engineering Alumni Honorary Doctorates Staff Awards Student Awards Distinguished...</t>
        </is>
      </c>
      <c r="AE179" s="2" t="inlineStr">
        <is>
          <t>GPA : The minimum recommended GPA to apply is 3.2 out of 4.0. | 5. Three Letters of Recommendation . Recommenders will receive a link via email to upload letters. Applicants can submit application without recommendation letters being uploaded.</t>
        </is>
      </c>
      <c r="AF179" s="2" t="inlineStr"/>
      <c r="AG179" s="2" t="inlineStr"/>
      <c r="AH179" s="2" t="inlineStr"/>
      <c r="AI179" s="2" t="inlineStr"/>
      <c r="AJ179" s="2" t="inlineStr"/>
      <c r="AK179" s="2" t="inlineStr"/>
      <c r="AL179" s="2" t="inlineStr">
        <is>
          <t>Purdue Additive Research and Technology (PART)</t>
        </is>
      </c>
      <c r="AM179" s="3">
        <f>HYPERLINK("https://engineering.purdue.edu/PART", "https://engineering.purdue.edu/PART")</f>
        <v/>
      </c>
      <c r="AN179" s="2" t="inlineStr">
        <is>
          <t>RESEARCH (Undergraduate Research) | INDUSTRY (Internships &amp; Co-Ops)</t>
        </is>
      </c>
      <c r="AO179" s="2" t="inlineStr"/>
      <c r="AP179" s="2" t="inlineStr"/>
      <c r="AQ179" s="2" t="inlineStr">
        <is>
          <t>DOE</t>
        </is>
      </c>
      <c r="AR179" s="2" t="inlineStr"/>
      <c r="AS179" s="2" t="inlineStr"/>
      <c r="AT179" s="2" t="inlineStr">
        <is>
          <t>ME G084 &amp; MMRL</t>
        </is>
      </c>
      <c r="AU179" s="2" t="b">
        <v>0</v>
      </c>
      <c r="AV179" s="3">
        <f>HYPERLINK("https://engineering.purdue.edu/ME/People/ptFaculty", "https://engineering.purdue.edu/ME/People/ptFaculty")</f>
        <v/>
      </c>
    </row>
    <row r="180">
      <c r="A180" s="2" t="inlineStr">
        <is>
          <t>Mikhail Slipchenko</t>
        </is>
      </c>
      <c r="B180" s="2" t="inlineStr">
        <is>
          <t>Purdue University</t>
        </is>
      </c>
      <c r="C180" s="3">
        <f>HYPERLINK("https://engineering.purdue.edu/ME/People/ptProfile?resource_id=133408", "https://engineering.purdue.edu/ME/People/ptProfile?resource_id=133408")</f>
        <v/>
      </c>
      <c r="D180" s="3">
        <f>HYPERLINK("https://scholar.google.com/citations?view_op=search_authors&amp;mauthors=Mikhail%20Slipchenko%20Purdue%20University", "Google Scholar Search")</f>
        <v/>
      </c>
      <c r="E180" s="2" t="inlineStr">
        <is>
          <t>Research Professor</t>
        </is>
      </c>
      <c r="F180" s="2" t="inlineStr">
        <is>
          <t>Mechanical Engineering</t>
        </is>
      </c>
      <c r="G180" s="2" t="inlineStr"/>
      <c r="H180" s="3">
        <f>HYPERLINK("mailto:mslipche@purdue.edu", "mslipche@purdue.edu")</f>
        <v/>
      </c>
      <c r="I180" s="2" t="n">
        <v>4</v>
      </c>
      <c r="J180" s="2" t="inlineStr">
        <is>
          <t>🔴 Tier 4: Robotics / Controls / Autonomy</t>
        </is>
      </c>
      <c r="K180" s="2" t="n">
        <v>0</v>
      </c>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is>
          <t>Outstanding Mechanical Engineers Distinguished Engineering Alumni Honorary Doctorates Staff Awards Student Awards Distinguished...</t>
        </is>
      </c>
      <c r="AE180" s="2" t="inlineStr"/>
      <c r="AF180" s="2" t="inlineStr"/>
      <c r="AG180" s="2" t="inlineStr"/>
      <c r="AH180" s="2" t="inlineStr"/>
      <c r="AI180" s="2" t="inlineStr"/>
      <c r="AJ180" s="2" t="inlineStr"/>
      <c r="AK180" s="2" t="inlineStr"/>
      <c r="AL180" s="2" t="inlineStr">
        <is>
          <t>Indiana Space Grant Consortium</t>
        </is>
      </c>
      <c r="AM180" s="3">
        <f>HYPERLINK("https://insgc.spacegrant.org/", "https://insgc.spacegrant.org/")</f>
        <v/>
      </c>
      <c r="AN180" s="2" t="inlineStr">
        <is>
          <t>Academic INSGC Internships</t>
        </is>
      </c>
      <c r="AO180" s="2" t="inlineStr"/>
      <c r="AP180" s="2" t="inlineStr"/>
      <c r="AQ180" s="2" t="inlineStr">
        <is>
          <t>NASA</t>
        </is>
      </c>
      <c r="AR180" s="2" t="inlineStr"/>
      <c r="AS180" s="2" t="inlineStr"/>
      <c r="AT180" s="2" t="inlineStr"/>
      <c r="AU180" s="2" t="b">
        <v>0</v>
      </c>
      <c r="AV180" s="3">
        <f>HYPERLINK("https://engineering.purdue.edu/ME/People/ptFaculty", "https://engineering.purdue.edu/ME/People/ptFaculty")</f>
        <v/>
      </c>
    </row>
    <row r="181">
      <c r="A181" s="2" t="inlineStr">
        <is>
          <t>R. Bruce Alstrom</t>
        </is>
      </c>
      <c r="B181" s="2" t="inlineStr">
        <is>
          <t>Purdue University</t>
        </is>
      </c>
      <c r="C181" s="3">
        <f>HYPERLINK("https://engineering.purdue.edu/AAE/people/ptProfile?resource_id=310087", "https://engineering.purdue.edu/AAE/people/ptProfile?resource_id=310087")</f>
        <v/>
      </c>
      <c r="D181" s="3">
        <f>HYPERLINK("https://scholar.google.com/citations?view_op=search_authors&amp;mauthors=R.%20Bruce%20Alstrom%20Purdue%20University", "Google Scholar Search")</f>
        <v/>
      </c>
      <c r="E181" s="2" t="inlineStr">
        <is>
          <t>Assistant Professor Of Engineering Practice</t>
        </is>
      </c>
      <c r="F181" s="2" t="inlineStr">
        <is>
          <t>Aeronautics and Astronautics</t>
        </is>
      </c>
      <c r="G181" s="2" t="inlineStr"/>
      <c r="H181" s="3">
        <f>HYPERLINK("mailto:webmaster-eng@purdue.edu", "webmaster-eng@purdue.edu")</f>
        <v/>
      </c>
      <c r="I181" s="2" t="n">
        <v>4</v>
      </c>
      <c r="J181" s="2" t="inlineStr">
        <is>
          <t>🔴 Tier 4: Robotics / Controls / Autonomy</t>
        </is>
      </c>
      <c r="K181" s="2" t="n">
        <v>0</v>
      </c>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is>
          <t>Indiana Space Grant Consortium</t>
        </is>
      </c>
      <c r="AM181" s="3">
        <f>HYPERLINK("https://insgc.spacegrant.org/", "https://insgc.spacegrant.org/")</f>
        <v/>
      </c>
      <c r="AN181" s="2" t="inlineStr">
        <is>
          <t>Academic INSGC Internships</t>
        </is>
      </c>
      <c r="AO181" s="2" t="inlineStr"/>
      <c r="AP181" s="2" t="inlineStr"/>
      <c r="AQ181" s="2" t="inlineStr">
        <is>
          <t>NASA</t>
        </is>
      </c>
      <c r="AR181" s="2" t="inlineStr"/>
      <c r="AS181" s="2" t="inlineStr"/>
      <c r="AT181" s="2" t="inlineStr">
        <is>
          <t>ARMS 3217</t>
        </is>
      </c>
      <c r="AU181" s="2" t="b">
        <v>0</v>
      </c>
      <c r="AV181" s="3">
        <f>HYPERLINK("https://engineering.purdue.edu/AAE/people/Faculty", "https://engineering.purdue.edu/AAE/people/Faculty")</f>
        <v/>
      </c>
    </row>
    <row r="182">
      <c r="A182" s="2" t="inlineStr">
        <is>
          <t>Richard Buckius</t>
        </is>
      </c>
      <c r="B182" s="2" t="inlineStr">
        <is>
          <t>Purdue University</t>
        </is>
      </c>
      <c r="C182" s="3">
        <f>HYPERLINK("https://engineering.purdue.edu/ME/People/ptProfile?resource_id=51789", "https://engineering.purdue.edu/ME/People/ptProfile?resource_id=51789")</f>
        <v/>
      </c>
      <c r="D182" s="3">
        <f>HYPERLINK("https://scholar.google.com/citations?view_op=search_authors&amp;mauthors=Richard%20Buckius%20Purdue%20University", "Google Scholar Search")</f>
        <v/>
      </c>
      <c r="E182" s="2" t="inlineStr">
        <is>
          <t>Professor of Mechanical Engineering</t>
        </is>
      </c>
      <c r="F182" s="2" t="inlineStr">
        <is>
          <t>Mechanical Engineering</t>
        </is>
      </c>
      <c r="G182" s="2" t="inlineStr"/>
      <c r="H182" s="3">
        <f>HYPERLINK("mailto:rbuckius@purdue.edu", "rbuckius@purdue.edu")</f>
        <v/>
      </c>
      <c r="I182" s="2" t="n">
        <v>4</v>
      </c>
      <c r="J182" s="2" t="inlineStr">
        <is>
          <t>🔴 Tier 4: Robotics / Controls / Autonomy</t>
        </is>
      </c>
      <c r="K182" s="2" t="n">
        <v>0</v>
      </c>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is>
          <t>Outstanding Mechanical Engineers Distinguished Engineering Alumni Honorary Doctorates Staff Awards Student Awards Distinguished...</t>
        </is>
      </c>
      <c r="AE182" s="2" t="inlineStr"/>
      <c r="AF182" s="2" t="inlineStr"/>
      <c r="AG182" s="2" t="inlineStr"/>
      <c r="AH182" s="2" t="inlineStr"/>
      <c r="AI182" s="2" t="inlineStr"/>
      <c r="AJ182" s="2" t="inlineStr"/>
      <c r="AK182" s="2" t="inlineStr"/>
      <c r="AL182" s="2" t="inlineStr">
        <is>
          <t>Indiana Space Grant Consortium</t>
        </is>
      </c>
      <c r="AM182" s="3">
        <f>HYPERLINK("https://insgc.spacegrant.org/", "https://insgc.spacegrant.org/")</f>
        <v/>
      </c>
      <c r="AN182" s="2" t="inlineStr">
        <is>
          <t>Academic INSGC Internships</t>
        </is>
      </c>
      <c r="AO182" s="2" t="inlineStr"/>
      <c r="AP182" s="2" t="inlineStr"/>
      <c r="AQ182" s="2" t="inlineStr">
        <is>
          <t>NASA</t>
        </is>
      </c>
      <c r="AR182" s="2" t="inlineStr"/>
      <c r="AS182" s="2" t="inlineStr"/>
      <c r="AT182" s="2" t="inlineStr">
        <is>
          <t>WANG 4052</t>
        </is>
      </c>
      <c r="AU182" s="2" t="b">
        <v>0</v>
      </c>
      <c r="AV182" s="3">
        <f>HYPERLINK("https://engineering.purdue.edu/ME/People/ptFaculty", "https://engineering.purdue.edu/ME/People/ptFaculty")</f>
        <v/>
      </c>
    </row>
    <row r="183">
      <c r="A183" s="2" t="inlineStr">
        <is>
          <t>Salil Bapat</t>
        </is>
      </c>
      <c r="B183" s="2" t="inlineStr">
        <is>
          <t>Purdue University</t>
        </is>
      </c>
      <c r="C183" s="3">
        <f>HYPERLINK("https://engineering.purdue.edu/ME/People/ptProfile?resource_id=263773", "https://engineering.purdue.edu/ME/People/ptProfile?resource_id=263773")</f>
        <v/>
      </c>
      <c r="D183" s="3">
        <f>HYPERLINK("https://scholar.google.com/citations?view_op=search_authors&amp;mauthors=Salil%20Bapat%20Purdue%20University", "Google Scholar Search")</f>
        <v/>
      </c>
      <c r="E183" s="2" t="inlineStr">
        <is>
          <t>Research Assistant Professor</t>
        </is>
      </c>
      <c r="F183" s="2" t="inlineStr">
        <is>
          <t>Mechanical Engineering</t>
        </is>
      </c>
      <c r="G183" s="2" t="inlineStr"/>
      <c r="H183" s="3">
        <f>HYPERLINK("mailto:bapat0@purdue.edu", "bapat0@purdue.edu")</f>
        <v/>
      </c>
      <c r="I183" s="2" t="n">
        <v>4</v>
      </c>
      <c r="J183" s="2" t="inlineStr">
        <is>
          <t>🔴 Tier 4: Robotics / Controls / Autonomy</t>
        </is>
      </c>
      <c r="K183" s="2" t="n">
        <v>0</v>
      </c>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is>
          <t>Outstanding Mechanical Engineers Distinguished Engineering Alumni Honorary Doctorates Staff Awards Student Awards Distinguished...</t>
        </is>
      </c>
      <c r="AE183" s="2" t="inlineStr"/>
      <c r="AF183" s="2" t="inlineStr"/>
      <c r="AG183" s="2" t="inlineStr"/>
      <c r="AH183" s="2" t="inlineStr"/>
      <c r="AI183" s="2" t="inlineStr"/>
      <c r="AJ183" s="2" t="inlineStr"/>
      <c r="AK183" s="2" t="inlineStr"/>
      <c r="AL183" s="2" t="inlineStr">
        <is>
          <t>Indiana Space Grant Consortium</t>
        </is>
      </c>
      <c r="AM183" s="3">
        <f>HYPERLINK("https://insgc.spacegrant.org/", "https://insgc.spacegrant.org/")</f>
        <v/>
      </c>
      <c r="AN183" s="2" t="inlineStr">
        <is>
          <t>Academic INSGC Internships</t>
        </is>
      </c>
      <c r="AO183" s="2" t="inlineStr"/>
      <c r="AP183" s="2" t="inlineStr"/>
      <c r="AQ183" s="2" t="inlineStr">
        <is>
          <t>NASA</t>
        </is>
      </c>
      <c r="AR183" s="2" t="inlineStr"/>
      <c r="AS183" s="2" t="inlineStr"/>
      <c r="AT183" s="2" t="inlineStr"/>
      <c r="AU183" s="2" t="b">
        <v>0</v>
      </c>
      <c r="AV183" s="3">
        <f>HYPERLINK("https://engineering.purdue.edu/ME/People/ptFaculty", "https://engineering.purdue.edu/ME/People/ptFaculty")</f>
        <v/>
      </c>
    </row>
    <row r="184">
      <c r="A184" s="2" t="inlineStr">
        <is>
          <t>Scott Michaels</t>
        </is>
      </c>
      <c r="B184" s="2" t="inlineStr">
        <is>
          <t>Purdue University</t>
        </is>
      </c>
      <c r="C184" s="3">
        <f>HYPERLINK("https://engineering.purdue.edu/ME/People/ptProfile?resource_id=340763", "https://engineering.purdue.edu/ME/People/ptProfile?resource_id=340763")</f>
        <v/>
      </c>
      <c r="D184" s="3">
        <f>HYPERLINK("https://scholar.google.com/citations?view_op=search_authors&amp;mauthors=Scott%20Michaels%20Purdue%20University", "Google Scholar Search")</f>
        <v/>
      </c>
      <c r="E184" s="2" t="inlineStr">
        <is>
          <t>Assistant Professor of Engineering Practice</t>
        </is>
      </c>
      <c r="F184" s="2" t="inlineStr">
        <is>
          <t>Mechanical Engineering</t>
        </is>
      </c>
      <c r="G184" s="2" t="inlineStr"/>
      <c r="H184" s="3">
        <f>HYPERLINK("mailto:micha172@purdue.edu", "micha172@purdue.edu")</f>
        <v/>
      </c>
      <c r="I184" s="2" t="n">
        <v>4</v>
      </c>
      <c r="J184" s="2" t="inlineStr">
        <is>
          <t>🔴 Tier 4: Robotics / Controls / Autonomy</t>
        </is>
      </c>
      <c r="K184" s="2" t="n">
        <v>0</v>
      </c>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is>
          <t>Outstanding Mechanical Engineers Distinguished Engineering Alumni Honorary Doctorates Staff Awards Student Awards Distinguished...</t>
        </is>
      </c>
      <c r="AE184" s="2" t="inlineStr"/>
      <c r="AF184" s="2" t="inlineStr"/>
      <c r="AG184" s="2" t="inlineStr"/>
      <c r="AH184" s="2" t="inlineStr"/>
      <c r="AI184" s="2" t="inlineStr"/>
      <c r="AJ184" s="2" t="inlineStr"/>
      <c r="AK184" s="2" t="inlineStr"/>
      <c r="AL184" s="2" t="inlineStr">
        <is>
          <t>Indiana Space Grant Consortium</t>
        </is>
      </c>
      <c r="AM184" s="3">
        <f>HYPERLINK("https://insgc.spacegrant.org/", "https://insgc.spacegrant.org/")</f>
        <v/>
      </c>
      <c r="AN184" s="2" t="inlineStr">
        <is>
          <t>Academic INSGC Internships</t>
        </is>
      </c>
      <c r="AO184" s="2" t="inlineStr"/>
      <c r="AP184" s="2" t="inlineStr"/>
      <c r="AQ184" s="2" t="inlineStr">
        <is>
          <t>NASA</t>
        </is>
      </c>
      <c r="AR184" s="2" t="inlineStr"/>
      <c r="AS184" s="2" t="inlineStr"/>
      <c r="AT184" s="2" t="inlineStr"/>
      <c r="AU184" s="2" t="b">
        <v>0</v>
      </c>
      <c r="AV184" s="3">
        <f>HYPERLINK("https://engineering.purdue.edu/ME/People/ptFaculty", "https://engineering.purdue.edu/ME/People/ptFaculty")</f>
        <v/>
      </c>
    </row>
    <row r="185">
      <c r="A185" s="2" t="inlineStr">
        <is>
          <t>Shreyas Sundaram (area chair)</t>
        </is>
      </c>
      <c r="B185" s="2" t="inlineStr">
        <is>
          <t>Purdue University</t>
        </is>
      </c>
      <c r="C185" s="3">
        <f>HYPERLINK("https://engineering.purdue.edu/ECE/People/ptProfile?resource_id=117180", "https://engineering.purdue.edu/ECE/People/ptProfile?resource_id=117180")</f>
        <v/>
      </c>
      <c r="D185" s="3">
        <f>HYPERLINK("https://scholar.google.com/citations?view_op=search_authors&amp;mauthors=Shreyas%20Sundaram%20%28area%20chair%29%20Purdue%20University", "Google Scholar Search")</f>
        <v/>
      </c>
      <c r="E185" s="2" t="inlineStr">
        <is>
          <t>Marie Gordon Professor of Electrical and Computer Engineering; Professor of Mechanical Engineering (by courtesy)</t>
        </is>
      </c>
      <c r="F185" s="2" t="inlineStr">
        <is>
          <t>Mechanical Engineering</t>
        </is>
      </c>
      <c r="G185" s="2" t="inlineStr"/>
      <c r="H185" s="3">
        <f>HYPERLINK("mailto:sundara2@purdue.edu", "sundara2@purdue.edu")</f>
        <v/>
      </c>
      <c r="I185" s="2" t="n">
        <v>4</v>
      </c>
      <c r="J185" s="2" t="inlineStr">
        <is>
          <t>🔴 Tier 4: Robotics / Controls / Autonomy</t>
        </is>
      </c>
      <c r="K185" s="2" t="n">
        <v>0</v>
      </c>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is>
          <t>PhD, Electrical Engineering, University of Illinois at Urbana-Champaign, 2009 MS, Electrical Engineering, University of Illinois at Urbana-Champaign, 2005 BASc, Computer Engineering, University of Waterloo, 2003</t>
        </is>
      </c>
      <c r="AL185" s="2" t="inlineStr">
        <is>
          <t>Indiana Space Grant Consortium</t>
        </is>
      </c>
      <c r="AM185" s="3">
        <f>HYPERLINK("https://insgc.spacegrant.org/", "https://insgc.spacegrant.org/")</f>
        <v/>
      </c>
      <c r="AN185" s="2" t="inlineStr">
        <is>
          <t>Academic INSGC Internships</t>
        </is>
      </c>
      <c r="AO185" s="2" t="inlineStr"/>
      <c r="AP185" s="2" t="inlineStr"/>
      <c r="AQ185" s="2" t="inlineStr">
        <is>
          <t>NASA</t>
        </is>
      </c>
      <c r="AR185" s="2" t="inlineStr"/>
      <c r="AS185" s="2" t="inlineStr"/>
      <c r="AT185" s="2" t="inlineStr">
        <is>
          <t>BHEE 342</t>
        </is>
      </c>
      <c r="AU185" s="2" t="b">
        <v>0</v>
      </c>
      <c r="AV185" s="3">
        <f>HYPERLINK("https://engineering.purdue.edu/ME/People/ptFaculty", "https://engineering.purdue.edu/ME/People/ptFaculty")</f>
        <v/>
      </c>
    </row>
    <row r="186">
      <c r="A186" s="2" t="inlineStr">
        <is>
          <t>Thanos (Athanasios) Tzempelikos</t>
        </is>
      </c>
      <c r="B186" s="2" t="inlineStr">
        <is>
          <t>Purdue University</t>
        </is>
      </c>
      <c r="C186" s="3">
        <f>HYPERLINK("https://engineering.purdue.edu/CE/People/ptProfile?resource_id=46102", "https://engineering.purdue.edu/CE/People/ptProfile?resource_id=46102")</f>
        <v/>
      </c>
      <c r="D186" s="3">
        <f>HYPERLINK("https://scholar.google.com/citations?user=GhghoIEAAAAJ&amp;hl=en", "Scholar (GhghoIEAAAAJ)")</f>
        <v/>
      </c>
      <c r="E186" s="2" t="inlineStr">
        <is>
          <t>Professor of Civil Engineering</t>
        </is>
      </c>
      <c r="F186" s="2" t="inlineStr">
        <is>
          <t>Mechanical Engineering</t>
        </is>
      </c>
      <c r="G186" s="2" t="inlineStr">
        <is>
          <t>GhghoIEAAAAJ</t>
        </is>
      </c>
      <c r="H186" s="3">
        <f>HYPERLINK("mailto:ttzempel@purdue.edu", "ttzempel@purdue.edu")</f>
        <v/>
      </c>
      <c r="I186" s="2" t="n">
        <v>4</v>
      </c>
      <c r="J186" s="2" t="inlineStr">
        <is>
          <t>🔴 Tier 4: Robotics / Controls / Autonomy</t>
        </is>
      </c>
      <c r="K186" s="2" t="n">
        <v>0</v>
      </c>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is>
          <t>Indiana Space Grant Consortium</t>
        </is>
      </c>
      <c r="AM186" s="3">
        <f>HYPERLINK("https://insgc.spacegrant.org/", "https://insgc.spacegrant.org/")</f>
        <v/>
      </c>
      <c r="AN186" s="2" t="inlineStr">
        <is>
          <t>Academic INSGC Internships</t>
        </is>
      </c>
      <c r="AO186" s="2" t="inlineStr"/>
      <c r="AP186" s="2" t="inlineStr"/>
      <c r="AQ186" s="2" t="inlineStr">
        <is>
          <t>NASA</t>
        </is>
      </c>
      <c r="AR186" s="2" t="inlineStr"/>
      <c r="AS186" s="2" t="inlineStr"/>
      <c r="AT186" s="2" t="inlineStr"/>
      <c r="AU186" s="2" t="b">
        <v>0</v>
      </c>
      <c r="AV186" s="3">
        <f>HYPERLINK("https://engineering.purdue.edu/ME/People/ptFaculty", "https://engineering.purdue.edu/ME/People/ptFaculty")</f>
        <v/>
      </c>
    </row>
    <row r="187">
      <c r="A187" s="2" t="inlineStr">
        <is>
          <t>Thiago Augusto Machado Guimaraes</t>
        </is>
      </c>
      <c r="B187" s="2" t="inlineStr">
        <is>
          <t>Purdue University</t>
        </is>
      </c>
      <c r="C187" s="3">
        <f>HYPERLINK("https://engineering.purdue.edu/AAE/people/ptProfile?resource_id=292476", "https://engineering.purdue.edu/AAE/people/ptProfile?resource_id=292476")</f>
        <v/>
      </c>
      <c r="D187" s="3">
        <f>HYPERLINK("https://scholar.google.com/citations?view_op=search_authors&amp;mauthors=Thiago%20Augusto%20Machado%20Guimaraes%20Purdue%20University", "Google Scholar Search")</f>
        <v/>
      </c>
      <c r="E187" s="2" t="inlineStr">
        <is>
          <t>Associate Professor of Engineering Practice</t>
        </is>
      </c>
      <c r="F187" s="2" t="inlineStr">
        <is>
          <t>Aeronautics and Astronautics</t>
        </is>
      </c>
      <c r="G187" s="2" t="inlineStr"/>
      <c r="H187" s="3">
        <f>HYPERLINK("mailto:tguimara@purdue.edu", "tguimara@purdue.edu")</f>
        <v/>
      </c>
      <c r="I187" s="2" t="n">
        <v>4</v>
      </c>
      <c r="J187" s="2" t="inlineStr">
        <is>
          <t>🔴 Tier 4: Robotics / Controls / Autonomy</t>
        </is>
      </c>
      <c r="K187" s="2" t="n">
        <v>0</v>
      </c>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is>
          <t>Indiana Space Grant Consortium</t>
        </is>
      </c>
      <c r="AM187" s="3">
        <f>HYPERLINK("https://insgc.spacegrant.org/", "https://insgc.spacegrant.org/")</f>
        <v/>
      </c>
      <c r="AN187" s="2" t="inlineStr">
        <is>
          <t>Academic INSGC Internships</t>
        </is>
      </c>
      <c r="AO187" s="2" t="inlineStr"/>
      <c r="AP187" s="2" t="inlineStr"/>
      <c r="AQ187" s="2" t="inlineStr">
        <is>
          <t>NASA</t>
        </is>
      </c>
      <c r="AR187" s="2" t="inlineStr"/>
      <c r="AS187" s="2" t="inlineStr"/>
      <c r="AT187" s="2" t="inlineStr">
        <is>
          <t>ARMS 3203</t>
        </is>
      </c>
      <c r="AU187" s="2" t="b">
        <v>0</v>
      </c>
      <c r="AV187" s="3">
        <f>HYPERLINK("https://engineering.purdue.edu/AAE/people/Faculty", "https://engineering.purdue.edu/AAE/people/Faculty")</f>
        <v/>
      </c>
    </row>
    <row r="188">
      <c r="A188" s="2" t="inlineStr">
        <is>
          <t>William Travis Horton</t>
        </is>
      </c>
      <c r="B188" s="2" t="inlineStr">
        <is>
          <t>Purdue University</t>
        </is>
      </c>
      <c r="C188" s="3">
        <f>HYPERLINK("https://engineering.purdue.edu/CE/People/ptProfile?resource_id=51282", "https://engineering.purdue.edu/CE/People/ptProfile?resource_id=51282")</f>
        <v/>
      </c>
      <c r="D188" s="3">
        <f>HYPERLINK("https://scholar.google.com/citations?view_op=search_authors&amp;mauthors=William%20Travis%20Horton%20Purdue%20University", "Google Scholar Search")</f>
        <v/>
      </c>
      <c r="E188" s="2" t="inlineStr">
        <is>
          <t>Associate Professor of Civil Engineering</t>
        </is>
      </c>
      <c r="F188" s="2" t="inlineStr">
        <is>
          <t>Mechanical Engineering</t>
        </is>
      </c>
      <c r="G188" s="2" t="inlineStr"/>
      <c r="H188" s="3">
        <f>HYPERLINK("mailto:wthorton@purdue.edu", "wthorton@purdue.edu")</f>
        <v/>
      </c>
      <c r="I188" s="2" t="n">
        <v>4</v>
      </c>
      <c r="J188" s="2" t="inlineStr">
        <is>
          <t>🔴 Tier 4: Robotics / Controls / Autonomy</t>
        </is>
      </c>
      <c r="K188" s="2" t="n">
        <v>0</v>
      </c>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is>
          <t>Indiana Space Grant Consortium</t>
        </is>
      </c>
      <c r="AM188" s="3">
        <f>HYPERLINK("https://insgc.spacegrant.org/", "https://insgc.spacegrant.org/")</f>
        <v/>
      </c>
      <c r="AN188" s="2" t="inlineStr">
        <is>
          <t>Academic INSGC Internships</t>
        </is>
      </c>
      <c r="AO188" s="2" t="inlineStr"/>
      <c r="AP188" s="2" t="inlineStr"/>
      <c r="AQ188" s="2" t="inlineStr">
        <is>
          <t>NASA</t>
        </is>
      </c>
      <c r="AR188" s="2" t="inlineStr"/>
      <c r="AS188" s="2" t="inlineStr"/>
      <c r="AT188" s="2" t="inlineStr"/>
      <c r="AU188" s="2" t="b">
        <v>0</v>
      </c>
      <c r="AV188" s="3">
        <f>HYPERLINK("https://engineering.purdue.edu/ME/People/ptFaculty", "https://engineering.purdue.edu/ME/People/ptFaculty")</f>
        <v/>
      </c>
    </row>
    <row r="189">
      <c r="A189" s="2" t="inlineStr">
        <is>
          <t>Xianfan Xu</t>
        </is>
      </c>
      <c r="B189" s="2" t="inlineStr">
        <is>
          <t>Purdue University</t>
        </is>
      </c>
      <c r="C189" s="3">
        <f>HYPERLINK("https://engineering.purdue.edu/ME/People/ptProfile?resource_id=11267", "https://engineering.purdue.edu/ME/People/ptProfile?resource_id=11267")</f>
        <v/>
      </c>
      <c r="D189" s="3">
        <f>HYPERLINK("https://scholar.google.com/citations?view_op=search_authors&amp;mauthors=Xianfan%20Xu%20Purdue%20University", "Google Scholar Search")</f>
        <v/>
      </c>
      <c r="E189" s="2" t="inlineStr">
        <is>
          <t>James J. and Carol L. Shuttleworth Professor of Mechanical Engineering, and Professor of Electrical and Computer Engineering (by Courtesy)</t>
        </is>
      </c>
      <c r="F189" s="2" t="inlineStr">
        <is>
          <t>Mechanical Engineering</t>
        </is>
      </c>
      <c r="G189" s="2" t="inlineStr"/>
      <c r="H189" s="3">
        <f>HYPERLINK("mailto:xxu@purdue.edu", "xxu@purdue.edu")</f>
        <v/>
      </c>
      <c r="I189" s="2" t="n">
        <v>4</v>
      </c>
      <c r="J189" s="2" t="inlineStr">
        <is>
          <t>🔴 Tier 4: Robotics / Controls / Autonomy</t>
        </is>
      </c>
      <c r="K189" s="2" t="n">
        <v>0</v>
      </c>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is>
          <t>Outstanding Mechanical Engineers Distinguished Engineering Alumni Honorary Doctorates Staff Awards Student Awards Distinguished...</t>
        </is>
      </c>
      <c r="AE189" s="2" t="inlineStr">
        <is>
          <t>Phone: +1 (765) 494-3975 Email: future-engineers@purdue.edu | Phone: +1 (765) 494-4873 Email: EngrGrad@purdue.edu</t>
        </is>
      </c>
      <c r="AF189" s="2" t="inlineStr"/>
      <c r="AG189" s="2" t="inlineStr"/>
      <c r="AH189" s="2" t="inlineStr">
        <is>
          <t>Nanoscale energy transport Nano-optics and laser-based nano-optical engineering</t>
        </is>
      </c>
      <c r="AI189" s="2" t="inlineStr">
        <is>
          <t>Heat &amp; Mass Transfer</t>
        </is>
      </c>
      <c r="AJ189" s="2" t="inlineStr">
        <is>
          <t>Heat &amp; Mass Transfer</t>
        </is>
      </c>
      <c r="AK189" s="2" t="inlineStr">
        <is>
          <t>B.S. University of Science and Technology of China, '89 M.S. California-Berkeley, '91 Ph.D. California-Berkeley, '94</t>
        </is>
      </c>
      <c r="AL189" s="2" t="inlineStr">
        <is>
          <t>NanoLab Web Site</t>
        </is>
      </c>
      <c r="AM189" s="3">
        <f>HYPERLINK("https://engineering.purdue.edu/NanoLab/", "https://engineering.purdue.edu/NanoLab/")</f>
        <v/>
      </c>
      <c r="AN189" s="2" t="inlineStr">
        <is>
          <t>For You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 | Students Future Undergraduate Students Future Graduate Students Current Undergraduate Students Current Graduate Students International Students CARES Hub Faculty Faculty &amp; Staff Prospective Faculty Alumni Engineering Alumni Association Purdue Engineering 38 by 38 Parents Parent Plug-in Partners Research &amp; Partnerships Media Postdoctoral Scholars Future Postdoctoral Scholars</t>
        </is>
      </c>
      <c r="AO189" s="2" t="inlineStr"/>
      <c r="AP189" s="2" t="inlineStr">
        <is>
          <t>SEM</t>
        </is>
      </c>
      <c r="AQ189" s="2" t="inlineStr">
        <is>
          <t>DOE</t>
        </is>
      </c>
      <c r="AR189" s="2" t="inlineStr"/>
      <c r="AS189" s="2" t="inlineStr"/>
      <c r="AT189" s="2" t="inlineStr"/>
      <c r="AU189" s="2" t="b">
        <v>0</v>
      </c>
      <c r="AV189" s="3">
        <f>HYPERLINK("https://engineering.purdue.edu/ME/People/ptFaculty", "https://engineering.purdue.edu/ME/People/ptFaculty")</f>
        <v/>
      </c>
    </row>
    <row r="190">
      <c r="A190" s="2" t="inlineStr">
        <is>
          <t>Xiaoping Du</t>
        </is>
      </c>
      <c r="B190" s="2" t="inlineStr">
        <is>
          <t>Purdue University</t>
        </is>
      </c>
      <c r="C190" s="3">
        <f>HYPERLINK("https://engineering.purdue.edu/ME/People/ptProfile?resource_id=297462", "https://engineering.purdue.edu/ME/People/ptProfile?resource_id=297462")</f>
        <v/>
      </c>
      <c r="D190" s="3">
        <f>HYPERLINK("https://scholar.google.com/citations?view_op=search_authors&amp;mauthors=Xiaoping%20Du%20Purdue%20University", "Google Scholar Search")</f>
        <v/>
      </c>
      <c r="E190" s="2" t="inlineStr">
        <is>
          <t>Professor of Mechanical Engineering</t>
        </is>
      </c>
      <c r="F190" s="2" t="inlineStr">
        <is>
          <t>Mechanical Engineering</t>
        </is>
      </c>
      <c r="G190" s="2" t="inlineStr"/>
      <c r="H190" s="3">
        <f>HYPERLINK("mailto:duxp@purdue.edu", "duxp@purdue.edu")</f>
        <v/>
      </c>
      <c r="I190" s="2" t="n">
        <v>4</v>
      </c>
      <c r="J190" s="2" t="inlineStr">
        <is>
          <t>🔴 Tier 4: Robotics / Controls / Autonomy</t>
        </is>
      </c>
      <c r="K190" s="2" t="n">
        <v>0</v>
      </c>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is>
          <t>Outstanding Mechanical Engineers Distinguished Engineering Alumni Honorary Doctorates Staff Awards Student Awards Distinguished...</t>
        </is>
      </c>
      <c r="AE190" s="2" t="inlineStr"/>
      <c r="AF190" s="2" t="inlineStr"/>
      <c r="AG190" s="2" t="inlineStr"/>
      <c r="AH190" s="2" t="inlineStr">
        <is>
          <t>Design optimization Probabilistic and statistical methods Reliability-based and robust design Uncertainty quantification for machine learning</t>
        </is>
      </c>
      <c r="AI190" s="2" t="inlineStr">
        <is>
          <t>Design &amp; Manufacturing</t>
        </is>
      </c>
      <c r="AJ190" s="2" t="inlineStr">
        <is>
          <t>Design &amp; Manufacturing</t>
        </is>
      </c>
      <c r="AK190" s="2" t="inlineStr">
        <is>
          <t>Ph.D. Mechanical Engineering, University of Illinois at Chicago, 04/2002</t>
        </is>
      </c>
      <c r="AL190" s="2" t="inlineStr">
        <is>
          <t>Xiaoping Du's GitHub</t>
        </is>
      </c>
      <c r="AM190" s="3">
        <f>HYPERLINK("https://duxxiaoping-coder.github.io/xiaoping-du-website", "https://duxxiaoping-coder.github.io/xiaoping-du-website")</f>
        <v/>
      </c>
      <c r="AN190" s="2" t="inlineStr"/>
      <c r="AO190" s="2" t="inlineStr"/>
      <c r="AP190" s="2" t="inlineStr"/>
      <c r="AQ190" s="2" t="inlineStr"/>
      <c r="AR190" s="2" t="inlineStr"/>
      <c r="AS190" s="2" t="inlineStr"/>
      <c r="AT190" s="2" t="inlineStr">
        <is>
          <t>SL 260G</t>
        </is>
      </c>
      <c r="AU190" s="2" t="b">
        <v>0</v>
      </c>
      <c r="AV190" s="3">
        <f>HYPERLINK("https://engineering.purdue.edu/ME/People/ptFaculty", "https://engineering.purdue.edu/ME/People/ptFaculty")</f>
        <v/>
      </c>
    </row>
    <row r="191">
      <c r="A191" s="2" t="inlineStr">
        <is>
          <t>Yu She</t>
        </is>
      </c>
      <c r="B191" s="2" t="inlineStr">
        <is>
          <t>Purdue University</t>
        </is>
      </c>
      <c r="C191" s="3">
        <f>HYPERLINK("https://engineering.purdue.edu/IE/people/ptProfile?resource_id=256650", "https://engineering.purdue.edu/IE/people/ptProfile?resource_id=256650")</f>
        <v/>
      </c>
      <c r="D191" s="3">
        <f>HYPERLINK("https://scholar.google.com/citations?view_op=search_authors&amp;mauthors=Yu%20She%20Purdue%20University", "Google Scholar Search")</f>
        <v/>
      </c>
      <c r="E191" s="2" t="inlineStr">
        <is>
          <t>Assistant Professor of Industrial Engineering; courtesy appointment in Mechanical Engineering</t>
        </is>
      </c>
      <c r="F191" s="2" t="inlineStr">
        <is>
          <t>Mechanical Engineering</t>
        </is>
      </c>
      <c r="G191" s="2" t="inlineStr"/>
      <c r="H191" s="3">
        <f>HYPERLINK("mailto:yushe@purdue.edu", "yushe@purdue.edu")</f>
        <v/>
      </c>
      <c r="I191" s="2" t="n">
        <v>4</v>
      </c>
      <c r="J191" s="2" t="inlineStr">
        <is>
          <t>🔴 Tier 4: Robotics / Controls / Autonomy</t>
        </is>
      </c>
      <c r="K191" s="2" t="n">
        <v>0</v>
      </c>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is>
          <t>Indiana Space Grant Consortium</t>
        </is>
      </c>
      <c r="AM191" s="3">
        <f>HYPERLINK("https://insgc.spacegrant.org/", "https://insgc.spacegrant.org/")</f>
        <v/>
      </c>
      <c r="AN191" s="2" t="inlineStr">
        <is>
          <t>Academic INSGC Internships</t>
        </is>
      </c>
      <c r="AO191" s="2" t="inlineStr"/>
      <c r="AP191" s="2" t="inlineStr"/>
      <c r="AQ191" s="2" t="inlineStr">
        <is>
          <t>NASA</t>
        </is>
      </c>
      <c r="AR191" s="2" t="inlineStr"/>
      <c r="AS191" s="2" t="inlineStr"/>
      <c r="AT191" s="2" t="inlineStr">
        <is>
          <t>GRIS 231</t>
        </is>
      </c>
      <c r="AU191" s="2" t="b">
        <v>0</v>
      </c>
      <c r="AV191" s="3">
        <f>HYPERLINK("https://engineering.purdue.edu/ME/People/ptFaculty", "https://engineering.purdue.edu/ME/People/ptFaculty")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AM7" r:id="rId44"/>
    <hyperlink xmlns:r="http://schemas.openxmlformats.org/officeDocument/2006/relationships" ref="AV7" r:id="rId45"/>
    <hyperlink xmlns:r="http://schemas.openxmlformats.org/officeDocument/2006/relationships" ref="C8" r:id="rId46"/>
    <hyperlink xmlns:r="http://schemas.openxmlformats.org/officeDocument/2006/relationships" ref="D8" r:id="rId47"/>
    <hyperlink xmlns:r="http://schemas.openxmlformats.org/officeDocument/2006/relationships" ref="H8" r:id="rId48"/>
    <hyperlink xmlns:r="http://schemas.openxmlformats.org/officeDocument/2006/relationships" ref="P8" r:id="rId49"/>
    <hyperlink xmlns:r="http://schemas.openxmlformats.org/officeDocument/2006/relationships" ref="T8" r:id="rId50"/>
    <hyperlink xmlns:r="http://schemas.openxmlformats.org/officeDocument/2006/relationships" ref="X8" r:id="rId51"/>
    <hyperlink xmlns:r="http://schemas.openxmlformats.org/officeDocument/2006/relationships" ref="AM8" r:id="rId52"/>
    <hyperlink xmlns:r="http://schemas.openxmlformats.org/officeDocument/2006/relationships" ref="AV8" r:id="rId53"/>
    <hyperlink xmlns:r="http://schemas.openxmlformats.org/officeDocument/2006/relationships" ref="C9" r:id="rId54"/>
    <hyperlink xmlns:r="http://schemas.openxmlformats.org/officeDocument/2006/relationships" ref="D9" r:id="rId55"/>
    <hyperlink xmlns:r="http://schemas.openxmlformats.org/officeDocument/2006/relationships" ref="H9" r:id="rId56"/>
    <hyperlink xmlns:r="http://schemas.openxmlformats.org/officeDocument/2006/relationships" ref="P9" r:id="rId57"/>
    <hyperlink xmlns:r="http://schemas.openxmlformats.org/officeDocument/2006/relationships" ref="T9" r:id="rId58"/>
    <hyperlink xmlns:r="http://schemas.openxmlformats.org/officeDocument/2006/relationships" ref="X9" r:id="rId59"/>
    <hyperlink xmlns:r="http://schemas.openxmlformats.org/officeDocument/2006/relationships" ref="AM9" r:id="rId60"/>
    <hyperlink xmlns:r="http://schemas.openxmlformats.org/officeDocument/2006/relationships" ref="AV9" r:id="rId61"/>
    <hyperlink xmlns:r="http://schemas.openxmlformats.org/officeDocument/2006/relationships" ref="C10" r:id="rId62"/>
    <hyperlink xmlns:r="http://schemas.openxmlformats.org/officeDocument/2006/relationships" ref="D10" r:id="rId63"/>
    <hyperlink xmlns:r="http://schemas.openxmlformats.org/officeDocument/2006/relationships" ref="H10" r:id="rId64"/>
    <hyperlink xmlns:r="http://schemas.openxmlformats.org/officeDocument/2006/relationships" ref="P10" r:id="rId65"/>
    <hyperlink xmlns:r="http://schemas.openxmlformats.org/officeDocument/2006/relationships" ref="T10" r:id="rId66"/>
    <hyperlink xmlns:r="http://schemas.openxmlformats.org/officeDocument/2006/relationships" ref="X10" r:id="rId67"/>
    <hyperlink xmlns:r="http://schemas.openxmlformats.org/officeDocument/2006/relationships" ref="AM10" r:id="rId68"/>
    <hyperlink xmlns:r="http://schemas.openxmlformats.org/officeDocument/2006/relationships" ref="AV10" r:id="rId69"/>
    <hyperlink xmlns:r="http://schemas.openxmlformats.org/officeDocument/2006/relationships" ref="C11" r:id="rId70"/>
    <hyperlink xmlns:r="http://schemas.openxmlformats.org/officeDocument/2006/relationships" ref="D11" r:id="rId71"/>
    <hyperlink xmlns:r="http://schemas.openxmlformats.org/officeDocument/2006/relationships" ref="H11" r:id="rId72"/>
    <hyperlink xmlns:r="http://schemas.openxmlformats.org/officeDocument/2006/relationships" ref="P11" r:id="rId73"/>
    <hyperlink xmlns:r="http://schemas.openxmlformats.org/officeDocument/2006/relationships" ref="T11" r:id="rId74"/>
    <hyperlink xmlns:r="http://schemas.openxmlformats.org/officeDocument/2006/relationships" ref="X11" r:id="rId75"/>
    <hyperlink xmlns:r="http://schemas.openxmlformats.org/officeDocument/2006/relationships" ref="AM11" r:id="rId76"/>
    <hyperlink xmlns:r="http://schemas.openxmlformats.org/officeDocument/2006/relationships" ref="AV11" r:id="rId77"/>
    <hyperlink xmlns:r="http://schemas.openxmlformats.org/officeDocument/2006/relationships" ref="C12" r:id="rId78"/>
    <hyperlink xmlns:r="http://schemas.openxmlformats.org/officeDocument/2006/relationships" ref="D12" r:id="rId79"/>
    <hyperlink xmlns:r="http://schemas.openxmlformats.org/officeDocument/2006/relationships" ref="H12" r:id="rId80"/>
    <hyperlink xmlns:r="http://schemas.openxmlformats.org/officeDocument/2006/relationships" ref="P12" r:id="rId81"/>
    <hyperlink xmlns:r="http://schemas.openxmlformats.org/officeDocument/2006/relationships" ref="T12" r:id="rId82"/>
    <hyperlink xmlns:r="http://schemas.openxmlformats.org/officeDocument/2006/relationships" ref="X12" r:id="rId83"/>
    <hyperlink xmlns:r="http://schemas.openxmlformats.org/officeDocument/2006/relationships" ref="AM12" r:id="rId84"/>
    <hyperlink xmlns:r="http://schemas.openxmlformats.org/officeDocument/2006/relationships" ref="AV12" r:id="rId85"/>
    <hyperlink xmlns:r="http://schemas.openxmlformats.org/officeDocument/2006/relationships" ref="C13" r:id="rId86"/>
    <hyperlink xmlns:r="http://schemas.openxmlformats.org/officeDocument/2006/relationships" ref="D13" r:id="rId87"/>
    <hyperlink xmlns:r="http://schemas.openxmlformats.org/officeDocument/2006/relationships" ref="H13" r:id="rId88"/>
    <hyperlink xmlns:r="http://schemas.openxmlformats.org/officeDocument/2006/relationships" ref="P13" r:id="rId89"/>
    <hyperlink xmlns:r="http://schemas.openxmlformats.org/officeDocument/2006/relationships" ref="T13" r:id="rId90"/>
    <hyperlink xmlns:r="http://schemas.openxmlformats.org/officeDocument/2006/relationships" ref="X13" r:id="rId91"/>
    <hyperlink xmlns:r="http://schemas.openxmlformats.org/officeDocument/2006/relationships" ref="AM13" r:id="rId92"/>
    <hyperlink xmlns:r="http://schemas.openxmlformats.org/officeDocument/2006/relationships" ref="AV13" r:id="rId93"/>
    <hyperlink xmlns:r="http://schemas.openxmlformats.org/officeDocument/2006/relationships" ref="C14" r:id="rId94"/>
    <hyperlink xmlns:r="http://schemas.openxmlformats.org/officeDocument/2006/relationships" ref="D14" r:id="rId95"/>
    <hyperlink xmlns:r="http://schemas.openxmlformats.org/officeDocument/2006/relationships" ref="H14" r:id="rId96"/>
    <hyperlink xmlns:r="http://schemas.openxmlformats.org/officeDocument/2006/relationships" ref="P14" r:id="rId97"/>
    <hyperlink xmlns:r="http://schemas.openxmlformats.org/officeDocument/2006/relationships" ref="T14" r:id="rId98"/>
    <hyperlink xmlns:r="http://schemas.openxmlformats.org/officeDocument/2006/relationships" ref="X14" r:id="rId99"/>
    <hyperlink xmlns:r="http://schemas.openxmlformats.org/officeDocument/2006/relationships" ref="AM14" r:id="rId100"/>
    <hyperlink xmlns:r="http://schemas.openxmlformats.org/officeDocument/2006/relationships" ref="AV14" r:id="rId101"/>
    <hyperlink xmlns:r="http://schemas.openxmlformats.org/officeDocument/2006/relationships" ref="C15" r:id="rId102"/>
    <hyperlink xmlns:r="http://schemas.openxmlformats.org/officeDocument/2006/relationships" ref="D15" r:id="rId103"/>
    <hyperlink xmlns:r="http://schemas.openxmlformats.org/officeDocument/2006/relationships" ref="H15" r:id="rId104"/>
    <hyperlink xmlns:r="http://schemas.openxmlformats.org/officeDocument/2006/relationships" ref="P15" r:id="rId105"/>
    <hyperlink xmlns:r="http://schemas.openxmlformats.org/officeDocument/2006/relationships" ref="T15" r:id="rId106"/>
    <hyperlink xmlns:r="http://schemas.openxmlformats.org/officeDocument/2006/relationships" ref="X15" r:id="rId107"/>
    <hyperlink xmlns:r="http://schemas.openxmlformats.org/officeDocument/2006/relationships" ref="AM15" r:id="rId108"/>
    <hyperlink xmlns:r="http://schemas.openxmlformats.org/officeDocument/2006/relationships" ref="AV15" r:id="rId109"/>
    <hyperlink xmlns:r="http://schemas.openxmlformats.org/officeDocument/2006/relationships" ref="C16" r:id="rId110"/>
    <hyperlink xmlns:r="http://schemas.openxmlformats.org/officeDocument/2006/relationships" ref="D16" r:id="rId111"/>
    <hyperlink xmlns:r="http://schemas.openxmlformats.org/officeDocument/2006/relationships" ref="H16" r:id="rId112"/>
    <hyperlink xmlns:r="http://schemas.openxmlformats.org/officeDocument/2006/relationships" ref="P16" r:id="rId113"/>
    <hyperlink xmlns:r="http://schemas.openxmlformats.org/officeDocument/2006/relationships" ref="T16" r:id="rId114"/>
    <hyperlink xmlns:r="http://schemas.openxmlformats.org/officeDocument/2006/relationships" ref="X16" r:id="rId115"/>
    <hyperlink xmlns:r="http://schemas.openxmlformats.org/officeDocument/2006/relationships" ref="AM16" r:id="rId116"/>
    <hyperlink xmlns:r="http://schemas.openxmlformats.org/officeDocument/2006/relationships" ref="AV16" r:id="rId117"/>
    <hyperlink xmlns:r="http://schemas.openxmlformats.org/officeDocument/2006/relationships" ref="C17" r:id="rId118"/>
    <hyperlink xmlns:r="http://schemas.openxmlformats.org/officeDocument/2006/relationships" ref="D17" r:id="rId119"/>
    <hyperlink xmlns:r="http://schemas.openxmlformats.org/officeDocument/2006/relationships" ref="H17" r:id="rId120"/>
    <hyperlink xmlns:r="http://schemas.openxmlformats.org/officeDocument/2006/relationships" ref="P17" r:id="rId121"/>
    <hyperlink xmlns:r="http://schemas.openxmlformats.org/officeDocument/2006/relationships" ref="T17" r:id="rId122"/>
    <hyperlink xmlns:r="http://schemas.openxmlformats.org/officeDocument/2006/relationships" ref="X17" r:id="rId123"/>
    <hyperlink xmlns:r="http://schemas.openxmlformats.org/officeDocument/2006/relationships" ref="AM17" r:id="rId124"/>
    <hyperlink xmlns:r="http://schemas.openxmlformats.org/officeDocument/2006/relationships" ref="AV17" r:id="rId125"/>
    <hyperlink xmlns:r="http://schemas.openxmlformats.org/officeDocument/2006/relationships" ref="C18" r:id="rId126"/>
    <hyperlink xmlns:r="http://schemas.openxmlformats.org/officeDocument/2006/relationships" ref="D18" r:id="rId127"/>
    <hyperlink xmlns:r="http://schemas.openxmlformats.org/officeDocument/2006/relationships" ref="H18" r:id="rId128"/>
    <hyperlink xmlns:r="http://schemas.openxmlformats.org/officeDocument/2006/relationships" ref="P18" r:id="rId129"/>
    <hyperlink xmlns:r="http://schemas.openxmlformats.org/officeDocument/2006/relationships" ref="T18" r:id="rId130"/>
    <hyperlink xmlns:r="http://schemas.openxmlformats.org/officeDocument/2006/relationships" ref="X18" r:id="rId131"/>
    <hyperlink xmlns:r="http://schemas.openxmlformats.org/officeDocument/2006/relationships" ref="AM18" r:id="rId132"/>
    <hyperlink xmlns:r="http://schemas.openxmlformats.org/officeDocument/2006/relationships" ref="AV18" r:id="rId133"/>
    <hyperlink xmlns:r="http://schemas.openxmlformats.org/officeDocument/2006/relationships" ref="C19" r:id="rId134"/>
    <hyperlink xmlns:r="http://schemas.openxmlformats.org/officeDocument/2006/relationships" ref="D19" r:id="rId135"/>
    <hyperlink xmlns:r="http://schemas.openxmlformats.org/officeDocument/2006/relationships" ref="H19" r:id="rId136"/>
    <hyperlink xmlns:r="http://schemas.openxmlformats.org/officeDocument/2006/relationships" ref="P19" r:id="rId137"/>
    <hyperlink xmlns:r="http://schemas.openxmlformats.org/officeDocument/2006/relationships" ref="T19" r:id="rId138"/>
    <hyperlink xmlns:r="http://schemas.openxmlformats.org/officeDocument/2006/relationships" ref="X19" r:id="rId139"/>
    <hyperlink xmlns:r="http://schemas.openxmlformats.org/officeDocument/2006/relationships" ref="AM19" r:id="rId140"/>
    <hyperlink xmlns:r="http://schemas.openxmlformats.org/officeDocument/2006/relationships" ref="AV19" r:id="rId141"/>
    <hyperlink xmlns:r="http://schemas.openxmlformats.org/officeDocument/2006/relationships" ref="C20" r:id="rId142"/>
    <hyperlink xmlns:r="http://schemas.openxmlformats.org/officeDocument/2006/relationships" ref="D20" r:id="rId143"/>
    <hyperlink xmlns:r="http://schemas.openxmlformats.org/officeDocument/2006/relationships" ref="H20" r:id="rId144"/>
    <hyperlink xmlns:r="http://schemas.openxmlformats.org/officeDocument/2006/relationships" ref="AM20" r:id="rId145"/>
    <hyperlink xmlns:r="http://schemas.openxmlformats.org/officeDocument/2006/relationships" ref="AV20" r:id="rId146"/>
    <hyperlink xmlns:r="http://schemas.openxmlformats.org/officeDocument/2006/relationships" ref="C21" r:id="rId147"/>
    <hyperlink xmlns:r="http://schemas.openxmlformats.org/officeDocument/2006/relationships" ref="D21" r:id="rId148"/>
    <hyperlink xmlns:r="http://schemas.openxmlformats.org/officeDocument/2006/relationships" ref="H21" r:id="rId149"/>
    <hyperlink xmlns:r="http://schemas.openxmlformats.org/officeDocument/2006/relationships" ref="P21" r:id="rId150"/>
    <hyperlink xmlns:r="http://schemas.openxmlformats.org/officeDocument/2006/relationships" ref="T21" r:id="rId151"/>
    <hyperlink xmlns:r="http://schemas.openxmlformats.org/officeDocument/2006/relationships" ref="X21" r:id="rId152"/>
    <hyperlink xmlns:r="http://schemas.openxmlformats.org/officeDocument/2006/relationships" ref="AM21" r:id="rId153"/>
    <hyperlink xmlns:r="http://schemas.openxmlformats.org/officeDocument/2006/relationships" ref="AV21" r:id="rId154"/>
    <hyperlink xmlns:r="http://schemas.openxmlformats.org/officeDocument/2006/relationships" ref="C22" r:id="rId155"/>
    <hyperlink xmlns:r="http://schemas.openxmlformats.org/officeDocument/2006/relationships" ref="D22" r:id="rId156"/>
    <hyperlink xmlns:r="http://schemas.openxmlformats.org/officeDocument/2006/relationships" ref="H22" r:id="rId157"/>
    <hyperlink xmlns:r="http://schemas.openxmlformats.org/officeDocument/2006/relationships" ref="P22" r:id="rId158"/>
    <hyperlink xmlns:r="http://schemas.openxmlformats.org/officeDocument/2006/relationships" ref="T22" r:id="rId159"/>
    <hyperlink xmlns:r="http://schemas.openxmlformats.org/officeDocument/2006/relationships" ref="X22" r:id="rId160"/>
    <hyperlink xmlns:r="http://schemas.openxmlformats.org/officeDocument/2006/relationships" ref="AM22" r:id="rId161"/>
    <hyperlink xmlns:r="http://schemas.openxmlformats.org/officeDocument/2006/relationships" ref="AV22" r:id="rId162"/>
    <hyperlink xmlns:r="http://schemas.openxmlformats.org/officeDocument/2006/relationships" ref="C23" r:id="rId163"/>
    <hyperlink xmlns:r="http://schemas.openxmlformats.org/officeDocument/2006/relationships" ref="D23" r:id="rId164"/>
    <hyperlink xmlns:r="http://schemas.openxmlformats.org/officeDocument/2006/relationships" ref="H23" r:id="rId165"/>
    <hyperlink xmlns:r="http://schemas.openxmlformats.org/officeDocument/2006/relationships" ref="P23" r:id="rId166"/>
    <hyperlink xmlns:r="http://schemas.openxmlformats.org/officeDocument/2006/relationships" ref="T23" r:id="rId167"/>
    <hyperlink xmlns:r="http://schemas.openxmlformats.org/officeDocument/2006/relationships" ref="X23" r:id="rId168"/>
    <hyperlink xmlns:r="http://schemas.openxmlformats.org/officeDocument/2006/relationships" ref="AM23" r:id="rId169"/>
    <hyperlink xmlns:r="http://schemas.openxmlformats.org/officeDocument/2006/relationships" ref="AV23" r:id="rId170"/>
    <hyperlink xmlns:r="http://schemas.openxmlformats.org/officeDocument/2006/relationships" ref="C24" r:id="rId171"/>
    <hyperlink xmlns:r="http://schemas.openxmlformats.org/officeDocument/2006/relationships" ref="D24" r:id="rId172"/>
    <hyperlink xmlns:r="http://schemas.openxmlformats.org/officeDocument/2006/relationships" ref="H24" r:id="rId173"/>
    <hyperlink xmlns:r="http://schemas.openxmlformats.org/officeDocument/2006/relationships" ref="P24" r:id="rId174"/>
    <hyperlink xmlns:r="http://schemas.openxmlformats.org/officeDocument/2006/relationships" ref="T24" r:id="rId175"/>
    <hyperlink xmlns:r="http://schemas.openxmlformats.org/officeDocument/2006/relationships" ref="X24" r:id="rId176"/>
    <hyperlink xmlns:r="http://schemas.openxmlformats.org/officeDocument/2006/relationships" ref="AM24" r:id="rId177"/>
    <hyperlink xmlns:r="http://schemas.openxmlformats.org/officeDocument/2006/relationships" ref="AV24" r:id="rId178"/>
    <hyperlink xmlns:r="http://schemas.openxmlformats.org/officeDocument/2006/relationships" ref="C25" r:id="rId179"/>
    <hyperlink xmlns:r="http://schemas.openxmlformats.org/officeDocument/2006/relationships" ref="D25" r:id="rId180"/>
    <hyperlink xmlns:r="http://schemas.openxmlformats.org/officeDocument/2006/relationships" ref="H25" r:id="rId181"/>
    <hyperlink xmlns:r="http://schemas.openxmlformats.org/officeDocument/2006/relationships" ref="P25" r:id="rId182"/>
    <hyperlink xmlns:r="http://schemas.openxmlformats.org/officeDocument/2006/relationships" ref="T25" r:id="rId183"/>
    <hyperlink xmlns:r="http://schemas.openxmlformats.org/officeDocument/2006/relationships" ref="X25" r:id="rId184"/>
    <hyperlink xmlns:r="http://schemas.openxmlformats.org/officeDocument/2006/relationships" ref="AM25" r:id="rId185"/>
    <hyperlink xmlns:r="http://schemas.openxmlformats.org/officeDocument/2006/relationships" ref="AV25" r:id="rId186"/>
    <hyperlink xmlns:r="http://schemas.openxmlformats.org/officeDocument/2006/relationships" ref="C26" r:id="rId187"/>
    <hyperlink xmlns:r="http://schemas.openxmlformats.org/officeDocument/2006/relationships" ref="D26" r:id="rId188"/>
    <hyperlink xmlns:r="http://schemas.openxmlformats.org/officeDocument/2006/relationships" ref="H26" r:id="rId189"/>
    <hyperlink xmlns:r="http://schemas.openxmlformats.org/officeDocument/2006/relationships" ref="P26" r:id="rId190"/>
    <hyperlink xmlns:r="http://schemas.openxmlformats.org/officeDocument/2006/relationships" ref="T26" r:id="rId191"/>
    <hyperlink xmlns:r="http://schemas.openxmlformats.org/officeDocument/2006/relationships" ref="X26" r:id="rId192"/>
    <hyperlink xmlns:r="http://schemas.openxmlformats.org/officeDocument/2006/relationships" ref="AM26" r:id="rId193"/>
    <hyperlink xmlns:r="http://schemas.openxmlformats.org/officeDocument/2006/relationships" ref="AV26" r:id="rId194"/>
    <hyperlink xmlns:r="http://schemas.openxmlformats.org/officeDocument/2006/relationships" ref="C27" r:id="rId195"/>
    <hyperlink xmlns:r="http://schemas.openxmlformats.org/officeDocument/2006/relationships" ref="D27" r:id="rId196"/>
    <hyperlink xmlns:r="http://schemas.openxmlformats.org/officeDocument/2006/relationships" ref="H27" r:id="rId197"/>
    <hyperlink xmlns:r="http://schemas.openxmlformats.org/officeDocument/2006/relationships" ref="P27" r:id="rId198"/>
    <hyperlink xmlns:r="http://schemas.openxmlformats.org/officeDocument/2006/relationships" ref="T27" r:id="rId199"/>
    <hyperlink xmlns:r="http://schemas.openxmlformats.org/officeDocument/2006/relationships" ref="X27" r:id="rId200"/>
    <hyperlink xmlns:r="http://schemas.openxmlformats.org/officeDocument/2006/relationships" ref="AM27" r:id="rId201"/>
    <hyperlink xmlns:r="http://schemas.openxmlformats.org/officeDocument/2006/relationships" ref="AV27" r:id="rId202"/>
    <hyperlink xmlns:r="http://schemas.openxmlformats.org/officeDocument/2006/relationships" ref="C28" r:id="rId203"/>
    <hyperlink xmlns:r="http://schemas.openxmlformats.org/officeDocument/2006/relationships" ref="D28" r:id="rId204"/>
    <hyperlink xmlns:r="http://schemas.openxmlformats.org/officeDocument/2006/relationships" ref="H28" r:id="rId205"/>
    <hyperlink xmlns:r="http://schemas.openxmlformats.org/officeDocument/2006/relationships" ref="P28" r:id="rId206"/>
    <hyperlink xmlns:r="http://schemas.openxmlformats.org/officeDocument/2006/relationships" ref="T28" r:id="rId207"/>
    <hyperlink xmlns:r="http://schemas.openxmlformats.org/officeDocument/2006/relationships" ref="X28" r:id="rId208"/>
    <hyperlink xmlns:r="http://schemas.openxmlformats.org/officeDocument/2006/relationships" ref="AM28" r:id="rId209"/>
    <hyperlink xmlns:r="http://schemas.openxmlformats.org/officeDocument/2006/relationships" ref="AV28" r:id="rId210"/>
    <hyperlink xmlns:r="http://schemas.openxmlformats.org/officeDocument/2006/relationships" ref="C29" r:id="rId211"/>
    <hyperlink xmlns:r="http://schemas.openxmlformats.org/officeDocument/2006/relationships" ref="D29" r:id="rId212"/>
    <hyperlink xmlns:r="http://schemas.openxmlformats.org/officeDocument/2006/relationships" ref="H29" r:id="rId213"/>
    <hyperlink xmlns:r="http://schemas.openxmlformats.org/officeDocument/2006/relationships" ref="P29" r:id="rId214"/>
    <hyperlink xmlns:r="http://schemas.openxmlformats.org/officeDocument/2006/relationships" ref="T29" r:id="rId215"/>
    <hyperlink xmlns:r="http://schemas.openxmlformats.org/officeDocument/2006/relationships" ref="X29" r:id="rId216"/>
    <hyperlink xmlns:r="http://schemas.openxmlformats.org/officeDocument/2006/relationships" ref="AM29" r:id="rId217"/>
    <hyperlink xmlns:r="http://schemas.openxmlformats.org/officeDocument/2006/relationships" ref="AV29" r:id="rId218"/>
    <hyperlink xmlns:r="http://schemas.openxmlformats.org/officeDocument/2006/relationships" ref="C30" r:id="rId219"/>
    <hyperlink xmlns:r="http://schemas.openxmlformats.org/officeDocument/2006/relationships" ref="D30" r:id="rId220"/>
    <hyperlink xmlns:r="http://schemas.openxmlformats.org/officeDocument/2006/relationships" ref="H30" r:id="rId221"/>
    <hyperlink xmlns:r="http://schemas.openxmlformats.org/officeDocument/2006/relationships" ref="P30" r:id="rId222"/>
    <hyperlink xmlns:r="http://schemas.openxmlformats.org/officeDocument/2006/relationships" ref="T30" r:id="rId223"/>
    <hyperlink xmlns:r="http://schemas.openxmlformats.org/officeDocument/2006/relationships" ref="X30" r:id="rId224"/>
    <hyperlink xmlns:r="http://schemas.openxmlformats.org/officeDocument/2006/relationships" ref="AM30" r:id="rId225"/>
    <hyperlink xmlns:r="http://schemas.openxmlformats.org/officeDocument/2006/relationships" ref="AV30" r:id="rId226"/>
    <hyperlink xmlns:r="http://schemas.openxmlformats.org/officeDocument/2006/relationships" ref="C31" r:id="rId227"/>
    <hyperlink xmlns:r="http://schemas.openxmlformats.org/officeDocument/2006/relationships" ref="D31" r:id="rId228"/>
    <hyperlink xmlns:r="http://schemas.openxmlformats.org/officeDocument/2006/relationships" ref="H31" r:id="rId229"/>
    <hyperlink xmlns:r="http://schemas.openxmlformats.org/officeDocument/2006/relationships" ref="P31" r:id="rId230"/>
    <hyperlink xmlns:r="http://schemas.openxmlformats.org/officeDocument/2006/relationships" ref="T31" r:id="rId231"/>
    <hyperlink xmlns:r="http://schemas.openxmlformats.org/officeDocument/2006/relationships" ref="X31" r:id="rId232"/>
    <hyperlink xmlns:r="http://schemas.openxmlformats.org/officeDocument/2006/relationships" ref="AM31" r:id="rId233"/>
    <hyperlink xmlns:r="http://schemas.openxmlformats.org/officeDocument/2006/relationships" ref="AV31" r:id="rId234"/>
    <hyperlink xmlns:r="http://schemas.openxmlformats.org/officeDocument/2006/relationships" ref="C32" r:id="rId235"/>
    <hyperlink xmlns:r="http://schemas.openxmlformats.org/officeDocument/2006/relationships" ref="D32" r:id="rId236"/>
    <hyperlink xmlns:r="http://schemas.openxmlformats.org/officeDocument/2006/relationships" ref="H32" r:id="rId237"/>
    <hyperlink xmlns:r="http://schemas.openxmlformats.org/officeDocument/2006/relationships" ref="AM32" r:id="rId238"/>
    <hyperlink xmlns:r="http://schemas.openxmlformats.org/officeDocument/2006/relationships" ref="AV32" r:id="rId239"/>
    <hyperlink xmlns:r="http://schemas.openxmlformats.org/officeDocument/2006/relationships" ref="C33" r:id="rId240"/>
    <hyperlink xmlns:r="http://schemas.openxmlformats.org/officeDocument/2006/relationships" ref="D33" r:id="rId241"/>
    <hyperlink xmlns:r="http://schemas.openxmlformats.org/officeDocument/2006/relationships" ref="H33" r:id="rId242"/>
    <hyperlink xmlns:r="http://schemas.openxmlformats.org/officeDocument/2006/relationships" ref="AM33" r:id="rId243"/>
    <hyperlink xmlns:r="http://schemas.openxmlformats.org/officeDocument/2006/relationships" ref="AV33" r:id="rId244"/>
    <hyperlink xmlns:r="http://schemas.openxmlformats.org/officeDocument/2006/relationships" ref="C34" r:id="rId245"/>
    <hyperlink xmlns:r="http://schemas.openxmlformats.org/officeDocument/2006/relationships" ref="D34" r:id="rId246"/>
    <hyperlink xmlns:r="http://schemas.openxmlformats.org/officeDocument/2006/relationships" ref="H34" r:id="rId247"/>
    <hyperlink xmlns:r="http://schemas.openxmlformats.org/officeDocument/2006/relationships" ref="P34" r:id="rId248"/>
    <hyperlink xmlns:r="http://schemas.openxmlformats.org/officeDocument/2006/relationships" ref="T34" r:id="rId249"/>
    <hyperlink xmlns:r="http://schemas.openxmlformats.org/officeDocument/2006/relationships" ref="X34" r:id="rId250"/>
    <hyperlink xmlns:r="http://schemas.openxmlformats.org/officeDocument/2006/relationships" ref="AM34" r:id="rId251"/>
    <hyperlink xmlns:r="http://schemas.openxmlformats.org/officeDocument/2006/relationships" ref="AV34" r:id="rId252"/>
    <hyperlink xmlns:r="http://schemas.openxmlformats.org/officeDocument/2006/relationships" ref="C35" r:id="rId253"/>
    <hyperlink xmlns:r="http://schemas.openxmlformats.org/officeDocument/2006/relationships" ref="D35" r:id="rId254"/>
    <hyperlink xmlns:r="http://schemas.openxmlformats.org/officeDocument/2006/relationships" ref="H35" r:id="rId255"/>
    <hyperlink xmlns:r="http://schemas.openxmlformats.org/officeDocument/2006/relationships" ref="AM35" r:id="rId256"/>
    <hyperlink xmlns:r="http://schemas.openxmlformats.org/officeDocument/2006/relationships" ref="AV35" r:id="rId257"/>
    <hyperlink xmlns:r="http://schemas.openxmlformats.org/officeDocument/2006/relationships" ref="C36" r:id="rId258"/>
    <hyperlink xmlns:r="http://schemas.openxmlformats.org/officeDocument/2006/relationships" ref="D36" r:id="rId259"/>
    <hyperlink xmlns:r="http://schemas.openxmlformats.org/officeDocument/2006/relationships" ref="H36" r:id="rId260"/>
    <hyperlink xmlns:r="http://schemas.openxmlformats.org/officeDocument/2006/relationships" ref="P36" r:id="rId261"/>
    <hyperlink xmlns:r="http://schemas.openxmlformats.org/officeDocument/2006/relationships" ref="T36" r:id="rId262"/>
    <hyperlink xmlns:r="http://schemas.openxmlformats.org/officeDocument/2006/relationships" ref="X36" r:id="rId263"/>
    <hyperlink xmlns:r="http://schemas.openxmlformats.org/officeDocument/2006/relationships" ref="AM36" r:id="rId264"/>
    <hyperlink xmlns:r="http://schemas.openxmlformats.org/officeDocument/2006/relationships" ref="AR36" r:id="rId265"/>
    <hyperlink xmlns:r="http://schemas.openxmlformats.org/officeDocument/2006/relationships" ref="AV36" r:id="rId266"/>
    <hyperlink xmlns:r="http://schemas.openxmlformats.org/officeDocument/2006/relationships" ref="C37" r:id="rId267"/>
    <hyperlink xmlns:r="http://schemas.openxmlformats.org/officeDocument/2006/relationships" ref="D37" r:id="rId268"/>
    <hyperlink xmlns:r="http://schemas.openxmlformats.org/officeDocument/2006/relationships" ref="H37" r:id="rId269"/>
    <hyperlink xmlns:r="http://schemas.openxmlformats.org/officeDocument/2006/relationships" ref="AM37" r:id="rId270"/>
    <hyperlink xmlns:r="http://schemas.openxmlformats.org/officeDocument/2006/relationships" ref="AV37" r:id="rId271"/>
    <hyperlink xmlns:r="http://schemas.openxmlformats.org/officeDocument/2006/relationships" ref="C38" r:id="rId272"/>
    <hyperlink xmlns:r="http://schemas.openxmlformats.org/officeDocument/2006/relationships" ref="D38" r:id="rId273"/>
    <hyperlink xmlns:r="http://schemas.openxmlformats.org/officeDocument/2006/relationships" ref="H38" r:id="rId274"/>
    <hyperlink xmlns:r="http://schemas.openxmlformats.org/officeDocument/2006/relationships" ref="P38" r:id="rId275"/>
    <hyperlink xmlns:r="http://schemas.openxmlformats.org/officeDocument/2006/relationships" ref="T38" r:id="rId276"/>
    <hyperlink xmlns:r="http://schemas.openxmlformats.org/officeDocument/2006/relationships" ref="X38" r:id="rId277"/>
    <hyperlink xmlns:r="http://schemas.openxmlformats.org/officeDocument/2006/relationships" ref="AM38" r:id="rId278"/>
    <hyperlink xmlns:r="http://schemas.openxmlformats.org/officeDocument/2006/relationships" ref="AV38" r:id="rId279"/>
    <hyperlink xmlns:r="http://schemas.openxmlformats.org/officeDocument/2006/relationships" ref="C39" r:id="rId280"/>
    <hyperlink xmlns:r="http://schemas.openxmlformats.org/officeDocument/2006/relationships" ref="D39" r:id="rId281"/>
    <hyperlink xmlns:r="http://schemas.openxmlformats.org/officeDocument/2006/relationships" ref="H39" r:id="rId282"/>
    <hyperlink xmlns:r="http://schemas.openxmlformats.org/officeDocument/2006/relationships" ref="P39" r:id="rId283"/>
    <hyperlink xmlns:r="http://schemas.openxmlformats.org/officeDocument/2006/relationships" ref="T39" r:id="rId284"/>
    <hyperlink xmlns:r="http://schemas.openxmlformats.org/officeDocument/2006/relationships" ref="X39" r:id="rId285"/>
    <hyperlink xmlns:r="http://schemas.openxmlformats.org/officeDocument/2006/relationships" ref="AM39" r:id="rId286"/>
    <hyperlink xmlns:r="http://schemas.openxmlformats.org/officeDocument/2006/relationships" ref="AV39" r:id="rId287"/>
    <hyperlink xmlns:r="http://schemas.openxmlformats.org/officeDocument/2006/relationships" ref="C40" r:id="rId288"/>
    <hyperlink xmlns:r="http://schemas.openxmlformats.org/officeDocument/2006/relationships" ref="D40" r:id="rId289"/>
    <hyperlink xmlns:r="http://schemas.openxmlformats.org/officeDocument/2006/relationships" ref="H40" r:id="rId290"/>
    <hyperlink xmlns:r="http://schemas.openxmlformats.org/officeDocument/2006/relationships" ref="P40" r:id="rId291"/>
    <hyperlink xmlns:r="http://schemas.openxmlformats.org/officeDocument/2006/relationships" ref="T40" r:id="rId292"/>
    <hyperlink xmlns:r="http://schemas.openxmlformats.org/officeDocument/2006/relationships" ref="X40" r:id="rId293"/>
    <hyperlink xmlns:r="http://schemas.openxmlformats.org/officeDocument/2006/relationships" ref="AM40" r:id="rId294"/>
    <hyperlink xmlns:r="http://schemas.openxmlformats.org/officeDocument/2006/relationships" ref="AV40" r:id="rId295"/>
    <hyperlink xmlns:r="http://schemas.openxmlformats.org/officeDocument/2006/relationships" ref="C41" r:id="rId296"/>
    <hyperlink xmlns:r="http://schemas.openxmlformats.org/officeDocument/2006/relationships" ref="D41" r:id="rId297"/>
    <hyperlink xmlns:r="http://schemas.openxmlformats.org/officeDocument/2006/relationships" ref="H41" r:id="rId298"/>
    <hyperlink xmlns:r="http://schemas.openxmlformats.org/officeDocument/2006/relationships" ref="P41" r:id="rId299"/>
    <hyperlink xmlns:r="http://schemas.openxmlformats.org/officeDocument/2006/relationships" ref="T41" r:id="rId300"/>
    <hyperlink xmlns:r="http://schemas.openxmlformats.org/officeDocument/2006/relationships" ref="X41" r:id="rId301"/>
    <hyperlink xmlns:r="http://schemas.openxmlformats.org/officeDocument/2006/relationships" ref="AM41" r:id="rId302"/>
    <hyperlink xmlns:r="http://schemas.openxmlformats.org/officeDocument/2006/relationships" ref="AV41" r:id="rId303"/>
    <hyperlink xmlns:r="http://schemas.openxmlformats.org/officeDocument/2006/relationships" ref="C42" r:id="rId304"/>
    <hyperlink xmlns:r="http://schemas.openxmlformats.org/officeDocument/2006/relationships" ref="D42" r:id="rId305"/>
    <hyperlink xmlns:r="http://schemas.openxmlformats.org/officeDocument/2006/relationships" ref="H42" r:id="rId306"/>
    <hyperlink xmlns:r="http://schemas.openxmlformats.org/officeDocument/2006/relationships" ref="AM42" r:id="rId307"/>
    <hyperlink xmlns:r="http://schemas.openxmlformats.org/officeDocument/2006/relationships" ref="AV42" r:id="rId308"/>
    <hyperlink xmlns:r="http://schemas.openxmlformats.org/officeDocument/2006/relationships" ref="C43" r:id="rId309"/>
    <hyperlink xmlns:r="http://schemas.openxmlformats.org/officeDocument/2006/relationships" ref="D43" r:id="rId310"/>
    <hyperlink xmlns:r="http://schemas.openxmlformats.org/officeDocument/2006/relationships" ref="H43" r:id="rId311"/>
    <hyperlink xmlns:r="http://schemas.openxmlformats.org/officeDocument/2006/relationships" ref="P43" r:id="rId312"/>
    <hyperlink xmlns:r="http://schemas.openxmlformats.org/officeDocument/2006/relationships" ref="T43" r:id="rId313"/>
    <hyperlink xmlns:r="http://schemas.openxmlformats.org/officeDocument/2006/relationships" ref="X43" r:id="rId314"/>
    <hyperlink xmlns:r="http://schemas.openxmlformats.org/officeDocument/2006/relationships" ref="AM43" r:id="rId315"/>
    <hyperlink xmlns:r="http://schemas.openxmlformats.org/officeDocument/2006/relationships" ref="AV43" r:id="rId316"/>
    <hyperlink xmlns:r="http://schemas.openxmlformats.org/officeDocument/2006/relationships" ref="C44" r:id="rId317"/>
    <hyperlink xmlns:r="http://schemas.openxmlformats.org/officeDocument/2006/relationships" ref="D44" r:id="rId318"/>
    <hyperlink xmlns:r="http://schemas.openxmlformats.org/officeDocument/2006/relationships" ref="H44" r:id="rId319"/>
    <hyperlink xmlns:r="http://schemas.openxmlformats.org/officeDocument/2006/relationships" ref="P44" r:id="rId320"/>
    <hyperlink xmlns:r="http://schemas.openxmlformats.org/officeDocument/2006/relationships" ref="T44" r:id="rId321"/>
    <hyperlink xmlns:r="http://schemas.openxmlformats.org/officeDocument/2006/relationships" ref="X44" r:id="rId322"/>
    <hyperlink xmlns:r="http://schemas.openxmlformats.org/officeDocument/2006/relationships" ref="AM44" r:id="rId323"/>
    <hyperlink xmlns:r="http://schemas.openxmlformats.org/officeDocument/2006/relationships" ref="AV44" r:id="rId324"/>
    <hyperlink xmlns:r="http://schemas.openxmlformats.org/officeDocument/2006/relationships" ref="C45" r:id="rId325"/>
    <hyperlink xmlns:r="http://schemas.openxmlformats.org/officeDocument/2006/relationships" ref="D45" r:id="rId326"/>
    <hyperlink xmlns:r="http://schemas.openxmlformats.org/officeDocument/2006/relationships" ref="H45" r:id="rId327"/>
    <hyperlink xmlns:r="http://schemas.openxmlformats.org/officeDocument/2006/relationships" ref="AM45" r:id="rId328"/>
    <hyperlink xmlns:r="http://schemas.openxmlformats.org/officeDocument/2006/relationships" ref="AV45" r:id="rId329"/>
    <hyperlink xmlns:r="http://schemas.openxmlformats.org/officeDocument/2006/relationships" ref="C46" r:id="rId330"/>
    <hyperlink xmlns:r="http://schemas.openxmlformats.org/officeDocument/2006/relationships" ref="D46" r:id="rId331"/>
    <hyperlink xmlns:r="http://schemas.openxmlformats.org/officeDocument/2006/relationships" ref="H46" r:id="rId332"/>
    <hyperlink xmlns:r="http://schemas.openxmlformats.org/officeDocument/2006/relationships" ref="AM46" r:id="rId333"/>
    <hyperlink xmlns:r="http://schemas.openxmlformats.org/officeDocument/2006/relationships" ref="AV46" r:id="rId334"/>
    <hyperlink xmlns:r="http://schemas.openxmlformats.org/officeDocument/2006/relationships" ref="C47" r:id="rId335"/>
    <hyperlink xmlns:r="http://schemas.openxmlformats.org/officeDocument/2006/relationships" ref="D47" r:id="rId336"/>
    <hyperlink xmlns:r="http://schemas.openxmlformats.org/officeDocument/2006/relationships" ref="H47" r:id="rId337"/>
    <hyperlink xmlns:r="http://schemas.openxmlformats.org/officeDocument/2006/relationships" ref="AM47" r:id="rId338"/>
    <hyperlink xmlns:r="http://schemas.openxmlformats.org/officeDocument/2006/relationships" ref="AV47" r:id="rId339"/>
    <hyperlink xmlns:r="http://schemas.openxmlformats.org/officeDocument/2006/relationships" ref="C48" r:id="rId340"/>
    <hyperlink xmlns:r="http://schemas.openxmlformats.org/officeDocument/2006/relationships" ref="D48" r:id="rId341"/>
    <hyperlink xmlns:r="http://schemas.openxmlformats.org/officeDocument/2006/relationships" ref="H48" r:id="rId342"/>
    <hyperlink xmlns:r="http://schemas.openxmlformats.org/officeDocument/2006/relationships" ref="AM48" r:id="rId343"/>
    <hyperlink xmlns:r="http://schemas.openxmlformats.org/officeDocument/2006/relationships" ref="AV48" r:id="rId344"/>
    <hyperlink xmlns:r="http://schemas.openxmlformats.org/officeDocument/2006/relationships" ref="C49" r:id="rId345"/>
    <hyperlink xmlns:r="http://schemas.openxmlformats.org/officeDocument/2006/relationships" ref="D49" r:id="rId346"/>
    <hyperlink xmlns:r="http://schemas.openxmlformats.org/officeDocument/2006/relationships" ref="H49" r:id="rId347"/>
    <hyperlink xmlns:r="http://schemas.openxmlformats.org/officeDocument/2006/relationships" ref="P49" r:id="rId348"/>
    <hyperlink xmlns:r="http://schemas.openxmlformats.org/officeDocument/2006/relationships" ref="T49" r:id="rId349"/>
    <hyperlink xmlns:r="http://schemas.openxmlformats.org/officeDocument/2006/relationships" ref="X49" r:id="rId350"/>
    <hyperlink xmlns:r="http://schemas.openxmlformats.org/officeDocument/2006/relationships" ref="AM49" r:id="rId351"/>
    <hyperlink xmlns:r="http://schemas.openxmlformats.org/officeDocument/2006/relationships" ref="AV49" r:id="rId352"/>
    <hyperlink xmlns:r="http://schemas.openxmlformats.org/officeDocument/2006/relationships" ref="C50" r:id="rId353"/>
    <hyperlink xmlns:r="http://schemas.openxmlformats.org/officeDocument/2006/relationships" ref="D50" r:id="rId354"/>
    <hyperlink xmlns:r="http://schemas.openxmlformats.org/officeDocument/2006/relationships" ref="H50" r:id="rId355"/>
    <hyperlink xmlns:r="http://schemas.openxmlformats.org/officeDocument/2006/relationships" ref="P50" r:id="rId356"/>
    <hyperlink xmlns:r="http://schemas.openxmlformats.org/officeDocument/2006/relationships" ref="T50" r:id="rId357"/>
    <hyperlink xmlns:r="http://schemas.openxmlformats.org/officeDocument/2006/relationships" ref="X50" r:id="rId358"/>
    <hyperlink xmlns:r="http://schemas.openxmlformats.org/officeDocument/2006/relationships" ref="AM50" r:id="rId359"/>
    <hyperlink xmlns:r="http://schemas.openxmlformats.org/officeDocument/2006/relationships" ref="AV50" r:id="rId360"/>
    <hyperlink xmlns:r="http://schemas.openxmlformats.org/officeDocument/2006/relationships" ref="C51" r:id="rId361"/>
    <hyperlink xmlns:r="http://schemas.openxmlformats.org/officeDocument/2006/relationships" ref="D51" r:id="rId362"/>
    <hyperlink xmlns:r="http://schemas.openxmlformats.org/officeDocument/2006/relationships" ref="H51" r:id="rId363"/>
    <hyperlink xmlns:r="http://schemas.openxmlformats.org/officeDocument/2006/relationships" ref="P51" r:id="rId364"/>
    <hyperlink xmlns:r="http://schemas.openxmlformats.org/officeDocument/2006/relationships" ref="T51" r:id="rId365"/>
    <hyperlink xmlns:r="http://schemas.openxmlformats.org/officeDocument/2006/relationships" ref="X51" r:id="rId366"/>
    <hyperlink xmlns:r="http://schemas.openxmlformats.org/officeDocument/2006/relationships" ref="AM51" r:id="rId367"/>
    <hyperlink xmlns:r="http://schemas.openxmlformats.org/officeDocument/2006/relationships" ref="AV51" r:id="rId368"/>
    <hyperlink xmlns:r="http://schemas.openxmlformats.org/officeDocument/2006/relationships" ref="C52" r:id="rId369"/>
    <hyperlink xmlns:r="http://schemas.openxmlformats.org/officeDocument/2006/relationships" ref="D52" r:id="rId370"/>
    <hyperlink xmlns:r="http://schemas.openxmlformats.org/officeDocument/2006/relationships" ref="H52" r:id="rId371"/>
    <hyperlink xmlns:r="http://schemas.openxmlformats.org/officeDocument/2006/relationships" ref="AM52" r:id="rId372"/>
    <hyperlink xmlns:r="http://schemas.openxmlformats.org/officeDocument/2006/relationships" ref="AV52" r:id="rId373"/>
    <hyperlink xmlns:r="http://schemas.openxmlformats.org/officeDocument/2006/relationships" ref="C53" r:id="rId374"/>
    <hyperlink xmlns:r="http://schemas.openxmlformats.org/officeDocument/2006/relationships" ref="D53" r:id="rId375"/>
    <hyperlink xmlns:r="http://schemas.openxmlformats.org/officeDocument/2006/relationships" ref="H53" r:id="rId376"/>
    <hyperlink xmlns:r="http://schemas.openxmlformats.org/officeDocument/2006/relationships" ref="P53" r:id="rId377"/>
    <hyperlink xmlns:r="http://schemas.openxmlformats.org/officeDocument/2006/relationships" ref="T53" r:id="rId378"/>
    <hyperlink xmlns:r="http://schemas.openxmlformats.org/officeDocument/2006/relationships" ref="X53" r:id="rId379"/>
    <hyperlink xmlns:r="http://schemas.openxmlformats.org/officeDocument/2006/relationships" ref="AM53" r:id="rId380"/>
    <hyperlink xmlns:r="http://schemas.openxmlformats.org/officeDocument/2006/relationships" ref="AV53" r:id="rId381"/>
    <hyperlink xmlns:r="http://schemas.openxmlformats.org/officeDocument/2006/relationships" ref="C54" r:id="rId382"/>
    <hyperlink xmlns:r="http://schemas.openxmlformats.org/officeDocument/2006/relationships" ref="D54" r:id="rId383"/>
    <hyperlink xmlns:r="http://schemas.openxmlformats.org/officeDocument/2006/relationships" ref="H54" r:id="rId384"/>
    <hyperlink xmlns:r="http://schemas.openxmlformats.org/officeDocument/2006/relationships" ref="AM54" r:id="rId385"/>
    <hyperlink xmlns:r="http://schemas.openxmlformats.org/officeDocument/2006/relationships" ref="AV54" r:id="rId386"/>
    <hyperlink xmlns:r="http://schemas.openxmlformats.org/officeDocument/2006/relationships" ref="C55" r:id="rId387"/>
    <hyperlink xmlns:r="http://schemas.openxmlformats.org/officeDocument/2006/relationships" ref="D55" r:id="rId388"/>
    <hyperlink xmlns:r="http://schemas.openxmlformats.org/officeDocument/2006/relationships" ref="H55" r:id="rId389"/>
    <hyperlink xmlns:r="http://schemas.openxmlformats.org/officeDocument/2006/relationships" ref="AM55" r:id="rId390"/>
    <hyperlink xmlns:r="http://schemas.openxmlformats.org/officeDocument/2006/relationships" ref="AV55" r:id="rId391"/>
    <hyperlink xmlns:r="http://schemas.openxmlformats.org/officeDocument/2006/relationships" ref="C56" r:id="rId392"/>
    <hyperlink xmlns:r="http://schemas.openxmlformats.org/officeDocument/2006/relationships" ref="D56" r:id="rId393"/>
    <hyperlink xmlns:r="http://schemas.openxmlformats.org/officeDocument/2006/relationships" ref="H56" r:id="rId394"/>
    <hyperlink xmlns:r="http://schemas.openxmlformats.org/officeDocument/2006/relationships" ref="AM56" r:id="rId395"/>
    <hyperlink xmlns:r="http://schemas.openxmlformats.org/officeDocument/2006/relationships" ref="AV56" r:id="rId396"/>
    <hyperlink xmlns:r="http://schemas.openxmlformats.org/officeDocument/2006/relationships" ref="C57" r:id="rId397"/>
    <hyperlink xmlns:r="http://schemas.openxmlformats.org/officeDocument/2006/relationships" ref="D57" r:id="rId398"/>
    <hyperlink xmlns:r="http://schemas.openxmlformats.org/officeDocument/2006/relationships" ref="H57" r:id="rId399"/>
    <hyperlink xmlns:r="http://schemas.openxmlformats.org/officeDocument/2006/relationships" ref="AM57" r:id="rId400"/>
    <hyperlink xmlns:r="http://schemas.openxmlformats.org/officeDocument/2006/relationships" ref="AR57" r:id="rId401"/>
    <hyperlink xmlns:r="http://schemas.openxmlformats.org/officeDocument/2006/relationships" ref="AV57" r:id="rId402"/>
    <hyperlink xmlns:r="http://schemas.openxmlformats.org/officeDocument/2006/relationships" ref="C58" r:id="rId403"/>
    <hyperlink xmlns:r="http://schemas.openxmlformats.org/officeDocument/2006/relationships" ref="D58" r:id="rId404"/>
    <hyperlink xmlns:r="http://schemas.openxmlformats.org/officeDocument/2006/relationships" ref="H58" r:id="rId405"/>
    <hyperlink xmlns:r="http://schemas.openxmlformats.org/officeDocument/2006/relationships" ref="AM58" r:id="rId406"/>
    <hyperlink xmlns:r="http://schemas.openxmlformats.org/officeDocument/2006/relationships" ref="AV58" r:id="rId407"/>
    <hyperlink xmlns:r="http://schemas.openxmlformats.org/officeDocument/2006/relationships" ref="C59" r:id="rId408"/>
    <hyperlink xmlns:r="http://schemas.openxmlformats.org/officeDocument/2006/relationships" ref="D59" r:id="rId409"/>
    <hyperlink xmlns:r="http://schemas.openxmlformats.org/officeDocument/2006/relationships" ref="H59" r:id="rId410"/>
    <hyperlink xmlns:r="http://schemas.openxmlformats.org/officeDocument/2006/relationships" ref="AM59" r:id="rId411"/>
    <hyperlink xmlns:r="http://schemas.openxmlformats.org/officeDocument/2006/relationships" ref="AV59" r:id="rId412"/>
    <hyperlink xmlns:r="http://schemas.openxmlformats.org/officeDocument/2006/relationships" ref="C60" r:id="rId413"/>
    <hyperlink xmlns:r="http://schemas.openxmlformats.org/officeDocument/2006/relationships" ref="D60" r:id="rId414"/>
    <hyperlink xmlns:r="http://schemas.openxmlformats.org/officeDocument/2006/relationships" ref="H60" r:id="rId415"/>
    <hyperlink xmlns:r="http://schemas.openxmlformats.org/officeDocument/2006/relationships" ref="AM60" r:id="rId416"/>
    <hyperlink xmlns:r="http://schemas.openxmlformats.org/officeDocument/2006/relationships" ref="AV60" r:id="rId417"/>
    <hyperlink xmlns:r="http://schemas.openxmlformats.org/officeDocument/2006/relationships" ref="C61" r:id="rId418"/>
    <hyperlink xmlns:r="http://schemas.openxmlformats.org/officeDocument/2006/relationships" ref="D61" r:id="rId419"/>
    <hyperlink xmlns:r="http://schemas.openxmlformats.org/officeDocument/2006/relationships" ref="H61" r:id="rId420"/>
    <hyperlink xmlns:r="http://schemas.openxmlformats.org/officeDocument/2006/relationships" ref="AM61" r:id="rId421"/>
    <hyperlink xmlns:r="http://schemas.openxmlformats.org/officeDocument/2006/relationships" ref="AV61" r:id="rId422"/>
    <hyperlink xmlns:r="http://schemas.openxmlformats.org/officeDocument/2006/relationships" ref="C62" r:id="rId423"/>
    <hyperlink xmlns:r="http://schemas.openxmlformats.org/officeDocument/2006/relationships" ref="D62" r:id="rId424"/>
    <hyperlink xmlns:r="http://schemas.openxmlformats.org/officeDocument/2006/relationships" ref="H62" r:id="rId425"/>
    <hyperlink xmlns:r="http://schemas.openxmlformats.org/officeDocument/2006/relationships" ref="AM62" r:id="rId426"/>
    <hyperlink xmlns:r="http://schemas.openxmlformats.org/officeDocument/2006/relationships" ref="AV62" r:id="rId427"/>
    <hyperlink xmlns:r="http://schemas.openxmlformats.org/officeDocument/2006/relationships" ref="C63" r:id="rId428"/>
    <hyperlink xmlns:r="http://schemas.openxmlformats.org/officeDocument/2006/relationships" ref="D63" r:id="rId429"/>
    <hyperlink xmlns:r="http://schemas.openxmlformats.org/officeDocument/2006/relationships" ref="H63" r:id="rId430"/>
    <hyperlink xmlns:r="http://schemas.openxmlformats.org/officeDocument/2006/relationships" ref="AM63" r:id="rId431"/>
    <hyperlink xmlns:r="http://schemas.openxmlformats.org/officeDocument/2006/relationships" ref="AV63" r:id="rId432"/>
    <hyperlink xmlns:r="http://schemas.openxmlformats.org/officeDocument/2006/relationships" ref="C64" r:id="rId433"/>
    <hyperlink xmlns:r="http://schemas.openxmlformats.org/officeDocument/2006/relationships" ref="D64" r:id="rId434"/>
    <hyperlink xmlns:r="http://schemas.openxmlformats.org/officeDocument/2006/relationships" ref="H64" r:id="rId435"/>
    <hyperlink xmlns:r="http://schemas.openxmlformats.org/officeDocument/2006/relationships" ref="AM64" r:id="rId436"/>
    <hyperlink xmlns:r="http://schemas.openxmlformats.org/officeDocument/2006/relationships" ref="AV64" r:id="rId437"/>
    <hyperlink xmlns:r="http://schemas.openxmlformats.org/officeDocument/2006/relationships" ref="C65" r:id="rId438"/>
    <hyperlink xmlns:r="http://schemas.openxmlformats.org/officeDocument/2006/relationships" ref="D65" r:id="rId439"/>
    <hyperlink xmlns:r="http://schemas.openxmlformats.org/officeDocument/2006/relationships" ref="H65" r:id="rId440"/>
    <hyperlink xmlns:r="http://schemas.openxmlformats.org/officeDocument/2006/relationships" ref="AM65" r:id="rId441"/>
    <hyperlink xmlns:r="http://schemas.openxmlformats.org/officeDocument/2006/relationships" ref="AV65" r:id="rId442"/>
    <hyperlink xmlns:r="http://schemas.openxmlformats.org/officeDocument/2006/relationships" ref="C66" r:id="rId443"/>
    <hyperlink xmlns:r="http://schemas.openxmlformats.org/officeDocument/2006/relationships" ref="D66" r:id="rId444"/>
    <hyperlink xmlns:r="http://schemas.openxmlformats.org/officeDocument/2006/relationships" ref="H66" r:id="rId445"/>
    <hyperlink xmlns:r="http://schemas.openxmlformats.org/officeDocument/2006/relationships" ref="AM66" r:id="rId446"/>
    <hyperlink xmlns:r="http://schemas.openxmlformats.org/officeDocument/2006/relationships" ref="AV66" r:id="rId447"/>
    <hyperlink xmlns:r="http://schemas.openxmlformats.org/officeDocument/2006/relationships" ref="C67" r:id="rId448"/>
    <hyperlink xmlns:r="http://schemas.openxmlformats.org/officeDocument/2006/relationships" ref="D67" r:id="rId449"/>
    <hyperlink xmlns:r="http://schemas.openxmlformats.org/officeDocument/2006/relationships" ref="H67" r:id="rId450"/>
    <hyperlink xmlns:r="http://schemas.openxmlformats.org/officeDocument/2006/relationships" ref="AM67" r:id="rId451"/>
    <hyperlink xmlns:r="http://schemas.openxmlformats.org/officeDocument/2006/relationships" ref="AV67" r:id="rId452"/>
    <hyperlink xmlns:r="http://schemas.openxmlformats.org/officeDocument/2006/relationships" ref="C68" r:id="rId453"/>
    <hyperlink xmlns:r="http://schemas.openxmlformats.org/officeDocument/2006/relationships" ref="D68" r:id="rId454"/>
    <hyperlink xmlns:r="http://schemas.openxmlformats.org/officeDocument/2006/relationships" ref="H68" r:id="rId455"/>
    <hyperlink xmlns:r="http://schemas.openxmlformats.org/officeDocument/2006/relationships" ref="AM68" r:id="rId456"/>
    <hyperlink xmlns:r="http://schemas.openxmlformats.org/officeDocument/2006/relationships" ref="AV68" r:id="rId457"/>
    <hyperlink xmlns:r="http://schemas.openxmlformats.org/officeDocument/2006/relationships" ref="C69" r:id="rId458"/>
    <hyperlink xmlns:r="http://schemas.openxmlformats.org/officeDocument/2006/relationships" ref="D69" r:id="rId459"/>
    <hyperlink xmlns:r="http://schemas.openxmlformats.org/officeDocument/2006/relationships" ref="H69" r:id="rId460"/>
    <hyperlink xmlns:r="http://schemas.openxmlformats.org/officeDocument/2006/relationships" ref="AM69" r:id="rId461"/>
    <hyperlink xmlns:r="http://schemas.openxmlformats.org/officeDocument/2006/relationships" ref="AV69" r:id="rId462"/>
    <hyperlink xmlns:r="http://schemas.openxmlformats.org/officeDocument/2006/relationships" ref="C70" r:id="rId463"/>
    <hyperlink xmlns:r="http://schemas.openxmlformats.org/officeDocument/2006/relationships" ref="D70" r:id="rId464"/>
    <hyperlink xmlns:r="http://schemas.openxmlformats.org/officeDocument/2006/relationships" ref="H70" r:id="rId465"/>
    <hyperlink xmlns:r="http://schemas.openxmlformats.org/officeDocument/2006/relationships" ref="AM70" r:id="rId466"/>
    <hyperlink xmlns:r="http://schemas.openxmlformats.org/officeDocument/2006/relationships" ref="AV70" r:id="rId467"/>
    <hyperlink xmlns:r="http://schemas.openxmlformats.org/officeDocument/2006/relationships" ref="C71" r:id="rId468"/>
    <hyperlink xmlns:r="http://schemas.openxmlformats.org/officeDocument/2006/relationships" ref="D71" r:id="rId469"/>
    <hyperlink xmlns:r="http://schemas.openxmlformats.org/officeDocument/2006/relationships" ref="H71" r:id="rId470"/>
    <hyperlink xmlns:r="http://schemas.openxmlformats.org/officeDocument/2006/relationships" ref="AM71" r:id="rId471"/>
    <hyperlink xmlns:r="http://schemas.openxmlformats.org/officeDocument/2006/relationships" ref="AV71" r:id="rId472"/>
    <hyperlink xmlns:r="http://schemas.openxmlformats.org/officeDocument/2006/relationships" ref="C72" r:id="rId473"/>
    <hyperlink xmlns:r="http://schemas.openxmlformats.org/officeDocument/2006/relationships" ref="D72" r:id="rId474"/>
    <hyperlink xmlns:r="http://schemas.openxmlformats.org/officeDocument/2006/relationships" ref="H72" r:id="rId475"/>
    <hyperlink xmlns:r="http://schemas.openxmlformats.org/officeDocument/2006/relationships" ref="AM72" r:id="rId476"/>
    <hyperlink xmlns:r="http://schemas.openxmlformats.org/officeDocument/2006/relationships" ref="AV72" r:id="rId477"/>
    <hyperlink xmlns:r="http://schemas.openxmlformats.org/officeDocument/2006/relationships" ref="C73" r:id="rId478"/>
    <hyperlink xmlns:r="http://schemas.openxmlformats.org/officeDocument/2006/relationships" ref="D73" r:id="rId479"/>
    <hyperlink xmlns:r="http://schemas.openxmlformats.org/officeDocument/2006/relationships" ref="H73" r:id="rId480"/>
    <hyperlink xmlns:r="http://schemas.openxmlformats.org/officeDocument/2006/relationships" ref="AM73" r:id="rId481"/>
    <hyperlink xmlns:r="http://schemas.openxmlformats.org/officeDocument/2006/relationships" ref="AV73" r:id="rId482"/>
    <hyperlink xmlns:r="http://schemas.openxmlformats.org/officeDocument/2006/relationships" ref="C74" r:id="rId483"/>
    <hyperlink xmlns:r="http://schemas.openxmlformats.org/officeDocument/2006/relationships" ref="D74" r:id="rId484"/>
    <hyperlink xmlns:r="http://schemas.openxmlformats.org/officeDocument/2006/relationships" ref="H74" r:id="rId485"/>
    <hyperlink xmlns:r="http://schemas.openxmlformats.org/officeDocument/2006/relationships" ref="AM74" r:id="rId486"/>
    <hyperlink xmlns:r="http://schemas.openxmlformats.org/officeDocument/2006/relationships" ref="AV74" r:id="rId487"/>
    <hyperlink xmlns:r="http://schemas.openxmlformats.org/officeDocument/2006/relationships" ref="C75" r:id="rId488"/>
    <hyperlink xmlns:r="http://schemas.openxmlformats.org/officeDocument/2006/relationships" ref="D75" r:id="rId489"/>
    <hyperlink xmlns:r="http://schemas.openxmlformats.org/officeDocument/2006/relationships" ref="H75" r:id="rId490"/>
    <hyperlink xmlns:r="http://schemas.openxmlformats.org/officeDocument/2006/relationships" ref="AM75" r:id="rId491"/>
    <hyperlink xmlns:r="http://schemas.openxmlformats.org/officeDocument/2006/relationships" ref="AV75" r:id="rId492"/>
    <hyperlink xmlns:r="http://schemas.openxmlformats.org/officeDocument/2006/relationships" ref="C76" r:id="rId493"/>
    <hyperlink xmlns:r="http://schemas.openxmlformats.org/officeDocument/2006/relationships" ref="D76" r:id="rId494"/>
    <hyperlink xmlns:r="http://schemas.openxmlformats.org/officeDocument/2006/relationships" ref="H76" r:id="rId495"/>
    <hyperlink xmlns:r="http://schemas.openxmlformats.org/officeDocument/2006/relationships" ref="AM76" r:id="rId496"/>
    <hyperlink xmlns:r="http://schemas.openxmlformats.org/officeDocument/2006/relationships" ref="AV76" r:id="rId497"/>
    <hyperlink xmlns:r="http://schemas.openxmlformats.org/officeDocument/2006/relationships" ref="C77" r:id="rId498"/>
    <hyperlink xmlns:r="http://schemas.openxmlformats.org/officeDocument/2006/relationships" ref="D77" r:id="rId499"/>
    <hyperlink xmlns:r="http://schemas.openxmlformats.org/officeDocument/2006/relationships" ref="H77" r:id="rId500"/>
    <hyperlink xmlns:r="http://schemas.openxmlformats.org/officeDocument/2006/relationships" ref="AM77" r:id="rId501"/>
    <hyperlink xmlns:r="http://schemas.openxmlformats.org/officeDocument/2006/relationships" ref="AV77" r:id="rId502"/>
    <hyperlink xmlns:r="http://schemas.openxmlformats.org/officeDocument/2006/relationships" ref="C78" r:id="rId503"/>
    <hyperlink xmlns:r="http://schemas.openxmlformats.org/officeDocument/2006/relationships" ref="D78" r:id="rId504"/>
    <hyperlink xmlns:r="http://schemas.openxmlformats.org/officeDocument/2006/relationships" ref="H78" r:id="rId505"/>
    <hyperlink xmlns:r="http://schemas.openxmlformats.org/officeDocument/2006/relationships" ref="AM78" r:id="rId506"/>
    <hyperlink xmlns:r="http://schemas.openxmlformats.org/officeDocument/2006/relationships" ref="AV78" r:id="rId507"/>
    <hyperlink xmlns:r="http://schemas.openxmlformats.org/officeDocument/2006/relationships" ref="C79" r:id="rId508"/>
    <hyperlink xmlns:r="http://schemas.openxmlformats.org/officeDocument/2006/relationships" ref="D79" r:id="rId509"/>
    <hyperlink xmlns:r="http://schemas.openxmlformats.org/officeDocument/2006/relationships" ref="H79" r:id="rId510"/>
    <hyperlink xmlns:r="http://schemas.openxmlformats.org/officeDocument/2006/relationships" ref="AM79" r:id="rId511"/>
    <hyperlink xmlns:r="http://schemas.openxmlformats.org/officeDocument/2006/relationships" ref="AV79" r:id="rId512"/>
    <hyperlink xmlns:r="http://schemas.openxmlformats.org/officeDocument/2006/relationships" ref="C80" r:id="rId513"/>
    <hyperlink xmlns:r="http://schemas.openxmlformats.org/officeDocument/2006/relationships" ref="D80" r:id="rId514"/>
    <hyperlink xmlns:r="http://schemas.openxmlformats.org/officeDocument/2006/relationships" ref="H80" r:id="rId515"/>
    <hyperlink xmlns:r="http://schemas.openxmlformats.org/officeDocument/2006/relationships" ref="AM80" r:id="rId516"/>
    <hyperlink xmlns:r="http://schemas.openxmlformats.org/officeDocument/2006/relationships" ref="AV80" r:id="rId517"/>
    <hyperlink xmlns:r="http://schemas.openxmlformats.org/officeDocument/2006/relationships" ref="C81" r:id="rId518"/>
    <hyperlink xmlns:r="http://schemas.openxmlformats.org/officeDocument/2006/relationships" ref="D81" r:id="rId519"/>
    <hyperlink xmlns:r="http://schemas.openxmlformats.org/officeDocument/2006/relationships" ref="H81" r:id="rId520"/>
    <hyperlink xmlns:r="http://schemas.openxmlformats.org/officeDocument/2006/relationships" ref="AM81" r:id="rId521"/>
    <hyperlink xmlns:r="http://schemas.openxmlformats.org/officeDocument/2006/relationships" ref="AV81" r:id="rId522"/>
    <hyperlink xmlns:r="http://schemas.openxmlformats.org/officeDocument/2006/relationships" ref="C82" r:id="rId523"/>
    <hyperlink xmlns:r="http://schemas.openxmlformats.org/officeDocument/2006/relationships" ref="D82" r:id="rId524"/>
    <hyperlink xmlns:r="http://schemas.openxmlformats.org/officeDocument/2006/relationships" ref="H82" r:id="rId525"/>
    <hyperlink xmlns:r="http://schemas.openxmlformats.org/officeDocument/2006/relationships" ref="AM82" r:id="rId526"/>
    <hyperlink xmlns:r="http://schemas.openxmlformats.org/officeDocument/2006/relationships" ref="AV82" r:id="rId527"/>
    <hyperlink xmlns:r="http://schemas.openxmlformats.org/officeDocument/2006/relationships" ref="C83" r:id="rId528"/>
    <hyperlink xmlns:r="http://schemas.openxmlformats.org/officeDocument/2006/relationships" ref="D83" r:id="rId529"/>
    <hyperlink xmlns:r="http://schemas.openxmlformats.org/officeDocument/2006/relationships" ref="H83" r:id="rId530"/>
    <hyperlink xmlns:r="http://schemas.openxmlformats.org/officeDocument/2006/relationships" ref="AM83" r:id="rId531"/>
    <hyperlink xmlns:r="http://schemas.openxmlformats.org/officeDocument/2006/relationships" ref="AV83" r:id="rId532"/>
    <hyperlink xmlns:r="http://schemas.openxmlformats.org/officeDocument/2006/relationships" ref="C84" r:id="rId533"/>
    <hyperlink xmlns:r="http://schemas.openxmlformats.org/officeDocument/2006/relationships" ref="D84" r:id="rId534"/>
    <hyperlink xmlns:r="http://schemas.openxmlformats.org/officeDocument/2006/relationships" ref="H84" r:id="rId535"/>
    <hyperlink xmlns:r="http://schemas.openxmlformats.org/officeDocument/2006/relationships" ref="AM84" r:id="rId536"/>
    <hyperlink xmlns:r="http://schemas.openxmlformats.org/officeDocument/2006/relationships" ref="AV84" r:id="rId537"/>
    <hyperlink xmlns:r="http://schemas.openxmlformats.org/officeDocument/2006/relationships" ref="C85" r:id="rId538"/>
    <hyperlink xmlns:r="http://schemas.openxmlformats.org/officeDocument/2006/relationships" ref="D85" r:id="rId539"/>
    <hyperlink xmlns:r="http://schemas.openxmlformats.org/officeDocument/2006/relationships" ref="H85" r:id="rId540"/>
    <hyperlink xmlns:r="http://schemas.openxmlformats.org/officeDocument/2006/relationships" ref="AM85" r:id="rId541"/>
    <hyperlink xmlns:r="http://schemas.openxmlformats.org/officeDocument/2006/relationships" ref="AV85" r:id="rId542"/>
    <hyperlink xmlns:r="http://schemas.openxmlformats.org/officeDocument/2006/relationships" ref="C86" r:id="rId543"/>
    <hyperlink xmlns:r="http://schemas.openxmlformats.org/officeDocument/2006/relationships" ref="D86" r:id="rId544"/>
    <hyperlink xmlns:r="http://schemas.openxmlformats.org/officeDocument/2006/relationships" ref="H86" r:id="rId545"/>
    <hyperlink xmlns:r="http://schemas.openxmlformats.org/officeDocument/2006/relationships" ref="AM86" r:id="rId546"/>
    <hyperlink xmlns:r="http://schemas.openxmlformats.org/officeDocument/2006/relationships" ref="AV86" r:id="rId547"/>
    <hyperlink xmlns:r="http://schemas.openxmlformats.org/officeDocument/2006/relationships" ref="C87" r:id="rId548"/>
    <hyperlink xmlns:r="http://schemas.openxmlformats.org/officeDocument/2006/relationships" ref="D87" r:id="rId549"/>
    <hyperlink xmlns:r="http://schemas.openxmlformats.org/officeDocument/2006/relationships" ref="H87" r:id="rId550"/>
    <hyperlink xmlns:r="http://schemas.openxmlformats.org/officeDocument/2006/relationships" ref="AM87" r:id="rId551"/>
    <hyperlink xmlns:r="http://schemas.openxmlformats.org/officeDocument/2006/relationships" ref="AV87" r:id="rId552"/>
    <hyperlink xmlns:r="http://schemas.openxmlformats.org/officeDocument/2006/relationships" ref="C88" r:id="rId553"/>
    <hyperlink xmlns:r="http://schemas.openxmlformats.org/officeDocument/2006/relationships" ref="D88" r:id="rId554"/>
    <hyperlink xmlns:r="http://schemas.openxmlformats.org/officeDocument/2006/relationships" ref="H88" r:id="rId555"/>
    <hyperlink xmlns:r="http://schemas.openxmlformats.org/officeDocument/2006/relationships" ref="AM88" r:id="rId556"/>
    <hyperlink xmlns:r="http://schemas.openxmlformats.org/officeDocument/2006/relationships" ref="AV88" r:id="rId557"/>
    <hyperlink xmlns:r="http://schemas.openxmlformats.org/officeDocument/2006/relationships" ref="C89" r:id="rId558"/>
    <hyperlink xmlns:r="http://schemas.openxmlformats.org/officeDocument/2006/relationships" ref="D89" r:id="rId559"/>
    <hyperlink xmlns:r="http://schemas.openxmlformats.org/officeDocument/2006/relationships" ref="H89" r:id="rId560"/>
    <hyperlink xmlns:r="http://schemas.openxmlformats.org/officeDocument/2006/relationships" ref="AM89" r:id="rId561"/>
    <hyperlink xmlns:r="http://schemas.openxmlformats.org/officeDocument/2006/relationships" ref="AV89" r:id="rId562"/>
    <hyperlink xmlns:r="http://schemas.openxmlformats.org/officeDocument/2006/relationships" ref="C90" r:id="rId563"/>
    <hyperlink xmlns:r="http://schemas.openxmlformats.org/officeDocument/2006/relationships" ref="D90" r:id="rId564"/>
    <hyperlink xmlns:r="http://schemas.openxmlformats.org/officeDocument/2006/relationships" ref="H90" r:id="rId565"/>
    <hyperlink xmlns:r="http://schemas.openxmlformats.org/officeDocument/2006/relationships" ref="AM90" r:id="rId566"/>
    <hyperlink xmlns:r="http://schemas.openxmlformats.org/officeDocument/2006/relationships" ref="AV90" r:id="rId567"/>
    <hyperlink xmlns:r="http://schemas.openxmlformats.org/officeDocument/2006/relationships" ref="C91" r:id="rId568"/>
    <hyperlink xmlns:r="http://schemas.openxmlformats.org/officeDocument/2006/relationships" ref="D91" r:id="rId569"/>
    <hyperlink xmlns:r="http://schemas.openxmlformats.org/officeDocument/2006/relationships" ref="H91" r:id="rId570"/>
    <hyperlink xmlns:r="http://schemas.openxmlformats.org/officeDocument/2006/relationships" ref="AM91" r:id="rId571"/>
    <hyperlink xmlns:r="http://schemas.openxmlformats.org/officeDocument/2006/relationships" ref="AV91" r:id="rId572"/>
    <hyperlink xmlns:r="http://schemas.openxmlformats.org/officeDocument/2006/relationships" ref="C92" r:id="rId573"/>
    <hyperlink xmlns:r="http://schemas.openxmlformats.org/officeDocument/2006/relationships" ref="D92" r:id="rId574"/>
    <hyperlink xmlns:r="http://schemas.openxmlformats.org/officeDocument/2006/relationships" ref="H92" r:id="rId575"/>
    <hyperlink xmlns:r="http://schemas.openxmlformats.org/officeDocument/2006/relationships" ref="AM92" r:id="rId576"/>
    <hyperlink xmlns:r="http://schemas.openxmlformats.org/officeDocument/2006/relationships" ref="AR92" r:id="rId577"/>
    <hyperlink xmlns:r="http://schemas.openxmlformats.org/officeDocument/2006/relationships" ref="AV92" r:id="rId578"/>
    <hyperlink xmlns:r="http://schemas.openxmlformats.org/officeDocument/2006/relationships" ref="C93" r:id="rId579"/>
    <hyperlink xmlns:r="http://schemas.openxmlformats.org/officeDocument/2006/relationships" ref="D93" r:id="rId580"/>
    <hyperlink xmlns:r="http://schemas.openxmlformats.org/officeDocument/2006/relationships" ref="H93" r:id="rId581"/>
    <hyperlink xmlns:r="http://schemas.openxmlformats.org/officeDocument/2006/relationships" ref="AM93" r:id="rId582"/>
    <hyperlink xmlns:r="http://schemas.openxmlformats.org/officeDocument/2006/relationships" ref="AV93" r:id="rId583"/>
    <hyperlink xmlns:r="http://schemas.openxmlformats.org/officeDocument/2006/relationships" ref="C94" r:id="rId584"/>
    <hyperlink xmlns:r="http://schemas.openxmlformats.org/officeDocument/2006/relationships" ref="D94" r:id="rId585"/>
    <hyperlink xmlns:r="http://schemas.openxmlformats.org/officeDocument/2006/relationships" ref="H94" r:id="rId586"/>
    <hyperlink xmlns:r="http://schemas.openxmlformats.org/officeDocument/2006/relationships" ref="AM94" r:id="rId587"/>
    <hyperlink xmlns:r="http://schemas.openxmlformats.org/officeDocument/2006/relationships" ref="AV94" r:id="rId588"/>
    <hyperlink xmlns:r="http://schemas.openxmlformats.org/officeDocument/2006/relationships" ref="C95" r:id="rId589"/>
    <hyperlink xmlns:r="http://schemas.openxmlformats.org/officeDocument/2006/relationships" ref="D95" r:id="rId590"/>
    <hyperlink xmlns:r="http://schemas.openxmlformats.org/officeDocument/2006/relationships" ref="H95" r:id="rId591"/>
    <hyperlink xmlns:r="http://schemas.openxmlformats.org/officeDocument/2006/relationships" ref="AM95" r:id="rId592"/>
    <hyperlink xmlns:r="http://schemas.openxmlformats.org/officeDocument/2006/relationships" ref="AV95" r:id="rId593"/>
    <hyperlink xmlns:r="http://schemas.openxmlformats.org/officeDocument/2006/relationships" ref="C96" r:id="rId594"/>
    <hyperlink xmlns:r="http://schemas.openxmlformats.org/officeDocument/2006/relationships" ref="D96" r:id="rId595"/>
    <hyperlink xmlns:r="http://schemas.openxmlformats.org/officeDocument/2006/relationships" ref="H96" r:id="rId596"/>
    <hyperlink xmlns:r="http://schemas.openxmlformats.org/officeDocument/2006/relationships" ref="AM96" r:id="rId597"/>
    <hyperlink xmlns:r="http://schemas.openxmlformats.org/officeDocument/2006/relationships" ref="AV96" r:id="rId598"/>
    <hyperlink xmlns:r="http://schemas.openxmlformats.org/officeDocument/2006/relationships" ref="C97" r:id="rId599"/>
    <hyperlink xmlns:r="http://schemas.openxmlformats.org/officeDocument/2006/relationships" ref="D97" r:id="rId600"/>
    <hyperlink xmlns:r="http://schemas.openxmlformats.org/officeDocument/2006/relationships" ref="H97" r:id="rId601"/>
    <hyperlink xmlns:r="http://schemas.openxmlformats.org/officeDocument/2006/relationships" ref="AM97" r:id="rId602"/>
    <hyperlink xmlns:r="http://schemas.openxmlformats.org/officeDocument/2006/relationships" ref="AR97" r:id="rId603"/>
    <hyperlink xmlns:r="http://schemas.openxmlformats.org/officeDocument/2006/relationships" ref="AV97" r:id="rId604"/>
    <hyperlink xmlns:r="http://schemas.openxmlformats.org/officeDocument/2006/relationships" ref="C98" r:id="rId605"/>
    <hyperlink xmlns:r="http://schemas.openxmlformats.org/officeDocument/2006/relationships" ref="D98" r:id="rId606"/>
    <hyperlink xmlns:r="http://schemas.openxmlformats.org/officeDocument/2006/relationships" ref="H98" r:id="rId607"/>
    <hyperlink xmlns:r="http://schemas.openxmlformats.org/officeDocument/2006/relationships" ref="AM98" r:id="rId608"/>
    <hyperlink xmlns:r="http://schemas.openxmlformats.org/officeDocument/2006/relationships" ref="AV98" r:id="rId609"/>
    <hyperlink xmlns:r="http://schemas.openxmlformats.org/officeDocument/2006/relationships" ref="C99" r:id="rId610"/>
    <hyperlink xmlns:r="http://schemas.openxmlformats.org/officeDocument/2006/relationships" ref="D99" r:id="rId611"/>
    <hyperlink xmlns:r="http://schemas.openxmlformats.org/officeDocument/2006/relationships" ref="H99" r:id="rId612"/>
    <hyperlink xmlns:r="http://schemas.openxmlformats.org/officeDocument/2006/relationships" ref="AM99" r:id="rId613"/>
    <hyperlink xmlns:r="http://schemas.openxmlformats.org/officeDocument/2006/relationships" ref="AV99" r:id="rId614"/>
    <hyperlink xmlns:r="http://schemas.openxmlformats.org/officeDocument/2006/relationships" ref="C100" r:id="rId615"/>
    <hyperlink xmlns:r="http://schemas.openxmlformats.org/officeDocument/2006/relationships" ref="D100" r:id="rId616"/>
    <hyperlink xmlns:r="http://schemas.openxmlformats.org/officeDocument/2006/relationships" ref="H100" r:id="rId617"/>
    <hyperlink xmlns:r="http://schemas.openxmlformats.org/officeDocument/2006/relationships" ref="AM100" r:id="rId618"/>
    <hyperlink xmlns:r="http://schemas.openxmlformats.org/officeDocument/2006/relationships" ref="AV100" r:id="rId619"/>
    <hyperlink xmlns:r="http://schemas.openxmlformats.org/officeDocument/2006/relationships" ref="C101" r:id="rId620"/>
    <hyperlink xmlns:r="http://schemas.openxmlformats.org/officeDocument/2006/relationships" ref="D101" r:id="rId621"/>
    <hyperlink xmlns:r="http://schemas.openxmlformats.org/officeDocument/2006/relationships" ref="H101" r:id="rId622"/>
    <hyperlink xmlns:r="http://schemas.openxmlformats.org/officeDocument/2006/relationships" ref="AM101" r:id="rId623"/>
    <hyperlink xmlns:r="http://schemas.openxmlformats.org/officeDocument/2006/relationships" ref="AV101" r:id="rId624"/>
    <hyperlink xmlns:r="http://schemas.openxmlformats.org/officeDocument/2006/relationships" ref="C102" r:id="rId625"/>
    <hyperlink xmlns:r="http://schemas.openxmlformats.org/officeDocument/2006/relationships" ref="D102" r:id="rId626"/>
    <hyperlink xmlns:r="http://schemas.openxmlformats.org/officeDocument/2006/relationships" ref="H102" r:id="rId627"/>
    <hyperlink xmlns:r="http://schemas.openxmlformats.org/officeDocument/2006/relationships" ref="AM102" r:id="rId628"/>
    <hyperlink xmlns:r="http://schemas.openxmlformats.org/officeDocument/2006/relationships" ref="AV102" r:id="rId629"/>
    <hyperlink xmlns:r="http://schemas.openxmlformats.org/officeDocument/2006/relationships" ref="C103" r:id="rId630"/>
    <hyperlink xmlns:r="http://schemas.openxmlformats.org/officeDocument/2006/relationships" ref="D103" r:id="rId631"/>
    <hyperlink xmlns:r="http://schemas.openxmlformats.org/officeDocument/2006/relationships" ref="H103" r:id="rId632"/>
    <hyperlink xmlns:r="http://schemas.openxmlformats.org/officeDocument/2006/relationships" ref="AM103" r:id="rId633"/>
    <hyperlink xmlns:r="http://schemas.openxmlformats.org/officeDocument/2006/relationships" ref="AV103" r:id="rId634"/>
    <hyperlink xmlns:r="http://schemas.openxmlformats.org/officeDocument/2006/relationships" ref="C104" r:id="rId635"/>
    <hyperlink xmlns:r="http://schemas.openxmlformats.org/officeDocument/2006/relationships" ref="D104" r:id="rId636"/>
    <hyperlink xmlns:r="http://schemas.openxmlformats.org/officeDocument/2006/relationships" ref="H104" r:id="rId637"/>
    <hyperlink xmlns:r="http://schemas.openxmlformats.org/officeDocument/2006/relationships" ref="AM104" r:id="rId638"/>
    <hyperlink xmlns:r="http://schemas.openxmlformats.org/officeDocument/2006/relationships" ref="AV104" r:id="rId639"/>
    <hyperlink xmlns:r="http://schemas.openxmlformats.org/officeDocument/2006/relationships" ref="C105" r:id="rId640"/>
    <hyperlink xmlns:r="http://schemas.openxmlformats.org/officeDocument/2006/relationships" ref="D105" r:id="rId641"/>
    <hyperlink xmlns:r="http://schemas.openxmlformats.org/officeDocument/2006/relationships" ref="H105" r:id="rId642"/>
    <hyperlink xmlns:r="http://schemas.openxmlformats.org/officeDocument/2006/relationships" ref="AM105" r:id="rId643"/>
    <hyperlink xmlns:r="http://schemas.openxmlformats.org/officeDocument/2006/relationships" ref="AV105" r:id="rId644"/>
    <hyperlink xmlns:r="http://schemas.openxmlformats.org/officeDocument/2006/relationships" ref="C106" r:id="rId645"/>
    <hyperlink xmlns:r="http://schemas.openxmlformats.org/officeDocument/2006/relationships" ref="D106" r:id="rId646"/>
    <hyperlink xmlns:r="http://schemas.openxmlformats.org/officeDocument/2006/relationships" ref="H106" r:id="rId647"/>
    <hyperlink xmlns:r="http://schemas.openxmlformats.org/officeDocument/2006/relationships" ref="AM106" r:id="rId648"/>
    <hyperlink xmlns:r="http://schemas.openxmlformats.org/officeDocument/2006/relationships" ref="AV106" r:id="rId649"/>
    <hyperlink xmlns:r="http://schemas.openxmlformats.org/officeDocument/2006/relationships" ref="C107" r:id="rId650"/>
    <hyperlink xmlns:r="http://schemas.openxmlformats.org/officeDocument/2006/relationships" ref="D107" r:id="rId651"/>
    <hyperlink xmlns:r="http://schemas.openxmlformats.org/officeDocument/2006/relationships" ref="H107" r:id="rId652"/>
    <hyperlink xmlns:r="http://schemas.openxmlformats.org/officeDocument/2006/relationships" ref="AM107" r:id="rId653"/>
    <hyperlink xmlns:r="http://schemas.openxmlformats.org/officeDocument/2006/relationships" ref="AV107" r:id="rId654"/>
    <hyperlink xmlns:r="http://schemas.openxmlformats.org/officeDocument/2006/relationships" ref="C108" r:id="rId655"/>
    <hyperlink xmlns:r="http://schemas.openxmlformats.org/officeDocument/2006/relationships" ref="D108" r:id="rId656"/>
    <hyperlink xmlns:r="http://schemas.openxmlformats.org/officeDocument/2006/relationships" ref="H108" r:id="rId657"/>
    <hyperlink xmlns:r="http://schemas.openxmlformats.org/officeDocument/2006/relationships" ref="AM108" r:id="rId658"/>
    <hyperlink xmlns:r="http://schemas.openxmlformats.org/officeDocument/2006/relationships" ref="AV108" r:id="rId659"/>
    <hyperlink xmlns:r="http://schemas.openxmlformats.org/officeDocument/2006/relationships" ref="C109" r:id="rId660"/>
    <hyperlink xmlns:r="http://schemas.openxmlformats.org/officeDocument/2006/relationships" ref="D109" r:id="rId661"/>
    <hyperlink xmlns:r="http://schemas.openxmlformats.org/officeDocument/2006/relationships" ref="H109" r:id="rId662"/>
    <hyperlink xmlns:r="http://schemas.openxmlformats.org/officeDocument/2006/relationships" ref="AM109" r:id="rId663"/>
    <hyperlink xmlns:r="http://schemas.openxmlformats.org/officeDocument/2006/relationships" ref="AV109" r:id="rId664"/>
    <hyperlink xmlns:r="http://schemas.openxmlformats.org/officeDocument/2006/relationships" ref="C110" r:id="rId665"/>
    <hyperlink xmlns:r="http://schemas.openxmlformats.org/officeDocument/2006/relationships" ref="D110" r:id="rId666"/>
    <hyperlink xmlns:r="http://schemas.openxmlformats.org/officeDocument/2006/relationships" ref="H110" r:id="rId667"/>
    <hyperlink xmlns:r="http://schemas.openxmlformats.org/officeDocument/2006/relationships" ref="AM110" r:id="rId668"/>
    <hyperlink xmlns:r="http://schemas.openxmlformats.org/officeDocument/2006/relationships" ref="AV110" r:id="rId669"/>
    <hyperlink xmlns:r="http://schemas.openxmlformats.org/officeDocument/2006/relationships" ref="C111" r:id="rId670"/>
    <hyperlink xmlns:r="http://schemas.openxmlformats.org/officeDocument/2006/relationships" ref="D111" r:id="rId671"/>
    <hyperlink xmlns:r="http://schemas.openxmlformats.org/officeDocument/2006/relationships" ref="H111" r:id="rId672"/>
    <hyperlink xmlns:r="http://schemas.openxmlformats.org/officeDocument/2006/relationships" ref="AM111" r:id="rId673"/>
    <hyperlink xmlns:r="http://schemas.openxmlformats.org/officeDocument/2006/relationships" ref="AR111" r:id="rId674"/>
    <hyperlink xmlns:r="http://schemas.openxmlformats.org/officeDocument/2006/relationships" ref="AV111" r:id="rId675"/>
    <hyperlink xmlns:r="http://schemas.openxmlformats.org/officeDocument/2006/relationships" ref="C112" r:id="rId676"/>
    <hyperlink xmlns:r="http://schemas.openxmlformats.org/officeDocument/2006/relationships" ref="D112" r:id="rId677"/>
    <hyperlink xmlns:r="http://schemas.openxmlformats.org/officeDocument/2006/relationships" ref="H112" r:id="rId678"/>
    <hyperlink xmlns:r="http://schemas.openxmlformats.org/officeDocument/2006/relationships" ref="AM112" r:id="rId679"/>
    <hyperlink xmlns:r="http://schemas.openxmlformats.org/officeDocument/2006/relationships" ref="AV112" r:id="rId680"/>
    <hyperlink xmlns:r="http://schemas.openxmlformats.org/officeDocument/2006/relationships" ref="C113" r:id="rId681"/>
    <hyperlink xmlns:r="http://schemas.openxmlformats.org/officeDocument/2006/relationships" ref="D113" r:id="rId682"/>
    <hyperlink xmlns:r="http://schemas.openxmlformats.org/officeDocument/2006/relationships" ref="H113" r:id="rId683"/>
    <hyperlink xmlns:r="http://schemas.openxmlformats.org/officeDocument/2006/relationships" ref="AM113" r:id="rId684"/>
    <hyperlink xmlns:r="http://schemas.openxmlformats.org/officeDocument/2006/relationships" ref="AV113" r:id="rId685"/>
    <hyperlink xmlns:r="http://schemas.openxmlformats.org/officeDocument/2006/relationships" ref="C114" r:id="rId686"/>
    <hyperlink xmlns:r="http://schemas.openxmlformats.org/officeDocument/2006/relationships" ref="D114" r:id="rId687"/>
    <hyperlink xmlns:r="http://schemas.openxmlformats.org/officeDocument/2006/relationships" ref="H114" r:id="rId688"/>
    <hyperlink xmlns:r="http://schemas.openxmlformats.org/officeDocument/2006/relationships" ref="AM114" r:id="rId689"/>
    <hyperlink xmlns:r="http://schemas.openxmlformats.org/officeDocument/2006/relationships" ref="AV114" r:id="rId690"/>
    <hyperlink xmlns:r="http://schemas.openxmlformats.org/officeDocument/2006/relationships" ref="C115" r:id="rId691"/>
    <hyperlink xmlns:r="http://schemas.openxmlformats.org/officeDocument/2006/relationships" ref="D115" r:id="rId692"/>
    <hyperlink xmlns:r="http://schemas.openxmlformats.org/officeDocument/2006/relationships" ref="H115" r:id="rId693"/>
    <hyperlink xmlns:r="http://schemas.openxmlformats.org/officeDocument/2006/relationships" ref="AM115" r:id="rId694"/>
    <hyperlink xmlns:r="http://schemas.openxmlformats.org/officeDocument/2006/relationships" ref="AV115" r:id="rId695"/>
    <hyperlink xmlns:r="http://schemas.openxmlformats.org/officeDocument/2006/relationships" ref="C116" r:id="rId696"/>
    <hyperlink xmlns:r="http://schemas.openxmlformats.org/officeDocument/2006/relationships" ref="D116" r:id="rId697"/>
    <hyperlink xmlns:r="http://schemas.openxmlformats.org/officeDocument/2006/relationships" ref="H116" r:id="rId698"/>
    <hyperlink xmlns:r="http://schemas.openxmlformats.org/officeDocument/2006/relationships" ref="AM116" r:id="rId699"/>
    <hyperlink xmlns:r="http://schemas.openxmlformats.org/officeDocument/2006/relationships" ref="AV116" r:id="rId700"/>
    <hyperlink xmlns:r="http://schemas.openxmlformats.org/officeDocument/2006/relationships" ref="C117" r:id="rId701"/>
    <hyperlink xmlns:r="http://schemas.openxmlformats.org/officeDocument/2006/relationships" ref="D117" r:id="rId702"/>
    <hyperlink xmlns:r="http://schemas.openxmlformats.org/officeDocument/2006/relationships" ref="H117" r:id="rId703"/>
    <hyperlink xmlns:r="http://schemas.openxmlformats.org/officeDocument/2006/relationships" ref="AM117" r:id="rId704"/>
    <hyperlink xmlns:r="http://schemas.openxmlformats.org/officeDocument/2006/relationships" ref="AR117" r:id="rId705"/>
    <hyperlink xmlns:r="http://schemas.openxmlformats.org/officeDocument/2006/relationships" ref="AV117" r:id="rId706"/>
    <hyperlink xmlns:r="http://schemas.openxmlformats.org/officeDocument/2006/relationships" ref="C118" r:id="rId707"/>
    <hyperlink xmlns:r="http://schemas.openxmlformats.org/officeDocument/2006/relationships" ref="D118" r:id="rId708"/>
    <hyperlink xmlns:r="http://schemas.openxmlformats.org/officeDocument/2006/relationships" ref="H118" r:id="rId709"/>
    <hyperlink xmlns:r="http://schemas.openxmlformats.org/officeDocument/2006/relationships" ref="AM118" r:id="rId710"/>
    <hyperlink xmlns:r="http://schemas.openxmlformats.org/officeDocument/2006/relationships" ref="AV118" r:id="rId711"/>
    <hyperlink xmlns:r="http://schemas.openxmlformats.org/officeDocument/2006/relationships" ref="C119" r:id="rId712"/>
    <hyperlink xmlns:r="http://schemas.openxmlformats.org/officeDocument/2006/relationships" ref="D119" r:id="rId713"/>
    <hyperlink xmlns:r="http://schemas.openxmlformats.org/officeDocument/2006/relationships" ref="H119" r:id="rId714"/>
    <hyperlink xmlns:r="http://schemas.openxmlformats.org/officeDocument/2006/relationships" ref="AM119" r:id="rId715"/>
    <hyperlink xmlns:r="http://schemas.openxmlformats.org/officeDocument/2006/relationships" ref="AV119" r:id="rId716"/>
    <hyperlink xmlns:r="http://schemas.openxmlformats.org/officeDocument/2006/relationships" ref="C120" r:id="rId717"/>
    <hyperlink xmlns:r="http://schemas.openxmlformats.org/officeDocument/2006/relationships" ref="D120" r:id="rId718"/>
    <hyperlink xmlns:r="http://schemas.openxmlformats.org/officeDocument/2006/relationships" ref="H120" r:id="rId719"/>
    <hyperlink xmlns:r="http://schemas.openxmlformats.org/officeDocument/2006/relationships" ref="AM120" r:id="rId720"/>
    <hyperlink xmlns:r="http://schemas.openxmlformats.org/officeDocument/2006/relationships" ref="AV120" r:id="rId721"/>
    <hyperlink xmlns:r="http://schemas.openxmlformats.org/officeDocument/2006/relationships" ref="C121" r:id="rId722"/>
    <hyperlink xmlns:r="http://schemas.openxmlformats.org/officeDocument/2006/relationships" ref="D121" r:id="rId723"/>
    <hyperlink xmlns:r="http://schemas.openxmlformats.org/officeDocument/2006/relationships" ref="H121" r:id="rId724"/>
    <hyperlink xmlns:r="http://schemas.openxmlformats.org/officeDocument/2006/relationships" ref="AM121" r:id="rId725"/>
    <hyperlink xmlns:r="http://schemas.openxmlformats.org/officeDocument/2006/relationships" ref="AV121" r:id="rId726"/>
    <hyperlink xmlns:r="http://schemas.openxmlformats.org/officeDocument/2006/relationships" ref="C122" r:id="rId727"/>
    <hyperlink xmlns:r="http://schemas.openxmlformats.org/officeDocument/2006/relationships" ref="D122" r:id="rId728"/>
    <hyperlink xmlns:r="http://schemas.openxmlformats.org/officeDocument/2006/relationships" ref="H122" r:id="rId729"/>
    <hyperlink xmlns:r="http://schemas.openxmlformats.org/officeDocument/2006/relationships" ref="AM122" r:id="rId730"/>
    <hyperlink xmlns:r="http://schemas.openxmlformats.org/officeDocument/2006/relationships" ref="AV122" r:id="rId731"/>
    <hyperlink xmlns:r="http://schemas.openxmlformats.org/officeDocument/2006/relationships" ref="C123" r:id="rId732"/>
    <hyperlink xmlns:r="http://schemas.openxmlformats.org/officeDocument/2006/relationships" ref="D123" r:id="rId733"/>
    <hyperlink xmlns:r="http://schemas.openxmlformats.org/officeDocument/2006/relationships" ref="H123" r:id="rId734"/>
    <hyperlink xmlns:r="http://schemas.openxmlformats.org/officeDocument/2006/relationships" ref="AM123" r:id="rId735"/>
    <hyperlink xmlns:r="http://schemas.openxmlformats.org/officeDocument/2006/relationships" ref="AV123" r:id="rId736"/>
    <hyperlink xmlns:r="http://schemas.openxmlformats.org/officeDocument/2006/relationships" ref="C124" r:id="rId737"/>
    <hyperlink xmlns:r="http://schemas.openxmlformats.org/officeDocument/2006/relationships" ref="D124" r:id="rId738"/>
    <hyperlink xmlns:r="http://schemas.openxmlformats.org/officeDocument/2006/relationships" ref="H124" r:id="rId739"/>
    <hyperlink xmlns:r="http://schemas.openxmlformats.org/officeDocument/2006/relationships" ref="AM124" r:id="rId740"/>
    <hyperlink xmlns:r="http://schemas.openxmlformats.org/officeDocument/2006/relationships" ref="AV124" r:id="rId741"/>
    <hyperlink xmlns:r="http://schemas.openxmlformats.org/officeDocument/2006/relationships" ref="C125" r:id="rId742"/>
    <hyperlink xmlns:r="http://schemas.openxmlformats.org/officeDocument/2006/relationships" ref="D125" r:id="rId743"/>
    <hyperlink xmlns:r="http://schemas.openxmlformats.org/officeDocument/2006/relationships" ref="H125" r:id="rId744"/>
    <hyperlink xmlns:r="http://schemas.openxmlformats.org/officeDocument/2006/relationships" ref="AM125" r:id="rId745"/>
    <hyperlink xmlns:r="http://schemas.openxmlformats.org/officeDocument/2006/relationships" ref="AV125" r:id="rId746"/>
    <hyperlink xmlns:r="http://schemas.openxmlformats.org/officeDocument/2006/relationships" ref="C126" r:id="rId747"/>
    <hyperlink xmlns:r="http://schemas.openxmlformats.org/officeDocument/2006/relationships" ref="D126" r:id="rId748"/>
    <hyperlink xmlns:r="http://schemas.openxmlformats.org/officeDocument/2006/relationships" ref="H126" r:id="rId749"/>
    <hyperlink xmlns:r="http://schemas.openxmlformats.org/officeDocument/2006/relationships" ref="AM126" r:id="rId750"/>
    <hyperlink xmlns:r="http://schemas.openxmlformats.org/officeDocument/2006/relationships" ref="AV126" r:id="rId751"/>
    <hyperlink xmlns:r="http://schemas.openxmlformats.org/officeDocument/2006/relationships" ref="C127" r:id="rId752"/>
    <hyperlink xmlns:r="http://schemas.openxmlformats.org/officeDocument/2006/relationships" ref="D127" r:id="rId753"/>
    <hyperlink xmlns:r="http://schemas.openxmlformats.org/officeDocument/2006/relationships" ref="H127" r:id="rId754"/>
    <hyperlink xmlns:r="http://schemas.openxmlformats.org/officeDocument/2006/relationships" ref="AM127" r:id="rId755"/>
    <hyperlink xmlns:r="http://schemas.openxmlformats.org/officeDocument/2006/relationships" ref="AV127" r:id="rId756"/>
    <hyperlink xmlns:r="http://schemas.openxmlformats.org/officeDocument/2006/relationships" ref="C128" r:id="rId757"/>
    <hyperlink xmlns:r="http://schemas.openxmlformats.org/officeDocument/2006/relationships" ref="D128" r:id="rId758"/>
    <hyperlink xmlns:r="http://schemas.openxmlformats.org/officeDocument/2006/relationships" ref="H128" r:id="rId759"/>
    <hyperlink xmlns:r="http://schemas.openxmlformats.org/officeDocument/2006/relationships" ref="AM128" r:id="rId760"/>
    <hyperlink xmlns:r="http://schemas.openxmlformats.org/officeDocument/2006/relationships" ref="AV128" r:id="rId761"/>
    <hyperlink xmlns:r="http://schemas.openxmlformats.org/officeDocument/2006/relationships" ref="C129" r:id="rId762"/>
    <hyperlink xmlns:r="http://schemas.openxmlformats.org/officeDocument/2006/relationships" ref="D129" r:id="rId763"/>
    <hyperlink xmlns:r="http://schemas.openxmlformats.org/officeDocument/2006/relationships" ref="H129" r:id="rId764"/>
    <hyperlink xmlns:r="http://schemas.openxmlformats.org/officeDocument/2006/relationships" ref="AM129" r:id="rId765"/>
    <hyperlink xmlns:r="http://schemas.openxmlformats.org/officeDocument/2006/relationships" ref="AV129" r:id="rId766"/>
    <hyperlink xmlns:r="http://schemas.openxmlformats.org/officeDocument/2006/relationships" ref="C130" r:id="rId767"/>
    <hyperlink xmlns:r="http://schemas.openxmlformats.org/officeDocument/2006/relationships" ref="D130" r:id="rId768"/>
    <hyperlink xmlns:r="http://schemas.openxmlformats.org/officeDocument/2006/relationships" ref="H130" r:id="rId769"/>
    <hyperlink xmlns:r="http://schemas.openxmlformats.org/officeDocument/2006/relationships" ref="AM130" r:id="rId770"/>
    <hyperlink xmlns:r="http://schemas.openxmlformats.org/officeDocument/2006/relationships" ref="AV130" r:id="rId771"/>
    <hyperlink xmlns:r="http://schemas.openxmlformats.org/officeDocument/2006/relationships" ref="C131" r:id="rId772"/>
    <hyperlink xmlns:r="http://schemas.openxmlformats.org/officeDocument/2006/relationships" ref="D131" r:id="rId773"/>
    <hyperlink xmlns:r="http://schemas.openxmlformats.org/officeDocument/2006/relationships" ref="H131" r:id="rId774"/>
    <hyperlink xmlns:r="http://schemas.openxmlformats.org/officeDocument/2006/relationships" ref="AM131" r:id="rId775"/>
    <hyperlink xmlns:r="http://schemas.openxmlformats.org/officeDocument/2006/relationships" ref="AV131" r:id="rId776"/>
    <hyperlink xmlns:r="http://schemas.openxmlformats.org/officeDocument/2006/relationships" ref="C132" r:id="rId777"/>
    <hyperlink xmlns:r="http://schemas.openxmlformats.org/officeDocument/2006/relationships" ref="D132" r:id="rId778"/>
    <hyperlink xmlns:r="http://schemas.openxmlformats.org/officeDocument/2006/relationships" ref="H132" r:id="rId779"/>
    <hyperlink xmlns:r="http://schemas.openxmlformats.org/officeDocument/2006/relationships" ref="AM132" r:id="rId780"/>
    <hyperlink xmlns:r="http://schemas.openxmlformats.org/officeDocument/2006/relationships" ref="AV132" r:id="rId781"/>
    <hyperlink xmlns:r="http://schemas.openxmlformats.org/officeDocument/2006/relationships" ref="C133" r:id="rId782"/>
    <hyperlink xmlns:r="http://schemas.openxmlformats.org/officeDocument/2006/relationships" ref="D133" r:id="rId783"/>
    <hyperlink xmlns:r="http://schemas.openxmlformats.org/officeDocument/2006/relationships" ref="H133" r:id="rId784"/>
    <hyperlink xmlns:r="http://schemas.openxmlformats.org/officeDocument/2006/relationships" ref="AM133" r:id="rId785"/>
    <hyperlink xmlns:r="http://schemas.openxmlformats.org/officeDocument/2006/relationships" ref="AV133" r:id="rId786"/>
    <hyperlink xmlns:r="http://schemas.openxmlformats.org/officeDocument/2006/relationships" ref="C134" r:id="rId787"/>
    <hyperlink xmlns:r="http://schemas.openxmlformats.org/officeDocument/2006/relationships" ref="D134" r:id="rId788"/>
    <hyperlink xmlns:r="http://schemas.openxmlformats.org/officeDocument/2006/relationships" ref="H134" r:id="rId789"/>
    <hyperlink xmlns:r="http://schemas.openxmlformats.org/officeDocument/2006/relationships" ref="AM134" r:id="rId790"/>
    <hyperlink xmlns:r="http://schemas.openxmlformats.org/officeDocument/2006/relationships" ref="AV134" r:id="rId791"/>
    <hyperlink xmlns:r="http://schemas.openxmlformats.org/officeDocument/2006/relationships" ref="C135" r:id="rId792"/>
    <hyperlink xmlns:r="http://schemas.openxmlformats.org/officeDocument/2006/relationships" ref="D135" r:id="rId793"/>
    <hyperlink xmlns:r="http://schemas.openxmlformats.org/officeDocument/2006/relationships" ref="H135" r:id="rId794"/>
    <hyperlink xmlns:r="http://schemas.openxmlformats.org/officeDocument/2006/relationships" ref="AM135" r:id="rId795"/>
    <hyperlink xmlns:r="http://schemas.openxmlformats.org/officeDocument/2006/relationships" ref="AV135" r:id="rId796"/>
    <hyperlink xmlns:r="http://schemas.openxmlformats.org/officeDocument/2006/relationships" ref="C136" r:id="rId797"/>
    <hyperlink xmlns:r="http://schemas.openxmlformats.org/officeDocument/2006/relationships" ref="D136" r:id="rId798"/>
    <hyperlink xmlns:r="http://schemas.openxmlformats.org/officeDocument/2006/relationships" ref="H136" r:id="rId799"/>
    <hyperlink xmlns:r="http://schemas.openxmlformats.org/officeDocument/2006/relationships" ref="AM136" r:id="rId800"/>
    <hyperlink xmlns:r="http://schemas.openxmlformats.org/officeDocument/2006/relationships" ref="AV136" r:id="rId801"/>
    <hyperlink xmlns:r="http://schemas.openxmlformats.org/officeDocument/2006/relationships" ref="C137" r:id="rId802"/>
    <hyperlink xmlns:r="http://schemas.openxmlformats.org/officeDocument/2006/relationships" ref="D137" r:id="rId803"/>
    <hyperlink xmlns:r="http://schemas.openxmlformats.org/officeDocument/2006/relationships" ref="H137" r:id="rId804"/>
    <hyperlink xmlns:r="http://schemas.openxmlformats.org/officeDocument/2006/relationships" ref="AM137" r:id="rId805"/>
    <hyperlink xmlns:r="http://schemas.openxmlformats.org/officeDocument/2006/relationships" ref="AV137" r:id="rId806"/>
    <hyperlink xmlns:r="http://schemas.openxmlformats.org/officeDocument/2006/relationships" ref="C138" r:id="rId807"/>
    <hyperlink xmlns:r="http://schemas.openxmlformats.org/officeDocument/2006/relationships" ref="D138" r:id="rId808"/>
    <hyperlink xmlns:r="http://schemas.openxmlformats.org/officeDocument/2006/relationships" ref="H138" r:id="rId809"/>
    <hyperlink xmlns:r="http://schemas.openxmlformats.org/officeDocument/2006/relationships" ref="AM138" r:id="rId810"/>
    <hyperlink xmlns:r="http://schemas.openxmlformats.org/officeDocument/2006/relationships" ref="AV138" r:id="rId811"/>
    <hyperlink xmlns:r="http://schemas.openxmlformats.org/officeDocument/2006/relationships" ref="C139" r:id="rId812"/>
    <hyperlink xmlns:r="http://schemas.openxmlformats.org/officeDocument/2006/relationships" ref="D139" r:id="rId813"/>
    <hyperlink xmlns:r="http://schemas.openxmlformats.org/officeDocument/2006/relationships" ref="H139" r:id="rId814"/>
    <hyperlink xmlns:r="http://schemas.openxmlformats.org/officeDocument/2006/relationships" ref="AM139" r:id="rId815"/>
    <hyperlink xmlns:r="http://schemas.openxmlformats.org/officeDocument/2006/relationships" ref="AV139" r:id="rId816"/>
    <hyperlink xmlns:r="http://schemas.openxmlformats.org/officeDocument/2006/relationships" ref="C140" r:id="rId817"/>
    <hyperlink xmlns:r="http://schemas.openxmlformats.org/officeDocument/2006/relationships" ref="D140" r:id="rId818"/>
    <hyperlink xmlns:r="http://schemas.openxmlformats.org/officeDocument/2006/relationships" ref="H140" r:id="rId819"/>
    <hyperlink xmlns:r="http://schemas.openxmlformats.org/officeDocument/2006/relationships" ref="AM140" r:id="rId820"/>
    <hyperlink xmlns:r="http://schemas.openxmlformats.org/officeDocument/2006/relationships" ref="AV140" r:id="rId821"/>
    <hyperlink xmlns:r="http://schemas.openxmlformats.org/officeDocument/2006/relationships" ref="C141" r:id="rId822"/>
    <hyperlink xmlns:r="http://schemas.openxmlformats.org/officeDocument/2006/relationships" ref="D141" r:id="rId823"/>
    <hyperlink xmlns:r="http://schemas.openxmlformats.org/officeDocument/2006/relationships" ref="H141" r:id="rId824"/>
    <hyperlink xmlns:r="http://schemas.openxmlformats.org/officeDocument/2006/relationships" ref="AM141" r:id="rId825"/>
    <hyperlink xmlns:r="http://schemas.openxmlformats.org/officeDocument/2006/relationships" ref="AV141" r:id="rId826"/>
    <hyperlink xmlns:r="http://schemas.openxmlformats.org/officeDocument/2006/relationships" ref="C142" r:id="rId827"/>
    <hyperlink xmlns:r="http://schemas.openxmlformats.org/officeDocument/2006/relationships" ref="D142" r:id="rId828"/>
    <hyperlink xmlns:r="http://schemas.openxmlformats.org/officeDocument/2006/relationships" ref="H142" r:id="rId829"/>
    <hyperlink xmlns:r="http://schemas.openxmlformats.org/officeDocument/2006/relationships" ref="AM142" r:id="rId830"/>
    <hyperlink xmlns:r="http://schemas.openxmlformats.org/officeDocument/2006/relationships" ref="AV142" r:id="rId831"/>
    <hyperlink xmlns:r="http://schemas.openxmlformats.org/officeDocument/2006/relationships" ref="C143" r:id="rId832"/>
    <hyperlink xmlns:r="http://schemas.openxmlformats.org/officeDocument/2006/relationships" ref="D143" r:id="rId833"/>
    <hyperlink xmlns:r="http://schemas.openxmlformats.org/officeDocument/2006/relationships" ref="H143" r:id="rId834"/>
    <hyperlink xmlns:r="http://schemas.openxmlformats.org/officeDocument/2006/relationships" ref="AM143" r:id="rId835"/>
    <hyperlink xmlns:r="http://schemas.openxmlformats.org/officeDocument/2006/relationships" ref="AV143" r:id="rId836"/>
    <hyperlink xmlns:r="http://schemas.openxmlformats.org/officeDocument/2006/relationships" ref="C144" r:id="rId837"/>
    <hyperlink xmlns:r="http://schemas.openxmlformats.org/officeDocument/2006/relationships" ref="D144" r:id="rId838"/>
    <hyperlink xmlns:r="http://schemas.openxmlformats.org/officeDocument/2006/relationships" ref="H144" r:id="rId839"/>
    <hyperlink xmlns:r="http://schemas.openxmlformats.org/officeDocument/2006/relationships" ref="AM144" r:id="rId840"/>
    <hyperlink xmlns:r="http://schemas.openxmlformats.org/officeDocument/2006/relationships" ref="AV144" r:id="rId841"/>
    <hyperlink xmlns:r="http://schemas.openxmlformats.org/officeDocument/2006/relationships" ref="C145" r:id="rId842"/>
    <hyperlink xmlns:r="http://schemas.openxmlformats.org/officeDocument/2006/relationships" ref="D145" r:id="rId843"/>
    <hyperlink xmlns:r="http://schemas.openxmlformats.org/officeDocument/2006/relationships" ref="H145" r:id="rId844"/>
    <hyperlink xmlns:r="http://schemas.openxmlformats.org/officeDocument/2006/relationships" ref="AM145" r:id="rId845"/>
    <hyperlink xmlns:r="http://schemas.openxmlformats.org/officeDocument/2006/relationships" ref="AV145" r:id="rId846"/>
    <hyperlink xmlns:r="http://schemas.openxmlformats.org/officeDocument/2006/relationships" ref="C146" r:id="rId847"/>
    <hyperlink xmlns:r="http://schemas.openxmlformats.org/officeDocument/2006/relationships" ref="D146" r:id="rId848"/>
    <hyperlink xmlns:r="http://schemas.openxmlformats.org/officeDocument/2006/relationships" ref="H146" r:id="rId849"/>
    <hyperlink xmlns:r="http://schemas.openxmlformats.org/officeDocument/2006/relationships" ref="AM146" r:id="rId850"/>
    <hyperlink xmlns:r="http://schemas.openxmlformats.org/officeDocument/2006/relationships" ref="AV146" r:id="rId851"/>
    <hyperlink xmlns:r="http://schemas.openxmlformats.org/officeDocument/2006/relationships" ref="C147" r:id="rId852"/>
    <hyperlink xmlns:r="http://schemas.openxmlformats.org/officeDocument/2006/relationships" ref="D147" r:id="rId853"/>
    <hyperlink xmlns:r="http://schemas.openxmlformats.org/officeDocument/2006/relationships" ref="H147" r:id="rId854"/>
    <hyperlink xmlns:r="http://schemas.openxmlformats.org/officeDocument/2006/relationships" ref="AM147" r:id="rId855"/>
    <hyperlink xmlns:r="http://schemas.openxmlformats.org/officeDocument/2006/relationships" ref="AV147" r:id="rId856"/>
    <hyperlink xmlns:r="http://schemas.openxmlformats.org/officeDocument/2006/relationships" ref="C148" r:id="rId857"/>
    <hyperlink xmlns:r="http://schemas.openxmlformats.org/officeDocument/2006/relationships" ref="D148" r:id="rId858"/>
    <hyperlink xmlns:r="http://schemas.openxmlformats.org/officeDocument/2006/relationships" ref="H148" r:id="rId859"/>
    <hyperlink xmlns:r="http://schemas.openxmlformats.org/officeDocument/2006/relationships" ref="AM148" r:id="rId860"/>
    <hyperlink xmlns:r="http://schemas.openxmlformats.org/officeDocument/2006/relationships" ref="AV148" r:id="rId861"/>
    <hyperlink xmlns:r="http://schemas.openxmlformats.org/officeDocument/2006/relationships" ref="C149" r:id="rId862"/>
    <hyperlink xmlns:r="http://schemas.openxmlformats.org/officeDocument/2006/relationships" ref="D149" r:id="rId863"/>
    <hyperlink xmlns:r="http://schemas.openxmlformats.org/officeDocument/2006/relationships" ref="H149" r:id="rId864"/>
    <hyperlink xmlns:r="http://schemas.openxmlformats.org/officeDocument/2006/relationships" ref="AM149" r:id="rId865"/>
    <hyperlink xmlns:r="http://schemas.openxmlformats.org/officeDocument/2006/relationships" ref="AV149" r:id="rId866"/>
    <hyperlink xmlns:r="http://schemas.openxmlformats.org/officeDocument/2006/relationships" ref="C150" r:id="rId867"/>
    <hyperlink xmlns:r="http://schemas.openxmlformats.org/officeDocument/2006/relationships" ref="D150" r:id="rId868"/>
    <hyperlink xmlns:r="http://schemas.openxmlformats.org/officeDocument/2006/relationships" ref="H150" r:id="rId869"/>
    <hyperlink xmlns:r="http://schemas.openxmlformats.org/officeDocument/2006/relationships" ref="AM150" r:id="rId870"/>
    <hyperlink xmlns:r="http://schemas.openxmlformats.org/officeDocument/2006/relationships" ref="AV150" r:id="rId871"/>
    <hyperlink xmlns:r="http://schemas.openxmlformats.org/officeDocument/2006/relationships" ref="C151" r:id="rId872"/>
    <hyperlink xmlns:r="http://schemas.openxmlformats.org/officeDocument/2006/relationships" ref="D151" r:id="rId873"/>
    <hyperlink xmlns:r="http://schemas.openxmlformats.org/officeDocument/2006/relationships" ref="H151" r:id="rId874"/>
    <hyperlink xmlns:r="http://schemas.openxmlformats.org/officeDocument/2006/relationships" ref="AM151" r:id="rId875"/>
    <hyperlink xmlns:r="http://schemas.openxmlformats.org/officeDocument/2006/relationships" ref="AV151" r:id="rId876"/>
    <hyperlink xmlns:r="http://schemas.openxmlformats.org/officeDocument/2006/relationships" ref="C152" r:id="rId877"/>
    <hyperlink xmlns:r="http://schemas.openxmlformats.org/officeDocument/2006/relationships" ref="D152" r:id="rId878"/>
    <hyperlink xmlns:r="http://schemas.openxmlformats.org/officeDocument/2006/relationships" ref="H152" r:id="rId879"/>
    <hyperlink xmlns:r="http://schemas.openxmlformats.org/officeDocument/2006/relationships" ref="AM152" r:id="rId880"/>
    <hyperlink xmlns:r="http://schemas.openxmlformats.org/officeDocument/2006/relationships" ref="AV152" r:id="rId881"/>
    <hyperlink xmlns:r="http://schemas.openxmlformats.org/officeDocument/2006/relationships" ref="C153" r:id="rId882"/>
    <hyperlink xmlns:r="http://schemas.openxmlformats.org/officeDocument/2006/relationships" ref="D153" r:id="rId883"/>
    <hyperlink xmlns:r="http://schemas.openxmlformats.org/officeDocument/2006/relationships" ref="H153" r:id="rId884"/>
    <hyperlink xmlns:r="http://schemas.openxmlformats.org/officeDocument/2006/relationships" ref="AM153" r:id="rId885"/>
    <hyperlink xmlns:r="http://schemas.openxmlformats.org/officeDocument/2006/relationships" ref="AV153" r:id="rId886"/>
    <hyperlink xmlns:r="http://schemas.openxmlformats.org/officeDocument/2006/relationships" ref="C154" r:id="rId887"/>
    <hyperlink xmlns:r="http://schemas.openxmlformats.org/officeDocument/2006/relationships" ref="D154" r:id="rId888"/>
    <hyperlink xmlns:r="http://schemas.openxmlformats.org/officeDocument/2006/relationships" ref="H154" r:id="rId889"/>
    <hyperlink xmlns:r="http://schemas.openxmlformats.org/officeDocument/2006/relationships" ref="AM154" r:id="rId890"/>
    <hyperlink xmlns:r="http://schemas.openxmlformats.org/officeDocument/2006/relationships" ref="AV154" r:id="rId891"/>
    <hyperlink xmlns:r="http://schemas.openxmlformats.org/officeDocument/2006/relationships" ref="C155" r:id="rId892"/>
    <hyperlink xmlns:r="http://schemas.openxmlformats.org/officeDocument/2006/relationships" ref="D155" r:id="rId893"/>
    <hyperlink xmlns:r="http://schemas.openxmlformats.org/officeDocument/2006/relationships" ref="H155" r:id="rId894"/>
    <hyperlink xmlns:r="http://schemas.openxmlformats.org/officeDocument/2006/relationships" ref="AM155" r:id="rId895"/>
    <hyperlink xmlns:r="http://schemas.openxmlformats.org/officeDocument/2006/relationships" ref="AV155" r:id="rId896"/>
    <hyperlink xmlns:r="http://schemas.openxmlformats.org/officeDocument/2006/relationships" ref="C156" r:id="rId897"/>
    <hyperlink xmlns:r="http://schemas.openxmlformats.org/officeDocument/2006/relationships" ref="D156" r:id="rId898"/>
    <hyperlink xmlns:r="http://schemas.openxmlformats.org/officeDocument/2006/relationships" ref="H156" r:id="rId899"/>
    <hyperlink xmlns:r="http://schemas.openxmlformats.org/officeDocument/2006/relationships" ref="AM156" r:id="rId900"/>
    <hyperlink xmlns:r="http://schemas.openxmlformats.org/officeDocument/2006/relationships" ref="AV156" r:id="rId901"/>
    <hyperlink xmlns:r="http://schemas.openxmlformats.org/officeDocument/2006/relationships" ref="C157" r:id="rId902"/>
    <hyperlink xmlns:r="http://schemas.openxmlformats.org/officeDocument/2006/relationships" ref="D157" r:id="rId903"/>
    <hyperlink xmlns:r="http://schemas.openxmlformats.org/officeDocument/2006/relationships" ref="H157" r:id="rId904"/>
    <hyperlink xmlns:r="http://schemas.openxmlformats.org/officeDocument/2006/relationships" ref="AM157" r:id="rId905"/>
    <hyperlink xmlns:r="http://schemas.openxmlformats.org/officeDocument/2006/relationships" ref="AV157" r:id="rId906"/>
    <hyperlink xmlns:r="http://schemas.openxmlformats.org/officeDocument/2006/relationships" ref="C158" r:id="rId907"/>
    <hyperlink xmlns:r="http://schemas.openxmlformats.org/officeDocument/2006/relationships" ref="D158" r:id="rId908"/>
    <hyperlink xmlns:r="http://schemas.openxmlformats.org/officeDocument/2006/relationships" ref="H158" r:id="rId909"/>
    <hyperlink xmlns:r="http://schemas.openxmlformats.org/officeDocument/2006/relationships" ref="AM158" r:id="rId910"/>
    <hyperlink xmlns:r="http://schemas.openxmlformats.org/officeDocument/2006/relationships" ref="AV158" r:id="rId911"/>
    <hyperlink xmlns:r="http://schemas.openxmlformats.org/officeDocument/2006/relationships" ref="C159" r:id="rId912"/>
    <hyperlink xmlns:r="http://schemas.openxmlformats.org/officeDocument/2006/relationships" ref="D159" r:id="rId913"/>
    <hyperlink xmlns:r="http://schemas.openxmlformats.org/officeDocument/2006/relationships" ref="H159" r:id="rId914"/>
    <hyperlink xmlns:r="http://schemas.openxmlformats.org/officeDocument/2006/relationships" ref="AM159" r:id="rId915"/>
    <hyperlink xmlns:r="http://schemas.openxmlformats.org/officeDocument/2006/relationships" ref="AV159" r:id="rId916"/>
    <hyperlink xmlns:r="http://schemas.openxmlformats.org/officeDocument/2006/relationships" ref="C160" r:id="rId917"/>
    <hyperlink xmlns:r="http://schemas.openxmlformats.org/officeDocument/2006/relationships" ref="D160" r:id="rId918"/>
    <hyperlink xmlns:r="http://schemas.openxmlformats.org/officeDocument/2006/relationships" ref="H160" r:id="rId919"/>
    <hyperlink xmlns:r="http://schemas.openxmlformats.org/officeDocument/2006/relationships" ref="AM160" r:id="rId920"/>
    <hyperlink xmlns:r="http://schemas.openxmlformats.org/officeDocument/2006/relationships" ref="AV160" r:id="rId921"/>
    <hyperlink xmlns:r="http://schemas.openxmlformats.org/officeDocument/2006/relationships" ref="C161" r:id="rId922"/>
    <hyperlink xmlns:r="http://schemas.openxmlformats.org/officeDocument/2006/relationships" ref="D161" r:id="rId923"/>
    <hyperlink xmlns:r="http://schemas.openxmlformats.org/officeDocument/2006/relationships" ref="H161" r:id="rId924"/>
    <hyperlink xmlns:r="http://schemas.openxmlformats.org/officeDocument/2006/relationships" ref="AM161" r:id="rId925"/>
    <hyperlink xmlns:r="http://schemas.openxmlformats.org/officeDocument/2006/relationships" ref="AV161" r:id="rId926"/>
    <hyperlink xmlns:r="http://schemas.openxmlformats.org/officeDocument/2006/relationships" ref="C162" r:id="rId927"/>
    <hyperlink xmlns:r="http://schemas.openxmlformats.org/officeDocument/2006/relationships" ref="D162" r:id="rId928"/>
    <hyperlink xmlns:r="http://schemas.openxmlformats.org/officeDocument/2006/relationships" ref="H162" r:id="rId929"/>
    <hyperlink xmlns:r="http://schemas.openxmlformats.org/officeDocument/2006/relationships" ref="AM162" r:id="rId930"/>
    <hyperlink xmlns:r="http://schemas.openxmlformats.org/officeDocument/2006/relationships" ref="AV162" r:id="rId931"/>
    <hyperlink xmlns:r="http://schemas.openxmlformats.org/officeDocument/2006/relationships" ref="C163" r:id="rId932"/>
    <hyperlink xmlns:r="http://schemas.openxmlformats.org/officeDocument/2006/relationships" ref="D163" r:id="rId933"/>
    <hyperlink xmlns:r="http://schemas.openxmlformats.org/officeDocument/2006/relationships" ref="H163" r:id="rId934"/>
    <hyperlink xmlns:r="http://schemas.openxmlformats.org/officeDocument/2006/relationships" ref="AM163" r:id="rId935"/>
    <hyperlink xmlns:r="http://schemas.openxmlformats.org/officeDocument/2006/relationships" ref="AV163" r:id="rId936"/>
    <hyperlink xmlns:r="http://schemas.openxmlformats.org/officeDocument/2006/relationships" ref="C164" r:id="rId937"/>
    <hyperlink xmlns:r="http://schemas.openxmlformats.org/officeDocument/2006/relationships" ref="D164" r:id="rId938"/>
    <hyperlink xmlns:r="http://schemas.openxmlformats.org/officeDocument/2006/relationships" ref="H164" r:id="rId939"/>
    <hyperlink xmlns:r="http://schemas.openxmlformats.org/officeDocument/2006/relationships" ref="AM164" r:id="rId940"/>
    <hyperlink xmlns:r="http://schemas.openxmlformats.org/officeDocument/2006/relationships" ref="AV164" r:id="rId941"/>
    <hyperlink xmlns:r="http://schemas.openxmlformats.org/officeDocument/2006/relationships" ref="C165" r:id="rId942"/>
    <hyperlink xmlns:r="http://schemas.openxmlformats.org/officeDocument/2006/relationships" ref="D165" r:id="rId943"/>
    <hyperlink xmlns:r="http://schemas.openxmlformats.org/officeDocument/2006/relationships" ref="H165" r:id="rId944"/>
    <hyperlink xmlns:r="http://schemas.openxmlformats.org/officeDocument/2006/relationships" ref="AM165" r:id="rId945"/>
    <hyperlink xmlns:r="http://schemas.openxmlformats.org/officeDocument/2006/relationships" ref="AV165" r:id="rId946"/>
    <hyperlink xmlns:r="http://schemas.openxmlformats.org/officeDocument/2006/relationships" ref="C166" r:id="rId947"/>
    <hyperlink xmlns:r="http://schemas.openxmlformats.org/officeDocument/2006/relationships" ref="D166" r:id="rId948"/>
    <hyperlink xmlns:r="http://schemas.openxmlformats.org/officeDocument/2006/relationships" ref="H166" r:id="rId949"/>
    <hyperlink xmlns:r="http://schemas.openxmlformats.org/officeDocument/2006/relationships" ref="AM166" r:id="rId950"/>
    <hyperlink xmlns:r="http://schemas.openxmlformats.org/officeDocument/2006/relationships" ref="AV166" r:id="rId951"/>
    <hyperlink xmlns:r="http://schemas.openxmlformats.org/officeDocument/2006/relationships" ref="C167" r:id="rId952"/>
    <hyperlink xmlns:r="http://schemas.openxmlformats.org/officeDocument/2006/relationships" ref="D167" r:id="rId953"/>
    <hyperlink xmlns:r="http://schemas.openxmlformats.org/officeDocument/2006/relationships" ref="H167" r:id="rId954"/>
    <hyperlink xmlns:r="http://schemas.openxmlformats.org/officeDocument/2006/relationships" ref="AM167" r:id="rId955"/>
    <hyperlink xmlns:r="http://schemas.openxmlformats.org/officeDocument/2006/relationships" ref="AV167" r:id="rId956"/>
    <hyperlink xmlns:r="http://schemas.openxmlformats.org/officeDocument/2006/relationships" ref="C168" r:id="rId957"/>
    <hyperlink xmlns:r="http://schemas.openxmlformats.org/officeDocument/2006/relationships" ref="D168" r:id="rId958"/>
    <hyperlink xmlns:r="http://schemas.openxmlformats.org/officeDocument/2006/relationships" ref="H168" r:id="rId959"/>
    <hyperlink xmlns:r="http://schemas.openxmlformats.org/officeDocument/2006/relationships" ref="AM168" r:id="rId960"/>
    <hyperlink xmlns:r="http://schemas.openxmlformats.org/officeDocument/2006/relationships" ref="AV168" r:id="rId961"/>
    <hyperlink xmlns:r="http://schemas.openxmlformats.org/officeDocument/2006/relationships" ref="C169" r:id="rId962"/>
    <hyperlink xmlns:r="http://schemas.openxmlformats.org/officeDocument/2006/relationships" ref="D169" r:id="rId963"/>
    <hyperlink xmlns:r="http://schemas.openxmlformats.org/officeDocument/2006/relationships" ref="H169" r:id="rId964"/>
    <hyperlink xmlns:r="http://schemas.openxmlformats.org/officeDocument/2006/relationships" ref="AM169" r:id="rId965"/>
    <hyperlink xmlns:r="http://schemas.openxmlformats.org/officeDocument/2006/relationships" ref="AV169" r:id="rId966"/>
    <hyperlink xmlns:r="http://schemas.openxmlformats.org/officeDocument/2006/relationships" ref="C170" r:id="rId967"/>
    <hyperlink xmlns:r="http://schemas.openxmlformats.org/officeDocument/2006/relationships" ref="D170" r:id="rId968"/>
    <hyperlink xmlns:r="http://schemas.openxmlformats.org/officeDocument/2006/relationships" ref="H170" r:id="rId969"/>
    <hyperlink xmlns:r="http://schemas.openxmlformats.org/officeDocument/2006/relationships" ref="AM170" r:id="rId970"/>
    <hyperlink xmlns:r="http://schemas.openxmlformats.org/officeDocument/2006/relationships" ref="AV170" r:id="rId971"/>
    <hyperlink xmlns:r="http://schemas.openxmlformats.org/officeDocument/2006/relationships" ref="C171" r:id="rId972"/>
    <hyperlink xmlns:r="http://schemas.openxmlformats.org/officeDocument/2006/relationships" ref="D171" r:id="rId973"/>
    <hyperlink xmlns:r="http://schemas.openxmlformats.org/officeDocument/2006/relationships" ref="H171" r:id="rId974"/>
    <hyperlink xmlns:r="http://schemas.openxmlformats.org/officeDocument/2006/relationships" ref="AM171" r:id="rId975"/>
    <hyperlink xmlns:r="http://schemas.openxmlformats.org/officeDocument/2006/relationships" ref="AV171" r:id="rId976"/>
    <hyperlink xmlns:r="http://schemas.openxmlformats.org/officeDocument/2006/relationships" ref="C172" r:id="rId977"/>
    <hyperlink xmlns:r="http://schemas.openxmlformats.org/officeDocument/2006/relationships" ref="D172" r:id="rId978"/>
    <hyperlink xmlns:r="http://schemas.openxmlformats.org/officeDocument/2006/relationships" ref="H172" r:id="rId979"/>
    <hyperlink xmlns:r="http://schemas.openxmlformats.org/officeDocument/2006/relationships" ref="AM172" r:id="rId980"/>
    <hyperlink xmlns:r="http://schemas.openxmlformats.org/officeDocument/2006/relationships" ref="AV172" r:id="rId981"/>
    <hyperlink xmlns:r="http://schemas.openxmlformats.org/officeDocument/2006/relationships" ref="C173" r:id="rId982"/>
    <hyperlink xmlns:r="http://schemas.openxmlformats.org/officeDocument/2006/relationships" ref="D173" r:id="rId983"/>
    <hyperlink xmlns:r="http://schemas.openxmlformats.org/officeDocument/2006/relationships" ref="H173" r:id="rId984"/>
    <hyperlink xmlns:r="http://schemas.openxmlformats.org/officeDocument/2006/relationships" ref="AM173" r:id="rId985"/>
    <hyperlink xmlns:r="http://schemas.openxmlformats.org/officeDocument/2006/relationships" ref="AV173" r:id="rId986"/>
    <hyperlink xmlns:r="http://schemas.openxmlformats.org/officeDocument/2006/relationships" ref="C174" r:id="rId987"/>
    <hyperlink xmlns:r="http://schemas.openxmlformats.org/officeDocument/2006/relationships" ref="D174" r:id="rId988"/>
    <hyperlink xmlns:r="http://schemas.openxmlformats.org/officeDocument/2006/relationships" ref="H174" r:id="rId989"/>
    <hyperlink xmlns:r="http://schemas.openxmlformats.org/officeDocument/2006/relationships" ref="AM174" r:id="rId990"/>
    <hyperlink xmlns:r="http://schemas.openxmlformats.org/officeDocument/2006/relationships" ref="AV174" r:id="rId991"/>
    <hyperlink xmlns:r="http://schemas.openxmlformats.org/officeDocument/2006/relationships" ref="C175" r:id="rId992"/>
    <hyperlink xmlns:r="http://schemas.openxmlformats.org/officeDocument/2006/relationships" ref="D175" r:id="rId993"/>
    <hyperlink xmlns:r="http://schemas.openxmlformats.org/officeDocument/2006/relationships" ref="H175" r:id="rId994"/>
    <hyperlink xmlns:r="http://schemas.openxmlformats.org/officeDocument/2006/relationships" ref="AM175" r:id="rId995"/>
    <hyperlink xmlns:r="http://schemas.openxmlformats.org/officeDocument/2006/relationships" ref="AV175" r:id="rId996"/>
    <hyperlink xmlns:r="http://schemas.openxmlformats.org/officeDocument/2006/relationships" ref="C176" r:id="rId997"/>
    <hyperlink xmlns:r="http://schemas.openxmlformats.org/officeDocument/2006/relationships" ref="D176" r:id="rId998"/>
    <hyperlink xmlns:r="http://schemas.openxmlformats.org/officeDocument/2006/relationships" ref="H176" r:id="rId999"/>
    <hyperlink xmlns:r="http://schemas.openxmlformats.org/officeDocument/2006/relationships" ref="AM176" r:id="rId1000"/>
    <hyperlink xmlns:r="http://schemas.openxmlformats.org/officeDocument/2006/relationships" ref="AV176" r:id="rId1001"/>
    <hyperlink xmlns:r="http://schemas.openxmlformats.org/officeDocument/2006/relationships" ref="C177" r:id="rId1002"/>
    <hyperlink xmlns:r="http://schemas.openxmlformats.org/officeDocument/2006/relationships" ref="D177" r:id="rId1003"/>
    <hyperlink xmlns:r="http://schemas.openxmlformats.org/officeDocument/2006/relationships" ref="H177" r:id="rId1004"/>
    <hyperlink xmlns:r="http://schemas.openxmlformats.org/officeDocument/2006/relationships" ref="AM177" r:id="rId1005"/>
    <hyperlink xmlns:r="http://schemas.openxmlformats.org/officeDocument/2006/relationships" ref="AV177" r:id="rId1006"/>
    <hyperlink xmlns:r="http://schemas.openxmlformats.org/officeDocument/2006/relationships" ref="C178" r:id="rId1007"/>
    <hyperlink xmlns:r="http://schemas.openxmlformats.org/officeDocument/2006/relationships" ref="D178" r:id="rId1008"/>
    <hyperlink xmlns:r="http://schemas.openxmlformats.org/officeDocument/2006/relationships" ref="H178" r:id="rId1009"/>
    <hyperlink xmlns:r="http://schemas.openxmlformats.org/officeDocument/2006/relationships" ref="AM178" r:id="rId1010"/>
    <hyperlink xmlns:r="http://schemas.openxmlformats.org/officeDocument/2006/relationships" ref="AV178" r:id="rId1011"/>
    <hyperlink xmlns:r="http://schemas.openxmlformats.org/officeDocument/2006/relationships" ref="C179" r:id="rId1012"/>
    <hyperlink xmlns:r="http://schemas.openxmlformats.org/officeDocument/2006/relationships" ref="D179" r:id="rId1013"/>
    <hyperlink xmlns:r="http://schemas.openxmlformats.org/officeDocument/2006/relationships" ref="H179" r:id="rId1014"/>
    <hyperlink xmlns:r="http://schemas.openxmlformats.org/officeDocument/2006/relationships" ref="AM179" r:id="rId1015"/>
    <hyperlink xmlns:r="http://schemas.openxmlformats.org/officeDocument/2006/relationships" ref="AV179" r:id="rId1016"/>
    <hyperlink xmlns:r="http://schemas.openxmlformats.org/officeDocument/2006/relationships" ref="C180" r:id="rId1017"/>
    <hyperlink xmlns:r="http://schemas.openxmlformats.org/officeDocument/2006/relationships" ref="D180" r:id="rId1018"/>
    <hyperlink xmlns:r="http://schemas.openxmlformats.org/officeDocument/2006/relationships" ref="H180" r:id="rId1019"/>
    <hyperlink xmlns:r="http://schemas.openxmlformats.org/officeDocument/2006/relationships" ref="AM180" r:id="rId1020"/>
    <hyperlink xmlns:r="http://schemas.openxmlformats.org/officeDocument/2006/relationships" ref="AV180" r:id="rId1021"/>
    <hyperlink xmlns:r="http://schemas.openxmlformats.org/officeDocument/2006/relationships" ref="C181" r:id="rId1022"/>
    <hyperlink xmlns:r="http://schemas.openxmlformats.org/officeDocument/2006/relationships" ref="D181" r:id="rId1023"/>
    <hyperlink xmlns:r="http://schemas.openxmlformats.org/officeDocument/2006/relationships" ref="H181" r:id="rId1024"/>
    <hyperlink xmlns:r="http://schemas.openxmlformats.org/officeDocument/2006/relationships" ref="AM181" r:id="rId1025"/>
    <hyperlink xmlns:r="http://schemas.openxmlformats.org/officeDocument/2006/relationships" ref="AV181" r:id="rId1026"/>
    <hyperlink xmlns:r="http://schemas.openxmlformats.org/officeDocument/2006/relationships" ref="C182" r:id="rId1027"/>
    <hyperlink xmlns:r="http://schemas.openxmlformats.org/officeDocument/2006/relationships" ref="D182" r:id="rId1028"/>
    <hyperlink xmlns:r="http://schemas.openxmlformats.org/officeDocument/2006/relationships" ref="H182" r:id="rId1029"/>
    <hyperlink xmlns:r="http://schemas.openxmlformats.org/officeDocument/2006/relationships" ref="AM182" r:id="rId1030"/>
    <hyperlink xmlns:r="http://schemas.openxmlformats.org/officeDocument/2006/relationships" ref="AV182" r:id="rId1031"/>
    <hyperlink xmlns:r="http://schemas.openxmlformats.org/officeDocument/2006/relationships" ref="C183" r:id="rId1032"/>
    <hyperlink xmlns:r="http://schemas.openxmlformats.org/officeDocument/2006/relationships" ref="D183" r:id="rId1033"/>
    <hyperlink xmlns:r="http://schemas.openxmlformats.org/officeDocument/2006/relationships" ref="H183" r:id="rId1034"/>
    <hyperlink xmlns:r="http://schemas.openxmlformats.org/officeDocument/2006/relationships" ref="AM183" r:id="rId1035"/>
    <hyperlink xmlns:r="http://schemas.openxmlformats.org/officeDocument/2006/relationships" ref="AV183" r:id="rId1036"/>
    <hyperlink xmlns:r="http://schemas.openxmlformats.org/officeDocument/2006/relationships" ref="C184" r:id="rId1037"/>
    <hyperlink xmlns:r="http://schemas.openxmlformats.org/officeDocument/2006/relationships" ref="D184" r:id="rId1038"/>
    <hyperlink xmlns:r="http://schemas.openxmlformats.org/officeDocument/2006/relationships" ref="H184" r:id="rId1039"/>
    <hyperlink xmlns:r="http://schemas.openxmlformats.org/officeDocument/2006/relationships" ref="AM184" r:id="rId1040"/>
    <hyperlink xmlns:r="http://schemas.openxmlformats.org/officeDocument/2006/relationships" ref="AV184" r:id="rId1041"/>
    <hyperlink xmlns:r="http://schemas.openxmlformats.org/officeDocument/2006/relationships" ref="C185" r:id="rId1042"/>
    <hyperlink xmlns:r="http://schemas.openxmlformats.org/officeDocument/2006/relationships" ref="D185" r:id="rId1043"/>
    <hyperlink xmlns:r="http://schemas.openxmlformats.org/officeDocument/2006/relationships" ref="H185" r:id="rId1044"/>
    <hyperlink xmlns:r="http://schemas.openxmlformats.org/officeDocument/2006/relationships" ref="AM185" r:id="rId1045"/>
    <hyperlink xmlns:r="http://schemas.openxmlformats.org/officeDocument/2006/relationships" ref="AV185" r:id="rId1046"/>
    <hyperlink xmlns:r="http://schemas.openxmlformats.org/officeDocument/2006/relationships" ref="C186" r:id="rId1047"/>
    <hyperlink xmlns:r="http://schemas.openxmlformats.org/officeDocument/2006/relationships" ref="D186" r:id="rId1048"/>
    <hyperlink xmlns:r="http://schemas.openxmlformats.org/officeDocument/2006/relationships" ref="H186" r:id="rId1049"/>
    <hyperlink xmlns:r="http://schemas.openxmlformats.org/officeDocument/2006/relationships" ref="AM186" r:id="rId1050"/>
    <hyperlink xmlns:r="http://schemas.openxmlformats.org/officeDocument/2006/relationships" ref="AV186" r:id="rId1051"/>
    <hyperlink xmlns:r="http://schemas.openxmlformats.org/officeDocument/2006/relationships" ref="C187" r:id="rId1052"/>
    <hyperlink xmlns:r="http://schemas.openxmlformats.org/officeDocument/2006/relationships" ref="D187" r:id="rId1053"/>
    <hyperlink xmlns:r="http://schemas.openxmlformats.org/officeDocument/2006/relationships" ref="H187" r:id="rId1054"/>
    <hyperlink xmlns:r="http://schemas.openxmlformats.org/officeDocument/2006/relationships" ref="AM187" r:id="rId1055"/>
    <hyperlink xmlns:r="http://schemas.openxmlformats.org/officeDocument/2006/relationships" ref="AV187" r:id="rId1056"/>
    <hyperlink xmlns:r="http://schemas.openxmlformats.org/officeDocument/2006/relationships" ref="C188" r:id="rId1057"/>
    <hyperlink xmlns:r="http://schemas.openxmlformats.org/officeDocument/2006/relationships" ref="D188" r:id="rId1058"/>
    <hyperlink xmlns:r="http://schemas.openxmlformats.org/officeDocument/2006/relationships" ref="H188" r:id="rId1059"/>
    <hyperlink xmlns:r="http://schemas.openxmlformats.org/officeDocument/2006/relationships" ref="AM188" r:id="rId1060"/>
    <hyperlink xmlns:r="http://schemas.openxmlformats.org/officeDocument/2006/relationships" ref="AV188" r:id="rId1061"/>
    <hyperlink xmlns:r="http://schemas.openxmlformats.org/officeDocument/2006/relationships" ref="C189" r:id="rId1062"/>
    <hyperlink xmlns:r="http://schemas.openxmlformats.org/officeDocument/2006/relationships" ref="D189" r:id="rId1063"/>
    <hyperlink xmlns:r="http://schemas.openxmlformats.org/officeDocument/2006/relationships" ref="H189" r:id="rId1064"/>
    <hyperlink xmlns:r="http://schemas.openxmlformats.org/officeDocument/2006/relationships" ref="AM189" r:id="rId1065"/>
    <hyperlink xmlns:r="http://schemas.openxmlformats.org/officeDocument/2006/relationships" ref="AV189" r:id="rId1066"/>
    <hyperlink xmlns:r="http://schemas.openxmlformats.org/officeDocument/2006/relationships" ref="C190" r:id="rId1067"/>
    <hyperlink xmlns:r="http://schemas.openxmlformats.org/officeDocument/2006/relationships" ref="D190" r:id="rId1068"/>
    <hyperlink xmlns:r="http://schemas.openxmlformats.org/officeDocument/2006/relationships" ref="H190" r:id="rId1069"/>
    <hyperlink xmlns:r="http://schemas.openxmlformats.org/officeDocument/2006/relationships" ref="AM190" r:id="rId1070"/>
    <hyperlink xmlns:r="http://schemas.openxmlformats.org/officeDocument/2006/relationships" ref="AV190" r:id="rId1071"/>
    <hyperlink xmlns:r="http://schemas.openxmlformats.org/officeDocument/2006/relationships" ref="C191" r:id="rId1072"/>
    <hyperlink xmlns:r="http://schemas.openxmlformats.org/officeDocument/2006/relationships" ref="D191" r:id="rId1073"/>
    <hyperlink xmlns:r="http://schemas.openxmlformats.org/officeDocument/2006/relationships" ref="H191" r:id="rId1074"/>
    <hyperlink xmlns:r="http://schemas.openxmlformats.org/officeDocument/2006/relationships" ref="AM191" r:id="rId1075"/>
    <hyperlink xmlns:r="http://schemas.openxmlformats.org/officeDocument/2006/relationships" ref="AV191" r:id="rId10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2026-09-19T01:41:20Z</dcterms:created>
  <dcterms:modified xmlns:dcterms="http://purl.org/dc/terms/" xmlns:xsi="http://www.w3.org/2001/XMLSchema-instance" xsi:type="dcterms:W3CDTF">2026-09-19T01:41:22Z</dcterms:modified>
</cp:coreProperties>
</file>