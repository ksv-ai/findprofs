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ero Focus" sheetId="1" state="visible" r:id="rId1"/>
    <sheet xmlns:r="http://schemas.openxmlformats.org/officeDocument/2006/relationships" name="Field Matched" sheetId="2" state="visible" r:id="rId2"/>
    <sheet xmlns:r="http://schemas.openxmlformats.org/officeDocument/2006/relationships" name="All Faculty"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ngineering.purdue.edu/AAE/people/ptProfile?resource_id=1377" TargetMode="External" Id="rId1"/><Relationship Type="http://schemas.openxmlformats.org/officeDocument/2006/relationships/hyperlink" Target="https://scholar.google.com/citations?view_op=search_authors&amp;mauthors=Gregory%20A.%20Blaisdell%20Purdue%20University" TargetMode="External" Id="rId2"/><Relationship Type="http://schemas.openxmlformats.org/officeDocument/2006/relationships/hyperlink" Target="mailto:blaisdel@purdue.edu" TargetMode="External" Id="rId3"/><Relationship Type="http://schemas.openxmlformats.org/officeDocument/2006/relationships/hyperlink" Target="https://insgc.spacegrant.org/" TargetMode="External" Id="rId4"/><Relationship Type="http://schemas.openxmlformats.org/officeDocument/2006/relationships/hyperlink" Target="https://engineering.purdue.edu/AAE/people/Faculty" TargetMode="External" Id="rId5"/><Relationship Type="http://schemas.openxmlformats.org/officeDocument/2006/relationships/hyperlink" Target="https://engineering.purdue.edu/AAE/people/ptProfile?resource_id=72424" TargetMode="External" Id="rId6"/><Relationship Type="http://schemas.openxmlformats.org/officeDocument/2006/relationships/hyperlink" Target="https://scholar.google.com/citations?user=fprhTwwAAAAJ&amp;hl=en" TargetMode="External" Id="rId7"/><Relationship Type="http://schemas.openxmlformats.org/officeDocument/2006/relationships/hyperlink" Target="mailto:sbane@purdue.edu" TargetMode="External" Id="rId8"/><Relationship Type="http://schemas.openxmlformats.org/officeDocument/2006/relationships/hyperlink" Target="https://insgc.spacegrant.org/" TargetMode="External" Id="rId9"/><Relationship Type="http://schemas.openxmlformats.org/officeDocument/2006/relationships/hyperlink" Target="https://engineering.purdue.edu/AAE/people/Faculty" TargetMode="External" Id="rId10"/><Relationship Type="http://schemas.openxmlformats.org/officeDocument/2006/relationships/hyperlink" Target="https://engineering.purdue.edu/AAE/people/ptProfile?resource_id=124958" TargetMode="External" Id="rId11"/><Relationship Type="http://schemas.openxmlformats.org/officeDocument/2006/relationships/hyperlink" Target="https://scholar.google.com/citations?view_op=search_authors&amp;mauthors=Carson%20Slabaugh%20Purdue%20University" TargetMode="External" Id="rId12"/><Relationship Type="http://schemas.openxmlformats.org/officeDocument/2006/relationships/hyperlink" Target="mailto:cslabau@purdue.edu" TargetMode="External" Id="rId13"/><Relationship Type="http://schemas.openxmlformats.org/officeDocument/2006/relationships/hyperlink" Target="https://insgc.spacegrant.org/" TargetMode="External" Id="rId14"/><Relationship Type="http://schemas.openxmlformats.org/officeDocument/2006/relationships/hyperlink" Target="https://engineering.purdue.edu/AAE/people/Faculty" TargetMode="External" Id="rId15"/><Relationship Type="http://schemas.openxmlformats.org/officeDocument/2006/relationships/hyperlink" Target="https://engineering.purdue.edu/AAE/people/ptProfile?resource_id=1274" TargetMode="External" Id="rId16"/><Relationship Type="http://schemas.openxmlformats.org/officeDocument/2006/relationships/hyperlink" Target="https://scholar.google.com/citations?view_op=search_authors&amp;mauthors=Steven%20P.%20Schneider%20Purdue%20University" TargetMode="External" Id="rId17"/><Relationship Type="http://schemas.openxmlformats.org/officeDocument/2006/relationships/hyperlink" Target="mailto:steves@purdue.edu" TargetMode="External" Id="rId18"/><Relationship Type="http://schemas.openxmlformats.org/officeDocument/2006/relationships/hyperlink" Target="https://insgc.spacegrant.org/" TargetMode="External" Id="rId19"/><Relationship Type="http://schemas.openxmlformats.org/officeDocument/2006/relationships/hyperlink" Target="https://engineering.purdue.edu/AAE/people/Faculty" TargetMode="External" Id="rId20"/><Relationship Type="http://schemas.openxmlformats.org/officeDocument/2006/relationships/hyperlink" Target="https://engineering.purdue.edu/AAE/people/ptProfile?resource_id=221718" TargetMode="External" Id="rId21"/><Relationship Type="http://schemas.openxmlformats.org/officeDocument/2006/relationships/hyperlink" Target="https://scholar.google.com/citations?hl=en&amp;user=NZ7cWNwAAAAJ" TargetMode="External" Id="rId22"/><Relationship Type="http://schemas.openxmlformats.org/officeDocument/2006/relationships/hyperlink" Target="mailto:jsjewell@purdue.edu" TargetMode="External" Id="rId23"/><Relationship Type="http://schemas.openxmlformats.org/officeDocument/2006/relationships/hyperlink" Target="https://insgc.spacegrant.org/" TargetMode="External" Id="rId24"/><Relationship Type="http://schemas.openxmlformats.org/officeDocument/2006/relationships/hyperlink" Target="https://engineering.purdue.edu/AAE/people/Faculty" TargetMode="External" Id="rId25"/><Relationship Type="http://schemas.openxmlformats.org/officeDocument/2006/relationships/hyperlink" Target="https://engineering.purdue.edu/AAE/people/ptProfile?resource_id=255154" TargetMode="External" Id="rId26"/><Relationship Type="http://schemas.openxmlformats.org/officeDocument/2006/relationships/hyperlink" Target="https://scholar.google.com/citations?view_op=search_authors&amp;mauthors=Kenshiro%20Oguri%20Purdue%20University" TargetMode="External" Id="rId27"/><Relationship Type="http://schemas.openxmlformats.org/officeDocument/2006/relationships/hyperlink" Target="mailto:koguri@purdue.edu" TargetMode="External" Id="rId28"/><Relationship Type="http://schemas.openxmlformats.org/officeDocument/2006/relationships/hyperlink" Target="https://insgc.spacegrant.org/" TargetMode="External" Id="rId29"/><Relationship Type="http://schemas.openxmlformats.org/officeDocument/2006/relationships/hyperlink" Target="https://engineering.purdue.edu/AAE/people/Faculty" TargetMode="External" Id="rId30"/><Relationship Type="http://schemas.openxmlformats.org/officeDocument/2006/relationships/hyperlink" Target="https://engineering.purdue.edu/AAE/people/ptProfile?resource_id=78657" TargetMode="External" Id="rId31"/><Relationship Type="http://schemas.openxmlformats.org/officeDocument/2006/relationships/hyperlink" Target="https://scholar.google.com/citations?view_op=search_authors&amp;mauthors=Haifeng%20Wang%20Purdue%20University" TargetMode="External" Id="rId32"/><Relationship Type="http://schemas.openxmlformats.org/officeDocument/2006/relationships/hyperlink" Target="mailto:haifeng@purdue.edu" TargetMode="External" Id="rId33"/><Relationship Type="http://schemas.openxmlformats.org/officeDocument/2006/relationships/hyperlink" Target="https://insgc.spacegrant.org/" TargetMode="External" Id="rId34"/><Relationship Type="http://schemas.openxmlformats.org/officeDocument/2006/relationships/hyperlink" Target="https://engineering.purdue.edu/AAE/people/Faculty" TargetMode="External" Id="rId35"/><Relationship Type="http://schemas.openxmlformats.org/officeDocument/2006/relationships/hyperlink" Target="https://engineering.purdue.edu/AAE/people/ptProfile?resource_id=124984" TargetMode="External" Id="rId36"/><Relationship Type="http://schemas.openxmlformats.org/officeDocument/2006/relationships/hyperlink" Target="https://scholar.google.com/citations?view_op=search_authors&amp;mauthors=Jonathan%20Poggie%20Purdue%20University" TargetMode="External" Id="rId37"/><Relationship Type="http://schemas.openxmlformats.org/officeDocument/2006/relationships/hyperlink" Target="mailto:jpoggie@purdue.edu" TargetMode="External" Id="rId38"/><Relationship Type="http://schemas.openxmlformats.org/officeDocument/2006/relationships/hyperlink" Target="https://insgc.spacegrant.org/" TargetMode="External" Id="rId39"/><Relationship Type="http://schemas.openxmlformats.org/officeDocument/2006/relationships/hyperlink" Target="https://engineering.purdue.edu/AAE/people/Faculty" TargetMode="External" Id="rId40"/><Relationship Type="http://schemas.openxmlformats.org/officeDocument/2006/relationships/hyperlink" Target="https://engineering.purdue.edu/AAE/people/ptProfile?resource_id=1384" TargetMode="External" Id="rId41"/><Relationship Type="http://schemas.openxmlformats.org/officeDocument/2006/relationships/hyperlink" Target="https://scholar.google.com/citations?view_op=search_authors&amp;mauthors=Kathleen%20C.%20Howell%20Purdue%20University" TargetMode="External" Id="rId42"/><Relationship Type="http://schemas.openxmlformats.org/officeDocument/2006/relationships/hyperlink" Target="mailto:howell@purdue.edu" TargetMode="External" Id="rId43"/><Relationship Type="http://schemas.openxmlformats.org/officeDocument/2006/relationships/hyperlink" Target="https://insgc.spacegrant.org/" TargetMode="External" Id="rId44"/><Relationship Type="http://schemas.openxmlformats.org/officeDocument/2006/relationships/hyperlink" Target="https://engineering.purdue.edu/AAE/people/Faculty" TargetMode="External" Id="rId45"/><Relationship Type="http://schemas.openxmlformats.org/officeDocument/2006/relationships/hyperlink" Target="https://engineering.purdue.edu/AAE/people/ptProfile?resource_id=318748" TargetMode="External" Id="rId46"/><Relationship Type="http://schemas.openxmlformats.org/officeDocument/2006/relationships/hyperlink" Target="https://scholar.google.com/citations?view_op=search_authors&amp;mauthors=Kyle%20Hanquist%20Purdue%20University" TargetMode="External" Id="rId47"/><Relationship Type="http://schemas.openxmlformats.org/officeDocument/2006/relationships/hyperlink" Target="mailto:hanquist@purdue.edu" TargetMode="External" Id="rId48"/><Relationship Type="http://schemas.openxmlformats.org/officeDocument/2006/relationships/hyperlink" Target="https://insgc.spacegrant.org/" TargetMode="External" Id="rId49"/><Relationship Type="http://schemas.openxmlformats.org/officeDocument/2006/relationships/hyperlink" Target="https://engineering.purdue.edu/AAE/people/Faculty" TargetMode="External" Id="rId50"/><Relationship Type="http://schemas.openxmlformats.org/officeDocument/2006/relationships/hyperlink" Target="https://engineering.purdue.edu/AAE/people/ptProfile?resource_id=1370" TargetMode="External" Id="rId51"/><Relationship Type="http://schemas.openxmlformats.org/officeDocument/2006/relationships/hyperlink" Target="https://scholar.google.com/citations?view_op=search_authors&amp;mauthors=Steven%20Collicott%20Purdue%20University" TargetMode="External" Id="rId52"/><Relationship Type="http://schemas.openxmlformats.org/officeDocument/2006/relationships/hyperlink" Target="mailto:collicott@purdue.edu" TargetMode="External" Id="rId53"/><Relationship Type="http://schemas.openxmlformats.org/officeDocument/2006/relationships/hyperlink" Target="https://insgc.spacegrant.org/" TargetMode="External" Id="rId54"/><Relationship Type="http://schemas.openxmlformats.org/officeDocument/2006/relationships/hyperlink" Target="https://engineering.purdue.edu/AAE/people/Faculty" TargetMode="External" Id="rId55"/><Relationship Type="http://schemas.openxmlformats.org/officeDocument/2006/relationships/hyperlink" Target="https://engineering.purdue.edu/AAE/people/ptProfile?resource_id=23887" TargetMode="External" Id="rId56"/><Relationship Type="http://schemas.openxmlformats.org/officeDocument/2006/relationships/hyperlink" Target="https://scholar.google.com/citations?user=vr5HyoMAAAAJ&amp;hl=en" TargetMode="External" Id="rId57"/><Relationship Type="http://schemas.openxmlformats.org/officeDocument/2006/relationships/hyperlink" Target="mailto:alexeenk@purdue.edu" TargetMode="External" Id="rId58"/><Relationship Type="http://schemas.openxmlformats.org/officeDocument/2006/relationships/hyperlink" Target="https://insgc.spacegrant.org/" TargetMode="External" Id="rId59"/><Relationship Type="http://schemas.openxmlformats.org/officeDocument/2006/relationships/hyperlink" Target="https://engineering.purdue.edu/AAE/people/Faculty" TargetMode="External" Id="rId60"/><Relationship Type="http://schemas.openxmlformats.org/officeDocument/2006/relationships/hyperlink" Target="https://engineering.purdue.edu/ME/People/ptProfile?resource_id=110641" TargetMode="External" Id="rId61"/><Relationship Type="http://schemas.openxmlformats.org/officeDocument/2006/relationships/hyperlink" Target="https://scholar.google.com/citations?view_op=search_authors&amp;mauthors=Arezoo%20Ardekani%20Purdue%20University" TargetMode="External" Id="rId62"/><Relationship Type="http://schemas.openxmlformats.org/officeDocument/2006/relationships/hyperlink" Target="mailto:ardekani@purdue.edu" TargetMode="External" Id="rId63"/><Relationship Type="http://schemas.openxmlformats.org/officeDocument/2006/relationships/hyperlink" Target="https://engineering.purdue.edu/ComplexFlowLab" TargetMode="External" Id="rId64"/><Relationship Type="http://schemas.openxmlformats.org/officeDocument/2006/relationships/hyperlink" Target="https://engineering.purdue.edu/ME/People/ptFaculty" TargetMode="External" Id="rId65"/><Relationship Type="http://schemas.openxmlformats.org/officeDocument/2006/relationships/hyperlink" Target="https://engineering.purdue.edu/ME/People/ptProfile?resource_id=281457" TargetMode="External" Id="rId66"/><Relationship Type="http://schemas.openxmlformats.org/officeDocument/2006/relationships/hyperlink" Target="https://scholar.google.com/citations?view_op=search_authors&amp;mauthors=Daniel%20Guildenbecher%20Purdue%20University" TargetMode="External" Id="rId67"/><Relationship Type="http://schemas.openxmlformats.org/officeDocument/2006/relationships/hyperlink" Target="mailto:dguilden@purdue.edu" TargetMode="External" Id="rId68"/><Relationship Type="http://schemas.openxmlformats.org/officeDocument/2006/relationships/hyperlink" Target="https://engineering.purdue.edu/GuildenbecherLab" TargetMode="External" Id="rId69"/><Relationship Type="http://schemas.openxmlformats.org/officeDocument/2006/relationships/hyperlink" Target="https://engineering.purdue.edu/ME/People/ptFaculty" TargetMode="External" Id="rId70"/><Relationship Type="http://schemas.openxmlformats.org/officeDocument/2006/relationships/hyperlink" Target="https://engineering.purdue.edu/AAE/people/ptProfile?resource_id=339087" TargetMode="External" Id="rId71"/><Relationship Type="http://schemas.openxmlformats.org/officeDocument/2006/relationships/hyperlink" Target="https://scholar.google.com/citations?view_op=search_authors&amp;mauthors=John%20Mullin%20Purdue%20University" TargetMode="External" Id="rId72"/><Relationship Type="http://schemas.openxmlformats.org/officeDocument/2006/relationships/hyperlink" Target="mailto:webmaster-eng@purdue.edu" TargetMode="External" Id="rId73"/><Relationship Type="http://schemas.openxmlformats.org/officeDocument/2006/relationships/hyperlink" Target="https://insgc.spacegrant.org/" TargetMode="External" Id="rId74"/><Relationship Type="http://schemas.openxmlformats.org/officeDocument/2006/relationships/hyperlink" Target="https://engineering.purdue.edu/AAE/people/Faculty" TargetMode="External" Id="rId75"/><Relationship Type="http://schemas.openxmlformats.org/officeDocument/2006/relationships/hyperlink" Target="https://engineering.purdue.edu/ME/People/ptProfile?resource_id=173054" TargetMode="External" Id="rId76"/><Relationship Type="http://schemas.openxmlformats.org/officeDocument/2006/relationships/hyperlink" Target="https://scholar.google.com/citations?view_op=search_authors&amp;mauthors=Luciano%20Castillo%20Purdue%20University" TargetMode="External" Id="rId77"/><Relationship Type="http://schemas.openxmlformats.org/officeDocument/2006/relationships/hyperlink" Target="mailto:lcastillo@purdue.edu" TargetMode="External" Id="rId78"/><Relationship Type="http://schemas.openxmlformats.org/officeDocument/2006/relationships/hyperlink" Target="https://blueintegratedpartners.org/" TargetMode="External" Id="rId79"/><Relationship Type="http://schemas.openxmlformats.org/officeDocument/2006/relationships/hyperlink" Target="https://engineering.purdue.edu/ME/People/ptFaculty" TargetMode="External" Id="rId80"/><Relationship Type="http://schemas.openxmlformats.org/officeDocument/2006/relationships/hyperlink" Target="https://engineering.purdue.edu/AAE/people/ptProfile?resource_id=28413" TargetMode="External" Id="rId81"/><Relationship Type="http://schemas.openxmlformats.org/officeDocument/2006/relationships/hyperlink" Target="https://scholar.google.com/citations?view_op=search_authors&amp;mauthors=Robert%20Lucht%20Purdue%20University" TargetMode="External" Id="rId82"/><Relationship Type="http://schemas.openxmlformats.org/officeDocument/2006/relationships/hyperlink" Target="mailto:lucht@purdue.edu" TargetMode="External" Id="rId83"/><Relationship Type="http://schemas.openxmlformats.org/officeDocument/2006/relationships/hyperlink" Target="https://insgc.spacegrant.org/" TargetMode="External" Id="rId84"/><Relationship Type="http://schemas.openxmlformats.org/officeDocument/2006/relationships/hyperlink" Target="https://engineering.purdue.edu/AAE/people/Faculty" TargetMode="External" Id="rId85"/><Relationship Type="http://schemas.openxmlformats.org/officeDocument/2006/relationships/hyperlink" Target="https://engineering.purdue.edu/ME/People/ptProfile?resource_id=105717" TargetMode="External" Id="rId86"/><Relationship Type="http://schemas.openxmlformats.org/officeDocument/2006/relationships/hyperlink" Target="https://scholar.google.com/citations?view_op=search_authors&amp;mauthors=Sadegh%20Dabiri%20Purdue%20University" TargetMode="External" Id="rId87"/><Relationship Type="http://schemas.openxmlformats.org/officeDocument/2006/relationships/hyperlink" Target="mailto:dabiri@purdue.edu" TargetMode="External" Id="rId88"/><Relationship Type="http://schemas.openxmlformats.org/officeDocument/2006/relationships/hyperlink" Target="http://web.ics.purdue.edu/~sdabiris/" TargetMode="External" Id="rId89"/><Relationship Type="http://schemas.openxmlformats.org/officeDocument/2006/relationships/hyperlink" Target="https://engineering.purdue.edu/ME/People/ptFaculty" TargetMode="External" Id="rId90"/><Relationship Type="http://schemas.openxmlformats.org/officeDocument/2006/relationships/hyperlink" Target="https://engineering.purdue.edu/AAE/people/ptProfile?resource_id=56893" TargetMode="External" Id="rId91"/><Relationship Type="http://schemas.openxmlformats.org/officeDocument/2006/relationships/hyperlink" Target="https://scholar.google.com/citations?view_op=search_authors&amp;mauthors=Tom%20Shih%20Purdue%20University" TargetMode="External" Id="rId92"/><Relationship Type="http://schemas.openxmlformats.org/officeDocument/2006/relationships/hyperlink" Target="mailto:tomshih@purdue.edu" TargetMode="External" Id="rId93"/><Relationship Type="http://schemas.openxmlformats.org/officeDocument/2006/relationships/hyperlink" Target="https://insgc.spacegrant.org/" TargetMode="External" Id="rId94"/><Relationship Type="http://schemas.openxmlformats.org/officeDocument/2006/relationships/hyperlink" Target="https://engineering.purdue.edu/AAE/people/Faculty" TargetMode="External" Id="rId95"/><Relationship Type="http://schemas.openxmlformats.org/officeDocument/2006/relationships/hyperlink" Target="https://engineering.purdue.edu/AAE/people/ptProfile?resource_id=319705" TargetMode="External" Id="rId96"/><Relationship Type="http://schemas.openxmlformats.org/officeDocument/2006/relationships/hyperlink" Target="https://scholar.google.com/citations?view_op=search_authors&amp;mauthors=Kyle%20DeMars%20Purdue%20University" TargetMode="External" Id="rId97"/><Relationship Type="http://schemas.openxmlformats.org/officeDocument/2006/relationships/hyperlink" Target="mailto:kdemars@purdue.edu" TargetMode="External" Id="rId98"/><Relationship Type="http://schemas.openxmlformats.org/officeDocument/2006/relationships/hyperlink" Target="https://insgc.spacegrant.org/" TargetMode="External" Id="rId99"/><Relationship Type="http://schemas.openxmlformats.org/officeDocument/2006/relationships/hyperlink" Target="https://engineering.purdue.edu/AAE/people/Faculty" TargetMode="External" Id="rId100"/><Relationship Type="http://schemas.openxmlformats.org/officeDocument/2006/relationships/hyperlink" Target="https://engineering.purdue.edu/AAE/people/ptProfile?resource_id=39640" TargetMode="External" Id="rId101"/><Relationship Type="http://schemas.openxmlformats.org/officeDocument/2006/relationships/hyperlink" Target="https://scholar.google.com/citations?user=yFXFQPYAAAAJ&amp;hl=en" TargetMode="External" Id="rId102"/><Relationship Type="http://schemas.openxmlformats.org/officeDocument/2006/relationships/hyperlink" Target="mailto:lqiao@purdue.edu" TargetMode="External" Id="rId103"/><Relationship Type="http://schemas.openxmlformats.org/officeDocument/2006/relationships/hyperlink" Target="https://insgc.spacegrant.org/" TargetMode="External" Id="rId104"/><Relationship Type="http://schemas.openxmlformats.org/officeDocument/2006/relationships/hyperlink" Target="https://engineering.purdue.edu/AAE/people/Faculty" TargetMode="External" Id="rId105"/><Relationship Type="http://schemas.openxmlformats.org/officeDocument/2006/relationships/hyperlink" Target="https://engineering.purdue.edu/ME/People/ptProfile?resource_id=159298" TargetMode="External" Id="rId106"/><Relationship Type="http://schemas.openxmlformats.org/officeDocument/2006/relationships/hyperlink" Target="https://scholar.google.com/citations?view_op=search_authors&amp;mauthors=Aaron%20Morris%20Purdue%20University" TargetMode="External" Id="rId107"/><Relationship Type="http://schemas.openxmlformats.org/officeDocument/2006/relationships/hyperlink" Target="mailto:abmorris@purdue.edu" TargetMode="External" Id="rId108"/><Relationship Type="http://schemas.openxmlformats.org/officeDocument/2006/relationships/hyperlink" Target="https://engineering.purdue.edu/CP3/" TargetMode="External" Id="rId109"/><Relationship Type="http://schemas.openxmlformats.org/officeDocument/2006/relationships/hyperlink" Target="https://engineering.purdue.edu/ME/People/ptFaculty" TargetMode="External" Id="rId110"/><Relationship Type="http://schemas.openxmlformats.org/officeDocument/2006/relationships/hyperlink" Target="https://engineering.purdue.edu/AAE/people/ptProfile?resource_id=124987" TargetMode="External" Id="rId111"/><Relationship Type="http://schemas.openxmlformats.org/officeDocument/2006/relationships/hyperlink" Target="https://scholar.google.com/citations?view_op=search_authors&amp;mauthors=Alexey%20Shashurin%20Purdue%20University" TargetMode="External" Id="rId112"/><Relationship Type="http://schemas.openxmlformats.org/officeDocument/2006/relationships/hyperlink" Target="mailto:ashashur@purdue.edu" TargetMode="External" Id="rId113"/><Relationship Type="http://schemas.openxmlformats.org/officeDocument/2006/relationships/hyperlink" Target="https://insgc.spacegrant.org/" TargetMode="External" Id="rId114"/><Relationship Type="http://schemas.openxmlformats.org/officeDocument/2006/relationships/hyperlink" Target="https://engineering.purdue.edu/AAE/people/Faculty" TargetMode="External" Id="rId115"/><Relationship Type="http://schemas.openxmlformats.org/officeDocument/2006/relationships/hyperlink" Target="https://engineering.purdue.edu/ME/People/ptProfile?resource_id=297468" TargetMode="External" Id="rId116"/><Relationship Type="http://schemas.openxmlformats.org/officeDocument/2006/relationships/hyperlink" Target="https://scholar.google.com/citations?view_op=search_authors&amp;mauthors=Carlos%20Larriba-Andaluz%20Purdue%20University" TargetMode="External" Id="rId117"/><Relationship Type="http://schemas.openxmlformats.org/officeDocument/2006/relationships/hyperlink" Target="mailto:clarriba@purdue.edu" TargetMode="External" Id="rId118"/><Relationship Type="http://schemas.openxmlformats.org/officeDocument/2006/relationships/hyperlink" Target="http://www.imospedia.com" TargetMode="External" Id="rId119"/><Relationship Type="http://schemas.openxmlformats.org/officeDocument/2006/relationships/hyperlink" Target="https://engineering.purdue.edu/ME/People/ptFaculty" TargetMode="External" Id="rId120"/><Relationship Type="http://schemas.openxmlformats.org/officeDocument/2006/relationships/hyperlink" Target="https://engineering.purdue.edu/AAE/people/ptProfile?resource_id=111420" TargetMode="External" Id="rId121"/><Relationship Type="http://schemas.openxmlformats.org/officeDocument/2006/relationships/hyperlink" Target="https://scholar.google.com/citations?view_op=search_authors&amp;mauthors=Carolin%20E%20Frueh%20Purdue%20University" TargetMode="External" Id="rId122"/><Relationship Type="http://schemas.openxmlformats.org/officeDocument/2006/relationships/hyperlink" Target="mailto:cfrueh@purdue.edu" TargetMode="External" Id="rId123"/><Relationship Type="http://schemas.openxmlformats.org/officeDocument/2006/relationships/hyperlink" Target="https://insgc.spacegrant.org/" TargetMode="External" Id="rId124"/><Relationship Type="http://schemas.openxmlformats.org/officeDocument/2006/relationships/hyperlink" Target="https://engineering.purdue.edu/AAE/people/Faculty" TargetMode="External" Id="rId125"/><Relationship Type="http://schemas.openxmlformats.org/officeDocument/2006/relationships/hyperlink" Target="https://engineering.purdue.edu/ME/People/ptProfile?resource_id=117602" TargetMode="External" Id="rId126"/><Relationship Type="http://schemas.openxmlformats.org/officeDocument/2006/relationships/hyperlink" Target="https://scholar.google.com/citations?view_op=search_authors&amp;mauthors=Guang%20Lin%20Purdue%20University" TargetMode="External" Id="rId127"/><Relationship Type="http://schemas.openxmlformats.org/officeDocument/2006/relationships/hyperlink" Target="mailto:guanglin@purdue.edu" TargetMode="External" Id="rId128"/><Relationship Type="http://schemas.openxmlformats.org/officeDocument/2006/relationships/hyperlink" Target="http://www.math.purdue.edu/~lin491/" TargetMode="External" Id="rId129"/><Relationship Type="http://schemas.openxmlformats.org/officeDocument/2006/relationships/hyperlink" Target="https://engineering.purdue.edu/ME/People/ptFaculty" TargetMode="External" Id="rId130"/><Relationship Type="http://schemas.openxmlformats.org/officeDocument/2006/relationships/hyperlink" Target="https://engineering.purdue.edu/AAE/people/ptProfile?resource_id=284676" TargetMode="External" Id="rId131"/><Relationship Type="http://schemas.openxmlformats.org/officeDocument/2006/relationships/hyperlink" Target="https://scholar.google.com/citations?hl=en&amp;user=r7gLAy4AAAAJ&amp;view_op=list_works&amp;sortby=pubdate" TargetMode="External" Id="rId132"/><Relationship Type="http://schemas.openxmlformats.org/officeDocument/2006/relationships/hyperlink" Target="mailto:kmaeda@purdue.edu" TargetMode="External" Id="rId133"/><Relationship Type="http://schemas.openxmlformats.org/officeDocument/2006/relationships/hyperlink" Target="https://insgc.spacegrant.org/" TargetMode="External" Id="rId134"/><Relationship Type="http://schemas.openxmlformats.org/officeDocument/2006/relationships/hyperlink" Target="https://engineering.purdue.edu/AAE/people/Faculty" TargetMode="External" Id="rId135"/><Relationship Type="http://schemas.openxmlformats.org/officeDocument/2006/relationships/hyperlink" Target="https://engineering.purdue.edu/ME/People/ptProfile?resource_id=328301" TargetMode="External" Id="rId136"/><Relationship Type="http://schemas.openxmlformats.org/officeDocument/2006/relationships/hyperlink" Target="https://scholar.google.com/citations?view_op=search_authors&amp;mauthors=Romit%20Maulik%20Purdue%20University" TargetMode="External" Id="rId137"/><Relationship Type="http://schemas.openxmlformats.org/officeDocument/2006/relationships/hyperlink" Target="mailto:rmaulik@purdue.edu" TargetMode="External" Id="rId138"/><Relationship Type="http://schemas.openxmlformats.org/officeDocument/2006/relationships/hyperlink" Target="https://romit-maulik.github.io/" TargetMode="External" Id="rId139"/><Relationship Type="http://schemas.openxmlformats.org/officeDocument/2006/relationships/hyperlink" Target="https://github.com/Romit-Maulik" TargetMode="External" Id="rId140"/><Relationship Type="http://schemas.openxmlformats.org/officeDocument/2006/relationships/hyperlink" Target="https://engineering.purdue.edu/ME/People/ptFaculty" TargetMode="External" Id="rId141"/><Relationship Type="http://schemas.openxmlformats.org/officeDocument/2006/relationships/hyperlink" Target="https://engineering.purdue.edu/AAE/people/ptProfile?resource_id=23845" TargetMode="External" Id="rId142"/><Relationship Type="http://schemas.openxmlformats.org/officeDocument/2006/relationships/hyperlink" Target="https://scholar.google.com/citations?view_op=search_authors&amp;mauthors=Timoth%C3%A9e%20Pourpoint%20Purdue%20University" TargetMode="External" Id="rId143"/><Relationship Type="http://schemas.openxmlformats.org/officeDocument/2006/relationships/hyperlink" Target="mailto:timothee@purdue.edu" TargetMode="External" Id="rId144"/><Relationship Type="http://schemas.openxmlformats.org/officeDocument/2006/relationships/hyperlink" Target="https://insgc.spacegrant.org/" TargetMode="External" Id="rId145"/><Relationship Type="http://schemas.openxmlformats.org/officeDocument/2006/relationships/hyperlink" Target="https://engineering.purdue.edu/AAE/people/Faculty" TargetMode="External" Id="rId146"/><Relationship Type="http://schemas.openxmlformats.org/officeDocument/2006/relationships/hyperlink" Target="https://engineering.purdue.edu/ME/People/ptProfile?resource_id=44345" TargetMode="External" Id="rId147"/><Relationship Type="http://schemas.openxmlformats.org/officeDocument/2006/relationships/hyperlink" Target="https://scholar.google.com/citations?view_op=search_authors&amp;mauthors=Jun%20Chen%20Purdue%20University" TargetMode="External" Id="rId148"/><Relationship Type="http://schemas.openxmlformats.org/officeDocument/2006/relationships/hyperlink" Target="mailto:junchen@purdue.edu" TargetMode="External" Id="rId149"/><Relationship Type="http://schemas.openxmlformats.org/officeDocument/2006/relationships/hyperlink" Target="https://engineering.purdue.edu/~chen220" TargetMode="External" Id="rId150"/><Relationship Type="http://schemas.openxmlformats.org/officeDocument/2006/relationships/hyperlink" Target="https://engineering.purdue.edu/AAE/people/Faculty" TargetMode="External" Id="rId151"/><Relationship Type="http://schemas.openxmlformats.org/officeDocument/2006/relationships/hyperlink" Target="https://engineering.purdue.edu/AAE/people/ptProfile?resource_id=255151" TargetMode="External" Id="rId152"/><Relationship Type="http://schemas.openxmlformats.org/officeDocument/2006/relationships/hyperlink" Target="https://scholar.google.com/citations?view_op=search_authors&amp;mauthors=Mark%20Lewis%20Purdue%20University" TargetMode="External" Id="rId153"/><Relationship Type="http://schemas.openxmlformats.org/officeDocument/2006/relationships/hyperlink" Target="https://engineering.purdue.edu/AAE/people/Faculty" TargetMode="External" Id="rId154"/><Relationship Type="http://schemas.openxmlformats.org/officeDocument/2006/relationships/hyperlink" Target="https://engineering.purdue.edu/AAE/people/ptProfile?resource_id=55699" TargetMode="External" Id="rId155"/><Relationship Type="http://schemas.openxmlformats.org/officeDocument/2006/relationships/hyperlink" Target="https://scholar.google.com/citations?user=rI7TKPYAAAAJ&amp;hl=en&amp;oi=ao" TargetMode="External" Id="rId156"/><Relationship Type="http://schemas.openxmlformats.org/officeDocument/2006/relationships/hyperlink" Target="mailto:tomar@purdue.edu" TargetMode="External" Id="rId157"/><Relationship Type="http://schemas.openxmlformats.org/officeDocument/2006/relationships/hyperlink" Target="https://insgc.spacegrant.org/" TargetMode="External" Id="rId158"/><Relationship Type="http://schemas.openxmlformats.org/officeDocument/2006/relationships/hyperlink" Target="https://engineering.purdue.edu/AAE/people/Faculty" TargetMode="External" Id="rId159"/><Relationship Type="http://schemas.openxmlformats.org/officeDocument/2006/relationships/hyperlink" Target="https://engineering.purdue.edu/ME/People/ptProfile?resource_id=117606" TargetMode="External" Id="rId160"/><Relationship Type="http://schemas.openxmlformats.org/officeDocument/2006/relationships/hyperlink" Target="https://scholar.google.com/citations?view_op=search_authors&amp;mauthors=Benxin%20Wu%20Purdue%20University" TargetMode="External" Id="rId161"/><Relationship Type="http://schemas.openxmlformats.org/officeDocument/2006/relationships/hyperlink" Target="mailto:wu65@purdue.edu" TargetMode="External" Id="rId162"/><Relationship Type="http://schemas.openxmlformats.org/officeDocument/2006/relationships/hyperlink" Target="https://insgc.spacegrant.org/" TargetMode="External" Id="rId163"/><Relationship Type="http://schemas.openxmlformats.org/officeDocument/2006/relationships/hyperlink" Target="https://engineering.purdue.edu/ME/People/ptFaculty" TargetMode="External" Id="rId164"/><Relationship Type="http://schemas.openxmlformats.org/officeDocument/2006/relationships/hyperlink" Target="https://engineering.purdue.edu/ME/People/ptProfile?resource_id=29361" TargetMode="External" Id="rId165"/><Relationship Type="http://schemas.openxmlformats.org/officeDocument/2006/relationships/hyperlink" Target="https://scholar.google.com/citations?view_op=search_authors&amp;mauthors=Gregory%20M.%20Shaver%20Purdue%20University" TargetMode="External" Id="rId166"/><Relationship Type="http://schemas.openxmlformats.org/officeDocument/2006/relationships/hyperlink" Target="mailto:gshaver@purdue.edu" TargetMode="External" Id="rId167"/><Relationship Type="http://schemas.openxmlformats.org/officeDocument/2006/relationships/hyperlink" Target="http://www.gregshaver.com/" TargetMode="External" Id="rId168"/><Relationship Type="http://schemas.openxmlformats.org/officeDocument/2006/relationships/hyperlink" Target="https://engineering.purdue.edu/ME/People/ptFaculty" TargetMode="External" Id="rId169"/><Relationship Type="http://schemas.openxmlformats.org/officeDocument/2006/relationships/hyperlink" Target="https://engineering.purdue.edu/AAE/people/ptProfile?resource_id=285032" TargetMode="External" Id="rId170"/><Relationship Type="http://schemas.openxmlformats.org/officeDocument/2006/relationships/hyperlink" Target="https://scholar.google.com/citations?view_op=search_authors&amp;mauthors=Jamie%20Canino%20Purdue%20University" TargetMode="External" Id="rId171"/><Relationship Type="http://schemas.openxmlformats.org/officeDocument/2006/relationships/hyperlink" Target="mailto:canino@purdue.edu" TargetMode="External" Id="rId172"/><Relationship Type="http://schemas.openxmlformats.org/officeDocument/2006/relationships/hyperlink" Target="https://insgc.spacegrant.org/" TargetMode="External" Id="rId173"/><Relationship Type="http://schemas.openxmlformats.org/officeDocument/2006/relationships/hyperlink" Target="https://engineering.purdue.edu/AAE/people/Faculty" TargetMode="External" Id="rId174"/><Relationship Type="http://schemas.openxmlformats.org/officeDocument/2006/relationships/hyperlink" Target="https://engineering.purdue.edu/AAE/people/ptProfile?resource_id=256632" TargetMode="External" Id="rId175"/><Relationship Type="http://schemas.openxmlformats.org/officeDocument/2006/relationships/hyperlink" Target="https://scholar.google.com/citations?view_op=search_authors&amp;mauthors=Leifur%20Leifsson%20Purdue%20University" TargetMode="External" Id="rId176"/><Relationship Type="http://schemas.openxmlformats.org/officeDocument/2006/relationships/hyperlink" Target="mailto:leifur@purdue.edu" TargetMode="External" Id="rId177"/><Relationship Type="http://schemas.openxmlformats.org/officeDocument/2006/relationships/hyperlink" Target="https://insgc.spacegrant.org/" TargetMode="External" Id="rId178"/><Relationship Type="http://schemas.openxmlformats.org/officeDocument/2006/relationships/hyperlink" Target="https://engineering.purdue.edu/AAE/people/Faculty" TargetMode="External" Id="rId179"/><Relationship Type="http://schemas.openxmlformats.org/officeDocument/2006/relationships/hyperlink" Target="https://engineering.purdue.edu/ME/People/ptProfile?resource_id=324341" TargetMode="External" Id="rId180"/><Relationship Type="http://schemas.openxmlformats.org/officeDocument/2006/relationships/hyperlink" Target="https://scholar.google.com/citations?user=IKgNChQAAAAJ" TargetMode="External" Id="rId181"/><Relationship Type="http://schemas.openxmlformats.org/officeDocument/2006/relationships/hyperlink" Target="mailto:sranftl@purdue.edu" TargetMode="External" Id="rId182"/><Relationship Type="http://schemas.openxmlformats.org/officeDocument/2006/relationships/hyperlink" Target="https://sites.google.com/view/sascha-ranftl" TargetMode="External" Id="rId183"/><Relationship Type="http://schemas.openxmlformats.org/officeDocument/2006/relationships/hyperlink" Target="https://engineering.purdue.edu/ME/People/ptFaculty" TargetMode="External" Id="rId184"/></Relationships>
</file>

<file path=xl/worksheets/_rels/sheet2.xml.rels><Relationships xmlns="http://schemas.openxmlformats.org/package/2006/relationships"><Relationship Type="http://schemas.openxmlformats.org/officeDocument/2006/relationships/hyperlink" Target="https://engineering.purdue.edu/AAE/people/ptProfile?resource_id=1377" TargetMode="External" Id="rId1"/><Relationship Type="http://schemas.openxmlformats.org/officeDocument/2006/relationships/hyperlink" Target="https://scholar.google.com/citations?view_op=search_authors&amp;mauthors=Gregory%20A.%20Blaisdell%20Purdue%20University" TargetMode="External" Id="rId2"/><Relationship Type="http://schemas.openxmlformats.org/officeDocument/2006/relationships/hyperlink" Target="mailto:blaisdel@purdue.edu" TargetMode="External" Id="rId3"/><Relationship Type="http://schemas.openxmlformats.org/officeDocument/2006/relationships/hyperlink" Target="https://insgc.spacegrant.org/" TargetMode="External" Id="rId4"/><Relationship Type="http://schemas.openxmlformats.org/officeDocument/2006/relationships/hyperlink" Target="https://engineering.purdue.edu/AAE/people/Faculty" TargetMode="External" Id="rId5"/><Relationship Type="http://schemas.openxmlformats.org/officeDocument/2006/relationships/hyperlink" Target="https://engineering.purdue.edu/AAE/people/ptProfile?resource_id=72424" TargetMode="External" Id="rId6"/><Relationship Type="http://schemas.openxmlformats.org/officeDocument/2006/relationships/hyperlink" Target="https://scholar.google.com/citations?user=fprhTwwAAAAJ&amp;hl=en" TargetMode="External" Id="rId7"/><Relationship Type="http://schemas.openxmlformats.org/officeDocument/2006/relationships/hyperlink" Target="mailto:sbane@purdue.edu" TargetMode="External" Id="rId8"/><Relationship Type="http://schemas.openxmlformats.org/officeDocument/2006/relationships/hyperlink" Target="https://insgc.spacegrant.org/" TargetMode="External" Id="rId9"/><Relationship Type="http://schemas.openxmlformats.org/officeDocument/2006/relationships/hyperlink" Target="https://engineering.purdue.edu/AAE/people/Faculty" TargetMode="External" Id="rId10"/><Relationship Type="http://schemas.openxmlformats.org/officeDocument/2006/relationships/hyperlink" Target="https://engineering.purdue.edu/AAE/people/ptProfile?resource_id=124958" TargetMode="External" Id="rId11"/><Relationship Type="http://schemas.openxmlformats.org/officeDocument/2006/relationships/hyperlink" Target="https://scholar.google.com/citations?view_op=search_authors&amp;mauthors=Carson%20Slabaugh%20Purdue%20University" TargetMode="External" Id="rId12"/><Relationship Type="http://schemas.openxmlformats.org/officeDocument/2006/relationships/hyperlink" Target="mailto:cslabau@purdue.edu" TargetMode="External" Id="rId13"/><Relationship Type="http://schemas.openxmlformats.org/officeDocument/2006/relationships/hyperlink" Target="https://insgc.spacegrant.org/" TargetMode="External" Id="rId14"/><Relationship Type="http://schemas.openxmlformats.org/officeDocument/2006/relationships/hyperlink" Target="https://engineering.purdue.edu/AAE/people/Faculty" TargetMode="External" Id="rId15"/><Relationship Type="http://schemas.openxmlformats.org/officeDocument/2006/relationships/hyperlink" Target="https://engineering.purdue.edu/AAE/people/ptProfile?resource_id=1274" TargetMode="External" Id="rId16"/><Relationship Type="http://schemas.openxmlformats.org/officeDocument/2006/relationships/hyperlink" Target="https://scholar.google.com/citations?view_op=search_authors&amp;mauthors=Steven%20P.%20Schneider%20Purdue%20University" TargetMode="External" Id="rId17"/><Relationship Type="http://schemas.openxmlformats.org/officeDocument/2006/relationships/hyperlink" Target="mailto:steves@purdue.edu" TargetMode="External" Id="rId18"/><Relationship Type="http://schemas.openxmlformats.org/officeDocument/2006/relationships/hyperlink" Target="https://insgc.spacegrant.org/" TargetMode="External" Id="rId19"/><Relationship Type="http://schemas.openxmlformats.org/officeDocument/2006/relationships/hyperlink" Target="https://engineering.purdue.edu/AAE/people/Faculty" TargetMode="External" Id="rId20"/><Relationship Type="http://schemas.openxmlformats.org/officeDocument/2006/relationships/hyperlink" Target="https://engineering.purdue.edu/AAE/people/ptProfile?resource_id=221718" TargetMode="External" Id="rId21"/><Relationship Type="http://schemas.openxmlformats.org/officeDocument/2006/relationships/hyperlink" Target="https://scholar.google.com/citations?hl=en&amp;user=NZ7cWNwAAAAJ" TargetMode="External" Id="rId22"/><Relationship Type="http://schemas.openxmlformats.org/officeDocument/2006/relationships/hyperlink" Target="mailto:jsjewell@purdue.edu" TargetMode="External" Id="rId23"/><Relationship Type="http://schemas.openxmlformats.org/officeDocument/2006/relationships/hyperlink" Target="https://insgc.spacegrant.org/" TargetMode="External" Id="rId24"/><Relationship Type="http://schemas.openxmlformats.org/officeDocument/2006/relationships/hyperlink" Target="https://engineering.purdue.edu/AAE/people/Faculty" TargetMode="External" Id="rId25"/><Relationship Type="http://schemas.openxmlformats.org/officeDocument/2006/relationships/hyperlink" Target="https://engineering.purdue.edu/AAE/people/ptProfile?resource_id=255154" TargetMode="External" Id="rId26"/><Relationship Type="http://schemas.openxmlformats.org/officeDocument/2006/relationships/hyperlink" Target="https://scholar.google.com/citations?view_op=search_authors&amp;mauthors=Kenshiro%20Oguri%20Purdue%20University" TargetMode="External" Id="rId27"/><Relationship Type="http://schemas.openxmlformats.org/officeDocument/2006/relationships/hyperlink" Target="mailto:koguri@purdue.edu" TargetMode="External" Id="rId28"/><Relationship Type="http://schemas.openxmlformats.org/officeDocument/2006/relationships/hyperlink" Target="https://insgc.spacegrant.org/" TargetMode="External" Id="rId29"/><Relationship Type="http://schemas.openxmlformats.org/officeDocument/2006/relationships/hyperlink" Target="https://engineering.purdue.edu/AAE/people/Faculty" TargetMode="External" Id="rId30"/><Relationship Type="http://schemas.openxmlformats.org/officeDocument/2006/relationships/hyperlink" Target="https://engineering.purdue.edu/AAE/people/ptProfile?resource_id=78657" TargetMode="External" Id="rId31"/><Relationship Type="http://schemas.openxmlformats.org/officeDocument/2006/relationships/hyperlink" Target="https://scholar.google.com/citations?view_op=search_authors&amp;mauthors=Haifeng%20Wang%20Purdue%20University" TargetMode="External" Id="rId32"/><Relationship Type="http://schemas.openxmlformats.org/officeDocument/2006/relationships/hyperlink" Target="mailto:haifeng@purdue.edu" TargetMode="External" Id="rId33"/><Relationship Type="http://schemas.openxmlformats.org/officeDocument/2006/relationships/hyperlink" Target="https://insgc.spacegrant.org/" TargetMode="External" Id="rId34"/><Relationship Type="http://schemas.openxmlformats.org/officeDocument/2006/relationships/hyperlink" Target="https://engineering.purdue.edu/AAE/people/Faculty" TargetMode="External" Id="rId35"/><Relationship Type="http://schemas.openxmlformats.org/officeDocument/2006/relationships/hyperlink" Target="https://engineering.purdue.edu/AAE/people/ptProfile?resource_id=124984" TargetMode="External" Id="rId36"/><Relationship Type="http://schemas.openxmlformats.org/officeDocument/2006/relationships/hyperlink" Target="https://scholar.google.com/citations?view_op=search_authors&amp;mauthors=Jonathan%20Poggie%20Purdue%20University" TargetMode="External" Id="rId37"/><Relationship Type="http://schemas.openxmlformats.org/officeDocument/2006/relationships/hyperlink" Target="mailto:jpoggie@purdue.edu" TargetMode="External" Id="rId38"/><Relationship Type="http://schemas.openxmlformats.org/officeDocument/2006/relationships/hyperlink" Target="https://insgc.spacegrant.org/" TargetMode="External" Id="rId39"/><Relationship Type="http://schemas.openxmlformats.org/officeDocument/2006/relationships/hyperlink" Target="https://engineering.purdue.edu/AAE/people/Faculty" TargetMode="External" Id="rId40"/><Relationship Type="http://schemas.openxmlformats.org/officeDocument/2006/relationships/hyperlink" Target="https://engineering.purdue.edu/AAE/people/ptProfile?resource_id=1384" TargetMode="External" Id="rId41"/><Relationship Type="http://schemas.openxmlformats.org/officeDocument/2006/relationships/hyperlink" Target="https://scholar.google.com/citations?view_op=search_authors&amp;mauthors=Kathleen%20C.%20Howell%20Purdue%20University" TargetMode="External" Id="rId42"/><Relationship Type="http://schemas.openxmlformats.org/officeDocument/2006/relationships/hyperlink" Target="mailto:howell@purdue.edu" TargetMode="External" Id="rId43"/><Relationship Type="http://schemas.openxmlformats.org/officeDocument/2006/relationships/hyperlink" Target="https://insgc.spacegrant.org/" TargetMode="External" Id="rId44"/><Relationship Type="http://schemas.openxmlformats.org/officeDocument/2006/relationships/hyperlink" Target="https://engineering.purdue.edu/AAE/people/Faculty" TargetMode="External" Id="rId45"/><Relationship Type="http://schemas.openxmlformats.org/officeDocument/2006/relationships/hyperlink" Target="https://engineering.purdue.edu/AAE/people/ptProfile?resource_id=318748" TargetMode="External" Id="rId46"/><Relationship Type="http://schemas.openxmlformats.org/officeDocument/2006/relationships/hyperlink" Target="https://scholar.google.com/citations?view_op=search_authors&amp;mauthors=Kyle%20Hanquist%20Purdue%20University" TargetMode="External" Id="rId47"/><Relationship Type="http://schemas.openxmlformats.org/officeDocument/2006/relationships/hyperlink" Target="mailto:hanquist@purdue.edu" TargetMode="External" Id="rId48"/><Relationship Type="http://schemas.openxmlformats.org/officeDocument/2006/relationships/hyperlink" Target="https://insgc.spacegrant.org/" TargetMode="External" Id="rId49"/><Relationship Type="http://schemas.openxmlformats.org/officeDocument/2006/relationships/hyperlink" Target="https://engineering.purdue.edu/AAE/people/Faculty" TargetMode="External" Id="rId50"/><Relationship Type="http://schemas.openxmlformats.org/officeDocument/2006/relationships/hyperlink" Target="https://engineering.purdue.edu/AAE/people/ptProfile?resource_id=1370" TargetMode="External" Id="rId51"/><Relationship Type="http://schemas.openxmlformats.org/officeDocument/2006/relationships/hyperlink" Target="https://scholar.google.com/citations?view_op=search_authors&amp;mauthors=Steven%20Collicott%20Purdue%20University" TargetMode="External" Id="rId52"/><Relationship Type="http://schemas.openxmlformats.org/officeDocument/2006/relationships/hyperlink" Target="mailto:collicott@purdue.edu" TargetMode="External" Id="rId53"/><Relationship Type="http://schemas.openxmlformats.org/officeDocument/2006/relationships/hyperlink" Target="https://insgc.spacegrant.org/" TargetMode="External" Id="rId54"/><Relationship Type="http://schemas.openxmlformats.org/officeDocument/2006/relationships/hyperlink" Target="https://engineering.purdue.edu/AAE/people/Faculty" TargetMode="External" Id="rId55"/><Relationship Type="http://schemas.openxmlformats.org/officeDocument/2006/relationships/hyperlink" Target="https://engineering.purdue.edu/AAE/people/ptProfile?resource_id=23887" TargetMode="External" Id="rId56"/><Relationship Type="http://schemas.openxmlformats.org/officeDocument/2006/relationships/hyperlink" Target="https://scholar.google.com/citations?user=vr5HyoMAAAAJ&amp;hl=en" TargetMode="External" Id="rId57"/><Relationship Type="http://schemas.openxmlformats.org/officeDocument/2006/relationships/hyperlink" Target="mailto:alexeenk@purdue.edu" TargetMode="External" Id="rId58"/><Relationship Type="http://schemas.openxmlformats.org/officeDocument/2006/relationships/hyperlink" Target="https://insgc.spacegrant.org/" TargetMode="External" Id="rId59"/><Relationship Type="http://schemas.openxmlformats.org/officeDocument/2006/relationships/hyperlink" Target="https://engineering.purdue.edu/AAE/people/Faculty" TargetMode="External" Id="rId60"/><Relationship Type="http://schemas.openxmlformats.org/officeDocument/2006/relationships/hyperlink" Target="https://engineering.purdue.edu/ME/People/ptProfile?resource_id=110641" TargetMode="External" Id="rId61"/><Relationship Type="http://schemas.openxmlformats.org/officeDocument/2006/relationships/hyperlink" Target="https://scholar.google.com/citations?view_op=search_authors&amp;mauthors=Arezoo%20Ardekani%20Purdue%20University" TargetMode="External" Id="rId62"/><Relationship Type="http://schemas.openxmlformats.org/officeDocument/2006/relationships/hyperlink" Target="mailto:ardekani@purdue.edu" TargetMode="External" Id="rId63"/><Relationship Type="http://schemas.openxmlformats.org/officeDocument/2006/relationships/hyperlink" Target="https://engineering.purdue.edu/ComplexFlowLab" TargetMode="External" Id="rId64"/><Relationship Type="http://schemas.openxmlformats.org/officeDocument/2006/relationships/hyperlink" Target="https://engineering.purdue.edu/ME/People/ptFaculty" TargetMode="External" Id="rId65"/><Relationship Type="http://schemas.openxmlformats.org/officeDocument/2006/relationships/hyperlink" Target="https://engineering.purdue.edu/ME/People/ptProfile?resource_id=281457" TargetMode="External" Id="rId66"/><Relationship Type="http://schemas.openxmlformats.org/officeDocument/2006/relationships/hyperlink" Target="https://scholar.google.com/citations?view_op=search_authors&amp;mauthors=Daniel%20Guildenbecher%20Purdue%20University" TargetMode="External" Id="rId67"/><Relationship Type="http://schemas.openxmlformats.org/officeDocument/2006/relationships/hyperlink" Target="mailto:dguilden@purdue.edu" TargetMode="External" Id="rId68"/><Relationship Type="http://schemas.openxmlformats.org/officeDocument/2006/relationships/hyperlink" Target="https://engineering.purdue.edu/GuildenbecherLab" TargetMode="External" Id="rId69"/><Relationship Type="http://schemas.openxmlformats.org/officeDocument/2006/relationships/hyperlink" Target="https://engineering.purdue.edu/ME/People/ptFaculty" TargetMode="External" Id="rId70"/><Relationship Type="http://schemas.openxmlformats.org/officeDocument/2006/relationships/hyperlink" Target="https://engineering.purdue.edu/AAE/people/ptProfile?resource_id=339087" TargetMode="External" Id="rId71"/><Relationship Type="http://schemas.openxmlformats.org/officeDocument/2006/relationships/hyperlink" Target="https://scholar.google.com/citations?view_op=search_authors&amp;mauthors=John%20Mullin%20Purdue%20University" TargetMode="External" Id="rId72"/><Relationship Type="http://schemas.openxmlformats.org/officeDocument/2006/relationships/hyperlink" Target="mailto:webmaster-eng@purdue.edu" TargetMode="External" Id="rId73"/><Relationship Type="http://schemas.openxmlformats.org/officeDocument/2006/relationships/hyperlink" Target="https://insgc.spacegrant.org/" TargetMode="External" Id="rId74"/><Relationship Type="http://schemas.openxmlformats.org/officeDocument/2006/relationships/hyperlink" Target="https://engineering.purdue.edu/AAE/people/Faculty" TargetMode="External" Id="rId75"/><Relationship Type="http://schemas.openxmlformats.org/officeDocument/2006/relationships/hyperlink" Target="https://engineering.purdue.edu/ME/People/ptProfile?resource_id=173054" TargetMode="External" Id="rId76"/><Relationship Type="http://schemas.openxmlformats.org/officeDocument/2006/relationships/hyperlink" Target="https://scholar.google.com/citations?view_op=search_authors&amp;mauthors=Luciano%20Castillo%20Purdue%20University" TargetMode="External" Id="rId77"/><Relationship Type="http://schemas.openxmlformats.org/officeDocument/2006/relationships/hyperlink" Target="mailto:lcastillo@purdue.edu" TargetMode="External" Id="rId78"/><Relationship Type="http://schemas.openxmlformats.org/officeDocument/2006/relationships/hyperlink" Target="https://blueintegratedpartners.org/" TargetMode="External" Id="rId79"/><Relationship Type="http://schemas.openxmlformats.org/officeDocument/2006/relationships/hyperlink" Target="https://engineering.purdue.edu/ME/People/ptFaculty" TargetMode="External" Id="rId80"/><Relationship Type="http://schemas.openxmlformats.org/officeDocument/2006/relationships/hyperlink" Target="https://engineering.purdue.edu/AAE/people/ptProfile?resource_id=28413" TargetMode="External" Id="rId81"/><Relationship Type="http://schemas.openxmlformats.org/officeDocument/2006/relationships/hyperlink" Target="https://scholar.google.com/citations?view_op=search_authors&amp;mauthors=Robert%20Lucht%20Purdue%20University" TargetMode="External" Id="rId82"/><Relationship Type="http://schemas.openxmlformats.org/officeDocument/2006/relationships/hyperlink" Target="mailto:lucht@purdue.edu" TargetMode="External" Id="rId83"/><Relationship Type="http://schemas.openxmlformats.org/officeDocument/2006/relationships/hyperlink" Target="https://insgc.spacegrant.org/" TargetMode="External" Id="rId84"/><Relationship Type="http://schemas.openxmlformats.org/officeDocument/2006/relationships/hyperlink" Target="https://engineering.purdue.edu/AAE/people/Faculty" TargetMode="External" Id="rId85"/><Relationship Type="http://schemas.openxmlformats.org/officeDocument/2006/relationships/hyperlink" Target="https://engineering.purdue.edu/ME/People/ptProfile?resource_id=105717" TargetMode="External" Id="rId86"/><Relationship Type="http://schemas.openxmlformats.org/officeDocument/2006/relationships/hyperlink" Target="https://scholar.google.com/citations?view_op=search_authors&amp;mauthors=Sadegh%20Dabiri%20Purdue%20University" TargetMode="External" Id="rId87"/><Relationship Type="http://schemas.openxmlformats.org/officeDocument/2006/relationships/hyperlink" Target="mailto:dabiri@purdue.edu" TargetMode="External" Id="rId88"/><Relationship Type="http://schemas.openxmlformats.org/officeDocument/2006/relationships/hyperlink" Target="http://web.ics.purdue.edu/~sdabiris/" TargetMode="External" Id="rId89"/><Relationship Type="http://schemas.openxmlformats.org/officeDocument/2006/relationships/hyperlink" Target="https://engineering.purdue.edu/ME/People/ptFaculty" TargetMode="External" Id="rId90"/><Relationship Type="http://schemas.openxmlformats.org/officeDocument/2006/relationships/hyperlink" Target="https://engineering.purdue.edu/AAE/people/ptProfile?resource_id=56893" TargetMode="External" Id="rId91"/><Relationship Type="http://schemas.openxmlformats.org/officeDocument/2006/relationships/hyperlink" Target="https://scholar.google.com/citations?view_op=search_authors&amp;mauthors=Tom%20Shih%20Purdue%20University" TargetMode="External" Id="rId92"/><Relationship Type="http://schemas.openxmlformats.org/officeDocument/2006/relationships/hyperlink" Target="mailto:tomshih@purdue.edu" TargetMode="External" Id="rId93"/><Relationship Type="http://schemas.openxmlformats.org/officeDocument/2006/relationships/hyperlink" Target="https://insgc.spacegrant.org/" TargetMode="External" Id="rId94"/><Relationship Type="http://schemas.openxmlformats.org/officeDocument/2006/relationships/hyperlink" Target="https://engineering.purdue.edu/AAE/people/Faculty" TargetMode="External" Id="rId95"/><Relationship Type="http://schemas.openxmlformats.org/officeDocument/2006/relationships/hyperlink" Target="https://engineering.purdue.edu/AAE/people/ptProfile?resource_id=319705" TargetMode="External" Id="rId96"/><Relationship Type="http://schemas.openxmlformats.org/officeDocument/2006/relationships/hyperlink" Target="https://scholar.google.com/citations?view_op=search_authors&amp;mauthors=Kyle%20DeMars%20Purdue%20University" TargetMode="External" Id="rId97"/><Relationship Type="http://schemas.openxmlformats.org/officeDocument/2006/relationships/hyperlink" Target="mailto:kdemars@purdue.edu" TargetMode="External" Id="rId98"/><Relationship Type="http://schemas.openxmlformats.org/officeDocument/2006/relationships/hyperlink" Target="https://insgc.spacegrant.org/" TargetMode="External" Id="rId99"/><Relationship Type="http://schemas.openxmlformats.org/officeDocument/2006/relationships/hyperlink" Target="https://engineering.purdue.edu/AAE/people/Faculty" TargetMode="External" Id="rId100"/><Relationship Type="http://schemas.openxmlformats.org/officeDocument/2006/relationships/hyperlink" Target="https://engineering.purdue.edu/AAE/people/ptProfile?resource_id=39640" TargetMode="External" Id="rId101"/><Relationship Type="http://schemas.openxmlformats.org/officeDocument/2006/relationships/hyperlink" Target="https://scholar.google.com/citations?user=yFXFQPYAAAAJ&amp;hl=en" TargetMode="External" Id="rId102"/><Relationship Type="http://schemas.openxmlformats.org/officeDocument/2006/relationships/hyperlink" Target="mailto:lqiao@purdue.edu" TargetMode="External" Id="rId103"/><Relationship Type="http://schemas.openxmlformats.org/officeDocument/2006/relationships/hyperlink" Target="https://insgc.spacegrant.org/" TargetMode="External" Id="rId104"/><Relationship Type="http://schemas.openxmlformats.org/officeDocument/2006/relationships/hyperlink" Target="https://engineering.purdue.edu/AAE/people/Faculty" TargetMode="External" Id="rId105"/><Relationship Type="http://schemas.openxmlformats.org/officeDocument/2006/relationships/hyperlink" Target="https://engineering.purdue.edu/ME/People/ptProfile?resource_id=159298" TargetMode="External" Id="rId106"/><Relationship Type="http://schemas.openxmlformats.org/officeDocument/2006/relationships/hyperlink" Target="https://scholar.google.com/citations?view_op=search_authors&amp;mauthors=Aaron%20Morris%20Purdue%20University" TargetMode="External" Id="rId107"/><Relationship Type="http://schemas.openxmlformats.org/officeDocument/2006/relationships/hyperlink" Target="mailto:abmorris@purdue.edu" TargetMode="External" Id="rId108"/><Relationship Type="http://schemas.openxmlformats.org/officeDocument/2006/relationships/hyperlink" Target="https://engineering.purdue.edu/CP3/" TargetMode="External" Id="rId109"/><Relationship Type="http://schemas.openxmlformats.org/officeDocument/2006/relationships/hyperlink" Target="https://engineering.purdue.edu/ME/People/ptFaculty" TargetMode="External" Id="rId110"/><Relationship Type="http://schemas.openxmlformats.org/officeDocument/2006/relationships/hyperlink" Target="https://engineering.purdue.edu/AAE/people/ptProfile?resource_id=124987" TargetMode="External" Id="rId111"/><Relationship Type="http://schemas.openxmlformats.org/officeDocument/2006/relationships/hyperlink" Target="https://scholar.google.com/citations?view_op=search_authors&amp;mauthors=Alexey%20Shashurin%20Purdue%20University" TargetMode="External" Id="rId112"/><Relationship Type="http://schemas.openxmlformats.org/officeDocument/2006/relationships/hyperlink" Target="mailto:ashashur@purdue.edu" TargetMode="External" Id="rId113"/><Relationship Type="http://schemas.openxmlformats.org/officeDocument/2006/relationships/hyperlink" Target="https://insgc.spacegrant.org/" TargetMode="External" Id="rId114"/><Relationship Type="http://schemas.openxmlformats.org/officeDocument/2006/relationships/hyperlink" Target="https://engineering.purdue.edu/AAE/people/Faculty" TargetMode="External" Id="rId115"/><Relationship Type="http://schemas.openxmlformats.org/officeDocument/2006/relationships/hyperlink" Target="https://engineering.purdue.edu/ME/People/ptProfile?resource_id=297468" TargetMode="External" Id="rId116"/><Relationship Type="http://schemas.openxmlformats.org/officeDocument/2006/relationships/hyperlink" Target="https://scholar.google.com/citations?view_op=search_authors&amp;mauthors=Carlos%20Larriba-Andaluz%20Purdue%20University" TargetMode="External" Id="rId117"/><Relationship Type="http://schemas.openxmlformats.org/officeDocument/2006/relationships/hyperlink" Target="mailto:clarriba@purdue.edu" TargetMode="External" Id="rId118"/><Relationship Type="http://schemas.openxmlformats.org/officeDocument/2006/relationships/hyperlink" Target="http://www.imospedia.com" TargetMode="External" Id="rId119"/><Relationship Type="http://schemas.openxmlformats.org/officeDocument/2006/relationships/hyperlink" Target="https://engineering.purdue.edu/ME/People/ptFaculty" TargetMode="External" Id="rId120"/><Relationship Type="http://schemas.openxmlformats.org/officeDocument/2006/relationships/hyperlink" Target="https://engineering.purdue.edu/AAE/people/ptProfile?resource_id=111420" TargetMode="External" Id="rId121"/><Relationship Type="http://schemas.openxmlformats.org/officeDocument/2006/relationships/hyperlink" Target="https://scholar.google.com/citations?view_op=search_authors&amp;mauthors=Carolin%20E%20Frueh%20Purdue%20University" TargetMode="External" Id="rId122"/><Relationship Type="http://schemas.openxmlformats.org/officeDocument/2006/relationships/hyperlink" Target="mailto:cfrueh@purdue.edu" TargetMode="External" Id="rId123"/><Relationship Type="http://schemas.openxmlformats.org/officeDocument/2006/relationships/hyperlink" Target="https://insgc.spacegrant.org/" TargetMode="External" Id="rId124"/><Relationship Type="http://schemas.openxmlformats.org/officeDocument/2006/relationships/hyperlink" Target="https://engineering.purdue.edu/AAE/people/Faculty" TargetMode="External" Id="rId125"/><Relationship Type="http://schemas.openxmlformats.org/officeDocument/2006/relationships/hyperlink" Target="https://engineering.purdue.edu/ME/People/ptProfile?resource_id=117602" TargetMode="External" Id="rId126"/><Relationship Type="http://schemas.openxmlformats.org/officeDocument/2006/relationships/hyperlink" Target="https://scholar.google.com/citations?view_op=search_authors&amp;mauthors=Guang%20Lin%20Purdue%20University" TargetMode="External" Id="rId127"/><Relationship Type="http://schemas.openxmlformats.org/officeDocument/2006/relationships/hyperlink" Target="mailto:guanglin@purdue.edu" TargetMode="External" Id="rId128"/><Relationship Type="http://schemas.openxmlformats.org/officeDocument/2006/relationships/hyperlink" Target="http://www.math.purdue.edu/~lin491/" TargetMode="External" Id="rId129"/><Relationship Type="http://schemas.openxmlformats.org/officeDocument/2006/relationships/hyperlink" Target="https://engineering.purdue.edu/ME/People/ptFaculty" TargetMode="External" Id="rId130"/><Relationship Type="http://schemas.openxmlformats.org/officeDocument/2006/relationships/hyperlink" Target="https://engineering.purdue.edu/AAE/people/ptProfile?resource_id=284676" TargetMode="External" Id="rId131"/><Relationship Type="http://schemas.openxmlformats.org/officeDocument/2006/relationships/hyperlink" Target="https://scholar.google.com/citations?hl=en&amp;user=r7gLAy4AAAAJ&amp;view_op=list_works&amp;sortby=pubdate" TargetMode="External" Id="rId132"/><Relationship Type="http://schemas.openxmlformats.org/officeDocument/2006/relationships/hyperlink" Target="mailto:kmaeda@purdue.edu" TargetMode="External" Id="rId133"/><Relationship Type="http://schemas.openxmlformats.org/officeDocument/2006/relationships/hyperlink" Target="https://insgc.spacegrant.org/" TargetMode="External" Id="rId134"/><Relationship Type="http://schemas.openxmlformats.org/officeDocument/2006/relationships/hyperlink" Target="https://engineering.purdue.edu/AAE/people/Faculty" TargetMode="External" Id="rId135"/><Relationship Type="http://schemas.openxmlformats.org/officeDocument/2006/relationships/hyperlink" Target="https://engineering.purdue.edu/ME/People/ptProfile?resource_id=328301" TargetMode="External" Id="rId136"/><Relationship Type="http://schemas.openxmlformats.org/officeDocument/2006/relationships/hyperlink" Target="https://scholar.google.com/citations?view_op=search_authors&amp;mauthors=Romit%20Maulik%20Purdue%20University" TargetMode="External" Id="rId137"/><Relationship Type="http://schemas.openxmlformats.org/officeDocument/2006/relationships/hyperlink" Target="mailto:rmaulik@purdue.edu" TargetMode="External" Id="rId138"/><Relationship Type="http://schemas.openxmlformats.org/officeDocument/2006/relationships/hyperlink" Target="https://romit-maulik.github.io/" TargetMode="External" Id="rId139"/><Relationship Type="http://schemas.openxmlformats.org/officeDocument/2006/relationships/hyperlink" Target="https://github.com/Romit-Maulik" TargetMode="External" Id="rId140"/><Relationship Type="http://schemas.openxmlformats.org/officeDocument/2006/relationships/hyperlink" Target="https://engineering.purdue.edu/ME/People/ptFaculty" TargetMode="External" Id="rId141"/><Relationship Type="http://schemas.openxmlformats.org/officeDocument/2006/relationships/hyperlink" Target="https://engineering.purdue.edu/AAE/people/ptProfile?resource_id=23845" TargetMode="External" Id="rId142"/><Relationship Type="http://schemas.openxmlformats.org/officeDocument/2006/relationships/hyperlink" Target="https://scholar.google.com/citations?view_op=search_authors&amp;mauthors=Timoth%C3%A9e%20Pourpoint%20Purdue%20University" TargetMode="External" Id="rId143"/><Relationship Type="http://schemas.openxmlformats.org/officeDocument/2006/relationships/hyperlink" Target="mailto:timothee@purdue.edu" TargetMode="External" Id="rId144"/><Relationship Type="http://schemas.openxmlformats.org/officeDocument/2006/relationships/hyperlink" Target="https://insgc.spacegrant.org/" TargetMode="External" Id="rId145"/><Relationship Type="http://schemas.openxmlformats.org/officeDocument/2006/relationships/hyperlink" Target="https://engineering.purdue.edu/AAE/people/Faculty" TargetMode="External" Id="rId146"/><Relationship Type="http://schemas.openxmlformats.org/officeDocument/2006/relationships/hyperlink" Target="https://engineering.purdue.edu/ME/People/ptProfile?resource_id=44345" TargetMode="External" Id="rId147"/><Relationship Type="http://schemas.openxmlformats.org/officeDocument/2006/relationships/hyperlink" Target="https://scholar.google.com/citations?view_op=search_authors&amp;mauthors=Jun%20Chen%20Purdue%20University" TargetMode="External" Id="rId148"/><Relationship Type="http://schemas.openxmlformats.org/officeDocument/2006/relationships/hyperlink" Target="mailto:junchen@purdue.edu" TargetMode="External" Id="rId149"/><Relationship Type="http://schemas.openxmlformats.org/officeDocument/2006/relationships/hyperlink" Target="https://engineering.purdue.edu/~chen220" TargetMode="External" Id="rId150"/><Relationship Type="http://schemas.openxmlformats.org/officeDocument/2006/relationships/hyperlink" Target="https://engineering.purdue.edu/AAE/people/Faculty" TargetMode="External" Id="rId151"/><Relationship Type="http://schemas.openxmlformats.org/officeDocument/2006/relationships/hyperlink" Target="https://engineering.purdue.edu/AAE/people/ptProfile?resource_id=255151" TargetMode="External" Id="rId152"/><Relationship Type="http://schemas.openxmlformats.org/officeDocument/2006/relationships/hyperlink" Target="https://scholar.google.com/citations?view_op=search_authors&amp;mauthors=Mark%20Lewis%20Purdue%20University" TargetMode="External" Id="rId153"/><Relationship Type="http://schemas.openxmlformats.org/officeDocument/2006/relationships/hyperlink" Target="https://engineering.purdue.edu/AAE/people/Faculty" TargetMode="External" Id="rId154"/><Relationship Type="http://schemas.openxmlformats.org/officeDocument/2006/relationships/hyperlink" Target="https://engineering.purdue.edu/AAE/people/ptProfile?resource_id=55699" TargetMode="External" Id="rId155"/><Relationship Type="http://schemas.openxmlformats.org/officeDocument/2006/relationships/hyperlink" Target="https://scholar.google.com/citations?user=rI7TKPYAAAAJ&amp;hl=en&amp;oi=ao" TargetMode="External" Id="rId156"/><Relationship Type="http://schemas.openxmlformats.org/officeDocument/2006/relationships/hyperlink" Target="mailto:tomar@purdue.edu" TargetMode="External" Id="rId157"/><Relationship Type="http://schemas.openxmlformats.org/officeDocument/2006/relationships/hyperlink" Target="https://insgc.spacegrant.org/" TargetMode="External" Id="rId158"/><Relationship Type="http://schemas.openxmlformats.org/officeDocument/2006/relationships/hyperlink" Target="https://engineering.purdue.edu/AAE/people/Faculty" TargetMode="External" Id="rId159"/><Relationship Type="http://schemas.openxmlformats.org/officeDocument/2006/relationships/hyperlink" Target="https://engineering.purdue.edu/ME/People/ptProfile?resource_id=117606" TargetMode="External" Id="rId160"/><Relationship Type="http://schemas.openxmlformats.org/officeDocument/2006/relationships/hyperlink" Target="https://scholar.google.com/citations?view_op=search_authors&amp;mauthors=Benxin%20Wu%20Purdue%20University" TargetMode="External" Id="rId161"/><Relationship Type="http://schemas.openxmlformats.org/officeDocument/2006/relationships/hyperlink" Target="mailto:wu65@purdue.edu" TargetMode="External" Id="rId162"/><Relationship Type="http://schemas.openxmlformats.org/officeDocument/2006/relationships/hyperlink" Target="https://insgc.spacegrant.org/" TargetMode="External" Id="rId163"/><Relationship Type="http://schemas.openxmlformats.org/officeDocument/2006/relationships/hyperlink" Target="https://engineering.purdue.edu/ME/People/ptFaculty" TargetMode="External" Id="rId164"/><Relationship Type="http://schemas.openxmlformats.org/officeDocument/2006/relationships/hyperlink" Target="https://engineering.purdue.edu/ME/People/ptProfile?resource_id=29361" TargetMode="External" Id="rId165"/><Relationship Type="http://schemas.openxmlformats.org/officeDocument/2006/relationships/hyperlink" Target="https://scholar.google.com/citations?view_op=search_authors&amp;mauthors=Gregory%20M.%20Shaver%20Purdue%20University" TargetMode="External" Id="rId166"/><Relationship Type="http://schemas.openxmlformats.org/officeDocument/2006/relationships/hyperlink" Target="mailto:gshaver@purdue.edu" TargetMode="External" Id="rId167"/><Relationship Type="http://schemas.openxmlformats.org/officeDocument/2006/relationships/hyperlink" Target="http://www.gregshaver.com/" TargetMode="External" Id="rId168"/><Relationship Type="http://schemas.openxmlformats.org/officeDocument/2006/relationships/hyperlink" Target="https://engineering.purdue.edu/ME/People/ptFaculty" TargetMode="External" Id="rId169"/><Relationship Type="http://schemas.openxmlformats.org/officeDocument/2006/relationships/hyperlink" Target="https://engineering.purdue.edu/AAE/people/ptProfile?resource_id=285032" TargetMode="External" Id="rId170"/><Relationship Type="http://schemas.openxmlformats.org/officeDocument/2006/relationships/hyperlink" Target="https://scholar.google.com/citations?view_op=search_authors&amp;mauthors=Jamie%20Canino%20Purdue%20University" TargetMode="External" Id="rId171"/><Relationship Type="http://schemas.openxmlformats.org/officeDocument/2006/relationships/hyperlink" Target="mailto:canino@purdue.edu" TargetMode="External" Id="rId172"/><Relationship Type="http://schemas.openxmlformats.org/officeDocument/2006/relationships/hyperlink" Target="https://insgc.spacegrant.org/" TargetMode="External" Id="rId173"/><Relationship Type="http://schemas.openxmlformats.org/officeDocument/2006/relationships/hyperlink" Target="https://engineering.purdue.edu/AAE/people/Faculty" TargetMode="External" Id="rId174"/><Relationship Type="http://schemas.openxmlformats.org/officeDocument/2006/relationships/hyperlink" Target="https://engineering.purdue.edu/AAE/people/ptProfile?resource_id=256632" TargetMode="External" Id="rId175"/><Relationship Type="http://schemas.openxmlformats.org/officeDocument/2006/relationships/hyperlink" Target="https://scholar.google.com/citations?view_op=search_authors&amp;mauthors=Leifur%20Leifsson%20Purdue%20University" TargetMode="External" Id="rId176"/><Relationship Type="http://schemas.openxmlformats.org/officeDocument/2006/relationships/hyperlink" Target="mailto:leifur@purdue.edu" TargetMode="External" Id="rId177"/><Relationship Type="http://schemas.openxmlformats.org/officeDocument/2006/relationships/hyperlink" Target="https://insgc.spacegrant.org/" TargetMode="External" Id="rId178"/><Relationship Type="http://schemas.openxmlformats.org/officeDocument/2006/relationships/hyperlink" Target="https://engineering.purdue.edu/AAE/people/Faculty" TargetMode="External" Id="rId179"/><Relationship Type="http://schemas.openxmlformats.org/officeDocument/2006/relationships/hyperlink" Target="https://engineering.purdue.edu/ME/People/ptProfile?resource_id=324341" TargetMode="External" Id="rId180"/><Relationship Type="http://schemas.openxmlformats.org/officeDocument/2006/relationships/hyperlink" Target="https://scholar.google.com/citations?user=IKgNChQAAAAJ" TargetMode="External" Id="rId181"/><Relationship Type="http://schemas.openxmlformats.org/officeDocument/2006/relationships/hyperlink" Target="mailto:sranftl@purdue.edu" TargetMode="External" Id="rId182"/><Relationship Type="http://schemas.openxmlformats.org/officeDocument/2006/relationships/hyperlink" Target="https://sites.google.com/view/sascha-ranftl" TargetMode="External" Id="rId183"/><Relationship Type="http://schemas.openxmlformats.org/officeDocument/2006/relationships/hyperlink" Target="https://engineering.purdue.edu/ME/People/ptFaculty" TargetMode="External" Id="rId184"/><Relationship Type="http://schemas.openxmlformats.org/officeDocument/2006/relationships/hyperlink" Target="https://engineering.purdue.edu/ME/People/ptProfile?resource_id=86360" TargetMode="External" Id="rId185"/><Relationship Type="http://schemas.openxmlformats.org/officeDocument/2006/relationships/hyperlink" Target="https://scholar.google.com/citations?view_op=search_authors&amp;mauthors=Amy%20Marconnet%20Purdue%20University" TargetMode="External" Id="rId186"/><Relationship Type="http://schemas.openxmlformats.org/officeDocument/2006/relationships/hyperlink" Target="mailto:marconnet@purdue.edu" TargetMode="External" Id="rId187"/><Relationship Type="http://schemas.openxmlformats.org/officeDocument/2006/relationships/hyperlink" Target="http://engineering.purdue.edu/MTEC" TargetMode="External" Id="rId188"/><Relationship Type="http://schemas.openxmlformats.org/officeDocument/2006/relationships/hyperlink" Target="https://engineering.purdue.edu/ME/People/ptFaculty" TargetMode="External" Id="rId189"/><Relationship Type="http://schemas.openxmlformats.org/officeDocument/2006/relationships/hyperlink" Target="https://engineering.purdue.edu/ME/People/ptProfile?resource_id=256658" TargetMode="External" Id="rId190"/><Relationship Type="http://schemas.openxmlformats.org/officeDocument/2006/relationships/hyperlink" Target="https://scholar.google.com/citations?user=OEAnMz0AAAAJ&amp;hl=en" TargetMode="External" Id="rId191"/><Relationship Type="http://schemas.openxmlformats.org/officeDocument/2006/relationships/hyperlink" Target="mailto:tbeechem@purdue.edu" TargetMode="External" Id="rId192"/><Relationship Type="http://schemas.openxmlformats.org/officeDocument/2006/relationships/hyperlink" Target="https://www.specere.org/" TargetMode="External" Id="rId193"/><Relationship Type="http://schemas.openxmlformats.org/officeDocument/2006/relationships/hyperlink" Target="https://engineering.purdue.edu/ME/People/ptFaculty" TargetMode="External" Id="rId194"/><Relationship Type="http://schemas.openxmlformats.org/officeDocument/2006/relationships/hyperlink" Target="https://engineering.purdue.edu/ME/People/ptProfile?resource_id=183058" TargetMode="External" Id="rId195"/><Relationship Type="http://schemas.openxmlformats.org/officeDocument/2006/relationships/hyperlink" Target="https://scholar.google.com/citations?view_op=search_authors&amp;mauthors=David%20Warsinger%20Purdue%20University" TargetMode="External" Id="rId196"/><Relationship Type="http://schemas.openxmlformats.org/officeDocument/2006/relationships/hyperlink" Target="mailto:dwarsing@purdue.edu" TargetMode="External" Id="rId197"/><Relationship Type="http://schemas.openxmlformats.org/officeDocument/2006/relationships/hyperlink" Target="http://www.warsinger.com" TargetMode="External" Id="rId198"/><Relationship Type="http://schemas.openxmlformats.org/officeDocument/2006/relationships/hyperlink" Target="https://github.com/arao53/awh-limits/blob/main/lego_maps/warsinger_lego_maps.ipynb" TargetMode="External" Id="rId199"/><Relationship Type="http://schemas.openxmlformats.org/officeDocument/2006/relationships/hyperlink" Target="https://engineering.purdue.edu/ME/People/ptFaculty" TargetMode="External" Id="rId200"/><Relationship Type="http://schemas.openxmlformats.org/officeDocument/2006/relationships/hyperlink" Target="https://engineering.purdue.edu/ME/People/ptProfile?resource_id=318598" TargetMode="External" Id="rId201"/><Relationship Type="http://schemas.openxmlformats.org/officeDocument/2006/relationships/hyperlink" Target="https://scholar.google.com/citations?user=SxOdEgEAAAAJ&amp;hl=en&amp;oi=ao" TargetMode="External" Id="rId202"/><Relationship Type="http://schemas.openxmlformats.org/officeDocument/2006/relationships/hyperlink" Target="mailto:jingang@purdue.edu" TargetMode="External" Id="rId203"/><Relationship Type="http://schemas.openxmlformats.org/officeDocument/2006/relationships/hyperlink" Target="https://www.jingangli.org" TargetMode="External" Id="rId204"/><Relationship Type="http://schemas.openxmlformats.org/officeDocument/2006/relationships/hyperlink" Target="https://engineering.purdue.edu/ME/People/ptFaculty" TargetMode="External" Id="rId205"/><Relationship Type="http://schemas.openxmlformats.org/officeDocument/2006/relationships/hyperlink" Target="https://engineering.purdue.edu/ME/People/ptProfile?resource_id=164622" TargetMode="External" Id="rId206"/><Relationship Type="http://schemas.openxmlformats.org/officeDocument/2006/relationships/hyperlink" Target="https://scholar.google.com/citations?view_op=search_authors&amp;mauthors=Davide%20Ziviani%20Purdue%20University" TargetMode="External" Id="rId207"/><Relationship Type="http://schemas.openxmlformats.org/officeDocument/2006/relationships/hyperlink" Target="mailto:dziviani@purdue.edu" TargetMode="External" Id="rId208"/><Relationship Type="http://schemas.openxmlformats.org/officeDocument/2006/relationships/hyperlink" Target="https://engineering.purdue.edu/ME/Images/Ziviani-Research-Group-Overview.pdf" TargetMode="External" Id="rId209"/><Relationship Type="http://schemas.openxmlformats.org/officeDocument/2006/relationships/hyperlink" Target="https://engineering.purdue.edu/ME/People/ptFaculty" TargetMode="External" Id="rId210"/><Relationship Type="http://schemas.openxmlformats.org/officeDocument/2006/relationships/hyperlink" Target="https://engineering.purdue.edu/ME/People/ptProfile?resource_id=184725" TargetMode="External" Id="rId211"/><Relationship Type="http://schemas.openxmlformats.org/officeDocument/2006/relationships/hyperlink" Target="https://scholar.google.com/citations?user=PJ1trVUAAAAJ&amp;hl=en" TargetMode="External" Id="rId212"/><Relationship Type="http://schemas.openxmlformats.org/officeDocument/2006/relationships/hyperlink" Target="mailto:dpiercey@purdue.edu" TargetMode="External" Id="rId213"/><Relationship Type="http://schemas.openxmlformats.org/officeDocument/2006/relationships/hyperlink" Target="https://www.davinpiercey.com/" TargetMode="External" Id="rId214"/><Relationship Type="http://schemas.openxmlformats.org/officeDocument/2006/relationships/hyperlink" Target="https://engineering.purdue.edu/ME/People/ptFaculty" TargetMode="External" Id="rId215"/><Relationship Type="http://schemas.openxmlformats.org/officeDocument/2006/relationships/hyperlink" Target="https://engineering.purdue.edu/ME/People/ptProfile?resource_id=11748" TargetMode="External" Id="rId216"/><Relationship Type="http://schemas.openxmlformats.org/officeDocument/2006/relationships/hyperlink" Target="https://scholar.google.com/citations?view_op=search_authors&amp;mauthors=Eckhard%20A.%20Groll%20Purdue%20University" TargetMode="External" Id="rId217"/><Relationship Type="http://schemas.openxmlformats.org/officeDocument/2006/relationships/hyperlink" Target="mailto:groll@purdue.edu" TargetMode="External" Id="rId218"/><Relationship Type="http://schemas.openxmlformats.org/officeDocument/2006/relationships/hyperlink" Target="https://engineering.purdue.edu/CHPB" TargetMode="External" Id="rId219"/><Relationship Type="http://schemas.openxmlformats.org/officeDocument/2006/relationships/hyperlink" Target="https://engineering.purdue.edu/ME/People/ptFaculty" TargetMode="External" Id="rId220"/><Relationship Type="http://schemas.openxmlformats.org/officeDocument/2006/relationships/hyperlink" Target="https://engineering.purdue.edu/ME/People/ptProfile?resource_id=71762" TargetMode="External" Id="rId221"/><Relationship Type="http://schemas.openxmlformats.org/officeDocument/2006/relationships/hyperlink" Target="https://scholar.google.com/citations?view_op=search_authors&amp;mauthors=Jie%20Cai%20Purdue%20University" TargetMode="External" Id="rId222"/><Relationship Type="http://schemas.openxmlformats.org/officeDocument/2006/relationships/hyperlink" Target="mailto:cai40@purdue.edu" TargetMode="External" Id="rId223"/><Relationship Type="http://schemas.openxmlformats.org/officeDocument/2006/relationships/hyperlink" Target="https://www.purdue.edu/engineering/cairesearchgroup/" TargetMode="External" Id="rId224"/><Relationship Type="http://schemas.openxmlformats.org/officeDocument/2006/relationships/hyperlink" Target="https://engineering.purdue.edu/ME/People/ptFaculty" TargetMode="External" Id="rId225"/><Relationship Type="http://schemas.openxmlformats.org/officeDocument/2006/relationships/hyperlink" Target="https://engineering.purdue.edu/ME/People/ptProfile?resource_id=307226" TargetMode="External" Id="rId226"/><Relationship Type="http://schemas.openxmlformats.org/officeDocument/2006/relationships/hyperlink" Target="https://scholar.google.com/citations?hl=en&amp;tzom=240&amp;user=KojhX0gAAAAJ&amp;view_op=list_works&amp;sortby=pubdate&amp;inst=5549692440350501774" TargetMode="External" Id="rId227"/><Relationship Type="http://schemas.openxmlformats.org/officeDocument/2006/relationships/hyperlink" Target="mailto:lizhan@purdue.edu" TargetMode="External" Id="rId228"/><Relationship Type="http://schemas.openxmlformats.org/officeDocument/2006/relationships/hyperlink" Target="https://www.zhanlab.org/" TargetMode="External" Id="rId229"/><Relationship Type="http://schemas.openxmlformats.org/officeDocument/2006/relationships/hyperlink" Target="https://engineering.purdue.edu/ME/People/ptFaculty" TargetMode="External" Id="rId230"/><Relationship Type="http://schemas.openxmlformats.org/officeDocument/2006/relationships/hyperlink" Target="https://engineering.purdue.edu/ME/People/ptProfile?resource_id=173050" TargetMode="External" Id="rId231"/><Relationship Type="http://schemas.openxmlformats.org/officeDocument/2006/relationships/hyperlink" Target="https://scholar.google.com/citations?view_op=search_authors&amp;mauthors=Partha%20P.%20Mukherjee%20Purdue%20University" TargetMode="External" Id="rId232"/><Relationship Type="http://schemas.openxmlformats.org/officeDocument/2006/relationships/hyperlink" Target="mailto:pmukherjee@purdue.edu" TargetMode="External" Id="rId233"/><Relationship Type="http://schemas.openxmlformats.org/officeDocument/2006/relationships/hyperlink" Target="https://engineering.purdue.edu/ETSL/" TargetMode="External" Id="rId234"/><Relationship Type="http://schemas.openxmlformats.org/officeDocument/2006/relationships/hyperlink" Target="https://engineering.purdue.edu/ME/People/ptFaculty" TargetMode="External" Id="rId235"/><Relationship Type="http://schemas.openxmlformats.org/officeDocument/2006/relationships/hyperlink" Target="https://engineering.purdue.edu/ME/People/ptProfile?resource_id=241060" TargetMode="External" Id="rId236"/><Relationship Type="http://schemas.openxmlformats.org/officeDocument/2006/relationships/hyperlink" Target="https://scholar.google.com/citations?user=OEzRkQMAAAAJ&amp;hl=en" TargetMode="External" Id="rId237"/><Relationship Type="http://schemas.openxmlformats.org/officeDocument/2006/relationships/hyperlink" Target="mailto:rciez@purdue.edu" TargetMode="External" Id="rId238"/><Relationship Type="http://schemas.openxmlformats.org/officeDocument/2006/relationships/hyperlink" Target="https://rciez2125.github.io/" TargetMode="External" Id="rId239"/><Relationship Type="http://schemas.openxmlformats.org/officeDocument/2006/relationships/hyperlink" Target="https://engineering.purdue.edu/ME/People/ptFaculty" TargetMode="External" Id="rId240"/><Relationship Type="http://schemas.openxmlformats.org/officeDocument/2006/relationships/hyperlink" Target="https://engineering.purdue.edu/ME/People/ptProfile?resource_id=78578" TargetMode="External" Id="rId241"/><Relationship Type="http://schemas.openxmlformats.org/officeDocument/2006/relationships/hyperlink" Target="https://scholar.google.com/citations?view_op=search_authors&amp;mauthors=Justin%20A.%20Weibel%20Purdue%20University" TargetMode="External" Id="rId242"/><Relationship Type="http://schemas.openxmlformats.org/officeDocument/2006/relationships/hyperlink" Target="mailto:jaweibel@purdue.edu" TargetMode="External" Id="rId243"/><Relationship Type="http://schemas.openxmlformats.org/officeDocument/2006/relationships/hyperlink" Target="https://engineering.purdue.edu/CTRC/" TargetMode="External" Id="rId244"/><Relationship Type="http://schemas.openxmlformats.org/officeDocument/2006/relationships/hyperlink" Target="https://engineering.purdue.edu/ME/People/ptFaculty" TargetMode="External" Id="rId245"/><Relationship Type="http://schemas.openxmlformats.org/officeDocument/2006/relationships/hyperlink" Target="https://engineering.purdue.edu/ME/People/ptProfile?resource_id=273136" TargetMode="External" Id="rId246"/><Relationship Type="http://schemas.openxmlformats.org/officeDocument/2006/relationships/hyperlink" Target="https://scholar.google.com/citations?view_op=search_authors&amp;mauthors=Kevin%20Kircher%20Purdue%20University" TargetMode="External" Id="rId247"/><Relationship Type="http://schemas.openxmlformats.org/officeDocument/2006/relationships/hyperlink" Target="mailto:kircher@purdue.edu" TargetMode="External" Id="rId248"/><Relationship Type="http://schemas.openxmlformats.org/officeDocument/2006/relationships/hyperlink" Target="https://kevinjkircher.com/" TargetMode="External" Id="rId249"/><Relationship Type="http://schemas.openxmlformats.org/officeDocument/2006/relationships/hyperlink" Target="https://engineering.purdue.edu/ME/People/ptFaculty" TargetMode="External" Id="rId250"/><Relationship Type="http://schemas.openxmlformats.org/officeDocument/2006/relationships/hyperlink" Target="https://engineering.purdue.edu/ME/People/ptProfile?resource_id=311453" TargetMode="External" Id="rId251"/><Relationship Type="http://schemas.openxmlformats.org/officeDocument/2006/relationships/hyperlink" Target="https://scholar.google.com/citations?user=Kgo25P0AAAAJ&amp;hl=en" TargetMode="External" Id="rId252"/><Relationship Type="http://schemas.openxmlformats.org/officeDocument/2006/relationships/hyperlink" Target="mailto:ashwinrc@purdue.edu" TargetMode="External" Id="rId253"/><Relationship Type="http://schemas.openxmlformats.org/officeDocument/2006/relationships/hyperlink" Target="https://www.micronanolab.org/" TargetMode="External" Id="rId254"/><Relationship Type="http://schemas.openxmlformats.org/officeDocument/2006/relationships/hyperlink" Target="https://engineering.purdue.edu/ME/People/ptFaculty" TargetMode="External" Id="rId255"/><Relationship Type="http://schemas.openxmlformats.org/officeDocument/2006/relationships/hyperlink" Target="https://engineering.purdue.edu/ME/People/ptProfile?resource_id=11244" TargetMode="External" Id="rId256"/><Relationship Type="http://schemas.openxmlformats.org/officeDocument/2006/relationships/hyperlink" Target="https://scholar.google.com/citations?view_op=search_authors&amp;mauthors=Ganesh%20Subbarayan%20Purdue%20University" TargetMode="External" Id="rId257"/><Relationship Type="http://schemas.openxmlformats.org/officeDocument/2006/relationships/hyperlink" Target="mailto:ganeshs@purdue.edu" TargetMode="External" Id="rId258"/><Relationship Type="http://schemas.openxmlformats.org/officeDocument/2006/relationships/hyperlink" Target="https://engineering.purdue.edu/ASIP" TargetMode="External" Id="rId259"/><Relationship Type="http://schemas.openxmlformats.org/officeDocument/2006/relationships/hyperlink" Target="https://engineering.purdue.edu/ME/People/ptFaculty" TargetMode="External" Id="rId260"/><Relationship Type="http://schemas.openxmlformats.org/officeDocument/2006/relationships/hyperlink" Target="https://engineering.purdue.edu/AAE/people/ptProfile?resource_id=288720" TargetMode="External" Id="rId261"/><Relationship Type="http://schemas.openxmlformats.org/officeDocument/2006/relationships/hyperlink" Target="https://scholar.google.com/citations?view_op=search_authors&amp;mauthors=Kawai%20Kwok%20Purdue%20University" TargetMode="External" Id="rId262"/><Relationship Type="http://schemas.openxmlformats.org/officeDocument/2006/relationships/hyperlink" Target="mailto:kawaik@purdue.edu" TargetMode="External" Id="rId263"/><Relationship Type="http://schemas.openxmlformats.org/officeDocument/2006/relationships/hyperlink" Target="https://insgc.spacegrant.org/" TargetMode="External" Id="rId264"/><Relationship Type="http://schemas.openxmlformats.org/officeDocument/2006/relationships/hyperlink" Target="https://engineering.purdue.edu/AAE/people/Faculty" TargetMode="External" Id="rId265"/><Relationship Type="http://schemas.openxmlformats.org/officeDocument/2006/relationships/hyperlink" Target="https://engineering.purdue.edu/ME/People/ptProfile?resource_id=113514" TargetMode="External" Id="rId266"/><Relationship Type="http://schemas.openxmlformats.org/officeDocument/2006/relationships/hyperlink" Target="https://scholar.google.com/citations?user=JXR_AsQAAAAJ&amp;hl=en" TargetMode="External" Id="rId267"/><Relationship Type="http://schemas.openxmlformats.org/officeDocument/2006/relationships/hyperlink" Target="mailto:kjzhao@purdue.edu" TargetMode="External" Id="rId268"/><Relationship Type="http://schemas.openxmlformats.org/officeDocument/2006/relationships/hyperlink" Target="https://engineering.purdue.edu/kjzhao" TargetMode="External" Id="rId269"/><Relationship Type="http://schemas.openxmlformats.org/officeDocument/2006/relationships/hyperlink" Target="https://engineering.purdue.edu/ME/People/ptFaculty" TargetMode="External" Id="rId270"/><Relationship Type="http://schemas.openxmlformats.org/officeDocument/2006/relationships/hyperlink" Target="https://engineering.purdue.edu/ME/People/ptProfile?resource_id=29343" TargetMode="External" Id="rId271"/><Relationship Type="http://schemas.openxmlformats.org/officeDocument/2006/relationships/hyperlink" Target="https://scholar.google.com/citations?view_op=search_authors&amp;mauthors=Xiulin%20Ruan%20Purdue%20University" TargetMode="External" Id="rId272"/><Relationship Type="http://schemas.openxmlformats.org/officeDocument/2006/relationships/hyperlink" Target="mailto:ruan@purdue.edu" TargetMode="External" Id="rId273"/><Relationship Type="http://schemas.openxmlformats.org/officeDocument/2006/relationships/hyperlink" Target="https://engineering.purdue.edu/NANOENERGY/" TargetMode="External" Id="rId274"/><Relationship Type="http://schemas.openxmlformats.org/officeDocument/2006/relationships/hyperlink" Target="https://engineering.purdue.edu/ME/People/ptFaculty" TargetMode="External" Id="rId275"/><Relationship Type="http://schemas.openxmlformats.org/officeDocument/2006/relationships/hyperlink" Target="https://engineering.purdue.edu/ME/People/ptProfile?resource_id=12829" TargetMode="External" Id="rId276"/><Relationship Type="http://schemas.openxmlformats.org/officeDocument/2006/relationships/hyperlink" Target="https://scholar.google.com/citations?view_op=search_authors&amp;mauthors=James%20D.%20Jones%20Purdue%20University" TargetMode="External" Id="rId277"/><Relationship Type="http://schemas.openxmlformats.org/officeDocument/2006/relationships/hyperlink" Target="mailto:jonesjd@purdue.edu" TargetMode="External" Id="rId278"/><Relationship Type="http://schemas.openxmlformats.org/officeDocument/2006/relationships/hyperlink" Target="https://insgc.spacegrant.org/" TargetMode="External" Id="rId279"/><Relationship Type="http://schemas.openxmlformats.org/officeDocument/2006/relationships/hyperlink" Target="https://engineering.purdue.edu/ME/People/ptFaculty" TargetMode="External" Id="rId280"/><Relationship Type="http://schemas.openxmlformats.org/officeDocument/2006/relationships/hyperlink" Target="https://engineering.purdue.edu/ME/People/ptProfile?resource_id=50402" TargetMode="External" Id="rId281"/><Relationship Type="http://schemas.openxmlformats.org/officeDocument/2006/relationships/hyperlink" Target="https://scholar.google.com/citations?user=aSHRXOkAAAAJ&amp;hl=en" TargetMode="External" Id="rId282"/><Relationship Type="http://schemas.openxmlformats.org/officeDocument/2006/relationships/hyperlink" Target="mailto:jchoi@purdue.edu" TargetMode="External" Id="rId283"/><Relationship Type="http://schemas.openxmlformats.org/officeDocument/2006/relationships/hyperlink" Target="https://choinano.org/ " TargetMode="External" Id="rId284"/><Relationship Type="http://schemas.openxmlformats.org/officeDocument/2006/relationships/hyperlink" Target="https://engineering.purdue.edu/ME/People/ptFaculty" TargetMode="External" Id="rId285"/><Relationship Type="http://schemas.openxmlformats.org/officeDocument/2006/relationships/hyperlink" Target="https://engineering.purdue.edu/ME/People/ptProfile?resource_id=286140" TargetMode="External" Id="rId286"/><Relationship Type="http://schemas.openxmlformats.org/officeDocument/2006/relationships/hyperlink" Target="https://scholar.google.com/citations?view_op=search_authors&amp;mauthors=Junfei%20Li%20Purdue%20University" TargetMode="External" Id="rId287"/><Relationship Type="http://schemas.openxmlformats.org/officeDocument/2006/relationships/hyperlink" Target="mailto:junfeili@purdue.edu" TargetMode="External" Id="rId288"/><Relationship Type="http://schemas.openxmlformats.org/officeDocument/2006/relationships/hyperlink" Target="https://insgc.spacegrant.org/" TargetMode="External" Id="rId289"/><Relationship Type="http://schemas.openxmlformats.org/officeDocument/2006/relationships/hyperlink" Target="https://engineering.purdue.edu/ME/People/ptFaculty" TargetMode="External" Id="rId290"/><Relationship Type="http://schemas.openxmlformats.org/officeDocument/2006/relationships/hyperlink" Target="https://engineering.purdue.edu/ME/People/ptProfile?resource_id=29264" TargetMode="External" Id="rId291"/><Relationship Type="http://schemas.openxmlformats.org/officeDocument/2006/relationships/hyperlink" Target="https://scholar.google.com/citations?view_op=search_authors&amp;mauthors=Marisol%20Koslowski%20Purdue%20University" TargetMode="External" Id="rId292"/><Relationship Type="http://schemas.openxmlformats.org/officeDocument/2006/relationships/hyperlink" Target="mailto:marisol@purdue.edu" TargetMode="External" Id="rId293"/><Relationship Type="http://schemas.openxmlformats.org/officeDocument/2006/relationships/hyperlink" Target="https://koslowskigroup.org/" TargetMode="External" Id="rId294"/><Relationship Type="http://schemas.openxmlformats.org/officeDocument/2006/relationships/hyperlink" Target="https://engineering.purdue.edu/ME/People/ptFaculty" TargetMode="External" Id="rId295"/><Relationship Type="http://schemas.openxmlformats.org/officeDocument/2006/relationships/hyperlink" Target="https://engineering.purdue.edu/ME/People/ptProfile?resource_id=273456" TargetMode="External" Id="rId296"/><Relationship Type="http://schemas.openxmlformats.org/officeDocument/2006/relationships/hyperlink" Target="https://scholar.google.com/citations?user=E8PanGMAAAAJ" TargetMode="External" Id="rId297"/><Relationship Type="http://schemas.openxmlformats.org/officeDocument/2006/relationships/hyperlink" Target="mailto:bansal91@purdue.edu" TargetMode="External" Id="rId298"/><Relationship Type="http://schemas.openxmlformats.org/officeDocument/2006/relationships/hyperlink" Target="https://engineering.purdue.edu/EMRSL" TargetMode="External" Id="rId299"/><Relationship Type="http://schemas.openxmlformats.org/officeDocument/2006/relationships/hyperlink" Target="https://engineering.purdue.edu/ME/People/ptFaculty" TargetMode="External" Id="rId300"/><Relationship Type="http://schemas.openxmlformats.org/officeDocument/2006/relationships/hyperlink" Target="https://engineering.purdue.edu/ME/People/ptProfile?resource_id=127246" TargetMode="External" Id="rId301"/><Relationship Type="http://schemas.openxmlformats.org/officeDocument/2006/relationships/hyperlink" Target="https://scholar.google.com/citations?view_op=search_authors&amp;mauthors=Chi%20Hwan%20Lee%20Purdue%20University" TargetMode="External" Id="rId302"/><Relationship Type="http://schemas.openxmlformats.org/officeDocument/2006/relationships/hyperlink" Target="mailto:lee2270@purdue.edu" TargetMode="External" Id="rId303"/><Relationship Type="http://schemas.openxmlformats.org/officeDocument/2006/relationships/hyperlink" Target="https://engineering.purdue.edu/StickTronics/" TargetMode="External" Id="rId304"/><Relationship Type="http://schemas.openxmlformats.org/officeDocument/2006/relationships/hyperlink" Target="https://engineering.purdue.edu/ME/People/ptFaculty" TargetMode="External" Id="rId305"/><Relationship Type="http://schemas.openxmlformats.org/officeDocument/2006/relationships/hyperlink" Target="https://engineering.purdue.edu/AAE/people/ptProfile?resource_id=243165" TargetMode="External" Id="rId306"/><Relationship Type="http://schemas.openxmlformats.org/officeDocument/2006/relationships/hyperlink" Target="https://scholar.google.com/citations?view_op=search_authors&amp;mauthors=Dianyun%20Zhang%20Purdue%20University" TargetMode="External" Id="rId307"/><Relationship Type="http://schemas.openxmlformats.org/officeDocument/2006/relationships/hyperlink" Target="mailto:dianyun@purdue.edu" TargetMode="External" Id="rId308"/><Relationship Type="http://schemas.openxmlformats.org/officeDocument/2006/relationships/hyperlink" Target="https://insgc.spacegrant.org/" TargetMode="External" Id="rId309"/><Relationship Type="http://schemas.openxmlformats.org/officeDocument/2006/relationships/hyperlink" Target="https://engineering.purdue.edu/AAE/people/Faculty" TargetMode="External" Id="rId310"/><Relationship Type="http://schemas.openxmlformats.org/officeDocument/2006/relationships/hyperlink" Target="https://engineering.purdue.edu/ME/People/ptProfile?resource_id=29424" TargetMode="External" Id="rId311"/><Relationship Type="http://schemas.openxmlformats.org/officeDocument/2006/relationships/hyperlink" Target="https://scholar.google.com/citations?view_op=search_authors&amp;mauthors=Fu%20Zhao%20Purdue%20University" TargetMode="External" Id="rId312"/><Relationship Type="http://schemas.openxmlformats.org/officeDocument/2006/relationships/hyperlink" Target="mailto:fzhao@purdue.edu" TargetMode="External" Id="rId313"/><Relationship Type="http://schemas.openxmlformats.org/officeDocument/2006/relationships/hyperlink" Target="https://engineering.purdue.edu/~fzhao/" TargetMode="External" Id="rId314"/><Relationship Type="http://schemas.openxmlformats.org/officeDocument/2006/relationships/hyperlink" Target="https://engineering.purdue.edu/ME/People/ptFaculty" TargetMode="External" Id="rId315"/><Relationship Type="http://schemas.openxmlformats.org/officeDocument/2006/relationships/hyperlink" Target="https://engineering.purdue.edu/ME/People/ptProfile?resource_id=286292" TargetMode="External" Id="rId316"/><Relationship Type="http://schemas.openxmlformats.org/officeDocument/2006/relationships/hyperlink" Target="https://scholar.google.com/citations?user=JmlZjPgAAAAJ&amp;hl=en" TargetMode="External" Id="rId317"/><Relationship Type="http://schemas.openxmlformats.org/officeDocument/2006/relationships/hyperlink" Target="mailto:liddellh@purdue.edu" TargetMode="External" Id="rId318"/><Relationship Type="http://schemas.openxmlformats.org/officeDocument/2006/relationships/hyperlink" Target="https://hpliddell.github.io/" TargetMode="External" Id="rId319"/><Relationship Type="http://schemas.openxmlformats.org/officeDocument/2006/relationships/hyperlink" Target="https://github.com/alshedivat/al-folio" TargetMode="External" Id="rId320"/><Relationship Type="http://schemas.openxmlformats.org/officeDocument/2006/relationships/hyperlink" Target="https://engineering.purdue.edu/ME/People/ptFaculty" TargetMode="External" Id="rId321"/><Relationship Type="http://schemas.openxmlformats.org/officeDocument/2006/relationships/hyperlink" Target="https://engineering.purdue.edu/ME/People/ptProfile?resource_id=277732" TargetMode="External" Id="rId322"/><Relationship Type="http://schemas.openxmlformats.org/officeDocument/2006/relationships/hyperlink" Target="https://scholar.google.com/citations?user=sUD9j0EAAAAJ" TargetMode="External" Id="rId323"/><Relationship Type="http://schemas.openxmlformats.org/officeDocument/2006/relationships/hyperlink" Target="mailto:lsotelo@purdue.edu" TargetMode="External" Id="rId324"/><Relationship Type="http://schemas.openxmlformats.org/officeDocument/2006/relationships/hyperlink" Target="https://scholar.google.com/citations?user=sUD9j0EAAAAJ" TargetMode="External" Id="rId325"/><Relationship Type="http://schemas.openxmlformats.org/officeDocument/2006/relationships/hyperlink" Target="https://engineering.purdue.edu/ME/People/ptFaculty" TargetMode="External" Id="rId326"/><Relationship Type="http://schemas.openxmlformats.org/officeDocument/2006/relationships/hyperlink" Target="https://engineering.purdue.edu/ME/People/ptProfile?resource_id=106137" TargetMode="External" Id="rId327"/><Relationship Type="http://schemas.openxmlformats.org/officeDocument/2006/relationships/hyperlink" Target="https://scholar.google.com/citations?view_op=search_authors&amp;mauthors=Marcial%20Gonzalez%20Purdue%20University" TargetMode="External" Id="rId328"/><Relationship Type="http://schemas.openxmlformats.org/officeDocument/2006/relationships/hyperlink" Target="mailto:marcial-gonzalez@purdue.edu" TargetMode="External" Id="rId329"/><Relationship Type="http://schemas.openxmlformats.org/officeDocument/2006/relationships/hyperlink" Target="http://www.marcialgonzalez.net" TargetMode="External" Id="rId330"/><Relationship Type="http://schemas.openxmlformats.org/officeDocument/2006/relationships/hyperlink" Target="https://engineering.purdue.edu/ME/People/ptFaculty" TargetMode="External" Id="rId331"/><Relationship Type="http://schemas.openxmlformats.org/officeDocument/2006/relationships/hyperlink" Target="https://engineering.purdue.edu/ME/People/ptProfile?resource_id=90129" TargetMode="External" Id="rId332"/><Relationship Type="http://schemas.openxmlformats.org/officeDocument/2006/relationships/hyperlink" Target="https://scholar.google.com/citations?view_op=search_authors&amp;mauthors=Pavlos%20Vlachos%20Purdue%20University" TargetMode="External" Id="rId333"/><Relationship Type="http://schemas.openxmlformats.org/officeDocument/2006/relationships/hyperlink" Target="mailto:pvlachos@purdue.edu" TargetMode="External" Id="rId334"/><Relationship Type="http://schemas.openxmlformats.org/officeDocument/2006/relationships/hyperlink" Target="https://vlachosresearch.org/" TargetMode="External" Id="rId335"/><Relationship Type="http://schemas.openxmlformats.org/officeDocument/2006/relationships/hyperlink" Target="https://engineering.purdue.edu/ME/People/ptFaculty" TargetMode="External" Id="rId336"/><Relationship Type="http://schemas.openxmlformats.org/officeDocument/2006/relationships/hyperlink" Target="https://engineering.purdue.edu/AAE/people/ptProfile?resource_id=1436" TargetMode="External" Id="rId337"/><Relationship Type="http://schemas.openxmlformats.org/officeDocument/2006/relationships/hyperlink" Target="https://scholar.google.com/citations?view_op=search_authors&amp;mauthors=R%20Byron%20Pipes%20Purdue%20University" TargetMode="External" Id="rId338"/><Relationship Type="http://schemas.openxmlformats.org/officeDocument/2006/relationships/hyperlink" Target="https://engineering.purdue.edu/AAE/people/Faculty" TargetMode="External" Id="rId339"/><Relationship Type="http://schemas.openxmlformats.org/officeDocument/2006/relationships/hyperlink" Target="https://engineering.purdue.edu/ME/People/ptProfile?resource_id=12303" TargetMode="External" Id="rId340"/><Relationship Type="http://schemas.openxmlformats.org/officeDocument/2006/relationships/hyperlink" Target="https://scholar.google.com/citations?hl=en&amp;user=axgXCjEAAAAJ" TargetMode="External" Id="rId341"/><Relationship Type="http://schemas.openxmlformats.org/officeDocument/2006/relationships/hyperlink" Target="mailto:siegmund@purdue.edu" TargetMode="External" Id="rId342"/><Relationship Type="http://schemas.openxmlformats.org/officeDocument/2006/relationships/hyperlink" Target="https://engineering.purdue.edu/MYMECH" TargetMode="External" Id="rId343"/><Relationship Type="http://schemas.openxmlformats.org/officeDocument/2006/relationships/hyperlink" Target="https://engineering.purdue.edu/ME/People/ptFaculty" TargetMode="External" Id="rId344"/><Relationship Type="http://schemas.openxmlformats.org/officeDocument/2006/relationships/hyperlink" Target="https://engineering.purdue.edu/AAE/people/ptProfile?resource_id=93761" TargetMode="External" Id="rId345"/><Relationship Type="http://schemas.openxmlformats.org/officeDocument/2006/relationships/hyperlink" Target="https://scholar.google.com/citations?view_op=search_authors&amp;mauthors=Wenbin%20Yu%20Purdue%20University" TargetMode="External" Id="rId346"/><Relationship Type="http://schemas.openxmlformats.org/officeDocument/2006/relationships/hyperlink" Target="mailto:wenbinyu@purdue.edu" TargetMode="External" Id="rId347"/><Relationship Type="http://schemas.openxmlformats.org/officeDocument/2006/relationships/hyperlink" Target="https://insgc.spacegrant.org/" TargetMode="External" Id="rId348"/><Relationship Type="http://schemas.openxmlformats.org/officeDocument/2006/relationships/hyperlink" Target="https://engineering.purdue.edu/AAE/people/Faculty" TargetMode="External" Id="rId349"/><Relationship Type="http://schemas.openxmlformats.org/officeDocument/2006/relationships/hyperlink" Target="https://engineering.purdue.edu/ME/People/ptProfile?resource_id=232598" TargetMode="External" Id="rId350"/><Relationship Type="http://schemas.openxmlformats.org/officeDocument/2006/relationships/hyperlink" Target="https://scholar.google.com/citations?view_op=search_authors&amp;mauthors=Ajay%20Malshe%20Purdue%20University" TargetMode="External" Id="rId351"/><Relationship Type="http://schemas.openxmlformats.org/officeDocument/2006/relationships/hyperlink" Target="mailto:amalshe@purdue.edu" TargetMode="External" Id="rId352"/><Relationship Type="http://schemas.openxmlformats.org/officeDocument/2006/relationships/hyperlink" Target="https://www.linkedin.com/in/ajay-malshe/" TargetMode="External" Id="rId353"/><Relationship Type="http://schemas.openxmlformats.org/officeDocument/2006/relationships/hyperlink" Target="https://engineering.purdue.edu/ME/People/ptFaculty" TargetMode="External" Id="rId354"/><Relationship Type="http://schemas.openxmlformats.org/officeDocument/2006/relationships/hyperlink" Target="https://engineering.purdue.edu/ME/People/ptProfile?resource_id=243743" TargetMode="External" Id="rId355"/><Relationship Type="http://schemas.openxmlformats.org/officeDocument/2006/relationships/hyperlink" Target="https://scholar.google.com/citations?view_op=search_authors&amp;mauthors=Alex%20Chortos%20Purdue%20University" TargetMode="External" Id="rId356"/><Relationship Type="http://schemas.openxmlformats.org/officeDocument/2006/relationships/hyperlink" Target="mailto:achortos@purdue.edu" TargetMode="External" Id="rId357"/><Relationship Type="http://schemas.openxmlformats.org/officeDocument/2006/relationships/hyperlink" Target="https://www.alexchortos.com/" TargetMode="External" Id="rId358"/><Relationship Type="http://schemas.openxmlformats.org/officeDocument/2006/relationships/hyperlink" Target="https://engineering.purdue.edu/ME/People/ptFaculty" TargetMode="External" Id="rId359"/><Relationship Type="http://schemas.openxmlformats.org/officeDocument/2006/relationships/hyperlink" Target="https://engineering.purdue.edu/ME/People/ptProfile?resource_id=11316" TargetMode="External" Id="rId360"/><Relationship Type="http://schemas.openxmlformats.org/officeDocument/2006/relationships/hyperlink" Target="https://scholar.google.com/citations?view_op=search_authors&amp;mauthors=Anil%20K.%20Bajaj%20Purdue%20University" TargetMode="External" Id="rId361"/><Relationship Type="http://schemas.openxmlformats.org/officeDocument/2006/relationships/hyperlink" Target="mailto:bajaj@purdue.edu" TargetMode="External" Id="rId362"/><Relationship Type="http://schemas.openxmlformats.org/officeDocument/2006/relationships/hyperlink" Target="https://insgc.spacegrant.org/" TargetMode="External" Id="rId363"/><Relationship Type="http://schemas.openxmlformats.org/officeDocument/2006/relationships/hyperlink" Target="https://engineering.purdue.edu/ME/People/ptFaculty" TargetMode="External" Id="rId364"/><Relationship Type="http://schemas.openxmlformats.org/officeDocument/2006/relationships/hyperlink" Target="https://engineering.purdue.edu/ME/People/ptProfile?resource_id=250301" TargetMode="External" Id="rId365"/><Relationship Type="http://schemas.openxmlformats.org/officeDocument/2006/relationships/hyperlink" Target="https://scholar.google.com/citations?view_op=search_authors&amp;mauthors=Babak%20Anasori%20Purdue%20University" TargetMode="External" Id="rId366"/><Relationship Type="http://schemas.openxmlformats.org/officeDocument/2006/relationships/hyperlink" Target="mailto:banasori@purdue.edu" TargetMode="External" Id="rId367"/><Relationship Type="http://schemas.openxmlformats.org/officeDocument/2006/relationships/hyperlink" Target="https://www.babakanasori.com/" TargetMode="External" Id="rId368"/><Relationship Type="http://schemas.openxmlformats.org/officeDocument/2006/relationships/hyperlink" Target="https://engineering.purdue.edu/ME/People/ptFaculty" TargetMode="External" Id="rId369"/><Relationship Type="http://schemas.openxmlformats.org/officeDocument/2006/relationships/hyperlink" Target="https://engineering.purdue.edu/Engr/People/ptProfile?resource_id=4110" TargetMode="External" Id="rId370"/><Relationship Type="http://schemas.openxmlformats.org/officeDocument/2006/relationships/hyperlink" Target="https://scholar.google.com/citations?view_op=search_authors&amp;mauthors=Beth%20Holloway%20Purdue%20University" TargetMode="External" Id="rId371"/><Relationship Type="http://schemas.openxmlformats.org/officeDocument/2006/relationships/hyperlink" Target="mailto:holloway@purdue.edu" TargetMode="External" Id="rId372"/><Relationship Type="http://schemas.openxmlformats.org/officeDocument/2006/relationships/hyperlink" Target="https://insgc.spacegrant.org/" TargetMode="External" Id="rId373"/><Relationship Type="http://schemas.openxmlformats.org/officeDocument/2006/relationships/hyperlink" Target="https://engineering.purdue.edu/ME/People/ptFaculty" TargetMode="External" Id="rId374"/><Relationship Type="http://schemas.openxmlformats.org/officeDocument/2006/relationships/hyperlink" Target="https://engineering.purdue.edu/ME/People/ptProfile?resource_id=120407" TargetMode="External" Id="rId375"/><Relationship Type="http://schemas.openxmlformats.org/officeDocument/2006/relationships/hyperlink" Target="https://scholar.google.com/citations?view_op=search_authors&amp;mauthors=Eduardo%20Barocio%20Vaca%20Purdue%20University" TargetMode="External" Id="rId376"/><Relationship Type="http://schemas.openxmlformats.org/officeDocument/2006/relationships/hyperlink" Target="mailto:ebarocio@purdue.edu" TargetMode="External" Id="rId377"/><Relationship Type="http://schemas.openxmlformats.org/officeDocument/2006/relationships/hyperlink" Target="https://insgc.spacegrant.org/" TargetMode="External" Id="rId378"/><Relationship Type="http://schemas.openxmlformats.org/officeDocument/2006/relationships/hyperlink" Target="https://engineering.purdue.edu/ME/People/ptFaculty" TargetMode="External" Id="rId379"/><Relationship Type="http://schemas.openxmlformats.org/officeDocument/2006/relationships/hyperlink" Target="https://engineering.purdue.edu/ME/People/ptProfile?resource_id=23987" TargetMode="External" Id="rId380"/><Relationship Type="http://schemas.openxmlformats.org/officeDocument/2006/relationships/hyperlink" Target="https://scholar.google.com/citations?view_op=search_authors&amp;mauthors=Farshid%20Sadeghi%20Purdue%20University" TargetMode="External" Id="rId381"/><Relationship Type="http://schemas.openxmlformats.org/officeDocument/2006/relationships/hyperlink" Target="mailto:sadeghi@purdue.edu" TargetMode="External" Id="rId382"/><Relationship Type="http://schemas.openxmlformats.org/officeDocument/2006/relationships/hyperlink" Target="https://engineering.purdue.edu/METL" TargetMode="External" Id="rId383"/><Relationship Type="http://schemas.openxmlformats.org/officeDocument/2006/relationships/hyperlink" Target="https://engineering.purdue.edu/ME/People/ptFaculty" TargetMode="External" Id="rId384"/><Relationship Type="http://schemas.openxmlformats.org/officeDocument/2006/relationships/hyperlink" Target="https://engineering.purdue.edu/ME/People/ptProfile?resource_id=113500" TargetMode="External" Id="rId385"/><Relationship Type="http://schemas.openxmlformats.org/officeDocument/2006/relationships/hyperlink" Target="https://scholar.google.com/citations?view_op=search_authors&amp;mauthors=Ilias%20Bilionis%20Purdue%20University" TargetMode="External" Id="rId386"/><Relationship Type="http://schemas.openxmlformats.org/officeDocument/2006/relationships/hyperlink" Target="mailto:ibilion@purdue.edu" TargetMode="External" Id="rId387"/><Relationship Type="http://schemas.openxmlformats.org/officeDocument/2006/relationships/hyperlink" Target="https://www.predictivesciencelab.org/" TargetMode="External" Id="rId388"/><Relationship Type="http://schemas.openxmlformats.org/officeDocument/2006/relationships/hyperlink" Target="https://github.com/PredictiveScienceLab" TargetMode="External" Id="rId389"/><Relationship Type="http://schemas.openxmlformats.org/officeDocument/2006/relationships/hyperlink" Target="https://engineering.purdue.edu/ME/People/ptFaculty" TargetMode="External" Id="rId390"/><Relationship Type="http://schemas.openxmlformats.org/officeDocument/2006/relationships/hyperlink" Target="https://engineering.purdue.edu/ME/People/ptProfile?resource_id=127242" TargetMode="External" Id="rId391"/><Relationship Type="http://schemas.openxmlformats.org/officeDocument/2006/relationships/hyperlink" Target="https://scholar.google.com/citations?view_op=search_authors&amp;mauthors=James%20Gibert%20Purdue%20University" TargetMode="External" Id="rId392"/><Relationship Type="http://schemas.openxmlformats.org/officeDocument/2006/relationships/hyperlink" Target="mailto:jgibert@purdue.edu" TargetMode="External" Id="rId393"/><Relationship Type="http://schemas.openxmlformats.org/officeDocument/2006/relationships/hyperlink" Target="https://insgc.spacegrant.org/" TargetMode="External" Id="rId394"/><Relationship Type="http://schemas.openxmlformats.org/officeDocument/2006/relationships/hyperlink" Target="https://engineering.purdue.edu/ME/People/ptFaculty" TargetMode="External" Id="rId395"/><Relationship Type="http://schemas.openxmlformats.org/officeDocument/2006/relationships/hyperlink" Target="https://engineering.purdue.edu/ME/People/ptProfile?resource_id=80194" TargetMode="External" Id="rId396"/><Relationship Type="http://schemas.openxmlformats.org/officeDocument/2006/relationships/hyperlink" Target="https://scholar.google.com/citations?view_op=search_authors&amp;mauthors=Jitesh%20H.%20Panchal%20Purdue%20University" TargetMode="External" Id="rId397"/><Relationship Type="http://schemas.openxmlformats.org/officeDocument/2006/relationships/hyperlink" Target="mailto:panchal@purdue.edu" TargetMode="External" Id="rId398"/><Relationship Type="http://schemas.openxmlformats.org/officeDocument/2006/relationships/hyperlink" Target="https://engineering.purdue.edu/DELP/" TargetMode="External" Id="rId399"/><Relationship Type="http://schemas.openxmlformats.org/officeDocument/2006/relationships/hyperlink" Target="https://engineering.purdue.edu/ME/People/ptFaculty" TargetMode="External" Id="rId400"/><Relationship Type="http://schemas.openxmlformats.org/officeDocument/2006/relationships/hyperlink" Target="https://engineering.purdue.edu/ME/People/ptProfile?resource_id=156378" TargetMode="External" Id="rId401"/><Relationship Type="http://schemas.openxmlformats.org/officeDocument/2006/relationships/hyperlink" Target="https://scholar.google.com/citations?view_op=search_authors&amp;mauthors=Martin%20Byung-Guk%20Jun%20Purdue%20University" TargetMode="External" Id="rId402"/><Relationship Type="http://schemas.openxmlformats.org/officeDocument/2006/relationships/hyperlink" Target="mailto:mbgjun@purdue.edu" TargetMode="External" Id="rId403"/><Relationship Type="http://schemas.openxmlformats.org/officeDocument/2006/relationships/hyperlink" Target="http://web.ics.purdue.edu/~jun25/" TargetMode="External" Id="rId404"/><Relationship Type="http://schemas.openxmlformats.org/officeDocument/2006/relationships/hyperlink" Target="https://engineering.purdue.edu/ME/People/ptFaculty" TargetMode="External" Id="rId405"/><Relationship Type="http://schemas.openxmlformats.org/officeDocument/2006/relationships/hyperlink" Target="https://engineering.purdue.edu/ME/People/ptProfile?resource_id=144060" TargetMode="External" Id="rId406"/><Relationship Type="http://schemas.openxmlformats.org/officeDocument/2006/relationships/hyperlink" Target="https://scholar.google.com/citations?view_op=search_authors&amp;mauthors=Mukerrem%20Cakmak%20Purdue%20University" TargetMode="External" Id="rId407"/><Relationship Type="http://schemas.openxmlformats.org/officeDocument/2006/relationships/hyperlink" Target="mailto:cakmak@purdue.edu" TargetMode="External" Id="rId408"/><Relationship Type="http://schemas.openxmlformats.org/officeDocument/2006/relationships/hyperlink" Target="https://insgc.spacegrant.org/" TargetMode="External" Id="rId409"/><Relationship Type="http://schemas.openxmlformats.org/officeDocument/2006/relationships/hyperlink" Target="https://engineering.purdue.edu/ME/People/ptFaculty" TargetMode="External" Id="rId410"/><Relationship Type="http://schemas.openxmlformats.org/officeDocument/2006/relationships/hyperlink" Target="https://engineering.purdue.edu/ME/People/ptProfile?resource_id=236680" TargetMode="External" Id="rId411"/><Relationship Type="http://schemas.openxmlformats.org/officeDocument/2006/relationships/hyperlink" Target="https://scholar.google.com/citations?view_op=search_authors&amp;mauthors=Ryan%20Wagner%20Purdue%20University" TargetMode="External" Id="rId412"/><Relationship Type="http://schemas.openxmlformats.org/officeDocument/2006/relationships/hyperlink" Target="mailto:rbwagner@purdue.edu" TargetMode="External" Id="rId413"/><Relationship Type="http://schemas.openxmlformats.org/officeDocument/2006/relationships/hyperlink" Target="https://engineering.purdue.edu/~rbwagner/" TargetMode="External" Id="rId414"/><Relationship Type="http://schemas.openxmlformats.org/officeDocument/2006/relationships/hyperlink" Target="https://github.com/rbwagner147" TargetMode="External" Id="rId415"/><Relationship Type="http://schemas.openxmlformats.org/officeDocument/2006/relationships/hyperlink" Target="https://engineering.purdue.edu/ME/People/ptFaculty" TargetMode="External" Id="rId416"/><Relationship Type="http://schemas.openxmlformats.org/officeDocument/2006/relationships/hyperlink" Target="https://engineering.purdue.edu/AAE/people/ptProfile?resource_id=127158" TargetMode="External" Id="rId417"/><Relationship Type="http://schemas.openxmlformats.org/officeDocument/2006/relationships/hyperlink" Target="https://scholar.google.com/citations?view_op=search_authors&amp;mauthors=Tyler%20Tallman%20Purdue%20University" TargetMode="External" Id="rId418"/><Relationship Type="http://schemas.openxmlformats.org/officeDocument/2006/relationships/hyperlink" Target="mailto:ttallman@purdue.edu" TargetMode="External" Id="rId419"/><Relationship Type="http://schemas.openxmlformats.org/officeDocument/2006/relationships/hyperlink" Target="https://insgc.spacegrant.org/" TargetMode="External" Id="rId420"/><Relationship Type="http://schemas.openxmlformats.org/officeDocument/2006/relationships/hyperlink" Target="https://engineering.purdue.edu/AAE/people/Faculty" TargetMode="External" Id="rId421"/><Relationship Type="http://schemas.openxmlformats.org/officeDocument/2006/relationships/hyperlink" Target="https://engineering.purdue.edu/AAE/people/ptProfile?resource_id=1403" TargetMode="External" Id="rId422"/><Relationship Type="http://schemas.openxmlformats.org/officeDocument/2006/relationships/hyperlink" Target="https://scholar.google.com/citations?view_op=search_authors&amp;mauthors=Inseok%20Hwang%20Purdue%20University" TargetMode="External" Id="rId423"/><Relationship Type="http://schemas.openxmlformats.org/officeDocument/2006/relationships/hyperlink" Target="mailto:ihwang@purdue.edu" TargetMode="External" Id="rId424"/><Relationship Type="http://schemas.openxmlformats.org/officeDocument/2006/relationships/hyperlink" Target="https://insgc.spacegrant.org/" TargetMode="External" Id="rId425"/><Relationship Type="http://schemas.openxmlformats.org/officeDocument/2006/relationships/hyperlink" Target="https://engineering.purdue.edu/AAE/people/Faculty" TargetMode="External" Id="rId426"/><Relationship Type="http://schemas.openxmlformats.org/officeDocument/2006/relationships/hyperlink" Target="https://engineering.purdue.edu/AAE/people/ptProfile?resource_id=272261" TargetMode="External" Id="rId427"/><Relationship Type="http://schemas.openxmlformats.org/officeDocument/2006/relationships/hyperlink" Target="https://scholar.google.com/citations?hl=en&amp;user=fVJDLrYAAAAJ&amp;view_op=list_works&amp;sortby=pubdate" TargetMode="External" Id="rId428"/><Relationship Type="http://schemas.openxmlformats.org/officeDocument/2006/relationships/hyperlink" Target="mailto:klegrand@purdue.edu" TargetMode="External" Id="rId429"/><Relationship Type="http://schemas.openxmlformats.org/officeDocument/2006/relationships/hyperlink" Target="https://insgc.spacegrant.org/" TargetMode="External" Id="rId430"/><Relationship Type="http://schemas.openxmlformats.org/officeDocument/2006/relationships/hyperlink" Target="https://engineering.purdue.edu/AAE/people/Faculty" TargetMode="External" Id="rId431"/><Relationship Type="http://schemas.openxmlformats.org/officeDocument/2006/relationships/hyperlink" Target="https://engineering.purdue.edu/AAE/people/ptProfile?resource_id=1429" TargetMode="External" Id="rId432"/><Relationship Type="http://schemas.openxmlformats.org/officeDocument/2006/relationships/hyperlink" Target="https://scholar.google.com/citations?view_op=search_authors&amp;mauthors=Daniel%20DeLaurentis%20Purdue%20University" TargetMode="External" Id="rId433"/><Relationship Type="http://schemas.openxmlformats.org/officeDocument/2006/relationships/hyperlink" Target="mailto:ddelaure@purdue.edu" TargetMode="External" Id="rId434"/><Relationship Type="http://schemas.openxmlformats.org/officeDocument/2006/relationships/hyperlink" Target="https://insgc.spacegrant.org/" TargetMode="External" Id="rId435"/><Relationship Type="http://schemas.openxmlformats.org/officeDocument/2006/relationships/hyperlink" Target="https://engineering.purdue.edu/AAE/people/Faculty" TargetMode="External" Id="rId436"/><Relationship Type="http://schemas.openxmlformats.org/officeDocument/2006/relationships/hyperlink" Target="https://engineering.purdue.edu/AAE/people/ptProfile?resource_id=50922" TargetMode="External" Id="rId437"/><Relationship Type="http://schemas.openxmlformats.org/officeDocument/2006/relationships/hyperlink" Target="https://scholar.google.com/citations?view_op=search_authors&amp;mauthors=Dengfeng%20Sun%20Purdue%20University" TargetMode="External" Id="rId438"/><Relationship Type="http://schemas.openxmlformats.org/officeDocument/2006/relationships/hyperlink" Target="mailto:dsun@purdue.edu" TargetMode="External" Id="rId439"/><Relationship Type="http://schemas.openxmlformats.org/officeDocument/2006/relationships/hyperlink" Target="https://insgc.spacegrant.org/" TargetMode="External" Id="rId440"/><Relationship Type="http://schemas.openxmlformats.org/officeDocument/2006/relationships/hyperlink" Target="https://engineering.purdue.edu/AAE/people/Faculty" TargetMode="External" Id="rId441"/><Relationship Type="http://schemas.openxmlformats.org/officeDocument/2006/relationships/hyperlink" Target="https://engineering.purdue.edu/ME/People/ptProfile?resource_id=11271" TargetMode="External" Id="rId442"/><Relationship Type="http://schemas.openxmlformats.org/officeDocument/2006/relationships/hyperlink" Target="https://scholar.google.com/citations?view_op=search_authors&amp;mauthors=Bin%20Yao%20Purdue%20University" TargetMode="External" Id="rId443"/><Relationship Type="http://schemas.openxmlformats.org/officeDocument/2006/relationships/hyperlink" Target="mailto:byao@purdue.edu" TargetMode="External" Id="rId444"/><Relationship Type="http://schemas.openxmlformats.org/officeDocument/2006/relationships/hyperlink" Target="http://engineering.purdue.edu/~byao/" TargetMode="External" Id="rId445"/><Relationship Type="http://schemas.openxmlformats.org/officeDocument/2006/relationships/hyperlink" Target="https://engineering.purdue.edu/ME/People/ptFaculty" TargetMode="External" Id="rId446"/><Relationship Type="http://schemas.openxmlformats.org/officeDocument/2006/relationships/hyperlink" Target="https://engineering.purdue.edu/ME/People/ptProfile?resource_id=211078" TargetMode="External" Id="rId447"/><Relationship Type="http://schemas.openxmlformats.org/officeDocument/2006/relationships/hyperlink" Target="https://scholar.google.com/citations?view_op=search_authors&amp;mauthors=Nina%20Mahmoudian%20Purdue%20University" TargetMode="External" Id="rId448"/><Relationship Type="http://schemas.openxmlformats.org/officeDocument/2006/relationships/hyperlink" Target="mailto:ninam@purdue.edu" TargetMode="External" Id="rId449"/><Relationship Type="http://schemas.openxmlformats.org/officeDocument/2006/relationships/hyperlink" Target="https://engineering.purdue.edu/mahmoudian" TargetMode="External" Id="rId450"/><Relationship Type="http://schemas.openxmlformats.org/officeDocument/2006/relationships/hyperlink" Target="https://engineering.purdue.edu/ME/People/ptFaculty" TargetMode="External" Id="rId451"/><Relationship Type="http://schemas.openxmlformats.org/officeDocument/2006/relationships/hyperlink" Target="https://engineering.purdue.edu/AAE/people/ptProfile?resource_id=243160" TargetMode="External" Id="rId452"/><Relationship Type="http://schemas.openxmlformats.org/officeDocument/2006/relationships/hyperlink" Target="https://scholar.google.com/citations?view_op=search_authors&amp;mauthors=Ran%20Dai%20Purdue%20University" TargetMode="External" Id="rId453"/><Relationship Type="http://schemas.openxmlformats.org/officeDocument/2006/relationships/hyperlink" Target="mailto:randai@purdue.edu" TargetMode="External" Id="rId454"/><Relationship Type="http://schemas.openxmlformats.org/officeDocument/2006/relationships/hyperlink" Target="https://insgc.spacegrant.org/" TargetMode="External" Id="rId455"/><Relationship Type="http://schemas.openxmlformats.org/officeDocument/2006/relationships/hyperlink" Target="https://engineering.purdue.edu/AAE/people/Faculty" TargetMode="External" Id="rId456"/><Relationship Type="http://schemas.openxmlformats.org/officeDocument/2006/relationships/hyperlink" Target="https://engineering.purdue.edu/ME/People/ptProfile?resource_id=57378" TargetMode="External" Id="rId457"/><Relationship Type="http://schemas.openxmlformats.org/officeDocument/2006/relationships/hyperlink" Target="https://scholar.google.com/citations?view_op=search_authors&amp;mauthors=Xinyan%20Deng%20Purdue%20University" TargetMode="External" Id="rId458"/><Relationship Type="http://schemas.openxmlformats.org/officeDocument/2006/relationships/hyperlink" Target="mailto:xdeng@purdue.edu" TargetMode="External" Id="rId459"/><Relationship Type="http://schemas.openxmlformats.org/officeDocument/2006/relationships/hyperlink" Target="http://engineering.purdue.edu/~xdeng/" TargetMode="External" Id="rId460"/><Relationship Type="http://schemas.openxmlformats.org/officeDocument/2006/relationships/hyperlink" Target="https://engineering.purdue.edu/ME/People/ptFaculty" TargetMode="External" Id="rId461"/><Relationship Type="http://schemas.openxmlformats.org/officeDocument/2006/relationships/hyperlink" Target="https://engineering.purdue.edu/ME/People/ptProfile?resource_id=273141" TargetMode="External" Id="rId462"/><Relationship Type="http://schemas.openxmlformats.org/officeDocument/2006/relationships/hyperlink" Target="https://scholar.google.com/citations?view_op=search_authors&amp;mauthors=Yan%20Gu%20Purdue%20University" TargetMode="External" Id="rId463"/><Relationship Type="http://schemas.openxmlformats.org/officeDocument/2006/relationships/hyperlink" Target="mailto:yangu@purdue.edu" TargetMode="External" Id="rId464"/><Relationship Type="http://schemas.openxmlformats.org/officeDocument/2006/relationships/hyperlink" Target="https://www.thetracelab.com/" TargetMode="External" Id="rId465"/><Relationship Type="http://schemas.openxmlformats.org/officeDocument/2006/relationships/hyperlink" Target="https://engineering.purdue.edu/ME/People/ptFaculty" TargetMode="External" Id="rId466"/><Relationship Type="http://schemas.openxmlformats.org/officeDocument/2006/relationships/hyperlink" Target="https://engineering.purdue.edu/ME/People/ptProfile?resource_id=92669" TargetMode="External" Id="rId467"/><Relationship Type="http://schemas.openxmlformats.org/officeDocument/2006/relationships/hyperlink" Target="https://scholar.google.com/citations?view_op=search_authors&amp;mauthors=David%20Cappelleri%20Purdue%20University" TargetMode="External" Id="rId468"/><Relationship Type="http://schemas.openxmlformats.org/officeDocument/2006/relationships/hyperlink" Target="mailto:dcappell@purdue.edu" TargetMode="External" Id="rId469"/><Relationship Type="http://schemas.openxmlformats.org/officeDocument/2006/relationships/hyperlink" Target="http://www.multiscalerobotics.org/" TargetMode="External" Id="rId470"/><Relationship Type="http://schemas.openxmlformats.org/officeDocument/2006/relationships/hyperlink" Target="https://engineering.purdue.edu/ME/People/ptFaculty" TargetMode="External" Id="rId471"/><Relationship Type="http://schemas.openxmlformats.org/officeDocument/2006/relationships/hyperlink" Target="https://engineering.purdue.edu/AAE/people/ptProfile?resource_id=270776" TargetMode="External" Id="rId472"/><Relationship Type="http://schemas.openxmlformats.org/officeDocument/2006/relationships/hyperlink" Target="https://scholar.google.com/citations?view_op=search_authors&amp;mauthors=Husheng%20Li%20Purdue%20University" TargetMode="External" Id="rId473"/><Relationship Type="http://schemas.openxmlformats.org/officeDocument/2006/relationships/hyperlink" Target="mailto:husheng@purdue.edu" TargetMode="External" Id="rId474"/><Relationship Type="http://schemas.openxmlformats.org/officeDocument/2006/relationships/hyperlink" Target="https://insgc.spacegrant.org/" TargetMode="External" Id="rId475"/><Relationship Type="http://schemas.openxmlformats.org/officeDocument/2006/relationships/hyperlink" Target="https://engineering.purdue.edu/AAE/people/Faculty" TargetMode="External" Id="rId476"/><Relationship Type="http://schemas.openxmlformats.org/officeDocument/2006/relationships/hyperlink" Target="https://engineering.purdue.edu/AAE/people/ptProfile?resource_id=50933" TargetMode="External" Id="rId477"/><Relationship Type="http://schemas.openxmlformats.org/officeDocument/2006/relationships/hyperlink" Target="https://scholar.google.com/citations?view_op=search_authors&amp;mauthors=Karen%20Marais%20Purdue%20University" TargetMode="External" Id="rId478"/><Relationship Type="http://schemas.openxmlformats.org/officeDocument/2006/relationships/hyperlink" Target="mailto:kmarais@purdue.edu" TargetMode="External" Id="rId479"/><Relationship Type="http://schemas.openxmlformats.org/officeDocument/2006/relationships/hyperlink" Target="https://insgc.spacegrant.org/" TargetMode="External" Id="rId480"/><Relationship Type="http://schemas.openxmlformats.org/officeDocument/2006/relationships/hyperlink" Target="https://engineering.purdue.edu/AAE/people/Faculty" TargetMode="External" Id="rId481"/><Relationship Type="http://schemas.openxmlformats.org/officeDocument/2006/relationships/hyperlink" Target="https://engineering.purdue.edu/ME/People/ptProfile?resource_id=241064" TargetMode="External" Id="rId482"/><Relationship Type="http://schemas.openxmlformats.org/officeDocument/2006/relationships/hyperlink" Target="https://scholar.google.com/citations?view_op=search_authors&amp;mauthors=Laura%20Blumenschein%20Purdue%20University" TargetMode="External" Id="rId483"/><Relationship Type="http://schemas.openxmlformats.org/officeDocument/2006/relationships/hyperlink" Target="mailto:lhblumen@purdue.edu" TargetMode="External" Id="rId484"/><Relationship Type="http://schemas.openxmlformats.org/officeDocument/2006/relationships/hyperlink" Target="https://lhblumen.wixsite.com/website-1" TargetMode="External" Id="rId485"/><Relationship Type="http://schemas.openxmlformats.org/officeDocument/2006/relationships/hyperlink" Target="https://engineering.purdue.edu/ME/People/ptFaculty" TargetMode="External" Id="rId486"/><Relationship Type="http://schemas.openxmlformats.org/officeDocument/2006/relationships/hyperlink" Target="https://engineering.purdue.edu/ME/People/ptProfile?resource_id=61666" TargetMode="External" Id="rId487"/><Relationship Type="http://schemas.openxmlformats.org/officeDocument/2006/relationships/hyperlink" Target="https://scholar.google.com/citations?view_op=search_authors&amp;mauthors=Andrea%20Vacca%20Purdue%20University" TargetMode="External" Id="rId488"/><Relationship Type="http://schemas.openxmlformats.org/officeDocument/2006/relationships/hyperlink" Target="mailto:avacca@purdue.edu" TargetMode="External" Id="rId489"/><Relationship Type="http://schemas.openxmlformats.org/officeDocument/2006/relationships/hyperlink" Target="https://engineering.purdue.edu/Maha" TargetMode="External" Id="rId490"/><Relationship Type="http://schemas.openxmlformats.org/officeDocument/2006/relationships/hyperlink" Target="https://engineering.purdue.edu/ME/People/ptFaculty" TargetMode="External" Id="rId491"/><Relationship Type="http://schemas.openxmlformats.org/officeDocument/2006/relationships/hyperlink" Target="https://engineering.purdue.edu/AAE/people/ptProfile?resource_id=1339" TargetMode="External" Id="rId492"/><Relationship Type="http://schemas.openxmlformats.org/officeDocument/2006/relationships/hyperlink" Target="https://scholar.google.com/citations?view_op=search_authors&amp;mauthors=Arthur%20E.%20Frazho%20Purdue%20University" TargetMode="External" Id="rId493"/><Relationship Type="http://schemas.openxmlformats.org/officeDocument/2006/relationships/hyperlink" Target="mailto:frazho@purdue.edu" TargetMode="External" Id="rId494"/><Relationship Type="http://schemas.openxmlformats.org/officeDocument/2006/relationships/hyperlink" Target="https://insgc.spacegrant.org/" TargetMode="External" Id="rId495"/><Relationship Type="http://schemas.openxmlformats.org/officeDocument/2006/relationships/hyperlink" Target="https://engineering.purdue.edu/AAE/people/Faculty" TargetMode="External" Id="rId496"/><Relationship Type="http://schemas.openxmlformats.org/officeDocument/2006/relationships/hyperlink" Target="https://engineering.purdue.edu/AAE/people/ptProfile?resource_id=132802" TargetMode="External" Id="rId497"/><Relationship Type="http://schemas.openxmlformats.org/officeDocument/2006/relationships/hyperlink" Target="https://scholar.google.com/citations?view_op=search_authors&amp;mauthors=Brandon%20Chynoweth%20Purdue%20University" TargetMode="External" Id="rId498"/><Relationship Type="http://schemas.openxmlformats.org/officeDocument/2006/relationships/hyperlink" Target="mailto:bchynowe@purdue.edu" TargetMode="External" Id="rId499"/><Relationship Type="http://schemas.openxmlformats.org/officeDocument/2006/relationships/hyperlink" Target="https://insgc.spacegrant.org/" TargetMode="External" Id="rId500"/><Relationship Type="http://schemas.openxmlformats.org/officeDocument/2006/relationships/hyperlink" Target="https://engineering.purdue.edu/AAE/people/Faculty" TargetMode="External" Id="rId501"/><Relationship Type="http://schemas.openxmlformats.org/officeDocument/2006/relationships/hyperlink" Target="https://engineering.purdue.edu/ME/People/ptProfile?resource_id=293356" TargetMode="External" Id="rId502"/><Relationship Type="http://schemas.openxmlformats.org/officeDocument/2006/relationships/hyperlink" Target="https://scholar.google.com/citations?view_op=search_authors&amp;mauthors=Daniel%20Williams%20Purdue%20University" TargetMode="External" Id="rId503"/><Relationship Type="http://schemas.openxmlformats.org/officeDocument/2006/relationships/hyperlink" Target="mailto:dewillia@purdue.edu" TargetMode="External" Id="rId504"/><Relationship Type="http://schemas.openxmlformats.org/officeDocument/2006/relationships/hyperlink" Target="https://insgc.spacegrant.org/" TargetMode="External" Id="rId505"/><Relationship Type="http://schemas.openxmlformats.org/officeDocument/2006/relationships/hyperlink" Target="https://engineering.purdue.edu/ME/People/ptFaculty" TargetMode="External" Id="rId506"/><Relationship Type="http://schemas.openxmlformats.org/officeDocument/2006/relationships/hyperlink" Target="https://engineering.purdue.edu/ME/People/ptProfile?resource_id=340479" TargetMode="External" Id="rId507"/><Relationship Type="http://schemas.openxmlformats.org/officeDocument/2006/relationships/hyperlink" Target="https://scholar.google.com/citations?view_op=search_authors&amp;mauthors=John%20Eric%20Goff%20Purdue%20University" TargetMode="External" Id="rId508"/><Relationship Type="http://schemas.openxmlformats.org/officeDocument/2006/relationships/hyperlink" Target="mailto:goffje@purdue.edu" TargetMode="External" Id="rId509"/><Relationship Type="http://schemas.openxmlformats.org/officeDocument/2006/relationships/hyperlink" Target="https://insgc.spacegrant.org/" TargetMode="External" Id="rId510"/><Relationship Type="http://schemas.openxmlformats.org/officeDocument/2006/relationships/hyperlink" Target="https://engineering.purdue.edu/ME/People/ptFaculty" TargetMode="External" Id="rId511"/><Relationship Type="http://schemas.openxmlformats.org/officeDocument/2006/relationships/hyperlink" Target="https://engineering.purdue.edu/AAE/people/ptProfile?resource_id=316433" TargetMode="External" Id="rId512"/><Relationship Type="http://schemas.openxmlformats.org/officeDocument/2006/relationships/hyperlink" Target="https://scholar.google.com/citations?view_op=search_authors&amp;mauthors=Kevin%20Parsons%20Purdue%20University" TargetMode="External" Id="rId513"/><Relationship Type="http://schemas.openxmlformats.org/officeDocument/2006/relationships/hyperlink" Target="mailto:kkparson@purdue.edu" TargetMode="External" Id="rId514"/><Relationship Type="http://schemas.openxmlformats.org/officeDocument/2006/relationships/hyperlink" Target="https://insgc.spacegrant.org/" TargetMode="External" Id="rId515"/><Relationship Type="http://schemas.openxmlformats.org/officeDocument/2006/relationships/hyperlink" Target="https://engineering.purdue.edu/AAE/people/Faculty" TargetMode="External" Id="rId516"/><Relationship Type="http://schemas.openxmlformats.org/officeDocument/2006/relationships/hyperlink" Target="https://engineering.purdue.edu/ME/People/ptProfile?resource_id=84937" TargetMode="External" Id="rId517"/><Relationship Type="http://schemas.openxmlformats.org/officeDocument/2006/relationships/hyperlink" Target="https://scholar.google.com/citations?view_op=search_authors&amp;mauthors=Lizhi%20Shang%20Purdue%20University" TargetMode="External" Id="rId518"/><Relationship Type="http://schemas.openxmlformats.org/officeDocument/2006/relationships/hyperlink" Target="mailto:shangl@purdue.edu" TargetMode="External" Id="rId519"/><Relationship Type="http://schemas.openxmlformats.org/officeDocument/2006/relationships/hyperlink" Target="https://engineering.purdue.edu/Maha" TargetMode="External" Id="rId520"/><Relationship Type="http://schemas.openxmlformats.org/officeDocument/2006/relationships/hyperlink" Target="https://engineering.purdue.edu/ME/People/ptFaculty" TargetMode="External" Id="rId521"/><Relationship Type="http://schemas.openxmlformats.org/officeDocument/2006/relationships/hyperlink" Target="https://engineering.purdue.edu/ME/People/ptProfile?resource_id=324781" TargetMode="External" Id="rId522"/><Relationship Type="http://schemas.openxmlformats.org/officeDocument/2006/relationships/hyperlink" Target="https://scholar.google.com/citations?view_op=search_authors&amp;mauthors=Mina%20Karimi%20Purdue%20University" TargetMode="External" Id="rId523"/><Relationship Type="http://schemas.openxmlformats.org/officeDocument/2006/relationships/hyperlink" Target="mailto:karimi2@purdue.edu" TargetMode="External" Id="rId524"/><Relationship Type="http://schemas.openxmlformats.org/officeDocument/2006/relationships/hyperlink" Target="https://engineering.purdue.edu/karimi" TargetMode="External" Id="rId525"/><Relationship Type="http://schemas.openxmlformats.org/officeDocument/2006/relationships/hyperlink" Target="https://engineering.purdue.edu/ME/People/ptFaculty" TargetMode="External" Id="rId526"/><Relationship Type="http://schemas.openxmlformats.org/officeDocument/2006/relationships/hyperlink" Target="https://engineering.purdue.edu/AAE/people/ptProfile?resource_id=308322" TargetMode="External" Id="rId527"/><Relationship Type="http://schemas.openxmlformats.org/officeDocument/2006/relationships/hyperlink" Target="https://scholar.google.com/citations?view_op=search_authors&amp;mauthors=Takashi%20Tanaka%20Purdue%20University" TargetMode="External" Id="rId528"/><Relationship Type="http://schemas.openxmlformats.org/officeDocument/2006/relationships/hyperlink" Target="mailto:webmaster-eng@purdue.edu" TargetMode="External" Id="rId529"/><Relationship Type="http://schemas.openxmlformats.org/officeDocument/2006/relationships/hyperlink" Target="https://insgc.spacegrant.org/" TargetMode="External" Id="rId530"/><Relationship Type="http://schemas.openxmlformats.org/officeDocument/2006/relationships/hyperlink" Target="https://engineering.purdue.edu/AAE/people/Faculty" TargetMode="External" Id="rId531"/><Relationship Type="http://schemas.openxmlformats.org/officeDocument/2006/relationships/hyperlink" Target="https://engineering.purdue.edu/AAE/people/ptProfile?resource_id=1305" TargetMode="External" Id="rId532"/><Relationship Type="http://schemas.openxmlformats.org/officeDocument/2006/relationships/hyperlink" Target="https://scholar.google.com/citations?view_op=search_authors&amp;mauthors=William%20Crossley%20Purdue%20University" TargetMode="External" Id="rId533"/><Relationship Type="http://schemas.openxmlformats.org/officeDocument/2006/relationships/hyperlink" Target="mailto:asherwo@purdue.edu" TargetMode="External" Id="rId534"/><Relationship Type="http://schemas.openxmlformats.org/officeDocument/2006/relationships/hyperlink" Target="https://insgc.spacegrant.org/" TargetMode="External" Id="rId535"/><Relationship Type="http://schemas.openxmlformats.org/officeDocument/2006/relationships/hyperlink" Target="https://engineering.purdue.edu/AAE/people/Faculty" TargetMode="External" Id="rId536"/></Relationships>
</file>

<file path=xl/worksheets/_rels/sheet3.xml.rels><Relationships xmlns="http://schemas.openxmlformats.org/package/2006/relationships"><Relationship Type="http://schemas.openxmlformats.org/officeDocument/2006/relationships/hyperlink" Target="https://engineering.purdue.edu/AAE/people/ptProfile?resource_id=1377" TargetMode="External" Id="rId1"/><Relationship Type="http://schemas.openxmlformats.org/officeDocument/2006/relationships/hyperlink" Target="https://scholar.google.com/citations?view_op=search_authors&amp;mauthors=Gregory%20A.%20Blaisdell%20Purdue%20University" TargetMode="External" Id="rId2"/><Relationship Type="http://schemas.openxmlformats.org/officeDocument/2006/relationships/hyperlink" Target="mailto:blaisdel@purdue.edu" TargetMode="External" Id="rId3"/><Relationship Type="http://schemas.openxmlformats.org/officeDocument/2006/relationships/hyperlink" Target="https://insgc.spacegrant.org/" TargetMode="External" Id="rId4"/><Relationship Type="http://schemas.openxmlformats.org/officeDocument/2006/relationships/hyperlink" Target="https://engineering.purdue.edu/AAE/people/Faculty" TargetMode="External" Id="rId5"/><Relationship Type="http://schemas.openxmlformats.org/officeDocument/2006/relationships/hyperlink" Target="https://engineering.purdue.edu/AAE/people/ptProfile?resource_id=72424" TargetMode="External" Id="rId6"/><Relationship Type="http://schemas.openxmlformats.org/officeDocument/2006/relationships/hyperlink" Target="https://scholar.google.com/citations?user=fprhTwwAAAAJ&amp;hl=en" TargetMode="External" Id="rId7"/><Relationship Type="http://schemas.openxmlformats.org/officeDocument/2006/relationships/hyperlink" Target="mailto:sbane@purdue.edu" TargetMode="External" Id="rId8"/><Relationship Type="http://schemas.openxmlformats.org/officeDocument/2006/relationships/hyperlink" Target="https://insgc.spacegrant.org/" TargetMode="External" Id="rId9"/><Relationship Type="http://schemas.openxmlformats.org/officeDocument/2006/relationships/hyperlink" Target="https://engineering.purdue.edu/AAE/people/Faculty" TargetMode="External" Id="rId10"/><Relationship Type="http://schemas.openxmlformats.org/officeDocument/2006/relationships/hyperlink" Target="https://engineering.purdue.edu/AAE/people/ptProfile?resource_id=124958" TargetMode="External" Id="rId11"/><Relationship Type="http://schemas.openxmlformats.org/officeDocument/2006/relationships/hyperlink" Target="https://scholar.google.com/citations?view_op=search_authors&amp;mauthors=Carson%20Slabaugh%20Purdue%20University" TargetMode="External" Id="rId12"/><Relationship Type="http://schemas.openxmlformats.org/officeDocument/2006/relationships/hyperlink" Target="mailto:cslabau@purdue.edu" TargetMode="External" Id="rId13"/><Relationship Type="http://schemas.openxmlformats.org/officeDocument/2006/relationships/hyperlink" Target="https://insgc.spacegrant.org/" TargetMode="External" Id="rId14"/><Relationship Type="http://schemas.openxmlformats.org/officeDocument/2006/relationships/hyperlink" Target="https://engineering.purdue.edu/AAE/people/Faculty" TargetMode="External" Id="rId15"/><Relationship Type="http://schemas.openxmlformats.org/officeDocument/2006/relationships/hyperlink" Target="https://engineering.purdue.edu/AAE/people/ptProfile?resource_id=1274" TargetMode="External" Id="rId16"/><Relationship Type="http://schemas.openxmlformats.org/officeDocument/2006/relationships/hyperlink" Target="https://scholar.google.com/citations?view_op=search_authors&amp;mauthors=Steven%20P.%20Schneider%20Purdue%20University" TargetMode="External" Id="rId17"/><Relationship Type="http://schemas.openxmlformats.org/officeDocument/2006/relationships/hyperlink" Target="mailto:steves@purdue.edu" TargetMode="External" Id="rId18"/><Relationship Type="http://schemas.openxmlformats.org/officeDocument/2006/relationships/hyperlink" Target="https://insgc.spacegrant.org/" TargetMode="External" Id="rId19"/><Relationship Type="http://schemas.openxmlformats.org/officeDocument/2006/relationships/hyperlink" Target="https://engineering.purdue.edu/AAE/people/Faculty" TargetMode="External" Id="rId20"/><Relationship Type="http://schemas.openxmlformats.org/officeDocument/2006/relationships/hyperlink" Target="https://engineering.purdue.edu/AAE/people/ptProfile?resource_id=221718" TargetMode="External" Id="rId21"/><Relationship Type="http://schemas.openxmlformats.org/officeDocument/2006/relationships/hyperlink" Target="https://scholar.google.com/citations?hl=en&amp;user=NZ7cWNwAAAAJ" TargetMode="External" Id="rId22"/><Relationship Type="http://schemas.openxmlformats.org/officeDocument/2006/relationships/hyperlink" Target="mailto:jsjewell@purdue.edu" TargetMode="External" Id="rId23"/><Relationship Type="http://schemas.openxmlformats.org/officeDocument/2006/relationships/hyperlink" Target="https://insgc.spacegrant.org/" TargetMode="External" Id="rId24"/><Relationship Type="http://schemas.openxmlformats.org/officeDocument/2006/relationships/hyperlink" Target="https://engineering.purdue.edu/AAE/people/Faculty" TargetMode="External" Id="rId25"/><Relationship Type="http://schemas.openxmlformats.org/officeDocument/2006/relationships/hyperlink" Target="https://engineering.purdue.edu/AAE/people/ptProfile?resource_id=255154" TargetMode="External" Id="rId26"/><Relationship Type="http://schemas.openxmlformats.org/officeDocument/2006/relationships/hyperlink" Target="https://scholar.google.com/citations?view_op=search_authors&amp;mauthors=Kenshiro%20Oguri%20Purdue%20University" TargetMode="External" Id="rId27"/><Relationship Type="http://schemas.openxmlformats.org/officeDocument/2006/relationships/hyperlink" Target="mailto:koguri@purdue.edu" TargetMode="External" Id="rId28"/><Relationship Type="http://schemas.openxmlformats.org/officeDocument/2006/relationships/hyperlink" Target="https://insgc.spacegrant.org/" TargetMode="External" Id="rId29"/><Relationship Type="http://schemas.openxmlformats.org/officeDocument/2006/relationships/hyperlink" Target="https://engineering.purdue.edu/AAE/people/Faculty" TargetMode="External" Id="rId30"/><Relationship Type="http://schemas.openxmlformats.org/officeDocument/2006/relationships/hyperlink" Target="https://engineering.purdue.edu/AAE/people/ptProfile?resource_id=78657" TargetMode="External" Id="rId31"/><Relationship Type="http://schemas.openxmlformats.org/officeDocument/2006/relationships/hyperlink" Target="https://scholar.google.com/citations?view_op=search_authors&amp;mauthors=Haifeng%20Wang%20Purdue%20University" TargetMode="External" Id="rId32"/><Relationship Type="http://schemas.openxmlformats.org/officeDocument/2006/relationships/hyperlink" Target="mailto:haifeng@purdue.edu" TargetMode="External" Id="rId33"/><Relationship Type="http://schemas.openxmlformats.org/officeDocument/2006/relationships/hyperlink" Target="https://insgc.spacegrant.org/" TargetMode="External" Id="rId34"/><Relationship Type="http://schemas.openxmlformats.org/officeDocument/2006/relationships/hyperlink" Target="https://engineering.purdue.edu/AAE/people/Faculty" TargetMode="External" Id="rId35"/><Relationship Type="http://schemas.openxmlformats.org/officeDocument/2006/relationships/hyperlink" Target="https://engineering.purdue.edu/AAE/people/ptProfile?resource_id=124984" TargetMode="External" Id="rId36"/><Relationship Type="http://schemas.openxmlformats.org/officeDocument/2006/relationships/hyperlink" Target="https://scholar.google.com/citations?view_op=search_authors&amp;mauthors=Jonathan%20Poggie%20Purdue%20University" TargetMode="External" Id="rId37"/><Relationship Type="http://schemas.openxmlformats.org/officeDocument/2006/relationships/hyperlink" Target="mailto:jpoggie@purdue.edu" TargetMode="External" Id="rId38"/><Relationship Type="http://schemas.openxmlformats.org/officeDocument/2006/relationships/hyperlink" Target="https://insgc.spacegrant.org/" TargetMode="External" Id="rId39"/><Relationship Type="http://schemas.openxmlformats.org/officeDocument/2006/relationships/hyperlink" Target="https://engineering.purdue.edu/AAE/people/Faculty" TargetMode="External" Id="rId40"/><Relationship Type="http://schemas.openxmlformats.org/officeDocument/2006/relationships/hyperlink" Target="https://engineering.purdue.edu/AAE/people/ptProfile?resource_id=1384" TargetMode="External" Id="rId41"/><Relationship Type="http://schemas.openxmlformats.org/officeDocument/2006/relationships/hyperlink" Target="https://scholar.google.com/citations?view_op=search_authors&amp;mauthors=Kathleen%20C.%20Howell%20Purdue%20University" TargetMode="External" Id="rId42"/><Relationship Type="http://schemas.openxmlformats.org/officeDocument/2006/relationships/hyperlink" Target="mailto:howell@purdue.edu" TargetMode="External" Id="rId43"/><Relationship Type="http://schemas.openxmlformats.org/officeDocument/2006/relationships/hyperlink" Target="https://insgc.spacegrant.org/" TargetMode="External" Id="rId44"/><Relationship Type="http://schemas.openxmlformats.org/officeDocument/2006/relationships/hyperlink" Target="https://engineering.purdue.edu/AAE/people/Faculty" TargetMode="External" Id="rId45"/><Relationship Type="http://schemas.openxmlformats.org/officeDocument/2006/relationships/hyperlink" Target="https://engineering.purdue.edu/AAE/people/ptProfile?resource_id=318748" TargetMode="External" Id="rId46"/><Relationship Type="http://schemas.openxmlformats.org/officeDocument/2006/relationships/hyperlink" Target="https://scholar.google.com/citations?view_op=search_authors&amp;mauthors=Kyle%20Hanquist%20Purdue%20University" TargetMode="External" Id="rId47"/><Relationship Type="http://schemas.openxmlformats.org/officeDocument/2006/relationships/hyperlink" Target="mailto:hanquist@purdue.edu" TargetMode="External" Id="rId48"/><Relationship Type="http://schemas.openxmlformats.org/officeDocument/2006/relationships/hyperlink" Target="https://insgc.spacegrant.org/" TargetMode="External" Id="rId49"/><Relationship Type="http://schemas.openxmlformats.org/officeDocument/2006/relationships/hyperlink" Target="https://engineering.purdue.edu/AAE/people/Faculty" TargetMode="External" Id="rId50"/><Relationship Type="http://schemas.openxmlformats.org/officeDocument/2006/relationships/hyperlink" Target="https://engineering.purdue.edu/AAE/people/ptProfile?resource_id=1370" TargetMode="External" Id="rId51"/><Relationship Type="http://schemas.openxmlformats.org/officeDocument/2006/relationships/hyperlink" Target="https://scholar.google.com/citations?view_op=search_authors&amp;mauthors=Steven%20Collicott%20Purdue%20University" TargetMode="External" Id="rId52"/><Relationship Type="http://schemas.openxmlformats.org/officeDocument/2006/relationships/hyperlink" Target="mailto:collicott@purdue.edu" TargetMode="External" Id="rId53"/><Relationship Type="http://schemas.openxmlformats.org/officeDocument/2006/relationships/hyperlink" Target="https://insgc.spacegrant.org/" TargetMode="External" Id="rId54"/><Relationship Type="http://schemas.openxmlformats.org/officeDocument/2006/relationships/hyperlink" Target="https://engineering.purdue.edu/AAE/people/Faculty" TargetMode="External" Id="rId55"/><Relationship Type="http://schemas.openxmlformats.org/officeDocument/2006/relationships/hyperlink" Target="https://engineering.purdue.edu/AAE/people/ptProfile?resource_id=23887" TargetMode="External" Id="rId56"/><Relationship Type="http://schemas.openxmlformats.org/officeDocument/2006/relationships/hyperlink" Target="https://scholar.google.com/citations?user=vr5HyoMAAAAJ&amp;hl=en" TargetMode="External" Id="rId57"/><Relationship Type="http://schemas.openxmlformats.org/officeDocument/2006/relationships/hyperlink" Target="mailto:alexeenk@purdue.edu" TargetMode="External" Id="rId58"/><Relationship Type="http://schemas.openxmlformats.org/officeDocument/2006/relationships/hyperlink" Target="https://insgc.spacegrant.org/" TargetMode="External" Id="rId59"/><Relationship Type="http://schemas.openxmlformats.org/officeDocument/2006/relationships/hyperlink" Target="https://engineering.purdue.edu/AAE/people/Faculty" TargetMode="External" Id="rId60"/><Relationship Type="http://schemas.openxmlformats.org/officeDocument/2006/relationships/hyperlink" Target="https://engineering.purdue.edu/ME/People/ptProfile?resource_id=110641" TargetMode="External" Id="rId61"/><Relationship Type="http://schemas.openxmlformats.org/officeDocument/2006/relationships/hyperlink" Target="https://scholar.google.com/citations?view_op=search_authors&amp;mauthors=Arezoo%20Ardekani%20Purdue%20University" TargetMode="External" Id="rId62"/><Relationship Type="http://schemas.openxmlformats.org/officeDocument/2006/relationships/hyperlink" Target="mailto:ardekani@purdue.edu" TargetMode="External" Id="rId63"/><Relationship Type="http://schemas.openxmlformats.org/officeDocument/2006/relationships/hyperlink" Target="https://engineering.purdue.edu/ComplexFlowLab" TargetMode="External" Id="rId64"/><Relationship Type="http://schemas.openxmlformats.org/officeDocument/2006/relationships/hyperlink" Target="https://engineering.purdue.edu/ME/People/ptFaculty" TargetMode="External" Id="rId65"/><Relationship Type="http://schemas.openxmlformats.org/officeDocument/2006/relationships/hyperlink" Target="https://engineering.purdue.edu/ME/People/ptProfile?resource_id=281457" TargetMode="External" Id="rId66"/><Relationship Type="http://schemas.openxmlformats.org/officeDocument/2006/relationships/hyperlink" Target="https://scholar.google.com/citations?view_op=search_authors&amp;mauthors=Daniel%20Guildenbecher%20Purdue%20University" TargetMode="External" Id="rId67"/><Relationship Type="http://schemas.openxmlformats.org/officeDocument/2006/relationships/hyperlink" Target="mailto:dguilden@purdue.edu" TargetMode="External" Id="rId68"/><Relationship Type="http://schemas.openxmlformats.org/officeDocument/2006/relationships/hyperlink" Target="https://engineering.purdue.edu/GuildenbecherLab" TargetMode="External" Id="rId69"/><Relationship Type="http://schemas.openxmlformats.org/officeDocument/2006/relationships/hyperlink" Target="https://engineering.purdue.edu/ME/People/ptFaculty" TargetMode="External" Id="rId70"/><Relationship Type="http://schemas.openxmlformats.org/officeDocument/2006/relationships/hyperlink" Target="https://engineering.purdue.edu/AAE/people/ptProfile?resource_id=339087" TargetMode="External" Id="rId71"/><Relationship Type="http://schemas.openxmlformats.org/officeDocument/2006/relationships/hyperlink" Target="https://scholar.google.com/citations?view_op=search_authors&amp;mauthors=John%20Mullin%20Purdue%20University" TargetMode="External" Id="rId72"/><Relationship Type="http://schemas.openxmlformats.org/officeDocument/2006/relationships/hyperlink" Target="mailto:webmaster-eng@purdue.edu" TargetMode="External" Id="rId73"/><Relationship Type="http://schemas.openxmlformats.org/officeDocument/2006/relationships/hyperlink" Target="https://insgc.spacegrant.org/" TargetMode="External" Id="rId74"/><Relationship Type="http://schemas.openxmlformats.org/officeDocument/2006/relationships/hyperlink" Target="https://engineering.purdue.edu/AAE/people/Faculty" TargetMode="External" Id="rId75"/><Relationship Type="http://schemas.openxmlformats.org/officeDocument/2006/relationships/hyperlink" Target="https://engineering.purdue.edu/ME/People/ptProfile?resource_id=173054" TargetMode="External" Id="rId76"/><Relationship Type="http://schemas.openxmlformats.org/officeDocument/2006/relationships/hyperlink" Target="https://scholar.google.com/citations?view_op=search_authors&amp;mauthors=Luciano%20Castillo%20Purdue%20University" TargetMode="External" Id="rId77"/><Relationship Type="http://schemas.openxmlformats.org/officeDocument/2006/relationships/hyperlink" Target="mailto:lcastillo@purdue.edu" TargetMode="External" Id="rId78"/><Relationship Type="http://schemas.openxmlformats.org/officeDocument/2006/relationships/hyperlink" Target="https://blueintegratedpartners.org/" TargetMode="External" Id="rId79"/><Relationship Type="http://schemas.openxmlformats.org/officeDocument/2006/relationships/hyperlink" Target="https://engineering.purdue.edu/ME/People/ptFaculty" TargetMode="External" Id="rId80"/><Relationship Type="http://schemas.openxmlformats.org/officeDocument/2006/relationships/hyperlink" Target="https://engineering.purdue.edu/AAE/people/ptProfile?resource_id=28413" TargetMode="External" Id="rId81"/><Relationship Type="http://schemas.openxmlformats.org/officeDocument/2006/relationships/hyperlink" Target="https://scholar.google.com/citations?view_op=search_authors&amp;mauthors=Robert%20Lucht%20Purdue%20University" TargetMode="External" Id="rId82"/><Relationship Type="http://schemas.openxmlformats.org/officeDocument/2006/relationships/hyperlink" Target="mailto:lucht@purdue.edu" TargetMode="External" Id="rId83"/><Relationship Type="http://schemas.openxmlformats.org/officeDocument/2006/relationships/hyperlink" Target="https://insgc.spacegrant.org/" TargetMode="External" Id="rId84"/><Relationship Type="http://schemas.openxmlformats.org/officeDocument/2006/relationships/hyperlink" Target="https://engineering.purdue.edu/AAE/people/Faculty" TargetMode="External" Id="rId85"/><Relationship Type="http://schemas.openxmlformats.org/officeDocument/2006/relationships/hyperlink" Target="https://engineering.purdue.edu/ME/People/ptProfile?resource_id=105717" TargetMode="External" Id="rId86"/><Relationship Type="http://schemas.openxmlformats.org/officeDocument/2006/relationships/hyperlink" Target="https://scholar.google.com/citations?view_op=search_authors&amp;mauthors=Sadegh%20Dabiri%20Purdue%20University" TargetMode="External" Id="rId87"/><Relationship Type="http://schemas.openxmlformats.org/officeDocument/2006/relationships/hyperlink" Target="mailto:dabiri@purdue.edu" TargetMode="External" Id="rId88"/><Relationship Type="http://schemas.openxmlformats.org/officeDocument/2006/relationships/hyperlink" Target="http://web.ics.purdue.edu/~sdabiris/" TargetMode="External" Id="rId89"/><Relationship Type="http://schemas.openxmlformats.org/officeDocument/2006/relationships/hyperlink" Target="https://engineering.purdue.edu/ME/People/ptFaculty" TargetMode="External" Id="rId90"/><Relationship Type="http://schemas.openxmlformats.org/officeDocument/2006/relationships/hyperlink" Target="https://engineering.purdue.edu/AAE/people/ptProfile?resource_id=56893" TargetMode="External" Id="rId91"/><Relationship Type="http://schemas.openxmlformats.org/officeDocument/2006/relationships/hyperlink" Target="https://scholar.google.com/citations?view_op=search_authors&amp;mauthors=Tom%20Shih%20Purdue%20University" TargetMode="External" Id="rId92"/><Relationship Type="http://schemas.openxmlformats.org/officeDocument/2006/relationships/hyperlink" Target="mailto:tomshih@purdue.edu" TargetMode="External" Id="rId93"/><Relationship Type="http://schemas.openxmlformats.org/officeDocument/2006/relationships/hyperlink" Target="https://insgc.spacegrant.org/" TargetMode="External" Id="rId94"/><Relationship Type="http://schemas.openxmlformats.org/officeDocument/2006/relationships/hyperlink" Target="https://engineering.purdue.edu/AAE/people/Faculty" TargetMode="External" Id="rId95"/><Relationship Type="http://schemas.openxmlformats.org/officeDocument/2006/relationships/hyperlink" Target="https://engineering.purdue.edu/AAE/people/ptProfile?resource_id=319705" TargetMode="External" Id="rId96"/><Relationship Type="http://schemas.openxmlformats.org/officeDocument/2006/relationships/hyperlink" Target="https://scholar.google.com/citations?view_op=search_authors&amp;mauthors=Kyle%20DeMars%20Purdue%20University" TargetMode="External" Id="rId97"/><Relationship Type="http://schemas.openxmlformats.org/officeDocument/2006/relationships/hyperlink" Target="mailto:kdemars@purdue.edu" TargetMode="External" Id="rId98"/><Relationship Type="http://schemas.openxmlformats.org/officeDocument/2006/relationships/hyperlink" Target="https://insgc.spacegrant.org/" TargetMode="External" Id="rId99"/><Relationship Type="http://schemas.openxmlformats.org/officeDocument/2006/relationships/hyperlink" Target="https://engineering.purdue.edu/AAE/people/Faculty" TargetMode="External" Id="rId100"/><Relationship Type="http://schemas.openxmlformats.org/officeDocument/2006/relationships/hyperlink" Target="https://engineering.purdue.edu/AAE/people/ptProfile?resource_id=39640" TargetMode="External" Id="rId101"/><Relationship Type="http://schemas.openxmlformats.org/officeDocument/2006/relationships/hyperlink" Target="https://scholar.google.com/citations?user=yFXFQPYAAAAJ&amp;hl=en" TargetMode="External" Id="rId102"/><Relationship Type="http://schemas.openxmlformats.org/officeDocument/2006/relationships/hyperlink" Target="mailto:lqiao@purdue.edu" TargetMode="External" Id="rId103"/><Relationship Type="http://schemas.openxmlformats.org/officeDocument/2006/relationships/hyperlink" Target="https://insgc.spacegrant.org/" TargetMode="External" Id="rId104"/><Relationship Type="http://schemas.openxmlformats.org/officeDocument/2006/relationships/hyperlink" Target="https://engineering.purdue.edu/AAE/people/Faculty" TargetMode="External" Id="rId105"/><Relationship Type="http://schemas.openxmlformats.org/officeDocument/2006/relationships/hyperlink" Target="https://engineering.purdue.edu/ME/People/ptProfile?resource_id=159298" TargetMode="External" Id="rId106"/><Relationship Type="http://schemas.openxmlformats.org/officeDocument/2006/relationships/hyperlink" Target="https://scholar.google.com/citations?view_op=search_authors&amp;mauthors=Aaron%20Morris%20Purdue%20University" TargetMode="External" Id="rId107"/><Relationship Type="http://schemas.openxmlformats.org/officeDocument/2006/relationships/hyperlink" Target="mailto:abmorris@purdue.edu" TargetMode="External" Id="rId108"/><Relationship Type="http://schemas.openxmlformats.org/officeDocument/2006/relationships/hyperlink" Target="https://engineering.purdue.edu/CP3/" TargetMode="External" Id="rId109"/><Relationship Type="http://schemas.openxmlformats.org/officeDocument/2006/relationships/hyperlink" Target="https://engineering.purdue.edu/ME/People/ptFaculty" TargetMode="External" Id="rId110"/><Relationship Type="http://schemas.openxmlformats.org/officeDocument/2006/relationships/hyperlink" Target="https://engineering.purdue.edu/AAE/people/ptProfile?resource_id=124987" TargetMode="External" Id="rId111"/><Relationship Type="http://schemas.openxmlformats.org/officeDocument/2006/relationships/hyperlink" Target="https://scholar.google.com/citations?view_op=search_authors&amp;mauthors=Alexey%20Shashurin%20Purdue%20University" TargetMode="External" Id="rId112"/><Relationship Type="http://schemas.openxmlformats.org/officeDocument/2006/relationships/hyperlink" Target="mailto:ashashur@purdue.edu" TargetMode="External" Id="rId113"/><Relationship Type="http://schemas.openxmlformats.org/officeDocument/2006/relationships/hyperlink" Target="https://insgc.spacegrant.org/" TargetMode="External" Id="rId114"/><Relationship Type="http://schemas.openxmlformats.org/officeDocument/2006/relationships/hyperlink" Target="https://engineering.purdue.edu/AAE/people/Faculty" TargetMode="External" Id="rId115"/><Relationship Type="http://schemas.openxmlformats.org/officeDocument/2006/relationships/hyperlink" Target="https://engineering.purdue.edu/ME/People/ptProfile?resource_id=297468" TargetMode="External" Id="rId116"/><Relationship Type="http://schemas.openxmlformats.org/officeDocument/2006/relationships/hyperlink" Target="https://scholar.google.com/citations?view_op=search_authors&amp;mauthors=Carlos%20Larriba-Andaluz%20Purdue%20University" TargetMode="External" Id="rId117"/><Relationship Type="http://schemas.openxmlformats.org/officeDocument/2006/relationships/hyperlink" Target="mailto:clarriba@purdue.edu" TargetMode="External" Id="rId118"/><Relationship Type="http://schemas.openxmlformats.org/officeDocument/2006/relationships/hyperlink" Target="http://www.imospedia.com" TargetMode="External" Id="rId119"/><Relationship Type="http://schemas.openxmlformats.org/officeDocument/2006/relationships/hyperlink" Target="https://engineering.purdue.edu/ME/People/ptFaculty" TargetMode="External" Id="rId120"/><Relationship Type="http://schemas.openxmlformats.org/officeDocument/2006/relationships/hyperlink" Target="https://engineering.purdue.edu/AAE/people/ptProfile?resource_id=111420" TargetMode="External" Id="rId121"/><Relationship Type="http://schemas.openxmlformats.org/officeDocument/2006/relationships/hyperlink" Target="https://scholar.google.com/citations?view_op=search_authors&amp;mauthors=Carolin%20E%20Frueh%20Purdue%20University" TargetMode="External" Id="rId122"/><Relationship Type="http://schemas.openxmlformats.org/officeDocument/2006/relationships/hyperlink" Target="mailto:cfrueh@purdue.edu" TargetMode="External" Id="rId123"/><Relationship Type="http://schemas.openxmlformats.org/officeDocument/2006/relationships/hyperlink" Target="https://insgc.spacegrant.org/" TargetMode="External" Id="rId124"/><Relationship Type="http://schemas.openxmlformats.org/officeDocument/2006/relationships/hyperlink" Target="https://engineering.purdue.edu/AAE/people/Faculty" TargetMode="External" Id="rId125"/><Relationship Type="http://schemas.openxmlformats.org/officeDocument/2006/relationships/hyperlink" Target="https://engineering.purdue.edu/ME/People/ptProfile?resource_id=117602" TargetMode="External" Id="rId126"/><Relationship Type="http://schemas.openxmlformats.org/officeDocument/2006/relationships/hyperlink" Target="https://scholar.google.com/citations?view_op=search_authors&amp;mauthors=Guang%20Lin%20Purdue%20University" TargetMode="External" Id="rId127"/><Relationship Type="http://schemas.openxmlformats.org/officeDocument/2006/relationships/hyperlink" Target="mailto:guanglin@purdue.edu" TargetMode="External" Id="rId128"/><Relationship Type="http://schemas.openxmlformats.org/officeDocument/2006/relationships/hyperlink" Target="http://www.math.purdue.edu/~lin491/" TargetMode="External" Id="rId129"/><Relationship Type="http://schemas.openxmlformats.org/officeDocument/2006/relationships/hyperlink" Target="https://engineering.purdue.edu/ME/People/ptFaculty" TargetMode="External" Id="rId130"/><Relationship Type="http://schemas.openxmlformats.org/officeDocument/2006/relationships/hyperlink" Target="https://engineering.purdue.edu/AAE/people/ptProfile?resource_id=284676" TargetMode="External" Id="rId131"/><Relationship Type="http://schemas.openxmlformats.org/officeDocument/2006/relationships/hyperlink" Target="https://scholar.google.com/citations?hl=en&amp;user=r7gLAy4AAAAJ&amp;view_op=list_works&amp;sortby=pubdate" TargetMode="External" Id="rId132"/><Relationship Type="http://schemas.openxmlformats.org/officeDocument/2006/relationships/hyperlink" Target="mailto:kmaeda@purdue.edu" TargetMode="External" Id="rId133"/><Relationship Type="http://schemas.openxmlformats.org/officeDocument/2006/relationships/hyperlink" Target="https://insgc.spacegrant.org/" TargetMode="External" Id="rId134"/><Relationship Type="http://schemas.openxmlformats.org/officeDocument/2006/relationships/hyperlink" Target="https://engineering.purdue.edu/AAE/people/Faculty" TargetMode="External" Id="rId135"/><Relationship Type="http://schemas.openxmlformats.org/officeDocument/2006/relationships/hyperlink" Target="https://engineering.purdue.edu/ME/People/ptProfile?resource_id=328301" TargetMode="External" Id="rId136"/><Relationship Type="http://schemas.openxmlformats.org/officeDocument/2006/relationships/hyperlink" Target="https://scholar.google.com/citations?view_op=search_authors&amp;mauthors=Romit%20Maulik%20Purdue%20University" TargetMode="External" Id="rId137"/><Relationship Type="http://schemas.openxmlformats.org/officeDocument/2006/relationships/hyperlink" Target="mailto:rmaulik@purdue.edu" TargetMode="External" Id="rId138"/><Relationship Type="http://schemas.openxmlformats.org/officeDocument/2006/relationships/hyperlink" Target="https://romit-maulik.github.io/" TargetMode="External" Id="rId139"/><Relationship Type="http://schemas.openxmlformats.org/officeDocument/2006/relationships/hyperlink" Target="https://github.com/Romit-Maulik" TargetMode="External" Id="rId140"/><Relationship Type="http://schemas.openxmlformats.org/officeDocument/2006/relationships/hyperlink" Target="https://engineering.purdue.edu/ME/People/ptFaculty" TargetMode="External" Id="rId141"/><Relationship Type="http://schemas.openxmlformats.org/officeDocument/2006/relationships/hyperlink" Target="https://engineering.purdue.edu/AAE/people/ptProfile?resource_id=23845" TargetMode="External" Id="rId142"/><Relationship Type="http://schemas.openxmlformats.org/officeDocument/2006/relationships/hyperlink" Target="https://scholar.google.com/citations?view_op=search_authors&amp;mauthors=Timoth%C3%A9e%20Pourpoint%20Purdue%20University" TargetMode="External" Id="rId143"/><Relationship Type="http://schemas.openxmlformats.org/officeDocument/2006/relationships/hyperlink" Target="mailto:timothee@purdue.edu" TargetMode="External" Id="rId144"/><Relationship Type="http://schemas.openxmlformats.org/officeDocument/2006/relationships/hyperlink" Target="https://insgc.spacegrant.org/" TargetMode="External" Id="rId145"/><Relationship Type="http://schemas.openxmlformats.org/officeDocument/2006/relationships/hyperlink" Target="https://engineering.purdue.edu/AAE/people/Faculty" TargetMode="External" Id="rId146"/><Relationship Type="http://schemas.openxmlformats.org/officeDocument/2006/relationships/hyperlink" Target="https://engineering.purdue.edu/ME/People/ptProfile?resource_id=44345" TargetMode="External" Id="rId147"/><Relationship Type="http://schemas.openxmlformats.org/officeDocument/2006/relationships/hyperlink" Target="https://scholar.google.com/citations?view_op=search_authors&amp;mauthors=Jun%20Chen%20Purdue%20University" TargetMode="External" Id="rId148"/><Relationship Type="http://schemas.openxmlformats.org/officeDocument/2006/relationships/hyperlink" Target="mailto:junchen@purdue.edu" TargetMode="External" Id="rId149"/><Relationship Type="http://schemas.openxmlformats.org/officeDocument/2006/relationships/hyperlink" Target="https://engineering.purdue.edu/~chen220" TargetMode="External" Id="rId150"/><Relationship Type="http://schemas.openxmlformats.org/officeDocument/2006/relationships/hyperlink" Target="https://engineering.purdue.edu/AAE/people/Faculty" TargetMode="External" Id="rId151"/><Relationship Type="http://schemas.openxmlformats.org/officeDocument/2006/relationships/hyperlink" Target="https://engineering.purdue.edu/AAE/people/ptProfile?resource_id=255151" TargetMode="External" Id="rId152"/><Relationship Type="http://schemas.openxmlformats.org/officeDocument/2006/relationships/hyperlink" Target="https://scholar.google.com/citations?view_op=search_authors&amp;mauthors=Mark%20Lewis%20Purdue%20University" TargetMode="External" Id="rId153"/><Relationship Type="http://schemas.openxmlformats.org/officeDocument/2006/relationships/hyperlink" Target="https://engineering.purdue.edu/AAE/people/Faculty" TargetMode="External" Id="rId154"/><Relationship Type="http://schemas.openxmlformats.org/officeDocument/2006/relationships/hyperlink" Target="https://engineering.purdue.edu/AAE/people/ptProfile?resource_id=55699" TargetMode="External" Id="rId155"/><Relationship Type="http://schemas.openxmlformats.org/officeDocument/2006/relationships/hyperlink" Target="https://scholar.google.com/citations?user=rI7TKPYAAAAJ&amp;hl=en&amp;oi=ao" TargetMode="External" Id="rId156"/><Relationship Type="http://schemas.openxmlformats.org/officeDocument/2006/relationships/hyperlink" Target="mailto:tomar@purdue.edu" TargetMode="External" Id="rId157"/><Relationship Type="http://schemas.openxmlformats.org/officeDocument/2006/relationships/hyperlink" Target="https://insgc.spacegrant.org/" TargetMode="External" Id="rId158"/><Relationship Type="http://schemas.openxmlformats.org/officeDocument/2006/relationships/hyperlink" Target="https://engineering.purdue.edu/AAE/people/Faculty" TargetMode="External" Id="rId159"/><Relationship Type="http://schemas.openxmlformats.org/officeDocument/2006/relationships/hyperlink" Target="https://engineering.purdue.edu/ME/People/ptProfile?resource_id=117606" TargetMode="External" Id="rId160"/><Relationship Type="http://schemas.openxmlformats.org/officeDocument/2006/relationships/hyperlink" Target="https://scholar.google.com/citations?view_op=search_authors&amp;mauthors=Benxin%20Wu%20Purdue%20University" TargetMode="External" Id="rId161"/><Relationship Type="http://schemas.openxmlformats.org/officeDocument/2006/relationships/hyperlink" Target="mailto:wu65@purdue.edu" TargetMode="External" Id="rId162"/><Relationship Type="http://schemas.openxmlformats.org/officeDocument/2006/relationships/hyperlink" Target="https://insgc.spacegrant.org/" TargetMode="External" Id="rId163"/><Relationship Type="http://schemas.openxmlformats.org/officeDocument/2006/relationships/hyperlink" Target="https://engineering.purdue.edu/ME/People/ptFaculty" TargetMode="External" Id="rId164"/><Relationship Type="http://schemas.openxmlformats.org/officeDocument/2006/relationships/hyperlink" Target="https://engineering.purdue.edu/ME/People/ptProfile?resource_id=29361" TargetMode="External" Id="rId165"/><Relationship Type="http://schemas.openxmlformats.org/officeDocument/2006/relationships/hyperlink" Target="https://scholar.google.com/citations?view_op=search_authors&amp;mauthors=Gregory%20M.%20Shaver%20Purdue%20University" TargetMode="External" Id="rId166"/><Relationship Type="http://schemas.openxmlformats.org/officeDocument/2006/relationships/hyperlink" Target="mailto:gshaver@purdue.edu" TargetMode="External" Id="rId167"/><Relationship Type="http://schemas.openxmlformats.org/officeDocument/2006/relationships/hyperlink" Target="http://www.gregshaver.com/" TargetMode="External" Id="rId168"/><Relationship Type="http://schemas.openxmlformats.org/officeDocument/2006/relationships/hyperlink" Target="https://engineering.purdue.edu/ME/People/ptFaculty" TargetMode="External" Id="rId169"/><Relationship Type="http://schemas.openxmlformats.org/officeDocument/2006/relationships/hyperlink" Target="https://engineering.purdue.edu/AAE/people/ptProfile?resource_id=285032" TargetMode="External" Id="rId170"/><Relationship Type="http://schemas.openxmlformats.org/officeDocument/2006/relationships/hyperlink" Target="https://scholar.google.com/citations?view_op=search_authors&amp;mauthors=Jamie%20Canino%20Purdue%20University" TargetMode="External" Id="rId171"/><Relationship Type="http://schemas.openxmlformats.org/officeDocument/2006/relationships/hyperlink" Target="mailto:canino@purdue.edu" TargetMode="External" Id="rId172"/><Relationship Type="http://schemas.openxmlformats.org/officeDocument/2006/relationships/hyperlink" Target="https://insgc.spacegrant.org/" TargetMode="External" Id="rId173"/><Relationship Type="http://schemas.openxmlformats.org/officeDocument/2006/relationships/hyperlink" Target="https://engineering.purdue.edu/AAE/people/Faculty" TargetMode="External" Id="rId174"/><Relationship Type="http://schemas.openxmlformats.org/officeDocument/2006/relationships/hyperlink" Target="https://engineering.purdue.edu/AAE/people/ptProfile?resource_id=256632" TargetMode="External" Id="rId175"/><Relationship Type="http://schemas.openxmlformats.org/officeDocument/2006/relationships/hyperlink" Target="https://scholar.google.com/citations?view_op=search_authors&amp;mauthors=Leifur%20Leifsson%20Purdue%20University" TargetMode="External" Id="rId176"/><Relationship Type="http://schemas.openxmlformats.org/officeDocument/2006/relationships/hyperlink" Target="mailto:leifur@purdue.edu" TargetMode="External" Id="rId177"/><Relationship Type="http://schemas.openxmlformats.org/officeDocument/2006/relationships/hyperlink" Target="https://insgc.spacegrant.org/" TargetMode="External" Id="rId178"/><Relationship Type="http://schemas.openxmlformats.org/officeDocument/2006/relationships/hyperlink" Target="https://engineering.purdue.edu/AAE/people/Faculty" TargetMode="External" Id="rId179"/><Relationship Type="http://schemas.openxmlformats.org/officeDocument/2006/relationships/hyperlink" Target="https://engineering.purdue.edu/ME/People/ptProfile?resource_id=324341" TargetMode="External" Id="rId180"/><Relationship Type="http://schemas.openxmlformats.org/officeDocument/2006/relationships/hyperlink" Target="https://scholar.google.com/citations?user=IKgNChQAAAAJ" TargetMode="External" Id="rId181"/><Relationship Type="http://schemas.openxmlformats.org/officeDocument/2006/relationships/hyperlink" Target="mailto:sranftl@purdue.edu" TargetMode="External" Id="rId182"/><Relationship Type="http://schemas.openxmlformats.org/officeDocument/2006/relationships/hyperlink" Target="https://sites.google.com/view/sascha-ranftl" TargetMode="External" Id="rId183"/><Relationship Type="http://schemas.openxmlformats.org/officeDocument/2006/relationships/hyperlink" Target="https://engineering.purdue.edu/ME/People/ptFaculty" TargetMode="External" Id="rId184"/><Relationship Type="http://schemas.openxmlformats.org/officeDocument/2006/relationships/hyperlink" Target="https://engineering.purdue.edu/ME/People/ptProfile?resource_id=86360" TargetMode="External" Id="rId185"/><Relationship Type="http://schemas.openxmlformats.org/officeDocument/2006/relationships/hyperlink" Target="https://scholar.google.com/citations?view_op=search_authors&amp;mauthors=Amy%20Marconnet%20Purdue%20University" TargetMode="External" Id="rId186"/><Relationship Type="http://schemas.openxmlformats.org/officeDocument/2006/relationships/hyperlink" Target="mailto:marconnet@purdue.edu" TargetMode="External" Id="rId187"/><Relationship Type="http://schemas.openxmlformats.org/officeDocument/2006/relationships/hyperlink" Target="http://engineering.purdue.edu/MTEC" TargetMode="External" Id="rId188"/><Relationship Type="http://schemas.openxmlformats.org/officeDocument/2006/relationships/hyperlink" Target="https://engineering.purdue.edu/ME/People/ptFaculty" TargetMode="External" Id="rId189"/><Relationship Type="http://schemas.openxmlformats.org/officeDocument/2006/relationships/hyperlink" Target="https://engineering.purdue.edu/ME/People/ptProfile?resource_id=256658" TargetMode="External" Id="rId190"/><Relationship Type="http://schemas.openxmlformats.org/officeDocument/2006/relationships/hyperlink" Target="https://scholar.google.com/citations?user=OEAnMz0AAAAJ&amp;hl=en" TargetMode="External" Id="rId191"/><Relationship Type="http://schemas.openxmlformats.org/officeDocument/2006/relationships/hyperlink" Target="mailto:tbeechem@purdue.edu" TargetMode="External" Id="rId192"/><Relationship Type="http://schemas.openxmlformats.org/officeDocument/2006/relationships/hyperlink" Target="https://www.specere.org/" TargetMode="External" Id="rId193"/><Relationship Type="http://schemas.openxmlformats.org/officeDocument/2006/relationships/hyperlink" Target="https://engineering.purdue.edu/ME/People/ptFaculty" TargetMode="External" Id="rId194"/><Relationship Type="http://schemas.openxmlformats.org/officeDocument/2006/relationships/hyperlink" Target="https://engineering.purdue.edu/ME/People/ptProfile?resource_id=183058" TargetMode="External" Id="rId195"/><Relationship Type="http://schemas.openxmlformats.org/officeDocument/2006/relationships/hyperlink" Target="https://scholar.google.com/citations?view_op=search_authors&amp;mauthors=David%20Warsinger%20Purdue%20University" TargetMode="External" Id="rId196"/><Relationship Type="http://schemas.openxmlformats.org/officeDocument/2006/relationships/hyperlink" Target="mailto:dwarsing@purdue.edu" TargetMode="External" Id="rId197"/><Relationship Type="http://schemas.openxmlformats.org/officeDocument/2006/relationships/hyperlink" Target="http://www.warsinger.com" TargetMode="External" Id="rId198"/><Relationship Type="http://schemas.openxmlformats.org/officeDocument/2006/relationships/hyperlink" Target="https://github.com/arao53/awh-limits/blob/main/lego_maps/warsinger_lego_maps.ipynb" TargetMode="External" Id="rId199"/><Relationship Type="http://schemas.openxmlformats.org/officeDocument/2006/relationships/hyperlink" Target="https://engineering.purdue.edu/ME/People/ptFaculty" TargetMode="External" Id="rId200"/><Relationship Type="http://schemas.openxmlformats.org/officeDocument/2006/relationships/hyperlink" Target="https://engineering.purdue.edu/ME/People/ptProfile?resource_id=318598" TargetMode="External" Id="rId201"/><Relationship Type="http://schemas.openxmlformats.org/officeDocument/2006/relationships/hyperlink" Target="https://scholar.google.com/citations?user=SxOdEgEAAAAJ&amp;hl=en&amp;oi=ao" TargetMode="External" Id="rId202"/><Relationship Type="http://schemas.openxmlformats.org/officeDocument/2006/relationships/hyperlink" Target="mailto:jingang@purdue.edu" TargetMode="External" Id="rId203"/><Relationship Type="http://schemas.openxmlformats.org/officeDocument/2006/relationships/hyperlink" Target="https://www.jingangli.org" TargetMode="External" Id="rId204"/><Relationship Type="http://schemas.openxmlformats.org/officeDocument/2006/relationships/hyperlink" Target="https://engineering.purdue.edu/ME/People/ptFaculty" TargetMode="External" Id="rId205"/><Relationship Type="http://schemas.openxmlformats.org/officeDocument/2006/relationships/hyperlink" Target="https://engineering.purdue.edu/ME/People/ptProfile?resource_id=164622" TargetMode="External" Id="rId206"/><Relationship Type="http://schemas.openxmlformats.org/officeDocument/2006/relationships/hyperlink" Target="https://scholar.google.com/citations?view_op=search_authors&amp;mauthors=Davide%20Ziviani%20Purdue%20University" TargetMode="External" Id="rId207"/><Relationship Type="http://schemas.openxmlformats.org/officeDocument/2006/relationships/hyperlink" Target="mailto:dziviani@purdue.edu" TargetMode="External" Id="rId208"/><Relationship Type="http://schemas.openxmlformats.org/officeDocument/2006/relationships/hyperlink" Target="https://engineering.purdue.edu/ME/Images/Ziviani-Research-Group-Overview.pdf" TargetMode="External" Id="rId209"/><Relationship Type="http://schemas.openxmlformats.org/officeDocument/2006/relationships/hyperlink" Target="https://engineering.purdue.edu/ME/People/ptFaculty" TargetMode="External" Id="rId210"/><Relationship Type="http://schemas.openxmlformats.org/officeDocument/2006/relationships/hyperlink" Target="https://engineering.purdue.edu/ME/People/ptProfile?resource_id=184725" TargetMode="External" Id="rId211"/><Relationship Type="http://schemas.openxmlformats.org/officeDocument/2006/relationships/hyperlink" Target="https://scholar.google.com/citations?user=PJ1trVUAAAAJ&amp;hl=en" TargetMode="External" Id="rId212"/><Relationship Type="http://schemas.openxmlformats.org/officeDocument/2006/relationships/hyperlink" Target="mailto:dpiercey@purdue.edu" TargetMode="External" Id="rId213"/><Relationship Type="http://schemas.openxmlformats.org/officeDocument/2006/relationships/hyperlink" Target="https://www.davinpiercey.com/" TargetMode="External" Id="rId214"/><Relationship Type="http://schemas.openxmlformats.org/officeDocument/2006/relationships/hyperlink" Target="https://engineering.purdue.edu/ME/People/ptFaculty" TargetMode="External" Id="rId215"/><Relationship Type="http://schemas.openxmlformats.org/officeDocument/2006/relationships/hyperlink" Target="https://engineering.purdue.edu/ME/People/ptProfile?resource_id=11748" TargetMode="External" Id="rId216"/><Relationship Type="http://schemas.openxmlformats.org/officeDocument/2006/relationships/hyperlink" Target="https://scholar.google.com/citations?view_op=search_authors&amp;mauthors=Eckhard%20A.%20Groll%20Purdue%20University" TargetMode="External" Id="rId217"/><Relationship Type="http://schemas.openxmlformats.org/officeDocument/2006/relationships/hyperlink" Target="mailto:groll@purdue.edu" TargetMode="External" Id="rId218"/><Relationship Type="http://schemas.openxmlformats.org/officeDocument/2006/relationships/hyperlink" Target="https://engineering.purdue.edu/CHPB" TargetMode="External" Id="rId219"/><Relationship Type="http://schemas.openxmlformats.org/officeDocument/2006/relationships/hyperlink" Target="https://engineering.purdue.edu/ME/People/ptFaculty" TargetMode="External" Id="rId220"/><Relationship Type="http://schemas.openxmlformats.org/officeDocument/2006/relationships/hyperlink" Target="https://engineering.purdue.edu/ME/People/ptProfile?resource_id=71762" TargetMode="External" Id="rId221"/><Relationship Type="http://schemas.openxmlformats.org/officeDocument/2006/relationships/hyperlink" Target="https://scholar.google.com/citations?view_op=search_authors&amp;mauthors=Jie%20Cai%20Purdue%20University" TargetMode="External" Id="rId222"/><Relationship Type="http://schemas.openxmlformats.org/officeDocument/2006/relationships/hyperlink" Target="mailto:cai40@purdue.edu" TargetMode="External" Id="rId223"/><Relationship Type="http://schemas.openxmlformats.org/officeDocument/2006/relationships/hyperlink" Target="https://www.purdue.edu/engineering/cairesearchgroup/" TargetMode="External" Id="rId224"/><Relationship Type="http://schemas.openxmlformats.org/officeDocument/2006/relationships/hyperlink" Target="https://engineering.purdue.edu/ME/People/ptFaculty" TargetMode="External" Id="rId225"/><Relationship Type="http://schemas.openxmlformats.org/officeDocument/2006/relationships/hyperlink" Target="https://engineering.purdue.edu/ME/People/ptProfile?resource_id=307226" TargetMode="External" Id="rId226"/><Relationship Type="http://schemas.openxmlformats.org/officeDocument/2006/relationships/hyperlink" Target="https://scholar.google.com/citations?hl=en&amp;tzom=240&amp;user=KojhX0gAAAAJ&amp;view_op=list_works&amp;sortby=pubdate&amp;inst=5549692440350501774" TargetMode="External" Id="rId227"/><Relationship Type="http://schemas.openxmlformats.org/officeDocument/2006/relationships/hyperlink" Target="mailto:lizhan@purdue.edu" TargetMode="External" Id="rId228"/><Relationship Type="http://schemas.openxmlformats.org/officeDocument/2006/relationships/hyperlink" Target="https://www.zhanlab.org/" TargetMode="External" Id="rId229"/><Relationship Type="http://schemas.openxmlformats.org/officeDocument/2006/relationships/hyperlink" Target="https://engineering.purdue.edu/ME/People/ptFaculty" TargetMode="External" Id="rId230"/><Relationship Type="http://schemas.openxmlformats.org/officeDocument/2006/relationships/hyperlink" Target="https://engineering.purdue.edu/ME/People/ptProfile?resource_id=173050" TargetMode="External" Id="rId231"/><Relationship Type="http://schemas.openxmlformats.org/officeDocument/2006/relationships/hyperlink" Target="https://scholar.google.com/citations?view_op=search_authors&amp;mauthors=Partha%20P.%20Mukherjee%20Purdue%20University" TargetMode="External" Id="rId232"/><Relationship Type="http://schemas.openxmlformats.org/officeDocument/2006/relationships/hyperlink" Target="mailto:pmukherjee@purdue.edu" TargetMode="External" Id="rId233"/><Relationship Type="http://schemas.openxmlformats.org/officeDocument/2006/relationships/hyperlink" Target="https://engineering.purdue.edu/ETSL/" TargetMode="External" Id="rId234"/><Relationship Type="http://schemas.openxmlformats.org/officeDocument/2006/relationships/hyperlink" Target="https://engineering.purdue.edu/ME/People/ptFaculty" TargetMode="External" Id="rId235"/><Relationship Type="http://schemas.openxmlformats.org/officeDocument/2006/relationships/hyperlink" Target="https://engineering.purdue.edu/ME/People/ptProfile?resource_id=241060" TargetMode="External" Id="rId236"/><Relationship Type="http://schemas.openxmlformats.org/officeDocument/2006/relationships/hyperlink" Target="https://scholar.google.com/citations?user=OEzRkQMAAAAJ&amp;hl=en" TargetMode="External" Id="rId237"/><Relationship Type="http://schemas.openxmlformats.org/officeDocument/2006/relationships/hyperlink" Target="mailto:rciez@purdue.edu" TargetMode="External" Id="rId238"/><Relationship Type="http://schemas.openxmlformats.org/officeDocument/2006/relationships/hyperlink" Target="https://rciez2125.github.io/" TargetMode="External" Id="rId239"/><Relationship Type="http://schemas.openxmlformats.org/officeDocument/2006/relationships/hyperlink" Target="https://engineering.purdue.edu/ME/People/ptFaculty" TargetMode="External" Id="rId240"/><Relationship Type="http://schemas.openxmlformats.org/officeDocument/2006/relationships/hyperlink" Target="https://engineering.purdue.edu/ME/People/ptProfile?resource_id=78578" TargetMode="External" Id="rId241"/><Relationship Type="http://schemas.openxmlformats.org/officeDocument/2006/relationships/hyperlink" Target="https://scholar.google.com/citations?view_op=search_authors&amp;mauthors=Justin%20A.%20Weibel%20Purdue%20University" TargetMode="External" Id="rId242"/><Relationship Type="http://schemas.openxmlformats.org/officeDocument/2006/relationships/hyperlink" Target="mailto:jaweibel@purdue.edu" TargetMode="External" Id="rId243"/><Relationship Type="http://schemas.openxmlformats.org/officeDocument/2006/relationships/hyperlink" Target="https://engineering.purdue.edu/CTRC/" TargetMode="External" Id="rId244"/><Relationship Type="http://schemas.openxmlformats.org/officeDocument/2006/relationships/hyperlink" Target="https://engineering.purdue.edu/ME/People/ptFaculty" TargetMode="External" Id="rId245"/><Relationship Type="http://schemas.openxmlformats.org/officeDocument/2006/relationships/hyperlink" Target="https://engineering.purdue.edu/ME/People/ptProfile?resource_id=273136" TargetMode="External" Id="rId246"/><Relationship Type="http://schemas.openxmlformats.org/officeDocument/2006/relationships/hyperlink" Target="https://scholar.google.com/citations?view_op=search_authors&amp;mauthors=Kevin%20Kircher%20Purdue%20University" TargetMode="External" Id="rId247"/><Relationship Type="http://schemas.openxmlformats.org/officeDocument/2006/relationships/hyperlink" Target="mailto:kircher@purdue.edu" TargetMode="External" Id="rId248"/><Relationship Type="http://schemas.openxmlformats.org/officeDocument/2006/relationships/hyperlink" Target="https://kevinjkircher.com/" TargetMode="External" Id="rId249"/><Relationship Type="http://schemas.openxmlformats.org/officeDocument/2006/relationships/hyperlink" Target="https://engineering.purdue.edu/ME/People/ptFaculty" TargetMode="External" Id="rId250"/><Relationship Type="http://schemas.openxmlformats.org/officeDocument/2006/relationships/hyperlink" Target="https://engineering.purdue.edu/ME/People/ptProfile?resource_id=311453" TargetMode="External" Id="rId251"/><Relationship Type="http://schemas.openxmlformats.org/officeDocument/2006/relationships/hyperlink" Target="https://scholar.google.com/citations?user=Kgo25P0AAAAJ&amp;hl=en" TargetMode="External" Id="rId252"/><Relationship Type="http://schemas.openxmlformats.org/officeDocument/2006/relationships/hyperlink" Target="mailto:ashwinrc@purdue.edu" TargetMode="External" Id="rId253"/><Relationship Type="http://schemas.openxmlformats.org/officeDocument/2006/relationships/hyperlink" Target="https://www.micronanolab.org/" TargetMode="External" Id="rId254"/><Relationship Type="http://schemas.openxmlformats.org/officeDocument/2006/relationships/hyperlink" Target="https://engineering.purdue.edu/ME/People/ptFaculty" TargetMode="External" Id="rId255"/><Relationship Type="http://schemas.openxmlformats.org/officeDocument/2006/relationships/hyperlink" Target="https://engineering.purdue.edu/ME/People/ptProfile?resource_id=11244" TargetMode="External" Id="rId256"/><Relationship Type="http://schemas.openxmlformats.org/officeDocument/2006/relationships/hyperlink" Target="https://scholar.google.com/citations?view_op=search_authors&amp;mauthors=Ganesh%20Subbarayan%20Purdue%20University" TargetMode="External" Id="rId257"/><Relationship Type="http://schemas.openxmlformats.org/officeDocument/2006/relationships/hyperlink" Target="mailto:ganeshs@purdue.edu" TargetMode="External" Id="rId258"/><Relationship Type="http://schemas.openxmlformats.org/officeDocument/2006/relationships/hyperlink" Target="https://engineering.purdue.edu/ASIP" TargetMode="External" Id="rId259"/><Relationship Type="http://schemas.openxmlformats.org/officeDocument/2006/relationships/hyperlink" Target="https://engineering.purdue.edu/ME/People/ptFaculty" TargetMode="External" Id="rId260"/><Relationship Type="http://schemas.openxmlformats.org/officeDocument/2006/relationships/hyperlink" Target="https://engineering.purdue.edu/AAE/people/ptProfile?resource_id=288720" TargetMode="External" Id="rId261"/><Relationship Type="http://schemas.openxmlformats.org/officeDocument/2006/relationships/hyperlink" Target="https://scholar.google.com/citations?view_op=search_authors&amp;mauthors=Kawai%20Kwok%20Purdue%20University" TargetMode="External" Id="rId262"/><Relationship Type="http://schemas.openxmlformats.org/officeDocument/2006/relationships/hyperlink" Target="mailto:kawaik@purdue.edu" TargetMode="External" Id="rId263"/><Relationship Type="http://schemas.openxmlformats.org/officeDocument/2006/relationships/hyperlink" Target="https://insgc.spacegrant.org/" TargetMode="External" Id="rId264"/><Relationship Type="http://schemas.openxmlformats.org/officeDocument/2006/relationships/hyperlink" Target="https://engineering.purdue.edu/AAE/people/Faculty" TargetMode="External" Id="rId265"/><Relationship Type="http://schemas.openxmlformats.org/officeDocument/2006/relationships/hyperlink" Target="https://engineering.purdue.edu/ME/People/ptProfile?resource_id=113514" TargetMode="External" Id="rId266"/><Relationship Type="http://schemas.openxmlformats.org/officeDocument/2006/relationships/hyperlink" Target="https://scholar.google.com/citations?user=JXR_AsQAAAAJ&amp;hl=en" TargetMode="External" Id="rId267"/><Relationship Type="http://schemas.openxmlformats.org/officeDocument/2006/relationships/hyperlink" Target="mailto:kjzhao@purdue.edu" TargetMode="External" Id="rId268"/><Relationship Type="http://schemas.openxmlformats.org/officeDocument/2006/relationships/hyperlink" Target="https://engineering.purdue.edu/kjzhao" TargetMode="External" Id="rId269"/><Relationship Type="http://schemas.openxmlformats.org/officeDocument/2006/relationships/hyperlink" Target="https://engineering.purdue.edu/ME/People/ptFaculty" TargetMode="External" Id="rId270"/><Relationship Type="http://schemas.openxmlformats.org/officeDocument/2006/relationships/hyperlink" Target="https://engineering.purdue.edu/ME/People/ptProfile?resource_id=29343" TargetMode="External" Id="rId271"/><Relationship Type="http://schemas.openxmlformats.org/officeDocument/2006/relationships/hyperlink" Target="https://scholar.google.com/citations?view_op=search_authors&amp;mauthors=Xiulin%20Ruan%20Purdue%20University" TargetMode="External" Id="rId272"/><Relationship Type="http://schemas.openxmlformats.org/officeDocument/2006/relationships/hyperlink" Target="mailto:ruan@purdue.edu" TargetMode="External" Id="rId273"/><Relationship Type="http://schemas.openxmlformats.org/officeDocument/2006/relationships/hyperlink" Target="https://engineering.purdue.edu/NANOENERGY/" TargetMode="External" Id="rId274"/><Relationship Type="http://schemas.openxmlformats.org/officeDocument/2006/relationships/hyperlink" Target="https://engineering.purdue.edu/ME/People/ptFaculty" TargetMode="External" Id="rId275"/><Relationship Type="http://schemas.openxmlformats.org/officeDocument/2006/relationships/hyperlink" Target="https://engineering.purdue.edu/ME/People/ptProfile?resource_id=12829" TargetMode="External" Id="rId276"/><Relationship Type="http://schemas.openxmlformats.org/officeDocument/2006/relationships/hyperlink" Target="https://scholar.google.com/citations?view_op=search_authors&amp;mauthors=James%20D.%20Jones%20Purdue%20University" TargetMode="External" Id="rId277"/><Relationship Type="http://schemas.openxmlformats.org/officeDocument/2006/relationships/hyperlink" Target="mailto:jonesjd@purdue.edu" TargetMode="External" Id="rId278"/><Relationship Type="http://schemas.openxmlformats.org/officeDocument/2006/relationships/hyperlink" Target="https://insgc.spacegrant.org/" TargetMode="External" Id="rId279"/><Relationship Type="http://schemas.openxmlformats.org/officeDocument/2006/relationships/hyperlink" Target="https://engineering.purdue.edu/ME/People/ptFaculty" TargetMode="External" Id="rId280"/><Relationship Type="http://schemas.openxmlformats.org/officeDocument/2006/relationships/hyperlink" Target="https://engineering.purdue.edu/ME/People/ptProfile?resource_id=50402" TargetMode="External" Id="rId281"/><Relationship Type="http://schemas.openxmlformats.org/officeDocument/2006/relationships/hyperlink" Target="https://scholar.google.com/citations?user=aSHRXOkAAAAJ&amp;hl=en" TargetMode="External" Id="rId282"/><Relationship Type="http://schemas.openxmlformats.org/officeDocument/2006/relationships/hyperlink" Target="mailto:jchoi@purdue.edu" TargetMode="External" Id="rId283"/><Relationship Type="http://schemas.openxmlformats.org/officeDocument/2006/relationships/hyperlink" Target="https://choinano.org/ " TargetMode="External" Id="rId284"/><Relationship Type="http://schemas.openxmlformats.org/officeDocument/2006/relationships/hyperlink" Target="https://engineering.purdue.edu/ME/People/ptFaculty" TargetMode="External" Id="rId285"/><Relationship Type="http://schemas.openxmlformats.org/officeDocument/2006/relationships/hyperlink" Target="https://engineering.purdue.edu/ME/People/ptProfile?resource_id=286140" TargetMode="External" Id="rId286"/><Relationship Type="http://schemas.openxmlformats.org/officeDocument/2006/relationships/hyperlink" Target="https://scholar.google.com/citations?view_op=search_authors&amp;mauthors=Junfei%20Li%20Purdue%20University" TargetMode="External" Id="rId287"/><Relationship Type="http://schemas.openxmlformats.org/officeDocument/2006/relationships/hyperlink" Target="mailto:junfeili@purdue.edu" TargetMode="External" Id="rId288"/><Relationship Type="http://schemas.openxmlformats.org/officeDocument/2006/relationships/hyperlink" Target="https://insgc.spacegrant.org/" TargetMode="External" Id="rId289"/><Relationship Type="http://schemas.openxmlformats.org/officeDocument/2006/relationships/hyperlink" Target="https://engineering.purdue.edu/ME/People/ptFaculty" TargetMode="External" Id="rId290"/><Relationship Type="http://schemas.openxmlformats.org/officeDocument/2006/relationships/hyperlink" Target="https://engineering.purdue.edu/ME/People/ptProfile?resource_id=29264" TargetMode="External" Id="rId291"/><Relationship Type="http://schemas.openxmlformats.org/officeDocument/2006/relationships/hyperlink" Target="https://scholar.google.com/citations?view_op=search_authors&amp;mauthors=Marisol%20Koslowski%20Purdue%20University" TargetMode="External" Id="rId292"/><Relationship Type="http://schemas.openxmlformats.org/officeDocument/2006/relationships/hyperlink" Target="mailto:marisol@purdue.edu" TargetMode="External" Id="rId293"/><Relationship Type="http://schemas.openxmlformats.org/officeDocument/2006/relationships/hyperlink" Target="https://koslowskigroup.org/" TargetMode="External" Id="rId294"/><Relationship Type="http://schemas.openxmlformats.org/officeDocument/2006/relationships/hyperlink" Target="https://engineering.purdue.edu/ME/People/ptFaculty" TargetMode="External" Id="rId295"/><Relationship Type="http://schemas.openxmlformats.org/officeDocument/2006/relationships/hyperlink" Target="https://engineering.purdue.edu/ME/People/ptProfile?resource_id=273456" TargetMode="External" Id="rId296"/><Relationship Type="http://schemas.openxmlformats.org/officeDocument/2006/relationships/hyperlink" Target="https://scholar.google.com/citations?user=E8PanGMAAAAJ" TargetMode="External" Id="rId297"/><Relationship Type="http://schemas.openxmlformats.org/officeDocument/2006/relationships/hyperlink" Target="mailto:bansal91@purdue.edu" TargetMode="External" Id="rId298"/><Relationship Type="http://schemas.openxmlformats.org/officeDocument/2006/relationships/hyperlink" Target="https://engineering.purdue.edu/EMRSL" TargetMode="External" Id="rId299"/><Relationship Type="http://schemas.openxmlformats.org/officeDocument/2006/relationships/hyperlink" Target="https://engineering.purdue.edu/ME/People/ptFaculty" TargetMode="External" Id="rId300"/><Relationship Type="http://schemas.openxmlformats.org/officeDocument/2006/relationships/hyperlink" Target="https://engineering.purdue.edu/ME/People/ptProfile?resource_id=127246" TargetMode="External" Id="rId301"/><Relationship Type="http://schemas.openxmlformats.org/officeDocument/2006/relationships/hyperlink" Target="https://scholar.google.com/citations?view_op=search_authors&amp;mauthors=Chi%20Hwan%20Lee%20Purdue%20University" TargetMode="External" Id="rId302"/><Relationship Type="http://schemas.openxmlformats.org/officeDocument/2006/relationships/hyperlink" Target="mailto:lee2270@purdue.edu" TargetMode="External" Id="rId303"/><Relationship Type="http://schemas.openxmlformats.org/officeDocument/2006/relationships/hyperlink" Target="https://engineering.purdue.edu/StickTronics/" TargetMode="External" Id="rId304"/><Relationship Type="http://schemas.openxmlformats.org/officeDocument/2006/relationships/hyperlink" Target="https://engineering.purdue.edu/ME/People/ptFaculty" TargetMode="External" Id="rId305"/><Relationship Type="http://schemas.openxmlformats.org/officeDocument/2006/relationships/hyperlink" Target="https://engineering.purdue.edu/AAE/people/ptProfile?resource_id=243165" TargetMode="External" Id="rId306"/><Relationship Type="http://schemas.openxmlformats.org/officeDocument/2006/relationships/hyperlink" Target="https://scholar.google.com/citations?view_op=search_authors&amp;mauthors=Dianyun%20Zhang%20Purdue%20University" TargetMode="External" Id="rId307"/><Relationship Type="http://schemas.openxmlformats.org/officeDocument/2006/relationships/hyperlink" Target="mailto:dianyun@purdue.edu" TargetMode="External" Id="rId308"/><Relationship Type="http://schemas.openxmlformats.org/officeDocument/2006/relationships/hyperlink" Target="https://insgc.spacegrant.org/" TargetMode="External" Id="rId309"/><Relationship Type="http://schemas.openxmlformats.org/officeDocument/2006/relationships/hyperlink" Target="https://engineering.purdue.edu/AAE/people/Faculty" TargetMode="External" Id="rId310"/><Relationship Type="http://schemas.openxmlformats.org/officeDocument/2006/relationships/hyperlink" Target="https://engineering.purdue.edu/ME/People/ptProfile?resource_id=29424" TargetMode="External" Id="rId311"/><Relationship Type="http://schemas.openxmlformats.org/officeDocument/2006/relationships/hyperlink" Target="https://scholar.google.com/citations?view_op=search_authors&amp;mauthors=Fu%20Zhao%20Purdue%20University" TargetMode="External" Id="rId312"/><Relationship Type="http://schemas.openxmlformats.org/officeDocument/2006/relationships/hyperlink" Target="mailto:fzhao@purdue.edu" TargetMode="External" Id="rId313"/><Relationship Type="http://schemas.openxmlformats.org/officeDocument/2006/relationships/hyperlink" Target="https://engineering.purdue.edu/~fzhao/" TargetMode="External" Id="rId314"/><Relationship Type="http://schemas.openxmlformats.org/officeDocument/2006/relationships/hyperlink" Target="https://engineering.purdue.edu/ME/People/ptFaculty" TargetMode="External" Id="rId315"/><Relationship Type="http://schemas.openxmlformats.org/officeDocument/2006/relationships/hyperlink" Target="https://engineering.purdue.edu/ME/People/ptProfile?resource_id=286292" TargetMode="External" Id="rId316"/><Relationship Type="http://schemas.openxmlformats.org/officeDocument/2006/relationships/hyperlink" Target="https://scholar.google.com/citations?user=JmlZjPgAAAAJ&amp;hl=en" TargetMode="External" Id="rId317"/><Relationship Type="http://schemas.openxmlformats.org/officeDocument/2006/relationships/hyperlink" Target="mailto:liddellh@purdue.edu" TargetMode="External" Id="rId318"/><Relationship Type="http://schemas.openxmlformats.org/officeDocument/2006/relationships/hyperlink" Target="https://hpliddell.github.io/" TargetMode="External" Id="rId319"/><Relationship Type="http://schemas.openxmlformats.org/officeDocument/2006/relationships/hyperlink" Target="https://github.com/alshedivat/al-folio" TargetMode="External" Id="rId320"/><Relationship Type="http://schemas.openxmlformats.org/officeDocument/2006/relationships/hyperlink" Target="https://engineering.purdue.edu/ME/People/ptFaculty" TargetMode="External" Id="rId321"/><Relationship Type="http://schemas.openxmlformats.org/officeDocument/2006/relationships/hyperlink" Target="https://engineering.purdue.edu/ME/People/ptProfile?resource_id=277732" TargetMode="External" Id="rId322"/><Relationship Type="http://schemas.openxmlformats.org/officeDocument/2006/relationships/hyperlink" Target="https://scholar.google.com/citations?user=sUD9j0EAAAAJ" TargetMode="External" Id="rId323"/><Relationship Type="http://schemas.openxmlformats.org/officeDocument/2006/relationships/hyperlink" Target="mailto:lsotelo@purdue.edu" TargetMode="External" Id="rId324"/><Relationship Type="http://schemas.openxmlformats.org/officeDocument/2006/relationships/hyperlink" Target="https://scholar.google.com/citations?user=sUD9j0EAAAAJ" TargetMode="External" Id="rId325"/><Relationship Type="http://schemas.openxmlformats.org/officeDocument/2006/relationships/hyperlink" Target="https://engineering.purdue.edu/ME/People/ptFaculty" TargetMode="External" Id="rId326"/><Relationship Type="http://schemas.openxmlformats.org/officeDocument/2006/relationships/hyperlink" Target="https://engineering.purdue.edu/ME/People/ptProfile?resource_id=106137" TargetMode="External" Id="rId327"/><Relationship Type="http://schemas.openxmlformats.org/officeDocument/2006/relationships/hyperlink" Target="https://scholar.google.com/citations?view_op=search_authors&amp;mauthors=Marcial%20Gonzalez%20Purdue%20University" TargetMode="External" Id="rId328"/><Relationship Type="http://schemas.openxmlformats.org/officeDocument/2006/relationships/hyperlink" Target="mailto:marcial-gonzalez@purdue.edu" TargetMode="External" Id="rId329"/><Relationship Type="http://schemas.openxmlformats.org/officeDocument/2006/relationships/hyperlink" Target="http://www.marcialgonzalez.net" TargetMode="External" Id="rId330"/><Relationship Type="http://schemas.openxmlformats.org/officeDocument/2006/relationships/hyperlink" Target="https://engineering.purdue.edu/ME/People/ptFaculty" TargetMode="External" Id="rId331"/><Relationship Type="http://schemas.openxmlformats.org/officeDocument/2006/relationships/hyperlink" Target="https://engineering.purdue.edu/ME/People/ptProfile?resource_id=90129" TargetMode="External" Id="rId332"/><Relationship Type="http://schemas.openxmlformats.org/officeDocument/2006/relationships/hyperlink" Target="https://scholar.google.com/citations?view_op=search_authors&amp;mauthors=Pavlos%20Vlachos%20Purdue%20University" TargetMode="External" Id="rId333"/><Relationship Type="http://schemas.openxmlformats.org/officeDocument/2006/relationships/hyperlink" Target="mailto:pvlachos@purdue.edu" TargetMode="External" Id="rId334"/><Relationship Type="http://schemas.openxmlformats.org/officeDocument/2006/relationships/hyperlink" Target="https://vlachosresearch.org/" TargetMode="External" Id="rId335"/><Relationship Type="http://schemas.openxmlformats.org/officeDocument/2006/relationships/hyperlink" Target="https://engineering.purdue.edu/ME/People/ptFaculty" TargetMode="External" Id="rId336"/><Relationship Type="http://schemas.openxmlformats.org/officeDocument/2006/relationships/hyperlink" Target="https://engineering.purdue.edu/AAE/people/ptProfile?resource_id=1436" TargetMode="External" Id="rId337"/><Relationship Type="http://schemas.openxmlformats.org/officeDocument/2006/relationships/hyperlink" Target="https://scholar.google.com/citations?view_op=search_authors&amp;mauthors=R%20Byron%20Pipes%20Purdue%20University" TargetMode="External" Id="rId338"/><Relationship Type="http://schemas.openxmlformats.org/officeDocument/2006/relationships/hyperlink" Target="https://engineering.purdue.edu/AAE/people/Faculty" TargetMode="External" Id="rId339"/><Relationship Type="http://schemas.openxmlformats.org/officeDocument/2006/relationships/hyperlink" Target="https://engineering.purdue.edu/ME/People/ptProfile?resource_id=12303" TargetMode="External" Id="rId340"/><Relationship Type="http://schemas.openxmlformats.org/officeDocument/2006/relationships/hyperlink" Target="https://scholar.google.com/citations?hl=en&amp;user=axgXCjEAAAAJ" TargetMode="External" Id="rId341"/><Relationship Type="http://schemas.openxmlformats.org/officeDocument/2006/relationships/hyperlink" Target="mailto:siegmund@purdue.edu" TargetMode="External" Id="rId342"/><Relationship Type="http://schemas.openxmlformats.org/officeDocument/2006/relationships/hyperlink" Target="https://engineering.purdue.edu/MYMECH" TargetMode="External" Id="rId343"/><Relationship Type="http://schemas.openxmlformats.org/officeDocument/2006/relationships/hyperlink" Target="https://engineering.purdue.edu/ME/People/ptFaculty" TargetMode="External" Id="rId344"/><Relationship Type="http://schemas.openxmlformats.org/officeDocument/2006/relationships/hyperlink" Target="https://engineering.purdue.edu/AAE/people/ptProfile?resource_id=93761" TargetMode="External" Id="rId345"/><Relationship Type="http://schemas.openxmlformats.org/officeDocument/2006/relationships/hyperlink" Target="https://scholar.google.com/citations?view_op=search_authors&amp;mauthors=Wenbin%20Yu%20Purdue%20University" TargetMode="External" Id="rId346"/><Relationship Type="http://schemas.openxmlformats.org/officeDocument/2006/relationships/hyperlink" Target="mailto:wenbinyu@purdue.edu" TargetMode="External" Id="rId347"/><Relationship Type="http://schemas.openxmlformats.org/officeDocument/2006/relationships/hyperlink" Target="https://insgc.spacegrant.org/" TargetMode="External" Id="rId348"/><Relationship Type="http://schemas.openxmlformats.org/officeDocument/2006/relationships/hyperlink" Target="https://engineering.purdue.edu/AAE/people/Faculty" TargetMode="External" Id="rId349"/><Relationship Type="http://schemas.openxmlformats.org/officeDocument/2006/relationships/hyperlink" Target="https://engineering.purdue.edu/ME/People/ptProfile?resource_id=232598" TargetMode="External" Id="rId350"/><Relationship Type="http://schemas.openxmlformats.org/officeDocument/2006/relationships/hyperlink" Target="https://scholar.google.com/citations?view_op=search_authors&amp;mauthors=Ajay%20Malshe%20Purdue%20University" TargetMode="External" Id="rId351"/><Relationship Type="http://schemas.openxmlformats.org/officeDocument/2006/relationships/hyperlink" Target="mailto:amalshe@purdue.edu" TargetMode="External" Id="rId352"/><Relationship Type="http://schemas.openxmlformats.org/officeDocument/2006/relationships/hyperlink" Target="https://www.linkedin.com/in/ajay-malshe/" TargetMode="External" Id="rId353"/><Relationship Type="http://schemas.openxmlformats.org/officeDocument/2006/relationships/hyperlink" Target="https://engineering.purdue.edu/ME/People/ptFaculty" TargetMode="External" Id="rId354"/><Relationship Type="http://schemas.openxmlformats.org/officeDocument/2006/relationships/hyperlink" Target="https://engineering.purdue.edu/ME/People/ptProfile?resource_id=243743" TargetMode="External" Id="rId355"/><Relationship Type="http://schemas.openxmlformats.org/officeDocument/2006/relationships/hyperlink" Target="https://scholar.google.com/citations?view_op=search_authors&amp;mauthors=Alex%20Chortos%20Purdue%20University" TargetMode="External" Id="rId356"/><Relationship Type="http://schemas.openxmlformats.org/officeDocument/2006/relationships/hyperlink" Target="mailto:achortos@purdue.edu" TargetMode="External" Id="rId357"/><Relationship Type="http://schemas.openxmlformats.org/officeDocument/2006/relationships/hyperlink" Target="https://www.alexchortos.com/" TargetMode="External" Id="rId358"/><Relationship Type="http://schemas.openxmlformats.org/officeDocument/2006/relationships/hyperlink" Target="https://engineering.purdue.edu/ME/People/ptFaculty" TargetMode="External" Id="rId359"/><Relationship Type="http://schemas.openxmlformats.org/officeDocument/2006/relationships/hyperlink" Target="https://engineering.purdue.edu/ME/People/ptProfile?resource_id=11316" TargetMode="External" Id="rId360"/><Relationship Type="http://schemas.openxmlformats.org/officeDocument/2006/relationships/hyperlink" Target="https://scholar.google.com/citations?view_op=search_authors&amp;mauthors=Anil%20K.%20Bajaj%20Purdue%20University" TargetMode="External" Id="rId361"/><Relationship Type="http://schemas.openxmlformats.org/officeDocument/2006/relationships/hyperlink" Target="mailto:bajaj@purdue.edu" TargetMode="External" Id="rId362"/><Relationship Type="http://schemas.openxmlformats.org/officeDocument/2006/relationships/hyperlink" Target="https://insgc.spacegrant.org/" TargetMode="External" Id="rId363"/><Relationship Type="http://schemas.openxmlformats.org/officeDocument/2006/relationships/hyperlink" Target="https://engineering.purdue.edu/ME/People/ptFaculty" TargetMode="External" Id="rId364"/><Relationship Type="http://schemas.openxmlformats.org/officeDocument/2006/relationships/hyperlink" Target="https://engineering.purdue.edu/ME/People/ptProfile?resource_id=250301" TargetMode="External" Id="rId365"/><Relationship Type="http://schemas.openxmlformats.org/officeDocument/2006/relationships/hyperlink" Target="https://scholar.google.com/citations?view_op=search_authors&amp;mauthors=Babak%20Anasori%20Purdue%20University" TargetMode="External" Id="rId366"/><Relationship Type="http://schemas.openxmlformats.org/officeDocument/2006/relationships/hyperlink" Target="mailto:banasori@purdue.edu" TargetMode="External" Id="rId367"/><Relationship Type="http://schemas.openxmlformats.org/officeDocument/2006/relationships/hyperlink" Target="https://www.babakanasori.com/" TargetMode="External" Id="rId368"/><Relationship Type="http://schemas.openxmlformats.org/officeDocument/2006/relationships/hyperlink" Target="https://engineering.purdue.edu/ME/People/ptFaculty" TargetMode="External" Id="rId369"/><Relationship Type="http://schemas.openxmlformats.org/officeDocument/2006/relationships/hyperlink" Target="https://engineering.purdue.edu/Engr/People/ptProfile?resource_id=4110" TargetMode="External" Id="rId370"/><Relationship Type="http://schemas.openxmlformats.org/officeDocument/2006/relationships/hyperlink" Target="https://scholar.google.com/citations?view_op=search_authors&amp;mauthors=Beth%20Holloway%20Purdue%20University" TargetMode="External" Id="rId371"/><Relationship Type="http://schemas.openxmlformats.org/officeDocument/2006/relationships/hyperlink" Target="mailto:holloway@purdue.edu" TargetMode="External" Id="rId372"/><Relationship Type="http://schemas.openxmlformats.org/officeDocument/2006/relationships/hyperlink" Target="https://insgc.spacegrant.org/" TargetMode="External" Id="rId373"/><Relationship Type="http://schemas.openxmlformats.org/officeDocument/2006/relationships/hyperlink" Target="https://engineering.purdue.edu/ME/People/ptFaculty" TargetMode="External" Id="rId374"/><Relationship Type="http://schemas.openxmlformats.org/officeDocument/2006/relationships/hyperlink" Target="https://engineering.purdue.edu/ME/People/ptProfile?resource_id=120407" TargetMode="External" Id="rId375"/><Relationship Type="http://schemas.openxmlformats.org/officeDocument/2006/relationships/hyperlink" Target="https://scholar.google.com/citations?view_op=search_authors&amp;mauthors=Eduardo%20Barocio%20Vaca%20Purdue%20University" TargetMode="External" Id="rId376"/><Relationship Type="http://schemas.openxmlformats.org/officeDocument/2006/relationships/hyperlink" Target="mailto:ebarocio@purdue.edu" TargetMode="External" Id="rId377"/><Relationship Type="http://schemas.openxmlformats.org/officeDocument/2006/relationships/hyperlink" Target="https://insgc.spacegrant.org/" TargetMode="External" Id="rId378"/><Relationship Type="http://schemas.openxmlformats.org/officeDocument/2006/relationships/hyperlink" Target="https://engineering.purdue.edu/ME/People/ptFaculty" TargetMode="External" Id="rId379"/><Relationship Type="http://schemas.openxmlformats.org/officeDocument/2006/relationships/hyperlink" Target="https://engineering.purdue.edu/ME/People/ptProfile?resource_id=23987" TargetMode="External" Id="rId380"/><Relationship Type="http://schemas.openxmlformats.org/officeDocument/2006/relationships/hyperlink" Target="https://scholar.google.com/citations?view_op=search_authors&amp;mauthors=Farshid%20Sadeghi%20Purdue%20University" TargetMode="External" Id="rId381"/><Relationship Type="http://schemas.openxmlformats.org/officeDocument/2006/relationships/hyperlink" Target="mailto:sadeghi@purdue.edu" TargetMode="External" Id="rId382"/><Relationship Type="http://schemas.openxmlformats.org/officeDocument/2006/relationships/hyperlink" Target="https://engineering.purdue.edu/METL" TargetMode="External" Id="rId383"/><Relationship Type="http://schemas.openxmlformats.org/officeDocument/2006/relationships/hyperlink" Target="https://engineering.purdue.edu/ME/People/ptFaculty" TargetMode="External" Id="rId384"/><Relationship Type="http://schemas.openxmlformats.org/officeDocument/2006/relationships/hyperlink" Target="https://engineering.purdue.edu/ME/People/ptProfile?resource_id=113500" TargetMode="External" Id="rId385"/><Relationship Type="http://schemas.openxmlformats.org/officeDocument/2006/relationships/hyperlink" Target="https://scholar.google.com/citations?view_op=search_authors&amp;mauthors=Ilias%20Bilionis%20Purdue%20University" TargetMode="External" Id="rId386"/><Relationship Type="http://schemas.openxmlformats.org/officeDocument/2006/relationships/hyperlink" Target="mailto:ibilion@purdue.edu" TargetMode="External" Id="rId387"/><Relationship Type="http://schemas.openxmlformats.org/officeDocument/2006/relationships/hyperlink" Target="https://www.predictivesciencelab.org/" TargetMode="External" Id="rId388"/><Relationship Type="http://schemas.openxmlformats.org/officeDocument/2006/relationships/hyperlink" Target="https://github.com/PredictiveScienceLab" TargetMode="External" Id="rId389"/><Relationship Type="http://schemas.openxmlformats.org/officeDocument/2006/relationships/hyperlink" Target="https://engineering.purdue.edu/ME/People/ptFaculty" TargetMode="External" Id="rId390"/><Relationship Type="http://schemas.openxmlformats.org/officeDocument/2006/relationships/hyperlink" Target="https://engineering.purdue.edu/ME/People/ptProfile?resource_id=127242" TargetMode="External" Id="rId391"/><Relationship Type="http://schemas.openxmlformats.org/officeDocument/2006/relationships/hyperlink" Target="https://scholar.google.com/citations?view_op=search_authors&amp;mauthors=James%20Gibert%20Purdue%20University" TargetMode="External" Id="rId392"/><Relationship Type="http://schemas.openxmlformats.org/officeDocument/2006/relationships/hyperlink" Target="mailto:jgibert@purdue.edu" TargetMode="External" Id="rId393"/><Relationship Type="http://schemas.openxmlformats.org/officeDocument/2006/relationships/hyperlink" Target="https://insgc.spacegrant.org/" TargetMode="External" Id="rId394"/><Relationship Type="http://schemas.openxmlformats.org/officeDocument/2006/relationships/hyperlink" Target="https://engineering.purdue.edu/ME/People/ptFaculty" TargetMode="External" Id="rId395"/><Relationship Type="http://schemas.openxmlformats.org/officeDocument/2006/relationships/hyperlink" Target="https://engineering.purdue.edu/ME/People/ptProfile?resource_id=80194" TargetMode="External" Id="rId396"/><Relationship Type="http://schemas.openxmlformats.org/officeDocument/2006/relationships/hyperlink" Target="https://scholar.google.com/citations?view_op=search_authors&amp;mauthors=Jitesh%20H.%20Panchal%20Purdue%20University" TargetMode="External" Id="rId397"/><Relationship Type="http://schemas.openxmlformats.org/officeDocument/2006/relationships/hyperlink" Target="mailto:panchal@purdue.edu" TargetMode="External" Id="rId398"/><Relationship Type="http://schemas.openxmlformats.org/officeDocument/2006/relationships/hyperlink" Target="https://engineering.purdue.edu/DELP/" TargetMode="External" Id="rId399"/><Relationship Type="http://schemas.openxmlformats.org/officeDocument/2006/relationships/hyperlink" Target="https://engineering.purdue.edu/ME/People/ptFaculty" TargetMode="External" Id="rId400"/><Relationship Type="http://schemas.openxmlformats.org/officeDocument/2006/relationships/hyperlink" Target="https://engineering.purdue.edu/ME/People/ptProfile?resource_id=156378" TargetMode="External" Id="rId401"/><Relationship Type="http://schemas.openxmlformats.org/officeDocument/2006/relationships/hyperlink" Target="https://scholar.google.com/citations?view_op=search_authors&amp;mauthors=Martin%20Byung-Guk%20Jun%20Purdue%20University" TargetMode="External" Id="rId402"/><Relationship Type="http://schemas.openxmlformats.org/officeDocument/2006/relationships/hyperlink" Target="mailto:mbgjun@purdue.edu" TargetMode="External" Id="rId403"/><Relationship Type="http://schemas.openxmlformats.org/officeDocument/2006/relationships/hyperlink" Target="http://web.ics.purdue.edu/~jun25/" TargetMode="External" Id="rId404"/><Relationship Type="http://schemas.openxmlformats.org/officeDocument/2006/relationships/hyperlink" Target="https://engineering.purdue.edu/ME/People/ptFaculty" TargetMode="External" Id="rId405"/><Relationship Type="http://schemas.openxmlformats.org/officeDocument/2006/relationships/hyperlink" Target="https://engineering.purdue.edu/ME/People/ptProfile?resource_id=144060" TargetMode="External" Id="rId406"/><Relationship Type="http://schemas.openxmlformats.org/officeDocument/2006/relationships/hyperlink" Target="https://scholar.google.com/citations?view_op=search_authors&amp;mauthors=Mukerrem%20Cakmak%20Purdue%20University" TargetMode="External" Id="rId407"/><Relationship Type="http://schemas.openxmlformats.org/officeDocument/2006/relationships/hyperlink" Target="mailto:cakmak@purdue.edu" TargetMode="External" Id="rId408"/><Relationship Type="http://schemas.openxmlformats.org/officeDocument/2006/relationships/hyperlink" Target="https://insgc.spacegrant.org/" TargetMode="External" Id="rId409"/><Relationship Type="http://schemas.openxmlformats.org/officeDocument/2006/relationships/hyperlink" Target="https://engineering.purdue.edu/ME/People/ptFaculty" TargetMode="External" Id="rId410"/><Relationship Type="http://schemas.openxmlformats.org/officeDocument/2006/relationships/hyperlink" Target="https://engineering.purdue.edu/ME/People/ptProfile?resource_id=236680" TargetMode="External" Id="rId411"/><Relationship Type="http://schemas.openxmlformats.org/officeDocument/2006/relationships/hyperlink" Target="https://scholar.google.com/citations?view_op=search_authors&amp;mauthors=Ryan%20Wagner%20Purdue%20University" TargetMode="External" Id="rId412"/><Relationship Type="http://schemas.openxmlformats.org/officeDocument/2006/relationships/hyperlink" Target="mailto:rbwagner@purdue.edu" TargetMode="External" Id="rId413"/><Relationship Type="http://schemas.openxmlformats.org/officeDocument/2006/relationships/hyperlink" Target="https://engineering.purdue.edu/~rbwagner/" TargetMode="External" Id="rId414"/><Relationship Type="http://schemas.openxmlformats.org/officeDocument/2006/relationships/hyperlink" Target="https://github.com/rbwagner147" TargetMode="External" Id="rId415"/><Relationship Type="http://schemas.openxmlformats.org/officeDocument/2006/relationships/hyperlink" Target="https://engineering.purdue.edu/ME/People/ptFaculty" TargetMode="External" Id="rId416"/><Relationship Type="http://schemas.openxmlformats.org/officeDocument/2006/relationships/hyperlink" Target="https://engineering.purdue.edu/AAE/people/ptProfile?resource_id=127158" TargetMode="External" Id="rId417"/><Relationship Type="http://schemas.openxmlformats.org/officeDocument/2006/relationships/hyperlink" Target="https://scholar.google.com/citations?view_op=search_authors&amp;mauthors=Tyler%20Tallman%20Purdue%20University" TargetMode="External" Id="rId418"/><Relationship Type="http://schemas.openxmlformats.org/officeDocument/2006/relationships/hyperlink" Target="mailto:ttallman@purdue.edu" TargetMode="External" Id="rId419"/><Relationship Type="http://schemas.openxmlformats.org/officeDocument/2006/relationships/hyperlink" Target="https://insgc.spacegrant.org/" TargetMode="External" Id="rId420"/><Relationship Type="http://schemas.openxmlformats.org/officeDocument/2006/relationships/hyperlink" Target="https://engineering.purdue.edu/AAE/people/Faculty" TargetMode="External" Id="rId421"/><Relationship Type="http://schemas.openxmlformats.org/officeDocument/2006/relationships/hyperlink" Target="https://engineering.purdue.edu/ME/People/ptProfile?resource_id=159504" TargetMode="External" Id="rId422"/><Relationship Type="http://schemas.openxmlformats.org/officeDocument/2006/relationships/hyperlink" Target="https://scholar.google.com/citations?view_op=search_authors&amp;mauthors=Beth%20Hess%20Purdue%20University" TargetMode="External" Id="rId423"/><Relationship Type="http://schemas.openxmlformats.org/officeDocument/2006/relationships/hyperlink" Target="mailto:bethhess@purdue.edu" TargetMode="External" Id="rId424"/><Relationship Type="http://schemas.openxmlformats.org/officeDocument/2006/relationships/hyperlink" Target="https://insgc.spacegrant.org/" TargetMode="External" Id="rId425"/><Relationship Type="http://schemas.openxmlformats.org/officeDocument/2006/relationships/hyperlink" Target="https://engineering.purdue.edu/ME/People/ptFaculty" TargetMode="External" Id="rId426"/><Relationship Type="http://schemas.openxmlformats.org/officeDocument/2006/relationships/hyperlink" Target="https://engineering.purdue.edu/ME/People/ptProfile?resource_id=11333" TargetMode="External" Id="rId427"/><Relationship Type="http://schemas.openxmlformats.org/officeDocument/2006/relationships/hyperlink" Target="https://scholar.google.com/citations?view_op=search_authors&amp;mauthors=Charles%20M.%20Krousgrill%20Purdue%20University" TargetMode="External" Id="rId428"/><Relationship Type="http://schemas.openxmlformats.org/officeDocument/2006/relationships/hyperlink" Target="mailto:krousgri@purdue.edu" TargetMode="External" Id="rId429"/><Relationship Type="http://schemas.openxmlformats.org/officeDocument/2006/relationships/hyperlink" Target="https://engineering.purdue.edu/ME/Research/Presentations/KrousgrillME%20Research.pdf" TargetMode="External" Id="rId430"/><Relationship Type="http://schemas.openxmlformats.org/officeDocument/2006/relationships/hyperlink" Target="https://engineering.purdue.edu/ME/People/ptFaculty" TargetMode="External" Id="rId431"/><Relationship Type="http://schemas.openxmlformats.org/officeDocument/2006/relationships/hyperlink" Target="https://engineering.purdue.edu/ME/People/ptProfile?resource_id=196738" TargetMode="External" Id="rId432"/><Relationship Type="http://schemas.openxmlformats.org/officeDocument/2006/relationships/hyperlink" Target="https://scholar.google.com/citations?view_op=search_authors&amp;mauthors=Greg%20Jensen%20Purdue%20University" TargetMode="External" Id="rId433"/><Relationship Type="http://schemas.openxmlformats.org/officeDocument/2006/relationships/hyperlink" Target="mailto:jensen23@purdue.edu" TargetMode="External" Id="rId434"/><Relationship Type="http://schemas.openxmlformats.org/officeDocument/2006/relationships/hyperlink" Target="https://insgc.spacegrant.org/" TargetMode="External" Id="rId435"/><Relationship Type="http://schemas.openxmlformats.org/officeDocument/2006/relationships/hyperlink" Target="https://engineering.purdue.edu/ME/People/ptFaculty" TargetMode="External" Id="rId436"/><Relationship Type="http://schemas.openxmlformats.org/officeDocument/2006/relationships/hyperlink" Target="https://engineering.purdue.edu/ME/People/ptProfile?resource_id=80190" TargetMode="External" Id="rId437"/><Relationship Type="http://schemas.openxmlformats.org/officeDocument/2006/relationships/hyperlink" Target="https://scholar.google.com/citations?view_op=search_authors&amp;mauthors=Liang%20Pan%20Purdue%20University" TargetMode="External" Id="rId438"/><Relationship Type="http://schemas.openxmlformats.org/officeDocument/2006/relationships/hyperlink" Target="mailto:liangpan@purdue.edu" TargetMode="External" Id="rId439"/><Relationship Type="http://schemas.openxmlformats.org/officeDocument/2006/relationships/hyperlink" Target="http://sites.google.com/site/panliang/" TargetMode="External" Id="rId440"/><Relationship Type="http://schemas.openxmlformats.org/officeDocument/2006/relationships/hyperlink" Target="https://engineering.purdue.edu/ME/People/ptFaculty" TargetMode="External" Id="rId441"/><Relationship Type="http://schemas.openxmlformats.org/officeDocument/2006/relationships/hyperlink" Target="https://engineering.purdue.edu/ME/People/ptProfile?resource_id=57291" TargetMode="External" Id="rId442"/><Relationship Type="http://schemas.openxmlformats.org/officeDocument/2006/relationships/hyperlink" Target="https://scholar.google.com/citations?view_op=search_authors&amp;mauthors=Shirley%20J%20Dyke%20Purdue%20University" TargetMode="External" Id="rId443"/><Relationship Type="http://schemas.openxmlformats.org/officeDocument/2006/relationships/hyperlink" Target="mailto:sdyke@purdue.edu" TargetMode="External" Id="rId444"/><Relationship Type="http://schemas.openxmlformats.org/officeDocument/2006/relationships/hyperlink" Target="https://purdue.edu/rethi/" TargetMode="External" Id="rId445"/><Relationship Type="http://schemas.openxmlformats.org/officeDocument/2006/relationships/hyperlink" Target="https://engineering.purdue.edu/ME/People/ptFaculty" TargetMode="External" Id="rId446"/><Relationship Type="http://schemas.openxmlformats.org/officeDocument/2006/relationships/hyperlink" Target="https://engineering.purdue.edu/ME/People/ptProfile?resource_id=117610" TargetMode="External" Id="rId447"/><Relationship Type="http://schemas.openxmlformats.org/officeDocument/2006/relationships/hyperlink" Target="https://scholar.google.com/citations?view_op=search_authors&amp;mauthors=Song%20Zhang%20Purdue%20University" TargetMode="External" Id="rId448"/><Relationship Type="http://schemas.openxmlformats.org/officeDocument/2006/relationships/hyperlink" Target="mailto:szhang15@purdue.edu" TargetMode="External" Id="rId449"/><Relationship Type="http://schemas.openxmlformats.org/officeDocument/2006/relationships/hyperlink" Target="http://www.xyztlab.com" TargetMode="External" Id="rId450"/><Relationship Type="http://schemas.openxmlformats.org/officeDocument/2006/relationships/hyperlink" Target="https://engineering.purdue.edu/ME/People/ptFaculty" TargetMode="External" Id="rId451"/><Relationship Type="http://schemas.openxmlformats.org/officeDocument/2006/relationships/hyperlink" Target="https://engineering.purdue.edu/ME/People/ptProfile?resource_id=12309" TargetMode="External" Id="rId452"/><Relationship Type="http://schemas.openxmlformats.org/officeDocument/2006/relationships/hyperlink" Target="https://scholar.google.com/citations?view_op=search_authors&amp;mauthors=Yung%20C.%20Shin%20Purdue%20University" TargetMode="External" Id="rId453"/><Relationship Type="http://schemas.openxmlformats.org/officeDocument/2006/relationships/hyperlink" Target="mailto:shin@purdue.edu" TargetMode="External" Id="rId454"/><Relationship Type="http://schemas.openxmlformats.org/officeDocument/2006/relationships/hyperlink" Target="http://engineering.purdue.edu/ManLab/" TargetMode="External" Id="rId455"/><Relationship Type="http://schemas.openxmlformats.org/officeDocument/2006/relationships/hyperlink" Target="https://engineering.purdue.edu/ME/People/ptFaculty" TargetMode="External" Id="rId456"/><Relationship Type="http://schemas.openxmlformats.org/officeDocument/2006/relationships/hyperlink" Target="https://engineering.purdue.edu/AAE/people/ptProfile?resource_id=1403" TargetMode="External" Id="rId457"/><Relationship Type="http://schemas.openxmlformats.org/officeDocument/2006/relationships/hyperlink" Target="https://scholar.google.com/citations?view_op=search_authors&amp;mauthors=Inseok%20Hwang%20Purdue%20University" TargetMode="External" Id="rId458"/><Relationship Type="http://schemas.openxmlformats.org/officeDocument/2006/relationships/hyperlink" Target="mailto:ihwang@purdue.edu" TargetMode="External" Id="rId459"/><Relationship Type="http://schemas.openxmlformats.org/officeDocument/2006/relationships/hyperlink" Target="https://insgc.spacegrant.org/" TargetMode="External" Id="rId460"/><Relationship Type="http://schemas.openxmlformats.org/officeDocument/2006/relationships/hyperlink" Target="https://engineering.purdue.edu/AAE/people/Faculty" TargetMode="External" Id="rId461"/><Relationship Type="http://schemas.openxmlformats.org/officeDocument/2006/relationships/hyperlink" Target="https://engineering.purdue.edu/AAE/people/ptProfile?resource_id=272261" TargetMode="External" Id="rId462"/><Relationship Type="http://schemas.openxmlformats.org/officeDocument/2006/relationships/hyperlink" Target="https://scholar.google.com/citations?hl=en&amp;user=fVJDLrYAAAAJ&amp;view_op=list_works&amp;sortby=pubdate" TargetMode="External" Id="rId463"/><Relationship Type="http://schemas.openxmlformats.org/officeDocument/2006/relationships/hyperlink" Target="mailto:klegrand@purdue.edu" TargetMode="External" Id="rId464"/><Relationship Type="http://schemas.openxmlformats.org/officeDocument/2006/relationships/hyperlink" Target="https://insgc.spacegrant.org/" TargetMode="External" Id="rId465"/><Relationship Type="http://schemas.openxmlformats.org/officeDocument/2006/relationships/hyperlink" Target="https://engineering.purdue.edu/AAE/people/Faculty" TargetMode="External" Id="rId466"/><Relationship Type="http://schemas.openxmlformats.org/officeDocument/2006/relationships/hyperlink" Target="https://engineering.purdue.edu/AAE/people/ptProfile?resource_id=1429" TargetMode="External" Id="rId467"/><Relationship Type="http://schemas.openxmlformats.org/officeDocument/2006/relationships/hyperlink" Target="https://scholar.google.com/citations?view_op=search_authors&amp;mauthors=Daniel%20DeLaurentis%20Purdue%20University" TargetMode="External" Id="rId468"/><Relationship Type="http://schemas.openxmlformats.org/officeDocument/2006/relationships/hyperlink" Target="mailto:ddelaure@purdue.edu" TargetMode="External" Id="rId469"/><Relationship Type="http://schemas.openxmlformats.org/officeDocument/2006/relationships/hyperlink" Target="https://insgc.spacegrant.org/" TargetMode="External" Id="rId470"/><Relationship Type="http://schemas.openxmlformats.org/officeDocument/2006/relationships/hyperlink" Target="https://engineering.purdue.edu/AAE/people/Faculty" TargetMode="External" Id="rId471"/><Relationship Type="http://schemas.openxmlformats.org/officeDocument/2006/relationships/hyperlink" Target="https://engineering.purdue.edu/AAE/people/ptProfile?resource_id=50922" TargetMode="External" Id="rId472"/><Relationship Type="http://schemas.openxmlformats.org/officeDocument/2006/relationships/hyperlink" Target="https://scholar.google.com/citations?view_op=search_authors&amp;mauthors=Dengfeng%20Sun%20Purdue%20University" TargetMode="External" Id="rId473"/><Relationship Type="http://schemas.openxmlformats.org/officeDocument/2006/relationships/hyperlink" Target="mailto:dsun@purdue.edu" TargetMode="External" Id="rId474"/><Relationship Type="http://schemas.openxmlformats.org/officeDocument/2006/relationships/hyperlink" Target="https://insgc.spacegrant.org/" TargetMode="External" Id="rId475"/><Relationship Type="http://schemas.openxmlformats.org/officeDocument/2006/relationships/hyperlink" Target="https://engineering.purdue.edu/AAE/people/Faculty" TargetMode="External" Id="rId476"/><Relationship Type="http://schemas.openxmlformats.org/officeDocument/2006/relationships/hyperlink" Target="https://engineering.purdue.edu/ME/People/ptProfile?resource_id=11271" TargetMode="External" Id="rId477"/><Relationship Type="http://schemas.openxmlformats.org/officeDocument/2006/relationships/hyperlink" Target="https://scholar.google.com/citations?view_op=search_authors&amp;mauthors=Bin%20Yao%20Purdue%20University" TargetMode="External" Id="rId478"/><Relationship Type="http://schemas.openxmlformats.org/officeDocument/2006/relationships/hyperlink" Target="mailto:byao@purdue.edu" TargetMode="External" Id="rId479"/><Relationship Type="http://schemas.openxmlformats.org/officeDocument/2006/relationships/hyperlink" Target="http://engineering.purdue.edu/~byao/" TargetMode="External" Id="rId480"/><Relationship Type="http://schemas.openxmlformats.org/officeDocument/2006/relationships/hyperlink" Target="https://engineering.purdue.edu/ME/People/ptFaculty" TargetMode="External" Id="rId481"/><Relationship Type="http://schemas.openxmlformats.org/officeDocument/2006/relationships/hyperlink" Target="https://engineering.purdue.edu/ME/People/ptProfile?resource_id=211078" TargetMode="External" Id="rId482"/><Relationship Type="http://schemas.openxmlformats.org/officeDocument/2006/relationships/hyperlink" Target="https://scholar.google.com/citations?view_op=search_authors&amp;mauthors=Nina%20Mahmoudian%20Purdue%20University" TargetMode="External" Id="rId483"/><Relationship Type="http://schemas.openxmlformats.org/officeDocument/2006/relationships/hyperlink" Target="mailto:ninam@purdue.edu" TargetMode="External" Id="rId484"/><Relationship Type="http://schemas.openxmlformats.org/officeDocument/2006/relationships/hyperlink" Target="https://engineering.purdue.edu/mahmoudian" TargetMode="External" Id="rId485"/><Relationship Type="http://schemas.openxmlformats.org/officeDocument/2006/relationships/hyperlink" Target="https://engineering.purdue.edu/ME/People/ptFaculty" TargetMode="External" Id="rId486"/><Relationship Type="http://schemas.openxmlformats.org/officeDocument/2006/relationships/hyperlink" Target="https://engineering.purdue.edu/AAE/people/ptProfile?resource_id=243160" TargetMode="External" Id="rId487"/><Relationship Type="http://schemas.openxmlformats.org/officeDocument/2006/relationships/hyperlink" Target="https://scholar.google.com/citations?view_op=search_authors&amp;mauthors=Ran%20Dai%20Purdue%20University" TargetMode="External" Id="rId488"/><Relationship Type="http://schemas.openxmlformats.org/officeDocument/2006/relationships/hyperlink" Target="mailto:randai@purdue.edu" TargetMode="External" Id="rId489"/><Relationship Type="http://schemas.openxmlformats.org/officeDocument/2006/relationships/hyperlink" Target="https://insgc.spacegrant.org/" TargetMode="External" Id="rId490"/><Relationship Type="http://schemas.openxmlformats.org/officeDocument/2006/relationships/hyperlink" Target="https://engineering.purdue.edu/AAE/people/Faculty" TargetMode="External" Id="rId491"/><Relationship Type="http://schemas.openxmlformats.org/officeDocument/2006/relationships/hyperlink" Target="https://engineering.purdue.edu/ME/People/ptProfile?resource_id=57378" TargetMode="External" Id="rId492"/><Relationship Type="http://schemas.openxmlformats.org/officeDocument/2006/relationships/hyperlink" Target="https://scholar.google.com/citations?view_op=search_authors&amp;mauthors=Xinyan%20Deng%20Purdue%20University" TargetMode="External" Id="rId493"/><Relationship Type="http://schemas.openxmlformats.org/officeDocument/2006/relationships/hyperlink" Target="mailto:xdeng@purdue.edu" TargetMode="External" Id="rId494"/><Relationship Type="http://schemas.openxmlformats.org/officeDocument/2006/relationships/hyperlink" Target="http://engineering.purdue.edu/~xdeng/" TargetMode="External" Id="rId495"/><Relationship Type="http://schemas.openxmlformats.org/officeDocument/2006/relationships/hyperlink" Target="https://engineering.purdue.edu/ME/People/ptFaculty" TargetMode="External" Id="rId496"/><Relationship Type="http://schemas.openxmlformats.org/officeDocument/2006/relationships/hyperlink" Target="https://engineering.purdue.edu/ME/People/ptProfile?resource_id=273141" TargetMode="External" Id="rId497"/><Relationship Type="http://schemas.openxmlformats.org/officeDocument/2006/relationships/hyperlink" Target="https://scholar.google.com/citations?view_op=search_authors&amp;mauthors=Yan%20Gu%20Purdue%20University" TargetMode="External" Id="rId498"/><Relationship Type="http://schemas.openxmlformats.org/officeDocument/2006/relationships/hyperlink" Target="mailto:yangu@purdue.edu" TargetMode="External" Id="rId499"/><Relationship Type="http://schemas.openxmlformats.org/officeDocument/2006/relationships/hyperlink" Target="https://www.thetracelab.com/" TargetMode="External" Id="rId500"/><Relationship Type="http://schemas.openxmlformats.org/officeDocument/2006/relationships/hyperlink" Target="https://engineering.purdue.edu/ME/People/ptFaculty" TargetMode="External" Id="rId501"/><Relationship Type="http://schemas.openxmlformats.org/officeDocument/2006/relationships/hyperlink" Target="https://engineering.purdue.edu/ME/People/ptProfile?resource_id=92669" TargetMode="External" Id="rId502"/><Relationship Type="http://schemas.openxmlformats.org/officeDocument/2006/relationships/hyperlink" Target="https://scholar.google.com/citations?view_op=search_authors&amp;mauthors=David%20Cappelleri%20Purdue%20University" TargetMode="External" Id="rId503"/><Relationship Type="http://schemas.openxmlformats.org/officeDocument/2006/relationships/hyperlink" Target="mailto:dcappell@purdue.edu" TargetMode="External" Id="rId504"/><Relationship Type="http://schemas.openxmlformats.org/officeDocument/2006/relationships/hyperlink" Target="http://www.multiscalerobotics.org/" TargetMode="External" Id="rId505"/><Relationship Type="http://schemas.openxmlformats.org/officeDocument/2006/relationships/hyperlink" Target="https://engineering.purdue.edu/ME/People/ptFaculty" TargetMode="External" Id="rId506"/><Relationship Type="http://schemas.openxmlformats.org/officeDocument/2006/relationships/hyperlink" Target="https://engineering.purdue.edu/AAE/people/ptProfile?resource_id=270776" TargetMode="External" Id="rId507"/><Relationship Type="http://schemas.openxmlformats.org/officeDocument/2006/relationships/hyperlink" Target="https://scholar.google.com/citations?view_op=search_authors&amp;mauthors=Husheng%20Li%20Purdue%20University" TargetMode="External" Id="rId508"/><Relationship Type="http://schemas.openxmlformats.org/officeDocument/2006/relationships/hyperlink" Target="mailto:husheng@purdue.edu" TargetMode="External" Id="rId509"/><Relationship Type="http://schemas.openxmlformats.org/officeDocument/2006/relationships/hyperlink" Target="https://insgc.spacegrant.org/" TargetMode="External" Id="rId510"/><Relationship Type="http://schemas.openxmlformats.org/officeDocument/2006/relationships/hyperlink" Target="https://engineering.purdue.edu/AAE/people/Faculty" TargetMode="External" Id="rId511"/><Relationship Type="http://schemas.openxmlformats.org/officeDocument/2006/relationships/hyperlink" Target="https://engineering.purdue.edu/AAE/people/ptProfile?resource_id=50933" TargetMode="External" Id="rId512"/><Relationship Type="http://schemas.openxmlformats.org/officeDocument/2006/relationships/hyperlink" Target="https://scholar.google.com/citations?view_op=search_authors&amp;mauthors=Karen%20Marais%20Purdue%20University" TargetMode="External" Id="rId513"/><Relationship Type="http://schemas.openxmlformats.org/officeDocument/2006/relationships/hyperlink" Target="mailto:kmarais@purdue.edu" TargetMode="External" Id="rId514"/><Relationship Type="http://schemas.openxmlformats.org/officeDocument/2006/relationships/hyperlink" Target="https://insgc.spacegrant.org/" TargetMode="External" Id="rId515"/><Relationship Type="http://schemas.openxmlformats.org/officeDocument/2006/relationships/hyperlink" Target="https://engineering.purdue.edu/AAE/people/Faculty" TargetMode="External" Id="rId516"/><Relationship Type="http://schemas.openxmlformats.org/officeDocument/2006/relationships/hyperlink" Target="https://engineering.purdue.edu/ME/People/ptProfile?resource_id=241064" TargetMode="External" Id="rId517"/><Relationship Type="http://schemas.openxmlformats.org/officeDocument/2006/relationships/hyperlink" Target="https://scholar.google.com/citations?view_op=search_authors&amp;mauthors=Laura%20Blumenschein%20Purdue%20University" TargetMode="External" Id="rId518"/><Relationship Type="http://schemas.openxmlformats.org/officeDocument/2006/relationships/hyperlink" Target="mailto:lhblumen@purdue.edu" TargetMode="External" Id="rId519"/><Relationship Type="http://schemas.openxmlformats.org/officeDocument/2006/relationships/hyperlink" Target="https://lhblumen.wixsite.com/website-1" TargetMode="External" Id="rId520"/><Relationship Type="http://schemas.openxmlformats.org/officeDocument/2006/relationships/hyperlink" Target="https://engineering.purdue.edu/ME/People/ptFaculty" TargetMode="External" Id="rId521"/><Relationship Type="http://schemas.openxmlformats.org/officeDocument/2006/relationships/hyperlink" Target="https://engineering.purdue.edu/ME/People/ptProfile?resource_id=61666" TargetMode="External" Id="rId522"/><Relationship Type="http://schemas.openxmlformats.org/officeDocument/2006/relationships/hyperlink" Target="https://scholar.google.com/citations?view_op=search_authors&amp;mauthors=Andrea%20Vacca%20Purdue%20University" TargetMode="External" Id="rId523"/><Relationship Type="http://schemas.openxmlformats.org/officeDocument/2006/relationships/hyperlink" Target="mailto:avacca@purdue.edu" TargetMode="External" Id="rId524"/><Relationship Type="http://schemas.openxmlformats.org/officeDocument/2006/relationships/hyperlink" Target="https://engineering.purdue.edu/Maha" TargetMode="External" Id="rId525"/><Relationship Type="http://schemas.openxmlformats.org/officeDocument/2006/relationships/hyperlink" Target="https://engineering.purdue.edu/ME/People/ptFaculty" TargetMode="External" Id="rId526"/><Relationship Type="http://schemas.openxmlformats.org/officeDocument/2006/relationships/hyperlink" Target="https://engineering.purdue.edu/AAE/people/ptProfile?resource_id=1339" TargetMode="External" Id="rId527"/><Relationship Type="http://schemas.openxmlformats.org/officeDocument/2006/relationships/hyperlink" Target="https://scholar.google.com/citations?view_op=search_authors&amp;mauthors=Arthur%20E.%20Frazho%20Purdue%20University" TargetMode="External" Id="rId528"/><Relationship Type="http://schemas.openxmlformats.org/officeDocument/2006/relationships/hyperlink" Target="mailto:frazho@purdue.edu" TargetMode="External" Id="rId529"/><Relationship Type="http://schemas.openxmlformats.org/officeDocument/2006/relationships/hyperlink" Target="https://insgc.spacegrant.org/" TargetMode="External" Id="rId530"/><Relationship Type="http://schemas.openxmlformats.org/officeDocument/2006/relationships/hyperlink" Target="https://engineering.purdue.edu/AAE/people/Faculty" TargetMode="External" Id="rId531"/><Relationship Type="http://schemas.openxmlformats.org/officeDocument/2006/relationships/hyperlink" Target="https://engineering.purdue.edu/AAE/people/ptProfile?resource_id=132802" TargetMode="External" Id="rId532"/><Relationship Type="http://schemas.openxmlformats.org/officeDocument/2006/relationships/hyperlink" Target="https://scholar.google.com/citations?view_op=search_authors&amp;mauthors=Brandon%20Chynoweth%20Purdue%20University" TargetMode="External" Id="rId533"/><Relationship Type="http://schemas.openxmlformats.org/officeDocument/2006/relationships/hyperlink" Target="mailto:bchynowe@purdue.edu" TargetMode="External" Id="rId534"/><Relationship Type="http://schemas.openxmlformats.org/officeDocument/2006/relationships/hyperlink" Target="https://insgc.spacegrant.org/" TargetMode="External" Id="rId535"/><Relationship Type="http://schemas.openxmlformats.org/officeDocument/2006/relationships/hyperlink" Target="https://engineering.purdue.edu/AAE/people/Faculty" TargetMode="External" Id="rId536"/><Relationship Type="http://schemas.openxmlformats.org/officeDocument/2006/relationships/hyperlink" Target="https://engineering.purdue.edu/ME/People/ptProfile?resource_id=293356" TargetMode="External" Id="rId537"/><Relationship Type="http://schemas.openxmlformats.org/officeDocument/2006/relationships/hyperlink" Target="https://scholar.google.com/citations?view_op=search_authors&amp;mauthors=Daniel%20Williams%20Purdue%20University" TargetMode="External" Id="rId538"/><Relationship Type="http://schemas.openxmlformats.org/officeDocument/2006/relationships/hyperlink" Target="mailto:dewillia@purdue.edu" TargetMode="External" Id="rId539"/><Relationship Type="http://schemas.openxmlformats.org/officeDocument/2006/relationships/hyperlink" Target="https://insgc.spacegrant.org/" TargetMode="External" Id="rId540"/><Relationship Type="http://schemas.openxmlformats.org/officeDocument/2006/relationships/hyperlink" Target="https://engineering.purdue.edu/ME/People/ptFaculty" TargetMode="External" Id="rId541"/><Relationship Type="http://schemas.openxmlformats.org/officeDocument/2006/relationships/hyperlink" Target="https://engineering.purdue.edu/ME/People/ptProfile?resource_id=340479" TargetMode="External" Id="rId542"/><Relationship Type="http://schemas.openxmlformats.org/officeDocument/2006/relationships/hyperlink" Target="https://scholar.google.com/citations?view_op=search_authors&amp;mauthors=John%20Eric%20Goff%20Purdue%20University" TargetMode="External" Id="rId543"/><Relationship Type="http://schemas.openxmlformats.org/officeDocument/2006/relationships/hyperlink" Target="mailto:goffje@purdue.edu" TargetMode="External" Id="rId544"/><Relationship Type="http://schemas.openxmlformats.org/officeDocument/2006/relationships/hyperlink" Target="https://insgc.spacegrant.org/" TargetMode="External" Id="rId545"/><Relationship Type="http://schemas.openxmlformats.org/officeDocument/2006/relationships/hyperlink" Target="https://engineering.purdue.edu/ME/People/ptFaculty" TargetMode="External" Id="rId546"/><Relationship Type="http://schemas.openxmlformats.org/officeDocument/2006/relationships/hyperlink" Target="https://engineering.purdue.edu/AAE/people/ptProfile?resource_id=316433" TargetMode="External" Id="rId547"/><Relationship Type="http://schemas.openxmlformats.org/officeDocument/2006/relationships/hyperlink" Target="https://scholar.google.com/citations?view_op=search_authors&amp;mauthors=Kevin%20Parsons%20Purdue%20University" TargetMode="External" Id="rId548"/><Relationship Type="http://schemas.openxmlformats.org/officeDocument/2006/relationships/hyperlink" Target="mailto:kkparson@purdue.edu" TargetMode="External" Id="rId549"/><Relationship Type="http://schemas.openxmlformats.org/officeDocument/2006/relationships/hyperlink" Target="https://insgc.spacegrant.org/" TargetMode="External" Id="rId550"/><Relationship Type="http://schemas.openxmlformats.org/officeDocument/2006/relationships/hyperlink" Target="https://engineering.purdue.edu/AAE/people/Faculty" TargetMode="External" Id="rId551"/><Relationship Type="http://schemas.openxmlformats.org/officeDocument/2006/relationships/hyperlink" Target="https://engineering.purdue.edu/ME/People/ptProfile?resource_id=84937" TargetMode="External" Id="rId552"/><Relationship Type="http://schemas.openxmlformats.org/officeDocument/2006/relationships/hyperlink" Target="https://scholar.google.com/citations?view_op=search_authors&amp;mauthors=Lizhi%20Shang%20Purdue%20University" TargetMode="External" Id="rId553"/><Relationship Type="http://schemas.openxmlformats.org/officeDocument/2006/relationships/hyperlink" Target="mailto:shangl@purdue.edu" TargetMode="External" Id="rId554"/><Relationship Type="http://schemas.openxmlformats.org/officeDocument/2006/relationships/hyperlink" Target="https://engineering.purdue.edu/Maha" TargetMode="External" Id="rId555"/><Relationship Type="http://schemas.openxmlformats.org/officeDocument/2006/relationships/hyperlink" Target="https://engineering.purdue.edu/ME/People/ptFaculty" TargetMode="External" Id="rId556"/><Relationship Type="http://schemas.openxmlformats.org/officeDocument/2006/relationships/hyperlink" Target="https://engineering.purdue.edu/ME/People/ptProfile?resource_id=324781" TargetMode="External" Id="rId557"/><Relationship Type="http://schemas.openxmlformats.org/officeDocument/2006/relationships/hyperlink" Target="https://scholar.google.com/citations?view_op=search_authors&amp;mauthors=Mina%20Karimi%20Purdue%20University" TargetMode="External" Id="rId558"/><Relationship Type="http://schemas.openxmlformats.org/officeDocument/2006/relationships/hyperlink" Target="mailto:karimi2@purdue.edu" TargetMode="External" Id="rId559"/><Relationship Type="http://schemas.openxmlformats.org/officeDocument/2006/relationships/hyperlink" Target="https://engineering.purdue.edu/karimi" TargetMode="External" Id="rId560"/><Relationship Type="http://schemas.openxmlformats.org/officeDocument/2006/relationships/hyperlink" Target="https://engineering.purdue.edu/ME/People/ptFaculty" TargetMode="External" Id="rId561"/><Relationship Type="http://schemas.openxmlformats.org/officeDocument/2006/relationships/hyperlink" Target="https://engineering.purdue.edu/AAE/people/ptProfile?resource_id=308322" TargetMode="External" Id="rId562"/><Relationship Type="http://schemas.openxmlformats.org/officeDocument/2006/relationships/hyperlink" Target="https://scholar.google.com/citations?view_op=search_authors&amp;mauthors=Takashi%20Tanaka%20Purdue%20University" TargetMode="External" Id="rId563"/><Relationship Type="http://schemas.openxmlformats.org/officeDocument/2006/relationships/hyperlink" Target="mailto:webmaster-eng@purdue.edu" TargetMode="External" Id="rId564"/><Relationship Type="http://schemas.openxmlformats.org/officeDocument/2006/relationships/hyperlink" Target="https://insgc.spacegrant.org/" TargetMode="External" Id="rId565"/><Relationship Type="http://schemas.openxmlformats.org/officeDocument/2006/relationships/hyperlink" Target="https://engineering.purdue.edu/AAE/people/Faculty" TargetMode="External" Id="rId566"/><Relationship Type="http://schemas.openxmlformats.org/officeDocument/2006/relationships/hyperlink" Target="https://engineering.purdue.edu/AAE/people/ptProfile?resource_id=1305" TargetMode="External" Id="rId567"/><Relationship Type="http://schemas.openxmlformats.org/officeDocument/2006/relationships/hyperlink" Target="https://scholar.google.com/citations?view_op=search_authors&amp;mauthors=William%20Crossley%20Purdue%20University" TargetMode="External" Id="rId568"/><Relationship Type="http://schemas.openxmlformats.org/officeDocument/2006/relationships/hyperlink" Target="mailto:asherwo@purdue.edu" TargetMode="External" Id="rId569"/><Relationship Type="http://schemas.openxmlformats.org/officeDocument/2006/relationships/hyperlink" Target="https://insgc.spacegrant.org/" TargetMode="External" Id="rId570"/><Relationship Type="http://schemas.openxmlformats.org/officeDocument/2006/relationships/hyperlink" Target="https://engineering.purdue.edu/AAE/people/Faculty" TargetMode="External" Id="rId571"/><Relationship Type="http://schemas.openxmlformats.org/officeDocument/2006/relationships/hyperlink" Target="https://engineering.purdue.edu/AAE/people/ptProfile?resource_id=288723" TargetMode="External" Id="rId572"/><Relationship Type="http://schemas.openxmlformats.org/officeDocument/2006/relationships/hyperlink" Target="https://scholar.google.com/citations?view_op=search_authors&amp;mauthors=Andrea%20Capannolo%20Purdue%20University" TargetMode="External" Id="rId573"/><Relationship Type="http://schemas.openxmlformats.org/officeDocument/2006/relationships/hyperlink" Target="mailto:acapa@purdue.edu" TargetMode="External" Id="rId574"/><Relationship Type="http://schemas.openxmlformats.org/officeDocument/2006/relationships/hyperlink" Target="https://insgc.spacegrant.org/" TargetMode="External" Id="rId575"/><Relationship Type="http://schemas.openxmlformats.org/officeDocument/2006/relationships/hyperlink" Target="https://engineering.purdue.edu/AAE/people/Faculty" TargetMode="External" Id="rId576"/><Relationship Type="http://schemas.openxmlformats.org/officeDocument/2006/relationships/hyperlink" Target="https://engineering.purdue.edu/ME/People/ptProfile?resource_id=282232" TargetMode="External" Id="rId577"/><Relationship Type="http://schemas.openxmlformats.org/officeDocument/2006/relationships/hyperlink" Target="https://scholar.google.com/citations?view_op=search_authors&amp;mauthors=Bairav%20Sabarish%20Vishnugopi%20Purdue%20University" TargetMode="External" Id="rId578"/><Relationship Type="http://schemas.openxmlformats.org/officeDocument/2006/relationships/hyperlink" Target="mailto:bvishnug@purdue.edu" TargetMode="External" Id="rId579"/><Relationship Type="http://schemas.openxmlformats.org/officeDocument/2006/relationships/hyperlink" Target="https://insgc.spacegrant.org/" TargetMode="External" Id="rId580"/><Relationship Type="http://schemas.openxmlformats.org/officeDocument/2006/relationships/hyperlink" Target="https://engineering.purdue.edu/ME/People/ptFaculty" TargetMode="External" Id="rId581"/><Relationship Type="http://schemas.openxmlformats.org/officeDocument/2006/relationships/hyperlink" Target="https://engineering.purdue.edu/IE/people/ptProfile?resource_id=5732" TargetMode="External" Id="rId582"/><Relationship Type="http://schemas.openxmlformats.org/officeDocument/2006/relationships/hyperlink" Target="https://scholar.google.com/citations?view_op=search_authors&amp;mauthors=Barrett%20Caldwell%20Purdue%20University" TargetMode="External" Id="rId583"/><Relationship Type="http://schemas.openxmlformats.org/officeDocument/2006/relationships/hyperlink" Target="mailto:bscaldwell@purdue.edu" TargetMode="External" Id="rId584"/><Relationship Type="http://schemas.openxmlformats.org/officeDocument/2006/relationships/hyperlink" Target="https://insgc.spacegrant.org/" TargetMode="External" Id="rId585"/><Relationship Type="http://schemas.openxmlformats.org/officeDocument/2006/relationships/hyperlink" Target="https://engineering.purdue.edu/AAE/people/Faculty" TargetMode="External" Id="rId586"/><Relationship Type="http://schemas.openxmlformats.org/officeDocument/2006/relationships/hyperlink" Target="https://engineering.purdue.edu/AAE/people/ptProfile?resource_id=27430" TargetMode="External" Id="rId587"/><Relationship Type="http://schemas.openxmlformats.org/officeDocument/2006/relationships/hyperlink" Target="https://scholar.google.com/citations?view_op=search_authors&amp;mauthors=Beth%20Moses%20Purdue%20University" TargetMode="External" Id="rId588"/><Relationship Type="http://schemas.openxmlformats.org/officeDocument/2006/relationships/hyperlink" Target="mailto:stubbing@purdue.edu" TargetMode="External" Id="rId589"/><Relationship Type="http://schemas.openxmlformats.org/officeDocument/2006/relationships/hyperlink" Target="https://insgc.spacegrant.org/" TargetMode="External" Id="rId590"/><Relationship Type="http://schemas.openxmlformats.org/officeDocument/2006/relationships/hyperlink" Target="https://engineering.purdue.edu/AAE/people/Faculty" TargetMode="External" Id="rId591"/><Relationship Type="http://schemas.openxmlformats.org/officeDocument/2006/relationships/hyperlink" Target="https://engineering.purdue.edu/ME/People/ptProfile?resource_id=319733" TargetMode="External" Id="rId592"/><Relationship Type="http://schemas.openxmlformats.org/officeDocument/2006/relationships/hyperlink" Target="https://scholar.google.com/citations?view_op=search_authors&amp;mauthors=Bradley%20Geswein%20Purdue%20University" TargetMode="External" Id="rId593"/><Relationship Type="http://schemas.openxmlformats.org/officeDocument/2006/relationships/hyperlink" Target="mailto:webmaster-eng@purdue.edu" TargetMode="External" Id="rId594"/><Relationship Type="http://schemas.openxmlformats.org/officeDocument/2006/relationships/hyperlink" Target="https://insgc.spacegrant.org/" TargetMode="External" Id="rId595"/><Relationship Type="http://schemas.openxmlformats.org/officeDocument/2006/relationships/hyperlink" Target="https://engineering.purdue.edu/ME/People/ptFaculty" TargetMode="External" Id="rId596"/><Relationship Type="http://schemas.openxmlformats.org/officeDocument/2006/relationships/hyperlink" Target="https://engineering.purdue.edu/ME/People/ptProfile?resource_id=294643" TargetMode="External" Id="rId597"/><Relationship Type="http://schemas.openxmlformats.org/officeDocument/2006/relationships/hyperlink" Target="https://scholar.google.com/citations?view_op=search_authors&amp;mauthors=Christopher%20Finch%20Purdue%20University" TargetMode="External" Id="rId598"/><Relationship Type="http://schemas.openxmlformats.org/officeDocument/2006/relationships/hyperlink" Target="mailto:finch21@purdue.edu" TargetMode="External" Id="rId599"/><Relationship Type="http://schemas.openxmlformats.org/officeDocument/2006/relationships/hyperlink" Target="https://insgc.spacegrant.org/" TargetMode="External" Id="rId600"/><Relationship Type="http://schemas.openxmlformats.org/officeDocument/2006/relationships/hyperlink" Target="https://engineering.purdue.edu/ME/People/ptFaculty" TargetMode="External" Id="rId601"/><Relationship Type="http://schemas.openxmlformats.org/officeDocument/2006/relationships/hyperlink" Target="https://engineering.purdue.edu/AAE/people/ptProfile?resource_id=109597" TargetMode="External" Id="rId602"/><Relationship Type="http://schemas.openxmlformats.org/officeDocument/2006/relationships/hyperlink" Target="https://scholar.google.com/citations?view_op=search_authors&amp;mauthors=Daniel%20Dumbacher%20Purdue%20University" TargetMode="External" Id="rId603"/><Relationship Type="http://schemas.openxmlformats.org/officeDocument/2006/relationships/hyperlink" Target="mailto:dan-dumbacher@purdue.edu" TargetMode="External" Id="rId604"/><Relationship Type="http://schemas.openxmlformats.org/officeDocument/2006/relationships/hyperlink" Target="https://insgc.spacegrant.org/" TargetMode="External" Id="rId605"/><Relationship Type="http://schemas.openxmlformats.org/officeDocument/2006/relationships/hyperlink" Target="https://engineering.purdue.edu/AAE/people/Faculty" TargetMode="External" Id="rId606"/><Relationship Type="http://schemas.openxmlformats.org/officeDocument/2006/relationships/hyperlink" Target="https://engineering.purdue.edu/ME/People/ptProfile?resource_id=2976" TargetMode="External" Id="rId607"/><Relationship Type="http://schemas.openxmlformats.org/officeDocument/2006/relationships/hyperlink" Target="https://scholar.google.com/citations?view_op=search_authors&amp;mauthors=E.%20Daniel%20Hirleman%20Purdue%20University" TargetMode="External" Id="rId608"/><Relationship Type="http://schemas.openxmlformats.org/officeDocument/2006/relationships/hyperlink" Target="mailto:hirleman@purdue.edu" TargetMode="External" Id="rId609"/><Relationship Type="http://schemas.openxmlformats.org/officeDocument/2006/relationships/hyperlink" Target="https://insgc.spacegrant.org/" TargetMode="External" Id="rId610"/><Relationship Type="http://schemas.openxmlformats.org/officeDocument/2006/relationships/hyperlink" Target="https://engineering.purdue.edu/ME/People/ptFaculty" TargetMode="External" Id="rId611"/><Relationship Type="http://schemas.openxmlformats.org/officeDocument/2006/relationships/hyperlink" Target="https://engineering.purdue.edu/ME/People/ptProfile?resource_id=114677" TargetMode="External" Id="rId612"/><Relationship Type="http://schemas.openxmlformats.org/officeDocument/2006/relationships/hyperlink" Target="https://scholar.google.com/citations?view_op=search_authors&amp;mauthors=Ibrahim%20Gunduz%20Purdue%20University" TargetMode="External" Id="rId613"/><Relationship Type="http://schemas.openxmlformats.org/officeDocument/2006/relationships/hyperlink" Target="mailto:igunduz@purdue.edu" TargetMode="External" Id="rId614"/><Relationship Type="http://schemas.openxmlformats.org/officeDocument/2006/relationships/hyperlink" Target="https://insgc.spacegrant.org/" TargetMode="External" Id="rId615"/><Relationship Type="http://schemas.openxmlformats.org/officeDocument/2006/relationships/hyperlink" Target="https://engineering.purdue.edu/ME/People/ptFaculty" TargetMode="External" Id="rId616"/><Relationship Type="http://schemas.openxmlformats.org/officeDocument/2006/relationships/hyperlink" Target="https://engineering.purdue.edu/ME/People/ptProfile?resource_id=29296" TargetMode="External" Id="rId617"/><Relationship Type="http://schemas.openxmlformats.org/officeDocument/2006/relationships/hyperlink" Target="https://scholar.google.com/citations?view_op=search_authors&amp;mauthors=Issam%20Mudawar%20Purdue%20University" TargetMode="External" Id="rId618"/><Relationship Type="http://schemas.openxmlformats.org/officeDocument/2006/relationships/hyperlink" Target="https://engineering.purdue.edu/ME/People/ptFaculty" TargetMode="External" Id="rId619"/><Relationship Type="http://schemas.openxmlformats.org/officeDocument/2006/relationships/hyperlink" Target="https://engineering.purdue.edu/AAE/people/ptProfile?resource_id=37293" TargetMode="External" Id="rId620"/><Relationship Type="http://schemas.openxmlformats.org/officeDocument/2006/relationships/hyperlink" Target="https://scholar.google.com/citations?view_op=search_authors&amp;mauthors=James%20Goppert%20Purdue%20University" TargetMode="External" Id="rId621"/><Relationship Type="http://schemas.openxmlformats.org/officeDocument/2006/relationships/hyperlink" Target="mailto:jgoppert@purdue.edu" TargetMode="External" Id="rId622"/><Relationship Type="http://schemas.openxmlformats.org/officeDocument/2006/relationships/hyperlink" Target="https://insgc.spacegrant.org/" TargetMode="External" Id="rId623"/><Relationship Type="http://schemas.openxmlformats.org/officeDocument/2006/relationships/hyperlink" Target="https://engineering.purdue.edu/AAE/people/Faculty" TargetMode="External" Id="rId624"/><Relationship Type="http://schemas.openxmlformats.org/officeDocument/2006/relationships/hyperlink" Target="https://engineering.purdue.edu/AAE/people/ptProfile?resource_id=1410" TargetMode="External" Id="rId625"/><Relationship Type="http://schemas.openxmlformats.org/officeDocument/2006/relationships/hyperlink" Target="https://scholar.google.com/citations?view_op=search_authors&amp;mauthors=Martin%20Corless%20Purdue%20University" TargetMode="External" Id="rId626"/><Relationship Type="http://schemas.openxmlformats.org/officeDocument/2006/relationships/hyperlink" Target="https://engineering.purdue.edu/AAE/people/Faculty" TargetMode="External" Id="rId627"/><Relationship Type="http://schemas.openxmlformats.org/officeDocument/2006/relationships/hyperlink" Target="https://engineering.purdue.edu/ME/People/ptProfile?resource_id=224646" TargetMode="External" Id="rId628"/><Relationship Type="http://schemas.openxmlformats.org/officeDocument/2006/relationships/hyperlink" Target="https://scholar.google.com/citations?view_op=search_authors&amp;mauthors=Metin%20Ornek%20Purdue%20University" TargetMode="External" Id="rId629"/><Relationship Type="http://schemas.openxmlformats.org/officeDocument/2006/relationships/hyperlink" Target="mailto:mornek@purdue.edu" TargetMode="External" Id="rId630"/><Relationship Type="http://schemas.openxmlformats.org/officeDocument/2006/relationships/hyperlink" Target="https://insgc.spacegrant.org/" TargetMode="External" Id="rId631"/><Relationship Type="http://schemas.openxmlformats.org/officeDocument/2006/relationships/hyperlink" Target="https://engineering.purdue.edu/ME/People/ptFaculty" TargetMode="External" Id="rId632"/><Relationship Type="http://schemas.openxmlformats.org/officeDocument/2006/relationships/hyperlink" Target="https://engineering.purdue.edu/ME/People/ptProfile?resource_id=256663" TargetMode="External" Id="rId633"/><Relationship Type="http://schemas.openxmlformats.org/officeDocument/2006/relationships/hyperlink" Target="https://scholar.google.com/citations?view_op=search_authors&amp;mauthors=Michael%20Sealy%20Purdue%20University" TargetMode="External" Id="rId634"/><Relationship Type="http://schemas.openxmlformats.org/officeDocument/2006/relationships/hyperlink" Target="mailto:msealy@purdue.edu" TargetMode="External" Id="rId635"/><Relationship Type="http://schemas.openxmlformats.org/officeDocument/2006/relationships/hyperlink" Target="https://engineering.purdue.edu/PART" TargetMode="External" Id="rId636"/><Relationship Type="http://schemas.openxmlformats.org/officeDocument/2006/relationships/hyperlink" Target="https://engineering.purdue.edu/ME/People/ptFaculty" TargetMode="External" Id="rId637"/><Relationship Type="http://schemas.openxmlformats.org/officeDocument/2006/relationships/hyperlink" Target="https://engineering.purdue.edu/ME/People/ptProfile?resource_id=133408" TargetMode="External" Id="rId638"/><Relationship Type="http://schemas.openxmlformats.org/officeDocument/2006/relationships/hyperlink" Target="https://scholar.google.com/citations?view_op=search_authors&amp;mauthors=Mikhail%20Slipchenko%20Purdue%20University" TargetMode="External" Id="rId639"/><Relationship Type="http://schemas.openxmlformats.org/officeDocument/2006/relationships/hyperlink" Target="mailto:mslipche@purdue.edu" TargetMode="External" Id="rId640"/><Relationship Type="http://schemas.openxmlformats.org/officeDocument/2006/relationships/hyperlink" Target="https://insgc.spacegrant.org/" TargetMode="External" Id="rId641"/><Relationship Type="http://schemas.openxmlformats.org/officeDocument/2006/relationships/hyperlink" Target="https://engineering.purdue.edu/ME/People/ptFaculty" TargetMode="External" Id="rId642"/><Relationship Type="http://schemas.openxmlformats.org/officeDocument/2006/relationships/hyperlink" Target="https://engineering.purdue.edu/AAE/people/ptProfile?resource_id=310087" TargetMode="External" Id="rId643"/><Relationship Type="http://schemas.openxmlformats.org/officeDocument/2006/relationships/hyperlink" Target="https://scholar.google.com/citations?view_op=search_authors&amp;mauthors=R.%20Bruce%20Alstrom%20Purdue%20University" TargetMode="External" Id="rId644"/><Relationship Type="http://schemas.openxmlformats.org/officeDocument/2006/relationships/hyperlink" Target="mailto:webmaster-eng@purdue.edu" TargetMode="External" Id="rId645"/><Relationship Type="http://schemas.openxmlformats.org/officeDocument/2006/relationships/hyperlink" Target="https://insgc.spacegrant.org/" TargetMode="External" Id="rId646"/><Relationship Type="http://schemas.openxmlformats.org/officeDocument/2006/relationships/hyperlink" Target="https://engineering.purdue.edu/AAE/people/Faculty" TargetMode="External" Id="rId647"/><Relationship Type="http://schemas.openxmlformats.org/officeDocument/2006/relationships/hyperlink" Target="https://engineering.purdue.edu/ME/People/ptProfile?resource_id=51789" TargetMode="External" Id="rId648"/><Relationship Type="http://schemas.openxmlformats.org/officeDocument/2006/relationships/hyperlink" Target="https://scholar.google.com/citations?view_op=search_authors&amp;mauthors=Richard%20Buckius%20Purdue%20University" TargetMode="External" Id="rId649"/><Relationship Type="http://schemas.openxmlformats.org/officeDocument/2006/relationships/hyperlink" Target="mailto:rbuckius@purdue.edu" TargetMode="External" Id="rId650"/><Relationship Type="http://schemas.openxmlformats.org/officeDocument/2006/relationships/hyperlink" Target="https://insgc.spacegrant.org/" TargetMode="External" Id="rId651"/><Relationship Type="http://schemas.openxmlformats.org/officeDocument/2006/relationships/hyperlink" Target="https://engineering.purdue.edu/ME/People/ptFaculty" TargetMode="External" Id="rId652"/><Relationship Type="http://schemas.openxmlformats.org/officeDocument/2006/relationships/hyperlink" Target="https://engineering.purdue.edu/AAE/people/ptProfile?resource_id=323130" TargetMode="External" Id="rId653"/><Relationship Type="http://schemas.openxmlformats.org/officeDocument/2006/relationships/hyperlink" Target="https://scholar.google.com/citations?view_op=search_authors&amp;mauthors=Ryan%20Houim%20Purdue%20University" TargetMode="External" Id="rId654"/><Relationship Type="http://schemas.openxmlformats.org/officeDocument/2006/relationships/hyperlink" Target="mailto:webmaster-eng@purdue.edu" TargetMode="External" Id="rId655"/><Relationship Type="http://schemas.openxmlformats.org/officeDocument/2006/relationships/hyperlink" Target="https://insgc.spacegrant.org/" TargetMode="External" Id="rId656"/><Relationship Type="http://schemas.openxmlformats.org/officeDocument/2006/relationships/hyperlink" Target="https://engineering.purdue.edu/AAE/people/Faculty" TargetMode="External" Id="rId657"/><Relationship Type="http://schemas.openxmlformats.org/officeDocument/2006/relationships/hyperlink" Target="https://engineering.purdue.edu/ME/People/ptProfile?resource_id=263773" TargetMode="External" Id="rId658"/><Relationship Type="http://schemas.openxmlformats.org/officeDocument/2006/relationships/hyperlink" Target="https://scholar.google.com/citations?view_op=search_authors&amp;mauthors=Salil%20Bapat%20Purdue%20University" TargetMode="External" Id="rId659"/><Relationship Type="http://schemas.openxmlformats.org/officeDocument/2006/relationships/hyperlink" Target="mailto:bapat0@purdue.edu" TargetMode="External" Id="rId660"/><Relationship Type="http://schemas.openxmlformats.org/officeDocument/2006/relationships/hyperlink" Target="https://insgc.spacegrant.org/" TargetMode="External" Id="rId661"/><Relationship Type="http://schemas.openxmlformats.org/officeDocument/2006/relationships/hyperlink" Target="https://engineering.purdue.edu/ME/People/ptFaculty" TargetMode="External" Id="rId662"/><Relationship Type="http://schemas.openxmlformats.org/officeDocument/2006/relationships/hyperlink" Target="https://engineering.purdue.edu/ME/People/ptProfile?resource_id=340763" TargetMode="External" Id="rId663"/><Relationship Type="http://schemas.openxmlformats.org/officeDocument/2006/relationships/hyperlink" Target="https://scholar.google.com/citations?view_op=search_authors&amp;mauthors=Scott%20Michaels%20Purdue%20University" TargetMode="External" Id="rId664"/><Relationship Type="http://schemas.openxmlformats.org/officeDocument/2006/relationships/hyperlink" Target="mailto:micha172@purdue.edu" TargetMode="External" Id="rId665"/><Relationship Type="http://schemas.openxmlformats.org/officeDocument/2006/relationships/hyperlink" Target="https://insgc.spacegrant.org/" TargetMode="External" Id="rId666"/><Relationship Type="http://schemas.openxmlformats.org/officeDocument/2006/relationships/hyperlink" Target="https://engineering.purdue.edu/ME/People/ptFaculty" TargetMode="External" Id="rId667"/><Relationship Type="http://schemas.openxmlformats.org/officeDocument/2006/relationships/hyperlink" Target="https://engineering.purdue.edu/CE/People/ptProfile?resource_id=46102" TargetMode="External" Id="rId668"/><Relationship Type="http://schemas.openxmlformats.org/officeDocument/2006/relationships/hyperlink" Target="https://scholar.google.com/citations?user=GhghoIEAAAAJ&amp;hl=en" TargetMode="External" Id="rId669"/><Relationship Type="http://schemas.openxmlformats.org/officeDocument/2006/relationships/hyperlink" Target="mailto:ttzempel@purdue.edu" TargetMode="External" Id="rId670"/><Relationship Type="http://schemas.openxmlformats.org/officeDocument/2006/relationships/hyperlink" Target="https://insgc.spacegrant.org/" TargetMode="External" Id="rId671"/><Relationship Type="http://schemas.openxmlformats.org/officeDocument/2006/relationships/hyperlink" Target="https://engineering.purdue.edu/ME/People/ptFaculty" TargetMode="External" Id="rId672"/><Relationship Type="http://schemas.openxmlformats.org/officeDocument/2006/relationships/hyperlink" Target="https://engineering.purdue.edu/AAE/people/ptProfile?resource_id=292476" TargetMode="External" Id="rId673"/><Relationship Type="http://schemas.openxmlformats.org/officeDocument/2006/relationships/hyperlink" Target="https://scholar.google.com/citations?view_op=search_authors&amp;mauthors=Thiago%20Augusto%20Machado%20Guimaraes%20Purdue%20University" TargetMode="External" Id="rId674"/><Relationship Type="http://schemas.openxmlformats.org/officeDocument/2006/relationships/hyperlink" Target="mailto:tguimara@purdue.edu" TargetMode="External" Id="rId675"/><Relationship Type="http://schemas.openxmlformats.org/officeDocument/2006/relationships/hyperlink" Target="https://insgc.spacegrant.org/" TargetMode="External" Id="rId676"/><Relationship Type="http://schemas.openxmlformats.org/officeDocument/2006/relationships/hyperlink" Target="https://engineering.purdue.edu/AAE/people/Faculty" TargetMode="External" Id="rId677"/><Relationship Type="http://schemas.openxmlformats.org/officeDocument/2006/relationships/hyperlink" Target="https://engineering.purdue.edu/CE/People/ptProfile?resource_id=51282" TargetMode="External" Id="rId678"/><Relationship Type="http://schemas.openxmlformats.org/officeDocument/2006/relationships/hyperlink" Target="https://scholar.google.com/citations?view_op=search_authors&amp;mauthors=William%20Travis%20Horton%20Purdue%20University" TargetMode="External" Id="rId679"/><Relationship Type="http://schemas.openxmlformats.org/officeDocument/2006/relationships/hyperlink" Target="mailto:wthorton@purdue.edu" TargetMode="External" Id="rId680"/><Relationship Type="http://schemas.openxmlformats.org/officeDocument/2006/relationships/hyperlink" Target="https://insgc.spacegrant.org/" TargetMode="External" Id="rId681"/><Relationship Type="http://schemas.openxmlformats.org/officeDocument/2006/relationships/hyperlink" Target="https://engineering.purdue.edu/ME/People/ptFaculty" TargetMode="External" Id="rId682"/><Relationship Type="http://schemas.openxmlformats.org/officeDocument/2006/relationships/hyperlink" Target="https://engineering.purdue.edu/ME/People/ptProfile?resource_id=297462" TargetMode="External" Id="rId683"/><Relationship Type="http://schemas.openxmlformats.org/officeDocument/2006/relationships/hyperlink" Target="https://scholar.google.com/citations?view_op=search_authors&amp;mauthors=Xiaoping%20Du%20Purdue%20University" TargetMode="External" Id="rId684"/><Relationship Type="http://schemas.openxmlformats.org/officeDocument/2006/relationships/hyperlink" Target="mailto:duxp@purdue.edu" TargetMode="External" Id="rId685"/><Relationship Type="http://schemas.openxmlformats.org/officeDocument/2006/relationships/hyperlink" Target="https://duxxiaoping-coder.github.io/xiaoping-du-website" TargetMode="External" Id="rId686"/><Relationship Type="http://schemas.openxmlformats.org/officeDocument/2006/relationships/hyperlink" Target="https://engineering.purdue.edu/ME/People/ptFaculty" TargetMode="External" Id="rId687"/></Relationships>
</file>

<file path=xl/worksheets/sheet1.xml><?xml version="1.0" encoding="utf-8"?>
<worksheet xmlns="http://schemas.openxmlformats.org/spreadsheetml/2006/main">
  <sheetPr>
    <outlinePr summaryBelow="1" summaryRight="1"/>
    <pageSetUpPr/>
  </sheetPr>
  <dimension ref="A1:AM38"/>
  <sheetViews>
    <sheetView showGridLines="1" workbookViewId="0">
      <pane ySplit="1" topLeftCell="A2" activePane="bottomLeft" state="frozen"/>
      <selection pane="bottomLeft" activeCell="A1" sqref="A1"/>
    </sheetView>
  </sheetViews>
  <sheetFormatPr baseColWidth="8" defaultRowHeight="15"/>
  <cols>
    <col width="25" customWidth="1" min="1" max="1"/>
    <col width="20" customWidth="1" min="2" max="2"/>
    <col width="48" customWidth="1" min="3" max="3"/>
    <col width="31" customWidth="1" min="4" max="4"/>
    <col width="55" customWidth="1" min="5" max="5"/>
    <col width="31" customWidth="1" min="6" max="6"/>
    <col width="15" customWidth="1" min="7" max="7"/>
    <col width="48" customWidth="1" min="8" max="8"/>
    <col width="16" customWidth="1" min="9" max="9"/>
    <col width="44" customWidth="1" min="10" max="10"/>
    <col width="16" customWidth="1" min="11" max="11"/>
    <col width="55" customWidth="1" min="12" max="12"/>
    <col width="22" customWidth="1" min="13" max="13"/>
    <col width="14" customWidth="1" min="14" max="14"/>
    <col width="19" customWidth="1" min="15" max="15"/>
    <col width="16" customWidth="1" min="16" max="16"/>
    <col width="29" customWidth="1" min="17" max="17"/>
    <col width="55" customWidth="1" min="18" max="18"/>
    <col width="55" customWidth="1" min="19" max="19"/>
    <col width="17"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48" customWidth="1" min="30" max="30"/>
    <col width="55" customWidth="1" min="31" max="31"/>
    <col width="32" customWidth="1" min="32" max="32"/>
    <col width="29" customWidth="1" min="33" max="33"/>
    <col width="19" customWidth="1" min="34" max="34"/>
    <col width="48" customWidth="1" min="35" max="35"/>
    <col width="29" customWidth="1" min="36" max="36"/>
    <col width="53" customWidth="1" min="37" max="37"/>
    <col width="17" customWidth="1" min="38" max="38"/>
    <col width="48" customWidth="1" min="39" max="39"/>
  </cols>
  <sheetData>
    <row r="1" ht="28" customHeight="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Flagship Paper Hook</t>
        </is>
      </c>
      <c r="N1" s="1" t="inlineStr">
        <is>
          <t>Tech Stack</t>
        </is>
      </c>
      <c r="O1" s="1" t="inlineStr">
        <is>
          <t>Physical Finding</t>
        </is>
      </c>
      <c r="P1" s="1" t="inlineStr">
        <is>
          <t>Research Hook</t>
        </is>
      </c>
      <c r="Q1" s="1" t="inlineStr">
        <is>
          <t>Latest Paper / Publication</t>
        </is>
      </c>
      <c r="R1" s="1" t="inlineStr">
        <is>
          <t>Recent Papers (2024-2026)</t>
        </is>
      </c>
      <c r="S1" s="1" t="inlineStr">
        <is>
          <t>Top Cited Papers</t>
        </is>
      </c>
      <c r="T1" s="1" t="inlineStr">
        <is>
          <t>Courses Taught</t>
        </is>
      </c>
      <c r="U1" s="1" t="inlineStr">
        <is>
          <t>Recent Awards / Honors</t>
        </is>
      </c>
      <c r="V1" s="1" t="inlineStr">
        <is>
          <t>Cold Email / Application Instructions</t>
        </is>
      </c>
      <c r="W1" s="1" t="inlineStr">
        <is>
          <t>OpenAlex Research Topics</t>
        </is>
      </c>
      <c r="X1" s="1" t="inlineStr">
        <is>
          <t>Google Scholar Tags</t>
        </is>
      </c>
      <c r="Y1" s="1" t="inlineStr">
        <is>
          <t>Research Interests</t>
        </is>
      </c>
      <c r="Z1" s="1" t="inlineStr">
        <is>
          <t>Expertise Areas</t>
        </is>
      </c>
      <c r="AA1" s="1" t="inlineStr">
        <is>
          <t>Research / Bio Summary</t>
        </is>
      </c>
      <c r="AB1" s="1" t="inlineStr">
        <is>
          <t>Education / Degrees</t>
        </is>
      </c>
      <c r="AC1" s="1" t="inlineStr">
        <is>
          <t>Lab / Research Group Name</t>
        </is>
      </c>
      <c r="AD1" s="1" t="inlineStr">
        <is>
          <t>Lab / Personal Website</t>
        </is>
      </c>
      <c r="AE1" s="1" t="inlineStr">
        <is>
          <t>Actively Hiring / Openings</t>
        </is>
      </c>
      <c r="AF1" s="1" t="inlineStr">
        <is>
          <t>Target Skills / Prerequisites</t>
        </is>
      </c>
      <c r="AG1" s="1" t="inlineStr">
        <is>
          <t>Lab Facilities &amp; Equipment</t>
        </is>
      </c>
      <c r="AH1" s="1" t="inlineStr">
        <is>
          <t>Funding Sponsors</t>
        </is>
      </c>
      <c r="AI1" s="1" t="inlineStr">
        <is>
          <t>Software / Code Repo</t>
        </is>
      </c>
      <c r="AJ1" s="1" t="inlineStr">
        <is>
          <t>Latest Project / Highlight</t>
        </is>
      </c>
      <c r="AK1" s="1" t="inlineStr">
        <is>
          <t>Office Location</t>
        </is>
      </c>
      <c r="AL1" s="1" t="inlineStr">
        <is>
          <t>Is Field Match</t>
        </is>
      </c>
      <c r="AM1" s="1" t="inlineStr">
        <is>
          <t>Directory URL</t>
        </is>
      </c>
    </row>
    <row r="2">
      <c r="A2" s="2" t="inlineStr">
        <is>
          <t>Gregory A. Blaisdell</t>
        </is>
      </c>
      <c r="B2" s="2" t="inlineStr">
        <is>
          <t>Purdue University</t>
        </is>
      </c>
      <c r="C2" s="3">
        <f>HYPERLINK("https://engineering.purdue.edu/AAE/people/ptProfile?resource_id=1377", "https://engineering.purdue.edu/AAE/people/ptProfile?resource_id=1377")</f>
        <v/>
      </c>
      <c r="D2" s="3">
        <f>HYPERLINK("https://scholar.google.com/citations?view_op=search_authors&amp;mauthors=Gregory%20A.%20Blaisdell%20Purdue%20University", "Google Scholar Search")</f>
        <v/>
      </c>
      <c r="E2" s="2" t="inlineStr">
        <is>
          <t>Professor</t>
        </is>
      </c>
      <c r="F2" s="2" t="inlineStr">
        <is>
          <t>Aeronautics and Astronautics</t>
        </is>
      </c>
      <c r="G2" s="2" t="inlineStr"/>
      <c r="H2" s="3">
        <f>HYPERLINK("mailto:blaisdel@purdue.edu", "blaisdel@purdue.edu")</f>
        <v/>
      </c>
      <c r="I2" s="2" t="n">
        <v>1</v>
      </c>
      <c r="J2" s="2" t="inlineStr">
        <is>
          <t>🔵 Tier 1: Core Aero / Fluids / Propulsion</t>
        </is>
      </c>
      <c r="K2" s="2" t="n">
        <v>13</v>
      </c>
      <c r="L2" s="2" t="inlineStr">
        <is>
          <t>boundary layer, cfd, combustion, computational fluid dynamics, direct numerical simulation, dns, fluid dynamics, fluid mechanics, heat transfer, les, numerical methods, turbulence, turbulent</t>
        </is>
      </c>
      <c r="M2" s="2" t="inlineStr"/>
      <c r="N2" s="2" t="inlineStr"/>
      <c r="O2" s="2" t="inlineStr"/>
      <c r="P2" s="2" t="inlineStr"/>
      <c r="Q2" s="2" t="inlineStr"/>
      <c r="R2" s="2" t="inlineStr">
        <is>
          <t>"Performance Analysis of an Unsteady Ejector Driven by Exhaust Conditions of a Rotating Detonation Engine (RDE)" (2026) [DOI: https://doi.org/10.2514/6.2026-1976] | "Large-Eddy Simulation of an Axisymmetric Shock-Wave/Boundary-Layer Interaction at Mach 2.5" (2026) [DOI: https://doi.org/10.2514/6.2026-2519] | "Time Resolved BOS Velocimetry of Synthetic Raytraced Images of a Low Speed Mixing Flow" (2026) [DOI: https://doi.org/10.2514/6.2026-2293]</t>
        </is>
      </c>
      <c r="S2" s="2" t="inlineStr">
        <is>
          <t>"The effect of the formulation of nonlinear terms on aliasing errors in spectral methods" [Applied Numerical Mathematics] (1996, 183 cites) [DOI: https://doi.org/10.1016/0168-9274(96)00005-0] | "Compressibility effects on the growth and structure of homogeneous turbulent shear flow" [Journal of Fluid Mechanics] (1993, 179 cites) [DOI: https://doi.org/10.1017/s0022112093002848] | "Overview of Turbulent Inflow Boundary Conditions for Large-Eddy Simulations" [AIAA Journal] (2017, 173 cites) [DOI: https://doi.org/10.2514/1.j055528]</t>
        </is>
      </c>
      <c r="T2" s="2" t="inlineStr"/>
      <c r="U2" s="2" t="inlineStr">
        <is>
          <t>NASA-ASEE Summer Faculty Fellowship, 1995-1996 W. A. Gustafson Teaching Award, Fall 1997, Fall 2014</t>
        </is>
      </c>
      <c r="V2" s="2" t="inlineStr"/>
      <c r="W2" s="2" t="inlineStr">
        <is>
          <t>Fluid Dynamics and Turbulent Flows (109) | Computational Fluid Dynamics and Aerodynamics (74) | Aerodynamics and Acoustics in Jet Flows (71)</t>
        </is>
      </c>
      <c r="X2" s="2" t="inlineStr">
        <is>
          <t>Fluid Dynamics and Turbulent Flows (109) | Computational Fluid Dynamics and Aerodynamics (74) | Aerodynamics and Acoustics in Jet Flows (71)</t>
        </is>
      </c>
      <c r="Y2" s="2" t="inlineStr">
        <is>
          <t>Computational fluid mechanics Transition and turbulence</t>
        </is>
      </c>
      <c r="Z2" s="2" t="inlineStr">
        <is>
          <t>Current research interests involve the study of transitional and turbulent fluid flows using computational fluid dynamics (CFD) as an investigative tool.  Most flows of engineering interest are turbulent and turbulence has a significant impact on the performance of engineering systems. The drag on a body is generally much greater if the boundary layer is turbulent. Turbulence also increases heat transfer between a fluid and a surface. In addition, turbulent mixing is important to combustion. The physics of basic turbulent flows are studied using direct numerical simulations (DNS) and large-eddy simulations (LES). With LES the motion of the largest eddies are solved for directly while the effects of the unresolved small scale eddies are modeled. In contrast, with DNS all the relevant length scales within the turbulence are resolved and no modeling is needed. The results of the simulations are used to increase our understanding of turbulence and to test and improve turbulence models. Parallel computing and advanced numerical methods is another area of interest.</t>
        </is>
      </c>
      <c r="AA2" s="2" t="inlineStr">
        <is>
          <t>Current research interests involve the study of transitional and turbulent fluid flows using computational fluid dynamics (CFD) as an investigative tool.  Most flows of engineering interest are turbulent and turbulence has a significant impact on the performance of engineering systems. The drag on a body is generally much greater if the boundary layer is turbulent. Turbulence also increases hea...</t>
        </is>
      </c>
      <c r="AB2" s="2" t="inlineStr">
        <is>
          <t>B. S., California Institute of Technology, Applied Mathematics, 1980 M. S., California Institute of Technology, Applied Mathematics, 1982 Ph.D., Stanford University, Mechanical Engineering, 1991</t>
        </is>
      </c>
      <c r="AC2" s="2" t="inlineStr">
        <is>
          <t>Indiana Space Grant Consortium</t>
        </is>
      </c>
      <c r="AD2" s="3">
        <f>HYPERLINK("https://insgc.spacegrant.org/", "https://insgc.spacegrant.org/")</f>
        <v/>
      </c>
      <c r="AE2" s="2" t="inlineStr">
        <is>
          <t>Academic INSGC Internships</t>
        </is>
      </c>
      <c r="AF2" s="2" t="inlineStr"/>
      <c r="AG2" s="2" t="inlineStr"/>
      <c r="AH2" s="2" t="inlineStr">
        <is>
          <t>NASA</t>
        </is>
      </c>
      <c r="AI2" s="2" t="inlineStr"/>
      <c r="AJ2" s="2" t="inlineStr"/>
      <c r="AK2" s="2" t="inlineStr">
        <is>
          <t>ARMS 2029</t>
        </is>
      </c>
      <c r="AL2" s="2" t="b">
        <v>1</v>
      </c>
      <c r="AM2" s="3">
        <f>HYPERLINK("https://engineering.purdue.edu/AAE/people/Faculty", "https://engineering.purdue.edu/AAE/people/Faculty")</f>
        <v/>
      </c>
    </row>
    <row r="3">
      <c r="A3" s="2" t="inlineStr">
        <is>
          <t>Sally Bane</t>
        </is>
      </c>
      <c r="B3" s="2" t="inlineStr">
        <is>
          <t>Purdue University</t>
        </is>
      </c>
      <c r="C3" s="3">
        <f>HYPERLINK("https://engineering.purdue.edu/AAE/people/ptProfile?resource_id=72424", "https://engineering.purdue.edu/AAE/people/ptProfile?resource_id=72424")</f>
        <v/>
      </c>
      <c r="D3" s="3">
        <f>HYPERLINK("https://scholar.google.com/citations?user=fprhTwwAAAAJ&amp;hl=en", "Scholar (fprhTwwAAAAJ)")</f>
        <v/>
      </c>
      <c r="E3" s="2" t="inlineStr">
        <is>
          <t>Director of Laboratory &amp; Hands On Education and Associate Professor of AAE</t>
        </is>
      </c>
      <c r="F3" s="2" t="inlineStr">
        <is>
          <t>Aeronautics and Astronautics</t>
        </is>
      </c>
      <c r="G3" s="2" t="inlineStr">
        <is>
          <t>fprhTwwAAAAJ</t>
        </is>
      </c>
      <c r="H3" s="3">
        <f>HYPERLINK("mailto:sbane@purdue.edu", "sbane@purdue.edu")</f>
        <v/>
      </c>
      <c r="I3" s="2" t="n">
        <v>1</v>
      </c>
      <c r="J3" s="2" t="inlineStr">
        <is>
          <t>🔵 Tier 1: Core Aero / Fluids / Propulsion</t>
        </is>
      </c>
      <c r="K3" s="2" t="n">
        <v>11</v>
      </c>
      <c r="L3" s="2" t="inlineStr">
        <is>
          <t>aerodynamics, aerospace, boundary layer, combustion, detonation, flow control, hypersonic, propulsion, rotating detonation, supersonic, turbulent</t>
        </is>
      </c>
      <c r="M3" s="2" t="inlineStr"/>
      <c r="N3" s="2" t="inlineStr"/>
      <c r="O3" s="2" t="inlineStr"/>
      <c r="P3" s="2" t="inlineStr"/>
      <c r="Q3" s="2" t="inlineStr"/>
      <c r="R3" s="2" t="inlineStr">
        <is>
          <t>"Single-shot ultrafast dynamics of nanosecond pulsed plasmas: Transition from ps–ns nonequilibrium to near-full ionization" [Applied Physics Letters] (2026) [DOI: https://doi.org/10.1063/5.0341587] | "BOS/schlieren synthetic image generation via MIRAGE (MATLAB implementation of ray tracing for analysis of variable density Gradient Environments)" [Measurement Science and Technology] (2026) [DOI: https://doi.org/10.1088/1361-6501/ae4f0a] | "Active Control Strategies Using NRP Discharges for Thermoacoustic Instability Control in Methane-Air Atmospheric Combustion System" (2026) [DOI: https://doi.org/10.2514/6.2026-0398]</t>
        </is>
      </c>
      <c r="S3" s="2" t="inlineStr">
        <is>
          <t>"Investigation of the effect of electrode geometry on spark ignition" [Combustion and Flame] (2014, 87 cites) [DOI: https://doi.org/10.1016/j.combustflame.2014.07.017] | "Statistical analysis of electrostatic spark ignition of lean H2/O2/Ar mixtures" [International Journal of Hydrogen Energy] (2010, 69 cites) [DOI: https://doi.org/10.1016/j.ijhydene.2010.05.082] | "Experimental investigation of spark ignition energy in kerosene, hexane, and hydrogen" [Journal of Loss Prevention in the Process Industries] (2011, 68 cites) [DOI: https://doi.org/10.1016/j.jlp.2011.03.007]</t>
        </is>
      </c>
      <c r="T3" s="2" t="inlineStr"/>
      <c r="U3" s="2" t="inlineStr"/>
      <c r="V3" s="2" t="inlineStr"/>
      <c r="W3" s="2" t="inlineStr">
        <is>
          <t>Plasma Applications and Diagnostics (34) | Plasma and Flow Control in Aerodynamics (28) | Combustion and Detonation Processes (24)</t>
        </is>
      </c>
      <c r="X3" s="2" t="inlineStr">
        <is>
          <t>Plasma Applications and Diagnostics (34) | Plasma and Flow Control in Aerodynamics (28) | Combustion and Detonation Processes (24)</t>
        </is>
      </c>
      <c r="Y3" s="2" t="inlineStr">
        <is>
          <t>1. Plasmas for combustion and flow control nano-second repetitively pulsed (NRP) plasmas - generation and spectroscopic measurements plasma-assisted ignition (PAI) and combustion (PAC) plasma control of high-speed flows, shock wave/boundary layer interaction 2. Physics of supersonic and hypersonic turbulent flows and passive and active flow control 3. Optical methods for high-speed flow and combustion visualization and measurement PIV, BOS, schlieren image velocimetry (SIV) numerical tools for optical system modeling and design 4. Experimental combustion and propulsion ignition detonations and flame acceleration rotating detonation engines</t>
        </is>
      </c>
      <c r="Z3" s="2" t="inlineStr">
        <is>
          <t>Nonequilibrium plasmas, hypersonic and supersonic aerodynamics and flow control, optical and spectroscopic diagnostics, combustion and detonation dynamics</t>
        </is>
      </c>
      <c r="AA3" s="2" t="inlineStr">
        <is>
          <t>Nonequilibrium plasmas, hypersonic and supersonic aerodynamics and flow control, optical and spectroscopic diagnostics, combustion and detonation dynamics</t>
        </is>
      </c>
      <c r="AB3" s="2" t="inlineStr">
        <is>
          <t>B.S., University of Virginia, Aerospace Engineering, 2004 M.S., California Institute of Technology, Aeronautics, 2005 Ph.D., California Institute of Technology, Aeronautics, 2010</t>
        </is>
      </c>
      <c r="AC3" s="2" t="inlineStr">
        <is>
          <t>Indiana Space Grant Consortium</t>
        </is>
      </c>
      <c r="AD3" s="3">
        <f>HYPERLINK("https://insgc.spacegrant.org/", "https://insgc.spacegrant.org/")</f>
        <v/>
      </c>
      <c r="AE3" s="2" t="inlineStr">
        <is>
          <t>Academic INSGC Internships</t>
        </is>
      </c>
      <c r="AF3" s="2" t="inlineStr"/>
      <c r="AG3" s="2" t="inlineStr"/>
      <c r="AH3" s="2" t="inlineStr">
        <is>
          <t>NASA</t>
        </is>
      </c>
      <c r="AI3" s="2" t="inlineStr"/>
      <c r="AJ3" s="2" t="inlineStr"/>
      <c r="AK3" s="2" t="inlineStr">
        <is>
          <t>ARMS 3219</t>
        </is>
      </c>
      <c r="AL3" s="2" t="b">
        <v>1</v>
      </c>
      <c r="AM3" s="3">
        <f>HYPERLINK("https://engineering.purdue.edu/AAE/people/Faculty", "https://engineering.purdue.edu/AAE/people/Faculty")</f>
        <v/>
      </c>
    </row>
    <row r="4">
      <c r="A4" s="2" t="inlineStr">
        <is>
          <t>Carson Slabaugh</t>
        </is>
      </c>
      <c r="B4" s="2" t="inlineStr">
        <is>
          <t>Purdue University</t>
        </is>
      </c>
      <c r="C4" s="3">
        <f>HYPERLINK("https://engineering.purdue.edu/AAE/people/ptProfile?resource_id=124958", "https://engineering.purdue.edu/AAE/people/ptProfile?resource_id=124958")</f>
        <v/>
      </c>
      <c r="D4" s="3">
        <f>HYPERLINK("https://scholar.google.com/citations?view_op=search_authors&amp;mauthors=Carson%20Slabaugh%20Purdue%20University", "Google Scholar Search")</f>
        <v/>
      </c>
      <c r="E4" s="2" t="inlineStr">
        <is>
          <t>Paula Feuer Professor of Aeronautics and Astronautics</t>
        </is>
      </c>
      <c r="F4" s="2" t="inlineStr">
        <is>
          <t>Aeronautics and Astronautics</t>
        </is>
      </c>
      <c r="G4" s="2" t="inlineStr"/>
      <c r="H4" s="3">
        <f>HYPERLINK("mailto:cslabau@purdue.edu", "cslabau@purdue.edu")</f>
        <v/>
      </c>
      <c r="I4" s="2" t="n">
        <v>1</v>
      </c>
      <c r="J4" s="2" t="inlineStr">
        <is>
          <t>🔵 Tier 1: Core Aero / Fluids / Propulsion</t>
        </is>
      </c>
      <c r="K4" s="2" t="n">
        <v>10</v>
      </c>
      <c r="L4" s="2" t="inlineStr">
        <is>
          <t>combustion, detonation, energy systems, fluid mechanics, multiphase flow, propulsion, reacting flow, rotating detonation, turbulence, turbulent</t>
        </is>
      </c>
      <c r="M4" s="2" t="inlineStr"/>
      <c r="N4" s="2" t="inlineStr"/>
      <c r="O4" s="2" t="inlineStr"/>
      <c r="P4" s="2" t="inlineStr"/>
      <c r="Q4" s="2" t="inlineStr"/>
      <c r="R4" s="2" t="inlineStr">
        <is>
          <t>"Operating Mode Influence on Heat Release in an Axisymmetric Dual-Mode Ramjet" [AIAA Journal] (2026) [DOI: https://doi.org/10.2514/1.j067064] | "Coherent Stokes Raman Scattering for Simultaneous Measurement of CO 2 and CH 4 Temperatures" [Journal of Raman Spectroscopy] (2026) [DOI: https://doi.org/10.1002/jrs.70176] | "One-dimensional time-resolved single-shot femtosecond coherent anti-Stokes Raman scattering thermometry in reacting thermal gradients" [Applied Optics] (2026) [DOI: https://doi.org/10.1364/ao.583207]</t>
        </is>
      </c>
      <c r="S4" s="2" t="inlineStr">
        <is>
          <t>"3 kHz PIV/OH-PLIF measurements in a gas turbine combustor at elevated pressure" [Proceedings of the Combustion Institute] (2014, 89 cites) [DOI: https://doi.org/10.1016/j.proci.2014.06.090] | "High-Speed Diagnostics in a Natural Gas–Air Rotating Detonation Engine" [Journal of Propulsion and Power] (2020, 69 cites) [DOI: https://doi.org/10.2514/1.b37740] | "Flow and performance analysis of a natural gas-air rotating detonation engine with high-speed velocimetry" [Combustion and Flame] (2021, 60 cites) [DOI: https://doi.org/10.1016/j.combustflame.2021.111549]</t>
        </is>
      </c>
      <c r="T4" s="2" t="inlineStr"/>
      <c r="U4" s="2" t="inlineStr"/>
      <c r="V4" s="2" t="inlineStr"/>
      <c r="W4" s="2" t="inlineStr">
        <is>
          <t>Combustion and flame dynamics (74) | Combustion and Detonation Processes (54) | Advanced Combustion Engine Technologies (38)</t>
        </is>
      </c>
      <c r="X4" s="2" t="inlineStr">
        <is>
          <t>Combustion and flame dynamics (74) | Combustion and Detonation Processes (54) | Advanced Combustion Engine Technologies (38)</t>
        </is>
      </c>
      <c r="Y4" s="2" t="inlineStr">
        <is>
          <t>Prof. Slabaugh's research is focused on the physics of fluid mechanics and combustion in the operating regimes of advanced propulsion and energy systems.  Ongoing projects cover a wide spectrum of topics; from fundamental exploration of turbulence-chemistry interactions to development of advanced combustion technologies for liquid rocket engines.  The group also maintains a continuous effort in the advancement of high-bandwidth (typically, laser-based) measurement techniques to non-intrusively probe the physics of these complex, reacting flows.  Please visit our website for more information about the group and our work.</t>
        </is>
      </c>
      <c r="Z4" s="2" t="inlineStr">
        <is>
          <t>Propulsion: rockets, gas turbines, sc/ramjets, rotating detonation engines Combustion: detonation, turbulent combustion Fluid mechanics: turbulence, acoustics, gas dynamics, multiphase flows Laser diagnostics and data science: methodology development, cross-platform verification and validation Edit var myPronunciation=document.getElementById("pronunciation");
    function play() {
    myPronunciation.play();
    }
    function pause() {
    myPronunciation.pause();
    }</t>
        </is>
      </c>
      <c r="AA4" s="2" t="inlineStr">
        <is>
          <t>Propulsion: rockets, gas turbines, sc/ramjets, rotating detonation engines Combustion: detonation, turbulent combustion Fluid mechanics: turbulence, acoustics, gas dynamics, multiphase flows Laser diagnostics and data science: methodology development, cross-platform verification and validation Edit var myPronunciation=document.getElementById("pronunciation");
    function play() {
    myPr...</t>
        </is>
      </c>
      <c r="AB4" s="2" t="inlineStr">
        <is>
          <t>Ph.D., Purdue University, 2014 M.S., University of Central Florida, 2010 B.S., University of Central Florida, 2009</t>
        </is>
      </c>
      <c r="AC4" s="2" t="inlineStr">
        <is>
          <t>Indiana Space Grant Consortium</t>
        </is>
      </c>
      <c r="AD4" s="3">
        <f>HYPERLINK("https://insgc.spacegrant.org/", "https://insgc.spacegrant.org/")</f>
        <v/>
      </c>
      <c r="AE4" s="2" t="inlineStr">
        <is>
          <t>Academic INSGC Internships</t>
        </is>
      </c>
      <c r="AF4" s="2" t="inlineStr"/>
      <c r="AG4" s="2" t="inlineStr"/>
      <c r="AH4" s="2" t="inlineStr">
        <is>
          <t>NASA</t>
        </is>
      </c>
      <c r="AI4" s="2" t="inlineStr"/>
      <c r="AJ4" s="2" t="inlineStr"/>
      <c r="AK4" s="2" t="inlineStr">
        <is>
          <t>ARMS 2035 and ZL3 106</t>
        </is>
      </c>
      <c r="AL4" s="2" t="b">
        <v>1</v>
      </c>
      <c r="AM4" s="3">
        <f>HYPERLINK("https://engineering.purdue.edu/AAE/people/Faculty", "https://engineering.purdue.edu/AAE/people/Faculty")</f>
        <v/>
      </c>
    </row>
    <row r="5">
      <c r="A5" s="2" t="inlineStr">
        <is>
          <t>Steven P. Schneider</t>
        </is>
      </c>
      <c r="B5" s="2" t="inlineStr">
        <is>
          <t>Purdue University</t>
        </is>
      </c>
      <c r="C5" s="3">
        <f>HYPERLINK("https://engineering.purdue.edu/AAE/people/ptProfile?resource_id=1274", "https://engineering.purdue.edu/AAE/people/ptProfile?resource_id=1274")</f>
        <v/>
      </c>
      <c r="D5" s="3">
        <f>HYPERLINK("https://scholar.google.com/citations?view_op=search_authors&amp;mauthors=Steven%20P.%20Schneider%20Purdue%20University", "Google Scholar Search")</f>
        <v/>
      </c>
      <c r="E5" s="2" t="inlineStr">
        <is>
          <t>Professor</t>
        </is>
      </c>
      <c r="F5" s="2" t="inlineStr">
        <is>
          <t>Aeronautics and Astronautics</t>
        </is>
      </c>
      <c r="G5" s="2" t="inlineStr"/>
      <c r="H5" s="3">
        <f>HYPERLINK("mailto:steves@purdue.edu", "steves@purdue.edu")</f>
        <v/>
      </c>
      <c r="I5" s="2" t="n">
        <v>1</v>
      </c>
      <c r="J5" s="2" t="inlineStr">
        <is>
          <t>🔵 Tier 1: Core Aero / Fluids / Propulsion</t>
        </is>
      </c>
      <c r="K5" s="2" t="n">
        <v>10</v>
      </c>
      <c r="L5" s="2" t="inlineStr">
        <is>
          <t>aerothermodynamics, boundary layer, entry vehicles, heat transfer, hypersonic, supersonic, thermal, thermodynamics, turbulence, turbulent</t>
        </is>
      </c>
      <c r="M5" s="2" t="inlineStr"/>
      <c r="N5" s="2" t="inlineStr"/>
      <c r="O5" s="2" t="inlineStr"/>
      <c r="P5" s="2" t="inlineStr"/>
      <c r="Q5" s="2" t="inlineStr"/>
      <c r="R5" s="2" t="inlineStr"/>
      <c r="S5" s="2" t="inlineStr"/>
      <c r="T5" s="2" t="inlineStr"/>
      <c r="U5" s="2" t="inlineStr">
        <is>
          <t>Fellow, AIAA AIAA Ground Testing Award, 2012</t>
        </is>
      </c>
      <c r="V5" s="2" t="inlineStr"/>
      <c r="W5" s="2" t="inlineStr"/>
      <c r="X5" s="2" t="inlineStr"/>
      <c r="Y5" s="2" t="inlineStr">
        <is>
          <t>Hypersonic and supersonic laminar-turbulent transition Low-disturbance wind tunnels and associated instrumentation</t>
        </is>
      </c>
      <c r="Z5" s="2" t="inlineStr">
        <is>
          <t>High-speed laminar-turbulent transition is critical for applications including missiles for survivable time-critical strike, hypersonic reconnaissance vehicles, thermal protection for re-entry vehicles, drag reduction on supersonic transports, and flow noise and heat transfer above IR windows on interceptor missiles. Unfortunately, nearly all existing high-speed experimental results are contaminated by facility noise, such as that radiating from the turbulent boundary layers normally present on the test-section walls of supersonic tunnels. Just as at low speeds, reliable experimental progress requires low-turbulence wind tunnels with noise levels comparable to those in flight. Mechanism-based prediction methods are being developed to reduce the uncertainty in predicting transition on future flight vehicles.  Measurements of the instability mechanisms leading to transition are being carried out to support the development and validation of these new methods.  However, no single wind tunnel can simultaneously simulate all aspects of transition in flight, including Mach number, Reynolds number, enthalpy, freestream disturbances, surface ablation and so on.  Furthermore, although computational advances are critical, all computations require models that must be based on experimental results.  Effective progress requires cooperation between theory, computation and experiment, and also between system designers and researchers. Prof. Schneider continues to focus on hypersonic transition and the development of quiet tunnels, while also serving as a senior technical expert in aerothermodynamics.  Prof. Jewell now leads the Mach-6 quiet tunnel, and Prof. Chynoweth leads the development of the new Mach-8 quiet tunnel.  Prof. Schneider has moved into a supporting role as part of a long phased retirement.  He is no longer serving as an advisor to new graduate students.</t>
        </is>
      </c>
      <c r="AA5" s="2" t="inlineStr">
        <is>
          <t>High-speed laminar-turbulent transition is critical for applications including missiles for survivable time-critical strike, hypersonic reconnaissance vehicles, thermal protection for re-entry vehicles, drag reduction on supersonic transports, and flow noise and heat transfer above IR windows on interceptor missiles. Unfortunately, nearly all existing high-speed experimental results are contami...</t>
        </is>
      </c>
      <c r="AB5" s="2" t="inlineStr">
        <is>
          <t>B.S.	─ Caltech, Engineering and Applied Science, with Honor, June 1981 M.S.	─ Caltech, Aeronautics, June 1984 Ph.D.	─ Caltech, Aeronautics, March 1989</t>
        </is>
      </c>
      <c r="AC5" s="2" t="inlineStr">
        <is>
          <t>Indiana Space Grant Consortium</t>
        </is>
      </c>
      <c r="AD5" s="3">
        <f>HYPERLINK("https://insgc.spacegrant.org/", "https://insgc.spacegrant.org/")</f>
        <v/>
      </c>
      <c r="AE5" s="2" t="inlineStr">
        <is>
          <t>Academic INSGC Internships</t>
        </is>
      </c>
      <c r="AF5" s="2" t="inlineStr"/>
      <c r="AG5" s="2" t="inlineStr"/>
      <c r="AH5" s="2" t="inlineStr">
        <is>
          <t>NASA</t>
        </is>
      </c>
      <c r="AI5" s="2" t="inlineStr"/>
      <c r="AJ5" s="2" t="inlineStr"/>
      <c r="AK5" s="2" t="inlineStr">
        <is>
          <t>Room 13C AERO (Hangar 3) &amp; ARMS 3216</t>
        </is>
      </c>
      <c r="AL5" s="2" t="b">
        <v>1</v>
      </c>
      <c r="AM5" s="3">
        <f>HYPERLINK("https://engineering.purdue.edu/AAE/people/Faculty", "https://engineering.purdue.edu/AAE/people/Faculty")</f>
        <v/>
      </c>
    </row>
    <row r="6">
      <c r="A6" s="2" t="inlineStr">
        <is>
          <t>Joseph S. Jewell</t>
        </is>
      </c>
      <c r="B6" s="2" t="inlineStr">
        <is>
          <t>Purdue University</t>
        </is>
      </c>
      <c r="C6" s="3">
        <f>HYPERLINK("https://engineering.purdue.edu/AAE/people/ptProfile?resource_id=221718", "https://engineering.purdue.edu/AAE/people/ptProfile?resource_id=221718")</f>
        <v/>
      </c>
      <c r="D6" s="3">
        <f>HYPERLINK("https://scholar.google.com/citations?hl=en&amp;user=NZ7cWNwAAAAJ", "Scholar (NZ7cWNwAAAAJ)")</f>
        <v/>
      </c>
      <c r="E6" s="2" t="inlineStr">
        <is>
          <t>[On leave for Federal service as of Dec 2025] John Bogdanoff Professor of Aeronautics and Astronautics</t>
        </is>
      </c>
      <c r="F6" s="2" t="inlineStr">
        <is>
          <t>Aeronautics and Astronautics</t>
        </is>
      </c>
      <c r="G6" s="2" t="inlineStr">
        <is>
          <t>NZ7cWNwAAAAJ</t>
        </is>
      </c>
      <c r="H6" s="3">
        <f>HYPERLINK("mailto:jsjewell@purdue.edu", "jsjewell@purdue.edu")</f>
        <v/>
      </c>
      <c r="I6" s="2" t="n">
        <v>1</v>
      </c>
      <c r="J6" s="2" t="inlineStr">
        <is>
          <t>🔵 Tier 1: Core Aero / Fluids / Propulsion</t>
        </is>
      </c>
      <c r="K6" s="2" t="n">
        <v>9</v>
      </c>
      <c r="L6" s="2" t="inlineStr">
        <is>
          <t>aerodynamics, aerospace, aerothermodynamics, boundary layer, fluid mechanics, hypersonic, spacecraft, thermodynamics, turbulence</t>
        </is>
      </c>
      <c r="M6" s="2" t="inlineStr"/>
      <c r="N6" s="2" t="inlineStr"/>
      <c r="O6" s="2" t="inlineStr"/>
      <c r="P6" s="2" t="inlineStr"/>
      <c r="Q6" s="2" t="inlineStr"/>
      <c r="R6" s="2" t="inlineStr">
        <is>
          <t>"Global Measurements of Unstart in an Internal Osculating Waverider Inlet" [AIAA Journal] (2026) [DOI: https://doi.org/10.2514/1.j067385] | "100 kHz-rate femtosecond laser electronic excitation tagging velocimetry in Mach 6 quiet flow" [Applied Optics] (2026) [DOI: https://doi.org/10.1364/ao.604902] | "Characterizing the Response of Focused Laser Differential Interferometry to Mixed-Mode Hypersonic Instabilities" [AIAA Journal] (2026) [DOI: https://doi.org/10.2514/1.j067275]</t>
        </is>
      </c>
      <c r="S6" s="2" t="inlineStr">
        <is>
          <t>"Nose-Tip Bluntness Effects on Transition at Hypersonic Speeds" [Journal of Spacecraft and Rockets] (2018, 103 cites) [DOI: https://doi.org/10.2514/1.a34277] | "Boundary-Layer Stability Analysis for Stetson’s Mach 6 Blunt-Cone Experiments" [Journal of Spacecraft and Rockets] (2016, 92 cites) [DOI: https://doi.org/10.2514/1.a33619] | "Nonmodal Growth of Traveling Waves on Blunt Cones at Hypersonic Speeds" [AIAA Journal] (2019, 69 cites) [DOI: https://doi.org/10.2514/1.j058290]</t>
        </is>
      </c>
      <c r="T6" s="2" t="inlineStr"/>
      <c r="U6" s="2" t="inlineStr">
        <is>
          <t>Appointments **[on leave of absence from Purdue/PARI from Dec 2025] Federal Service , Dec 2025-present John Bogdanoff Professor...</t>
        </is>
      </c>
      <c r="V6" s="2" t="inlineStr"/>
      <c r="W6" s="2" t="inlineStr">
        <is>
          <t>Fluid Dynamics and Turbulent Flows (117) | Computational Fluid Dynamics and Aerodynamics (97) | Gas Dynamics and Kinetic Theory (59)</t>
        </is>
      </c>
      <c r="X6" s="2" t="inlineStr">
        <is>
          <t>Fluid Dynamics and Turbulent Flows (117) | Computational Fluid Dynamics and Aerodynamics (97) | Gas Dynamics and Kinetic Theory (59)</t>
        </is>
      </c>
      <c r="Y6" s="2" t="inlineStr">
        <is>
          <t>Hypersonic aerothermodynamics Boundary layer instability, transition and turbulence Low-disturbance wind tunnels Reflected shock tunnels Expansion tunnels Spacecraft re-entry aerodynamics Non-intrusive diagnostic methods Hypersonic wind tunnel design, modeling, and operation Hypervelocity/high-enthalpy gasdynamics</t>
        </is>
      </c>
      <c r="Z6" s="2" t="inlineStr"/>
      <c r="AA6" s="2" t="inlineStr">
        <is>
          <t>Hypersonic aerothermodynamics Boundary layer instability, transition and turbulence Low-disturbance wind tunnels Reflected shock tunnels Expansion tunnels Spacecraft re-entry aerodynamics Non-intrusive diagnostic methods Hypersonic wind tunnel design, modeling, and operation Hypervelocity/high-enthalpy gasdynamics</t>
        </is>
      </c>
      <c r="AB6" s="2" t="inlineStr">
        <is>
          <t>B.S., California Institute of Technology, Aeronautics and History, with Honor, 2004 M.S.E., University of Michigan, Aerospace Engineering, 2005 M.Sc., University of Oxford, Engineering Science (by Research), 2008 Ph.D., California Institute of Technology, Aeronautics, 2014</t>
        </is>
      </c>
      <c r="AC6" s="2" t="inlineStr">
        <is>
          <t>Indiana Space Grant Consortium</t>
        </is>
      </c>
      <c r="AD6" s="3">
        <f>HYPERLINK("https://insgc.spacegrant.org/", "https://insgc.spacegrant.org/")</f>
        <v/>
      </c>
      <c r="AE6" s="2" t="inlineStr">
        <is>
          <t>Academic INSGC Internships</t>
        </is>
      </c>
      <c r="AF6" s="2" t="inlineStr"/>
      <c r="AG6" s="2" t="inlineStr"/>
      <c r="AH6" s="2" t="inlineStr">
        <is>
          <t>NASA</t>
        </is>
      </c>
      <c r="AI6" s="2" t="inlineStr"/>
      <c r="AJ6" s="2" t="inlineStr"/>
      <c r="AK6" s="2" t="inlineStr">
        <is>
          <t>Aerospace Sciences Lab (AERO) Room 13B &amp; ARMS 3216</t>
        </is>
      </c>
      <c r="AL6" s="2" t="b">
        <v>1</v>
      </c>
      <c r="AM6" s="3">
        <f>HYPERLINK("https://engineering.purdue.edu/AAE/people/Faculty", "https://engineering.purdue.edu/AAE/people/Faculty")</f>
        <v/>
      </c>
    </row>
    <row r="7">
      <c r="A7" s="2" t="inlineStr">
        <is>
          <t>Kenshiro Oguri</t>
        </is>
      </c>
      <c r="B7" s="2" t="inlineStr">
        <is>
          <t>Purdue University</t>
        </is>
      </c>
      <c r="C7" s="3">
        <f>HYPERLINK("https://engineering.purdue.edu/AAE/people/ptProfile?resource_id=255154", "https://engineering.purdue.edu/AAE/people/ptProfile?resource_id=255154")</f>
        <v/>
      </c>
      <c r="D7" s="3">
        <f>HYPERLINK("https://scholar.google.com/citations?view_op=search_authors&amp;mauthors=Kenshiro%20Oguri%20Purdue%20University", "Google Scholar Search")</f>
        <v/>
      </c>
      <c r="E7" s="2" t="inlineStr">
        <is>
          <t>Assistant Professor</t>
        </is>
      </c>
      <c r="F7" s="2" t="inlineStr">
        <is>
          <t>Aeronautics and Astronautics</t>
        </is>
      </c>
      <c r="G7" s="2" t="inlineStr"/>
      <c r="H7" s="3">
        <f>HYPERLINK("mailto:koguri@purdue.edu", "koguri@purdue.edu")</f>
        <v/>
      </c>
      <c r="I7" s="2" t="n">
        <v>1</v>
      </c>
      <c r="J7" s="2" t="inlineStr">
        <is>
          <t>🔵 Tier 1: Core Aero / Fluids / Propulsion</t>
        </is>
      </c>
      <c r="K7" s="2" t="n">
        <v>8</v>
      </c>
      <c r="L7" s="2" t="inlineStr">
        <is>
          <t>aerospace, astrodynamics, autonomous, control theory, guidance, navigation, optimal control, spacecraft</t>
        </is>
      </c>
      <c r="M7" s="2" t="inlineStr"/>
      <c r="N7" s="2" t="inlineStr"/>
      <c r="O7" s="2" t="inlineStr"/>
      <c r="P7" s="2" t="inlineStr"/>
      <c r="Q7" s="2" t="inlineStr"/>
      <c r="R7" s="2" t="inlineStr">
        <is>
          <t>"Global Optimization Framework for Automated Low-Thrust Gravity-Assist Trajectory Design" [arXiv (Cornell University)] (2026) [DOI: https://doi.org/10.48550/arxiv.2609.09515] | "On the Optimality of Markovian Policies for Chance-Constrained Covariance Steering" [arXiv (Cornell University)] (2026) [DOI: https://doi.org/10.48550/arxiv.2608.22589] | "(Preprint) AAS 26-718 POLYNOMIAL CHAOS EXPANSION FOR UNCERTAINTY PROPAGATION IN REGULARIZED CISLUNAR DYNAMICS" (2026) [DOI: https://doi.org/10.13140/rg.2.2.22661.92648]</t>
        </is>
      </c>
      <c r="S7" s="2" t="inlineStr">
        <is>
          <t>"EQUULEUS Trajectory Design" [The Journal of the Astronautical Sciences] (2020, 51 cites) [DOI: https://doi.org/10.1007/s40295-019-00206-y] | "Robust Spacecraft Guidance Around Small Bodies Under Uncertainty: Stochastic Optimal Control Approach" [Journal of Guidance Control and Dynamics] (2021, 44 cites) [DOI: https://doi.org/10.2514/1.g005426] | "Trajectory &amp; maneuver design of the NEA Scout solar sail mission" [Acta Astronautica] (2024, 23 cites) [DOI: https://doi.org/10.1016/j.actaastro.2024.08.039]</t>
        </is>
      </c>
      <c r="T7" s="2" t="inlineStr"/>
      <c r="U7" s="2" t="inlineStr">
        <is>
          <t>Awards for Dr. Oguri: NASA Early Career Faculty Award, 2025 JPL Center for Academic Partnership Award, 2025 AIAA Journal of Gui...</t>
        </is>
      </c>
      <c r="V7" s="2" t="inlineStr"/>
      <c r="W7" s="2" t="inlineStr">
        <is>
          <t>Spacecraft Dynamics and Control (45) | Space Satellite Systems and Control (30) | Astro and Planetary Science (21)</t>
        </is>
      </c>
      <c r="X7" s="2" t="inlineStr">
        <is>
          <t>Spacecraft Dynamics and Control (45) | Space Satellite Systems and Control (30) | Astro and Planetary Science (21)</t>
        </is>
      </c>
      <c r="Y7" s="2" t="inlineStr">
        <is>
          <t>Astrodynamics; Space Mission Design; Space Trajectory Optimization; Spacecraft Guidance, Navigation, and Control (GNC); Spacecraft Autonomy; Control Theory; Stochastic Systems; Uncertainty Quantification</t>
        </is>
      </c>
      <c r="Z7" s="2" t="inlineStr">
        <is>
          <t>Research Group Website Prof. Oguri's research interest lies at the intersection of astrodynamics, control, optimization, nonlinear dynamics, and stochastic systems. His research develops mathematical and computational frameworks that address scientific and engineering challenges in space exploration, through advancing the state-of-the-art in space mission design, space trajectory optimization, spacecraft guidance, navigation, and control (GNC), and space autonomy. In particular, his Ph.D. research was focused on developing robust space mission design methods by combining astrodynamics, optimal control, stochastic optimal control, and numerical optimization to advance the technologies for autonomous spacecraft GNC and designing robust space trajectories under uncertainty. He also leverages his flight project experience as a mission designer at NASA JPL and JAXA to blend theory and practice, to identify and address critical challenges in real-world applications, and to contribute to the forefront of space exploration.</t>
        </is>
      </c>
      <c r="AA7" s="2" t="inlineStr">
        <is>
          <t>Research Group Website Prof. Oguri's research interest lies at the intersection of astrodynamics, control, optimization, nonlinear dynamics, and stochastic systems. His research develops mathematical and computational frameworks that address scientific and engineering challenges in space exploration, through advancing the state-of-the-art in space mission design, space trajectory optimization, ...</t>
        </is>
      </c>
      <c r="AB7" s="2" t="inlineStr">
        <is>
          <t>Ph.D., The University of Colorado Boulder, Aerospace Engineering Sciences, 2021 M.S., The University of Tokyo, Aeronautics and Astronautics, 2017 B.S., The University of Tokyo, Aeronautics and Astronautics, 2015</t>
        </is>
      </c>
      <c r="AC7" s="2" t="inlineStr">
        <is>
          <t>Indiana Space Grant Consortium</t>
        </is>
      </c>
      <c r="AD7" s="3">
        <f>HYPERLINK("https://insgc.spacegrant.org/", "https://insgc.spacegrant.org/")</f>
        <v/>
      </c>
      <c r="AE7" s="2" t="inlineStr">
        <is>
          <t>Academic INSGC Internships</t>
        </is>
      </c>
      <c r="AF7" s="2" t="inlineStr"/>
      <c r="AG7" s="2" t="inlineStr"/>
      <c r="AH7" s="2" t="inlineStr">
        <is>
          <t>NASA</t>
        </is>
      </c>
      <c r="AI7" s="2" t="inlineStr"/>
      <c r="AJ7" s="2" t="inlineStr"/>
      <c r="AK7" s="2" t="inlineStr">
        <is>
          <t>ARMS 3225</t>
        </is>
      </c>
      <c r="AL7" s="2" t="b">
        <v>1</v>
      </c>
      <c r="AM7" s="3">
        <f>HYPERLINK("https://engineering.purdue.edu/AAE/people/Faculty", "https://engineering.purdue.edu/AAE/people/Faculty")</f>
        <v/>
      </c>
    </row>
    <row r="8">
      <c r="A8" s="2" t="inlineStr">
        <is>
          <t>Haifeng Wang</t>
        </is>
      </c>
      <c r="B8" s="2" t="inlineStr">
        <is>
          <t>Purdue University</t>
        </is>
      </c>
      <c r="C8" s="3">
        <f>HYPERLINK("https://engineering.purdue.edu/AAE/people/ptProfile?resource_id=78657", "https://engineering.purdue.edu/AAE/people/ptProfile?resource_id=78657")</f>
        <v/>
      </c>
      <c r="D8" s="3">
        <f>HYPERLINK("https://scholar.google.com/citations?view_op=search_authors&amp;mauthors=Haifeng%20Wang%20Purdue%20University", "Google Scholar Search")</f>
        <v/>
      </c>
      <c r="E8" s="2" t="inlineStr">
        <is>
          <t>Associate Professor</t>
        </is>
      </c>
      <c r="F8" s="2" t="inlineStr">
        <is>
          <t>Aeronautics and Astronautics</t>
        </is>
      </c>
      <c r="G8" s="2" t="inlineStr"/>
      <c r="H8" s="3">
        <f>HYPERLINK("mailto:haifeng@purdue.edu", "haifeng@purdue.edu")</f>
        <v/>
      </c>
      <c r="I8" s="2" t="n">
        <v>1</v>
      </c>
      <c r="J8" s="2" t="inlineStr">
        <is>
          <t>🔵 Tier 1: Core Aero / Fluids / Propulsion</t>
        </is>
      </c>
      <c r="K8" s="2" t="n">
        <v>7</v>
      </c>
      <c r="L8" s="2" t="inlineStr">
        <is>
          <t>combustion, computational fluid dynamics, energy systems, fluid dynamics, fluid mechanics, propulsion, turbulence</t>
        </is>
      </c>
      <c r="M8" s="2" t="inlineStr"/>
      <c r="N8" s="2" t="inlineStr"/>
      <c r="O8" s="2" t="inlineStr"/>
      <c r="P8" s="2" t="inlineStr"/>
      <c r="Q8" s="2" t="inlineStr"/>
      <c r="R8" s="2" t="inlineStr">
        <is>
          <t>"Photon–Phonon Co‐Driven Ammonia Synthesis Over Ru/BaTiO 3 Under Very Mild Conditions" [Advanced Materials] (2026) [DOI: https://doi.org/10.1002/adma.75041] | "Light‐driven oxidative coupling of methane to acetone over Pd clusters via • OH ‐mediated activation‐coupling route" [AIChE Journal] (2026) [DOI: https://doi.org/10.1002/aic.70646] | "Spatial Programming of Redox Pathways for Z-Scheme Photocatalytic Water Splitting" [Journal of the American Chemical Society] (2026) [DOI: https://doi.org/10.1021/jacs.6c09932]</t>
        </is>
      </c>
      <c r="S8" s="2" t="inlineStr">
        <is>
          <t>"Creation of a needle of longitudinally polarized light in vacuum using binary optics" [Nature Photonics] (2008, 895 cites) [DOI: https://doi.org/10.1038/nphoton.2008.127] | "TEM Study of Electrochemical Cycling‐Induced Damage and Disorder in LiCoO2 Cathodes for Rechargeable Lithium Batteries" [Journal of The Electrochemical Society] (1999, 681 cites) [DOI: https://doi.org/10.1149/1.1391631] | "Heterogeneous Single‐Atom Catalysts for Electrochemical CO2 Reduction Reaction" [Advanced Materials] (2020, 613 cites) [DOI: https://doi.org/10.1002/adma.202001848]</t>
        </is>
      </c>
      <c r="T8" s="2" t="inlineStr"/>
      <c r="U8" s="2" t="inlineStr">
        <is>
          <t>• American Chemical Society Petroleum Research Fund Doctoral New Investigator award, 2014 • Bernard Lewis Fellowship, Combustio...</t>
        </is>
      </c>
      <c r="V8" s="2" t="inlineStr"/>
      <c r="W8" s="2" t="inlineStr">
        <is>
          <t>Catalytic Processes in Materials Science (109) | Electrocatalysts for Energy Conversion (82) | Advanced Photocatalysis Techniques (70)</t>
        </is>
      </c>
      <c r="X8" s="2" t="inlineStr">
        <is>
          <t>Catalytic Processes in Materials Science (109) | Electrocatalysts for Energy Conversion (82) | Advanced Photocatalysis Techniques (70)</t>
        </is>
      </c>
      <c r="Y8" s="2" t="inlineStr">
        <is>
          <t>• Turbulence and combustion modeling • Fluid mechanics and computational modeling • Multi-phase flows • Propulsion and energy systems • Machine learning and data-driven modeling</t>
        </is>
      </c>
      <c r="Z8" s="2" t="inlineStr"/>
      <c r="AA8" s="2" t="inlineStr">
        <is>
          <t>• Turbulence and combustion modeling • Fluid mechanics and computational modeling • Multi-phase flows • Propulsion and energy systems • Machine learning and data-driven modeling</t>
        </is>
      </c>
      <c r="AB8" s="2" t="inlineStr"/>
      <c r="AC8" s="2" t="inlineStr">
        <is>
          <t>Indiana Space Grant Consortium</t>
        </is>
      </c>
      <c r="AD8" s="3">
        <f>HYPERLINK("https://insgc.spacegrant.org/", "https://insgc.spacegrant.org/")</f>
        <v/>
      </c>
      <c r="AE8" s="2" t="inlineStr">
        <is>
          <t>Academic INSGC Internships</t>
        </is>
      </c>
      <c r="AF8" s="2" t="inlineStr"/>
      <c r="AG8" s="2" t="inlineStr"/>
      <c r="AH8" s="2" t="inlineStr">
        <is>
          <t>NASA</t>
        </is>
      </c>
      <c r="AI8" s="2" t="inlineStr"/>
      <c r="AJ8" s="2" t="inlineStr"/>
      <c r="AK8" s="2" t="inlineStr">
        <is>
          <t>ARMS 3313</t>
        </is>
      </c>
      <c r="AL8" s="2" t="b">
        <v>1</v>
      </c>
      <c r="AM8" s="3">
        <f>HYPERLINK("https://engineering.purdue.edu/AAE/people/Faculty", "https://engineering.purdue.edu/AAE/people/Faculty")</f>
        <v/>
      </c>
    </row>
    <row r="9">
      <c r="A9" s="2" t="inlineStr">
        <is>
          <t>Jonathan Poggie</t>
        </is>
      </c>
      <c r="B9" s="2" t="inlineStr">
        <is>
          <t>Purdue University</t>
        </is>
      </c>
      <c r="C9" s="3">
        <f>HYPERLINK("https://engineering.purdue.edu/AAE/people/ptProfile?resource_id=124984", "https://engineering.purdue.edu/AAE/people/ptProfile?resource_id=124984")</f>
        <v/>
      </c>
      <c r="D9" s="3">
        <f>HYPERLINK("https://scholar.google.com/citations?view_op=search_authors&amp;mauthors=Jonathan%20Poggie%20Purdue%20University", "Google Scholar Search")</f>
        <v/>
      </c>
      <c r="E9" s="2" t="inlineStr">
        <is>
          <t>Professor</t>
        </is>
      </c>
      <c r="F9" s="2" t="inlineStr">
        <is>
          <t>Aeronautics and Astronautics</t>
        </is>
      </c>
      <c r="G9" s="2" t="inlineStr"/>
      <c r="H9" s="3">
        <f>HYPERLINK("mailto:jpoggie@purdue.edu", "jpoggie@purdue.edu")</f>
        <v/>
      </c>
      <c r="I9" s="2" t="n">
        <v>1</v>
      </c>
      <c r="J9" s="2" t="inlineStr">
        <is>
          <t>🔵 Tier 1: Core Aero / Fluids / Propulsion</t>
        </is>
      </c>
      <c r="K9" s="2" t="n">
        <v>7</v>
      </c>
      <c r="L9" s="2" t="inlineStr">
        <is>
          <t>aerospace, compressible flow, flow control, hydrodynamics, hypersonic, turbulence, turbulent</t>
        </is>
      </c>
      <c r="M9" s="2" t="inlineStr"/>
      <c r="N9" s="2" t="inlineStr"/>
      <c r="O9" s="2" t="inlineStr"/>
      <c r="P9" s="2" t="inlineStr"/>
      <c r="Q9" s="2" t="inlineStr"/>
      <c r="R9" s="2" t="inlineStr">
        <is>
          <t>"Fluid Mechanics" [WORLD SCIENTIFIC eBooks] (2026) [DOI: https://doi.org/10.1142/15064] | "Fluid Mechanics" [WORLD SCIENTIFIC eBooks] (2026) [DOI: https://doi.org/10.1142/15053] | "Fluid Mechanics" [WORLD SCIENTIFIC eBooks] (2026) [DOI: https://doi.org/10.1142/15041]</t>
        </is>
      </c>
      <c r="S9" s="2" t="inlineStr">
        <is>
          <t>"Magnetic control of flow past a blunt body: Numerical validation and exploration" [Physics of Fluids] (2002, 139 cites) [DOI: https://doi.org/10.1063/1.1465424] | "Resolution effects in compressible, turbulent boundary layer simulations" [Computers &amp; Fluids] (2015, 137 cites) [DOI: https://doi.org/10.1016/j.compfluid.2015.07.015] | "Numerical simulation of nanosecond-pulse electrical discharges" [Plasma Sources Science and Technology] (2012, 100 cites) [DOI: https://doi.org/10.1088/0963-0252/22/1/015001]</t>
        </is>
      </c>
      <c r="T9" s="2" t="inlineStr"/>
      <c r="U9" s="2" t="inlineStr">
        <is>
          <t>Honors C. T. Sun Excellence in Research Award, 2023 University Faculty Scholar, 2023-2028 Outstanding Graduate Faculty Mentor A...</t>
        </is>
      </c>
      <c r="V9" s="2" t="inlineStr"/>
      <c r="W9" s="2" t="inlineStr">
        <is>
          <t>Computational Fluid Dynamics and Aerodynamics (120) | Fluid Dynamics and Turbulent Flows (119) | Plasma and Flow Control in Aerodynamics (84)</t>
        </is>
      </c>
      <c r="X9" s="2" t="inlineStr">
        <is>
          <t>Computational Fluid Dynamics and Aerodynamics (120) | Fluid Dynamics and Turbulent Flows (119) | Plasma and Flow Control in Aerodynamics (84)</t>
        </is>
      </c>
      <c r="Y9" s="2" t="inlineStr">
        <is>
          <t>Hypersonic Flight, Compressible Flow, Flow Control, Turbulence, Laminar-Turbulent Transition, Weakly-Ionized Plasmas, Magnetohydrodynamics</t>
        </is>
      </c>
      <c r="Z9" s="2" t="inlineStr"/>
      <c r="AA9" s="2" t="inlineStr">
        <is>
          <t>Hypersonic Flight, Compressible Flow, Flow Control, Turbulence, Laminar-Turbulent Transition, Weakly-Ionized Plasmas, Magnetohydrodynamics</t>
        </is>
      </c>
      <c r="AB9" s="2" t="inlineStr">
        <is>
          <t>Ph.D., Mechanical and Aerospace Engineering, Princeton University, 1995 M.S.E., Mechanical and Aerospace Engineering, Princeton University, 1991 B.S., Mechanical Engineering, University of Rhode Island, 1988</t>
        </is>
      </c>
      <c r="AC9" s="2" t="inlineStr">
        <is>
          <t>Indiana Space Grant Consortium</t>
        </is>
      </c>
      <c r="AD9" s="3">
        <f>HYPERLINK("https://insgc.spacegrant.org/", "https://insgc.spacegrant.org/")</f>
        <v/>
      </c>
      <c r="AE9" s="2" t="inlineStr">
        <is>
          <t>Academic INSGC Internships</t>
        </is>
      </c>
      <c r="AF9" s="2" t="inlineStr"/>
      <c r="AG9" s="2" t="inlineStr"/>
      <c r="AH9" s="2" t="inlineStr">
        <is>
          <t>NASA</t>
        </is>
      </c>
      <c r="AI9" s="2" t="inlineStr"/>
      <c r="AJ9" s="2" t="inlineStr"/>
      <c r="AK9" s="2" t="inlineStr">
        <is>
          <t>ARMS 3315</t>
        </is>
      </c>
      <c r="AL9" s="2" t="b">
        <v>1</v>
      </c>
      <c r="AM9" s="3">
        <f>HYPERLINK("https://engineering.purdue.edu/AAE/people/Faculty", "https://engineering.purdue.edu/AAE/people/Faculty")</f>
        <v/>
      </c>
    </row>
    <row r="10">
      <c r="A10" s="2" t="inlineStr">
        <is>
          <t>Kathleen C. Howell</t>
        </is>
      </c>
      <c r="B10" s="2" t="inlineStr">
        <is>
          <t>Purdue University</t>
        </is>
      </c>
      <c r="C10" s="3">
        <f>HYPERLINK("https://engineering.purdue.edu/AAE/people/ptProfile?resource_id=1384", "https://engineering.purdue.edu/AAE/people/ptProfile?resource_id=1384")</f>
        <v/>
      </c>
      <c r="D10" s="3">
        <f>HYPERLINK("https://scholar.google.com/citations?view_op=search_authors&amp;mauthors=Kathleen%20C.%20Howell%20Purdue%20University", "Google Scholar Search")</f>
        <v/>
      </c>
      <c r="E10" s="2" t="inlineStr">
        <is>
          <t>Hsu Lo Distinguished Professor of Aeronautics and Astronautics</t>
        </is>
      </c>
      <c r="F10" s="2" t="inlineStr">
        <is>
          <t>Aeronautics and Astronautics</t>
        </is>
      </c>
      <c r="G10" s="2" t="inlineStr"/>
      <c r="H10" s="3">
        <f>HYPERLINK("mailto:howell@purdue.edu", "howell@purdue.edu")</f>
        <v/>
      </c>
      <c r="I10" s="2" t="n">
        <v>1</v>
      </c>
      <c r="J10" s="2" t="inlineStr">
        <is>
          <t>🔵 Tier 1: Core Aero / Fluids / Propulsion</t>
        </is>
      </c>
      <c r="K10" s="2" t="n">
        <v>7</v>
      </c>
      <c r="L10" s="2" t="inlineStr">
        <is>
          <t>aerospace, astrodynamics, navigation, optimal control, orbital mechanics, satellite, spacecraft</t>
        </is>
      </c>
      <c r="M10" s="2" t="inlineStr"/>
      <c r="N10" s="2" t="inlineStr"/>
      <c r="O10" s="2" t="inlineStr"/>
      <c r="P10" s="2" t="inlineStr"/>
      <c r="Q10" s="2" t="inlineStr"/>
      <c r="R10" s="2" t="inlineStr">
        <is>
          <t>"On-Orbit Servicing Networks in Cislunar Space: A Framework for Orbit Selection, Transfer Design, and Scheduling" [The Journal of the Astronautical Sciences] (2025) [DOI: https://doi.org/10.1007/s40295-025-00551-1] | "Leveraging the Hill restricted four-body problem to investigate the ephemeris transition characteristics in the Earth-Moon L2 halo orbit region" [Astrodynamics] (2025) [DOI: https://doi.org/10.1007/s42064-024-0250-4] | "Unified transition scheme for invariant tori across various models in the cislunar domain" [Communications in Nonlinear Science and Numerical Simulation] (2025) [DOI: https://doi.org/10.1016/j.cnsns.2025.109323]</t>
        </is>
      </c>
      <c r="S10" s="2" t="inlineStr">
        <is>
          <t>"Three-dimensional, periodic, ?halo? orbits" [Celestial Mechanics and Dynamical Astronomy] (1984, 429 cites) [DOI: https://doi.org/10.1007/bf01358403] | "Numerical determination of Lissajous trajectories in the restricted three-body problem" [Celestial Mechanics and Dynamical Astronomy] (1987, 242 cites) [DOI: https://doi.org/10.1007/bf01238756] | "Application of Dynamical Systems Theory to Trajectory Design for a Libration Point Mission" [The Journal of the Astronautical Sciences] (1997, 215 cites) [DOI: https://doi.org/10.1007/bf03546374]</t>
        </is>
      </c>
      <c r="T10" s="2" t="inlineStr"/>
      <c r="U10" s="2" t="inlineStr">
        <is>
          <t>Fellow, AIAA 2013 W.A. Gustafson Award for Outstanding Teaching 2012 Inducted into Iowa State University Department of Aerospac...</t>
        </is>
      </c>
      <c r="V10" s="2" t="inlineStr"/>
      <c r="W10" s="2" t="inlineStr">
        <is>
          <t>Astro and Planetary Science (181) | Spacecraft Dynamics and Control (175) | Space Satellite Systems and Control (86)</t>
        </is>
      </c>
      <c r="X10" s="2" t="inlineStr">
        <is>
          <t>Astro and Planetary Science (181) | Spacecraft Dynamics and Control (175) | Space Satellite Systems and Control (86)</t>
        </is>
      </c>
      <c r="Y10" s="2" t="inlineStr">
        <is>
          <t>Orbit mechanics Spacecraft dynamics, control Trajectory optimization</t>
        </is>
      </c>
      <c r="Z10" s="2" t="inlineStr">
        <is>
          <t>Professor Howell's Research Page In the area of astrodynamics, the complex missions envisioned in the next few decades will demand innovative spacecraft trajectory concepts and efficient design tools for analysis and implementation. In support of such plans, current research efforts focus on spacecraft navigation and maneuver requirements, and mission planning, both in the neighborhood of the Earth and in interplanetary space. Some sample projects are mentioned below.
Much recent research activity has involved libration point orbits in the three- and four-body problems. The n -body problem in orbital mechanics generally considers trajectory solutions when ( n -1) gravity fields are significant. Spacecraft in the vicinity of libration points thus operate in an environment in which gravity forces due to two or three (or more) celestial bodies may result in trajectories that appear as three-dimensional, quasi-periodic Lissajous paths. Such three-dimensional trajectories are of considerable interest in connection with any future lunar operations. In the near term, missions involving libration point satellites are included in a number of programs that the U. S. is planning with international partners. Technical studies involve trajectory design and optimization including optimal control strategies for out-of-plane motion in consideration of communication and other operational specifications. Analyses of station-keeping requirements for such trajectories are also currently under study.
The subject of optimal transfer trajectories is of considerable importance and rapidly growing in complexity as well. New types of problems now facing mission designers render standard optimization strategies inadequate, particularly for application in the n -body problem. Nominal transfer trajectory determination and optimization is the focus of an expanding investigation. Various projects range from development of new computational techniques to application of geometric nonlinear dynamical systems theory to these problems.
A related problem of interest involves Earth orbiting vehicles that repeatedly pass close to the Moon. Such trajectories use lunar gravity to effect trajectory changes. Not only can such a swingby aid in minimizing mission fuel requirements, it also creates trajectory options that may otherwise be impossible. Analysis is complicated, however, by the strong solar perturbation. Multi-conic analysis has proven promising and work is continuing to develop tools to make optimal trajectory design efficient and accurate. Design strategies can also be extended to other multi-body systems. Such applications are under considerations as well.</t>
        </is>
      </c>
      <c r="AA10" s="2" t="inlineStr">
        <is>
          <t>Professor Howell's Research Page In the area of astrodynamics, the complex missions envisioned in the next few decades will demand innovative spacecraft trajectory concepts and efficient design tools for analysis and implementation. In support of such plans, current research efforts focus on spacecraft navigation and maneuver requirements, and mission planning, both in the neighborhood of the E...</t>
        </is>
      </c>
      <c r="AB10" s="2" t="inlineStr">
        <is>
          <t>B. S., Iowa State University, Aerospace Engineering, 1973 M. S., Stanford University, Aeronautical &amp; Astronautical Engineering, 1977 Ph.D., Stanford University, Aeronautical &amp; Astronautical Sciences, 1983</t>
        </is>
      </c>
      <c r="AC10" s="2" t="inlineStr">
        <is>
          <t>Indiana Space Grant Consortium</t>
        </is>
      </c>
      <c r="AD10" s="3">
        <f>HYPERLINK("https://insgc.spacegrant.org/", "https://insgc.spacegrant.org/")</f>
        <v/>
      </c>
      <c r="AE10" s="2" t="inlineStr">
        <is>
          <t>Academic INSGC Internships</t>
        </is>
      </c>
      <c r="AF10" s="2" t="inlineStr"/>
      <c r="AG10" s="2" t="inlineStr"/>
      <c r="AH10" s="2" t="inlineStr">
        <is>
          <t>NASA</t>
        </is>
      </c>
      <c r="AI10" s="2" t="inlineStr"/>
      <c r="AJ10" s="2" t="inlineStr"/>
      <c r="AK10" s="2" t="inlineStr">
        <is>
          <t>ARMS 3235</t>
        </is>
      </c>
      <c r="AL10" s="2" t="b">
        <v>1</v>
      </c>
      <c r="AM10" s="3">
        <f>HYPERLINK("https://engineering.purdue.edu/AAE/people/Faculty", "https://engineering.purdue.edu/AAE/people/Faculty")</f>
        <v/>
      </c>
    </row>
    <row r="11">
      <c r="A11" s="2" t="inlineStr">
        <is>
          <t>Kyle Hanquist</t>
        </is>
      </c>
      <c r="B11" s="2" t="inlineStr">
        <is>
          <t>Purdue University</t>
        </is>
      </c>
      <c r="C11" s="3">
        <f>HYPERLINK("https://engineering.purdue.edu/AAE/people/ptProfile?resource_id=318748", "https://engineering.purdue.edu/AAE/people/ptProfile?resource_id=318748")</f>
        <v/>
      </c>
      <c r="D11" s="3">
        <f>HYPERLINK("https://scholar.google.com/citations?view_op=search_authors&amp;mauthors=Kyle%20Hanquist%20Purdue%20University", "Google Scholar Search")</f>
        <v/>
      </c>
      <c r="E11" s="2" t="inlineStr">
        <is>
          <t>Assistant Professor</t>
        </is>
      </c>
      <c r="F11" s="2" t="inlineStr">
        <is>
          <t>Aeronautics and Astronautics</t>
        </is>
      </c>
      <c r="G11" s="2" t="inlineStr"/>
      <c r="H11" s="3">
        <f>HYPERLINK("mailto:hanquist@purdue.edu", "hanquist@purdue.edu")</f>
        <v/>
      </c>
      <c r="I11" s="2" t="n">
        <v>1</v>
      </c>
      <c r="J11" s="2" t="inlineStr">
        <is>
          <t>🔵 Tier 1: Core Aero / Fluids / Propulsion</t>
        </is>
      </c>
      <c r="K11" s="2" t="n">
        <v>7</v>
      </c>
      <c r="L11" s="2" t="inlineStr">
        <is>
          <t>aerospace, aerothermodynamics, computational fluid dynamics, fluid dynamics, hypersonic, thermal, thermodynamics</t>
        </is>
      </c>
      <c r="M11" s="2" t="inlineStr"/>
      <c r="N11" s="2" t="inlineStr"/>
      <c r="O11" s="2" t="inlineStr"/>
      <c r="P11" s="2" t="inlineStr"/>
      <c r="Q11" s="2" t="inlineStr"/>
      <c r="R11" s="2" t="inlineStr">
        <is>
          <t>"Alkali Metal Seeding for Enhanced Ionization in Hypersonic Flight" (2026) [DOI: https://doi.org/10.2514/6.2026-4057] | "Numerical Investigation of High-Enthalpy Effects on Aero-Optics in Hypersonic Flows" [Journal of Thermophysics and Heat Transfer] (2026) [DOI: https://doi.org/10.2514/1.t7189] | "Thrust Regulation in a Solid Fuel Ramjet Using Dynamic Mode Adaptive Control" (2026) [DOI: https://doi.org/10.2514/6.2026-1389]</t>
        </is>
      </c>
      <c r="S11" s="2" t="inlineStr">
        <is>
          <t>"Detailed modeling of electron emission for transpiration cooling of hypersonic vehicles" [Journal of Applied Physics] (2017, 72 cites) [DOI: https://doi.org/10.1063/1.4974961] | "Test cases for grid-based direct kinetic modeling of plasma flows" [Plasma Sources Science and Technology] (2018, 62 cites) [DOI: https://doi.org/10.1088/1361-6595/aac6b9] | "Shock-tube measurements of coupled vibration–dissociation time-histories and rate parameters in oxygen and argon mixtures from 5000 K to 10 000 K" [Physics of Fluids] (2020, 47 cites) [DOI: https://doi.org/10.1063/5.0012426]</t>
        </is>
      </c>
      <c r="T11" s="2" t="inlineStr"/>
      <c r="U11" s="2" t="inlineStr">
        <is>
          <t>2025 AFOSR Young Investigator Award (YIP) 2025 ONR Young Investigator Award (YIP) AIAA Associate Fellow Edit var myPronunciatio...</t>
        </is>
      </c>
      <c r="V11" s="2" t="inlineStr"/>
      <c r="W11" s="2" t="inlineStr">
        <is>
          <t>Gas Dynamics and Kinetic Theory (38) | Computational Fluid Dynamics and Aerodynamics (35) | Plasma and Flow Control in Aerodynamics (17)</t>
        </is>
      </c>
      <c r="X11" s="2" t="inlineStr">
        <is>
          <t>Gas Dynamics and Kinetic Theory (38) | Computational Fluid Dynamics and Aerodynamics (35) | Plasma and Flow Control in Aerodynamics (17)</t>
        </is>
      </c>
      <c r="Y11" s="2" t="inlineStr">
        <is>
          <t>Hypersonic aerothermodynamics Computational fluid dynamics High enthalpy flows Chemical kinetics Thermal management Low-temperature plasmas</t>
        </is>
      </c>
      <c r="Z11" s="2" t="inlineStr"/>
      <c r="AA11" s="2" t="inlineStr">
        <is>
          <t>Hypersonic aerothermodynamics Computational fluid dynamics High enthalpy flows Chemical kinetics Thermal management Low-temperature plasmas</t>
        </is>
      </c>
      <c r="AB11" s="2" t="inlineStr">
        <is>
          <t>B.S. University of Nebraska, Mechanical Engineering, 2012 M.S. University of Michigan, Aerospace Engineering, 2015 Ph.D. University of Michigan, Aerospace Engineering, 2017</t>
        </is>
      </c>
      <c r="AC11" s="2" t="inlineStr">
        <is>
          <t>Indiana Space Grant Consortium</t>
        </is>
      </c>
      <c r="AD11" s="3">
        <f>HYPERLINK("https://insgc.spacegrant.org/", "https://insgc.spacegrant.org/")</f>
        <v/>
      </c>
      <c r="AE11" s="2" t="inlineStr">
        <is>
          <t>Academic INSGC Internships</t>
        </is>
      </c>
      <c r="AF11" s="2" t="inlineStr"/>
      <c r="AG11" s="2" t="inlineStr"/>
      <c r="AH11" s="2" t="inlineStr">
        <is>
          <t>NASA</t>
        </is>
      </c>
      <c r="AI11" s="2" t="inlineStr"/>
      <c r="AJ11" s="2" t="inlineStr"/>
      <c r="AK11" s="2" t="inlineStr">
        <is>
          <t>ARMS 2021</t>
        </is>
      </c>
      <c r="AL11" s="2" t="b">
        <v>1</v>
      </c>
      <c r="AM11" s="3">
        <f>HYPERLINK("https://engineering.purdue.edu/AAE/people/Faculty", "https://engineering.purdue.edu/AAE/people/Faculty")</f>
        <v/>
      </c>
    </row>
    <row r="12">
      <c r="A12" s="2" t="inlineStr">
        <is>
          <t>Steven Collicott</t>
        </is>
      </c>
      <c r="B12" s="2" t="inlineStr">
        <is>
          <t>Purdue University</t>
        </is>
      </c>
      <c r="C12" s="3">
        <f>HYPERLINK("https://engineering.purdue.edu/AAE/people/ptProfile?resource_id=1370", "https://engineering.purdue.edu/AAE/people/ptProfile?resource_id=1370")</f>
        <v/>
      </c>
      <c r="D12" s="3">
        <f>HYPERLINK("https://scholar.google.com/citations?view_op=search_authors&amp;mauthors=Steven%20Collicott%20Purdue%20University", "Google Scholar Search")</f>
        <v/>
      </c>
      <c r="E12" s="2" t="inlineStr">
        <is>
          <t>Professor</t>
        </is>
      </c>
      <c r="F12" s="2" t="inlineStr">
        <is>
          <t>Aeronautics and Astronautics</t>
        </is>
      </c>
      <c r="G12" s="2" t="inlineStr"/>
      <c r="H12" s="3">
        <f>HYPERLINK("mailto:collicott@purdue.edu", "collicott@purdue.edu")</f>
        <v/>
      </c>
      <c r="I12" s="2" t="n">
        <v>1</v>
      </c>
      <c r="J12" s="2" t="inlineStr">
        <is>
          <t>🔵 Tier 1: Core Aero / Fluids / Propulsion</t>
        </is>
      </c>
      <c r="K12" s="2" t="n">
        <v>7</v>
      </c>
      <c r="L12" s="2" t="inlineStr">
        <is>
          <t>aerospace, boundary layer, fluid dynamics, fluid mechanics, fluids, hypersonic, satellite</t>
        </is>
      </c>
      <c r="M12" s="2" t="inlineStr"/>
      <c r="N12" s="2" t="inlineStr"/>
      <c r="O12" s="2" t="inlineStr"/>
      <c r="P12" s="2" t="inlineStr"/>
      <c r="Q12" s="2" t="inlineStr"/>
      <c r="R12" s="2" t="inlineStr">
        <is>
          <t>"Odyssey Propellant Estimation Phenomenal Mission in Progress Mission Success" [SpaceOps] (2026) [DOI: https://doi.org/10.82217/spaceops2025_398] | "Popcorn from Suborbital Spaceflight" [Gravitational and Space Research] (2026) [DOI: https://doi.org/10.2478/gsr-2026-0005] | "Critical investments in bioregenerative life support systems for bioastronautics and sustainable lunar exploration" [npj Microgravity] (2025) [DOI: https://doi.org/10.1038/s41526-025-00518-4]</t>
        </is>
      </c>
      <c r="S12" s="2" t="inlineStr">
        <is>
          <t>"Computational fluid dynamics" [Elsevier eBooks] (2024, 264 cites) [DOI: https://doi.org/10.1016/b978-0-32-399544-3.00013-x] | "Receptivity of the Mach-4 boundary layer on an elliptic cone to laser-generated localized freestream perturbations" [36th AIAA Aerospace Sciences Meeting and Exhibit] (1998, 67 cites) [DOI: https://doi.org/10.2514/6.1998-532] | "Computing Existence and Stability of Capillary Surfaces Using Surface Evolver" [AIAA Journal] (2004, 53 cites) [DOI: https://doi.org/10.2514/1.9093]</t>
        </is>
      </c>
      <c r="T12" s="2" t="inlineStr"/>
      <c r="U12" s="2" t="inlineStr">
        <is>
          <t>Inducted into Purdue University’s “Book of Great Teachers,” August 28, 2008 Presented the American Institute of Aeronautics and...</t>
        </is>
      </c>
      <c r="V12" s="2" t="inlineStr"/>
      <c r="W12" s="2" t="inlineStr">
        <is>
          <t>Spacecraft and Cryogenic Technologies (67) | Rocket and propulsion systems research (38) | Fluid Dynamics and Turbulent Flows (34)</t>
        </is>
      </c>
      <c r="X12" s="2" t="inlineStr">
        <is>
          <t>Spacecraft and Cryogenic Technologies (67) | Rocket and propulsion systems research (38) | Fluid Dynamics and Turbulent Flows (34)</t>
        </is>
      </c>
      <c r="Y12" s="2" t="inlineStr">
        <is>
          <t>Experimental fluid mechanics Low-gravity fluid dynamics Optical diagnostics Applied optics</t>
        </is>
      </c>
      <c r="Z12" s="2" t="inlineStr">
        <is>
          <t>Low-gravity fluid dynamics and capillary fluid physics are the focus of two-phase fluids research.  A collaborative aero-elastic study of failures of High-Mast Lighting Towers is underway, led by Professor Connor in Purdue’s School of Civil Engineering.  Sprays and internal flows in spray systems plus oil-air flows in turbine engines remain of interest too. Capillary effects dominate liquid positioning in the weightless portions of spaceflight and in small-scale two-phase fluids systems on Earth.  Beginning with work in support of the Gravity Probe-B satellite in 1993, Professor Collicott has become the leading expert in the use of the capillary fluids statics code, Surface Evolver, for both research and real-world engineering in two-phase fluids problems.  Research includes designing the “Vane-Gap” experiments for the Capillary Fluids Experiment (CFE) presently in the second set of tests in orbit in the International Space Station, exploring the existence and stability of water droplets in lung passages, designing and building a three-dimensional critical wetting experiment - one of the first experiments to fly on Blue Origin’s New Shepard rocket, and many others.  Engineering solutions that have grown from research include the best on-orbit propellant-gauging service available for satellites and presently available for owners and operators of satellites. Novel spray control and spray formation methods have grown from research, started by an NSF-Career Award, that probes the internal flow with specialized optics to uncover the physics of cavitation.  Small-scale non-equilibrium unsteady cavitation exists, the behavior of which can not presently be predicted to any useful extent.  Coordination with Professor Heister's simulations with pseudo-density models for non-equilibrium cavitating flows has been crucial to understanding the internal flow fields. Hypersonic boundary layer transition is a critical event on high speed flight vehicles, including the Space Shuttle during re-entry.  Sporadic collaborations with Professor Schneider's experiments involve both an optical perturber and optical diagnostics.  The perturber has been developed and is in regular use.  High-sensitivity, high bandwidth Laser Differential Interferometry is being applied to detect and measure instability waves in millimeter and thinner boundary layers in flows at speeds in excess of one-half of a kilometer per second.</t>
        </is>
      </c>
      <c r="AA12" s="2" t="inlineStr">
        <is>
          <t>Low-gravity fluid dynamics and capillary fluid physics are the focus of two-phase fluids research.  A collaborative aero-elastic study of failures of High-Mast Lighting Towers is underway, led by Professor Connor in Purdue’s School of Civil Engineering.  Sprays and internal flows in spray systems plus oil-air flows in turbine engines remain of interest too. Capillary effects dominate liquid pos...</t>
        </is>
      </c>
      <c r="AB12" s="2" t="inlineStr">
        <is>
          <t>B. S., University of Michigan, Aerospace Engineering, 1983, magna cum laude M. S., Stanford University, Aeronautics &amp; Astronautics, 1984 Ph.D., Stanford University, Aeronautics &amp; Astronautics, 1991</t>
        </is>
      </c>
      <c r="AC12" s="2" t="inlineStr">
        <is>
          <t>Indiana Space Grant Consortium</t>
        </is>
      </c>
      <c r="AD12" s="3">
        <f>HYPERLINK("https://insgc.spacegrant.org/", "https://insgc.spacegrant.org/")</f>
        <v/>
      </c>
      <c r="AE12" s="2" t="inlineStr">
        <is>
          <t>Academic INSGC Internships</t>
        </is>
      </c>
      <c r="AF12" s="2" t="inlineStr"/>
      <c r="AG12" s="2" t="inlineStr"/>
      <c r="AH12" s="2" t="inlineStr">
        <is>
          <t>NASA</t>
        </is>
      </c>
      <c r="AI12" s="2" t="inlineStr"/>
      <c r="AJ12" s="2" t="inlineStr"/>
      <c r="AK12" s="2" t="inlineStr">
        <is>
          <t>ARMS 2039</t>
        </is>
      </c>
      <c r="AL12" s="2" t="b">
        <v>1</v>
      </c>
      <c r="AM12" s="3">
        <f>HYPERLINK("https://engineering.purdue.edu/AAE/people/Faculty", "https://engineering.purdue.edu/AAE/people/Faculty")</f>
        <v/>
      </c>
    </row>
    <row r="13">
      <c r="A13" s="2" t="inlineStr">
        <is>
          <t>Alina Alexeenko</t>
        </is>
      </c>
      <c r="B13" s="2" t="inlineStr">
        <is>
          <t>Purdue University</t>
        </is>
      </c>
      <c r="C13" s="3">
        <f>HYPERLINK("https://engineering.purdue.edu/AAE/people/ptProfile?resource_id=23887", "https://engineering.purdue.edu/AAE/people/ptProfile?resource_id=23887")</f>
        <v/>
      </c>
      <c r="D13" s="3">
        <f>HYPERLINK("https://scholar.google.com/citations?user=vr5HyoMAAAAJ&amp;hl=en", "Scholar (vr5HyoMAAAAJ)")</f>
        <v/>
      </c>
      <c r="E13" s="2" t="inlineStr">
        <is>
          <t>Reilly Professor of Aeronautics and Astronautics &amp; Chemical Engineering</t>
        </is>
      </c>
      <c r="F13" s="2" t="inlineStr">
        <is>
          <t>Aeronautics and Astronautics</t>
        </is>
      </c>
      <c r="G13" s="2" t="inlineStr">
        <is>
          <t>vr5HyoMAAAAJ</t>
        </is>
      </c>
      <c r="H13" s="3">
        <f>HYPERLINK("mailto:alexeenk@purdue.edu", "alexeenk@purdue.edu")</f>
        <v/>
      </c>
      <c r="I13" s="2" t="n">
        <v>1</v>
      </c>
      <c r="J13" s="2" t="inlineStr">
        <is>
          <t>🔵 Tier 1: Core Aero / Fluids / Propulsion</t>
        </is>
      </c>
      <c r="K13" s="2" t="n">
        <v>6</v>
      </c>
      <c r="L13" s="2" t="inlineStr">
        <is>
          <t>aerospace, aerothermodynamics, numerical methods, propulsion, spacecraft, thermodynamics</t>
        </is>
      </c>
      <c r="M13" s="2" t="inlineStr"/>
      <c r="N13" s="2" t="inlineStr"/>
      <c r="O13" s="2" t="inlineStr"/>
      <c r="P13" s="2" t="inlineStr"/>
      <c r="Q13" s="2" t="inlineStr"/>
      <c r="R13" s="2" t="inlineStr">
        <is>
          <t>"DGFS-BE Solver: An open-source Discontinuous Galerkin Fast Spectral Solver for the full Boltzmann equation" [SoftwareX] (2026) [DOI: https://doi.org/10.1016/j.softx.2026.102544] | "Cryoconcentration modeling and experimental measurements for freezing and thawing of a biologic bulk drug substance" [European Journal of Pharmaceutics and Biopharmaceutics] (2025) [DOI: https://doi.org/10.1016/j.ejpb.2025.114812] | "Critical Needs and Opportunities for Advanced Manufacturing of Lyophilized Injectables" [Pharmaceutical Research] (2025) [DOI: https://doi.org/10.1007/s11095-025-03869-5]</t>
        </is>
      </c>
      <c r="S13" s="2" t="inlineStr">
        <is>
          <t>"Transient Heat Transfer and Gas Flow in a MEMS-Based Thruster" [Journal of Microelectromechanical Systems] (2006, 90 cites) [DOI: https://doi.org/10.1109/jmems.2005.859203] | "Recommended Best Practices for Process Monitoring Instrumentation in Pharmaceutical Freeze Drying—2017" [AAPS PharmSciTech] (2017, 88 cites) [DOI: https://doi.org/10.1208/s12249-017-0733-1] | "Ab initio -informed maximum entropy modeling of rovibrational relaxation and state-specific dissociation with application to the O2 + O system" [The Journal of Chemical Physics] (2016, 83 cites) [DOI: https://doi.org/10.1063/1.4947590]</t>
        </is>
      </c>
      <c r="T13" s="2" t="inlineStr"/>
      <c r="U13" s="2" t="inlineStr">
        <is>
          <t>Dean Henry T Yang Leadership in Service award, 2023 Associate Editor, Journal of Thermophysics and Heat Transfer, 2021-2022 Int...</t>
        </is>
      </c>
      <c r="V13" s="2" t="inlineStr"/>
      <c r="W13" s="2" t="inlineStr">
        <is>
          <t>Gas Dynamics and Kinetic Theory (139) | Plasma Diagnostics and Applications (51) | Protein purification and stability (39)</t>
        </is>
      </c>
      <c r="X13" s="2" t="inlineStr">
        <is>
          <t>Gas Dynamics and Kinetic Theory (139) | Plasma Diagnostics and Applications (51) | Protein purification and stability (39)</t>
        </is>
      </c>
      <c r="Y13" s="2" t="inlineStr">
        <is>
          <t>Rarefied gas dynamics, deterministic and stochastic numerical methods for the Boltzmann equation, direct simulation Monte Carlo (DSMC) and particle-in-cell Monte Carlo collisions (PIC/MCC) techniques; High-altitude aerothermodynamics and micropropulsion; Gas-phase effects in N/MEMS sensors and actuators; Vacuum gas dynamics; Modeling, analysis and design of vacuum deposition systems (MBE, P/CVD, EBPVD) for nano/microfabrication; Lyophilization/freeze-drying for biopharmaceutical manufacturing.</t>
        </is>
      </c>
      <c r="Z13" s="2" t="inlineStr">
        <is>
          <t>Professor Alexeenko’s research is centered on computational and experimental  studies of rarefied gas flow phenomena occurring in both high-altitude flight such as smallsat propulsion, spacecraft contamination, plume interactions, high-altitude aerothermodynamics; and in emerging technologies such as micro-electro-mechanical systems for space communications and micropropulsion and in vacuum manufacturing processes.  Broadening applications of rarefied gas dynamics is one of her long-term research goals. Alexeenko's group at Purdue has developed fast computational algorithms and solvers for the deterministic, as opposed to the stochastic DSMC, solution of rarefied flow problems. Such new techniques are especially useful in studying low-speed and/or unsteady flows and have allowed to address several challenging problems, such as the aerodynamic damping in MEMS and shock wave propagation at microscale. Additionally, the research led to novel microdevice concepts that exploit the unique microscale, rarefied flow physics for gas sensing and smallsat propulsion.</t>
        </is>
      </c>
      <c r="AA13" s="2" t="inlineStr">
        <is>
          <t>Professor Alexeenko’s research is centered on computational and experimental  studies of rarefied gas flow phenomena occurring in both high-altitude flight such as smallsat propulsion, spacecraft contamination, plume interactions, high-altitude aerothermodynamics; and in emerging technologies such as micro-electro-mechanical systems for space communications and micropropulsion and in vacuum man...</t>
        </is>
      </c>
      <c r="AB13" s="2" t="inlineStr">
        <is>
          <t>B.S., Novosibirsk State University, Mathematics, 1997 M.S., Novosibirsk State University, Applied Mathematics, 1999 Ph.D., Pennsylvania State University, Aerospace Engineering, 2003</t>
        </is>
      </c>
      <c r="AC13" s="2" t="inlineStr">
        <is>
          <t>Indiana Space Grant Consortium</t>
        </is>
      </c>
      <c r="AD13" s="3">
        <f>HYPERLINK("https://insgc.spacegrant.org/", "https://insgc.spacegrant.org/")</f>
        <v/>
      </c>
      <c r="AE13" s="2" t="inlineStr">
        <is>
          <t>Academic INSGC Internships</t>
        </is>
      </c>
      <c r="AF13" s="2" t="inlineStr"/>
      <c r="AG13" s="2" t="inlineStr"/>
      <c r="AH13" s="2" t="inlineStr">
        <is>
          <t>NASA</t>
        </is>
      </c>
      <c r="AI13" s="2" t="inlineStr"/>
      <c r="AJ13" s="2" t="inlineStr"/>
      <c r="AK13" s="2" t="inlineStr">
        <is>
          <t>ARMS 3231</t>
        </is>
      </c>
      <c r="AL13" s="2" t="b">
        <v>1</v>
      </c>
      <c r="AM13" s="3">
        <f>HYPERLINK("https://engineering.purdue.edu/AAE/people/Faculty", "https://engineering.purdue.edu/AAE/people/Faculty")</f>
        <v/>
      </c>
    </row>
    <row r="14">
      <c r="A14" s="2" t="inlineStr">
        <is>
          <t>Arezoo Ardekani</t>
        </is>
      </c>
      <c r="B14" s="2" t="inlineStr">
        <is>
          <t>Purdue University</t>
        </is>
      </c>
      <c r="C14" s="3">
        <f>HYPERLINK("https://engineering.purdue.edu/ME/People/ptProfile?resource_id=110641", "https://engineering.purdue.edu/ME/People/ptProfile?resource_id=110641")</f>
        <v/>
      </c>
      <c r="D14" s="3">
        <f>HYPERLINK("https://scholar.google.com/citations?view_op=search_authors&amp;mauthors=Arezoo%20Ardekani%20Purdue%20University", "Google Scholar Search")</f>
        <v/>
      </c>
      <c r="E14" s="2" t="inlineStr">
        <is>
          <t>Associate Head for Faculty Affairs, and Professor of Mechanical Engineering</t>
        </is>
      </c>
      <c r="F14" s="2" t="inlineStr">
        <is>
          <t>Mechanical Engineering</t>
        </is>
      </c>
      <c r="G14" s="2" t="inlineStr"/>
      <c r="H14" s="3">
        <f>HYPERLINK("mailto:ardekani@purdue.edu", "ardekani@purdue.edu")</f>
        <v/>
      </c>
      <c r="I14" s="2" t="n">
        <v>1</v>
      </c>
      <c r="J14" s="2" t="inlineStr">
        <is>
          <t>🔵 Tier 1: Core Aero / Fluids / Propulsion</t>
        </is>
      </c>
      <c r="K14" s="2" t="n">
        <v>6</v>
      </c>
      <c r="L14" s="2" t="inlineStr">
        <is>
          <t>fluid dynamics, fluid mechanics, fluids, microfluidics, multiphase flow, thermodynamics</t>
        </is>
      </c>
      <c r="M14" s="2" t="inlineStr"/>
      <c r="N14" s="2" t="inlineStr"/>
      <c r="O14" s="2" t="inlineStr"/>
      <c r="P14" s="2" t="inlineStr"/>
      <c r="Q14" s="2" t="inlineStr"/>
      <c r="R14" s="2" t="inlineStr">
        <is>
          <t>"A multiscale modeling framework for transport of PEGylated lipid nanoparticle through the extracellular matrix" [bioRxiv (Cold Spring Harbor Laboratory)] (2026) [DOI: https://doi.org/10.64898/2026.09.09.750406] | "A Review on Lymphatic Uptake of Large Therapeutic Proteins after Subcutaneous Injection" [Pharmaceutical Research] (2026) [DOI: https://doi.org/10.1007/s11095-026-04171-8] | "Protein-protein interactions and self-association of etanercept and immunoglobulin G1 in the bulk phase and at the air-water interface: Effects of NaCl and sucrose" [Journal of Colloid and Interface Science] (2026) [DOI: https://doi.org/10.1016/j.jcis.2026.141296]</t>
        </is>
      </c>
      <c r="S14" s="2" t="inlineStr">
        <is>
          <t>"Hydrodynamic mechanisms of cell and particle trapping in microfluidics" [Biomicrofluidics] (2013, 381 cites) [DOI: https://doi.org/10.1063/1.4799787] | "Hydrodynamic interaction of microswimmers near a wall" [Physical Review E] (2014, 214 cites) [DOI: https://doi.org/10.1103/physreve.90.013010] | "Interplay of physical mechanisms and biofilm processes: review of microfluidic methods" [Lab on a Chip] (2014, 183 cites) [DOI: https://doi.org/10.1039/c4lc01095g]</t>
        </is>
      </c>
      <c r="T14" s="2" t="inlineStr"/>
      <c r="U14" s="2" t="inlineStr">
        <is>
          <t>Outstanding Mechanical Engineers Distinguished Engineering Alumni Honorary Doctorates Staff Awards Student Awards Distinguished...</t>
        </is>
      </c>
      <c r="V14" s="2" t="inlineStr">
        <is>
          <t>Phone: +1 (765) 494-3975 Email: future-engineers@purdue.edu | Phone: +1 (765) 494-4873 Email: EngrGrad@purdue.edu</t>
        </is>
      </c>
      <c r="W14" s="2" t="inlineStr">
        <is>
          <t>Micro and Nano Robotics (75) | Microfluidic and Bio-sensing Technologies (60) | Particle Dynamics in Fluid Flows (49)</t>
        </is>
      </c>
      <c r="X14" s="2" t="inlineStr">
        <is>
          <t>Micro and Nano Robotics (75) | Microfluidic and Bio-sensing Technologies (60) | Particle Dynamics in Fluid Flows (49)</t>
        </is>
      </c>
      <c r="Y14" s="2" t="inlineStr">
        <is>
          <t>Fluid dynamics Biomaterial Multiphase flows Non-Newtonian fluid dynamics Microfluidics Complex fluids Soft matter</t>
        </is>
      </c>
      <c r="Z14" s="2" t="inlineStr">
        <is>
          <t>Thermodynamics Fluid Mechanics</t>
        </is>
      </c>
      <c r="AA14" s="2" t="inlineStr">
        <is>
          <t>Thermodynamics Fluid Mechanics</t>
        </is>
      </c>
      <c r="AB14" s="2" t="inlineStr">
        <is>
          <t>Shapiro Postdoctoral Fellow, Massachusetts Institute of Technology, '10 Ph.D., University of California Irvine, '09 M.S., University of California Irvine, '05, B.S., Sharif University of Technology, '03</t>
        </is>
      </c>
      <c r="AC14" s="2" t="inlineStr">
        <is>
          <t>Complex Flow Lab</t>
        </is>
      </c>
      <c r="AD14" s="3">
        <f>HYPERLINK("https://engineering.purdue.edu/ComplexFlowLab", "https://engineering.purdue.edu/ComplexFlowLab")</f>
        <v/>
      </c>
      <c r="AE14" s="2" t="inlineStr">
        <is>
          <t>For You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 |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t>
        </is>
      </c>
      <c r="AF14" s="2" t="inlineStr"/>
      <c r="AG14" s="2" t="inlineStr"/>
      <c r="AH14" s="2" t="inlineStr">
        <is>
          <t>DOE, NSF</t>
        </is>
      </c>
      <c r="AI14" s="2" t="inlineStr"/>
      <c r="AJ14" s="2" t="inlineStr"/>
      <c r="AK14" s="2" t="inlineStr">
        <is>
          <t>ME 2007F</t>
        </is>
      </c>
      <c r="AL14" s="2" t="b">
        <v>1</v>
      </c>
      <c r="AM14" s="3">
        <f>HYPERLINK("https://engineering.purdue.edu/ME/People/ptFaculty", "https://engineering.purdue.edu/ME/People/ptFaculty")</f>
        <v/>
      </c>
    </row>
    <row r="15">
      <c r="A15" s="2" t="inlineStr">
        <is>
          <t>Daniel Guildenbecher</t>
        </is>
      </c>
      <c r="B15" s="2" t="inlineStr">
        <is>
          <t>Purdue University</t>
        </is>
      </c>
      <c r="C15" s="3">
        <f>HYPERLINK("https://engineering.purdue.edu/ME/People/ptProfile?resource_id=281457", "https://engineering.purdue.edu/ME/People/ptProfile?resource_id=281457")</f>
        <v/>
      </c>
      <c r="D15" s="3">
        <f>HYPERLINK("https://scholar.google.com/citations?view_op=search_authors&amp;mauthors=Daniel%20Guildenbecher%20Purdue%20University", "Google Scholar Search")</f>
        <v/>
      </c>
      <c r="E15" s="2" t="inlineStr">
        <is>
          <t>Associate Professor of Mechanical Engineering</t>
        </is>
      </c>
      <c r="F15" s="2" t="inlineStr">
        <is>
          <t>Mechanical Engineering</t>
        </is>
      </c>
      <c r="G15" s="2" t="inlineStr"/>
      <c r="H15" s="3">
        <f>HYPERLINK("mailto:dguilden@purdue.edu", "dguilden@purdue.edu")</f>
        <v/>
      </c>
      <c r="I15" s="2" t="n">
        <v>1</v>
      </c>
      <c r="J15" s="2" t="inlineStr">
        <is>
          <t>🔵 Tier 1: Core Aero / Fluids / Propulsion</t>
        </is>
      </c>
      <c r="K15" s="2" t="n">
        <v>6</v>
      </c>
      <c r="L15" s="2" t="inlineStr">
        <is>
          <t>combustion, fluid mechanics, hydrodynamics, materials, multiphase flow, thermodynamics</t>
        </is>
      </c>
      <c r="M15" s="2" t="inlineStr"/>
      <c r="N15" s="2" t="inlineStr"/>
      <c r="O15" s="2" t="inlineStr"/>
      <c r="P15" s="2" t="inlineStr"/>
      <c r="Q15" s="2" t="inlineStr"/>
      <c r="R15" s="2" t="inlineStr">
        <is>
          <t>"Direct burn rate measurement of levitated aluminum particles by digital holography" [Combustion and Flame] (2026) [DOI: https://doi.org/10.1016/j.combustflame.2026.115159] | "Corrections for accurate measurements of particle extinction in scattering media using collimated and diffuse illumination" [Optics Express] (2026) [DOI: https://doi.org/10.1364/oe.591768] | "KHz rate 3D white light particle tracking with a tunable acoustic gradient (TAG) lens" [Optics Express] (2026) [DOI: https://doi.org/10.1364/oe.588303]</t>
        </is>
      </c>
      <c r="S15" s="2" t="inlineStr">
        <is>
          <t>"Secondary atomization" [Experiments in Fluids] (2009, 621 cites) [DOI: https://doi.org/10.1007/s00348-008-0593-2] | "Study of aluminum particle combustion in solid propellant plumes using digital in-line holography and imaging pyrometry" [Combustion and Flame] (2017, 244 cites) [DOI: https://doi.org/10.1016/j.combustflame.2017.04.016] | "Experimental statistics of droplet trajectory and air flow during aerodynamic fragmentation of liquid drops" [International Journal of Multiphase Flow] (2012, 141 cites) [DOI: https://doi.org/10.1016/j.ijmultiphaseflow.2012.06.008]</t>
        </is>
      </c>
      <c r="T15" s="2" t="inlineStr"/>
      <c r="U15" s="2" t="inlineStr">
        <is>
          <t>Outstanding Mechanical Engineers Distinguished Engineering Alumni Honorary Doctorates Staff Awards Student Awards Distinguished...</t>
        </is>
      </c>
      <c r="V15" s="2" t="inlineStr">
        <is>
          <t>Phone: +1 (765) 494-3975 Email: future-engineers@purdue.edu | Phone: +1 (765) 494-4873 Email: EngrGrad@purdue.edu</t>
        </is>
      </c>
      <c r="W15" s="2" t="inlineStr">
        <is>
          <t>Fluid Dynamics and Heat Transfer (42) | Digital Holography and Microscopy (40) | Energetic Materials and Combustion (38)</t>
        </is>
      </c>
      <c r="X15" s="2" t="inlineStr">
        <is>
          <t>Fluid Dynamics and Heat Transfer (42) | Digital Holography and Microscopy (40) | Energetic Materials and Combustion (38)</t>
        </is>
      </c>
      <c r="Y15" s="2" t="inlineStr">
        <is>
          <t>Multiphase flows Laser and high-speed imaging diagnostics Energetic materials (e.g., explosives &amp; propellants) hydrodynamics, combustion, and model validation Sprays and atomization High-speed fluid mechanics</t>
        </is>
      </c>
      <c r="Z15" s="2" t="inlineStr">
        <is>
          <t>Thermodynamics Fluid Mechanics</t>
        </is>
      </c>
      <c r="AA15" s="2" t="inlineStr">
        <is>
          <t>Thermodynamics Fluid Mechanics</t>
        </is>
      </c>
      <c r="AB15" s="2" t="inlineStr">
        <is>
          <t>B.S. in Mechanical Engineering, Purdue University, 2006 Ph.D. in Mechanical Engineering, Purdue University, 2009</t>
        </is>
      </c>
      <c r="AC15" s="2" t="inlineStr">
        <is>
          <t>Guildenbecher Research Group</t>
        </is>
      </c>
      <c r="AD15" s="3">
        <f>HYPERLINK("https://engineering.purdue.edu/GuildenbecherLab", "https://engineering.purdue.edu/GuildenbecherLab")</f>
        <v/>
      </c>
      <c r="AE15" s="2" t="inlineStr">
        <is>
          <t>For You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 |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t>
        </is>
      </c>
      <c r="AF15" s="2" t="inlineStr"/>
      <c r="AG15" s="2" t="inlineStr"/>
      <c r="AH15" s="2" t="inlineStr">
        <is>
          <t>DOE</t>
        </is>
      </c>
      <c r="AI15" s="2" t="inlineStr"/>
      <c r="AJ15" s="2" t="inlineStr"/>
      <c r="AK15" s="2" t="inlineStr"/>
      <c r="AL15" s="2" t="b">
        <v>1</v>
      </c>
      <c r="AM15" s="3">
        <f>HYPERLINK("https://engineering.purdue.edu/ME/People/ptFaculty", "https://engineering.purdue.edu/ME/People/ptFaculty")</f>
        <v/>
      </c>
    </row>
    <row r="16">
      <c r="A16" s="2" t="inlineStr">
        <is>
          <t>John Mullin</t>
        </is>
      </c>
      <c r="B16" s="2" t="inlineStr">
        <is>
          <t>Purdue University</t>
        </is>
      </c>
      <c r="C16" s="3">
        <f>HYPERLINK("https://engineering.purdue.edu/AAE/people/ptProfile?resource_id=339087", "https://engineering.purdue.edu/AAE/people/ptProfile?resource_id=339087")</f>
        <v/>
      </c>
      <c r="D16" s="3">
        <f>HYPERLINK("https://scholar.google.com/citations?view_op=search_authors&amp;mauthors=John%20Mullin%20Purdue%20University", "Google Scholar Search")</f>
        <v/>
      </c>
      <c r="E16" s="2" t="inlineStr">
        <is>
          <t>Associate Professor Of Engineering Practice</t>
        </is>
      </c>
      <c r="F16" s="2" t="inlineStr">
        <is>
          <t>Aeronautics and Astronautics</t>
        </is>
      </c>
      <c r="G16" s="2" t="inlineStr"/>
      <c r="H16" s="3">
        <f>HYPERLINK("mailto:webmaster-eng@purdue.edu", "webmaster-eng@purdue.edu")</f>
        <v/>
      </c>
      <c r="I16" s="2" t="n">
        <v>1</v>
      </c>
      <c r="J16" s="2" t="inlineStr">
        <is>
          <t>🔵 Tier 1: Core Aero / Fluids / Propulsion</t>
        </is>
      </c>
      <c r="K16" s="2" t="n">
        <v>6</v>
      </c>
      <c r="L16" s="2" t="inlineStr">
        <is>
          <t>aerodynamics, aerospace, fluid dynamics, reacting flow, satellite, turbulence</t>
        </is>
      </c>
      <c r="M16" s="2" t="inlineStr"/>
      <c r="N16" s="2" t="inlineStr"/>
      <c r="O16" s="2" t="inlineStr"/>
      <c r="P16" s="2" t="inlineStr"/>
      <c r="Q16" s="2" t="inlineStr"/>
      <c r="R16" s="2" t="inlineStr"/>
      <c r="S16" s="2" t="inlineStr">
        <is>
          <t>"Interpretation of crystallization induction periods" [Journal of Colloid and Interface Science] (1988, 390 cites) [DOI: https://doi.org/10.1016/0021-9797(88)90219-6] | "Precipitation of calcium carbonate" [Journal of Crystal Growth] (1982, 328 cites) [DOI: https://doi.org/10.1016/0022-0248(82)90095-1] | "Recrystallization" [Elsevier eBooks] (2001, 317 cites) [DOI: https://doi.org/10.1016/b978-075064833-2/50009-7]</t>
        </is>
      </c>
      <c r="T16" s="2" t="inlineStr"/>
      <c r="U16" s="2" t="inlineStr">
        <is>
          <t>NGAS Executive Leadership Program, 2025 NGC Global Capture Program, 2024 USC Leadership Certificate, 2010 NGAS President Award ...</t>
        </is>
      </c>
      <c r="V16" s="2" t="inlineStr"/>
      <c r="W16" s="2" t="inlineStr">
        <is>
          <t>Crystallization and Solubility Studies (76) | Chemical and Physical Properties in Aqueous Solutions (23) | nanoparticles nucleation surface interactions (22)</t>
        </is>
      </c>
      <c r="X16" s="2" t="inlineStr">
        <is>
          <t>Crystallization and Solubility Studies (76) | Chemical and Physical Properties in Aqueous Solutions (23) | nanoparticles nucleation surface interactions (22)</t>
        </is>
      </c>
      <c r="Y16" s="2" t="inlineStr">
        <is>
          <t>Aerospace Systems and Design; Aerodynamics Worked on the Airborne Laser Program, JWST MIRI Cyrocooler, Next Gen Polar Missile Warning Satellite, Strike Aircraft, VTOL Aircraft and Collaborative Combat Aircraft</t>
        </is>
      </c>
      <c r="Z16" s="2" t="inlineStr">
        <is>
          <t>Fluid dynamics, turbulence, reacting and non-reacting flows Aerospace and Defense Industry and Education Curriculum</t>
        </is>
      </c>
      <c r="AA16" s="2" t="inlineStr">
        <is>
          <t>Fluid dynamics, turbulence, reacting and non-reacting flows Aerospace and Defense Industry and Education Curriculum</t>
        </is>
      </c>
      <c r="AB16" s="2" t="inlineStr">
        <is>
          <t>MS &amp; PhD, Aerospace Engineering, University Michigan, 2004 BS, Aerospace Engineering, University of Southern California, 1995</t>
        </is>
      </c>
      <c r="AC16" s="2" t="inlineStr">
        <is>
          <t>Indiana Space Grant Consortium</t>
        </is>
      </c>
      <c r="AD16" s="3">
        <f>HYPERLINK("https://insgc.spacegrant.org/", "https://insgc.spacegrant.org/")</f>
        <v/>
      </c>
      <c r="AE16" s="2" t="inlineStr">
        <is>
          <t>Academic INSGC Internships</t>
        </is>
      </c>
      <c r="AF16" s="2" t="inlineStr"/>
      <c r="AG16" s="2" t="inlineStr"/>
      <c r="AH16" s="2" t="inlineStr">
        <is>
          <t>NASA</t>
        </is>
      </c>
      <c r="AI16" s="2" t="inlineStr"/>
      <c r="AJ16" s="2" t="inlineStr"/>
      <c r="AK16" s="2" t="inlineStr">
        <is>
          <t>ARMS 3211</t>
        </is>
      </c>
      <c r="AL16" s="2" t="b">
        <v>1</v>
      </c>
      <c r="AM16" s="3">
        <f>HYPERLINK("https://engineering.purdue.edu/AAE/people/Faculty", "https://engineering.purdue.edu/AAE/people/Faculty")</f>
        <v/>
      </c>
    </row>
    <row r="17">
      <c r="A17" s="2" t="inlineStr">
        <is>
          <t>Luciano Castillo</t>
        </is>
      </c>
      <c r="B17" s="2" t="inlineStr">
        <is>
          <t>Purdue University</t>
        </is>
      </c>
      <c r="C17" s="3">
        <f>HYPERLINK("https://engineering.purdue.edu/ME/People/ptProfile?resource_id=173054", "https://engineering.purdue.edu/ME/People/ptProfile?resource_id=173054")</f>
        <v/>
      </c>
      <c r="D17" s="3">
        <f>HYPERLINK("https://scholar.google.com/citations?view_op=search_authors&amp;mauthors=Luciano%20Castillo%20Purdue%20University", "Google Scholar Search")</f>
        <v/>
      </c>
      <c r="E17" s="2" t="inlineStr">
        <is>
          <t>Kenninger Professor of Renewable Energy and Power Systems</t>
        </is>
      </c>
      <c r="F17" s="2" t="inlineStr">
        <is>
          <t>Mechanical Engineering</t>
        </is>
      </c>
      <c r="G17" s="2" t="inlineStr"/>
      <c r="H17" s="3">
        <f>HYPERLINK("mailto:lcastillo@purdue.edu", "lcastillo@purdue.edu")</f>
        <v/>
      </c>
      <c r="I17" s="2" t="n">
        <v>1</v>
      </c>
      <c r="J17" s="2" t="inlineStr">
        <is>
          <t>🔵 Tier 1: Core Aero / Fluids / Propulsion</t>
        </is>
      </c>
      <c r="K17" s="2" t="n">
        <v>6</v>
      </c>
      <c r="L17" s="2" t="inlineStr">
        <is>
          <t>boundary layer, fluid mechanics, thermal, thermodynamics, turbulence, turbulent</t>
        </is>
      </c>
      <c r="M17" s="2" t="inlineStr"/>
      <c r="N17" s="2" t="inlineStr"/>
      <c r="O17" s="2" t="inlineStr"/>
      <c r="P17" s="2" t="inlineStr"/>
      <c r="Q17" s="2" t="inlineStr"/>
      <c r="R17" s="2" t="inlineStr">
        <is>
          <t>"Polluted-Air Direct Capture Using a $$\textrm{CO}_2$$ Liquid Filter" (2026) [DOI: https://doi.org/10.1007/978-3-032-07974-9_3] | "Quantification Methodology of Offshore and Onshore Sargassum in Eastern Puerto Rico" (2026) [DOI: https://doi.org/10.1007/978-3-032-07974-9_31] | "Building Future Engineers: Students’ Engagement with the Engineering Design Process" (2026) [DOI: https://doi.org/10.1007/978-3-032-07974-9_39]</t>
        </is>
      </c>
      <c r="S17" s="2" t="inlineStr">
        <is>
          <t>"Zero-Pressure-Gradient Turbulent Boundary Layer" [Applied Mechanics Reviews] (1997, 390 cites) [DOI: https://doi.org/10.1115/1.3101858] | "Experimental study of the horizontally averaged flow structure in a model wind-turbine array boundary layer" [Journal of Renewable and Sustainable Energy] (2010, 356 cites) [DOI: https://doi.org/10.1063/1.3289735] | "Unrestricted wind farm layout optimization (UWFLO): Investigating key factors influencing the maximum power generation" [Renewable Energy] (2011, 339 cites) [DOI: https://doi.org/10.1016/j.renene.2011.06.033]</t>
        </is>
      </c>
      <c r="T17" s="2" t="inlineStr"/>
      <c r="U17" s="2" t="inlineStr">
        <is>
          <t>Outstanding Mechanical Engineers Distinguished Engineering Alumni Honorary Doctorates Staff Awards Student Awards Distinguished...</t>
        </is>
      </c>
      <c r="V17" s="2" t="inlineStr"/>
      <c r="W17" s="2" t="inlineStr">
        <is>
          <t>Fluid Dynamics and Turbulent Flows (199) | Wind and Air Flow Studies (116) | Heat Transfer Mechanisms (72)</t>
        </is>
      </c>
      <c r="X17" s="2" t="inlineStr">
        <is>
          <t>Fluid Dynamics and Turbulent Flows (199) | Wind and Air Flow Studies (116) | Heat Transfer Mechanisms (72)</t>
        </is>
      </c>
      <c r="Y17" s="2" t="inlineStr">
        <is>
          <t>Modeling, Experiments and Simulations of turbulent boundary layers: role of initial conditions and bio-inspired micro-surfaces on evolution of velocity/thermal fields. Importance of turbulence and complex topography on wind energy. Integration of renewable with water and thermal storage. Translational research focus on renewable energy &amp; society Wall interaction (e.g., bio-inspired micro surfaces) in respiratory flows Big data in turbulence, renewable energy and biomedical engineering. Energy and social equality</t>
        </is>
      </c>
      <c r="Z17" s="2" t="inlineStr">
        <is>
          <t>Thermodynamics Fluid Mechanics Heat &amp; Mass Transfer</t>
        </is>
      </c>
      <c r="AA17" s="2" t="inlineStr">
        <is>
          <t>Thermodynamics Fluid Mechanics Heat &amp; Mass Transfer</t>
        </is>
      </c>
      <c r="AB17" s="2" t="inlineStr"/>
      <c r="AC17" s="2" t="inlineStr">
        <is>
          <t>Blue Integrated Partnerships</t>
        </is>
      </c>
      <c r="AD17" s="3">
        <f>HYPERLINK("https://blueintegratedpartners.org/", "https://blueintegratedpartners.org/")</f>
        <v/>
      </c>
      <c r="AE17" s="2" t="inlineStr"/>
      <c r="AF17" s="2" t="inlineStr"/>
      <c r="AG17" s="2" t="inlineStr">
        <is>
          <t>Cluster</t>
        </is>
      </c>
      <c r="AH17" s="2" t="inlineStr"/>
      <c r="AI17" s="2" t="inlineStr"/>
      <c r="AJ17" s="2" t="inlineStr"/>
      <c r="AK17" s="2" t="inlineStr"/>
      <c r="AL17" s="2" t="b">
        <v>1</v>
      </c>
      <c r="AM17" s="3">
        <f>HYPERLINK("https://engineering.purdue.edu/ME/People/ptFaculty", "https://engineering.purdue.edu/ME/People/ptFaculty")</f>
        <v/>
      </c>
    </row>
    <row r="18">
      <c r="A18" s="2" t="inlineStr">
        <is>
          <t>Robert Lucht</t>
        </is>
      </c>
      <c r="B18" s="2" t="inlineStr">
        <is>
          <t>Purdue University</t>
        </is>
      </c>
      <c r="C18" s="3">
        <f>HYPERLINK("https://engineering.purdue.edu/AAE/people/ptProfile?resource_id=28413", "https://engineering.purdue.edu/AAE/people/ptProfile?resource_id=28413")</f>
        <v/>
      </c>
      <c r="D18" s="3">
        <f>HYPERLINK("https://scholar.google.com/citations?view_op=search_authors&amp;mauthors=Robert%20Lucht%20Purdue%20University", "Google Scholar Search")</f>
        <v/>
      </c>
      <c r="E18" s="2" t="inlineStr">
        <is>
          <t>Ralph and Bettye Bailey Distinguished Professor of Mechanical Engineering</t>
        </is>
      </c>
      <c r="F18" s="2" t="inlineStr">
        <is>
          <t>Aeronautics and Astronautics</t>
        </is>
      </c>
      <c r="G18" s="2" t="inlineStr"/>
      <c r="H18" s="3">
        <f>HYPERLINK("mailto:lucht@purdue.edu", "lucht@purdue.edu")</f>
        <v/>
      </c>
      <c r="I18" s="2" t="n">
        <v>1</v>
      </c>
      <c r="J18" s="2" t="inlineStr">
        <is>
          <t>🔵 Tier 1: Core Aero / Fluids / Propulsion</t>
        </is>
      </c>
      <c r="K18" s="2" t="n">
        <v>6</v>
      </c>
      <c r="L18" s="2" t="inlineStr">
        <is>
          <t>combustion, fluid mechanics, heat transfer, materials, propulsion, thermodynamics</t>
        </is>
      </c>
      <c r="M18" s="2" t="inlineStr"/>
      <c r="N18" s="2" t="inlineStr"/>
      <c r="O18" s="2" t="inlineStr"/>
      <c r="P18" s="2" t="inlineStr"/>
      <c r="Q18" s="2" t="inlineStr"/>
      <c r="R18" s="2" t="inlineStr">
        <is>
          <t>"Coherent Stokes Raman Scattering for Simultaneous Measurement of CO 2 and CH 4 Temperatures" [Journal of Raman Spectroscopy] (2026) [DOI: https://doi.org/10.1002/jrs.70176] | "One-dimensional time-resolved single-shot femtosecond coherent anti-Stokes Raman scattering thermometry in reacting thermal gradients" [Applied Optics] (2026) [DOI: https://doi.org/10.1364/ao.583207] | "Methodology for Unsteady Exhaust Emissions Characterization in High-Pressure Hydrogen–Ammonia–Methane Flames" (2026) [DOI: https://doi.org/10.2514/6.2026-1621]</t>
        </is>
      </c>
      <c r="S18" s="2" t="inlineStr">
        <is>
          <t>"Nitrogen and hydrogen CARS temperature measurements in a hydrogen/air flame using a near-adiabatic flat-flame burner" [Combustion and Flame] (1997, 191 cites) [DOI: https://doi.org/10.1016/s0010-2180(96)00191-5] | "Mixing of a Sonic Transverse Jet Injected into a Supersonic Flow" [AIAA Journal] (2000, 179 cites) [DOI: https://doi.org/10.2514/2.984] | "Label-Free Bond-Selective Imaging by Listening to Vibrationally Excited Molecules" [Physical Review Letters] (2011, 167 cites) [DOI: https://doi.org/10.1103/physrevlett.106.238106]</t>
        </is>
      </c>
      <c r="T18" s="2" t="inlineStr"/>
      <c r="U18" s="2" t="inlineStr"/>
      <c r="V18" s="2" t="inlineStr"/>
      <c r="W18" s="2" t="inlineStr">
        <is>
          <t>Combustion and flame dynamics (241) | Spectroscopy and Laser Applications (186) | Advanced Combustion Engine Technologies (114)</t>
        </is>
      </c>
      <c r="X18" s="2" t="inlineStr">
        <is>
          <t>Combustion and flame dynamics (241) | Spectroscopy and Laser Applications (186) | Advanced Combustion Engine Technologies (114)</t>
        </is>
      </c>
      <c r="Y18" s="2" t="inlineStr">
        <is>
          <t>Laser diagnostics Diode-laser-based sensors Gas turbine and internal engine combustion Materials processing and synthesis Combustion science Fluid mechanics and heat transfer</t>
        </is>
      </c>
      <c r="Z18" s="2" t="inlineStr">
        <is>
          <t>Combustion, Energy Utilization, and Thermodynamics Fluid Mechanics &amp; Propulsion Systems, Measurement, and Control Research Links Personal Homepage Faculty Research Presentation Edit var myPronunciation=document.getElementById("pronunciation");
    function play() {
    myPronunciation.play();
    }
    function pause() {
    myPronunciation.pause();
    }</t>
        </is>
      </c>
      <c r="AA18" s="2" t="inlineStr">
        <is>
          <t>Combustion, Energy Utilization, and Thermodynamics Fluid Mechanics &amp; Propulsion Systems, Measurement, and Control Research Links Personal Homepage Faculty Research Presentation Edit var myPronunciation=document.getElementById("pronunciation");
    function play() {
    myPronunciation.play();
    }
    function pause() {
    myPronunciation.pause();
    }</t>
        </is>
      </c>
      <c r="AB18" s="2" t="inlineStr">
        <is>
          <t>Ph.D., Purdue, 1981 M.S., Purdue, 1979 B.S., Purdue, 1977</t>
        </is>
      </c>
      <c r="AC18" s="2" t="inlineStr">
        <is>
          <t>Indiana Space Grant Consortium</t>
        </is>
      </c>
      <c r="AD18" s="3">
        <f>HYPERLINK("https://insgc.spacegrant.org/", "https://insgc.spacegrant.org/")</f>
        <v/>
      </c>
      <c r="AE18" s="2" t="inlineStr">
        <is>
          <t>Academic INSGC Internships</t>
        </is>
      </c>
      <c r="AF18" s="2" t="inlineStr"/>
      <c r="AG18" s="2" t="inlineStr"/>
      <c r="AH18" s="2" t="inlineStr">
        <is>
          <t>NASA</t>
        </is>
      </c>
      <c r="AI18" s="2" t="inlineStr"/>
      <c r="AJ18" s="2" t="inlineStr"/>
      <c r="AK18" s="2" t="inlineStr"/>
      <c r="AL18" s="2" t="b">
        <v>1</v>
      </c>
      <c r="AM18" s="3">
        <f>HYPERLINK("https://engineering.purdue.edu/AAE/people/Faculty", "https://engineering.purdue.edu/AAE/people/Faculty")</f>
        <v/>
      </c>
    </row>
    <row r="19">
      <c r="A19" s="2" t="inlineStr">
        <is>
          <t>Sadegh Dabiri</t>
        </is>
      </c>
      <c r="B19" s="2" t="inlineStr">
        <is>
          <t>Purdue University</t>
        </is>
      </c>
      <c r="C19" s="3">
        <f>HYPERLINK("https://engineering.purdue.edu/ME/People/ptProfile?resource_id=105717", "https://engineering.purdue.edu/ME/People/ptProfile?resource_id=105717")</f>
        <v/>
      </c>
      <c r="D19" s="3">
        <f>HYPERLINK("https://scholar.google.com/citations?view_op=search_authors&amp;mauthors=Sadegh%20Dabiri%20Purdue%20University", "Google Scholar Search")</f>
        <v/>
      </c>
      <c r="E19" s="2" t="inlineStr">
        <is>
          <t>Associate Professor of Agricultural and Biological Engineering, and Mechanical Engineering</t>
        </is>
      </c>
      <c r="F19" s="2" t="inlineStr">
        <is>
          <t>Mechanical Engineering</t>
        </is>
      </c>
      <c r="G19" s="2" t="inlineStr"/>
      <c r="H19" s="3">
        <f>HYPERLINK("mailto:dabiri@purdue.edu", "dabiri@purdue.edu")</f>
        <v/>
      </c>
      <c r="I19" s="2" t="n">
        <v>1</v>
      </c>
      <c r="J19" s="2" t="inlineStr">
        <is>
          <t>🔵 Tier 1: Core Aero / Fluids / Propulsion</t>
        </is>
      </c>
      <c r="K19" s="2" t="n">
        <v>6</v>
      </c>
      <c r="L19" s="2" t="inlineStr">
        <is>
          <t>aerospace, cfd, fluid mechanics, heat transfer, multiphase flow, turbulent</t>
        </is>
      </c>
      <c r="M19" s="2" t="inlineStr"/>
      <c r="N19" s="2" t="inlineStr"/>
      <c r="O19" s="2" t="inlineStr"/>
      <c r="P19" s="2" t="inlineStr"/>
      <c r="Q19" s="2" t="inlineStr"/>
      <c r="R19" s="2" t="inlineStr">
        <is>
          <t>"Raman microscopy and FTIR spectroscopy of protein-attached chromatography resins for process analytical technology (PAT)" [ChemRxiv] (2026) [DOI: https://doi.org/10.26434/chemrxiv.15001003/v1] | "Perivascular interactions and tissue properties modulate directional glymphatic transport in the brain" [Fluids and Barriers of the CNS] (2025) [DOI: https://doi.org/10.1186/s12987-025-00668-3] | "An arbitrary Lagrangian discrete least squares meshfree method for discontinuity capturing with application in the Saint–Venant equations" [Engineering With Computers] (2025) [DOI: https://doi.org/10.1007/s00366-025-02140-0]</t>
        </is>
      </c>
      <c r="S19" s="2" t="inlineStr">
        <is>
          <t>"Fully resolved numerical simulations of fused deposition modeling. Part I: fluid flow" [Rapid Prototyping Journal] (2018, 138 cites) [DOI: https://doi.org/10.1108/rpj-12-2016-0217] | "A model for a laser-induced cavitation bubble" [International Journal of Multiphase Flow] (2020, 96 cites) [DOI: https://doi.org/10.1016/j.ijmultiphaseflow.2020.103433] | "Cavitation in an orifice flow" [Physics of Fluids] (2007, 75 cites) [DOI: https://doi.org/10.1063/1.2750655]</t>
        </is>
      </c>
      <c r="T19" s="2" t="inlineStr"/>
      <c r="U19" s="2" t="inlineStr">
        <is>
          <t>Outstanding Mechanical Engineers Distinguished Engineering Alumni Honorary Doctorates Staff Awards Student Awards Distinguished...</t>
        </is>
      </c>
      <c r="V19" s="2" t="inlineStr"/>
      <c r="W19" s="2" t="inlineStr">
        <is>
          <t>Fluid Dynamics and Mixing (31) | Fluid Dynamics and Heat Transfer (29) | Particle Dynamics in Fluid Flows (11)</t>
        </is>
      </c>
      <c r="X19" s="2" t="inlineStr">
        <is>
          <t>Fluid Dynamics and Mixing (31) | Fluid Dynamics and Heat Transfer (29) | Particle Dynamics in Fluid Flows (11)</t>
        </is>
      </c>
      <c r="Y19" s="2" t="inlineStr">
        <is>
          <t>CFD of multiphase flows Turbulent gas-liquid flows Cavitation Heat transfer</t>
        </is>
      </c>
      <c r="Z19" s="2" t="inlineStr">
        <is>
          <t>Fluid Mechanics Heat &amp; Mass Transfer</t>
        </is>
      </c>
      <c r="AA19" s="2" t="inlineStr">
        <is>
          <t>Fluid Mechanics Heat &amp; Mass Transfer</t>
        </is>
      </c>
      <c r="AB19" s="2" t="inlineStr">
        <is>
          <t>Postdoctoral Associate, Mechanical Eng., MIT, '09-'10 Ph.D. Aerospace and Mechanical Eng., UC Irvine,  '09 M.Sc. Aerospace and Mechanical Eng., UC Irvine,  '05 B.Sc. Mechanical Eng., Sharif University of Technology, Iran, '03</t>
        </is>
      </c>
      <c r="AC19" s="2" t="inlineStr">
        <is>
          <t>Personal Homepage</t>
        </is>
      </c>
      <c r="AD19" s="3">
        <f>HYPERLINK("http://web.ics.purdue.edu/~sdabiris/", "http://web.ics.purdue.edu/~sdabiris/")</f>
        <v/>
      </c>
      <c r="AE19" s="2" t="inlineStr"/>
      <c r="AF19" s="2" t="inlineStr"/>
      <c r="AG19" s="2" t="inlineStr"/>
      <c r="AH19" s="2" t="inlineStr"/>
      <c r="AI19" s="2" t="inlineStr"/>
      <c r="AJ19" s="2" t="inlineStr"/>
      <c r="AK19" s="2" t="inlineStr"/>
      <c r="AL19" s="2" t="b">
        <v>1</v>
      </c>
      <c r="AM19" s="3">
        <f>HYPERLINK("https://engineering.purdue.edu/ME/People/ptFaculty", "https://engineering.purdue.edu/ME/People/ptFaculty")</f>
        <v/>
      </c>
    </row>
    <row r="20">
      <c r="A20" s="2" t="inlineStr">
        <is>
          <t>Tom Shih</t>
        </is>
      </c>
      <c r="B20" s="2" t="inlineStr">
        <is>
          <t>Purdue University</t>
        </is>
      </c>
      <c r="C20" s="3">
        <f>HYPERLINK("https://engineering.purdue.edu/AAE/people/ptProfile?resource_id=56893", "https://engineering.purdue.edu/AAE/people/ptProfile?resource_id=56893")</f>
        <v/>
      </c>
      <c r="D20" s="3">
        <f>HYPERLINK("https://scholar.google.com/citations?view_op=search_authors&amp;mauthors=Tom%20Shih%20Purdue%20University", "Google Scholar Search")</f>
        <v/>
      </c>
      <c r="E20" s="2" t="inlineStr">
        <is>
          <t>Professor of Aeronautics and Astronautics</t>
        </is>
      </c>
      <c r="F20" s="2" t="inlineStr">
        <is>
          <t>Aeronautics and Astronautics</t>
        </is>
      </c>
      <c r="G20" s="2" t="inlineStr"/>
      <c r="H20" s="3">
        <f>HYPERLINK("mailto:tomshih@purdue.edu", "tomshih@purdue.edu")</f>
        <v/>
      </c>
      <c r="I20" s="2" t="n">
        <v>1</v>
      </c>
      <c r="J20" s="2" t="inlineStr">
        <is>
          <t>🔵 Tier 1: Core Aero / Fluids / Propulsion</t>
        </is>
      </c>
      <c r="K20" s="2" t="n">
        <v>6</v>
      </c>
      <c r="L20" s="2" t="inlineStr">
        <is>
          <t>cfd, computational fluid dynamics, estimation, fluid dynamics, heat transfer, thermal</t>
        </is>
      </c>
      <c r="M20" s="2" t="inlineStr"/>
      <c r="N20" s="2" t="inlineStr"/>
      <c r="O20" s="2" t="inlineStr"/>
      <c r="P20" s="2" t="inlineStr"/>
      <c r="Q20" s="2" t="inlineStr"/>
      <c r="R20" s="2" t="inlineStr">
        <is>
          <t>"Outflow Boundary Conditions for Turbine-Integrated Rotating Detonation Combustors" [Applied Sciences] (2025) [DOI: https://doi.org/10.3390/app152211922] | "Revisiting Dimensionless Parameters Quantifying Film Cooling" [Journal of Turbomachinery] (2025) [DOI: https://doi.org/10.1115/1.4067931] | "Flow and Heat Transfer in a Ribbed Converging-Diverging U-Duct Under Rotating and Non-Rotating Conditions" [Journal of Turbomachinery] (2024) [DOI: https://doi.org/10.1115/1.4066567]</t>
        </is>
      </c>
      <c r="S20" s="2" t="inlineStr">
        <is>
          <t>"Mechanics of Fluids" [Medical Entomology and Zoology] (2012, 189 cites) [DOI: http://ci.nii.ac.jp/ncid/BA12971383] | "Single-phase and Two-phase Flow and Heat Transfer in Microchannel Heat Sink with Various Manifold Arrangements" [International Journal of Heat and Mass Transfer] (2021, 162 cites) [DOI: https://doi.org/10.1016/j.ijheatmasstransfer.2021.121118] | "Large-Eddy Simulations of Turbulent Flows in an Axisymmetric Dump Combustor" [AIAA Journal] (2008, 58 cites) [DOI: https://doi.org/10.2514/1.25467]</t>
        </is>
      </c>
      <c r="T20" s="2" t="inlineStr"/>
      <c r="U20" s="2" t="inlineStr">
        <is>
          <t>Honors Fellow, American Society of Mechanical Engineers (ASME) Fellow, American Institute of Aeronautics and Astronautics (AIAA...</t>
        </is>
      </c>
      <c r="V20" s="2" t="inlineStr"/>
      <c r="W20" s="2" t="inlineStr">
        <is>
          <t>Fluid Dynamics and Turbulent Flows (50) | Heat Transfer Mechanisms (45) | Computational Fluid Dynamics and Aerodynamics (33)</t>
        </is>
      </c>
      <c r="X20" s="2" t="inlineStr">
        <is>
          <t>Fluid Dynamics and Turbulent Flows (50) | Heat Transfer Mechanisms (45) | Computational Fluid Dynamics and Aerodynamics (33)</t>
        </is>
      </c>
      <c r="Y20" s="2" t="inlineStr">
        <is>
          <t>computational fluid dynamics and heat transfer, error estimation in CFD, thermal management, gas turbine aero-thermal, control of shock-wave/boundary-layer interactions, aircraft icing</t>
        </is>
      </c>
      <c r="Z20" s="2" t="inlineStr"/>
      <c r="AA20" s="2" t="inlineStr">
        <is>
          <t>computational fluid dynamics and heat transfer, error estimation in CFD, thermal management, gas turbine aero-thermal, control of shock-wave/boundary-layer interactions, aircraft icing</t>
        </is>
      </c>
      <c r="AB20" s="2" t="inlineStr">
        <is>
          <t>Freshman Year, West Virginia University, 1971-72 B.S.E., National Cheng Kung University, 1976 M.S.E., The University of Michigan, 1977 Ph.D., The University of Michigan, 1981</t>
        </is>
      </c>
      <c r="AC20" s="2" t="inlineStr">
        <is>
          <t>Indiana Space Grant Consortium</t>
        </is>
      </c>
      <c r="AD20" s="3">
        <f>HYPERLINK("https://insgc.spacegrant.org/", "https://insgc.spacegrant.org/")</f>
        <v/>
      </c>
      <c r="AE20" s="2" t="inlineStr">
        <is>
          <t>Academic INSGC Internships</t>
        </is>
      </c>
      <c r="AF20" s="2" t="inlineStr"/>
      <c r="AG20" s="2" t="inlineStr"/>
      <c r="AH20" s="2" t="inlineStr">
        <is>
          <t>NASA</t>
        </is>
      </c>
      <c r="AI20" s="2" t="inlineStr"/>
      <c r="AJ20" s="2" t="inlineStr"/>
      <c r="AK20" s="2" t="inlineStr">
        <is>
          <t>ARMS 3307</t>
        </is>
      </c>
      <c r="AL20" s="2" t="b">
        <v>1</v>
      </c>
      <c r="AM20" s="3">
        <f>HYPERLINK("https://engineering.purdue.edu/AAE/people/Faculty", "https://engineering.purdue.edu/AAE/people/Faculty")</f>
        <v/>
      </c>
    </row>
    <row r="21">
      <c r="A21" s="2" t="inlineStr">
        <is>
          <t>Kyle DeMars</t>
        </is>
      </c>
      <c r="B21" s="2" t="inlineStr">
        <is>
          <t>Purdue University</t>
        </is>
      </c>
      <c r="C21" s="3">
        <f>HYPERLINK("https://engineering.purdue.edu/AAE/people/ptProfile?resource_id=319705", "https://engineering.purdue.edu/AAE/people/ptProfile?resource_id=319705")</f>
        <v/>
      </c>
      <c r="D21" s="3">
        <f>HYPERLINK("https://scholar.google.com/citations?view_op=search_authors&amp;mauthors=Kyle%20DeMars%20Purdue%20University", "Google Scholar Search")</f>
        <v/>
      </c>
      <c r="E21" s="2" t="inlineStr">
        <is>
          <t>Professor</t>
        </is>
      </c>
      <c r="F21" s="2" t="inlineStr">
        <is>
          <t>Aeronautics and Astronautics</t>
        </is>
      </c>
      <c r="G21" s="2" t="inlineStr"/>
      <c r="H21" s="3">
        <f>HYPERLINK("mailto:kdemars@purdue.edu", "kdemars@purdue.edu")</f>
        <v/>
      </c>
      <c r="I21" s="2" t="n">
        <v>1</v>
      </c>
      <c r="J21" s="2" t="inlineStr">
        <is>
          <t>🔵 Tier 1: Core Aero / Fluids / Propulsion</t>
        </is>
      </c>
      <c r="K21" s="2" t="n">
        <v>5</v>
      </c>
      <c r="L21" s="2" t="inlineStr">
        <is>
          <t>aerospace, astrodynamics, autonomous, guidance, navigation</t>
        </is>
      </c>
      <c r="M21" s="2" t="inlineStr"/>
      <c r="N21" s="2" t="inlineStr"/>
      <c r="O21" s="2" t="inlineStr"/>
      <c r="P21" s="2" t="inlineStr"/>
      <c r="Q21" s="2" t="inlineStr"/>
      <c r="R21" s="2" t="inlineStr">
        <is>
          <t>"Cislunar State and Uncertainty Propagation via the Modified Generalized Equinoctial Orbital Elements" [arXiv (Cornell University)] (2026) [DOI: http://arxiv.org/abs/2603.20110]</t>
        </is>
      </c>
      <c r="S21" s="2" t="inlineStr">
        <is>
          <t>"Cislunar State and Uncertainty Propagation via the Modified Generalized Equinoctial Orbital Elements" [arXiv (Cornell University)] (2026, 0 cites) [DOI: http://arxiv.org/abs/2603.20110]</t>
        </is>
      </c>
      <c r="T21" s="2" t="inlineStr"/>
      <c r="U21" s="2" t="inlineStr">
        <is>
          <t>AAS Fellow, 2024 AIAA Associate Fellow, 2021 Chair, AIAA Astrodynamics Technical Committee Associate Editor, Journal of the Ast...</t>
        </is>
      </c>
      <c r="V21" s="2" t="inlineStr"/>
      <c r="W21" s="2" t="inlineStr">
        <is>
          <t>Target Tracking and Data Fusion in Sensor Networks (1) | Spacecraft Dynamics and Control (1) | Space Satellite Systems and Control (1)</t>
        </is>
      </c>
      <c r="X21" s="2" t="inlineStr">
        <is>
          <t>Target Tracking and Data Fusion in Sensor Networks (1) | Spacecraft Dynamics and Control (1) | Space Satellite Systems and Control (1)</t>
        </is>
      </c>
      <c r="Y21" s="2" t="inlineStr"/>
      <c r="Z21" s="2" t="inlineStr">
        <is>
          <t>Space surveillance and space domain awareness; Astrodynamics; Orbit determination; Nonlinear uncertainty prediction; Bayesian filtering; Multitarget tracking; Attitude dynamics, determination, and control; Autonomous navigation, guidance, and control Edit var myPronunciation=document.getElementById("pronunciation");
    function play() {
    myPronunciation.play();
    }
    function pause() {
    myPronunciation.pause();
    }</t>
        </is>
      </c>
      <c r="AA21" s="2" t="inlineStr">
        <is>
          <t>Space surveillance and space domain awareness; Astrodynamics; Orbit determination; Nonlinear uncertainty prediction; Bayesian filtering; Multitarget tracking; Attitude dynamics, determination, and control; Autonomous navigation, guidance, and control Edit var myPronunciation=document.getElementById("pronunciation");
    function play() {
    myPronunciation.play();
    }
    function...</t>
        </is>
      </c>
      <c r="AB21" s="2" t="inlineStr">
        <is>
          <t>Ph.D., The University of Texas at Austin, Aerospace Engineering, 2010 M.S.E., The University of Texas at Austin, Aerospace Engineering, 2007 B.S., The University of Texas at Austin, Aerospace Engineering, 2004</t>
        </is>
      </c>
      <c r="AC21" s="2" t="inlineStr">
        <is>
          <t>Indiana Space Grant Consortium</t>
        </is>
      </c>
      <c r="AD21" s="3">
        <f>HYPERLINK("https://insgc.spacegrant.org/", "https://insgc.spacegrant.org/")</f>
        <v/>
      </c>
      <c r="AE21" s="2" t="inlineStr">
        <is>
          <t>Academic INSGC Internships</t>
        </is>
      </c>
      <c r="AF21" s="2" t="inlineStr"/>
      <c r="AG21" s="2" t="inlineStr"/>
      <c r="AH21" s="2" t="inlineStr">
        <is>
          <t>NASA</t>
        </is>
      </c>
      <c r="AI21" s="2" t="inlineStr"/>
      <c r="AJ21" s="2" t="inlineStr"/>
      <c r="AK21" s="2" t="inlineStr">
        <is>
          <t>ARMS 3223</t>
        </is>
      </c>
      <c r="AL21" s="2" t="b">
        <v>1</v>
      </c>
      <c r="AM21" s="3">
        <f>HYPERLINK("https://engineering.purdue.edu/AAE/people/Faculty", "https://engineering.purdue.edu/AAE/people/Faculty")</f>
        <v/>
      </c>
    </row>
    <row r="22">
      <c r="A22" s="2" t="inlineStr">
        <is>
          <t>Li Qiao</t>
        </is>
      </c>
      <c r="B22" s="2" t="inlineStr">
        <is>
          <t>Purdue University</t>
        </is>
      </c>
      <c r="C22" s="3">
        <f>HYPERLINK("https://engineering.purdue.edu/AAE/people/ptProfile?resource_id=39640", "https://engineering.purdue.edu/AAE/people/ptProfile?resource_id=39640")</f>
        <v/>
      </c>
      <c r="D22" s="3">
        <f>HYPERLINK("https://scholar.google.com/citations?user=yFXFQPYAAAAJ&amp;hl=en", "Scholar (yFXFQPYAAAAJ)")</f>
        <v/>
      </c>
      <c r="E22" s="2" t="inlineStr">
        <is>
          <t>Professor, Associate Head for Engagement and Recognition</t>
        </is>
      </c>
      <c r="F22" s="2" t="inlineStr">
        <is>
          <t>Aeronautics and Astronautics</t>
        </is>
      </c>
      <c r="G22" s="2" t="inlineStr">
        <is>
          <t>yFXFQPYAAAAJ</t>
        </is>
      </c>
      <c r="H22" s="3">
        <f>HYPERLINK("mailto:lqiao@purdue.edu", "lqiao@purdue.edu")</f>
        <v/>
      </c>
      <c r="I22" s="2" t="n">
        <v>1</v>
      </c>
      <c r="J22" s="2" t="inlineStr">
        <is>
          <t>🔵 Tier 1: Core Aero / Fluids / Propulsion</t>
        </is>
      </c>
      <c r="K22" s="2" t="n">
        <v>5</v>
      </c>
      <c r="L22" s="2" t="inlineStr">
        <is>
          <t>aerospace, combustion, drone, propulsion, thermal</t>
        </is>
      </c>
      <c r="M22" s="2" t="inlineStr"/>
      <c r="N22" s="2" t="inlineStr"/>
      <c r="O22" s="2" t="inlineStr"/>
      <c r="P22" s="2" t="inlineStr"/>
      <c r="Q22" s="2" t="inlineStr"/>
      <c r="R22" s="2" t="inlineStr">
        <is>
          <t>"Dual‐Role Zn Engineering Enables Electron Redistribution and Hierarchical Porosity in Co–N 4 Carbon Nanofibers for Efficient Zinc–Air Batteries" [Advanced Functional Materials] (2026) [DOI: https://doi.org/10.1002/adfm.77161] | "Triphasic Bi heterointerfaces drive cycling exceeding 1650 h and high-power zinc-air batteries" [CHINESE JOURNAL OF CATALYSIS (CHINESE VERSION)] (2026) [DOI: https://doi.org/10.1016/s1872-2067(26)65052-8] | "Functional mechanisms of aqueous zinc-ion batteries: advanced materials, in-situ characterizations and theoretic understanding" [Coordination Chemistry Reviews] (2026) [DOI: https://doi.org/10.1016/j.ccr.2026.218262]</t>
        </is>
      </c>
      <c r="S22" s="2" t="inlineStr">
        <is>
          <t>"A review of electrolyte materials and compositions for electrochemical supercapacitors" [Chemical Society Reviews] (2015, 3673 cites) [DOI: https://doi.org/10.1039/c5cs00303b] | "A review of catalysts for the electroreduction of carbon dioxide to produce low-carbon fuels" [Chemical Society Reviews] (2013, 2989 cites) [DOI: https://doi.org/10.1039/c3cs60323g] | "A review of high temperature co-electrolysis of H 2 O and CO 2 to produce sustainable fuels using solid oxide electrolysis cells (SOECs): advanced materials and technology" [Chemical Society Reviews] (2017, 784 cites) [DOI: https://doi.org/10.1039/c6cs00403b]</t>
        </is>
      </c>
      <c r="T22" s="2" t="inlineStr"/>
      <c r="U22" s="2" t="inlineStr">
        <is>
          <t>Fulbright Scholar Award, 2024 AIAA High Speed Air Breathing Propulsion Best Paper Award, 2022 Associate Editor, AIAA Journal, 2...</t>
        </is>
      </c>
      <c r="V22" s="2" t="inlineStr"/>
      <c r="W22" s="2" t="inlineStr">
        <is>
          <t>Electrocatalysts for Energy Conversion (219) | Fuel Cells and Related Materials (195) | Advanced battery technologies research (179)</t>
        </is>
      </c>
      <c r="X22" s="2" t="inlineStr">
        <is>
          <t>Electrocatalysts for Energy Conversion (219) | Fuel Cells and Related Materials (195) | Advanced battery technologies research (179)</t>
        </is>
      </c>
      <c r="Y22" s="2" t="inlineStr"/>
      <c r="Z22" s="2" t="inlineStr">
        <is>
          <t>(1) Sustainable fuels; (2) Pre-chamber jet ignition for combustion engines; (3) Thermal management for electric and hybrid aircraft (4) Battery fire safety (5) Propulsion technology for drones and UAVs;</t>
        </is>
      </c>
      <c r="AA22" s="2" t="inlineStr">
        <is>
          <t>(1) Sustainable fuels; (2) Pre-chamber jet ignition for combustion engines; (3) Thermal management for electric and hybrid aircraft (4) Battery fire safety (5) Propulsion technology for drones and UAVs;</t>
        </is>
      </c>
      <c r="AB22" s="2" t="inlineStr">
        <is>
          <t>B.S., Tsinghua University, Engineering Mechanics, 1999 M.S., Tsinghua Univeristy, Engineering Mechanics, 2001 Ph.D., University of Michigan, Aerospace Engineering, 2007</t>
        </is>
      </c>
      <c r="AC22" s="2" t="inlineStr">
        <is>
          <t>Indiana Space Grant Consortium</t>
        </is>
      </c>
      <c r="AD22" s="3">
        <f>HYPERLINK("https://insgc.spacegrant.org/", "https://insgc.spacegrant.org/")</f>
        <v/>
      </c>
      <c r="AE22" s="2" t="inlineStr">
        <is>
          <t>Academic INSGC Internships</t>
        </is>
      </c>
      <c r="AF22" s="2" t="inlineStr"/>
      <c r="AG22" s="2" t="inlineStr"/>
      <c r="AH22" s="2" t="inlineStr">
        <is>
          <t>NASA</t>
        </is>
      </c>
      <c r="AI22" s="2" t="inlineStr"/>
      <c r="AJ22" s="2" t="inlineStr"/>
      <c r="AK22" s="2" t="inlineStr">
        <is>
          <t>ARMS 3221</t>
        </is>
      </c>
      <c r="AL22" s="2" t="b">
        <v>1</v>
      </c>
      <c r="AM22" s="3">
        <f>HYPERLINK("https://engineering.purdue.edu/AAE/people/Faculty", "https://engineering.purdue.edu/AAE/people/Faculty")</f>
        <v/>
      </c>
    </row>
    <row r="23">
      <c r="A23" s="2" t="inlineStr">
        <is>
          <t>Aaron Morris</t>
        </is>
      </c>
      <c r="B23" s="2" t="inlineStr">
        <is>
          <t>Purdue University</t>
        </is>
      </c>
      <c r="C23" s="3">
        <f>HYPERLINK("https://engineering.purdue.edu/ME/People/ptProfile?resource_id=159298", "https://engineering.purdue.edu/ME/People/ptProfile?resource_id=159298")</f>
        <v/>
      </c>
      <c r="D23" s="3">
        <f>HYPERLINK("https://scholar.google.com/citations?view_op=search_authors&amp;mauthors=Aaron%20Morris%20Purdue%20University", "Google Scholar Search")</f>
        <v/>
      </c>
      <c r="E23" s="2" t="inlineStr">
        <is>
          <t>Associate Professor of Mechanical Engineering</t>
        </is>
      </c>
      <c r="F23" s="2" t="inlineStr">
        <is>
          <t>Mechanical Engineering</t>
        </is>
      </c>
      <c r="G23" s="2" t="inlineStr"/>
      <c r="H23" s="3">
        <f>HYPERLINK("mailto:abmorris@purdue.edu", "abmorris@purdue.edu")</f>
        <v/>
      </c>
      <c r="I23" s="2" t="n">
        <v>1</v>
      </c>
      <c r="J23" s="2" t="inlineStr">
        <is>
          <t>🔵 Tier 1: Core Aero / Fluids / Propulsion</t>
        </is>
      </c>
      <c r="K23" s="2" t="n">
        <v>4</v>
      </c>
      <c r="L23" s="2" t="inlineStr">
        <is>
          <t>fluid dynamics, fluid mechanics, heat transfer, multiphase flow</t>
        </is>
      </c>
      <c r="M23" s="2" t="inlineStr"/>
      <c r="N23" s="2" t="inlineStr"/>
      <c r="O23" s="2" t="inlineStr"/>
      <c r="P23" s="2" t="inlineStr"/>
      <c r="Q23" s="2" t="inlineStr"/>
      <c r="R23" s="2" t="inlineStr">
        <is>
          <t>"Modeling of fluidized systems using a novel Monte Carlo approach for granular interactions" [AIChE Journal] (2026) [DOI: https://doi.org/10.1002/aic.70212] | "Continuum correlations from CFD-DEM modeling of conduction heat transfer in granular flows" [SSRN Electronic Journal] (2026) [DOI: https://doi.org/10.2139/ssrn.6030431] | "Geometric Optimization of an External Enclosure to Enhance Receiver Thermal Performance in Concentrated Solar Power Systems" (2025) [DOI: https://doi.org/10.1115/es2025-157075]</t>
        </is>
      </c>
      <c r="S23" s="2" t="inlineStr">
        <is>
          <t>"Extension of a coarse grained particle method to simulate heat transfer in fluidized beds" [International Journal of Heat and Mass Transfer] (2017, 133 cites) [DOI: https://doi.org/10.1016/j.ijheatmasstransfer.2017.04.040] | "Simulations of heat transfer to solid particles flowing through an array of heated tubes" [Solar Energy] (2016, 102 cites) [DOI: https://doi.org/10.1016/j.solener.2016.01.033] | "A conductive heat transfer model for particle flows over immersed surfaces" [International Journal of Heat and Mass Transfer] (2015, 82 cites) [DOI: https://doi.org/10.1016/j.ijheatmasstransfer.2015.06.004]</t>
        </is>
      </c>
      <c r="T23" s="2" t="inlineStr"/>
      <c r="U23" s="2" t="inlineStr">
        <is>
          <t>Outstanding Mechanical Engineers Distinguished Engineering Alumni Honorary Doctorates Staff Awards Student Awards Distinguished...</t>
        </is>
      </c>
      <c r="V23" s="2" t="inlineStr"/>
      <c r="W23" s="2" t="inlineStr">
        <is>
          <t>Particle Dynamics in Fluid Flows (22) | Granular flow and fluidized beds (19) | Gas Dynamics and Kinetic Theory (13)</t>
        </is>
      </c>
      <c r="X23" s="2" t="inlineStr">
        <is>
          <t>Particle Dynamics in Fluid Flows (22) | Granular flow and fluidized beds (19) | Gas Dynamics and Kinetic Theory (13)</t>
        </is>
      </c>
      <c r="Y23" s="2" t="inlineStr">
        <is>
          <t>Fluid dynamics Multiphase flows Monte Carlo methods Kinetic theory of granular flows Heat transfer in granular media Rarefied gas dynamics</t>
        </is>
      </c>
      <c r="Z23" s="2" t="inlineStr">
        <is>
          <t>Fluid Mechanics Heat &amp; Mass Transfer</t>
        </is>
      </c>
      <c r="AA23" s="2" t="inlineStr">
        <is>
          <t>Fluid Mechanics Heat &amp; Mass Transfer</t>
        </is>
      </c>
      <c r="AB23" s="2" t="inlineStr">
        <is>
          <t>Postdoctoral Fellow, University of Colorado Boulder, 2013-2015 Ph. D., University of Texas at Austin, 2012 M.S., University of Texas at Austin, 2009 B.S., Rensselaer Polytechnic Institute, 2006</t>
        </is>
      </c>
      <c r="AC23" s="2" t="inlineStr">
        <is>
          <t>Center for Particulate Products and Processes</t>
        </is>
      </c>
      <c r="AD23" s="3">
        <f>HYPERLINK("https://engineering.purdue.edu/CP3/", "https://engineering.purdue.edu/CP3/")</f>
        <v/>
      </c>
      <c r="AE23" s="2" t="inlineStr"/>
      <c r="AF23" s="2" t="inlineStr"/>
      <c r="AG23" s="2" t="inlineStr">
        <is>
          <t>Gas Turbine, MTS, Instron</t>
        </is>
      </c>
      <c r="AH23" s="2" t="inlineStr">
        <is>
          <t>DOE, NSF</t>
        </is>
      </c>
      <c r="AI23" s="2" t="inlineStr"/>
      <c r="AJ23" s="2" t="inlineStr"/>
      <c r="AK23" s="2" t="inlineStr">
        <is>
          <t>FLEX 3021D</t>
        </is>
      </c>
      <c r="AL23" s="2" t="b">
        <v>1</v>
      </c>
      <c r="AM23" s="3">
        <f>HYPERLINK("https://engineering.purdue.edu/ME/People/ptFaculty", "https://engineering.purdue.edu/ME/People/ptFaculty")</f>
        <v/>
      </c>
    </row>
    <row r="24">
      <c r="A24" s="2" t="inlineStr">
        <is>
          <t>Alexey Shashurin</t>
        </is>
      </c>
      <c r="B24" s="2" t="inlineStr">
        <is>
          <t>Purdue University</t>
        </is>
      </c>
      <c r="C24" s="3">
        <f>HYPERLINK("https://engineering.purdue.edu/AAE/people/ptProfile?resource_id=124987", "https://engineering.purdue.edu/AAE/people/ptProfile?resource_id=124987")</f>
        <v/>
      </c>
      <c r="D24" s="3">
        <f>HYPERLINK("https://scholar.google.com/citations?view_op=search_authors&amp;mauthors=Alexey%20Shashurin%20Purdue%20University", "Google Scholar Search")</f>
        <v/>
      </c>
      <c r="E24" s="2" t="inlineStr">
        <is>
          <t>Lawrence Cargnino Professor of Aeronautics and Astronautics</t>
        </is>
      </c>
      <c r="F24" s="2" t="inlineStr">
        <is>
          <t>Aeronautics and Astronautics</t>
        </is>
      </c>
      <c r="G24" s="2" t="inlineStr"/>
      <c r="H24" s="3">
        <f>HYPERLINK("mailto:ashashur@purdue.edu", "ashashur@purdue.edu")</f>
        <v/>
      </c>
      <c r="I24" s="2" t="n">
        <v>1</v>
      </c>
      <c r="J24" s="2" t="inlineStr">
        <is>
          <t>🔵 Tier 1: Core Aero / Fluids / Propulsion</t>
        </is>
      </c>
      <c r="K24" s="2" t="n">
        <v>4</v>
      </c>
      <c r="L24" s="2" t="inlineStr">
        <is>
          <t>combustion, flow control, propulsion, spacecraft</t>
        </is>
      </c>
      <c r="M24" s="2" t="inlineStr"/>
      <c r="N24" s="2" t="inlineStr"/>
      <c r="O24" s="2" t="inlineStr"/>
      <c r="P24" s="2" t="inlineStr"/>
      <c r="Q24" s="2" t="inlineStr"/>
      <c r="R24" s="2" t="inlineStr">
        <is>
          <t>"Characterization of nonlinear sheath dynamics in high-pressure asymmetric RF discharge" [Journal of Applied Physics] (2026) [DOI: https://doi.org/10.1063/5.0334090] | "Absolute Radar-REMPI via Two-Color REMPI and Absolutely Calibrated CMS for Diagnostics of Species in Gaseous Mixtures" [arXiv (Cornell University)] (2026) [DOI: https://doi.org/10.48550/arxiv.2606.20827] | "Absolute Radar-REMPI via Two-Color REMPI and Absolutely Calibrated CMS for Diagnostics of Species in Gaseous Mixtures" [arXiv (Cornell University)] (2026) [DOI: https://arxiv.org/abs/2606.20827]</t>
        </is>
      </c>
      <c r="S24" s="2" t="inlineStr">
        <is>
          <t>"Cold plasma selectivity and the possibility of a paradigm shift in cancer therapy" [British Journal of Cancer] (2011, 767 cites) [DOI: https://doi.org/10.1038/bjc.2011.386] | "Cold atmospheric plasma in cancer therapy" [Physics of Plasmas] (2013, 501 cites) [DOI: https://doi.org/10.1063/1.4801516] | "Living tissue under treatment of cold plasma atmospheric jet" [Applied Physics Letters] (2008, 293 cites) [DOI: https://doi.org/10.1063/1.3020223]</t>
        </is>
      </c>
      <c r="T24" s="2" t="inlineStr"/>
      <c r="U24" s="2" t="inlineStr"/>
      <c r="V24" s="2" t="inlineStr"/>
      <c r="W24" s="2" t="inlineStr">
        <is>
          <t>Plasma Diagnostics and Applications (92) | Plasma Applications and Diagnostics (65) | Vacuum and Plasma Arcs (47)</t>
        </is>
      </c>
      <c r="X24" s="2" t="inlineStr">
        <is>
          <t>Plasma Diagnostics and Applications (92) | Plasma Applications and Diagnostics (65) | Vacuum and Plasma Arcs (47)</t>
        </is>
      </c>
      <c r="Y24" s="2" t="inlineStr">
        <is>
          <t>Microwave and optical diagnostics for spacecraft electric propulsion and combustion; Femtosecond photoionization; Micropropulsion for CubeSats; Nanosecond repetitively pulsed discharges for flow control; High power microwave heating of gas; Generation, diagnostics and applications of cold plasmas; Biomedical applications of cold plasmas.</t>
        </is>
      </c>
      <c r="Z24" s="2" t="inlineStr"/>
      <c r="AA24" s="2" t="inlineStr">
        <is>
          <t>Microwave and optical diagnostics for spacecraft electric propulsion and combustion; Femtosecond photoionization; Micropropulsion for CubeSats; Nanosecond repetitively pulsed discharges for flow control; High power microwave heating of gas; Generation, diagnostics and applications of cold plasmas; Biomedical applications of cold plasmas.</t>
        </is>
      </c>
      <c r="AB24" s="2" t="inlineStr">
        <is>
          <t>B.Sc., Physics, Lobachevsky State University of Nizhny Novgorod, Russia, 1996 M.Sc., Physics, Lobachevsky State University of Nizhny Novgorod, Russia, 1998 Ph.D., School of Engineering, Dept. Interdisciplinary Studies, Tel Aviv University, 2008</t>
        </is>
      </c>
      <c r="AC24" s="2" t="inlineStr">
        <is>
          <t>Indiana Space Grant Consortium</t>
        </is>
      </c>
      <c r="AD24" s="3">
        <f>HYPERLINK("https://insgc.spacegrant.org/", "https://insgc.spacegrant.org/")</f>
        <v/>
      </c>
      <c r="AE24" s="2" t="inlineStr">
        <is>
          <t>Academic INSGC Internships</t>
        </is>
      </c>
      <c r="AF24" s="2" t="inlineStr"/>
      <c r="AG24" s="2" t="inlineStr"/>
      <c r="AH24" s="2" t="inlineStr">
        <is>
          <t>NASA</t>
        </is>
      </c>
      <c r="AI24" s="2" t="inlineStr"/>
      <c r="AJ24" s="2" t="inlineStr"/>
      <c r="AK24" s="2" t="inlineStr">
        <is>
          <t>ARMS 3331</t>
        </is>
      </c>
      <c r="AL24" s="2" t="b">
        <v>1</v>
      </c>
      <c r="AM24" s="3">
        <f>HYPERLINK("https://engineering.purdue.edu/AAE/people/Faculty", "https://engineering.purdue.edu/AAE/people/Faculty")</f>
        <v/>
      </c>
    </row>
    <row r="25">
      <c r="A25" s="2" t="inlineStr">
        <is>
          <t>Carlos Larriba-Andaluz</t>
        </is>
      </c>
      <c r="B25" s="2" t="inlineStr">
        <is>
          <t>Purdue University</t>
        </is>
      </c>
      <c r="C25" s="3">
        <f>HYPERLINK("https://engineering.purdue.edu/ME/People/ptProfile?resource_id=297468", "https://engineering.purdue.edu/ME/People/ptProfile?resource_id=297468")</f>
        <v/>
      </c>
      <c r="D25" s="3">
        <f>HYPERLINK("https://scholar.google.com/citations?view_op=search_authors&amp;mauthors=Carlos%20Larriba-Andaluz%20Purdue%20University", "Google Scholar Search")</f>
        <v/>
      </c>
      <c r="E25" s="2" t="inlineStr">
        <is>
          <t>Associate Professor of Mechanical Engineering</t>
        </is>
      </c>
      <c r="F25" s="2" t="inlineStr">
        <is>
          <t>Mechanical Engineering</t>
        </is>
      </c>
      <c r="G25" s="2" t="inlineStr"/>
      <c r="H25" s="3">
        <f>HYPERLINK("mailto:clarriba@purdue.edu", "clarriba@purdue.edu")</f>
        <v/>
      </c>
      <c r="I25" s="2" t="n">
        <v>1</v>
      </c>
      <c r="J25" s="2" t="inlineStr">
        <is>
          <t>🔵 Tier 1: Core Aero / Fluids / Propulsion</t>
        </is>
      </c>
      <c r="K25" s="2" t="n">
        <v>4</v>
      </c>
      <c r="L25" s="2" t="inlineStr">
        <is>
          <t>aerospace, fluid mechanics, propulsion, thermodynamics</t>
        </is>
      </c>
      <c r="M25" s="2" t="inlineStr"/>
      <c r="N25" s="2" t="inlineStr"/>
      <c r="O25" s="2" t="inlineStr"/>
      <c r="P25" s="2" t="inlineStr"/>
      <c r="Q25" s="2" t="inlineStr"/>
      <c r="R25" s="2" t="inlineStr">
        <is>
          <t>"First order approximation of polyatomic ion and neutral diffusion in neutral gases under arbitrary fields" [The Journal of Chemical Physics] (2026) [DOI: https://doi.org/10.1063/5.0337543] | "Optimization of Electric Field Traveling Waves in SLIM Platforms for Improved Resolution via Analytical Solutions of the Nernst–Planck Equation" [Journal of the American Society for Mass Spectrometry] (2026) [DOI: https://doi.org/10.1021/jasms.5c00347] | "Unraveling Ligand-Driven Isomerism in Redox-Active Mixed-Ligand Polyoxometalates Using Ion Mobility Spectrometry" [ACS Nano] (2025) [DOI: https://doi.org/10.1021/acsnano.5c12468]</t>
        </is>
      </c>
      <c r="S25" s="2" t="inlineStr">
        <is>
          <t>"Benchmark Comparison for a Multi-Processing Ion Mobility Calculator in the Free Molecular Regime" [Journal of the American Society for Mass Spectrometry] (2017, 150 cites) [DOI: https://doi.org/10.1007/s13361-017-1661-8] | "Collision cross section calculations for polyatomic ions considering rotating diatomic/linear gas molecules" [The Journal of Chemical Physics] (2014, 92 cites) [DOI: https://doi.org/10.1063/1.4901890] | "Gas molecule scattering &amp; ion mobility measurements for organic macro-ions in He versus N 2 environments" [Physical Chemistry Chemical Physics] (2015, 85 cites) [DOI: https://doi.org/10.1039/c5cp01017a]</t>
        </is>
      </c>
      <c r="T25" s="2" t="inlineStr"/>
      <c r="U25" s="2" t="inlineStr">
        <is>
          <t>Outstanding Mechanical Engineers Distinguished Engineering Alumni Honorary Doctorates Staff Awards Student Awards Distinguished...</t>
        </is>
      </c>
      <c r="V25" s="2" t="inlineStr"/>
      <c r="W25" s="2" t="inlineStr">
        <is>
          <t>Mass Spectrometry Techniques and Applications (39) | Analytical Chemistry and Chromatography (15) | Analytical chemistry methods development (14)</t>
        </is>
      </c>
      <c r="X25" s="2" t="inlineStr">
        <is>
          <t>Mass Spectrometry Techniques and Applications (39) | Analytical Chemistry and Chromatography (15) | Analytical chemistry methods development (14)</t>
        </is>
      </c>
      <c r="Y25" s="2" t="inlineStr">
        <is>
          <t>Renewable Energy Catalysts Aerosol Pollution Ion Mobility-Mass Spectrometry Electrical Propulsion Polymer Characterization Protein and Biomolecule Characterization Energy Transfer Molecular Dynamic coupling at the molecular Scale Multiscale Multichemistry Plasma Modeling</t>
        </is>
      </c>
      <c r="Z25" s="2" t="inlineStr">
        <is>
          <t>Thermodynamics Fluid Mechanics Heat &amp; Mass Transfer</t>
        </is>
      </c>
      <c r="AA25" s="2" t="inlineStr">
        <is>
          <t>Thermodynamics Fluid Mechanics Heat &amp; Mass Transfer</t>
        </is>
      </c>
      <c r="AB25" s="2" t="inlineStr">
        <is>
          <t>Ph.D. Mechanical Engineering, Yale University, 12/2010 BA/BS Aerospace Engineering, E.T.S.I.A., 9/2005 MA/MS Aeronautical Engineering, E.T.S.I.A, 9/2005</t>
        </is>
      </c>
      <c r="AC25" s="2" t="inlineStr">
        <is>
          <t>Personal Homepage</t>
        </is>
      </c>
      <c r="AD25" s="3">
        <f>HYPERLINK("http://www.imospedia.com", "http://www.imospedia.com")</f>
        <v/>
      </c>
      <c r="AE25" s="2" t="inlineStr"/>
      <c r="AF25" s="2" t="inlineStr"/>
      <c r="AG25" s="2" t="inlineStr"/>
      <c r="AH25" s="2" t="inlineStr"/>
      <c r="AI25" s="2" t="inlineStr"/>
      <c r="AJ25" s="2" t="inlineStr"/>
      <c r="AK25" s="2" t="inlineStr"/>
      <c r="AL25" s="2" t="b">
        <v>1</v>
      </c>
      <c r="AM25" s="3">
        <f>HYPERLINK("https://engineering.purdue.edu/ME/People/ptFaculty", "https://engineering.purdue.edu/ME/People/ptFaculty")</f>
        <v/>
      </c>
    </row>
    <row r="26">
      <c r="A26" s="2" t="inlineStr">
        <is>
          <t>Carolin E Frueh</t>
        </is>
      </c>
      <c r="B26" s="2" t="inlineStr">
        <is>
          <t>Purdue University</t>
        </is>
      </c>
      <c r="C26" s="3">
        <f>HYPERLINK("https://engineering.purdue.edu/AAE/people/ptProfile?resource_id=111420", "https://engineering.purdue.edu/AAE/people/ptProfile?resource_id=111420")</f>
        <v/>
      </c>
      <c r="D26" s="3">
        <f>HYPERLINK("https://scholar.google.com/citations?view_op=search_authors&amp;mauthors=Carolin%20E%20Frueh%20Purdue%20University", "Google Scholar Search")</f>
        <v/>
      </c>
      <c r="E26" s="2" t="inlineStr">
        <is>
          <t>Harold DeGroff Professor of Aeronautics and Astronautics</t>
        </is>
      </c>
      <c r="F26" s="2" t="inlineStr">
        <is>
          <t>Aeronautics and Astronautics</t>
        </is>
      </c>
      <c r="G26" s="2" t="inlineStr"/>
      <c r="H26" s="3">
        <f>HYPERLINK("mailto:cfrueh@purdue.edu", "cfrueh@purdue.edu")</f>
        <v/>
      </c>
      <c r="I26" s="2" t="n">
        <v>1</v>
      </c>
      <c r="J26" s="2" t="inlineStr">
        <is>
          <t>🔵 Tier 1: Core Aero / Fluids / Propulsion</t>
        </is>
      </c>
      <c r="K26" s="2" t="n">
        <v>4</v>
      </c>
      <c r="L26" s="2" t="inlineStr">
        <is>
          <t>astrodynamics, guidance, navigation, satellite</t>
        </is>
      </c>
      <c r="M26" s="2" t="inlineStr"/>
      <c r="N26" s="2" t="inlineStr"/>
      <c r="O26" s="2" t="inlineStr"/>
      <c r="P26" s="2" t="inlineStr"/>
      <c r="Q26" s="2" t="inlineStr"/>
      <c r="R26" s="2" t="inlineStr">
        <is>
          <t>"Material Property Sensitivity of Light Curve Attitude Estimation for the Lunar Trailblazer" [Earth and Space Science] (2026) [DOI: https://doi.org/10.1029/2025ea004733] | "Global Light Curve Attitude Estimation with Noisy Measurements and Inertia Uncertainty" [The Journal of the Astronautical Sciences] (2026) [DOI: https://doi.org/10.1007/s40295-025-00557-9] | "Goals and trends in space exploration: An overview of the panel on exploration sessions at the committee on space research general assembly 2024" [Life Sciences in Space Research] (2025) [DOI: https://doi.org/10.1016/j.lssr.2025.12.005]</t>
        </is>
      </c>
      <c r="S26" s="2" t="inlineStr">
        <is>
          <t>"A comprehensive review on Cislunar expansion and space domain awareness" [Progress in Aerospace Sciences] (2024, 63 cites) [DOI: https://doi.org/10.1016/j.paerosci.2024.101019] | "Space Situational Awareness Sensor Tasking: Comparison of Machine Learning with Classical Optimization Methods" [Journal of Guidance Control and Dynamics] (2019, 41 cites) [DOI: https://doi.org/10.2514/1.g004279] | "Tracklet-to-orbit association for maneuvering space objects using optimal control theory" [Acta Astronautica] (2021, 38 cites) [DOI: https://doi.org/10.1016/j.actaastro.2021.01.026]</t>
        </is>
      </c>
      <c r="T26" s="2" t="inlineStr"/>
      <c r="U26" s="2" t="inlineStr">
        <is>
          <t>(selection) AAS Fellow, 2024 AIAA Associate Fellow, 2024 The C. T. Sun Excellence in Research Award, 2024 The Elmer F. Bruhn Te...</t>
        </is>
      </c>
      <c r="V26" s="2" t="inlineStr"/>
      <c r="W26" s="2" t="inlineStr">
        <is>
          <t>Space Satellite Systems and Control (33) | Astro and Planetary Science (20) | Target Tracking and Data Fusion in Sensor Networks (19)</t>
        </is>
      </c>
      <c r="X26" s="2" t="inlineStr">
        <is>
          <t>Space Satellite Systems and Control (33) | Astro and Planetary Science (20) | Target Tracking and Data Fusion in Sensor Networks (19)</t>
        </is>
      </c>
      <c r="Y26" s="2" t="inlineStr"/>
      <c r="Z26" s="2" t="inlineStr">
        <is>
          <t>Space Domain Awareness and Space Traffic Management in the Near-Earth and Cislunar Region - Surveillance, Detection &amp; Tracking, Tasking - Optical Monostatic Object Characterization near-field fly by and far field (light curves) - Astrodynamics - Low Observability Systems, Information Quantification and Retrieval, Machine Learning. Research Page</t>
        </is>
      </c>
      <c r="AA26" s="2" t="inlineStr">
        <is>
          <t>Space Domain Awareness and Space Traffic Management in the Near-Earth and Cislunar Region - Surveillance, Detection &amp; Tracking, Tasking - Optical Monostatic Object Characterization near-field fly by and far field (light curves) - Astrodynamics - Low Observability Systems, Information Quantification and Retrieval, Machine Learning. Research Page</t>
        </is>
      </c>
      <c r="AB26" s="2" t="inlineStr">
        <is>
          <t>Ph.D., Physics with Specialization in Astronomy, University of Bern, Switzerland, 2011 MS of Science, Karlsruhe Institute of Technology, Germany, 2006 M.Div., CDSP, Berkeley, USA</t>
        </is>
      </c>
      <c r="AC26" s="2" t="inlineStr">
        <is>
          <t>Indiana Space Grant Consortium</t>
        </is>
      </c>
      <c r="AD26" s="3">
        <f>HYPERLINK("https://insgc.spacegrant.org/", "https://insgc.spacegrant.org/")</f>
        <v/>
      </c>
      <c r="AE26" s="2" t="inlineStr">
        <is>
          <t>Academic INSGC Internships</t>
        </is>
      </c>
      <c r="AF26" s="2" t="inlineStr"/>
      <c r="AG26" s="2" t="inlineStr"/>
      <c r="AH26" s="2" t="inlineStr">
        <is>
          <t>NASA</t>
        </is>
      </c>
      <c r="AI26" s="2" t="inlineStr"/>
      <c r="AJ26" s="2" t="inlineStr"/>
      <c r="AK26" s="2" t="inlineStr">
        <is>
          <t>ARMS 3309</t>
        </is>
      </c>
      <c r="AL26" s="2" t="b">
        <v>1</v>
      </c>
      <c r="AM26" s="3">
        <f>HYPERLINK("https://engineering.purdue.edu/AAE/people/Faculty", "https://engineering.purdue.edu/AAE/people/Faculty")</f>
        <v/>
      </c>
    </row>
    <row r="27">
      <c r="A27" s="2" t="inlineStr">
        <is>
          <t>Guang Lin</t>
        </is>
      </c>
      <c r="B27" s="2" t="inlineStr">
        <is>
          <t>Purdue University</t>
        </is>
      </c>
      <c r="C27" s="3">
        <f>HYPERLINK("https://engineering.purdue.edu/ME/People/ptProfile?resource_id=117602", "https://engineering.purdue.edu/ME/People/ptProfile?resource_id=117602")</f>
        <v/>
      </c>
      <c r="D27" s="3">
        <f>HYPERLINK("https://scholar.google.com/citations?view_op=search_authors&amp;mauthors=Guang%20Lin%20Purdue%20University", "Google Scholar Search")</f>
        <v/>
      </c>
      <c r="E27" s="2" t="inlineStr">
        <is>
          <t>Moses Cobb Stevens Professor in Mathematical Sciences; College of Science Associate Dean of Research and Innovation; Professor of Mechanical Engineering</t>
        </is>
      </c>
      <c r="F27" s="2" t="inlineStr">
        <is>
          <t>Mechanical Engineering</t>
        </is>
      </c>
      <c r="G27" s="2" t="inlineStr"/>
      <c r="H27" s="3">
        <f>HYPERLINK("mailto:guanglin@purdue.edu", "guanglin@purdue.edu")</f>
        <v/>
      </c>
      <c r="I27" s="2" t="n">
        <v>1</v>
      </c>
      <c r="J27" s="2" t="inlineStr">
        <is>
          <t>🔵 Tier 1: Core Aero / Fluids / Propulsion</t>
        </is>
      </c>
      <c r="K27" s="2" t="n">
        <v>4</v>
      </c>
      <c r="L27" s="2" t="inlineStr">
        <is>
          <t>computational fluid dynamics, fluid dynamics, fluid mechanics, scientific computing</t>
        </is>
      </c>
      <c r="M27" s="2" t="inlineStr"/>
      <c r="N27" s="2" t="inlineStr"/>
      <c r="O27" s="2" t="inlineStr"/>
      <c r="P27" s="2" t="inlineStr"/>
      <c r="Q27" s="2" t="inlineStr"/>
      <c r="R27" s="2" t="inlineStr">
        <is>
          <t>"In situ studies on heavy ion irradiation and partial oxidation induced stacking faults and nanograins in tungsten nanolaminates" [Materials Today] (2026) [DOI: https://doi.org/10.1016/j.mattod.2026.103494] | "Bayesian data-driven discovery of partial differential equations with variable coefficients" [Computers &amp; Mathematics with Applications] (2026) [DOI: https://doi.org/10.1016/j.camwa.2026.07.034] | "Muon with spectral guidance: Efficient optimization for scientific machine learning" [Journal of Computational Physics] (2026) [DOI: https://doi.org/10.1016/j.jcp.2026.115231]</t>
        </is>
      </c>
      <c r="S27" s="2" t="inlineStr">
        <is>
          <t>"EEG-based emotion recognition using 4D convolutional recurrent neural network" [Cognitive Neurodynamics] (2020, 248 cites) [DOI: https://doi.org/10.1007/s11571-020-09634-1] | "Compressive sensing based machine learning strategy for characterizing the flow around a cylinder with limited pressure measurements" [Physics of Fluids] (2013, 182 cites) [DOI: https://doi.org/10.1063/1.4836815] | "Multi-output separable Gaussian process: Towards an efficient, fully Bayesian paradigm for uncertainty quantification" [Journal of Computational Physics] (2013, 178 cites) [DOI: https://doi.org/10.1016/j.jcp.2013.01.011]</t>
        </is>
      </c>
      <c r="T27" s="2" t="inlineStr"/>
      <c r="U27" s="2" t="inlineStr">
        <is>
          <t>Outstanding Mechanical Engineers Distinguished Engineering Alumni Honorary Doctorates Staff Awards Student Awards Distinguished...</t>
        </is>
      </c>
      <c r="V27" s="2" t="inlineStr"/>
      <c r="W27" s="2" t="inlineStr">
        <is>
          <t>Model Reduction and Neural Networks (78) | Probabilistic and Robust Engineering Design (67) | Gaussian Processes and Bayesian Inference (39)</t>
        </is>
      </c>
      <c r="X27" s="2" t="inlineStr">
        <is>
          <t>Model Reduction and Neural Networks (78) | Probabilistic and Robust Engineering Design (67) | Gaussian Processes and Bayesian Inference (39)</t>
        </is>
      </c>
      <c r="Y27" s="2" t="inlineStr">
        <is>
          <t>Big data analysis and statistical machine learning Predictive modeling and uncertainty quantification Scientific computing and computational fluid dynamics Stochastic multiscale modeling</t>
        </is>
      </c>
      <c r="Z27" s="2" t="inlineStr">
        <is>
          <t>Dynamics &amp; Vibration Fluid Mechanics</t>
        </is>
      </c>
      <c r="AA27" s="2" t="inlineStr">
        <is>
          <t>Dynamics &amp; Vibration Fluid Mechanics</t>
        </is>
      </c>
      <c r="AB27" s="2" t="inlineStr"/>
      <c r="AC27" s="2" t="inlineStr">
        <is>
          <t>Personal Homepage</t>
        </is>
      </c>
      <c r="AD27" s="3">
        <f>HYPERLINK("http://www.math.purdue.edu/~lin491/", "http://www.math.purdue.edu/~lin491/")</f>
        <v/>
      </c>
      <c r="AE27" s="2" t="inlineStr"/>
      <c r="AF27" s="2" t="inlineStr"/>
      <c r="AG27" s="2" t="inlineStr"/>
      <c r="AH27" s="2" t="inlineStr"/>
      <c r="AI27" s="2" t="inlineStr"/>
      <c r="AJ27" s="2" t="inlineStr"/>
      <c r="AK27" s="2" t="inlineStr"/>
      <c r="AL27" s="2" t="b">
        <v>1</v>
      </c>
      <c r="AM27" s="3">
        <f>HYPERLINK("https://engineering.purdue.edu/ME/People/ptFaculty", "https://engineering.purdue.edu/ME/People/ptFaculty")</f>
        <v/>
      </c>
    </row>
    <row r="28">
      <c r="A28" s="2" t="inlineStr">
        <is>
          <t>Kazuki Maeda</t>
        </is>
      </c>
      <c r="B28" s="2" t="inlineStr">
        <is>
          <t>Purdue University</t>
        </is>
      </c>
      <c r="C28" s="3">
        <f>HYPERLINK("https://engineering.purdue.edu/AAE/people/ptProfile?resource_id=284676", "https://engineering.purdue.edu/AAE/people/ptProfile?resource_id=284676")</f>
        <v/>
      </c>
      <c r="D28" s="3">
        <f>HYPERLINK("https://scholar.google.com/citations?hl=en&amp;user=r7gLAy4AAAAJ&amp;view_op=list_works&amp;sortby=pubdate", "Scholar (r7gLAy4AAAAJ)")</f>
        <v/>
      </c>
      <c r="E28" s="2" t="inlineStr">
        <is>
          <t>Assistant Professor</t>
        </is>
      </c>
      <c r="F28" s="2" t="inlineStr">
        <is>
          <t>Aeronautics and Astronautics</t>
        </is>
      </c>
      <c r="G28" s="2" t="inlineStr">
        <is>
          <t>r7gLAy4AAAAJ</t>
        </is>
      </c>
      <c r="H28" s="3">
        <f>HYPERLINK("mailto:kmaeda@purdue.edu", "kmaeda@purdue.edu")</f>
        <v/>
      </c>
      <c r="I28" s="2" t="n">
        <v>1</v>
      </c>
      <c r="J28" s="2" t="inlineStr">
        <is>
          <t>🔵 Tier 1: Core Aero / Fluids / Propulsion</t>
        </is>
      </c>
      <c r="K28" s="2" t="n">
        <v>4</v>
      </c>
      <c r="L28" s="2" t="inlineStr">
        <is>
          <t>aerodynamics, hypersonic, propulsion, rocket propulsion</t>
        </is>
      </c>
      <c r="M28" s="2" t="inlineStr"/>
      <c r="N28" s="2" t="inlineStr"/>
      <c r="O28" s="2" t="inlineStr"/>
      <c r="P28" s="2" t="inlineStr"/>
      <c r="Q28" s="2" t="inlineStr"/>
      <c r="R28" s="2" t="inlineStr">
        <is>
          <t>"Effect of Shock Strength on the Structure of H 2 /O 2 Reactive Shock Waves" (2026) [DOI: https://doi.org/10.2514/6.2026-1003] | "High-frequency ultrasound for microcirculation in metastatic mouse lymph node: contrast-free versus contrast-enhanced imaging" [Scientific Reports] (2025) [DOI: https://doi.org/10.1038/s41598-025-27268-3] | "Subcontinuum structures of reactive shock waves in gaseous H 2 / O 2 mixtures" [Physical Review Fluids] (2025) [DOI: https://doi.org/10.1103/y7lz-563m]</t>
        </is>
      </c>
      <c r="S28" s="2" t="inlineStr">
        <is>
          <t>"Controlled Synthesis of 3D Multi‐Compartmental Particles with Centrifuge‐Based Microdroplet Formation from a Multi‐Barrelled Capillary" [Advanced Materials] (2012, 234 cites) [DOI: https://doi.org/10.1002/adma.201102560] | "Laser sintering (SLS) of hard metal powders for abrasion resistant coatings" [Journal of Materials Processing Technology] (2004, 78 cites) [DOI: https://doi.org/10.1016/j.jmatprotec.2004.02.024] | "Bubble cloud dynamics in an ultrasound field" [Journal of Fluid Mechanics] (2019, 77 cites) [DOI: https://doi.org/10.1017/jfm.2018.968]</t>
        </is>
      </c>
      <c r="T28" s="2" t="inlineStr"/>
      <c r="U28" s="2" t="inlineStr">
        <is>
          <t>Awards (selected) Richard Bruce Chapman Memorial Award Funai Foudation for Information Technology Overseas Scholarship Stanford...</t>
        </is>
      </c>
      <c r="V28" s="2" t="inlineStr"/>
      <c r="W28" s="2" t="inlineStr">
        <is>
          <t>Ultrasound and Cavitation Phenomena (20) | Optical Network Technologies (11) | Ultrasound and Hyperthermia Applications (10)</t>
        </is>
      </c>
      <c r="X28" s="2" t="inlineStr">
        <is>
          <t>Ultrasound and Cavitation Phenomena (20) | Optical Network Technologies (11) | Ultrasound and Hyperthermia Applications (10)</t>
        </is>
      </c>
      <c r="Y28" s="2" t="inlineStr">
        <is>
          <t>Space propulsion Flow physics and aerodynamics Cyberphysical integration High-performance computing Rockets and hypersonics</t>
        </is>
      </c>
      <c r="Z28" s="2" t="inlineStr">
        <is>
          <t>Our group studies the dynamics of complex flows through integrated approaches combining physics-based modeling, high-performance computing and data science, software engineering, control, and companion experiments, with emphasis on space propulsion and aerovehicle systems. We are also interested in cyberphysical integration - effectively connecting computers and real-world devices - for assimilation and optimization of complex engineering systems. Further information can be found in the group's webpage .</t>
        </is>
      </c>
      <c r="AA28" s="2" t="inlineStr">
        <is>
          <t>Our group studies the dynamics of complex flows through integrated approaches combining physics-based modeling, high-performance computing and data science, software engineering, control, and companion experiments, with emphasis on space propulsion and aerovehicle systems. We are also interested in cyberphysical integration - effectively connecting computers and real-world devices - for assimil...</t>
        </is>
      </c>
      <c r="AB28" s="2" t="inlineStr">
        <is>
          <t>Ph.D. California Institute of Technology, Mechanical Engineering, 2018 M.S. California Institute of Technology, Mechanical Engineering, 2014 B.S. The University of Tokyo, Mechanical Engineering, 2013</t>
        </is>
      </c>
      <c r="AC28" s="2" t="inlineStr">
        <is>
          <t>Indiana Space Grant Consortium</t>
        </is>
      </c>
      <c r="AD28" s="3">
        <f>HYPERLINK("https://insgc.spacegrant.org/", "https://insgc.spacegrant.org/")</f>
        <v/>
      </c>
      <c r="AE28" s="2" t="inlineStr">
        <is>
          <t>Academic INSGC Internships</t>
        </is>
      </c>
      <c r="AF28" s="2" t="inlineStr"/>
      <c r="AG28" s="2" t="inlineStr"/>
      <c r="AH28" s="2" t="inlineStr">
        <is>
          <t>NASA</t>
        </is>
      </c>
      <c r="AI28" s="2" t="inlineStr"/>
      <c r="AJ28" s="2" t="inlineStr"/>
      <c r="AK28" s="2" t="inlineStr">
        <is>
          <t>ARMS 2037</t>
        </is>
      </c>
      <c r="AL28" s="2" t="b">
        <v>1</v>
      </c>
      <c r="AM28" s="3">
        <f>HYPERLINK("https://engineering.purdue.edu/AAE/people/Faculty", "https://engineering.purdue.edu/AAE/people/Faculty")</f>
        <v/>
      </c>
    </row>
    <row r="29">
      <c r="A29" s="2" t="inlineStr">
        <is>
          <t>Romit Maulik</t>
        </is>
      </c>
      <c r="B29" s="2" t="inlineStr">
        <is>
          <t>Purdue University</t>
        </is>
      </c>
      <c r="C29" s="3">
        <f>HYPERLINK("https://engineering.purdue.edu/ME/People/ptProfile?resource_id=328301", "https://engineering.purdue.edu/ME/People/ptProfile?resource_id=328301")</f>
        <v/>
      </c>
      <c r="D29" s="3">
        <f>HYPERLINK("https://scholar.google.com/citations?view_op=search_authors&amp;mauthors=Romit%20Maulik%20Purdue%20University", "Google Scholar Search")</f>
        <v/>
      </c>
      <c r="E29" s="2" t="inlineStr">
        <is>
          <t>Assistant Professor of Mechanical Engineering</t>
        </is>
      </c>
      <c r="F29" s="2" t="inlineStr">
        <is>
          <t>Mechanical Engineering</t>
        </is>
      </c>
      <c r="G29" s="2" t="inlineStr"/>
      <c r="H29" s="3">
        <f>HYPERLINK("mailto:rmaulik@purdue.edu", "rmaulik@purdue.edu")</f>
        <v/>
      </c>
      <c r="I29" s="2" t="n">
        <v>1</v>
      </c>
      <c r="J29" s="2" t="inlineStr">
        <is>
          <t>🔵 Tier 1: Core Aero / Fluids / Propulsion</t>
        </is>
      </c>
      <c r="K29" s="2" t="n">
        <v>4</v>
      </c>
      <c r="L29" s="2" t="inlineStr">
        <is>
          <t>computational fluid dynamics, fluid dynamics, fluid mechanics, scientific computing</t>
        </is>
      </c>
      <c r="M29" s="2" t="inlineStr"/>
      <c r="N29" s="2" t="inlineStr"/>
      <c r="O29" s="2" t="inlineStr"/>
      <c r="P29" s="2" t="inlineStr"/>
      <c r="Q29" s="2" t="inlineStr"/>
      <c r="R29" s="2" t="inlineStr">
        <is>
          <t>"Generalizable data-driven turbulence closure modeling on unstructured grids with differentiable physics" [Computers &amp; Fluids] (2026) [DOI: https://doi.org/10.1016/j.compfluid.2026.107200] | "Localized PCA-Net neural operators for scalable solution reconstruction of elliptic PDEs" [Machine learning for computational science and engineering] (2026) [DOI: https://doi.org/10.1007/s44379-026-00070-2] | "SALSA-RL: stability analysis in the latent space of actions for reinforcement learning" [Neural Networks] (2026) [DOI: https://doi.org/10.1016/j.neunet.2026.108957]</t>
        </is>
      </c>
      <c r="S29" s="2" t="inlineStr">
        <is>
          <t>"Reduced-order modeling of advection-dominated systems with recurrent neural networks and convolutional autoencoders" [Physics of Fluids] (2021, 303 cites) [DOI: https://doi.org/10.1063/5.0039986] | "An artificial neural network framework for reduced order modeling of transient flows" [Communications in Nonlinear Science and Numerical Simulation] (2019, 170 cites) [DOI: https://doi.org/10.1016/j.cnsns.2019.04.025] | "Neural network closures for nonlinear model order reduction" [Advances in Computational Mathematics] (2018, 154 cites) [DOI: https://doi.org/10.1007/s10444-018-9590-z]</t>
        </is>
      </c>
      <c r="T29" s="2" t="inlineStr"/>
      <c r="U29" s="2" t="inlineStr">
        <is>
          <t>Outstanding Mechanical Engineers Distinguished Engineering Alumni Honorary Doctorates Staff Awards Student Awards Distinguished...</t>
        </is>
      </c>
      <c r="V29" s="2" t="inlineStr"/>
      <c r="W29" s="2" t="inlineStr">
        <is>
          <t>Model Reduction and Neural Networks (76) | Fluid Dynamics and Turbulent Flows (58) | Meteorological Phenomena and Simulations (46)</t>
        </is>
      </c>
      <c r="X29" s="2" t="inlineStr">
        <is>
          <t>Model Reduction and Neural Networks (76) | Fluid Dynamics and Turbulent Flows (58) | Meteorological Phenomena and Simulations (46)</t>
        </is>
      </c>
      <c r="Y29" s="2" t="inlineStr">
        <is>
          <t>Scientific machine learning Computational fluid dynamics Dynamical systems Inverse problems</t>
        </is>
      </c>
      <c r="Z29" s="2" t="inlineStr">
        <is>
          <t>Fluid Mechanics</t>
        </is>
      </c>
      <c r="AA29" s="2" t="inlineStr">
        <is>
          <t>Fluid Mechanics</t>
        </is>
      </c>
      <c r="AB29" s="2" t="inlineStr">
        <is>
          <t>Margaret Butler Postdoctoral Fellow - Argonne National Laboratory - 2021 PhD - Oklahoma State University - 2019 MS - Oklahoma State University - 2016 BS - Birla Institute of Technology - 2012</t>
        </is>
      </c>
      <c r="AC29" s="2" t="inlineStr">
        <is>
          <t>Interdisciplinary Scientific Computing Laboratory (GitHub)</t>
        </is>
      </c>
      <c r="AD29" s="3">
        <f>HYPERLINK("https://romit-maulik.github.io/", "https://romit-maulik.github.io/")</f>
        <v/>
      </c>
      <c r="AE29" s="2" t="inlineStr"/>
      <c r="AF29" s="2" t="inlineStr"/>
      <c r="AG29" s="2" t="inlineStr"/>
      <c r="AH29" s="2" t="inlineStr"/>
      <c r="AI29" s="3">
        <f>HYPERLINK("https://github.com/Romit-Maulik", "https://github.com/Romit-Maulik, https://github.com/mavroudisv/plain-academic")</f>
        <v/>
      </c>
      <c r="AJ29" s="2" t="inlineStr"/>
      <c r="AK29" s="2" t="inlineStr">
        <is>
          <t>FLEX 3081B</t>
        </is>
      </c>
      <c r="AL29" s="2" t="b">
        <v>1</v>
      </c>
      <c r="AM29" s="3">
        <f>HYPERLINK("https://engineering.purdue.edu/ME/People/ptFaculty", "https://engineering.purdue.edu/ME/People/ptFaculty")</f>
        <v/>
      </c>
    </row>
    <row r="30">
      <c r="A30" s="2" t="inlineStr">
        <is>
          <t>Timothée Pourpoint</t>
        </is>
      </c>
      <c r="B30" s="2" t="inlineStr">
        <is>
          <t>Purdue University</t>
        </is>
      </c>
      <c r="C30" s="3">
        <f>HYPERLINK("https://engineering.purdue.edu/AAE/people/ptProfile?resource_id=23845", "https://engineering.purdue.edu/AAE/people/ptProfile?resource_id=23845")</f>
        <v/>
      </c>
      <c r="D30" s="3">
        <f>HYPERLINK("https://scholar.google.com/citations?view_op=search_authors&amp;mauthors=Timoth%C3%A9e%20Pourpoint%20Purdue%20University", "Google Scholar Search")</f>
        <v/>
      </c>
      <c r="E30" s="2" t="inlineStr">
        <is>
          <t>Joseph Liston Professor of Aeronautics and Astronautics</t>
        </is>
      </c>
      <c r="F30" s="2" t="inlineStr">
        <is>
          <t>Aeronautics and Astronautics</t>
        </is>
      </c>
      <c r="G30" s="2" t="inlineStr"/>
      <c r="H30" s="3">
        <f>HYPERLINK("mailto:timothee@purdue.edu", "timothee@purdue.edu")</f>
        <v/>
      </c>
      <c r="I30" s="2" t="n">
        <v>1</v>
      </c>
      <c r="J30" s="2" t="inlineStr">
        <is>
          <t>🔵 Tier 1: Core Aero / Fluids / Propulsion</t>
        </is>
      </c>
      <c r="K30" s="2" t="n">
        <v>4</v>
      </c>
      <c r="L30" s="2" t="inlineStr">
        <is>
          <t>aerospace, combustion, materials, propulsion</t>
        </is>
      </c>
      <c r="M30" s="2" t="inlineStr"/>
      <c r="N30" s="2" t="inlineStr"/>
      <c r="O30" s="2" t="inlineStr"/>
      <c r="P30" s="2" t="inlineStr"/>
      <c r="Q30" s="2" t="inlineStr"/>
      <c r="R30" s="2" t="inlineStr">
        <is>
          <t>"An Alternate Mechanism for the Reactions of Methylhydrazine with Dinitrogen Tetroxide" [Energy &amp; Fuels] (2026) [DOI: https://doi.org/10.1021/acs.energyfuels.6c00475] | "KHz rate 3D white light particle tracking with a tunable acoustic gradient (TAG) lens" [Optics Express] (2026) [DOI: https://doi.org/10.1364/oe.588303] | "Design and Performance Analysis of an Optically Accessible Pneumatic Poppet Valve" (2026) [DOI: https://doi.org/10.2514/6.2026-1603]</t>
        </is>
      </c>
      <c r="S30" s="2" t="inlineStr">
        <is>
          <t>"Study of heat transfer and kinetics parameters influencing the design of heat exchangers for hydrogen storage in high-pressure metal hydrides" [International Journal of Heat and Mass Transfer] (2010, 85 cites) [DOI: https://doi.org/10.1016/j.ijheatmasstransfer.2009.12.010] | "Enhanced heat exchanger design for hydrogen storage using high-pressure metal hydride: Part 1. Design methodology and computational results" [International Journal of Heat and Mass Transfer] (2010, 82 cites) [DOI: https://doi.org/10.1016/j.ijheatmasstransfer.2010.09.029] | "Amine–Boranes: Green Hypergolic Fuels with Consistently Low Ignition Delays" [Chemistry - A European Journal] (2014, 66 cites) [DOI: https://doi.org/10.1002/chem.201405224]</t>
        </is>
      </c>
      <c r="T30" s="2" t="inlineStr"/>
      <c r="U30" s="2" t="inlineStr">
        <is>
          <t>AIAA Associate Fellow</t>
        </is>
      </c>
      <c r="V30" s="2" t="inlineStr"/>
      <c r="W30" s="2" t="inlineStr">
        <is>
          <t>Rocket and propulsion systems research (81) | Energetic Materials and Combustion (52) | Combustion and flame dynamics (25)</t>
        </is>
      </c>
      <c r="X30" s="2" t="inlineStr">
        <is>
          <t>Rocket and propulsion systems research (81) | Energetic Materials and Combustion (52) | Combustion and flame dynamics (25)</t>
        </is>
      </c>
      <c r="Y30" s="2" t="inlineStr">
        <is>
          <t>Aerospace propulsion systems Rocket engine combustors Liquid propellant injection systems Hypergolic propellants High pressure and hydrogen storage systems</t>
        </is>
      </c>
      <c r="Z30" s="2" t="inlineStr">
        <is>
          <t>Professor Timothée L. Pourpoint’s research interests relate to propulsion, combustion, and energy storage. Propulsion Research Dr. Pourpoint research focus in propulsion is to further the understanding of storable propellant ignition and combustion through system level testing and advanced diagnostic techniques with an emphasis on novel propellant combinations. A major emphasis of his work is on the development and characterization of new chemical propellants (see: Aerospace Propulsion and Energy Conversion Systems ). Energy Storage Research Dr. Pourpoint is developing safe and efficient ways to use hydrogen for power generation through a combination of gas and solid-state storage approaches.  This research builds on the experience and testing capabilities developed in partnership with General Motors for the characterization and large-scale evaluation of high pressure metal hydrides and adsorbents. Additional details about this research can be found at: Hydrogen Systems Laboratory Experimental Testing Facilities As part of his work Dr. Pourpoint has been involved in designing, implementing, and operating several testing facilities at the Maurice Zucrow Laboratories. Through his research Dr. Pourpoint has gained expertise in working with high-pressure hydrogen (up to 180 gal and 10,000 psia), pyrophoric metal powders, nanoscale materials, and propellants including monomethyl hydrazine, nitrogen tetroxide, hydrogen peroxide, and red fuming nitric acid.</t>
        </is>
      </c>
      <c r="AA30" s="2" t="inlineStr">
        <is>
          <t>Professor Timothée L. Pourpoint’s research interests relate to propulsion, combustion, and energy storage. Propulsion Research Dr. Pourpoint research focus in propulsion is to further the understanding of storable propellant ignition and combustion through system level testing and advanced diagnostic techniques with an emphasis on novel propellant combinations. A major emphasis of his work is o...</t>
        </is>
      </c>
      <c r="AB30" s="2" t="inlineStr">
        <is>
          <t>Ph.D., Purdue University, Aeronautical &amp; Astronautical Engineering, Dec. 2005 M.S., University of Alabama in Huntsville, Mechanical &amp; Aerospace Engineering, Dec. 2000 B.S., ESTACA University, Paris, France, Mechanical Engineering, July 2000</t>
        </is>
      </c>
      <c r="AC30" s="2" t="inlineStr">
        <is>
          <t>Indiana Space Grant Consortium</t>
        </is>
      </c>
      <c r="AD30" s="3">
        <f>HYPERLINK("https://insgc.spacegrant.org/", "https://insgc.spacegrant.org/")</f>
        <v/>
      </c>
      <c r="AE30" s="2" t="inlineStr">
        <is>
          <t>Academic INSGC Internships</t>
        </is>
      </c>
      <c r="AF30" s="2" t="inlineStr"/>
      <c r="AG30" s="2" t="inlineStr"/>
      <c r="AH30" s="2" t="inlineStr">
        <is>
          <t>NASA</t>
        </is>
      </c>
      <c r="AI30" s="2" t="inlineStr"/>
      <c r="AJ30" s="2" t="inlineStr"/>
      <c r="AK30" s="2" t="inlineStr">
        <is>
          <t>Chaffee Hall, Room 116 &amp; ARMS 2017</t>
        </is>
      </c>
      <c r="AL30" s="2" t="b">
        <v>1</v>
      </c>
      <c r="AM30" s="3">
        <f>HYPERLINK("https://engineering.purdue.edu/AAE/people/Faculty", "https://engineering.purdue.edu/AAE/people/Faculty")</f>
        <v/>
      </c>
    </row>
    <row r="31">
      <c r="A31" s="2" t="inlineStr">
        <is>
          <t>Jun Chen</t>
        </is>
      </c>
      <c r="B31" s="2" t="inlineStr">
        <is>
          <t>Purdue University</t>
        </is>
      </c>
      <c r="C31" s="3">
        <f>HYPERLINK("https://engineering.purdue.edu/ME/People/ptProfile?resource_id=44345", "https://engineering.purdue.edu/ME/People/ptProfile?resource_id=44345")</f>
        <v/>
      </c>
      <c r="D31" s="3">
        <f>HYPERLINK("https://scholar.google.com/citations?view_op=search_authors&amp;mauthors=Jun%20Chen%20Purdue%20University", "Google Scholar Search")</f>
        <v/>
      </c>
      <c r="E31" s="2" t="inlineStr">
        <is>
          <t>Professor Of Mechanical Engineering</t>
        </is>
      </c>
      <c r="F31" s="2" t="inlineStr">
        <is>
          <t>Aeronautics and Astronautics</t>
        </is>
      </c>
      <c r="G31" s="2" t="inlineStr"/>
      <c r="H31" s="3">
        <f>HYPERLINK("mailto:junchen@purdue.edu", "junchen@purdue.edu")</f>
        <v/>
      </c>
      <c r="I31" s="2" t="n">
        <v>1</v>
      </c>
      <c r="J31" s="2" t="inlineStr">
        <is>
          <t>🔵 Tier 1: Core Aero / Fluids / Propulsion</t>
        </is>
      </c>
      <c r="K31" s="2" t="n">
        <v>3</v>
      </c>
      <c r="L31" s="2" t="inlineStr">
        <is>
          <t>fluid dynamics, fluid mechanics, turbulent</t>
        </is>
      </c>
      <c r="M31" s="2" t="inlineStr"/>
      <c r="N31" s="2" t="inlineStr"/>
      <c r="O31" s="2" t="inlineStr"/>
      <c r="P31" s="2" t="inlineStr"/>
      <c r="Q31" s="2" t="inlineStr"/>
      <c r="R31" s="2" t="inlineStr">
        <is>
          <t>"Skin-Like Coating Stabilizes the In Situ Forming Lithium Anode for High-Energy-Density Batteries" [ACS Applied Materials &amp; Interfaces] (2026) [DOI: https://doi.org/10.1021/acsami.6c12564] | "Plastic‐Deformation‐Driven Nonepitaxial Deposition of (110)‐Texture Enables Stable Lithium and Sodium Metal Anodes" [Advanced Materials] (2026) [DOI: https://doi.org/10.1002/adma.74659] | "Dynamic Solvation Structure Regulation Enables Long-Life Li–Organic Batteries" [Journal of the American Chemical Society] (2026) [DOI: https://doi.org/10.1021/jacs.6c01785]</t>
        </is>
      </c>
      <c r="S31" s="2" t="inlineStr">
        <is>
          <t>"Metal–air batteries: from oxygen reduction electrochemistry to cathode catalysts" [Chemical Society Reviews] (2012, 2678 cites) [DOI: https://doi.org/10.1039/c1cs15228a] | "Cation-Deficient Spinel ZnMn 2 O 4 Cathode in Zn(CF 3 SO 3 ) 2 Electrolyte for Rechargeable Aqueous Zn-Ion Battery" [Journal of the American Chemical Society] (2016, 1886 cites) [DOI: https://doi.org/10.1021/jacs.6b05958] | "Rechargeable aqueous zinc-manganese dioxide batteries with high energy and power densities" [Nature Communications] (2017, 1795 cites) [DOI: https://doi.org/10.1038/s41467-017-00467-x]</t>
        </is>
      </c>
      <c r="T31" s="2" t="inlineStr"/>
      <c r="U31" s="2" t="inlineStr">
        <is>
          <t>Outstanding Mechanical Engineers Distinguished Engineering Alumni Honorary Doctorates Staff Awards Student Awards Distinguished...</t>
        </is>
      </c>
      <c r="V31" s="2" t="inlineStr"/>
      <c r="W31" s="2" t="inlineStr">
        <is>
          <t>Advancements in Battery Materials (575) | Advanced Battery Materials and Technologies (515) | Advanced battery technologies research (249)</t>
        </is>
      </c>
      <c r="X31" s="2" t="inlineStr">
        <is>
          <t>Advancements in Battery Materials (575) | Advanced Battery Materials and Technologies (515) | Advanced battery technologies research (249)</t>
        </is>
      </c>
      <c r="Y31" s="2" t="inlineStr">
        <is>
          <t>Experimental fluid dynamics Development of flow diagnostic techniques Flow dynamics in stratified environment Turbulent flow measurements and modeling</t>
        </is>
      </c>
      <c r="Z31" s="2" t="inlineStr">
        <is>
          <t>Fluid Mechanics Heat &amp; Mass Transfer</t>
        </is>
      </c>
      <c r="AA31" s="2" t="inlineStr">
        <is>
          <t>Fluid Mechanics Heat &amp; Mass Transfer</t>
        </is>
      </c>
      <c r="AB31" s="2" t="inlineStr">
        <is>
          <t>B.S., Beijing University of Aero. &amp; Astro., '94 M.S., Beijing University of Aero. &amp; Astro., '97 Ph.D., Johns Hopkins University., '04</t>
        </is>
      </c>
      <c r="AC31" s="2" t="inlineStr">
        <is>
          <t>Personal Homepage</t>
        </is>
      </c>
      <c r="AD31" s="3">
        <f>HYPERLINK("https://engineering.purdue.edu/~chen220", "https://engineering.purdue.edu/~chen220")</f>
        <v/>
      </c>
      <c r="AE31" s="2" t="inlineStr"/>
      <c r="AF31" s="2" t="inlineStr"/>
      <c r="AG31" s="2" t="inlineStr"/>
      <c r="AH31" s="2" t="inlineStr"/>
      <c r="AI31" s="2" t="inlineStr"/>
      <c r="AJ31" s="2" t="inlineStr"/>
      <c r="AK31" s="2" t="inlineStr"/>
      <c r="AL31" s="2" t="b">
        <v>1</v>
      </c>
      <c r="AM31" s="3">
        <f>HYPERLINK("https://engineering.purdue.edu/AAE/people/Faculty", "https://engineering.purdue.edu/AAE/people/Faculty")</f>
        <v/>
      </c>
    </row>
    <row r="32">
      <c r="A32" s="2" t="inlineStr">
        <is>
          <t>Mark Lewis</t>
        </is>
      </c>
      <c r="B32" s="2" t="inlineStr">
        <is>
          <t>Purdue University</t>
        </is>
      </c>
      <c r="C32" s="3">
        <f>HYPERLINK("https://engineering.purdue.edu/AAE/people/ptProfile?resource_id=255151", "https://engineering.purdue.edu/AAE/people/ptProfile?resource_id=255151")</f>
        <v/>
      </c>
      <c r="D32" s="3">
        <f>HYPERLINK("https://scholar.google.com/citations?view_op=search_authors&amp;mauthors=Mark%20Lewis%20Purdue%20University", "Google Scholar Search")</f>
        <v/>
      </c>
      <c r="E32" s="2" t="inlineStr">
        <is>
          <t>CEO of Purdue Applied Research Institute (PARI); Professor of Aeronautics and Astronautics</t>
        </is>
      </c>
      <c r="F32" s="2" t="inlineStr">
        <is>
          <t>Aeronautics and Astronautics</t>
        </is>
      </c>
      <c r="G32" s="2" t="inlineStr"/>
      <c r="H32" s="2" t="inlineStr"/>
      <c r="I32" s="2" t="n">
        <v>1</v>
      </c>
      <c r="J32" s="2" t="inlineStr">
        <is>
          <t>🔵 Tier 1: Core Aero / Fluids / Propulsion</t>
        </is>
      </c>
      <c r="K32" s="2" t="n">
        <v>3</v>
      </c>
      <c r="L32" s="2" t="inlineStr">
        <is>
          <t>aerodynamics, hypersonic, propulsion</t>
        </is>
      </c>
      <c r="M32" s="2" t="inlineStr"/>
      <c r="N32" s="2" t="inlineStr"/>
      <c r="O32" s="2" t="inlineStr"/>
      <c r="P32" s="2" t="inlineStr"/>
      <c r="Q32" s="2" t="inlineStr"/>
      <c r="R32" s="2" t="inlineStr">
        <is>
          <t>"In vivo genome editing of central nervous system SIV reservoirs in ART-suppressed rhesus macaques" [Molecular Therapy — Nucleic Acids] (2026) [DOI: https://doi.org/10.1016/j.omtn.2026.103063] | "Induction of broadly neutralizing HIV antibodies by a two-step mechanism informs vaccine design" [Science] (2026) [DOI: https://doi.org/10.1126/science.aec6396] | "Durable protection against SIV challenge by adeno-associated virus delivery of Env-specific antibodies" [bioRxiv (Cold Spring Harbor Laboratory)] (2026) [DOI: https://doi.org/10.64898/2026.04.20.719478]</t>
        </is>
      </c>
      <c r="S32" s="2" t="inlineStr">
        <is>
          <t>"The Sequence of the Human Genome" [Science] (2001, 13709 cites) [DOI: https://doi.org/10.1126/science.1058040] | "Protection of macaques against vaginal transmission of a pathogenic HIV-1/SIV chimeric virus by passive infusion of neutralizing antibodies" [Nature Medicine] (2000, 1248 cites) [DOI: https://doi.org/10.1038/72318] | "Correlates of protection against SARS-CoV-2 in rhesus macaques" [Nature] (2020, 1238 cites) [DOI: https://doi.org/10.1038/s41586-020-03041-6]</t>
        </is>
      </c>
      <c r="T32" s="2" t="inlineStr"/>
      <c r="U32" s="2" t="inlineStr"/>
      <c r="V32" s="2" t="inlineStr"/>
      <c r="W32" s="2" t="inlineStr">
        <is>
          <t>HIV Research and Treatment (184) | SARS-CoV-2 and COVID-19 Research (106) | Immune Cell Function and Interaction (85)</t>
        </is>
      </c>
      <c r="X32" s="2" t="inlineStr">
        <is>
          <t>HIV Research and Treatment (184) | SARS-CoV-2 and COVID-19 Research (106) | Immune Cell Function and Interaction (85)</t>
        </is>
      </c>
      <c r="Y32" s="2" t="inlineStr"/>
      <c r="Z32" s="2" t="inlineStr"/>
      <c r="AA32" s="2" t="inlineStr"/>
      <c r="AB32" s="2" t="inlineStr"/>
      <c r="AC32" s="2" t="inlineStr"/>
      <c r="AD32" s="2" t="inlineStr"/>
      <c r="AE32" s="2" t="inlineStr"/>
      <c r="AF32" s="2" t="inlineStr"/>
      <c r="AG32" s="2" t="inlineStr"/>
      <c r="AH32" s="2" t="inlineStr"/>
      <c r="AI32" s="2" t="inlineStr"/>
      <c r="AJ32" s="2" t="inlineStr"/>
      <c r="AK32" s="2" t="inlineStr"/>
      <c r="AL32" s="2" t="b">
        <v>1</v>
      </c>
      <c r="AM32" s="3">
        <f>HYPERLINK("https://engineering.purdue.edu/AAE/people/Faculty", "https://engineering.purdue.edu/AAE/people/Faculty")</f>
        <v/>
      </c>
    </row>
    <row r="33">
      <c r="A33" s="2" t="inlineStr">
        <is>
          <t>Vikas Tomar</t>
        </is>
      </c>
      <c r="B33" s="2" t="inlineStr">
        <is>
          <t>Purdue University</t>
        </is>
      </c>
      <c r="C33" s="3">
        <f>HYPERLINK("https://engineering.purdue.edu/AAE/people/ptProfile?resource_id=55699", "https://engineering.purdue.edu/AAE/people/ptProfile?resource_id=55699")</f>
        <v/>
      </c>
      <c r="D33" s="3">
        <f>HYPERLINK("https://scholar.google.com/citations?user=rI7TKPYAAAAJ&amp;hl=en&amp;oi=ao", "Scholar (rI7TKPYAAAAJ)")</f>
        <v/>
      </c>
      <c r="E33" s="2" t="inlineStr">
        <is>
          <t>Professor</t>
        </is>
      </c>
      <c r="F33" s="2" t="inlineStr">
        <is>
          <t>Aeronautics and Astronautics</t>
        </is>
      </c>
      <c r="G33" s="2" t="inlineStr">
        <is>
          <t>rI7TKPYAAAAJ</t>
        </is>
      </c>
      <c r="H33" s="3">
        <f>HYPERLINK("mailto:tomar@purdue.edu", "tomar@purdue.edu")</f>
        <v/>
      </c>
      <c r="I33" s="2" t="n">
        <v>1</v>
      </c>
      <c r="J33" s="2" t="inlineStr">
        <is>
          <t>🔵 Tier 1: Core Aero / Fluids / Propulsion</t>
        </is>
      </c>
      <c r="K33" s="2" t="n">
        <v>3</v>
      </c>
      <c r="L33" s="2" t="inlineStr">
        <is>
          <t>autonomous, hypersonic, materials</t>
        </is>
      </c>
      <c r="M33" s="2" t="inlineStr"/>
      <c r="N33" s="2" t="inlineStr"/>
      <c r="O33" s="2" t="inlineStr"/>
      <c r="P33" s="2" t="inlineStr"/>
      <c r="Q33" s="2" t="inlineStr"/>
      <c r="R33" s="2" t="inlineStr"/>
      <c r="S33" s="2" t="inlineStr">
        <is>
          <t>"Bounds for element size in a variable stiffness cohesive finite element model" [International Journal for Numerical Methods in Engineering] (2004, 192 cites) [DOI: https://doi.org/10.1002/nme.1138] | "Nanoindentation based properties of Inconel 718 at elevated temperatures: A comparison of conventional versus additively manufactured samples" [International Journal of Plasticity] (2019, 116 cites) [DOI: https://doi.org/10.1016/j.ijplas.2019.04.018] | "Micromechanical Simulation of Dynamic Fracture Using the Cohesive Finite Element Method" [Journal of Engineering Materials and Technology] (2004, 100 cites) [DOI: https://doi.org/10.1115/1.1647127]</t>
        </is>
      </c>
      <c r="T33" s="2" t="inlineStr"/>
      <c r="U33" s="2" t="inlineStr">
        <is>
          <t>• 2025 Featured Paper (chosen by the editors among all aubmitted and accepted papers) in the Journal of Applied Physics (with M...</t>
        </is>
      </c>
      <c r="V33" s="2" t="inlineStr"/>
      <c r="W33" s="2" t="inlineStr">
        <is>
          <t>High-Velocity Impact and Material Behavior (36) | Advanced ceramic materials synthesis (34) | Metal and Thin Film Mechanics (28)</t>
        </is>
      </c>
      <c r="X33" s="2" t="inlineStr">
        <is>
          <t>High-Velocity Impact and Material Behavior (36) | Advanced ceramic materials synthesis (34) | Metal and Thin Film Mechanics (28)</t>
        </is>
      </c>
      <c r="Y33" s="2" t="inlineStr">
        <is>
          <t>Emphasis is on engineering and science of materials in extreme environments with specific projects currently focusing on; 1. Non-equilibrium Phenomenon in Matter: Application of Nanosecond Multipoint Raman Spectroscopy and data science for understanding/describing shock as well as low velocity fracture/sensitivity to damage. Use of such knowledge in domains such as Physiology, Hypersonics, Anti Shock Designs,  Space Solutions, Additive Manufacturing etc. 2. Autonomy Energy Intelligence: Use of data science for combined edge-cloud solutions for deploying high voltage batteries in sensitive applications with emphasis on extreme events such as nail puncture-high voltage shock-rapid temperature events etc. Use of such knowledge for Physical AI Solutions for Autonomy, Artificial General Intelligence, Large Scale Autonomous Manufacturing etc</t>
        </is>
      </c>
      <c r="Z33" s="2" t="inlineStr">
        <is>
          <t>Interfacial Multiphysics Lab is focused on advancing analytical technologies such as Mechanical Raman Spectroscopy (MRS), an analytical experimental method developed by lab members (US Patent 9,778,194, Review of Scientific Instruments 85, 013902 (2014)) and Smart Battery Management Systems (another US Patent from lab: US11658350B2) to solve important extreme environment operational problems with specific projects currently focusing on; 1. Non-equilibrium Phenomenon in Matter: Application of Nanosecond Multipoint Raman Spectroscopy and data science to understand/describe shock as well as low velocity fracture/sensitivity to damage. Use of such knowledge in domains such as Physiology, Hypersonics, Anti-Shock Designs, Space Solutions, Additive Manufacturing, etc. 2. Autonomy Energy Intelligence: Use of data science for combined edge-cloud solutions for deploying high voltage batteries in sensitive applications, emphasizing extreme events such as nail puncture-high voltage shock-rapid temperature events, etc. Use of such knowledge for Physical AI Solutions for Autonomy, Artificial General Intelligence, Large Scale Autonomous Manufacturing etc Lab Director, Prof. Tomar started his career as an assistant professor in January 2006 after graduating from Georgia Tech with PhD in Mechanical Engineering in December 2005. He was promoted to full professor in 2016 at Purdue University. Lab has graduated 17 PhDs, 27 MS-Thesis students, and multiple non-thesis/undergrad special topic research project students. Lab has published over 400 publications, filed 11 research patents/disclosures (awarded 6 patents), written 2 published books, and edited 5 research volumes. The lab has been part of multiple externally funded projects from Industry, the Office of Naval Research (ONR), the Naval Surface Warfare Center, the National Science Foundation (NSF), the Department of Energy (DoE), ARMY, and Air Force Office of Scientific Research (AFoSR). Lab excellence in research has been recognized by several awards including the VAJRA award from Govt of India, the AFoSR Young Investigator Award for high-temperature interface thermomechanics, the American Society of Mechanical Engineers (ASME) Orr Early Career Award for excellence in fracture and fatigue, The Mineral, Metal, and Materials Societies (TMS) early career faculty fellow-honorable mention award for materials research, inaugural Elsevier Material Science and Engineering journals Early Career Young Researcher Award for Interface Mechanics, Purdue Seeds for Success Awards (2017, 2018, 2020), Purdue CT Sun Research award, Purdue University Faculty Scholar Award, and multiple other best paper awards. For his contribution to the profession, Dr. Tomar was elected an ASME Fellow in 2016 and an American Institute of Aeronautics and Astronautics (AIAA) Associate Fellow in 2015. He has been bestowed with multiple mentorship and teaching awards including the Indiana LSAMP Outstanding Mentor Award, Purdue School of Aeronautics Best Undergraduate Teacher Gustafson award etc. He has organized numerous conferences as track chair and conference co-organizer with various Editor-in-Chief and Associate Editor positions at reputed journals. Lab student members have won multiple research and service awards at the undergraduate and graduate level including the Mitchell Scholarship award to Milad Alucozai which is first ever awarded in Purdue undergraduate education history, the NASA RASC-AL award to an undergraduate team, the NSF best poster award with grad student Ming Gan, Best paper awards at TMS with Bing Li and Abhijeet Dhiman, Chorafus foundation best PhD dissertation finalist to Ming Gan, College of Engineering outstanding service award to Devendra Verma, and numerous other student awards such as Blissland Dissertation Fellowship, Purdue's Nominee for external Best Master's Thesis competitions, multiple Lynn Fellowships, and finally numerous student conference travel awards sponsored by organizations across the world. Students after graduation have enjoyed successful careers in academia US government agencies national labs and industry. Several lab alumni have either tenured or tenure-track faculty positions in universities in the USA, Mexico, India, China, and S Korea.</t>
        </is>
      </c>
      <c r="AA33" s="2" t="inlineStr">
        <is>
          <t>Interfacial Multiphysics Lab is focused on advancing analytical technologies such as Mechanical Raman Spectroscopy (MRS), an analytical experimental method developed by lab members (US Patent 9,778,194, Review of Scientific Instruments 85, 013902 (2014)) and Smart Battery Management Systems (another US Patent from lab: US11658350B2) to solve important extreme environment operational problems wi...</t>
        </is>
      </c>
      <c r="AB33" s="2" t="inlineStr">
        <is>
          <t>MBA, University of California, Berkeley, Haas School of Management, June 2023 Ph.D., Georgia Institute of Technology, Atlanta, GA, December 2005 M. Tech., Indian Institute of Technology-Madras, Chennai, India, May 2001 B. Tech., National Institute of Technology, Kurukshetra, India, May 1998</t>
        </is>
      </c>
      <c r="AC33" s="2" t="inlineStr">
        <is>
          <t>Indiana Space Grant Consortium</t>
        </is>
      </c>
      <c r="AD33" s="3">
        <f>HYPERLINK("https://insgc.spacegrant.org/", "https://insgc.spacegrant.org/")</f>
        <v/>
      </c>
      <c r="AE33" s="2" t="inlineStr">
        <is>
          <t>Academic INSGC Internships</t>
        </is>
      </c>
      <c r="AF33" s="2" t="inlineStr"/>
      <c r="AG33" s="2" t="inlineStr"/>
      <c r="AH33" s="2" t="inlineStr">
        <is>
          <t>NASA</t>
        </is>
      </c>
      <c r="AI33" s="2" t="inlineStr"/>
      <c r="AJ33" s="2" t="inlineStr"/>
      <c r="AK33" s="2" t="inlineStr">
        <is>
          <t>ARMS 2033</t>
        </is>
      </c>
      <c r="AL33" s="2" t="b">
        <v>1</v>
      </c>
      <c r="AM33" s="3">
        <f>HYPERLINK("https://engineering.purdue.edu/AAE/people/Faculty", "https://engineering.purdue.edu/AAE/people/Faculty")</f>
        <v/>
      </c>
    </row>
    <row r="34">
      <c r="A34" s="2" t="inlineStr">
        <is>
          <t>Benxin Wu</t>
        </is>
      </c>
      <c r="B34" s="2" t="inlineStr">
        <is>
          <t>Purdue University</t>
        </is>
      </c>
      <c r="C34" s="3">
        <f>HYPERLINK("https://engineering.purdue.edu/ME/People/ptProfile?resource_id=117606", "https://engineering.purdue.edu/ME/People/ptProfile?resource_id=117606")</f>
        <v/>
      </c>
      <c r="D34" s="3">
        <f>HYPERLINK("https://scholar.google.com/citations?view_op=search_authors&amp;mauthors=Benxin%20Wu%20Purdue%20University", "Google Scholar Search")</f>
        <v/>
      </c>
      <c r="E34" s="2" t="inlineStr">
        <is>
          <t>Professor of Mechanical Engineering</t>
        </is>
      </c>
      <c r="F34" s="2" t="inlineStr">
        <is>
          <t>Mechanical Engineering</t>
        </is>
      </c>
      <c r="G34" s="2" t="inlineStr"/>
      <c r="H34" s="3">
        <f>HYPERLINK("mailto:wu65@purdue.edu", "wu65@purdue.edu")</f>
        <v/>
      </c>
      <c r="I34" s="2" t="n">
        <v>1</v>
      </c>
      <c r="J34" s="2" t="inlineStr">
        <is>
          <t>🔵 Tier 1: Core Aero / Fluids / Propulsion</t>
        </is>
      </c>
      <c r="K34" s="2" t="n">
        <v>2</v>
      </c>
      <c r="L34" s="2" t="inlineStr">
        <is>
          <t>fluid mechanics, materials</t>
        </is>
      </c>
      <c r="M34" s="2" t="inlineStr"/>
      <c r="N34" s="2" t="inlineStr"/>
      <c r="O34" s="2" t="inlineStr"/>
      <c r="P34" s="2" t="inlineStr"/>
      <c r="Q34" s="2" t="inlineStr"/>
      <c r="R34" s="2" t="inlineStr">
        <is>
          <t>"Confinement-induced laser attenuation in multi-pulse ablation with high-intensity nanosecond laser" [Manufacturing Letters] (2026) [DOI: https://doi.org/10.1016/j.mfglet.2026.08.094] | "Double-front plasma produced from high-intensity nanosecond laser ablation of aluminum: Time-resolved imaging and hydrodynamic modeling" [Journal of Applied Physics] (2026) [DOI: https://doi.org/10.1063/5.0333327]</t>
        </is>
      </c>
      <c r="S34" s="2" t="inlineStr">
        <is>
          <t>"Double-front plasma produced from high-intensity nanosecond laser ablation of aluminum: Time-resolved imaging and hydrodynamic modeling" [Journal of Applied Physics] (2026, 1 cites) [DOI: https://doi.org/10.1063/5.0333327] | "Confinement-induced laser attenuation in multi-pulse ablation with high-intensity nanosecond laser" [Manufacturing Letters] (2026, 0 cites) [DOI: https://doi.org/10.1016/j.mfglet.2026.08.094]</t>
        </is>
      </c>
      <c r="T34" s="2" t="inlineStr"/>
      <c r="U34" s="2" t="inlineStr">
        <is>
          <t>Outstanding Mechanical Engineers Distinguished Engineering Alumni Honorary Doctorates Staff Awards Student Awards Distinguished...</t>
        </is>
      </c>
      <c r="V34" s="2" t="inlineStr"/>
      <c r="W34" s="2" t="inlineStr">
        <is>
          <t>Laser Material Processing Techniques (2) | Space Satellite Systems and Control (1) | Laser-induced spectroscopy and plasma (1)</t>
        </is>
      </c>
      <c r="X34" s="2" t="inlineStr">
        <is>
          <t>Laser Material Processing Techniques (2) | Space Satellite Systems and Control (1) | Laser-induced spectroscopy and plasma (1)</t>
        </is>
      </c>
      <c r="Y34" s="2" t="inlineStr">
        <is>
          <t>Laser-matter interactions Laser-induced plasma and laser-plasma interaction Laser applications in manufacturing, materials processing, and other areas</t>
        </is>
      </c>
      <c r="Z34" s="2" t="inlineStr">
        <is>
          <t>Fluid Mechanics Systems, Measurements &amp; Controls</t>
        </is>
      </c>
      <c r="AA34" s="2" t="inlineStr">
        <is>
          <t>Fluid Mechanics Systems, Measurements &amp; Controls</t>
        </is>
      </c>
      <c r="AB34" s="2" t="inlineStr">
        <is>
          <t>Ph.D., Purdue University, 2007 M.S., University of Missouri-Rolla, 2003 B.Eng., Tsinghua University, 2001</t>
        </is>
      </c>
      <c r="AC34" s="2" t="inlineStr">
        <is>
          <t>Indiana Space Grant Consortium</t>
        </is>
      </c>
      <c r="AD34" s="3">
        <f>HYPERLINK("https://insgc.spacegrant.org/", "https://insgc.spacegrant.org/")</f>
        <v/>
      </c>
      <c r="AE34" s="2" t="inlineStr">
        <is>
          <t>Academic INSGC Internships</t>
        </is>
      </c>
      <c r="AF34" s="2" t="inlineStr"/>
      <c r="AG34" s="2" t="inlineStr"/>
      <c r="AH34" s="2" t="inlineStr">
        <is>
          <t>NASA</t>
        </is>
      </c>
      <c r="AI34" s="2" t="inlineStr"/>
      <c r="AJ34" s="2" t="inlineStr"/>
      <c r="AK34" s="2" t="inlineStr">
        <is>
          <t>ME G091 &amp; 2550NW</t>
        </is>
      </c>
      <c r="AL34" s="2" t="b">
        <v>1</v>
      </c>
      <c r="AM34" s="3">
        <f>HYPERLINK("https://engineering.purdue.edu/ME/People/ptFaculty", "https://engineering.purdue.edu/ME/People/ptFaculty")</f>
        <v/>
      </c>
    </row>
    <row r="35">
      <c r="A35" s="2" t="inlineStr">
        <is>
          <t>Gregory M. Shaver</t>
        </is>
      </c>
      <c r="B35" s="2" t="inlineStr">
        <is>
          <t>Purdue University</t>
        </is>
      </c>
      <c r="C35" s="3">
        <f>HYPERLINK("https://engineering.purdue.edu/ME/People/ptProfile?resource_id=29361", "https://engineering.purdue.edu/ME/People/ptProfile?resource_id=29361")</f>
        <v/>
      </c>
      <c r="D35" s="3">
        <f>HYPERLINK("https://scholar.google.com/citations?view_op=search_authors&amp;mauthors=Gregory%20M.%20Shaver%20Purdue%20University", "Google Scholar Search")</f>
        <v/>
      </c>
      <c r="E35" s="2" t="inlineStr">
        <is>
          <t>Director of Herrick Labs; Reilly Professor of Mechanical Engineering</t>
        </is>
      </c>
      <c r="F35" s="2" t="inlineStr">
        <is>
          <t>Mechanical Engineering</t>
        </is>
      </c>
      <c r="G35" s="2" t="inlineStr"/>
      <c r="H35" s="3">
        <f>HYPERLINK("mailto:gshaver@purdue.edu", "gshaver@purdue.edu")</f>
        <v/>
      </c>
      <c r="I35" s="2" t="n">
        <v>1</v>
      </c>
      <c r="J35" s="2" t="inlineStr">
        <is>
          <t>🔵 Tier 1: Core Aero / Fluids / Propulsion</t>
        </is>
      </c>
      <c r="K35" s="2" t="n">
        <v>2</v>
      </c>
      <c r="L35" s="2" t="inlineStr">
        <is>
          <t>combustion, thermodynamics</t>
        </is>
      </c>
      <c r="M35" s="2" t="inlineStr"/>
      <c r="N35" s="2" t="inlineStr"/>
      <c r="O35" s="2" t="inlineStr"/>
      <c r="P35" s="2" t="inlineStr"/>
      <c r="Q35" s="2" t="inlineStr"/>
      <c r="R35" s="2" t="inlineStr">
        <is>
          <t>"Robust MIMO air handling control for eboosted off-road hybrid diesel powertrain" [International Journal of Engine Research] (2026) [DOI: https://doi.org/10.1177/14680874261473817] | "Experimental analysis of combustion stability and cycle-to-cycle variability in an off-road compression ignition engine fueled with biodiesel ethanol blends: Up to 50% ethanol" [Fuel] (2026) [DOI: https://doi.org/10.1016/j.fuel.2026.141185] | "Trajectory tracking in autonomous racing using a reduced-order feedback-linearized MPC framework" [Control Engineering Practice] (2026) [DOI: https://doi.org/10.1016/j.conengprac.2026.107036]</t>
        </is>
      </c>
      <c r="S35" s="2" t="inlineStr">
        <is>
          <t>"Physically-based reduced-order capacity loss model for graphite anodes in Li-ion battery cells" [Journal of Power Sources] (2017, 169 cites) [DOI: https://doi.org/10.1016/j.jpowsour.2016.12.099] | "Lessons Learned: Implementing the Case Teaching Method in a Mechanical Engineering Course" [Journal of Engineering Education] (2010, 166 cites) [DOI: https://doi.org/10.1002/j.2168-9830.2010.tb01042.x] | "Modeling cycle-to-cycle dynamics and mode transition in HCCI engines with variable valve actuation" [Control Engineering Practice] (2005, 99 cites) [DOI: https://doi.org/10.1016/j.conengprac.2005.04.009]</t>
        </is>
      </c>
      <c r="T35" s="2" t="inlineStr"/>
      <c r="U35" s="2" t="inlineStr">
        <is>
          <t>Outstanding Mechanical Engineers Distinguished Engineering Alumni Honorary Doctorates Staff Awards Student Awards Distinguished...</t>
        </is>
      </c>
      <c r="V35" s="2" t="inlineStr"/>
      <c r="W35" s="2" t="inlineStr">
        <is>
          <t>Advanced Combustion Engine Technologies (98) | Vehicle emissions and performance (57) | Biodiesel Production and Applications (29)</t>
        </is>
      </c>
      <c r="X35" s="2" t="inlineStr">
        <is>
          <t>Advanced Combustion Engine Technologies (98) | Vehicle emissions and performance (57) | Biodiesel Production and Applications (29)</t>
        </is>
      </c>
      <c r="Y35" s="2" t="inlineStr">
        <is>
          <t>Model-based system and control design of commercial vehicle power trains Connected and automated commercial vehicles Internal combustion engine &amp; after-treatment system design and controls Flexible valve actuation in diesel and natural gas engines</t>
        </is>
      </c>
      <c r="Z35" s="2" t="inlineStr">
        <is>
          <t>Thermodynamics Systems, Measurements &amp; Controls</t>
        </is>
      </c>
      <c r="AA35" s="2" t="inlineStr">
        <is>
          <t>Thermodynamics Systems, Measurements &amp; Controls</t>
        </is>
      </c>
      <c r="AB35" s="2" t="inlineStr">
        <is>
          <t>Ph.D. Stanford, '05 M.S. Stanford, '04 B.S. Purdue, '00</t>
        </is>
      </c>
      <c r="AC35" s="2" t="inlineStr">
        <is>
          <t>Personal Homepage</t>
        </is>
      </c>
      <c r="AD35" s="3">
        <f>HYPERLINK("http://www.gregshaver.com/", "http://www.gregshaver.com/")</f>
        <v/>
      </c>
      <c r="AE35" s="2" t="inlineStr"/>
      <c r="AF35" s="2" t="inlineStr"/>
      <c r="AG35" s="2" t="inlineStr"/>
      <c r="AH35" s="2" t="inlineStr"/>
      <c r="AI35" s="2" t="inlineStr"/>
      <c r="AJ35" s="2" t="inlineStr"/>
      <c r="AK35" s="2" t="inlineStr"/>
      <c r="AL35" s="2" t="b">
        <v>1</v>
      </c>
      <c r="AM35" s="3">
        <f>HYPERLINK("https://engineering.purdue.edu/ME/People/ptFaculty", "https://engineering.purdue.edu/ME/People/ptFaculty")</f>
        <v/>
      </c>
    </row>
    <row r="36">
      <c r="A36" s="2" t="inlineStr">
        <is>
          <t>Jamie Canino</t>
        </is>
      </c>
      <c r="B36" s="2" t="inlineStr">
        <is>
          <t>Purdue University</t>
        </is>
      </c>
      <c r="C36" s="3">
        <f>HYPERLINK("https://engineering.purdue.edu/AAE/people/ptProfile?resource_id=285032", "https://engineering.purdue.edu/AAE/people/ptProfile?resource_id=285032")</f>
        <v/>
      </c>
      <c r="D36" s="3">
        <f>HYPERLINK("https://scholar.google.com/citations?view_op=search_authors&amp;mauthors=Jamie%20Canino%20Purdue%20University", "Google Scholar Search")</f>
        <v/>
      </c>
      <c r="E36" s="2" t="inlineStr">
        <is>
          <t>Associate Professor of Engineering Practice</t>
        </is>
      </c>
      <c r="F36" s="2" t="inlineStr">
        <is>
          <t>Aeronautics and Astronautics</t>
        </is>
      </c>
      <c r="G36" s="2" t="inlineStr"/>
      <c r="H36" s="3">
        <f>HYPERLINK("mailto:canino@purdue.edu", "canino@purdue.edu")</f>
        <v/>
      </c>
      <c r="I36" s="2" t="n">
        <v>1</v>
      </c>
      <c r="J36" s="2" t="inlineStr">
        <is>
          <t>🔵 Tier 1: Core Aero / Fluids / Propulsion</t>
        </is>
      </c>
      <c r="K36" s="2" t="n">
        <v>2</v>
      </c>
      <c r="L36" s="2" t="inlineStr">
        <is>
          <t>propulsion, rocket propulsion</t>
        </is>
      </c>
      <c r="M36" s="2" t="inlineStr"/>
      <c r="N36" s="2" t="inlineStr"/>
      <c r="O36" s="2" t="inlineStr"/>
      <c r="P36" s="2" t="inlineStr"/>
      <c r="Q36" s="2" t="inlineStr"/>
      <c r="R36" s="2" t="inlineStr"/>
      <c r="S36" s="2" t="inlineStr">
        <is>
          <t>"Computational Modelling of Rocket Injector Internal Flows" (2007, 6 cites) [DOI: https://doi.org/10.2514/6.2007-5571] | "Optimization of Lenz-Type VAWT Geometries with Computational Fluid Dynamics" [AIAA SCITECH 2023 Forum] (2023, 0 cites) [DOI: https://doi.org/10.2514/6.2023-0017]</t>
        </is>
      </c>
      <c r="T36" s="2" t="inlineStr"/>
      <c r="U36" s="2" t="inlineStr"/>
      <c r="V36" s="2" t="inlineStr"/>
      <c r="W36" s="2" t="inlineStr">
        <is>
          <t>Advanced Combustion Engine Technologies (1) | Combustion and flame dynamics (1) | Wind Energy Research and Development (1)</t>
        </is>
      </c>
      <c r="X36" s="2" t="inlineStr">
        <is>
          <t>Advanced Combustion Engine Technologies (1) | Combustion and flame dynamics (1) | Wind Energy Research and Development (1)</t>
        </is>
      </c>
      <c r="Y36" s="2" t="inlineStr">
        <is>
          <t>Engineering Education, Undergraduate Mentoring, Rocket Propulsion Edit var myPronunciation=document.getElementById("pronunciation");
    function play() {
    myPronunciation.play();
    }
    function pause() {
    myPronunciation.pause();
    }</t>
        </is>
      </c>
      <c r="Z36" s="2" t="inlineStr"/>
      <c r="AA36" s="2" t="inlineStr">
        <is>
          <t>Engineering Education, Undergraduate Mentoring, Rocket Propulsion Edit var myPronunciation=document.getElementById("pronunciation");
    function play() {
    myPronunciation.play();
    }
    function pause() {
    myPronunciation.pause();
    }</t>
        </is>
      </c>
      <c r="AB36" s="2" t="inlineStr"/>
      <c r="AC36" s="2" t="inlineStr">
        <is>
          <t>Indiana Space Grant Consortium</t>
        </is>
      </c>
      <c r="AD36" s="3">
        <f>HYPERLINK("https://insgc.spacegrant.org/", "https://insgc.spacegrant.org/")</f>
        <v/>
      </c>
      <c r="AE36" s="2" t="inlineStr">
        <is>
          <t>Academic INSGC Internships</t>
        </is>
      </c>
      <c r="AF36" s="2" t="inlineStr"/>
      <c r="AG36" s="2" t="inlineStr"/>
      <c r="AH36" s="2" t="inlineStr">
        <is>
          <t>NASA</t>
        </is>
      </c>
      <c r="AI36" s="2" t="inlineStr"/>
      <c r="AJ36" s="2" t="inlineStr"/>
      <c r="AK36" s="2" t="inlineStr">
        <is>
          <t>ARMS 3209</t>
        </is>
      </c>
      <c r="AL36" s="2" t="b">
        <v>1</v>
      </c>
      <c r="AM36" s="3">
        <f>HYPERLINK("https://engineering.purdue.edu/AAE/people/Faculty", "https://engineering.purdue.edu/AAE/people/Faculty")</f>
        <v/>
      </c>
    </row>
    <row r="37">
      <c r="A37" s="2" t="inlineStr">
        <is>
          <t>Leifur Leifsson</t>
        </is>
      </c>
      <c r="B37" s="2" t="inlineStr">
        <is>
          <t>Purdue University</t>
        </is>
      </c>
      <c r="C37" s="3">
        <f>HYPERLINK("https://engineering.purdue.edu/AAE/people/ptProfile?resource_id=256632", "https://engineering.purdue.edu/AAE/people/ptProfile?resource_id=256632")</f>
        <v/>
      </c>
      <c r="D37" s="3">
        <f>HYPERLINK("https://scholar.google.com/citations?view_op=search_authors&amp;mauthors=Leifur%20Leifsson%20Purdue%20University", "Google Scholar Search")</f>
        <v/>
      </c>
      <c r="E37" s="2" t="inlineStr">
        <is>
          <t>Associate Professor</t>
        </is>
      </c>
      <c r="F37" s="2" t="inlineStr">
        <is>
          <t>Aeronautics and Astronautics</t>
        </is>
      </c>
      <c r="G37" s="2" t="inlineStr"/>
      <c r="H37" s="3">
        <f>HYPERLINK("mailto:leifur@purdue.edu", "leifur@purdue.edu")</f>
        <v/>
      </c>
      <c r="I37" s="2" t="n">
        <v>1</v>
      </c>
      <c r="J37" s="2" t="inlineStr">
        <is>
          <t>🔵 Tier 1: Core Aero / Fluids / Propulsion</t>
        </is>
      </c>
      <c r="K37" s="2" t="n">
        <v>2</v>
      </c>
      <c r="L37" s="2" t="inlineStr">
        <is>
          <t>aerospace, fluid-structure interaction</t>
        </is>
      </c>
      <c r="M37" s="2" t="inlineStr"/>
      <c r="N37" s="2" t="inlineStr"/>
      <c r="O37" s="2" t="inlineStr"/>
      <c r="P37" s="2" t="inlineStr"/>
      <c r="Q37" s="2" t="inlineStr"/>
      <c r="R37" s="2" t="inlineStr">
        <is>
          <t>"Adaptive Hyperparameter Optimization Strategies for Neural Network Models in Engineering Design Optimization" [Journal of Aerospace Information Systems] (2026) [DOI: https://doi.org/10.2514/1.i011839] | "Special Issue: Data-Driven Design Under Uncertainty" [Journal of Mechanical Design] (2026) [DOI: https://doi.org/10.1115/1.4070968] | "Efficient Design of Airfoil Shapes Using Surface Pressure–Informed Bayesian Optimization" (2026) [DOI: https://doi.org/10.2514/6.2026-0148]</t>
        </is>
      </c>
      <c r="S37" s="2" t="inlineStr">
        <is>
          <t>"Surrogate-Based Methods" [Studies in computational intelligence] (2011, 257 cites) [DOI: https://doi.org/10.1007/978-3-642-20859-1_3] | "Surrogate-based aerodynamic shape optimization for delaying airfoil dynamic stall using Kriging regression and infill criteria" [Aerospace Science and Technology] (2021, 120 cites) [DOI: https://doi.org/10.1016/j.ast.2021.106555] | "Surrogate-Based Aerodynamic Shape Optimization by Variable-Resolution Models" [AIAA Journal] (2012, 111 cites) [DOI: https://doi.org/10.2514/1.j051583]</t>
        </is>
      </c>
      <c r="T37" s="2" t="inlineStr"/>
      <c r="U37" s="2" t="inlineStr">
        <is>
          <t>NSF Early CAREER Award, NSF/CMMI/EDSE, February 2019 Best Paper Award, ASME Journal of Nondestructive Evaluation, 2019 Research...</t>
        </is>
      </c>
      <c r="V37" s="2" t="inlineStr"/>
      <c r="W37" s="2" t="inlineStr">
        <is>
          <t>Advanced Multi-Objective Optimization Algorithms (155) | Probabilistic and Robust Engineering Design (107) | Microwave Engineering and Waveguides (66)</t>
        </is>
      </c>
      <c r="X37" s="2" t="inlineStr">
        <is>
          <t>Advanced Multi-Objective Optimization Algorithms (155) | Probabilistic and Robust Engineering Design (107) | Microwave Engineering and Waveguides (66)</t>
        </is>
      </c>
      <c r="Y37" s="2" t="inlineStr">
        <is>
          <t>Computational aerospace engineering design; Multidisciplinary design optimization; Surrogate-based modeling and optimization; Uncertainty quantification; Scientific machine learning; Multifidelity methods</t>
        </is>
      </c>
      <c r="Z37" s="2" t="inlineStr">
        <is>
          <t>Dr. Leifsson's research focuses on advancing fundamental computational methods for modeling, optimization, and uncertainty quantification in aerospace engineering design with an emphasis on scientific machine learning. Current application areas include multidisciplinary design optimization, multifidelity modeling, aerodynamic shape optimization, fluid-structure interaction, and aircraft design. Edit var myPronunciation=document.getElementById("pronunciation");
    function play() {
    myPronunciation.play();
    }
    function pause() {
    myPronunciation.pause();
    }</t>
        </is>
      </c>
      <c r="AA37" s="2" t="inlineStr">
        <is>
          <t>Dr. Leifsson's research focuses on advancing fundamental computational methods for modeling, optimization, and uncertainty quantification in aerospace engineering design with an emphasis on scientific machine learning. Current application areas include multidisciplinary design optimization, multifidelity modeling, aerodynamic shape optimization, fluid-structure interaction, and aircraft design....</t>
        </is>
      </c>
      <c r="AB37" s="2" t="inlineStr">
        <is>
          <t>C.Sc. University of Iceland, Mechanical and Industrial Engineering, 1999 M.Sc. University of Iceland, Mechanical Engineering, 2000 Ph.D. Virginia Tech, Aerospace Engineering, 2006</t>
        </is>
      </c>
      <c r="AC37" s="2" t="inlineStr">
        <is>
          <t>Indiana Space Grant Consortium</t>
        </is>
      </c>
      <c r="AD37" s="3">
        <f>HYPERLINK("https://insgc.spacegrant.org/", "https://insgc.spacegrant.org/")</f>
        <v/>
      </c>
      <c r="AE37" s="2" t="inlineStr">
        <is>
          <t>Academic INSGC Internships</t>
        </is>
      </c>
      <c r="AF37" s="2" t="inlineStr"/>
      <c r="AG37" s="2" t="inlineStr"/>
      <c r="AH37" s="2" t="inlineStr">
        <is>
          <t>NASA</t>
        </is>
      </c>
      <c r="AI37" s="2" t="inlineStr"/>
      <c r="AJ37" s="2" t="inlineStr"/>
      <c r="AK37" s="2" t="inlineStr">
        <is>
          <t>ARMS 3229</t>
        </is>
      </c>
      <c r="AL37" s="2" t="b">
        <v>1</v>
      </c>
      <c r="AM37" s="3">
        <f>HYPERLINK("https://engineering.purdue.edu/AAE/people/Faculty", "https://engineering.purdue.edu/AAE/people/Faculty")</f>
        <v/>
      </c>
    </row>
    <row r="38">
      <c r="A38" s="2" t="inlineStr">
        <is>
          <t>Sascha Ranftl</t>
        </is>
      </c>
      <c r="B38" s="2" t="inlineStr">
        <is>
          <t>Purdue University</t>
        </is>
      </c>
      <c r="C38" s="3">
        <f>HYPERLINK("https://engineering.purdue.edu/ME/People/ptProfile?resource_id=324341", "https://engineering.purdue.edu/ME/People/ptProfile?resource_id=324341")</f>
        <v/>
      </c>
      <c r="D38" s="3">
        <f>HYPERLINK("https://scholar.google.com/citations?user=IKgNChQAAAAJ", "Scholar (IKgNChQAAAAJ)")</f>
        <v/>
      </c>
      <c r="E38" s="2" t="inlineStr">
        <is>
          <t>Assistant Professor of Mechanical Engineering</t>
        </is>
      </c>
      <c r="F38" s="2" t="inlineStr">
        <is>
          <t>Mechanical Engineering</t>
        </is>
      </c>
      <c r="G38" s="2" t="inlineStr">
        <is>
          <t>IKgNChQAAAAJ</t>
        </is>
      </c>
      <c r="H38" s="3">
        <f>HYPERLINK("mailto:sranftl@purdue.edu", "sranftl@purdue.edu")</f>
        <v/>
      </c>
      <c r="I38" s="2" t="n">
        <v>1</v>
      </c>
      <c r="J38" s="2" t="inlineStr">
        <is>
          <t>🔵 Tier 1: Core Aero / Fluids / Propulsion</t>
        </is>
      </c>
      <c r="K38" s="2" t="n">
        <v>2</v>
      </c>
      <c r="L38" s="2" t="inlineStr">
        <is>
          <t>fluid mechanics, scientific computing</t>
        </is>
      </c>
      <c r="M38" s="2" t="inlineStr"/>
      <c r="N38" s="2" t="inlineStr"/>
      <c r="O38" s="2" t="inlineStr"/>
      <c r="P38" s="2" t="inlineStr"/>
      <c r="Q38" s="2" t="inlineStr"/>
      <c r="R38" s="2" t="inlineStr">
        <is>
          <t>"Parameter Learning With Physics-Consistent Gaussian Processes" [Zenodo (CERN European Organization for Nuclear Research)] (2026) [DOI: https://doi.org/10.5281/zenodo.20392037] | "Parameter Learning With Physics-Consistent Gaussian Processes" [Zenodo (CERN European Organization for Nuclear Research)] (2026) [DOI: https://doi.org/10.5281/zenodo.21864854] | "Uncertainty quantification in mechanics: A unified Bayesian perspective" [arXiv (Cornell University)] (2026) [DOI: https://doi.org/10.48550/arxiv.2607.18734]</t>
        </is>
      </c>
      <c r="S38" s="2" t="inlineStr">
        <is>
          <t>"Femtosecond photoexcitation dynamics inside a quantum solvent" [Nature Communications] (2018, 38 cites) [DOI: https://doi.org/10.1038/s41467-018-06413-9] | "A neural network-based material cell for elastoplasticity and its performance in FE analyses of boundary value problems" [International Journal of Plasticity] (2023, 25 cites) [DOI: https://doi.org/10.1016/j.ijplas.2023.103811] | "A Bayesian approach to blood rheological uncertainties in aortic hemodynamics" [International Journal for Numerical Methods in Biomedical Engineering] (2022, 18 cites) [DOI: https://doi.org/10.1002/cnm.3576]</t>
        </is>
      </c>
      <c r="T38" s="2" t="inlineStr"/>
      <c r="U38" s="2" t="inlineStr">
        <is>
          <t>Outstanding Mechanical Engineers Distinguished Engineering Alumni Honorary Doctorates Staff Awards Student Awards Distinguished...</t>
        </is>
      </c>
      <c r="V38" s="2" t="inlineStr"/>
      <c r="W38" s="2" t="inlineStr">
        <is>
          <t>Quantum, superfluid, helium dynamics (10) | Probabilistic and Robust Engineering Design (9) | Spectroscopy and Quantum Chemical Studies (9)</t>
        </is>
      </c>
      <c r="X38" s="2" t="inlineStr">
        <is>
          <t>Quantum, superfluid, helium dynamics (10) | Probabilistic and Robust Engineering Design (9) | Spectroscopy and Quantum Chemical Studies (9)</t>
        </is>
      </c>
      <c r="Y38" s="2" t="inlineStr">
        <is>
          <t>Scientific machine learning Bayesian probability theory Uncertainty quantification Data analysis Scientific computing Computational physics &amp; engineering Machine learning applications in engineering</t>
        </is>
      </c>
      <c r="Z38" s="2" t="inlineStr">
        <is>
          <t>Fluid Mechanics</t>
        </is>
      </c>
      <c r="AA38" s="2" t="inlineStr">
        <is>
          <t>Fluid Mechanics</t>
        </is>
      </c>
      <c r="AB38" s="2" t="inlineStr">
        <is>
          <t>Postdoctoral fellow, Division of Applied Mathematics, Brown University, '25 Postdoctoral fellow, Courant Institute, New York University, '24 Ph.D., Institute of Theoretical &amp; Computational Physics, TU Graz, Austria, '21 Diplom-Ingenieur., Engineering Physics, TU Graz, Austria, '17</t>
        </is>
      </c>
      <c r="AC38" s="2" t="inlineStr">
        <is>
          <t>Personal Website</t>
        </is>
      </c>
      <c r="AD38" s="3">
        <f>HYPERLINK("https://sites.google.com/view/sascha-ranftl", "https://sites.google.com/view/sascha-ranftl")</f>
        <v/>
      </c>
      <c r="AE38" s="2" t="inlineStr">
        <is>
          <t>More About me News Open Positions Publications Contact</t>
        </is>
      </c>
      <c r="AF38" s="2" t="inlineStr"/>
      <c r="AG38" s="2" t="inlineStr">
        <is>
          <t>Supercomputer</t>
        </is>
      </c>
      <c r="AH38" s="2" t="inlineStr"/>
      <c r="AI38" s="2" t="inlineStr"/>
      <c r="AJ38" s="2" t="inlineStr"/>
      <c r="AK38" s="2" t="inlineStr"/>
      <c r="AL38" s="2" t="b">
        <v>1</v>
      </c>
      <c r="AM38" s="3">
        <f>HYPERLINK("https://engineering.purdue.edu/ME/People/ptFaculty", "https://engineering.purdue.edu/ME/People/ptFaculty")</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AD2" r:id="rId4"/>
    <hyperlink xmlns:r="http://schemas.openxmlformats.org/officeDocument/2006/relationships" ref="AM2" r:id="rId5"/>
    <hyperlink xmlns:r="http://schemas.openxmlformats.org/officeDocument/2006/relationships" ref="C3" r:id="rId6"/>
    <hyperlink xmlns:r="http://schemas.openxmlformats.org/officeDocument/2006/relationships" ref="D3" r:id="rId7"/>
    <hyperlink xmlns:r="http://schemas.openxmlformats.org/officeDocument/2006/relationships" ref="H3" r:id="rId8"/>
    <hyperlink xmlns:r="http://schemas.openxmlformats.org/officeDocument/2006/relationships" ref="AD3" r:id="rId9"/>
    <hyperlink xmlns:r="http://schemas.openxmlformats.org/officeDocument/2006/relationships" ref="AM3" r:id="rId10"/>
    <hyperlink xmlns:r="http://schemas.openxmlformats.org/officeDocument/2006/relationships" ref="C4" r:id="rId11"/>
    <hyperlink xmlns:r="http://schemas.openxmlformats.org/officeDocument/2006/relationships" ref="D4" r:id="rId12"/>
    <hyperlink xmlns:r="http://schemas.openxmlformats.org/officeDocument/2006/relationships" ref="H4" r:id="rId13"/>
    <hyperlink xmlns:r="http://schemas.openxmlformats.org/officeDocument/2006/relationships" ref="AD4" r:id="rId14"/>
    <hyperlink xmlns:r="http://schemas.openxmlformats.org/officeDocument/2006/relationships" ref="AM4" r:id="rId15"/>
    <hyperlink xmlns:r="http://schemas.openxmlformats.org/officeDocument/2006/relationships" ref="C5" r:id="rId16"/>
    <hyperlink xmlns:r="http://schemas.openxmlformats.org/officeDocument/2006/relationships" ref="D5" r:id="rId17"/>
    <hyperlink xmlns:r="http://schemas.openxmlformats.org/officeDocument/2006/relationships" ref="H5" r:id="rId18"/>
    <hyperlink xmlns:r="http://schemas.openxmlformats.org/officeDocument/2006/relationships" ref="AD5" r:id="rId19"/>
    <hyperlink xmlns:r="http://schemas.openxmlformats.org/officeDocument/2006/relationships" ref="AM5" r:id="rId20"/>
    <hyperlink xmlns:r="http://schemas.openxmlformats.org/officeDocument/2006/relationships" ref="C6" r:id="rId21"/>
    <hyperlink xmlns:r="http://schemas.openxmlformats.org/officeDocument/2006/relationships" ref="D6" r:id="rId22"/>
    <hyperlink xmlns:r="http://schemas.openxmlformats.org/officeDocument/2006/relationships" ref="H6" r:id="rId23"/>
    <hyperlink xmlns:r="http://schemas.openxmlformats.org/officeDocument/2006/relationships" ref="AD6" r:id="rId24"/>
    <hyperlink xmlns:r="http://schemas.openxmlformats.org/officeDocument/2006/relationships" ref="AM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D7" r:id="rId29"/>
    <hyperlink xmlns:r="http://schemas.openxmlformats.org/officeDocument/2006/relationships" ref="AM7" r:id="rId30"/>
    <hyperlink xmlns:r="http://schemas.openxmlformats.org/officeDocument/2006/relationships" ref="C8" r:id="rId31"/>
    <hyperlink xmlns:r="http://schemas.openxmlformats.org/officeDocument/2006/relationships" ref="D8" r:id="rId32"/>
    <hyperlink xmlns:r="http://schemas.openxmlformats.org/officeDocument/2006/relationships" ref="H8" r:id="rId33"/>
    <hyperlink xmlns:r="http://schemas.openxmlformats.org/officeDocument/2006/relationships" ref="AD8" r:id="rId34"/>
    <hyperlink xmlns:r="http://schemas.openxmlformats.org/officeDocument/2006/relationships" ref="AM8" r:id="rId35"/>
    <hyperlink xmlns:r="http://schemas.openxmlformats.org/officeDocument/2006/relationships" ref="C9" r:id="rId36"/>
    <hyperlink xmlns:r="http://schemas.openxmlformats.org/officeDocument/2006/relationships" ref="D9" r:id="rId37"/>
    <hyperlink xmlns:r="http://schemas.openxmlformats.org/officeDocument/2006/relationships" ref="H9" r:id="rId38"/>
    <hyperlink xmlns:r="http://schemas.openxmlformats.org/officeDocument/2006/relationships" ref="AD9" r:id="rId39"/>
    <hyperlink xmlns:r="http://schemas.openxmlformats.org/officeDocument/2006/relationships" ref="AM9" r:id="rId40"/>
    <hyperlink xmlns:r="http://schemas.openxmlformats.org/officeDocument/2006/relationships" ref="C10" r:id="rId41"/>
    <hyperlink xmlns:r="http://schemas.openxmlformats.org/officeDocument/2006/relationships" ref="D10" r:id="rId42"/>
    <hyperlink xmlns:r="http://schemas.openxmlformats.org/officeDocument/2006/relationships" ref="H10" r:id="rId43"/>
    <hyperlink xmlns:r="http://schemas.openxmlformats.org/officeDocument/2006/relationships" ref="AD10" r:id="rId44"/>
    <hyperlink xmlns:r="http://schemas.openxmlformats.org/officeDocument/2006/relationships" ref="AM10" r:id="rId45"/>
    <hyperlink xmlns:r="http://schemas.openxmlformats.org/officeDocument/2006/relationships" ref="C11" r:id="rId46"/>
    <hyperlink xmlns:r="http://schemas.openxmlformats.org/officeDocument/2006/relationships" ref="D11" r:id="rId47"/>
    <hyperlink xmlns:r="http://schemas.openxmlformats.org/officeDocument/2006/relationships" ref="H11" r:id="rId48"/>
    <hyperlink xmlns:r="http://schemas.openxmlformats.org/officeDocument/2006/relationships" ref="AD11" r:id="rId49"/>
    <hyperlink xmlns:r="http://schemas.openxmlformats.org/officeDocument/2006/relationships" ref="AM11" r:id="rId50"/>
    <hyperlink xmlns:r="http://schemas.openxmlformats.org/officeDocument/2006/relationships" ref="C12" r:id="rId51"/>
    <hyperlink xmlns:r="http://schemas.openxmlformats.org/officeDocument/2006/relationships" ref="D12" r:id="rId52"/>
    <hyperlink xmlns:r="http://schemas.openxmlformats.org/officeDocument/2006/relationships" ref="H12" r:id="rId53"/>
    <hyperlink xmlns:r="http://schemas.openxmlformats.org/officeDocument/2006/relationships" ref="AD12" r:id="rId54"/>
    <hyperlink xmlns:r="http://schemas.openxmlformats.org/officeDocument/2006/relationships" ref="AM12" r:id="rId55"/>
    <hyperlink xmlns:r="http://schemas.openxmlformats.org/officeDocument/2006/relationships" ref="C13" r:id="rId56"/>
    <hyperlink xmlns:r="http://schemas.openxmlformats.org/officeDocument/2006/relationships" ref="D13" r:id="rId57"/>
    <hyperlink xmlns:r="http://schemas.openxmlformats.org/officeDocument/2006/relationships" ref="H13" r:id="rId58"/>
    <hyperlink xmlns:r="http://schemas.openxmlformats.org/officeDocument/2006/relationships" ref="AD13" r:id="rId59"/>
    <hyperlink xmlns:r="http://schemas.openxmlformats.org/officeDocument/2006/relationships" ref="AM13" r:id="rId60"/>
    <hyperlink xmlns:r="http://schemas.openxmlformats.org/officeDocument/2006/relationships" ref="C14" r:id="rId61"/>
    <hyperlink xmlns:r="http://schemas.openxmlformats.org/officeDocument/2006/relationships" ref="D14" r:id="rId62"/>
    <hyperlink xmlns:r="http://schemas.openxmlformats.org/officeDocument/2006/relationships" ref="H14" r:id="rId63"/>
    <hyperlink xmlns:r="http://schemas.openxmlformats.org/officeDocument/2006/relationships" ref="AD14" r:id="rId64"/>
    <hyperlink xmlns:r="http://schemas.openxmlformats.org/officeDocument/2006/relationships" ref="AM14" r:id="rId65"/>
    <hyperlink xmlns:r="http://schemas.openxmlformats.org/officeDocument/2006/relationships" ref="C15" r:id="rId66"/>
    <hyperlink xmlns:r="http://schemas.openxmlformats.org/officeDocument/2006/relationships" ref="D15" r:id="rId67"/>
    <hyperlink xmlns:r="http://schemas.openxmlformats.org/officeDocument/2006/relationships" ref="H15" r:id="rId68"/>
    <hyperlink xmlns:r="http://schemas.openxmlformats.org/officeDocument/2006/relationships" ref="AD15" r:id="rId69"/>
    <hyperlink xmlns:r="http://schemas.openxmlformats.org/officeDocument/2006/relationships" ref="AM15" r:id="rId70"/>
    <hyperlink xmlns:r="http://schemas.openxmlformats.org/officeDocument/2006/relationships" ref="C16" r:id="rId71"/>
    <hyperlink xmlns:r="http://schemas.openxmlformats.org/officeDocument/2006/relationships" ref="D16" r:id="rId72"/>
    <hyperlink xmlns:r="http://schemas.openxmlformats.org/officeDocument/2006/relationships" ref="H16" r:id="rId73"/>
    <hyperlink xmlns:r="http://schemas.openxmlformats.org/officeDocument/2006/relationships" ref="AD16" r:id="rId74"/>
    <hyperlink xmlns:r="http://schemas.openxmlformats.org/officeDocument/2006/relationships" ref="AM16" r:id="rId75"/>
    <hyperlink xmlns:r="http://schemas.openxmlformats.org/officeDocument/2006/relationships" ref="C17" r:id="rId76"/>
    <hyperlink xmlns:r="http://schemas.openxmlformats.org/officeDocument/2006/relationships" ref="D17" r:id="rId77"/>
    <hyperlink xmlns:r="http://schemas.openxmlformats.org/officeDocument/2006/relationships" ref="H17" r:id="rId78"/>
    <hyperlink xmlns:r="http://schemas.openxmlformats.org/officeDocument/2006/relationships" ref="AD17" r:id="rId79"/>
    <hyperlink xmlns:r="http://schemas.openxmlformats.org/officeDocument/2006/relationships" ref="AM17" r:id="rId80"/>
    <hyperlink xmlns:r="http://schemas.openxmlformats.org/officeDocument/2006/relationships" ref="C18" r:id="rId81"/>
    <hyperlink xmlns:r="http://schemas.openxmlformats.org/officeDocument/2006/relationships" ref="D18" r:id="rId82"/>
    <hyperlink xmlns:r="http://schemas.openxmlformats.org/officeDocument/2006/relationships" ref="H18" r:id="rId83"/>
    <hyperlink xmlns:r="http://schemas.openxmlformats.org/officeDocument/2006/relationships" ref="AD18" r:id="rId84"/>
    <hyperlink xmlns:r="http://schemas.openxmlformats.org/officeDocument/2006/relationships" ref="AM18" r:id="rId85"/>
    <hyperlink xmlns:r="http://schemas.openxmlformats.org/officeDocument/2006/relationships" ref="C19" r:id="rId86"/>
    <hyperlink xmlns:r="http://schemas.openxmlformats.org/officeDocument/2006/relationships" ref="D19" r:id="rId87"/>
    <hyperlink xmlns:r="http://schemas.openxmlformats.org/officeDocument/2006/relationships" ref="H19" r:id="rId88"/>
    <hyperlink xmlns:r="http://schemas.openxmlformats.org/officeDocument/2006/relationships" ref="AD19" r:id="rId89"/>
    <hyperlink xmlns:r="http://schemas.openxmlformats.org/officeDocument/2006/relationships" ref="AM19" r:id="rId90"/>
    <hyperlink xmlns:r="http://schemas.openxmlformats.org/officeDocument/2006/relationships" ref="C20" r:id="rId91"/>
    <hyperlink xmlns:r="http://schemas.openxmlformats.org/officeDocument/2006/relationships" ref="D20" r:id="rId92"/>
    <hyperlink xmlns:r="http://schemas.openxmlformats.org/officeDocument/2006/relationships" ref="H20" r:id="rId93"/>
    <hyperlink xmlns:r="http://schemas.openxmlformats.org/officeDocument/2006/relationships" ref="AD20" r:id="rId94"/>
    <hyperlink xmlns:r="http://schemas.openxmlformats.org/officeDocument/2006/relationships" ref="AM20" r:id="rId95"/>
    <hyperlink xmlns:r="http://schemas.openxmlformats.org/officeDocument/2006/relationships" ref="C21" r:id="rId96"/>
    <hyperlink xmlns:r="http://schemas.openxmlformats.org/officeDocument/2006/relationships" ref="D21" r:id="rId97"/>
    <hyperlink xmlns:r="http://schemas.openxmlformats.org/officeDocument/2006/relationships" ref="H21" r:id="rId98"/>
    <hyperlink xmlns:r="http://schemas.openxmlformats.org/officeDocument/2006/relationships" ref="AD21" r:id="rId99"/>
    <hyperlink xmlns:r="http://schemas.openxmlformats.org/officeDocument/2006/relationships" ref="AM21" r:id="rId100"/>
    <hyperlink xmlns:r="http://schemas.openxmlformats.org/officeDocument/2006/relationships" ref="C22" r:id="rId101"/>
    <hyperlink xmlns:r="http://schemas.openxmlformats.org/officeDocument/2006/relationships" ref="D22" r:id="rId102"/>
    <hyperlink xmlns:r="http://schemas.openxmlformats.org/officeDocument/2006/relationships" ref="H22" r:id="rId103"/>
    <hyperlink xmlns:r="http://schemas.openxmlformats.org/officeDocument/2006/relationships" ref="AD22" r:id="rId104"/>
    <hyperlink xmlns:r="http://schemas.openxmlformats.org/officeDocument/2006/relationships" ref="AM22" r:id="rId105"/>
    <hyperlink xmlns:r="http://schemas.openxmlformats.org/officeDocument/2006/relationships" ref="C23" r:id="rId106"/>
    <hyperlink xmlns:r="http://schemas.openxmlformats.org/officeDocument/2006/relationships" ref="D23" r:id="rId107"/>
    <hyperlink xmlns:r="http://schemas.openxmlformats.org/officeDocument/2006/relationships" ref="H23" r:id="rId108"/>
    <hyperlink xmlns:r="http://schemas.openxmlformats.org/officeDocument/2006/relationships" ref="AD23" r:id="rId109"/>
    <hyperlink xmlns:r="http://schemas.openxmlformats.org/officeDocument/2006/relationships" ref="AM23" r:id="rId110"/>
    <hyperlink xmlns:r="http://schemas.openxmlformats.org/officeDocument/2006/relationships" ref="C24" r:id="rId111"/>
    <hyperlink xmlns:r="http://schemas.openxmlformats.org/officeDocument/2006/relationships" ref="D24" r:id="rId112"/>
    <hyperlink xmlns:r="http://schemas.openxmlformats.org/officeDocument/2006/relationships" ref="H24" r:id="rId113"/>
    <hyperlink xmlns:r="http://schemas.openxmlformats.org/officeDocument/2006/relationships" ref="AD24" r:id="rId114"/>
    <hyperlink xmlns:r="http://schemas.openxmlformats.org/officeDocument/2006/relationships" ref="AM24" r:id="rId115"/>
    <hyperlink xmlns:r="http://schemas.openxmlformats.org/officeDocument/2006/relationships" ref="C25" r:id="rId116"/>
    <hyperlink xmlns:r="http://schemas.openxmlformats.org/officeDocument/2006/relationships" ref="D25" r:id="rId117"/>
    <hyperlink xmlns:r="http://schemas.openxmlformats.org/officeDocument/2006/relationships" ref="H25" r:id="rId118"/>
    <hyperlink xmlns:r="http://schemas.openxmlformats.org/officeDocument/2006/relationships" ref="AD25" r:id="rId119"/>
    <hyperlink xmlns:r="http://schemas.openxmlformats.org/officeDocument/2006/relationships" ref="AM25" r:id="rId120"/>
    <hyperlink xmlns:r="http://schemas.openxmlformats.org/officeDocument/2006/relationships" ref="C26" r:id="rId121"/>
    <hyperlink xmlns:r="http://schemas.openxmlformats.org/officeDocument/2006/relationships" ref="D26" r:id="rId122"/>
    <hyperlink xmlns:r="http://schemas.openxmlformats.org/officeDocument/2006/relationships" ref="H26" r:id="rId123"/>
    <hyperlink xmlns:r="http://schemas.openxmlformats.org/officeDocument/2006/relationships" ref="AD26" r:id="rId124"/>
    <hyperlink xmlns:r="http://schemas.openxmlformats.org/officeDocument/2006/relationships" ref="AM26" r:id="rId125"/>
    <hyperlink xmlns:r="http://schemas.openxmlformats.org/officeDocument/2006/relationships" ref="C27" r:id="rId126"/>
    <hyperlink xmlns:r="http://schemas.openxmlformats.org/officeDocument/2006/relationships" ref="D27" r:id="rId127"/>
    <hyperlink xmlns:r="http://schemas.openxmlformats.org/officeDocument/2006/relationships" ref="H27" r:id="rId128"/>
    <hyperlink xmlns:r="http://schemas.openxmlformats.org/officeDocument/2006/relationships" ref="AD27" r:id="rId129"/>
    <hyperlink xmlns:r="http://schemas.openxmlformats.org/officeDocument/2006/relationships" ref="AM27" r:id="rId130"/>
    <hyperlink xmlns:r="http://schemas.openxmlformats.org/officeDocument/2006/relationships" ref="C28" r:id="rId131"/>
    <hyperlink xmlns:r="http://schemas.openxmlformats.org/officeDocument/2006/relationships" ref="D28" r:id="rId132"/>
    <hyperlink xmlns:r="http://schemas.openxmlformats.org/officeDocument/2006/relationships" ref="H28" r:id="rId133"/>
    <hyperlink xmlns:r="http://schemas.openxmlformats.org/officeDocument/2006/relationships" ref="AD28" r:id="rId134"/>
    <hyperlink xmlns:r="http://schemas.openxmlformats.org/officeDocument/2006/relationships" ref="AM28" r:id="rId135"/>
    <hyperlink xmlns:r="http://schemas.openxmlformats.org/officeDocument/2006/relationships" ref="C29" r:id="rId136"/>
    <hyperlink xmlns:r="http://schemas.openxmlformats.org/officeDocument/2006/relationships" ref="D29" r:id="rId137"/>
    <hyperlink xmlns:r="http://schemas.openxmlformats.org/officeDocument/2006/relationships" ref="H29" r:id="rId138"/>
    <hyperlink xmlns:r="http://schemas.openxmlformats.org/officeDocument/2006/relationships" ref="AD29" r:id="rId139"/>
    <hyperlink xmlns:r="http://schemas.openxmlformats.org/officeDocument/2006/relationships" ref="AI29" r:id="rId140"/>
    <hyperlink xmlns:r="http://schemas.openxmlformats.org/officeDocument/2006/relationships" ref="AM29" r:id="rId141"/>
    <hyperlink xmlns:r="http://schemas.openxmlformats.org/officeDocument/2006/relationships" ref="C30" r:id="rId142"/>
    <hyperlink xmlns:r="http://schemas.openxmlformats.org/officeDocument/2006/relationships" ref="D30" r:id="rId143"/>
    <hyperlink xmlns:r="http://schemas.openxmlformats.org/officeDocument/2006/relationships" ref="H30" r:id="rId144"/>
    <hyperlink xmlns:r="http://schemas.openxmlformats.org/officeDocument/2006/relationships" ref="AD30" r:id="rId145"/>
    <hyperlink xmlns:r="http://schemas.openxmlformats.org/officeDocument/2006/relationships" ref="AM30" r:id="rId146"/>
    <hyperlink xmlns:r="http://schemas.openxmlformats.org/officeDocument/2006/relationships" ref="C31" r:id="rId147"/>
    <hyperlink xmlns:r="http://schemas.openxmlformats.org/officeDocument/2006/relationships" ref="D31" r:id="rId148"/>
    <hyperlink xmlns:r="http://schemas.openxmlformats.org/officeDocument/2006/relationships" ref="H31" r:id="rId149"/>
    <hyperlink xmlns:r="http://schemas.openxmlformats.org/officeDocument/2006/relationships" ref="AD31" r:id="rId150"/>
    <hyperlink xmlns:r="http://schemas.openxmlformats.org/officeDocument/2006/relationships" ref="AM31" r:id="rId151"/>
    <hyperlink xmlns:r="http://schemas.openxmlformats.org/officeDocument/2006/relationships" ref="C32" r:id="rId152"/>
    <hyperlink xmlns:r="http://schemas.openxmlformats.org/officeDocument/2006/relationships" ref="D32" r:id="rId153"/>
    <hyperlink xmlns:r="http://schemas.openxmlformats.org/officeDocument/2006/relationships" ref="AM32" r:id="rId154"/>
    <hyperlink xmlns:r="http://schemas.openxmlformats.org/officeDocument/2006/relationships" ref="C33" r:id="rId155"/>
    <hyperlink xmlns:r="http://schemas.openxmlformats.org/officeDocument/2006/relationships" ref="D33" r:id="rId156"/>
    <hyperlink xmlns:r="http://schemas.openxmlformats.org/officeDocument/2006/relationships" ref="H33" r:id="rId157"/>
    <hyperlink xmlns:r="http://schemas.openxmlformats.org/officeDocument/2006/relationships" ref="AD33" r:id="rId158"/>
    <hyperlink xmlns:r="http://schemas.openxmlformats.org/officeDocument/2006/relationships" ref="AM33" r:id="rId159"/>
    <hyperlink xmlns:r="http://schemas.openxmlformats.org/officeDocument/2006/relationships" ref="C34" r:id="rId160"/>
    <hyperlink xmlns:r="http://schemas.openxmlformats.org/officeDocument/2006/relationships" ref="D34" r:id="rId161"/>
    <hyperlink xmlns:r="http://schemas.openxmlformats.org/officeDocument/2006/relationships" ref="H34" r:id="rId162"/>
    <hyperlink xmlns:r="http://schemas.openxmlformats.org/officeDocument/2006/relationships" ref="AD34" r:id="rId163"/>
    <hyperlink xmlns:r="http://schemas.openxmlformats.org/officeDocument/2006/relationships" ref="AM34" r:id="rId164"/>
    <hyperlink xmlns:r="http://schemas.openxmlformats.org/officeDocument/2006/relationships" ref="C35" r:id="rId165"/>
    <hyperlink xmlns:r="http://schemas.openxmlformats.org/officeDocument/2006/relationships" ref="D35" r:id="rId166"/>
    <hyperlink xmlns:r="http://schemas.openxmlformats.org/officeDocument/2006/relationships" ref="H35" r:id="rId167"/>
    <hyperlink xmlns:r="http://schemas.openxmlformats.org/officeDocument/2006/relationships" ref="AD35" r:id="rId168"/>
    <hyperlink xmlns:r="http://schemas.openxmlformats.org/officeDocument/2006/relationships" ref="AM35" r:id="rId169"/>
    <hyperlink xmlns:r="http://schemas.openxmlformats.org/officeDocument/2006/relationships" ref="C36" r:id="rId170"/>
    <hyperlink xmlns:r="http://schemas.openxmlformats.org/officeDocument/2006/relationships" ref="D36" r:id="rId171"/>
    <hyperlink xmlns:r="http://schemas.openxmlformats.org/officeDocument/2006/relationships" ref="H36" r:id="rId172"/>
    <hyperlink xmlns:r="http://schemas.openxmlformats.org/officeDocument/2006/relationships" ref="AD36" r:id="rId173"/>
    <hyperlink xmlns:r="http://schemas.openxmlformats.org/officeDocument/2006/relationships" ref="AM36" r:id="rId174"/>
    <hyperlink xmlns:r="http://schemas.openxmlformats.org/officeDocument/2006/relationships" ref="C37" r:id="rId175"/>
    <hyperlink xmlns:r="http://schemas.openxmlformats.org/officeDocument/2006/relationships" ref="D37" r:id="rId176"/>
    <hyperlink xmlns:r="http://schemas.openxmlformats.org/officeDocument/2006/relationships" ref="H37" r:id="rId177"/>
    <hyperlink xmlns:r="http://schemas.openxmlformats.org/officeDocument/2006/relationships" ref="AD37" r:id="rId178"/>
    <hyperlink xmlns:r="http://schemas.openxmlformats.org/officeDocument/2006/relationships" ref="AM37" r:id="rId179"/>
    <hyperlink xmlns:r="http://schemas.openxmlformats.org/officeDocument/2006/relationships" ref="C38" r:id="rId180"/>
    <hyperlink xmlns:r="http://schemas.openxmlformats.org/officeDocument/2006/relationships" ref="D38" r:id="rId181"/>
    <hyperlink xmlns:r="http://schemas.openxmlformats.org/officeDocument/2006/relationships" ref="H38" r:id="rId182"/>
    <hyperlink xmlns:r="http://schemas.openxmlformats.org/officeDocument/2006/relationships" ref="AD38" r:id="rId183"/>
    <hyperlink xmlns:r="http://schemas.openxmlformats.org/officeDocument/2006/relationships" ref="AM38" r:id="rId18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M108"/>
  <sheetViews>
    <sheetView showGridLines="1" workbookViewId="0">
      <pane ySplit="1" topLeftCell="A2" activePane="bottomLeft" state="frozen"/>
      <selection pane="bottomLeft" activeCell="A1" sqref="A1"/>
    </sheetView>
  </sheetViews>
  <sheetFormatPr baseColWidth="8" defaultRowHeight="15"/>
  <cols>
    <col width="25" customWidth="1" min="1" max="1"/>
    <col width="20" customWidth="1" min="2" max="2"/>
    <col width="48" customWidth="1" min="3" max="3"/>
    <col width="31" customWidth="1" min="4" max="4"/>
    <col width="55" customWidth="1" min="5" max="5"/>
    <col width="31" customWidth="1" min="6" max="6"/>
    <col width="15" customWidth="1" min="7" max="7"/>
    <col width="48" customWidth="1" min="8" max="8"/>
    <col width="16" customWidth="1" min="9" max="9"/>
    <col width="51" customWidth="1" min="10" max="10"/>
    <col width="16" customWidth="1" min="11" max="11"/>
    <col width="55" customWidth="1" min="12" max="12"/>
    <col width="22" customWidth="1" min="13" max="13"/>
    <col width="14" customWidth="1" min="14" max="14"/>
    <col width="19" customWidth="1" min="15" max="15"/>
    <col width="16" customWidth="1" min="16" max="16"/>
    <col width="29" customWidth="1" min="17" max="17"/>
    <col width="55" customWidth="1" min="18" max="18"/>
    <col width="55" customWidth="1" min="19" max="19"/>
    <col width="17"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48" customWidth="1" min="30" max="30"/>
    <col width="55" customWidth="1" min="31" max="31"/>
    <col width="32" customWidth="1" min="32" max="32"/>
    <col width="47" customWidth="1" min="33" max="33"/>
    <col width="19" customWidth="1" min="34" max="34"/>
    <col width="48" customWidth="1" min="35" max="35"/>
    <col width="29" customWidth="1" min="36" max="36"/>
    <col width="53" customWidth="1" min="37" max="37"/>
    <col width="17" customWidth="1" min="38" max="38"/>
    <col width="48" customWidth="1" min="39" max="39"/>
  </cols>
  <sheetData>
    <row r="1" ht="28" customHeight="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Flagship Paper Hook</t>
        </is>
      </c>
      <c r="N1" s="1" t="inlineStr">
        <is>
          <t>Tech Stack</t>
        </is>
      </c>
      <c r="O1" s="1" t="inlineStr">
        <is>
          <t>Physical Finding</t>
        </is>
      </c>
      <c r="P1" s="1" t="inlineStr">
        <is>
          <t>Research Hook</t>
        </is>
      </c>
      <c r="Q1" s="1" t="inlineStr">
        <is>
          <t>Latest Paper / Publication</t>
        </is>
      </c>
      <c r="R1" s="1" t="inlineStr">
        <is>
          <t>Recent Papers (2024-2026)</t>
        </is>
      </c>
      <c r="S1" s="1" t="inlineStr">
        <is>
          <t>Top Cited Papers</t>
        </is>
      </c>
      <c r="T1" s="1" t="inlineStr">
        <is>
          <t>Courses Taught</t>
        </is>
      </c>
      <c r="U1" s="1" t="inlineStr">
        <is>
          <t>Recent Awards / Honors</t>
        </is>
      </c>
      <c r="V1" s="1" t="inlineStr">
        <is>
          <t>Cold Email / Application Instructions</t>
        </is>
      </c>
      <c r="W1" s="1" t="inlineStr">
        <is>
          <t>OpenAlex Research Topics</t>
        </is>
      </c>
      <c r="X1" s="1" t="inlineStr">
        <is>
          <t>Google Scholar Tags</t>
        </is>
      </c>
      <c r="Y1" s="1" t="inlineStr">
        <is>
          <t>Research Interests</t>
        </is>
      </c>
      <c r="Z1" s="1" t="inlineStr">
        <is>
          <t>Expertise Areas</t>
        </is>
      </c>
      <c r="AA1" s="1" t="inlineStr">
        <is>
          <t>Research / Bio Summary</t>
        </is>
      </c>
      <c r="AB1" s="1" t="inlineStr">
        <is>
          <t>Education / Degrees</t>
        </is>
      </c>
      <c r="AC1" s="1" t="inlineStr">
        <is>
          <t>Lab / Research Group Name</t>
        </is>
      </c>
      <c r="AD1" s="1" t="inlineStr">
        <is>
          <t>Lab / Personal Website</t>
        </is>
      </c>
      <c r="AE1" s="1" t="inlineStr">
        <is>
          <t>Actively Hiring / Openings</t>
        </is>
      </c>
      <c r="AF1" s="1" t="inlineStr">
        <is>
          <t>Target Skills / Prerequisites</t>
        </is>
      </c>
      <c r="AG1" s="1" t="inlineStr">
        <is>
          <t>Lab Facilities &amp; Equipment</t>
        </is>
      </c>
      <c r="AH1" s="1" t="inlineStr">
        <is>
          <t>Funding Sponsors</t>
        </is>
      </c>
      <c r="AI1" s="1" t="inlineStr">
        <is>
          <t>Software / Code Repo</t>
        </is>
      </c>
      <c r="AJ1" s="1" t="inlineStr">
        <is>
          <t>Latest Project / Highlight</t>
        </is>
      </c>
      <c r="AK1" s="1" t="inlineStr">
        <is>
          <t>Office Location</t>
        </is>
      </c>
      <c r="AL1" s="1" t="inlineStr">
        <is>
          <t>Is Field Match</t>
        </is>
      </c>
      <c r="AM1" s="1" t="inlineStr">
        <is>
          <t>Directory URL</t>
        </is>
      </c>
    </row>
    <row r="2">
      <c r="A2" s="2" t="inlineStr">
        <is>
          <t>Gregory A. Blaisdell</t>
        </is>
      </c>
      <c r="B2" s="2" t="inlineStr">
        <is>
          <t>Purdue University</t>
        </is>
      </c>
      <c r="C2" s="3">
        <f>HYPERLINK("https://engineering.purdue.edu/AAE/people/ptProfile?resource_id=1377", "https://engineering.purdue.edu/AAE/people/ptProfile?resource_id=1377")</f>
        <v/>
      </c>
      <c r="D2" s="3">
        <f>HYPERLINK("https://scholar.google.com/citations?view_op=search_authors&amp;mauthors=Gregory%20A.%20Blaisdell%20Purdue%20University", "Google Scholar Search")</f>
        <v/>
      </c>
      <c r="E2" s="2" t="inlineStr">
        <is>
          <t>Professor</t>
        </is>
      </c>
      <c r="F2" s="2" t="inlineStr">
        <is>
          <t>Aeronautics and Astronautics</t>
        </is>
      </c>
      <c r="G2" s="2" t="inlineStr"/>
      <c r="H2" s="3">
        <f>HYPERLINK("mailto:blaisdel@purdue.edu", "blaisdel@purdue.edu")</f>
        <v/>
      </c>
      <c r="I2" s="2" t="n">
        <v>1</v>
      </c>
      <c r="J2" s="2" t="inlineStr">
        <is>
          <t>🔵 Tier 1: Core Aero / Fluids / Propulsion</t>
        </is>
      </c>
      <c r="K2" s="2" t="n">
        <v>13</v>
      </c>
      <c r="L2" s="2" t="inlineStr">
        <is>
          <t>boundary layer, cfd, combustion, computational fluid dynamics, direct numerical simulation, dns, fluid dynamics, fluid mechanics, heat transfer, les, numerical methods, turbulence, turbulent</t>
        </is>
      </c>
      <c r="M2" s="2" t="inlineStr"/>
      <c r="N2" s="2" t="inlineStr"/>
      <c r="O2" s="2" t="inlineStr"/>
      <c r="P2" s="2" t="inlineStr"/>
      <c r="Q2" s="2" t="inlineStr"/>
      <c r="R2" s="2" t="inlineStr">
        <is>
          <t>"Performance Analysis of an Unsteady Ejector Driven by Exhaust Conditions of a Rotating Detonation Engine (RDE)" (2026) [DOI: https://doi.org/10.2514/6.2026-1976] | "Large-Eddy Simulation of an Axisymmetric Shock-Wave/Boundary-Layer Interaction at Mach 2.5" (2026) [DOI: https://doi.org/10.2514/6.2026-2519] | "Time Resolved BOS Velocimetry of Synthetic Raytraced Images of a Low Speed Mixing Flow" (2026) [DOI: https://doi.org/10.2514/6.2026-2293]</t>
        </is>
      </c>
      <c r="S2" s="2" t="inlineStr">
        <is>
          <t>"The effect of the formulation of nonlinear terms on aliasing errors in spectral methods" [Applied Numerical Mathematics] (1996, 183 cites) [DOI: https://doi.org/10.1016/0168-9274(96)00005-0] | "Compressibility effects on the growth and structure of homogeneous turbulent shear flow" [Journal of Fluid Mechanics] (1993, 179 cites) [DOI: https://doi.org/10.1017/s0022112093002848] | "Overview of Turbulent Inflow Boundary Conditions for Large-Eddy Simulations" [AIAA Journal] (2017, 173 cites) [DOI: https://doi.org/10.2514/1.j055528]</t>
        </is>
      </c>
      <c r="T2" s="2" t="inlineStr"/>
      <c r="U2" s="2" t="inlineStr">
        <is>
          <t>NASA-ASEE Summer Faculty Fellowship, 1995-1996 W. A. Gustafson Teaching Award, Fall 1997, Fall 2014</t>
        </is>
      </c>
      <c r="V2" s="2" t="inlineStr"/>
      <c r="W2" s="2" t="inlineStr">
        <is>
          <t>Fluid Dynamics and Turbulent Flows (109) | Computational Fluid Dynamics and Aerodynamics (74) | Aerodynamics and Acoustics in Jet Flows (71)</t>
        </is>
      </c>
      <c r="X2" s="2" t="inlineStr">
        <is>
          <t>Fluid Dynamics and Turbulent Flows (109) | Computational Fluid Dynamics and Aerodynamics (74) | Aerodynamics and Acoustics in Jet Flows (71)</t>
        </is>
      </c>
      <c r="Y2" s="2" t="inlineStr">
        <is>
          <t>Computational fluid mechanics Transition and turbulence</t>
        </is>
      </c>
      <c r="Z2" s="2" t="inlineStr">
        <is>
          <t>Current research interests involve the study of transitional and turbulent fluid flows using computational fluid dynamics (CFD) as an investigative tool.  Most flows of engineering interest are turbulent and turbulence has a significant impact on the performance of engineering systems. The drag on a body is generally much greater if the boundary layer is turbulent. Turbulence also increases heat transfer between a fluid and a surface. In addition, turbulent mixing is important to combustion. The physics of basic turbulent flows are studied using direct numerical simulations (DNS) and large-eddy simulations (LES). With LES the motion of the largest eddies are solved for directly while the effects of the unresolved small scale eddies are modeled. In contrast, with DNS all the relevant length scales within the turbulence are resolved and no modeling is needed. The results of the simulations are used to increase our understanding of turbulence and to test and improve turbulence models. Parallel computing and advanced numerical methods is another area of interest.</t>
        </is>
      </c>
      <c r="AA2" s="2" t="inlineStr">
        <is>
          <t>Current research interests involve the study of transitional and turbulent fluid flows using computational fluid dynamics (CFD) as an investigative tool.  Most flows of engineering interest are turbulent and turbulence has a significant impact on the performance of engineering systems. The drag on a body is generally much greater if the boundary layer is turbulent. Turbulence also increases hea...</t>
        </is>
      </c>
      <c r="AB2" s="2" t="inlineStr">
        <is>
          <t>B. S., California Institute of Technology, Applied Mathematics, 1980 M. S., California Institute of Technology, Applied Mathematics, 1982 Ph.D., Stanford University, Mechanical Engineering, 1991</t>
        </is>
      </c>
      <c r="AC2" s="2" t="inlineStr">
        <is>
          <t>Indiana Space Grant Consortium</t>
        </is>
      </c>
      <c r="AD2" s="3">
        <f>HYPERLINK("https://insgc.spacegrant.org/", "https://insgc.spacegrant.org/")</f>
        <v/>
      </c>
      <c r="AE2" s="2" t="inlineStr">
        <is>
          <t>Academic INSGC Internships</t>
        </is>
      </c>
      <c r="AF2" s="2" t="inlineStr"/>
      <c r="AG2" s="2" t="inlineStr"/>
      <c r="AH2" s="2" t="inlineStr">
        <is>
          <t>NASA</t>
        </is>
      </c>
      <c r="AI2" s="2" t="inlineStr"/>
      <c r="AJ2" s="2" t="inlineStr"/>
      <c r="AK2" s="2" t="inlineStr">
        <is>
          <t>ARMS 2029</t>
        </is>
      </c>
      <c r="AL2" s="2" t="b">
        <v>1</v>
      </c>
      <c r="AM2" s="3">
        <f>HYPERLINK("https://engineering.purdue.edu/AAE/people/Faculty", "https://engineering.purdue.edu/AAE/people/Faculty")</f>
        <v/>
      </c>
    </row>
    <row r="3">
      <c r="A3" s="2" t="inlineStr">
        <is>
          <t>Sally Bane</t>
        </is>
      </c>
      <c r="B3" s="2" t="inlineStr">
        <is>
          <t>Purdue University</t>
        </is>
      </c>
      <c r="C3" s="3">
        <f>HYPERLINK("https://engineering.purdue.edu/AAE/people/ptProfile?resource_id=72424", "https://engineering.purdue.edu/AAE/people/ptProfile?resource_id=72424")</f>
        <v/>
      </c>
      <c r="D3" s="3">
        <f>HYPERLINK("https://scholar.google.com/citations?user=fprhTwwAAAAJ&amp;hl=en", "Scholar (fprhTwwAAAAJ)")</f>
        <v/>
      </c>
      <c r="E3" s="2" t="inlineStr">
        <is>
          <t>Director of Laboratory &amp; Hands On Education and Associate Professor of AAE</t>
        </is>
      </c>
      <c r="F3" s="2" t="inlineStr">
        <is>
          <t>Aeronautics and Astronautics</t>
        </is>
      </c>
      <c r="G3" s="2" t="inlineStr">
        <is>
          <t>fprhTwwAAAAJ</t>
        </is>
      </c>
      <c r="H3" s="3">
        <f>HYPERLINK("mailto:sbane@purdue.edu", "sbane@purdue.edu")</f>
        <v/>
      </c>
      <c r="I3" s="2" t="n">
        <v>1</v>
      </c>
      <c r="J3" s="2" t="inlineStr">
        <is>
          <t>🔵 Tier 1: Core Aero / Fluids / Propulsion</t>
        </is>
      </c>
      <c r="K3" s="2" t="n">
        <v>11</v>
      </c>
      <c r="L3" s="2" t="inlineStr">
        <is>
          <t>aerodynamics, aerospace, boundary layer, combustion, detonation, flow control, hypersonic, propulsion, rotating detonation, supersonic, turbulent</t>
        </is>
      </c>
      <c r="M3" s="2" t="inlineStr"/>
      <c r="N3" s="2" t="inlineStr"/>
      <c r="O3" s="2" t="inlineStr"/>
      <c r="P3" s="2" t="inlineStr"/>
      <c r="Q3" s="2" t="inlineStr"/>
      <c r="R3" s="2" t="inlineStr">
        <is>
          <t>"Single-shot ultrafast dynamics of nanosecond pulsed plasmas: Transition from ps–ns nonequilibrium to near-full ionization" [Applied Physics Letters] (2026) [DOI: https://doi.org/10.1063/5.0341587] | "BOS/schlieren synthetic image generation via MIRAGE (MATLAB implementation of ray tracing for analysis of variable density Gradient Environments)" [Measurement Science and Technology] (2026) [DOI: https://doi.org/10.1088/1361-6501/ae4f0a] | "Active Control Strategies Using NRP Discharges for Thermoacoustic Instability Control in Methane-Air Atmospheric Combustion System" (2026) [DOI: https://doi.org/10.2514/6.2026-0398]</t>
        </is>
      </c>
      <c r="S3" s="2" t="inlineStr">
        <is>
          <t>"Investigation of the effect of electrode geometry on spark ignition" [Combustion and Flame] (2014, 87 cites) [DOI: https://doi.org/10.1016/j.combustflame.2014.07.017] | "Statistical analysis of electrostatic spark ignition of lean H2/O2/Ar mixtures" [International Journal of Hydrogen Energy] (2010, 69 cites) [DOI: https://doi.org/10.1016/j.ijhydene.2010.05.082] | "Experimental investigation of spark ignition energy in kerosene, hexane, and hydrogen" [Journal of Loss Prevention in the Process Industries] (2011, 68 cites) [DOI: https://doi.org/10.1016/j.jlp.2011.03.007]</t>
        </is>
      </c>
      <c r="T3" s="2" t="inlineStr"/>
      <c r="U3" s="2" t="inlineStr"/>
      <c r="V3" s="2" t="inlineStr"/>
      <c r="W3" s="2" t="inlineStr">
        <is>
          <t>Plasma Applications and Diagnostics (34) | Plasma and Flow Control in Aerodynamics (28) | Combustion and Detonation Processes (24)</t>
        </is>
      </c>
      <c r="X3" s="2" t="inlineStr">
        <is>
          <t>Plasma Applications and Diagnostics (34) | Plasma and Flow Control in Aerodynamics (28) | Combustion and Detonation Processes (24)</t>
        </is>
      </c>
      <c r="Y3" s="2" t="inlineStr">
        <is>
          <t>1. Plasmas for combustion and flow control nano-second repetitively pulsed (NRP) plasmas - generation and spectroscopic measurements plasma-assisted ignition (PAI) and combustion (PAC) plasma control of high-speed flows, shock wave/boundary layer interaction 2. Physics of supersonic and hypersonic turbulent flows and passive and active flow control 3. Optical methods for high-speed flow and combustion visualization and measurement PIV, BOS, schlieren image velocimetry (SIV) numerical tools for optical system modeling and design 4. Experimental combustion and propulsion ignition detonations and flame acceleration rotating detonation engines</t>
        </is>
      </c>
      <c r="Z3" s="2" t="inlineStr">
        <is>
          <t>Nonequilibrium plasmas, hypersonic and supersonic aerodynamics and flow control, optical and spectroscopic diagnostics, combustion and detonation dynamics</t>
        </is>
      </c>
      <c r="AA3" s="2" t="inlineStr">
        <is>
          <t>Nonequilibrium plasmas, hypersonic and supersonic aerodynamics and flow control, optical and spectroscopic diagnostics, combustion and detonation dynamics</t>
        </is>
      </c>
      <c r="AB3" s="2" t="inlineStr">
        <is>
          <t>B.S., University of Virginia, Aerospace Engineering, 2004 M.S., California Institute of Technology, Aeronautics, 2005 Ph.D., California Institute of Technology, Aeronautics, 2010</t>
        </is>
      </c>
      <c r="AC3" s="2" t="inlineStr">
        <is>
          <t>Indiana Space Grant Consortium</t>
        </is>
      </c>
      <c r="AD3" s="3">
        <f>HYPERLINK("https://insgc.spacegrant.org/", "https://insgc.spacegrant.org/")</f>
        <v/>
      </c>
      <c r="AE3" s="2" t="inlineStr">
        <is>
          <t>Academic INSGC Internships</t>
        </is>
      </c>
      <c r="AF3" s="2" t="inlineStr"/>
      <c r="AG3" s="2" t="inlineStr"/>
      <c r="AH3" s="2" t="inlineStr">
        <is>
          <t>NASA</t>
        </is>
      </c>
      <c r="AI3" s="2" t="inlineStr"/>
      <c r="AJ3" s="2" t="inlineStr"/>
      <c r="AK3" s="2" t="inlineStr">
        <is>
          <t>ARMS 3219</t>
        </is>
      </c>
      <c r="AL3" s="2" t="b">
        <v>1</v>
      </c>
      <c r="AM3" s="3">
        <f>HYPERLINK("https://engineering.purdue.edu/AAE/people/Faculty", "https://engineering.purdue.edu/AAE/people/Faculty")</f>
        <v/>
      </c>
    </row>
    <row r="4">
      <c r="A4" s="2" t="inlineStr">
        <is>
          <t>Carson Slabaugh</t>
        </is>
      </c>
      <c r="B4" s="2" t="inlineStr">
        <is>
          <t>Purdue University</t>
        </is>
      </c>
      <c r="C4" s="3">
        <f>HYPERLINK("https://engineering.purdue.edu/AAE/people/ptProfile?resource_id=124958", "https://engineering.purdue.edu/AAE/people/ptProfile?resource_id=124958")</f>
        <v/>
      </c>
      <c r="D4" s="3">
        <f>HYPERLINK("https://scholar.google.com/citations?view_op=search_authors&amp;mauthors=Carson%20Slabaugh%20Purdue%20University", "Google Scholar Search")</f>
        <v/>
      </c>
      <c r="E4" s="2" t="inlineStr">
        <is>
          <t>Paula Feuer Professor of Aeronautics and Astronautics</t>
        </is>
      </c>
      <c r="F4" s="2" t="inlineStr">
        <is>
          <t>Aeronautics and Astronautics</t>
        </is>
      </c>
      <c r="G4" s="2" t="inlineStr"/>
      <c r="H4" s="3">
        <f>HYPERLINK("mailto:cslabau@purdue.edu", "cslabau@purdue.edu")</f>
        <v/>
      </c>
      <c r="I4" s="2" t="n">
        <v>1</v>
      </c>
      <c r="J4" s="2" t="inlineStr">
        <is>
          <t>🔵 Tier 1: Core Aero / Fluids / Propulsion</t>
        </is>
      </c>
      <c r="K4" s="2" t="n">
        <v>10</v>
      </c>
      <c r="L4" s="2" t="inlineStr">
        <is>
          <t>combustion, detonation, energy systems, fluid mechanics, multiphase flow, propulsion, reacting flow, rotating detonation, turbulence, turbulent</t>
        </is>
      </c>
      <c r="M4" s="2" t="inlineStr"/>
      <c r="N4" s="2" t="inlineStr"/>
      <c r="O4" s="2" t="inlineStr"/>
      <c r="P4" s="2" t="inlineStr"/>
      <c r="Q4" s="2" t="inlineStr"/>
      <c r="R4" s="2" t="inlineStr">
        <is>
          <t>"Operating Mode Influence on Heat Release in an Axisymmetric Dual-Mode Ramjet" [AIAA Journal] (2026) [DOI: https://doi.org/10.2514/1.j067064] | "Coherent Stokes Raman Scattering for Simultaneous Measurement of CO 2 and CH 4 Temperatures" [Journal of Raman Spectroscopy] (2026) [DOI: https://doi.org/10.1002/jrs.70176] | "One-dimensional time-resolved single-shot femtosecond coherent anti-Stokes Raman scattering thermometry in reacting thermal gradients" [Applied Optics] (2026) [DOI: https://doi.org/10.1364/ao.583207]</t>
        </is>
      </c>
      <c r="S4" s="2" t="inlineStr">
        <is>
          <t>"3 kHz PIV/OH-PLIF measurements in a gas turbine combustor at elevated pressure" [Proceedings of the Combustion Institute] (2014, 89 cites) [DOI: https://doi.org/10.1016/j.proci.2014.06.090] | "High-Speed Diagnostics in a Natural Gas–Air Rotating Detonation Engine" [Journal of Propulsion and Power] (2020, 69 cites) [DOI: https://doi.org/10.2514/1.b37740] | "Flow and performance analysis of a natural gas-air rotating detonation engine with high-speed velocimetry" [Combustion and Flame] (2021, 60 cites) [DOI: https://doi.org/10.1016/j.combustflame.2021.111549]</t>
        </is>
      </c>
      <c r="T4" s="2" t="inlineStr"/>
      <c r="U4" s="2" t="inlineStr"/>
      <c r="V4" s="2" t="inlineStr"/>
      <c r="W4" s="2" t="inlineStr">
        <is>
          <t>Combustion and flame dynamics (74) | Combustion and Detonation Processes (54) | Advanced Combustion Engine Technologies (38)</t>
        </is>
      </c>
      <c r="X4" s="2" t="inlineStr">
        <is>
          <t>Combustion and flame dynamics (74) | Combustion and Detonation Processes (54) | Advanced Combustion Engine Technologies (38)</t>
        </is>
      </c>
      <c r="Y4" s="2" t="inlineStr">
        <is>
          <t>Prof. Slabaugh's research is focused on the physics of fluid mechanics and combustion in the operating regimes of advanced propulsion and energy systems.  Ongoing projects cover a wide spectrum of topics; from fundamental exploration of turbulence-chemistry interactions to development of advanced combustion technologies for liquid rocket engines.  The group also maintains a continuous effort in the advancement of high-bandwidth (typically, laser-based) measurement techniques to non-intrusively probe the physics of these complex, reacting flows.  Please visit our website for more information about the group and our work.</t>
        </is>
      </c>
      <c r="Z4" s="2" t="inlineStr">
        <is>
          <t>Propulsion: rockets, gas turbines, sc/ramjets, rotating detonation engines Combustion: detonation, turbulent combustion Fluid mechanics: turbulence, acoustics, gas dynamics, multiphase flows Laser diagnostics and data science: methodology development, cross-platform verification and validation Edit var myPronunciation=document.getElementById("pronunciation");
    function play() {
    myPronunciation.play();
    }
    function pause() {
    myPronunciation.pause();
    }</t>
        </is>
      </c>
      <c r="AA4" s="2" t="inlineStr">
        <is>
          <t>Propulsion: rockets, gas turbines, sc/ramjets, rotating detonation engines Combustion: detonation, turbulent combustion Fluid mechanics: turbulence, acoustics, gas dynamics, multiphase flows Laser diagnostics and data science: methodology development, cross-platform verification and validation Edit var myPronunciation=document.getElementById("pronunciation");
    function play() {
    myPr...</t>
        </is>
      </c>
      <c r="AB4" s="2" t="inlineStr">
        <is>
          <t>Ph.D., Purdue University, 2014 M.S., University of Central Florida, 2010 B.S., University of Central Florida, 2009</t>
        </is>
      </c>
      <c r="AC4" s="2" t="inlineStr">
        <is>
          <t>Indiana Space Grant Consortium</t>
        </is>
      </c>
      <c r="AD4" s="3">
        <f>HYPERLINK("https://insgc.spacegrant.org/", "https://insgc.spacegrant.org/")</f>
        <v/>
      </c>
      <c r="AE4" s="2" t="inlineStr">
        <is>
          <t>Academic INSGC Internships</t>
        </is>
      </c>
      <c r="AF4" s="2" t="inlineStr"/>
      <c r="AG4" s="2" t="inlineStr"/>
      <c r="AH4" s="2" t="inlineStr">
        <is>
          <t>NASA</t>
        </is>
      </c>
      <c r="AI4" s="2" t="inlineStr"/>
      <c r="AJ4" s="2" t="inlineStr"/>
      <c r="AK4" s="2" t="inlineStr">
        <is>
          <t>ARMS 2035 and ZL3 106</t>
        </is>
      </c>
      <c r="AL4" s="2" t="b">
        <v>1</v>
      </c>
      <c r="AM4" s="3">
        <f>HYPERLINK("https://engineering.purdue.edu/AAE/people/Faculty", "https://engineering.purdue.edu/AAE/people/Faculty")</f>
        <v/>
      </c>
    </row>
    <row r="5">
      <c r="A5" s="2" t="inlineStr">
        <is>
          <t>Steven P. Schneider</t>
        </is>
      </c>
      <c r="B5" s="2" t="inlineStr">
        <is>
          <t>Purdue University</t>
        </is>
      </c>
      <c r="C5" s="3">
        <f>HYPERLINK("https://engineering.purdue.edu/AAE/people/ptProfile?resource_id=1274", "https://engineering.purdue.edu/AAE/people/ptProfile?resource_id=1274")</f>
        <v/>
      </c>
      <c r="D5" s="3">
        <f>HYPERLINK("https://scholar.google.com/citations?view_op=search_authors&amp;mauthors=Steven%20P.%20Schneider%20Purdue%20University", "Google Scholar Search")</f>
        <v/>
      </c>
      <c r="E5" s="2" t="inlineStr">
        <is>
          <t>Professor</t>
        </is>
      </c>
      <c r="F5" s="2" t="inlineStr">
        <is>
          <t>Aeronautics and Astronautics</t>
        </is>
      </c>
      <c r="G5" s="2" t="inlineStr"/>
      <c r="H5" s="3">
        <f>HYPERLINK("mailto:steves@purdue.edu", "steves@purdue.edu")</f>
        <v/>
      </c>
      <c r="I5" s="2" t="n">
        <v>1</v>
      </c>
      <c r="J5" s="2" t="inlineStr">
        <is>
          <t>🔵 Tier 1: Core Aero / Fluids / Propulsion</t>
        </is>
      </c>
      <c r="K5" s="2" t="n">
        <v>10</v>
      </c>
      <c r="L5" s="2" t="inlineStr">
        <is>
          <t>aerothermodynamics, boundary layer, entry vehicles, heat transfer, hypersonic, supersonic, thermal, thermodynamics, turbulence, turbulent</t>
        </is>
      </c>
      <c r="M5" s="2" t="inlineStr"/>
      <c r="N5" s="2" t="inlineStr"/>
      <c r="O5" s="2" t="inlineStr"/>
      <c r="P5" s="2" t="inlineStr"/>
      <c r="Q5" s="2" t="inlineStr"/>
      <c r="R5" s="2" t="inlineStr"/>
      <c r="S5" s="2" t="inlineStr"/>
      <c r="T5" s="2" t="inlineStr"/>
      <c r="U5" s="2" t="inlineStr">
        <is>
          <t>Fellow, AIAA AIAA Ground Testing Award, 2012</t>
        </is>
      </c>
      <c r="V5" s="2" t="inlineStr"/>
      <c r="W5" s="2" t="inlineStr"/>
      <c r="X5" s="2" t="inlineStr"/>
      <c r="Y5" s="2" t="inlineStr">
        <is>
          <t>Hypersonic and supersonic laminar-turbulent transition Low-disturbance wind tunnels and associated instrumentation</t>
        </is>
      </c>
      <c r="Z5" s="2" t="inlineStr">
        <is>
          <t>High-speed laminar-turbulent transition is critical for applications including missiles for survivable time-critical strike, hypersonic reconnaissance vehicles, thermal protection for re-entry vehicles, drag reduction on supersonic transports, and flow noise and heat transfer above IR windows on interceptor missiles. Unfortunately, nearly all existing high-speed experimental results are contaminated by facility noise, such as that radiating from the turbulent boundary layers normally present on the test-section walls of supersonic tunnels. Just as at low speeds, reliable experimental progress requires low-turbulence wind tunnels with noise levels comparable to those in flight. Mechanism-based prediction methods are being developed to reduce the uncertainty in predicting transition on future flight vehicles.  Measurements of the instability mechanisms leading to transition are being carried out to support the development and validation of these new methods.  However, no single wind tunnel can simultaneously simulate all aspects of transition in flight, including Mach number, Reynolds number, enthalpy, freestream disturbances, surface ablation and so on.  Furthermore, although computational advances are critical, all computations require models that must be based on experimental results.  Effective progress requires cooperation between theory, computation and experiment, and also between system designers and researchers. Prof. Schneider continues to focus on hypersonic transition and the development of quiet tunnels, while also serving as a senior technical expert in aerothermodynamics.  Prof. Jewell now leads the Mach-6 quiet tunnel, and Prof. Chynoweth leads the development of the new Mach-8 quiet tunnel.  Prof. Schneider has moved into a supporting role as part of a long phased retirement.  He is no longer serving as an advisor to new graduate students.</t>
        </is>
      </c>
      <c r="AA5" s="2" t="inlineStr">
        <is>
          <t>High-speed laminar-turbulent transition is critical for applications including missiles for survivable time-critical strike, hypersonic reconnaissance vehicles, thermal protection for re-entry vehicles, drag reduction on supersonic transports, and flow noise and heat transfer above IR windows on interceptor missiles. Unfortunately, nearly all existing high-speed experimental results are contami...</t>
        </is>
      </c>
      <c r="AB5" s="2" t="inlineStr">
        <is>
          <t>B.S.	─ Caltech, Engineering and Applied Science, with Honor, June 1981 M.S.	─ Caltech, Aeronautics, June 1984 Ph.D.	─ Caltech, Aeronautics, March 1989</t>
        </is>
      </c>
      <c r="AC5" s="2" t="inlineStr">
        <is>
          <t>Indiana Space Grant Consortium</t>
        </is>
      </c>
      <c r="AD5" s="3">
        <f>HYPERLINK("https://insgc.spacegrant.org/", "https://insgc.spacegrant.org/")</f>
        <v/>
      </c>
      <c r="AE5" s="2" t="inlineStr">
        <is>
          <t>Academic INSGC Internships</t>
        </is>
      </c>
      <c r="AF5" s="2" t="inlineStr"/>
      <c r="AG5" s="2" t="inlineStr"/>
      <c r="AH5" s="2" t="inlineStr">
        <is>
          <t>NASA</t>
        </is>
      </c>
      <c r="AI5" s="2" t="inlineStr"/>
      <c r="AJ5" s="2" t="inlineStr"/>
      <c r="AK5" s="2" t="inlineStr">
        <is>
          <t>Room 13C AERO (Hangar 3) &amp; ARMS 3216</t>
        </is>
      </c>
      <c r="AL5" s="2" t="b">
        <v>1</v>
      </c>
      <c r="AM5" s="3">
        <f>HYPERLINK("https://engineering.purdue.edu/AAE/people/Faculty", "https://engineering.purdue.edu/AAE/people/Faculty")</f>
        <v/>
      </c>
    </row>
    <row r="6">
      <c r="A6" s="2" t="inlineStr">
        <is>
          <t>Joseph S. Jewell</t>
        </is>
      </c>
      <c r="B6" s="2" t="inlineStr">
        <is>
          <t>Purdue University</t>
        </is>
      </c>
      <c r="C6" s="3">
        <f>HYPERLINK("https://engineering.purdue.edu/AAE/people/ptProfile?resource_id=221718", "https://engineering.purdue.edu/AAE/people/ptProfile?resource_id=221718")</f>
        <v/>
      </c>
      <c r="D6" s="3">
        <f>HYPERLINK("https://scholar.google.com/citations?hl=en&amp;user=NZ7cWNwAAAAJ", "Scholar (NZ7cWNwAAAAJ)")</f>
        <v/>
      </c>
      <c r="E6" s="2" t="inlineStr">
        <is>
          <t>[On leave for Federal service as of Dec 2025] John Bogdanoff Professor of Aeronautics and Astronautics</t>
        </is>
      </c>
      <c r="F6" s="2" t="inlineStr">
        <is>
          <t>Aeronautics and Astronautics</t>
        </is>
      </c>
      <c r="G6" s="2" t="inlineStr">
        <is>
          <t>NZ7cWNwAAAAJ</t>
        </is>
      </c>
      <c r="H6" s="3">
        <f>HYPERLINK("mailto:jsjewell@purdue.edu", "jsjewell@purdue.edu")</f>
        <v/>
      </c>
      <c r="I6" s="2" t="n">
        <v>1</v>
      </c>
      <c r="J6" s="2" t="inlineStr">
        <is>
          <t>🔵 Tier 1: Core Aero / Fluids / Propulsion</t>
        </is>
      </c>
      <c r="K6" s="2" t="n">
        <v>9</v>
      </c>
      <c r="L6" s="2" t="inlineStr">
        <is>
          <t>aerodynamics, aerospace, aerothermodynamics, boundary layer, fluid mechanics, hypersonic, spacecraft, thermodynamics, turbulence</t>
        </is>
      </c>
      <c r="M6" s="2" t="inlineStr"/>
      <c r="N6" s="2" t="inlineStr"/>
      <c r="O6" s="2" t="inlineStr"/>
      <c r="P6" s="2" t="inlineStr"/>
      <c r="Q6" s="2" t="inlineStr"/>
      <c r="R6" s="2" t="inlineStr">
        <is>
          <t>"Global Measurements of Unstart in an Internal Osculating Waverider Inlet" [AIAA Journal] (2026) [DOI: https://doi.org/10.2514/1.j067385] | "100 kHz-rate femtosecond laser electronic excitation tagging velocimetry in Mach 6 quiet flow" [Applied Optics] (2026) [DOI: https://doi.org/10.1364/ao.604902] | "Characterizing the Response of Focused Laser Differential Interferometry to Mixed-Mode Hypersonic Instabilities" [AIAA Journal] (2026) [DOI: https://doi.org/10.2514/1.j067275]</t>
        </is>
      </c>
      <c r="S6" s="2" t="inlineStr">
        <is>
          <t>"Nose-Tip Bluntness Effects on Transition at Hypersonic Speeds" [Journal of Spacecraft and Rockets] (2018, 103 cites) [DOI: https://doi.org/10.2514/1.a34277] | "Boundary-Layer Stability Analysis for Stetson’s Mach 6 Blunt-Cone Experiments" [Journal of Spacecraft and Rockets] (2016, 92 cites) [DOI: https://doi.org/10.2514/1.a33619] | "Nonmodal Growth of Traveling Waves on Blunt Cones at Hypersonic Speeds" [AIAA Journal] (2019, 69 cites) [DOI: https://doi.org/10.2514/1.j058290]</t>
        </is>
      </c>
      <c r="T6" s="2" t="inlineStr"/>
      <c r="U6" s="2" t="inlineStr">
        <is>
          <t>Appointments **[on leave of absence from Purdue/PARI from Dec 2025] Federal Service , Dec 2025-present John Bogdanoff Professor...</t>
        </is>
      </c>
      <c r="V6" s="2" t="inlineStr"/>
      <c r="W6" s="2" t="inlineStr">
        <is>
          <t>Fluid Dynamics and Turbulent Flows (117) | Computational Fluid Dynamics and Aerodynamics (97) | Gas Dynamics and Kinetic Theory (59)</t>
        </is>
      </c>
      <c r="X6" s="2" t="inlineStr">
        <is>
          <t>Fluid Dynamics and Turbulent Flows (117) | Computational Fluid Dynamics and Aerodynamics (97) | Gas Dynamics and Kinetic Theory (59)</t>
        </is>
      </c>
      <c r="Y6" s="2" t="inlineStr">
        <is>
          <t>Hypersonic aerothermodynamics Boundary layer instability, transition and turbulence Low-disturbance wind tunnels Reflected shock tunnels Expansion tunnels Spacecraft re-entry aerodynamics Non-intrusive diagnostic methods Hypersonic wind tunnel design, modeling, and operation Hypervelocity/high-enthalpy gasdynamics</t>
        </is>
      </c>
      <c r="Z6" s="2" t="inlineStr"/>
      <c r="AA6" s="2" t="inlineStr">
        <is>
          <t>Hypersonic aerothermodynamics Boundary layer instability, transition and turbulence Low-disturbance wind tunnels Reflected shock tunnels Expansion tunnels Spacecraft re-entry aerodynamics Non-intrusive diagnostic methods Hypersonic wind tunnel design, modeling, and operation Hypervelocity/high-enthalpy gasdynamics</t>
        </is>
      </c>
      <c r="AB6" s="2" t="inlineStr">
        <is>
          <t>B.S., California Institute of Technology, Aeronautics and History, with Honor, 2004 M.S.E., University of Michigan, Aerospace Engineering, 2005 M.Sc., University of Oxford, Engineering Science (by Research), 2008 Ph.D., California Institute of Technology, Aeronautics, 2014</t>
        </is>
      </c>
      <c r="AC6" s="2" t="inlineStr">
        <is>
          <t>Indiana Space Grant Consortium</t>
        </is>
      </c>
      <c r="AD6" s="3">
        <f>HYPERLINK("https://insgc.spacegrant.org/", "https://insgc.spacegrant.org/")</f>
        <v/>
      </c>
      <c r="AE6" s="2" t="inlineStr">
        <is>
          <t>Academic INSGC Internships</t>
        </is>
      </c>
      <c r="AF6" s="2" t="inlineStr"/>
      <c r="AG6" s="2" t="inlineStr"/>
      <c r="AH6" s="2" t="inlineStr">
        <is>
          <t>NASA</t>
        </is>
      </c>
      <c r="AI6" s="2" t="inlineStr"/>
      <c r="AJ6" s="2" t="inlineStr"/>
      <c r="AK6" s="2" t="inlineStr">
        <is>
          <t>Aerospace Sciences Lab (AERO) Room 13B &amp; ARMS 3216</t>
        </is>
      </c>
      <c r="AL6" s="2" t="b">
        <v>1</v>
      </c>
      <c r="AM6" s="3">
        <f>HYPERLINK("https://engineering.purdue.edu/AAE/people/Faculty", "https://engineering.purdue.edu/AAE/people/Faculty")</f>
        <v/>
      </c>
    </row>
    <row r="7">
      <c r="A7" s="2" t="inlineStr">
        <is>
          <t>Kenshiro Oguri</t>
        </is>
      </c>
      <c r="B7" s="2" t="inlineStr">
        <is>
          <t>Purdue University</t>
        </is>
      </c>
      <c r="C7" s="3">
        <f>HYPERLINK("https://engineering.purdue.edu/AAE/people/ptProfile?resource_id=255154", "https://engineering.purdue.edu/AAE/people/ptProfile?resource_id=255154")</f>
        <v/>
      </c>
      <c r="D7" s="3">
        <f>HYPERLINK("https://scholar.google.com/citations?view_op=search_authors&amp;mauthors=Kenshiro%20Oguri%20Purdue%20University", "Google Scholar Search")</f>
        <v/>
      </c>
      <c r="E7" s="2" t="inlineStr">
        <is>
          <t>Assistant Professor</t>
        </is>
      </c>
      <c r="F7" s="2" t="inlineStr">
        <is>
          <t>Aeronautics and Astronautics</t>
        </is>
      </c>
      <c r="G7" s="2" t="inlineStr"/>
      <c r="H7" s="3">
        <f>HYPERLINK("mailto:koguri@purdue.edu", "koguri@purdue.edu")</f>
        <v/>
      </c>
      <c r="I7" s="2" t="n">
        <v>1</v>
      </c>
      <c r="J7" s="2" t="inlineStr">
        <is>
          <t>🔵 Tier 1: Core Aero / Fluids / Propulsion</t>
        </is>
      </c>
      <c r="K7" s="2" t="n">
        <v>8</v>
      </c>
      <c r="L7" s="2" t="inlineStr">
        <is>
          <t>aerospace, astrodynamics, autonomous, control theory, guidance, navigation, optimal control, spacecraft</t>
        </is>
      </c>
      <c r="M7" s="2" t="inlineStr"/>
      <c r="N7" s="2" t="inlineStr"/>
      <c r="O7" s="2" t="inlineStr"/>
      <c r="P7" s="2" t="inlineStr"/>
      <c r="Q7" s="2" t="inlineStr"/>
      <c r="R7" s="2" t="inlineStr">
        <is>
          <t>"Global Optimization Framework for Automated Low-Thrust Gravity-Assist Trajectory Design" [arXiv (Cornell University)] (2026) [DOI: https://doi.org/10.48550/arxiv.2609.09515] | "On the Optimality of Markovian Policies for Chance-Constrained Covariance Steering" [arXiv (Cornell University)] (2026) [DOI: https://doi.org/10.48550/arxiv.2608.22589] | "(Preprint) AAS 26-718 POLYNOMIAL CHAOS EXPANSION FOR UNCERTAINTY PROPAGATION IN REGULARIZED CISLUNAR DYNAMICS" (2026) [DOI: https://doi.org/10.13140/rg.2.2.22661.92648]</t>
        </is>
      </c>
      <c r="S7" s="2" t="inlineStr">
        <is>
          <t>"EQUULEUS Trajectory Design" [The Journal of the Astronautical Sciences] (2020, 51 cites) [DOI: https://doi.org/10.1007/s40295-019-00206-y] | "Robust Spacecraft Guidance Around Small Bodies Under Uncertainty: Stochastic Optimal Control Approach" [Journal of Guidance Control and Dynamics] (2021, 44 cites) [DOI: https://doi.org/10.2514/1.g005426] | "Trajectory &amp; maneuver design of the NEA Scout solar sail mission" [Acta Astronautica] (2024, 23 cites) [DOI: https://doi.org/10.1016/j.actaastro.2024.08.039]</t>
        </is>
      </c>
      <c r="T7" s="2" t="inlineStr"/>
      <c r="U7" s="2" t="inlineStr">
        <is>
          <t>Awards for Dr. Oguri: NASA Early Career Faculty Award, 2025 JPL Center for Academic Partnership Award, 2025 AIAA Journal of Gui...</t>
        </is>
      </c>
      <c r="V7" s="2" t="inlineStr"/>
      <c r="W7" s="2" t="inlineStr">
        <is>
          <t>Spacecraft Dynamics and Control (45) | Space Satellite Systems and Control (30) | Astro and Planetary Science (21)</t>
        </is>
      </c>
      <c r="X7" s="2" t="inlineStr">
        <is>
          <t>Spacecraft Dynamics and Control (45) | Space Satellite Systems and Control (30) | Astro and Planetary Science (21)</t>
        </is>
      </c>
      <c r="Y7" s="2" t="inlineStr">
        <is>
          <t>Astrodynamics; Space Mission Design; Space Trajectory Optimization; Spacecraft Guidance, Navigation, and Control (GNC); Spacecraft Autonomy; Control Theory; Stochastic Systems; Uncertainty Quantification</t>
        </is>
      </c>
      <c r="Z7" s="2" t="inlineStr">
        <is>
          <t>Research Group Website Prof. Oguri's research interest lies at the intersection of astrodynamics, control, optimization, nonlinear dynamics, and stochastic systems. His research develops mathematical and computational frameworks that address scientific and engineering challenges in space exploration, through advancing the state-of-the-art in space mission design, space trajectory optimization, spacecraft guidance, navigation, and control (GNC), and space autonomy. In particular, his Ph.D. research was focused on developing robust space mission design methods by combining astrodynamics, optimal control, stochastic optimal control, and numerical optimization to advance the technologies for autonomous spacecraft GNC and designing robust space trajectories under uncertainty. He also leverages his flight project experience as a mission designer at NASA JPL and JAXA to blend theory and practice, to identify and address critical challenges in real-world applications, and to contribute to the forefront of space exploration.</t>
        </is>
      </c>
      <c r="AA7" s="2" t="inlineStr">
        <is>
          <t>Research Group Website Prof. Oguri's research interest lies at the intersection of astrodynamics, control, optimization, nonlinear dynamics, and stochastic systems. His research develops mathematical and computational frameworks that address scientific and engineering challenges in space exploration, through advancing the state-of-the-art in space mission design, space trajectory optimization, ...</t>
        </is>
      </c>
      <c r="AB7" s="2" t="inlineStr">
        <is>
          <t>Ph.D., The University of Colorado Boulder, Aerospace Engineering Sciences, 2021 M.S., The University of Tokyo, Aeronautics and Astronautics, 2017 B.S., The University of Tokyo, Aeronautics and Astronautics, 2015</t>
        </is>
      </c>
      <c r="AC7" s="2" t="inlineStr">
        <is>
          <t>Indiana Space Grant Consortium</t>
        </is>
      </c>
      <c r="AD7" s="3">
        <f>HYPERLINK("https://insgc.spacegrant.org/", "https://insgc.spacegrant.org/")</f>
        <v/>
      </c>
      <c r="AE7" s="2" t="inlineStr">
        <is>
          <t>Academic INSGC Internships</t>
        </is>
      </c>
      <c r="AF7" s="2" t="inlineStr"/>
      <c r="AG7" s="2" t="inlineStr"/>
      <c r="AH7" s="2" t="inlineStr">
        <is>
          <t>NASA</t>
        </is>
      </c>
      <c r="AI7" s="2" t="inlineStr"/>
      <c r="AJ7" s="2" t="inlineStr"/>
      <c r="AK7" s="2" t="inlineStr">
        <is>
          <t>ARMS 3225</t>
        </is>
      </c>
      <c r="AL7" s="2" t="b">
        <v>1</v>
      </c>
      <c r="AM7" s="3">
        <f>HYPERLINK("https://engineering.purdue.edu/AAE/people/Faculty", "https://engineering.purdue.edu/AAE/people/Faculty")</f>
        <v/>
      </c>
    </row>
    <row r="8">
      <c r="A8" s="2" t="inlineStr">
        <is>
          <t>Haifeng Wang</t>
        </is>
      </c>
      <c r="B8" s="2" t="inlineStr">
        <is>
          <t>Purdue University</t>
        </is>
      </c>
      <c r="C8" s="3">
        <f>HYPERLINK("https://engineering.purdue.edu/AAE/people/ptProfile?resource_id=78657", "https://engineering.purdue.edu/AAE/people/ptProfile?resource_id=78657")</f>
        <v/>
      </c>
      <c r="D8" s="3">
        <f>HYPERLINK("https://scholar.google.com/citations?view_op=search_authors&amp;mauthors=Haifeng%20Wang%20Purdue%20University", "Google Scholar Search")</f>
        <v/>
      </c>
      <c r="E8" s="2" t="inlineStr">
        <is>
          <t>Associate Professor</t>
        </is>
      </c>
      <c r="F8" s="2" t="inlineStr">
        <is>
          <t>Aeronautics and Astronautics</t>
        </is>
      </c>
      <c r="G8" s="2" t="inlineStr"/>
      <c r="H8" s="3">
        <f>HYPERLINK("mailto:haifeng@purdue.edu", "haifeng@purdue.edu")</f>
        <v/>
      </c>
      <c r="I8" s="2" t="n">
        <v>1</v>
      </c>
      <c r="J8" s="2" t="inlineStr">
        <is>
          <t>🔵 Tier 1: Core Aero / Fluids / Propulsion</t>
        </is>
      </c>
      <c r="K8" s="2" t="n">
        <v>7</v>
      </c>
      <c r="L8" s="2" t="inlineStr">
        <is>
          <t>combustion, computational fluid dynamics, energy systems, fluid dynamics, fluid mechanics, propulsion, turbulence</t>
        </is>
      </c>
      <c r="M8" s="2" t="inlineStr"/>
      <c r="N8" s="2" t="inlineStr"/>
      <c r="O8" s="2" t="inlineStr"/>
      <c r="P8" s="2" t="inlineStr"/>
      <c r="Q8" s="2" t="inlineStr"/>
      <c r="R8" s="2" t="inlineStr">
        <is>
          <t>"Photon–Phonon Co‐Driven Ammonia Synthesis Over Ru/BaTiO 3 Under Very Mild Conditions" [Advanced Materials] (2026) [DOI: https://doi.org/10.1002/adma.75041] | "Light‐driven oxidative coupling of methane to acetone over Pd clusters via • OH ‐mediated activation‐coupling route" [AIChE Journal] (2026) [DOI: https://doi.org/10.1002/aic.70646] | "Spatial Programming of Redox Pathways for Z-Scheme Photocatalytic Water Splitting" [Journal of the American Chemical Society] (2026) [DOI: https://doi.org/10.1021/jacs.6c09932]</t>
        </is>
      </c>
      <c r="S8" s="2" t="inlineStr">
        <is>
          <t>"Creation of a needle of longitudinally polarized light in vacuum using binary optics" [Nature Photonics] (2008, 895 cites) [DOI: https://doi.org/10.1038/nphoton.2008.127] | "TEM Study of Electrochemical Cycling‐Induced Damage and Disorder in LiCoO2 Cathodes for Rechargeable Lithium Batteries" [Journal of The Electrochemical Society] (1999, 681 cites) [DOI: https://doi.org/10.1149/1.1391631] | "Heterogeneous Single‐Atom Catalysts for Electrochemical CO2 Reduction Reaction" [Advanced Materials] (2020, 613 cites) [DOI: https://doi.org/10.1002/adma.202001848]</t>
        </is>
      </c>
      <c r="T8" s="2" t="inlineStr"/>
      <c r="U8" s="2" t="inlineStr">
        <is>
          <t>• American Chemical Society Petroleum Research Fund Doctoral New Investigator award, 2014 • Bernard Lewis Fellowship, Combustio...</t>
        </is>
      </c>
      <c r="V8" s="2" t="inlineStr"/>
      <c r="W8" s="2" t="inlineStr">
        <is>
          <t>Catalytic Processes in Materials Science (109) | Electrocatalysts for Energy Conversion (82) | Advanced Photocatalysis Techniques (70)</t>
        </is>
      </c>
      <c r="X8" s="2" t="inlineStr">
        <is>
          <t>Catalytic Processes in Materials Science (109) | Electrocatalysts for Energy Conversion (82) | Advanced Photocatalysis Techniques (70)</t>
        </is>
      </c>
      <c r="Y8" s="2" t="inlineStr">
        <is>
          <t>• Turbulence and combustion modeling • Fluid mechanics and computational modeling • Multi-phase flows • Propulsion and energy systems • Machine learning and data-driven modeling</t>
        </is>
      </c>
      <c r="Z8" s="2" t="inlineStr"/>
      <c r="AA8" s="2" t="inlineStr">
        <is>
          <t>• Turbulence and combustion modeling • Fluid mechanics and computational modeling • Multi-phase flows • Propulsion and energy systems • Machine learning and data-driven modeling</t>
        </is>
      </c>
      <c r="AB8" s="2" t="inlineStr"/>
      <c r="AC8" s="2" t="inlineStr">
        <is>
          <t>Indiana Space Grant Consortium</t>
        </is>
      </c>
      <c r="AD8" s="3">
        <f>HYPERLINK("https://insgc.spacegrant.org/", "https://insgc.spacegrant.org/")</f>
        <v/>
      </c>
      <c r="AE8" s="2" t="inlineStr">
        <is>
          <t>Academic INSGC Internships</t>
        </is>
      </c>
      <c r="AF8" s="2" t="inlineStr"/>
      <c r="AG8" s="2" t="inlineStr"/>
      <c r="AH8" s="2" t="inlineStr">
        <is>
          <t>NASA</t>
        </is>
      </c>
      <c r="AI8" s="2" t="inlineStr"/>
      <c r="AJ8" s="2" t="inlineStr"/>
      <c r="AK8" s="2" t="inlineStr">
        <is>
          <t>ARMS 3313</t>
        </is>
      </c>
      <c r="AL8" s="2" t="b">
        <v>1</v>
      </c>
      <c r="AM8" s="3">
        <f>HYPERLINK("https://engineering.purdue.edu/AAE/people/Faculty", "https://engineering.purdue.edu/AAE/people/Faculty")</f>
        <v/>
      </c>
    </row>
    <row r="9">
      <c r="A9" s="2" t="inlineStr">
        <is>
          <t>Jonathan Poggie</t>
        </is>
      </c>
      <c r="B9" s="2" t="inlineStr">
        <is>
          <t>Purdue University</t>
        </is>
      </c>
      <c r="C9" s="3">
        <f>HYPERLINK("https://engineering.purdue.edu/AAE/people/ptProfile?resource_id=124984", "https://engineering.purdue.edu/AAE/people/ptProfile?resource_id=124984")</f>
        <v/>
      </c>
      <c r="D9" s="3">
        <f>HYPERLINK("https://scholar.google.com/citations?view_op=search_authors&amp;mauthors=Jonathan%20Poggie%20Purdue%20University", "Google Scholar Search")</f>
        <v/>
      </c>
      <c r="E9" s="2" t="inlineStr">
        <is>
          <t>Professor</t>
        </is>
      </c>
      <c r="F9" s="2" t="inlineStr">
        <is>
          <t>Aeronautics and Astronautics</t>
        </is>
      </c>
      <c r="G9" s="2" t="inlineStr"/>
      <c r="H9" s="3">
        <f>HYPERLINK("mailto:jpoggie@purdue.edu", "jpoggie@purdue.edu")</f>
        <v/>
      </c>
      <c r="I9" s="2" t="n">
        <v>1</v>
      </c>
      <c r="J9" s="2" t="inlineStr">
        <is>
          <t>🔵 Tier 1: Core Aero / Fluids / Propulsion</t>
        </is>
      </c>
      <c r="K9" s="2" t="n">
        <v>7</v>
      </c>
      <c r="L9" s="2" t="inlineStr">
        <is>
          <t>aerospace, compressible flow, flow control, hydrodynamics, hypersonic, turbulence, turbulent</t>
        </is>
      </c>
      <c r="M9" s="2" t="inlineStr"/>
      <c r="N9" s="2" t="inlineStr"/>
      <c r="O9" s="2" t="inlineStr"/>
      <c r="P9" s="2" t="inlineStr"/>
      <c r="Q9" s="2" t="inlineStr"/>
      <c r="R9" s="2" t="inlineStr">
        <is>
          <t>"Fluid Mechanics" [WORLD SCIENTIFIC eBooks] (2026) [DOI: https://doi.org/10.1142/15064] | "Fluid Mechanics" [WORLD SCIENTIFIC eBooks] (2026) [DOI: https://doi.org/10.1142/15053] | "Fluid Mechanics" [WORLD SCIENTIFIC eBooks] (2026) [DOI: https://doi.org/10.1142/15041]</t>
        </is>
      </c>
      <c r="S9" s="2" t="inlineStr">
        <is>
          <t>"Magnetic control of flow past a blunt body: Numerical validation and exploration" [Physics of Fluids] (2002, 139 cites) [DOI: https://doi.org/10.1063/1.1465424] | "Resolution effects in compressible, turbulent boundary layer simulations" [Computers &amp; Fluids] (2015, 137 cites) [DOI: https://doi.org/10.1016/j.compfluid.2015.07.015] | "Numerical simulation of nanosecond-pulse electrical discharges" [Plasma Sources Science and Technology] (2012, 100 cites) [DOI: https://doi.org/10.1088/0963-0252/22/1/015001]</t>
        </is>
      </c>
      <c r="T9" s="2" t="inlineStr"/>
      <c r="U9" s="2" t="inlineStr">
        <is>
          <t>Honors C. T. Sun Excellence in Research Award, 2023 University Faculty Scholar, 2023-2028 Outstanding Graduate Faculty Mentor A...</t>
        </is>
      </c>
      <c r="V9" s="2" t="inlineStr"/>
      <c r="W9" s="2" t="inlineStr">
        <is>
          <t>Computational Fluid Dynamics and Aerodynamics (120) | Fluid Dynamics and Turbulent Flows (119) | Plasma and Flow Control in Aerodynamics (84)</t>
        </is>
      </c>
      <c r="X9" s="2" t="inlineStr">
        <is>
          <t>Computational Fluid Dynamics and Aerodynamics (120) | Fluid Dynamics and Turbulent Flows (119) | Plasma and Flow Control in Aerodynamics (84)</t>
        </is>
      </c>
      <c r="Y9" s="2" t="inlineStr">
        <is>
          <t>Hypersonic Flight, Compressible Flow, Flow Control, Turbulence, Laminar-Turbulent Transition, Weakly-Ionized Plasmas, Magnetohydrodynamics</t>
        </is>
      </c>
      <c r="Z9" s="2" t="inlineStr"/>
      <c r="AA9" s="2" t="inlineStr">
        <is>
          <t>Hypersonic Flight, Compressible Flow, Flow Control, Turbulence, Laminar-Turbulent Transition, Weakly-Ionized Plasmas, Magnetohydrodynamics</t>
        </is>
      </c>
      <c r="AB9" s="2" t="inlineStr">
        <is>
          <t>Ph.D., Mechanical and Aerospace Engineering, Princeton University, 1995 M.S.E., Mechanical and Aerospace Engineering, Princeton University, 1991 B.S., Mechanical Engineering, University of Rhode Island, 1988</t>
        </is>
      </c>
      <c r="AC9" s="2" t="inlineStr">
        <is>
          <t>Indiana Space Grant Consortium</t>
        </is>
      </c>
      <c r="AD9" s="3">
        <f>HYPERLINK("https://insgc.spacegrant.org/", "https://insgc.spacegrant.org/")</f>
        <v/>
      </c>
      <c r="AE9" s="2" t="inlineStr">
        <is>
          <t>Academic INSGC Internships</t>
        </is>
      </c>
      <c r="AF9" s="2" t="inlineStr"/>
      <c r="AG9" s="2" t="inlineStr"/>
      <c r="AH9" s="2" t="inlineStr">
        <is>
          <t>NASA</t>
        </is>
      </c>
      <c r="AI9" s="2" t="inlineStr"/>
      <c r="AJ9" s="2" t="inlineStr"/>
      <c r="AK9" s="2" t="inlineStr">
        <is>
          <t>ARMS 3315</t>
        </is>
      </c>
      <c r="AL9" s="2" t="b">
        <v>1</v>
      </c>
      <c r="AM9" s="3">
        <f>HYPERLINK("https://engineering.purdue.edu/AAE/people/Faculty", "https://engineering.purdue.edu/AAE/people/Faculty")</f>
        <v/>
      </c>
    </row>
    <row r="10">
      <c r="A10" s="2" t="inlineStr">
        <is>
          <t>Kathleen C. Howell</t>
        </is>
      </c>
      <c r="B10" s="2" t="inlineStr">
        <is>
          <t>Purdue University</t>
        </is>
      </c>
      <c r="C10" s="3">
        <f>HYPERLINK("https://engineering.purdue.edu/AAE/people/ptProfile?resource_id=1384", "https://engineering.purdue.edu/AAE/people/ptProfile?resource_id=1384")</f>
        <v/>
      </c>
      <c r="D10" s="3">
        <f>HYPERLINK("https://scholar.google.com/citations?view_op=search_authors&amp;mauthors=Kathleen%20C.%20Howell%20Purdue%20University", "Google Scholar Search")</f>
        <v/>
      </c>
      <c r="E10" s="2" t="inlineStr">
        <is>
          <t>Hsu Lo Distinguished Professor of Aeronautics and Astronautics</t>
        </is>
      </c>
      <c r="F10" s="2" t="inlineStr">
        <is>
          <t>Aeronautics and Astronautics</t>
        </is>
      </c>
      <c r="G10" s="2" t="inlineStr"/>
      <c r="H10" s="3">
        <f>HYPERLINK("mailto:howell@purdue.edu", "howell@purdue.edu")</f>
        <v/>
      </c>
      <c r="I10" s="2" t="n">
        <v>1</v>
      </c>
      <c r="J10" s="2" t="inlineStr">
        <is>
          <t>🔵 Tier 1: Core Aero / Fluids / Propulsion</t>
        </is>
      </c>
      <c r="K10" s="2" t="n">
        <v>7</v>
      </c>
      <c r="L10" s="2" t="inlineStr">
        <is>
          <t>aerospace, astrodynamics, navigation, optimal control, orbital mechanics, satellite, spacecraft</t>
        </is>
      </c>
      <c r="M10" s="2" t="inlineStr"/>
      <c r="N10" s="2" t="inlineStr"/>
      <c r="O10" s="2" t="inlineStr"/>
      <c r="P10" s="2" t="inlineStr"/>
      <c r="Q10" s="2" t="inlineStr"/>
      <c r="R10" s="2" t="inlineStr">
        <is>
          <t>"On-Orbit Servicing Networks in Cislunar Space: A Framework for Orbit Selection, Transfer Design, and Scheduling" [The Journal of the Astronautical Sciences] (2025) [DOI: https://doi.org/10.1007/s40295-025-00551-1] | "Leveraging the Hill restricted four-body problem to investigate the ephemeris transition characteristics in the Earth-Moon L2 halo orbit region" [Astrodynamics] (2025) [DOI: https://doi.org/10.1007/s42064-024-0250-4] | "Unified transition scheme for invariant tori across various models in the cislunar domain" [Communications in Nonlinear Science and Numerical Simulation] (2025) [DOI: https://doi.org/10.1016/j.cnsns.2025.109323]</t>
        </is>
      </c>
      <c r="S10" s="2" t="inlineStr">
        <is>
          <t>"Three-dimensional, periodic, ?halo? orbits" [Celestial Mechanics and Dynamical Astronomy] (1984, 429 cites) [DOI: https://doi.org/10.1007/bf01358403] | "Numerical determination of Lissajous trajectories in the restricted three-body problem" [Celestial Mechanics and Dynamical Astronomy] (1987, 242 cites) [DOI: https://doi.org/10.1007/bf01238756] | "Application of Dynamical Systems Theory to Trajectory Design for a Libration Point Mission" [The Journal of the Astronautical Sciences] (1997, 215 cites) [DOI: https://doi.org/10.1007/bf03546374]</t>
        </is>
      </c>
      <c r="T10" s="2" t="inlineStr"/>
      <c r="U10" s="2" t="inlineStr">
        <is>
          <t>Fellow, AIAA 2013 W.A. Gustafson Award for Outstanding Teaching 2012 Inducted into Iowa State University Department of Aerospac...</t>
        </is>
      </c>
      <c r="V10" s="2" t="inlineStr"/>
      <c r="W10" s="2" t="inlineStr">
        <is>
          <t>Astro and Planetary Science (181) | Spacecraft Dynamics and Control (175) | Space Satellite Systems and Control (86)</t>
        </is>
      </c>
      <c r="X10" s="2" t="inlineStr">
        <is>
          <t>Astro and Planetary Science (181) | Spacecraft Dynamics and Control (175) | Space Satellite Systems and Control (86)</t>
        </is>
      </c>
      <c r="Y10" s="2" t="inlineStr">
        <is>
          <t>Orbit mechanics Spacecraft dynamics, control Trajectory optimization</t>
        </is>
      </c>
      <c r="Z10" s="2" t="inlineStr">
        <is>
          <t>Professor Howell's Research Page In the area of astrodynamics, the complex missions envisioned in the next few decades will demand innovative spacecraft trajectory concepts and efficient design tools for analysis and implementation. In support of such plans, current research efforts focus on spacecraft navigation and maneuver requirements, and mission planning, both in the neighborhood of the Earth and in interplanetary space. Some sample projects are mentioned below.
Much recent research activity has involved libration point orbits in the three- and four-body problems. The n -body problem in orbital mechanics generally considers trajectory solutions when ( n -1) gravity fields are significant. Spacecraft in the vicinity of libration points thus operate in an environment in which gravity forces due to two or three (or more) celestial bodies may result in trajectories that appear as three-dimensional, quasi-periodic Lissajous paths. Such three-dimensional trajectories are of considerable interest in connection with any future lunar operations. In the near term, missions involving libration point satellites are included in a number of programs that the U. S. is planning with international partners. Technical studies involve trajectory design and optimization including optimal control strategies for out-of-plane motion in consideration of communication and other operational specifications. Analyses of station-keeping requirements for such trajectories are also currently under study.
The subject of optimal transfer trajectories is of considerable importance and rapidly growing in complexity as well. New types of problems now facing mission designers render standard optimization strategies inadequate, particularly for application in the n -body problem. Nominal transfer trajectory determination and optimization is the focus of an expanding investigation. Various projects range from development of new computational techniques to application of geometric nonlinear dynamical systems theory to these problems.
A related problem of interest involves Earth orbiting vehicles that repeatedly pass close to the Moon. Such trajectories use lunar gravity to effect trajectory changes. Not only can such a swingby aid in minimizing mission fuel requirements, it also creates trajectory options that may otherwise be impossible. Analysis is complicated, however, by the strong solar perturbation. Multi-conic analysis has proven promising and work is continuing to develop tools to make optimal trajectory design efficient and accurate. Design strategies can also be extended to other multi-body systems. Such applications are under considerations as well.</t>
        </is>
      </c>
      <c r="AA10" s="2" t="inlineStr">
        <is>
          <t>Professor Howell's Research Page In the area of astrodynamics, the complex missions envisioned in the next few decades will demand innovative spacecraft trajectory concepts and efficient design tools for analysis and implementation. In support of such plans, current research efforts focus on spacecraft navigation and maneuver requirements, and mission planning, both in the neighborhood of the E...</t>
        </is>
      </c>
      <c r="AB10" s="2" t="inlineStr">
        <is>
          <t>B. S., Iowa State University, Aerospace Engineering, 1973 M. S., Stanford University, Aeronautical &amp; Astronautical Engineering, 1977 Ph.D., Stanford University, Aeronautical &amp; Astronautical Sciences, 1983</t>
        </is>
      </c>
      <c r="AC10" s="2" t="inlineStr">
        <is>
          <t>Indiana Space Grant Consortium</t>
        </is>
      </c>
      <c r="AD10" s="3">
        <f>HYPERLINK("https://insgc.spacegrant.org/", "https://insgc.spacegrant.org/")</f>
        <v/>
      </c>
      <c r="AE10" s="2" t="inlineStr">
        <is>
          <t>Academic INSGC Internships</t>
        </is>
      </c>
      <c r="AF10" s="2" t="inlineStr"/>
      <c r="AG10" s="2" t="inlineStr"/>
      <c r="AH10" s="2" t="inlineStr">
        <is>
          <t>NASA</t>
        </is>
      </c>
      <c r="AI10" s="2" t="inlineStr"/>
      <c r="AJ10" s="2" t="inlineStr"/>
      <c r="AK10" s="2" t="inlineStr">
        <is>
          <t>ARMS 3235</t>
        </is>
      </c>
      <c r="AL10" s="2" t="b">
        <v>1</v>
      </c>
      <c r="AM10" s="3">
        <f>HYPERLINK("https://engineering.purdue.edu/AAE/people/Faculty", "https://engineering.purdue.edu/AAE/people/Faculty")</f>
        <v/>
      </c>
    </row>
    <row r="11">
      <c r="A11" s="2" t="inlineStr">
        <is>
          <t>Kyle Hanquist</t>
        </is>
      </c>
      <c r="B11" s="2" t="inlineStr">
        <is>
          <t>Purdue University</t>
        </is>
      </c>
      <c r="C11" s="3">
        <f>HYPERLINK("https://engineering.purdue.edu/AAE/people/ptProfile?resource_id=318748", "https://engineering.purdue.edu/AAE/people/ptProfile?resource_id=318748")</f>
        <v/>
      </c>
      <c r="D11" s="3">
        <f>HYPERLINK("https://scholar.google.com/citations?view_op=search_authors&amp;mauthors=Kyle%20Hanquist%20Purdue%20University", "Google Scholar Search")</f>
        <v/>
      </c>
      <c r="E11" s="2" t="inlineStr">
        <is>
          <t>Assistant Professor</t>
        </is>
      </c>
      <c r="F11" s="2" t="inlineStr">
        <is>
          <t>Aeronautics and Astronautics</t>
        </is>
      </c>
      <c r="G11" s="2" t="inlineStr"/>
      <c r="H11" s="3">
        <f>HYPERLINK("mailto:hanquist@purdue.edu", "hanquist@purdue.edu")</f>
        <v/>
      </c>
      <c r="I11" s="2" t="n">
        <v>1</v>
      </c>
      <c r="J11" s="2" t="inlineStr">
        <is>
          <t>🔵 Tier 1: Core Aero / Fluids / Propulsion</t>
        </is>
      </c>
      <c r="K11" s="2" t="n">
        <v>7</v>
      </c>
      <c r="L11" s="2" t="inlineStr">
        <is>
          <t>aerospace, aerothermodynamics, computational fluid dynamics, fluid dynamics, hypersonic, thermal, thermodynamics</t>
        </is>
      </c>
      <c r="M11" s="2" t="inlineStr"/>
      <c r="N11" s="2" t="inlineStr"/>
      <c r="O11" s="2" t="inlineStr"/>
      <c r="P11" s="2" t="inlineStr"/>
      <c r="Q11" s="2" t="inlineStr"/>
      <c r="R11" s="2" t="inlineStr">
        <is>
          <t>"Alkali Metal Seeding for Enhanced Ionization in Hypersonic Flight" (2026) [DOI: https://doi.org/10.2514/6.2026-4057] | "Numerical Investigation of High-Enthalpy Effects on Aero-Optics in Hypersonic Flows" [Journal of Thermophysics and Heat Transfer] (2026) [DOI: https://doi.org/10.2514/1.t7189] | "Thrust Regulation in a Solid Fuel Ramjet Using Dynamic Mode Adaptive Control" (2026) [DOI: https://doi.org/10.2514/6.2026-1389]</t>
        </is>
      </c>
      <c r="S11" s="2" t="inlineStr">
        <is>
          <t>"Detailed modeling of electron emission for transpiration cooling of hypersonic vehicles" [Journal of Applied Physics] (2017, 72 cites) [DOI: https://doi.org/10.1063/1.4974961] | "Test cases for grid-based direct kinetic modeling of plasma flows" [Plasma Sources Science and Technology] (2018, 62 cites) [DOI: https://doi.org/10.1088/1361-6595/aac6b9] | "Shock-tube measurements of coupled vibration–dissociation time-histories and rate parameters in oxygen and argon mixtures from 5000 K to 10 000 K" [Physics of Fluids] (2020, 47 cites) [DOI: https://doi.org/10.1063/5.0012426]</t>
        </is>
      </c>
      <c r="T11" s="2" t="inlineStr"/>
      <c r="U11" s="2" t="inlineStr">
        <is>
          <t>2025 AFOSR Young Investigator Award (YIP) 2025 ONR Young Investigator Award (YIP) AIAA Associate Fellow Edit var myPronunciatio...</t>
        </is>
      </c>
      <c r="V11" s="2" t="inlineStr"/>
      <c r="W11" s="2" t="inlineStr">
        <is>
          <t>Gas Dynamics and Kinetic Theory (38) | Computational Fluid Dynamics and Aerodynamics (35) | Plasma and Flow Control in Aerodynamics (17)</t>
        </is>
      </c>
      <c r="X11" s="2" t="inlineStr">
        <is>
          <t>Gas Dynamics and Kinetic Theory (38) | Computational Fluid Dynamics and Aerodynamics (35) | Plasma and Flow Control in Aerodynamics (17)</t>
        </is>
      </c>
      <c r="Y11" s="2" t="inlineStr">
        <is>
          <t>Hypersonic aerothermodynamics Computational fluid dynamics High enthalpy flows Chemical kinetics Thermal management Low-temperature plasmas</t>
        </is>
      </c>
      <c r="Z11" s="2" t="inlineStr"/>
      <c r="AA11" s="2" t="inlineStr">
        <is>
          <t>Hypersonic aerothermodynamics Computational fluid dynamics High enthalpy flows Chemical kinetics Thermal management Low-temperature plasmas</t>
        </is>
      </c>
      <c r="AB11" s="2" t="inlineStr">
        <is>
          <t>B.S. University of Nebraska, Mechanical Engineering, 2012 M.S. University of Michigan, Aerospace Engineering, 2015 Ph.D. University of Michigan, Aerospace Engineering, 2017</t>
        </is>
      </c>
      <c r="AC11" s="2" t="inlineStr">
        <is>
          <t>Indiana Space Grant Consortium</t>
        </is>
      </c>
      <c r="AD11" s="3">
        <f>HYPERLINK("https://insgc.spacegrant.org/", "https://insgc.spacegrant.org/")</f>
        <v/>
      </c>
      <c r="AE11" s="2" t="inlineStr">
        <is>
          <t>Academic INSGC Internships</t>
        </is>
      </c>
      <c r="AF11" s="2" t="inlineStr"/>
      <c r="AG11" s="2" t="inlineStr"/>
      <c r="AH11" s="2" t="inlineStr">
        <is>
          <t>NASA</t>
        </is>
      </c>
      <c r="AI11" s="2" t="inlineStr"/>
      <c r="AJ11" s="2" t="inlineStr"/>
      <c r="AK11" s="2" t="inlineStr">
        <is>
          <t>ARMS 2021</t>
        </is>
      </c>
      <c r="AL11" s="2" t="b">
        <v>1</v>
      </c>
      <c r="AM11" s="3">
        <f>HYPERLINK("https://engineering.purdue.edu/AAE/people/Faculty", "https://engineering.purdue.edu/AAE/people/Faculty")</f>
        <v/>
      </c>
    </row>
    <row r="12">
      <c r="A12" s="2" t="inlineStr">
        <is>
          <t>Steven Collicott</t>
        </is>
      </c>
      <c r="B12" s="2" t="inlineStr">
        <is>
          <t>Purdue University</t>
        </is>
      </c>
      <c r="C12" s="3">
        <f>HYPERLINK("https://engineering.purdue.edu/AAE/people/ptProfile?resource_id=1370", "https://engineering.purdue.edu/AAE/people/ptProfile?resource_id=1370")</f>
        <v/>
      </c>
      <c r="D12" s="3">
        <f>HYPERLINK("https://scholar.google.com/citations?view_op=search_authors&amp;mauthors=Steven%20Collicott%20Purdue%20University", "Google Scholar Search")</f>
        <v/>
      </c>
      <c r="E12" s="2" t="inlineStr">
        <is>
          <t>Professor</t>
        </is>
      </c>
      <c r="F12" s="2" t="inlineStr">
        <is>
          <t>Aeronautics and Astronautics</t>
        </is>
      </c>
      <c r="G12" s="2" t="inlineStr"/>
      <c r="H12" s="3">
        <f>HYPERLINK("mailto:collicott@purdue.edu", "collicott@purdue.edu")</f>
        <v/>
      </c>
      <c r="I12" s="2" t="n">
        <v>1</v>
      </c>
      <c r="J12" s="2" t="inlineStr">
        <is>
          <t>🔵 Tier 1: Core Aero / Fluids / Propulsion</t>
        </is>
      </c>
      <c r="K12" s="2" t="n">
        <v>7</v>
      </c>
      <c r="L12" s="2" t="inlineStr">
        <is>
          <t>aerospace, boundary layer, fluid dynamics, fluid mechanics, fluids, hypersonic, satellite</t>
        </is>
      </c>
      <c r="M12" s="2" t="inlineStr"/>
      <c r="N12" s="2" t="inlineStr"/>
      <c r="O12" s="2" t="inlineStr"/>
      <c r="P12" s="2" t="inlineStr"/>
      <c r="Q12" s="2" t="inlineStr"/>
      <c r="R12" s="2" t="inlineStr">
        <is>
          <t>"Odyssey Propellant Estimation Phenomenal Mission in Progress Mission Success" [SpaceOps] (2026) [DOI: https://doi.org/10.82217/spaceops2025_398] | "Popcorn from Suborbital Spaceflight" [Gravitational and Space Research] (2026) [DOI: https://doi.org/10.2478/gsr-2026-0005] | "Critical investments in bioregenerative life support systems for bioastronautics and sustainable lunar exploration" [npj Microgravity] (2025) [DOI: https://doi.org/10.1038/s41526-025-00518-4]</t>
        </is>
      </c>
      <c r="S12" s="2" t="inlineStr">
        <is>
          <t>"Computational fluid dynamics" [Elsevier eBooks] (2024, 264 cites) [DOI: https://doi.org/10.1016/b978-0-32-399544-3.00013-x] | "Receptivity of the Mach-4 boundary layer on an elliptic cone to laser-generated localized freestream perturbations" [36th AIAA Aerospace Sciences Meeting and Exhibit] (1998, 67 cites) [DOI: https://doi.org/10.2514/6.1998-532] | "Computing Existence and Stability of Capillary Surfaces Using Surface Evolver" [AIAA Journal] (2004, 53 cites) [DOI: https://doi.org/10.2514/1.9093]</t>
        </is>
      </c>
      <c r="T12" s="2" t="inlineStr"/>
      <c r="U12" s="2" t="inlineStr">
        <is>
          <t>Inducted into Purdue University’s “Book of Great Teachers,” August 28, 2008 Presented the American Institute of Aeronautics and...</t>
        </is>
      </c>
      <c r="V12" s="2" t="inlineStr"/>
      <c r="W12" s="2" t="inlineStr">
        <is>
          <t>Spacecraft and Cryogenic Technologies (67) | Rocket and propulsion systems research (38) | Fluid Dynamics and Turbulent Flows (34)</t>
        </is>
      </c>
      <c r="X12" s="2" t="inlineStr">
        <is>
          <t>Spacecraft and Cryogenic Technologies (67) | Rocket and propulsion systems research (38) | Fluid Dynamics and Turbulent Flows (34)</t>
        </is>
      </c>
      <c r="Y12" s="2" t="inlineStr">
        <is>
          <t>Experimental fluid mechanics Low-gravity fluid dynamics Optical diagnostics Applied optics</t>
        </is>
      </c>
      <c r="Z12" s="2" t="inlineStr">
        <is>
          <t>Low-gravity fluid dynamics and capillary fluid physics are the focus of two-phase fluids research.  A collaborative aero-elastic study of failures of High-Mast Lighting Towers is underway, led by Professor Connor in Purdue’s School of Civil Engineering.  Sprays and internal flows in spray systems plus oil-air flows in turbine engines remain of interest too. Capillary effects dominate liquid positioning in the weightless portions of spaceflight and in small-scale two-phase fluids systems on Earth.  Beginning with work in support of the Gravity Probe-B satellite in 1993, Professor Collicott has become the leading expert in the use of the capillary fluids statics code, Surface Evolver, for both research and real-world engineering in two-phase fluids problems.  Research includes designing the “Vane-Gap” experiments for the Capillary Fluids Experiment (CFE) presently in the second set of tests in orbit in the International Space Station, exploring the existence and stability of water droplets in lung passages, designing and building a three-dimensional critical wetting experiment - one of the first experiments to fly on Blue Origin’s New Shepard rocket, and many others.  Engineering solutions that have grown from research include the best on-orbit propellant-gauging service available for satellites and presently available for owners and operators of satellites. Novel spray control and spray formation methods have grown from research, started by an NSF-Career Award, that probes the internal flow with specialized optics to uncover the physics of cavitation.  Small-scale non-equilibrium unsteady cavitation exists, the behavior of which can not presently be predicted to any useful extent.  Coordination with Professor Heister's simulations with pseudo-density models for non-equilibrium cavitating flows has been crucial to understanding the internal flow fields. Hypersonic boundary layer transition is a critical event on high speed flight vehicles, including the Space Shuttle during re-entry.  Sporadic collaborations with Professor Schneider's experiments involve both an optical perturber and optical diagnostics.  The perturber has been developed and is in regular use.  High-sensitivity, high bandwidth Laser Differential Interferometry is being applied to detect and measure instability waves in millimeter and thinner boundary layers in flows at speeds in excess of one-half of a kilometer per second.</t>
        </is>
      </c>
      <c r="AA12" s="2" t="inlineStr">
        <is>
          <t>Low-gravity fluid dynamics and capillary fluid physics are the focus of two-phase fluids research.  A collaborative aero-elastic study of failures of High-Mast Lighting Towers is underway, led by Professor Connor in Purdue’s School of Civil Engineering.  Sprays and internal flows in spray systems plus oil-air flows in turbine engines remain of interest too. Capillary effects dominate liquid pos...</t>
        </is>
      </c>
      <c r="AB12" s="2" t="inlineStr">
        <is>
          <t>B. S., University of Michigan, Aerospace Engineering, 1983, magna cum laude M. S., Stanford University, Aeronautics &amp; Astronautics, 1984 Ph.D., Stanford University, Aeronautics &amp; Astronautics, 1991</t>
        </is>
      </c>
      <c r="AC12" s="2" t="inlineStr">
        <is>
          <t>Indiana Space Grant Consortium</t>
        </is>
      </c>
      <c r="AD12" s="3">
        <f>HYPERLINK("https://insgc.spacegrant.org/", "https://insgc.spacegrant.org/")</f>
        <v/>
      </c>
      <c r="AE12" s="2" t="inlineStr">
        <is>
          <t>Academic INSGC Internships</t>
        </is>
      </c>
      <c r="AF12" s="2" t="inlineStr"/>
      <c r="AG12" s="2" t="inlineStr"/>
      <c r="AH12" s="2" t="inlineStr">
        <is>
          <t>NASA</t>
        </is>
      </c>
      <c r="AI12" s="2" t="inlineStr"/>
      <c r="AJ12" s="2" t="inlineStr"/>
      <c r="AK12" s="2" t="inlineStr">
        <is>
          <t>ARMS 2039</t>
        </is>
      </c>
      <c r="AL12" s="2" t="b">
        <v>1</v>
      </c>
      <c r="AM12" s="3">
        <f>HYPERLINK("https://engineering.purdue.edu/AAE/people/Faculty", "https://engineering.purdue.edu/AAE/people/Faculty")</f>
        <v/>
      </c>
    </row>
    <row r="13">
      <c r="A13" s="2" t="inlineStr">
        <is>
          <t>Alina Alexeenko</t>
        </is>
      </c>
      <c r="B13" s="2" t="inlineStr">
        <is>
          <t>Purdue University</t>
        </is>
      </c>
      <c r="C13" s="3">
        <f>HYPERLINK("https://engineering.purdue.edu/AAE/people/ptProfile?resource_id=23887", "https://engineering.purdue.edu/AAE/people/ptProfile?resource_id=23887")</f>
        <v/>
      </c>
      <c r="D13" s="3">
        <f>HYPERLINK("https://scholar.google.com/citations?user=vr5HyoMAAAAJ&amp;hl=en", "Scholar (vr5HyoMAAAAJ)")</f>
        <v/>
      </c>
      <c r="E13" s="2" t="inlineStr">
        <is>
          <t>Reilly Professor of Aeronautics and Astronautics &amp; Chemical Engineering</t>
        </is>
      </c>
      <c r="F13" s="2" t="inlineStr">
        <is>
          <t>Aeronautics and Astronautics</t>
        </is>
      </c>
      <c r="G13" s="2" t="inlineStr">
        <is>
          <t>vr5HyoMAAAAJ</t>
        </is>
      </c>
      <c r="H13" s="3">
        <f>HYPERLINK("mailto:alexeenk@purdue.edu", "alexeenk@purdue.edu")</f>
        <v/>
      </c>
      <c r="I13" s="2" t="n">
        <v>1</v>
      </c>
      <c r="J13" s="2" t="inlineStr">
        <is>
          <t>🔵 Tier 1: Core Aero / Fluids / Propulsion</t>
        </is>
      </c>
      <c r="K13" s="2" t="n">
        <v>6</v>
      </c>
      <c r="L13" s="2" t="inlineStr">
        <is>
          <t>aerospace, aerothermodynamics, numerical methods, propulsion, spacecraft, thermodynamics</t>
        </is>
      </c>
      <c r="M13" s="2" t="inlineStr"/>
      <c r="N13" s="2" t="inlineStr"/>
      <c r="O13" s="2" t="inlineStr"/>
      <c r="P13" s="2" t="inlineStr"/>
      <c r="Q13" s="2" t="inlineStr"/>
      <c r="R13" s="2" t="inlineStr">
        <is>
          <t>"DGFS-BE Solver: An open-source Discontinuous Galerkin Fast Spectral Solver for the full Boltzmann equation" [SoftwareX] (2026) [DOI: https://doi.org/10.1016/j.softx.2026.102544] | "Cryoconcentration modeling and experimental measurements for freezing and thawing of a biologic bulk drug substance" [European Journal of Pharmaceutics and Biopharmaceutics] (2025) [DOI: https://doi.org/10.1016/j.ejpb.2025.114812] | "Critical Needs and Opportunities for Advanced Manufacturing of Lyophilized Injectables" [Pharmaceutical Research] (2025) [DOI: https://doi.org/10.1007/s11095-025-03869-5]</t>
        </is>
      </c>
      <c r="S13" s="2" t="inlineStr">
        <is>
          <t>"Transient Heat Transfer and Gas Flow in a MEMS-Based Thruster" [Journal of Microelectromechanical Systems] (2006, 90 cites) [DOI: https://doi.org/10.1109/jmems.2005.859203] | "Recommended Best Practices for Process Monitoring Instrumentation in Pharmaceutical Freeze Drying—2017" [AAPS PharmSciTech] (2017, 88 cites) [DOI: https://doi.org/10.1208/s12249-017-0733-1] | "Ab initio -informed maximum entropy modeling of rovibrational relaxation and state-specific dissociation with application to the O2 + O system" [The Journal of Chemical Physics] (2016, 83 cites) [DOI: https://doi.org/10.1063/1.4947590]</t>
        </is>
      </c>
      <c r="T13" s="2" t="inlineStr"/>
      <c r="U13" s="2" t="inlineStr">
        <is>
          <t>Dean Henry T Yang Leadership in Service award, 2023 Associate Editor, Journal of Thermophysics and Heat Transfer, 2021-2022 Int...</t>
        </is>
      </c>
      <c r="V13" s="2" t="inlineStr"/>
      <c r="W13" s="2" t="inlineStr">
        <is>
          <t>Gas Dynamics and Kinetic Theory (139) | Plasma Diagnostics and Applications (51) | Protein purification and stability (39)</t>
        </is>
      </c>
      <c r="X13" s="2" t="inlineStr">
        <is>
          <t>Gas Dynamics and Kinetic Theory (139) | Plasma Diagnostics and Applications (51) | Protein purification and stability (39)</t>
        </is>
      </c>
      <c r="Y13" s="2" t="inlineStr">
        <is>
          <t>Rarefied gas dynamics, deterministic and stochastic numerical methods for the Boltzmann equation, direct simulation Monte Carlo (DSMC) and particle-in-cell Monte Carlo collisions (PIC/MCC) techniques; High-altitude aerothermodynamics and micropropulsion; Gas-phase effects in N/MEMS sensors and actuators; Vacuum gas dynamics; Modeling, analysis and design of vacuum deposition systems (MBE, P/CVD, EBPVD) for nano/microfabrication; Lyophilization/freeze-drying for biopharmaceutical manufacturing.</t>
        </is>
      </c>
      <c r="Z13" s="2" t="inlineStr">
        <is>
          <t>Professor Alexeenko’s research is centered on computational and experimental  studies of rarefied gas flow phenomena occurring in both high-altitude flight such as smallsat propulsion, spacecraft contamination, plume interactions, high-altitude aerothermodynamics; and in emerging technologies such as micro-electro-mechanical systems for space communications and micropropulsion and in vacuum manufacturing processes.  Broadening applications of rarefied gas dynamics is one of her long-term research goals. Alexeenko's group at Purdue has developed fast computational algorithms and solvers for the deterministic, as opposed to the stochastic DSMC, solution of rarefied flow problems. Such new techniques are especially useful in studying low-speed and/or unsteady flows and have allowed to address several challenging problems, such as the aerodynamic damping in MEMS and shock wave propagation at microscale. Additionally, the research led to novel microdevice concepts that exploit the unique microscale, rarefied flow physics for gas sensing and smallsat propulsion.</t>
        </is>
      </c>
      <c r="AA13" s="2" t="inlineStr">
        <is>
          <t>Professor Alexeenko’s research is centered on computational and experimental  studies of rarefied gas flow phenomena occurring in both high-altitude flight such as smallsat propulsion, spacecraft contamination, plume interactions, high-altitude aerothermodynamics; and in emerging technologies such as micro-electro-mechanical systems for space communications and micropropulsion and in vacuum man...</t>
        </is>
      </c>
      <c r="AB13" s="2" t="inlineStr">
        <is>
          <t>B.S., Novosibirsk State University, Mathematics, 1997 M.S., Novosibirsk State University, Applied Mathematics, 1999 Ph.D., Pennsylvania State University, Aerospace Engineering, 2003</t>
        </is>
      </c>
      <c r="AC13" s="2" t="inlineStr">
        <is>
          <t>Indiana Space Grant Consortium</t>
        </is>
      </c>
      <c r="AD13" s="3">
        <f>HYPERLINK("https://insgc.spacegrant.org/", "https://insgc.spacegrant.org/")</f>
        <v/>
      </c>
      <c r="AE13" s="2" t="inlineStr">
        <is>
          <t>Academic INSGC Internships</t>
        </is>
      </c>
      <c r="AF13" s="2" t="inlineStr"/>
      <c r="AG13" s="2" t="inlineStr"/>
      <c r="AH13" s="2" t="inlineStr">
        <is>
          <t>NASA</t>
        </is>
      </c>
      <c r="AI13" s="2" t="inlineStr"/>
      <c r="AJ13" s="2" t="inlineStr"/>
      <c r="AK13" s="2" t="inlineStr">
        <is>
          <t>ARMS 3231</t>
        </is>
      </c>
      <c r="AL13" s="2" t="b">
        <v>1</v>
      </c>
      <c r="AM13" s="3">
        <f>HYPERLINK("https://engineering.purdue.edu/AAE/people/Faculty", "https://engineering.purdue.edu/AAE/people/Faculty")</f>
        <v/>
      </c>
    </row>
    <row r="14">
      <c r="A14" s="2" t="inlineStr">
        <is>
          <t>Arezoo Ardekani</t>
        </is>
      </c>
      <c r="B14" s="2" t="inlineStr">
        <is>
          <t>Purdue University</t>
        </is>
      </c>
      <c r="C14" s="3">
        <f>HYPERLINK("https://engineering.purdue.edu/ME/People/ptProfile?resource_id=110641", "https://engineering.purdue.edu/ME/People/ptProfile?resource_id=110641")</f>
        <v/>
      </c>
      <c r="D14" s="3">
        <f>HYPERLINK("https://scholar.google.com/citations?view_op=search_authors&amp;mauthors=Arezoo%20Ardekani%20Purdue%20University", "Google Scholar Search")</f>
        <v/>
      </c>
      <c r="E14" s="2" t="inlineStr">
        <is>
          <t>Associate Head for Faculty Affairs, and Professor of Mechanical Engineering</t>
        </is>
      </c>
      <c r="F14" s="2" t="inlineStr">
        <is>
          <t>Mechanical Engineering</t>
        </is>
      </c>
      <c r="G14" s="2" t="inlineStr"/>
      <c r="H14" s="3">
        <f>HYPERLINK("mailto:ardekani@purdue.edu", "ardekani@purdue.edu")</f>
        <v/>
      </c>
      <c r="I14" s="2" t="n">
        <v>1</v>
      </c>
      <c r="J14" s="2" t="inlineStr">
        <is>
          <t>🔵 Tier 1: Core Aero / Fluids / Propulsion</t>
        </is>
      </c>
      <c r="K14" s="2" t="n">
        <v>6</v>
      </c>
      <c r="L14" s="2" t="inlineStr">
        <is>
          <t>fluid dynamics, fluid mechanics, fluids, microfluidics, multiphase flow, thermodynamics</t>
        </is>
      </c>
      <c r="M14" s="2" t="inlineStr"/>
      <c r="N14" s="2" t="inlineStr"/>
      <c r="O14" s="2" t="inlineStr"/>
      <c r="P14" s="2" t="inlineStr"/>
      <c r="Q14" s="2" t="inlineStr"/>
      <c r="R14" s="2" t="inlineStr">
        <is>
          <t>"A multiscale modeling framework for transport of PEGylated lipid nanoparticle through the extracellular matrix" [bioRxiv (Cold Spring Harbor Laboratory)] (2026) [DOI: https://doi.org/10.64898/2026.09.09.750406] | "A Review on Lymphatic Uptake of Large Therapeutic Proteins after Subcutaneous Injection" [Pharmaceutical Research] (2026) [DOI: https://doi.org/10.1007/s11095-026-04171-8] | "Protein-protein interactions and self-association of etanercept and immunoglobulin G1 in the bulk phase and at the air-water interface: Effects of NaCl and sucrose" [Journal of Colloid and Interface Science] (2026) [DOI: https://doi.org/10.1016/j.jcis.2026.141296]</t>
        </is>
      </c>
      <c r="S14" s="2" t="inlineStr">
        <is>
          <t>"Hydrodynamic mechanisms of cell and particle trapping in microfluidics" [Biomicrofluidics] (2013, 381 cites) [DOI: https://doi.org/10.1063/1.4799787] | "Hydrodynamic interaction of microswimmers near a wall" [Physical Review E] (2014, 214 cites) [DOI: https://doi.org/10.1103/physreve.90.013010] | "Interplay of physical mechanisms and biofilm processes: review of microfluidic methods" [Lab on a Chip] (2014, 183 cites) [DOI: https://doi.org/10.1039/c4lc01095g]</t>
        </is>
      </c>
      <c r="T14" s="2" t="inlineStr"/>
      <c r="U14" s="2" t="inlineStr">
        <is>
          <t>Outstanding Mechanical Engineers Distinguished Engineering Alumni Honorary Doctorates Staff Awards Student Awards Distinguished...</t>
        </is>
      </c>
      <c r="V14" s="2" t="inlineStr">
        <is>
          <t>Phone: +1 (765) 494-3975 Email: future-engineers@purdue.edu | Phone: +1 (765) 494-4873 Email: EngrGrad@purdue.edu</t>
        </is>
      </c>
      <c r="W14" s="2" t="inlineStr">
        <is>
          <t>Micro and Nano Robotics (75) | Microfluidic and Bio-sensing Technologies (60) | Particle Dynamics in Fluid Flows (49)</t>
        </is>
      </c>
      <c r="X14" s="2" t="inlineStr">
        <is>
          <t>Micro and Nano Robotics (75) | Microfluidic and Bio-sensing Technologies (60) | Particle Dynamics in Fluid Flows (49)</t>
        </is>
      </c>
      <c r="Y14" s="2" t="inlineStr">
        <is>
          <t>Fluid dynamics Biomaterial Multiphase flows Non-Newtonian fluid dynamics Microfluidics Complex fluids Soft matter</t>
        </is>
      </c>
      <c r="Z14" s="2" t="inlineStr">
        <is>
          <t>Thermodynamics Fluid Mechanics</t>
        </is>
      </c>
      <c r="AA14" s="2" t="inlineStr">
        <is>
          <t>Thermodynamics Fluid Mechanics</t>
        </is>
      </c>
      <c r="AB14" s="2" t="inlineStr">
        <is>
          <t>Shapiro Postdoctoral Fellow, Massachusetts Institute of Technology, '10 Ph.D., University of California Irvine, '09 M.S., University of California Irvine, '05, B.S., Sharif University of Technology, '03</t>
        </is>
      </c>
      <c r="AC14" s="2" t="inlineStr">
        <is>
          <t>Complex Flow Lab</t>
        </is>
      </c>
      <c r="AD14" s="3">
        <f>HYPERLINK("https://engineering.purdue.edu/ComplexFlowLab", "https://engineering.purdue.edu/ComplexFlowLab")</f>
        <v/>
      </c>
      <c r="AE14" s="2" t="inlineStr">
        <is>
          <t>For You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 |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t>
        </is>
      </c>
      <c r="AF14" s="2" t="inlineStr"/>
      <c r="AG14" s="2" t="inlineStr"/>
      <c r="AH14" s="2" t="inlineStr">
        <is>
          <t>DOE, NSF</t>
        </is>
      </c>
      <c r="AI14" s="2" t="inlineStr"/>
      <c r="AJ14" s="2" t="inlineStr"/>
      <c r="AK14" s="2" t="inlineStr">
        <is>
          <t>ME 2007F</t>
        </is>
      </c>
      <c r="AL14" s="2" t="b">
        <v>1</v>
      </c>
      <c r="AM14" s="3">
        <f>HYPERLINK("https://engineering.purdue.edu/ME/People/ptFaculty", "https://engineering.purdue.edu/ME/People/ptFaculty")</f>
        <v/>
      </c>
    </row>
    <row r="15">
      <c r="A15" s="2" t="inlineStr">
        <is>
          <t>Daniel Guildenbecher</t>
        </is>
      </c>
      <c r="B15" s="2" t="inlineStr">
        <is>
          <t>Purdue University</t>
        </is>
      </c>
      <c r="C15" s="3">
        <f>HYPERLINK("https://engineering.purdue.edu/ME/People/ptProfile?resource_id=281457", "https://engineering.purdue.edu/ME/People/ptProfile?resource_id=281457")</f>
        <v/>
      </c>
      <c r="D15" s="3">
        <f>HYPERLINK("https://scholar.google.com/citations?view_op=search_authors&amp;mauthors=Daniel%20Guildenbecher%20Purdue%20University", "Google Scholar Search")</f>
        <v/>
      </c>
      <c r="E15" s="2" t="inlineStr">
        <is>
          <t>Associate Professor of Mechanical Engineering</t>
        </is>
      </c>
      <c r="F15" s="2" t="inlineStr">
        <is>
          <t>Mechanical Engineering</t>
        </is>
      </c>
      <c r="G15" s="2" t="inlineStr"/>
      <c r="H15" s="3">
        <f>HYPERLINK("mailto:dguilden@purdue.edu", "dguilden@purdue.edu")</f>
        <v/>
      </c>
      <c r="I15" s="2" t="n">
        <v>1</v>
      </c>
      <c r="J15" s="2" t="inlineStr">
        <is>
          <t>🔵 Tier 1: Core Aero / Fluids / Propulsion</t>
        </is>
      </c>
      <c r="K15" s="2" t="n">
        <v>6</v>
      </c>
      <c r="L15" s="2" t="inlineStr">
        <is>
          <t>combustion, fluid mechanics, hydrodynamics, materials, multiphase flow, thermodynamics</t>
        </is>
      </c>
      <c r="M15" s="2" t="inlineStr"/>
      <c r="N15" s="2" t="inlineStr"/>
      <c r="O15" s="2" t="inlineStr"/>
      <c r="P15" s="2" t="inlineStr"/>
      <c r="Q15" s="2" t="inlineStr"/>
      <c r="R15" s="2" t="inlineStr">
        <is>
          <t>"Direct burn rate measurement of levitated aluminum particles by digital holography" [Combustion and Flame] (2026) [DOI: https://doi.org/10.1016/j.combustflame.2026.115159] | "Corrections for accurate measurements of particle extinction in scattering media using collimated and diffuse illumination" [Optics Express] (2026) [DOI: https://doi.org/10.1364/oe.591768] | "KHz rate 3D white light particle tracking with a tunable acoustic gradient (TAG) lens" [Optics Express] (2026) [DOI: https://doi.org/10.1364/oe.588303]</t>
        </is>
      </c>
      <c r="S15" s="2" t="inlineStr">
        <is>
          <t>"Secondary atomization" [Experiments in Fluids] (2009, 621 cites) [DOI: https://doi.org/10.1007/s00348-008-0593-2] | "Study of aluminum particle combustion in solid propellant plumes using digital in-line holography and imaging pyrometry" [Combustion and Flame] (2017, 244 cites) [DOI: https://doi.org/10.1016/j.combustflame.2017.04.016] | "Experimental statistics of droplet trajectory and air flow during aerodynamic fragmentation of liquid drops" [International Journal of Multiphase Flow] (2012, 141 cites) [DOI: https://doi.org/10.1016/j.ijmultiphaseflow.2012.06.008]</t>
        </is>
      </c>
      <c r="T15" s="2" t="inlineStr"/>
      <c r="U15" s="2" t="inlineStr">
        <is>
          <t>Outstanding Mechanical Engineers Distinguished Engineering Alumni Honorary Doctorates Staff Awards Student Awards Distinguished...</t>
        </is>
      </c>
      <c r="V15" s="2" t="inlineStr">
        <is>
          <t>Phone: +1 (765) 494-3975 Email: future-engineers@purdue.edu | Phone: +1 (765) 494-4873 Email: EngrGrad@purdue.edu</t>
        </is>
      </c>
      <c r="W15" s="2" t="inlineStr">
        <is>
          <t>Fluid Dynamics and Heat Transfer (42) | Digital Holography and Microscopy (40) | Energetic Materials and Combustion (38)</t>
        </is>
      </c>
      <c r="X15" s="2" t="inlineStr">
        <is>
          <t>Fluid Dynamics and Heat Transfer (42) | Digital Holography and Microscopy (40) | Energetic Materials and Combustion (38)</t>
        </is>
      </c>
      <c r="Y15" s="2" t="inlineStr">
        <is>
          <t>Multiphase flows Laser and high-speed imaging diagnostics Energetic materials (e.g., explosives &amp; propellants) hydrodynamics, combustion, and model validation Sprays and atomization High-speed fluid mechanics</t>
        </is>
      </c>
      <c r="Z15" s="2" t="inlineStr">
        <is>
          <t>Thermodynamics Fluid Mechanics</t>
        </is>
      </c>
      <c r="AA15" s="2" t="inlineStr">
        <is>
          <t>Thermodynamics Fluid Mechanics</t>
        </is>
      </c>
      <c r="AB15" s="2" t="inlineStr">
        <is>
          <t>B.S. in Mechanical Engineering, Purdue University, 2006 Ph.D. in Mechanical Engineering, Purdue University, 2009</t>
        </is>
      </c>
      <c r="AC15" s="2" t="inlineStr">
        <is>
          <t>Guildenbecher Research Group</t>
        </is>
      </c>
      <c r="AD15" s="3">
        <f>HYPERLINK("https://engineering.purdue.edu/GuildenbecherLab", "https://engineering.purdue.edu/GuildenbecherLab")</f>
        <v/>
      </c>
      <c r="AE15" s="2" t="inlineStr">
        <is>
          <t>For You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 |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t>
        </is>
      </c>
      <c r="AF15" s="2" t="inlineStr"/>
      <c r="AG15" s="2" t="inlineStr"/>
      <c r="AH15" s="2" t="inlineStr">
        <is>
          <t>DOE</t>
        </is>
      </c>
      <c r="AI15" s="2" t="inlineStr"/>
      <c r="AJ15" s="2" t="inlineStr"/>
      <c r="AK15" s="2" t="inlineStr"/>
      <c r="AL15" s="2" t="b">
        <v>1</v>
      </c>
      <c r="AM15" s="3">
        <f>HYPERLINK("https://engineering.purdue.edu/ME/People/ptFaculty", "https://engineering.purdue.edu/ME/People/ptFaculty")</f>
        <v/>
      </c>
    </row>
    <row r="16">
      <c r="A16" s="2" t="inlineStr">
        <is>
          <t>John Mullin</t>
        </is>
      </c>
      <c r="B16" s="2" t="inlineStr">
        <is>
          <t>Purdue University</t>
        </is>
      </c>
      <c r="C16" s="3">
        <f>HYPERLINK("https://engineering.purdue.edu/AAE/people/ptProfile?resource_id=339087", "https://engineering.purdue.edu/AAE/people/ptProfile?resource_id=339087")</f>
        <v/>
      </c>
      <c r="D16" s="3">
        <f>HYPERLINK("https://scholar.google.com/citations?view_op=search_authors&amp;mauthors=John%20Mullin%20Purdue%20University", "Google Scholar Search")</f>
        <v/>
      </c>
      <c r="E16" s="2" t="inlineStr">
        <is>
          <t>Associate Professor Of Engineering Practice</t>
        </is>
      </c>
      <c r="F16" s="2" t="inlineStr">
        <is>
          <t>Aeronautics and Astronautics</t>
        </is>
      </c>
      <c r="G16" s="2" t="inlineStr"/>
      <c r="H16" s="3">
        <f>HYPERLINK("mailto:webmaster-eng@purdue.edu", "webmaster-eng@purdue.edu")</f>
        <v/>
      </c>
      <c r="I16" s="2" t="n">
        <v>1</v>
      </c>
      <c r="J16" s="2" t="inlineStr">
        <is>
          <t>🔵 Tier 1: Core Aero / Fluids / Propulsion</t>
        </is>
      </c>
      <c r="K16" s="2" t="n">
        <v>6</v>
      </c>
      <c r="L16" s="2" t="inlineStr">
        <is>
          <t>aerodynamics, aerospace, fluid dynamics, reacting flow, satellite, turbulence</t>
        </is>
      </c>
      <c r="M16" s="2" t="inlineStr"/>
      <c r="N16" s="2" t="inlineStr"/>
      <c r="O16" s="2" t="inlineStr"/>
      <c r="P16" s="2" t="inlineStr"/>
      <c r="Q16" s="2" t="inlineStr"/>
      <c r="R16" s="2" t="inlineStr"/>
      <c r="S16" s="2" t="inlineStr">
        <is>
          <t>"Interpretation of crystallization induction periods" [Journal of Colloid and Interface Science] (1988, 390 cites) [DOI: https://doi.org/10.1016/0021-9797(88)90219-6] | "Precipitation of calcium carbonate" [Journal of Crystal Growth] (1982, 328 cites) [DOI: https://doi.org/10.1016/0022-0248(82)90095-1] | "Recrystallization" [Elsevier eBooks] (2001, 317 cites) [DOI: https://doi.org/10.1016/b978-075064833-2/50009-7]</t>
        </is>
      </c>
      <c r="T16" s="2" t="inlineStr"/>
      <c r="U16" s="2" t="inlineStr">
        <is>
          <t>NGAS Executive Leadership Program, 2025 NGC Global Capture Program, 2024 USC Leadership Certificate, 2010 NGAS President Award ...</t>
        </is>
      </c>
      <c r="V16" s="2" t="inlineStr"/>
      <c r="W16" s="2" t="inlineStr">
        <is>
          <t>Crystallization and Solubility Studies (76) | Chemical and Physical Properties in Aqueous Solutions (23) | nanoparticles nucleation surface interactions (22)</t>
        </is>
      </c>
      <c r="X16" s="2" t="inlineStr">
        <is>
          <t>Crystallization and Solubility Studies (76) | Chemical and Physical Properties in Aqueous Solutions (23) | nanoparticles nucleation surface interactions (22)</t>
        </is>
      </c>
      <c r="Y16" s="2" t="inlineStr">
        <is>
          <t>Aerospace Systems and Design; Aerodynamics Worked on the Airborne Laser Program, JWST MIRI Cyrocooler, Next Gen Polar Missile Warning Satellite, Strike Aircraft, VTOL Aircraft and Collaborative Combat Aircraft</t>
        </is>
      </c>
      <c r="Z16" s="2" t="inlineStr">
        <is>
          <t>Fluid dynamics, turbulence, reacting and non-reacting flows Aerospace and Defense Industry and Education Curriculum</t>
        </is>
      </c>
      <c r="AA16" s="2" t="inlineStr">
        <is>
          <t>Fluid dynamics, turbulence, reacting and non-reacting flows Aerospace and Defense Industry and Education Curriculum</t>
        </is>
      </c>
      <c r="AB16" s="2" t="inlineStr">
        <is>
          <t>MS &amp; PhD, Aerospace Engineering, University Michigan, 2004 BS, Aerospace Engineering, University of Southern California, 1995</t>
        </is>
      </c>
      <c r="AC16" s="2" t="inlineStr">
        <is>
          <t>Indiana Space Grant Consortium</t>
        </is>
      </c>
      <c r="AD16" s="3">
        <f>HYPERLINK("https://insgc.spacegrant.org/", "https://insgc.spacegrant.org/")</f>
        <v/>
      </c>
      <c r="AE16" s="2" t="inlineStr">
        <is>
          <t>Academic INSGC Internships</t>
        </is>
      </c>
      <c r="AF16" s="2" t="inlineStr"/>
      <c r="AG16" s="2" t="inlineStr"/>
      <c r="AH16" s="2" t="inlineStr">
        <is>
          <t>NASA</t>
        </is>
      </c>
      <c r="AI16" s="2" t="inlineStr"/>
      <c r="AJ16" s="2" t="inlineStr"/>
      <c r="AK16" s="2" t="inlineStr">
        <is>
          <t>ARMS 3211</t>
        </is>
      </c>
      <c r="AL16" s="2" t="b">
        <v>1</v>
      </c>
      <c r="AM16" s="3">
        <f>HYPERLINK("https://engineering.purdue.edu/AAE/people/Faculty", "https://engineering.purdue.edu/AAE/people/Faculty")</f>
        <v/>
      </c>
    </row>
    <row r="17">
      <c r="A17" s="2" t="inlineStr">
        <is>
          <t>Luciano Castillo</t>
        </is>
      </c>
      <c r="B17" s="2" t="inlineStr">
        <is>
          <t>Purdue University</t>
        </is>
      </c>
      <c r="C17" s="3">
        <f>HYPERLINK("https://engineering.purdue.edu/ME/People/ptProfile?resource_id=173054", "https://engineering.purdue.edu/ME/People/ptProfile?resource_id=173054")</f>
        <v/>
      </c>
      <c r="D17" s="3">
        <f>HYPERLINK("https://scholar.google.com/citations?view_op=search_authors&amp;mauthors=Luciano%20Castillo%20Purdue%20University", "Google Scholar Search")</f>
        <v/>
      </c>
      <c r="E17" s="2" t="inlineStr">
        <is>
          <t>Kenninger Professor of Renewable Energy and Power Systems</t>
        </is>
      </c>
      <c r="F17" s="2" t="inlineStr">
        <is>
          <t>Mechanical Engineering</t>
        </is>
      </c>
      <c r="G17" s="2" t="inlineStr"/>
      <c r="H17" s="3">
        <f>HYPERLINK("mailto:lcastillo@purdue.edu", "lcastillo@purdue.edu")</f>
        <v/>
      </c>
      <c r="I17" s="2" t="n">
        <v>1</v>
      </c>
      <c r="J17" s="2" t="inlineStr">
        <is>
          <t>🔵 Tier 1: Core Aero / Fluids / Propulsion</t>
        </is>
      </c>
      <c r="K17" s="2" t="n">
        <v>6</v>
      </c>
      <c r="L17" s="2" t="inlineStr">
        <is>
          <t>boundary layer, fluid mechanics, thermal, thermodynamics, turbulence, turbulent</t>
        </is>
      </c>
      <c r="M17" s="2" t="inlineStr"/>
      <c r="N17" s="2" t="inlineStr"/>
      <c r="O17" s="2" t="inlineStr"/>
      <c r="P17" s="2" t="inlineStr"/>
      <c r="Q17" s="2" t="inlineStr"/>
      <c r="R17" s="2" t="inlineStr">
        <is>
          <t>"Polluted-Air Direct Capture Using a $$\textrm{CO}_2$$ Liquid Filter" (2026) [DOI: https://doi.org/10.1007/978-3-032-07974-9_3] | "Quantification Methodology of Offshore and Onshore Sargassum in Eastern Puerto Rico" (2026) [DOI: https://doi.org/10.1007/978-3-032-07974-9_31] | "Building Future Engineers: Students’ Engagement with the Engineering Design Process" (2026) [DOI: https://doi.org/10.1007/978-3-032-07974-9_39]</t>
        </is>
      </c>
      <c r="S17" s="2" t="inlineStr">
        <is>
          <t>"Zero-Pressure-Gradient Turbulent Boundary Layer" [Applied Mechanics Reviews] (1997, 390 cites) [DOI: https://doi.org/10.1115/1.3101858] | "Experimental study of the horizontally averaged flow structure in a model wind-turbine array boundary layer" [Journal of Renewable and Sustainable Energy] (2010, 356 cites) [DOI: https://doi.org/10.1063/1.3289735] | "Unrestricted wind farm layout optimization (UWFLO): Investigating key factors influencing the maximum power generation" [Renewable Energy] (2011, 339 cites) [DOI: https://doi.org/10.1016/j.renene.2011.06.033]</t>
        </is>
      </c>
      <c r="T17" s="2" t="inlineStr"/>
      <c r="U17" s="2" t="inlineStr">
        <is>
          <t>Outstanding Mechanical Engineers Distinguished Engineering Alumni Honorary Doctorates Staff Awards Student Awards Distinguished...</t>
        </is>
      </c>
      <c r="V17" s="2" t="inlineStr"/>
      <c r="W17" s="2" t="inlineStr">
        <is>
          <t>Fluid Dynamics and Turbulent Flows (199) | Wind and Air Flow Studies (116) | Heat Transfer Mechanisms (72)</t>
        </is>
      </c>
      <c r="X17" s="2" t="inlineStr">
        <is>
          <t>Fluid Dynamics and Turbulent Flows (199) | Wind and Air Flow Studies (116) | Heat Transfer Mechanisms (72)</t>
        </is>
      </c>
      <c r="Y17" s="2" t="inlineStr">
        <is>
          <t>Modeling, Experiments and Simulations of turbulent boundary layers: role of initial conditions and bio-inspired micro-surfaces on evolution of velocity/thermal fields. Importance of turbulence and complex topography on wind energy. Integration of renewable with water and thermal storage. Translational research focus on renewable energy &amp; society Wall interaction (e.g., bio-inspired micro surfaces) in respiratory flows Big data in turbulence, renewable energy and biomedical engineering. Energy and social equality</t>
        </is>
      </c>
      <c r="Z17" s="2" t="inlineStr">
        <is>
          <t>Thermodynamics Fluid Mechanics Heat &amp; Mass Transfer</t>
        </is>
      </c>
      <c r="AA17" s="2" t="inlineStr">
        <is>
          <t>Thermodynamics Fluid Mechanics Heat &amp; Mass Transfer</t>
        </is>
      </c>
      <c r="AB17" s="2" t="inlineStr"/>
      <c r="AC17" s="2" t="inlineStr">
        <is>
          <t>Blue Integrated Partnerships</t>
        </is>
      </c>
      <c r="AD17" s="3">
        <f>HYPERLINK("https://blueintegratedpartners.org/", "https://blueintegratedpartners.org/")</f>
        <v/>
      </c>
      <c r="AE17" s="2" t="inlineStr"/>
      <c r="AF17" s="2" t="inlineStr"/>
      <c r="AG17" s="2" t="inlineStr">
        <is>
          <t>Cluster</t>
        </is>
      </c>
      <c r="AH17" s="2" t="inlineStr"/>
      <c r="AI17" s="2" t="inlineStr"/>
      <c r="AJ17" s="2" t="inlineStr"/>
      <c r="AK17" s="2" t="inlineStr"/>
      <c r="AL17" s="2" t="b">
        <v>1</v>
      </c>
      <c r="AM17" s="3">
        <f>HYPERLINK("https://engineering.purdue.edu/ME/People/ptFaculty", "https://engineering.purdue.edu/ME/People/ptFaculty")</f>
        <v/>
      </c>
    </row>
    <row r="18">
      <c r="A18" s="2" t="inlineStr">
        <is>
          <t>Robert Lucht</t>
        </is>
      </c>
      <c r="B18" s="2" t="inlineStr">
        <is>
          <t>Purdue University</t>
        </is>
      </c>
      <c r="C18" s="3">
        <f>HYPERLINK("https://engineering.purdue.edu/AAE/people/ptProfile?resource_id=28413", "https://engineering.purdue.edu/AAE/people/ptProfile?resource_id=28413")</f>
        <v/>
      </c>
      <c r="D18" s="3">
        <f>HYPERLINK("https://scholar.google.com/citations?view_op=search_authors&amp;mauthors=Robert%20Lucht%20Purdue%20University", "Google Scholar Search")</f>
        <v/>
      </c>
      <c r="E18" s="2" t="inlineStr">
        <is>
          <t>Ralph and Bettye Bailey Distinguished Professor of Mechanical Engineering</t>
        </is>
      </c>
      <c r="F18" s="2" t="inlineStr">
        <is>
          <t>Aeronautics and Astronautics</t>
        </is>
      </c>
      <c r="G18" s="2" t="inlineStr"/>
      <c r="H18" s="3">
        <f>HYPERLINK("mailto:lucht@purdue.edu", "lucht@purdue.edu")</f>
        <v/>
      </c>
      <c r="I18" s="2" t="n">
        <v>1</v>
      </c>
      <c r="J18" s="2" t="inlineStr">
        <is>
          <t>🔵 Tier 1: Core Aero / Fluids / Propulsion</t>
        </is>
      </c>
      <c r="K18" s="2" t="n">
        <v>6</v>
      </c>
      <c r="L18" s="2" t="inlineStr">
        <is>
          <t>combustion, fluid mechanics, heat transfer, materials, propulsion, thermodynamics</t>
        </is>
      </c>
      <c r="M18" s="2" t="inlineStr"/>
      <c r="N18" s="2" t="inlineStr"/>
      <c r="O18" s="2" t="inlineStr"/>
      <c r="P18" s="2" t="inlineStr"/>
      <c r="Q18" s="2" t="inlineStr"/>
      <c r="R18" s="2" t="inlineStr">
        <is>
          <t>"Coherent Stokes Raman Scattering for Simultaneous Measurement of CO 2 and CH 4 Temperatures" [Journal of Raman Spectroscopy] (2026) [DOI: https://doi.org/10.1002/jrs.70176] | "One-dimensional time-resolved single-shot femtosecond coherent anti-Stokes Raman scattering thermometry in reacting thermal gradients" [Applied Optics] (2026) [DOI: https://doi.org/10.1364/ao.583207] | "Methodology for Unsteady Exhaust Emissions Characterization in High-Pressure Hydrogen–Ammonia–Methane Flames" (2026) [DOI: https://doi.org/10.2514/6.2026-1621]</t>
        </is>
      </c>
      <c r="S18" s="2" t="inlineStr">
        <is>
          <t>"Nitrogen and hydrogen CARS temperature measurements in a hydrogen/air flame using a near-adiabatic flat-flame burner" [Combustion and Flame] (1997, 191 cites) [DOI: https://doi.org/10.1016/s0010-2180(96)00191-5] | "Mixing of a Sonic Transverse Jet Injected into a Supersonic Flow" [AIAA Journal] (2000, 179 cites) [DOI: https://doi.org/10.2514/2.984] | "Label-Free Bond-Selective Imaging by Listening to Vibrationally Excited Molecules" [Physical Review Letters] (2011, 167 cites) [DOI: https://doi.org/10.1103/physrevlett.106.238106]</t>
        </is>
      </c>
      <c r="T18" s="2" t="inlineStr"/>
      <c r="U18" s="2" t="inlineStr"/>
      <c r="V18" s="2" t="inlineStr"/>
      <c r="W18" s="2" t="inlineStr">
        <is>
          <t>Combustion and flame dynamics (241) | Spectroscopy and Laser Applications (186) | Advanced Combustion Engine Technologies (114)</t>
        </is>
      </c>
      <c r="X18" s="2" t="inlineStr">
        <is>
          <t>Combustion and flame dynamics (241) | Spectroscopy and Laser Applications (186) | Advanced Combustion Engine Technologies (114)</t>
        </is>
      </c>
      <c r="Y18" s="2" t="inlineStr">
        <is>
          <t>Laser diagnostics Diode-laser-based sensors Gas turbine and internal engine combustion Materials processing and synthesis Combustion science Fluid mechanics and heat transfer</t>
        </is>
      </c>
      <c r="Z18" s="2" t="inlineStr">
        <is>
          <t>Combustion, Energy Utilization, and Thermodynamics Fluid Mechanics &amp; Propulsion Systems, Measurement, and Control Research Links Personal Homepage Faculty Research Presentation Edit var myPronunciation=document.getElementById("pronunciation");
    function play() {
    myPronunciation.play();
    }
    function pause() {
    myPronunciation.pause();
    }</t>
        </is>
      </c>
      <c r="AA18" s="2" t="inlineStr">
        <is>
          <t>Combustion, Energy Utilization, and Thermodynamics Fluid Mechanics &amp; Propulsion Systems, Measurement, and Control Research Links Personal Homepage Faculty Research Presentation Edit var myPronunciation=document.getElementById("pronunciation");
    function play() {
    myPronunciation.play();
    }
    function pause() {
    myPronunciation.pause();
    }</t>
        </is>
      </c>
      <c r="AB18" s="2" t="inlineStr">
        <is>
          <t>Ph.D., Purdue, 1981 M.S., Purdue, 1979 B.S., Purdue, 1977</t>
        </is>
      </c>
      <c r="AC18" s="2" t="inlineStr">
        <is>
          <t>Indiana Space Grant Consortium</t>
        </is>
      </c>
      <c r="AD18" s="3">
        <f>HYPERLINK("https://insgc.spacegrant.org/", "https://insgc.spacegrant.org/")</f>
        <v/>
      </c>
      <c r="AE18" s="2" t="inlineStr">
        <is>
          <t>Academic INSGC Internships</t>
        </is>
      </c>
      <c r="AF18" s="2" t="inlineStr"/>
      <c r="AG18" s="2" t="inlineStr"/>
      <c r="AH18" s="2" t="inlineStr">
        <is>
          <t>NASA</t>
        </is>
      </c>
      <c r="AI18" s="2" t="inlineStr"/>
      <c r="AJ18" s="2" t="inlineStr"/>
      <c r="AK18" s="2" t="inlineStr"/>
      <c r="AL18" s="2" t="b">
        <v>1</v>
      </c>
      <c r="AM18" s="3">
        <f>HYPERLINK("https://engineering.purdue.edu/AAE/people/Faculty", "https://engineering.purdue.edu/AAE/people/Faculty")</f>
        <v/>
      </c>
    </row>
    <row r="19">
      <c r="A19" s="2" t="inlineStr">
        <is>
          <t>Sadegh Dabiri</t>
        </is>
      </c>
      <c r="B19" s="2" t="inlineStr">
        <is>
          <t>Purdue University</t>
        </is>
      </c>
      <c r="C19" s="3">
        <f>HYPERLINK("https://engineering.purdue.edu/ME/People/ptProfile?resource_id=105717", "https://engineering.purdue.edu/ME/People/ptProfile?resource_id=105717")</f>
        <v/>
      </c>
      <c r="D19" s="3">
        <f>HYPERLINK("https://scholar.google.com/citations?view_op=search_authors&amp;mauthors=Sadegh%20Dabiri%20Purdue%20University", "Google Scholar Search")</f>
        <v/>
      </c>
      <c r="E19" s="2" t="inlineStr">
        <is>
          <t>Associate Professor of Agricultural and Biological Engineering, and Mechanical Engineering</t>
        </is>
      </c>
      <c r="F19" s="2" t="inlineStr">
        <is>
          <t>Mechanical Engineering</t>
        </is>
      </c>
      <c r="G19" s="2" t="inlineStr"/>
      <c r="H19" s="3">
        <f>HYPERLINK("mailto:dabiri@purdue.edu", "dabiri@purdue.edu")</f>
        <v/>
      </c>
      <c r="I19" s="2" t="n">
        <v>1</v>
      </c>
      <c r="J19" s="2" t="inlineStr">
        <is>
          <t>🔵 Tier 1: Core Aero / Fluids / Propulsion</t>
        </is>
      </c>
      <c r="K19" s="2" t="n">
        <v>6</v>
      </c>
      <c r="L19" s="2" t="inlineStr">
        <is>
          <t>aerospace, cfd, fluid mechanics, heat transfer, multiphase flow, turbulent</t>
        </is>
      </c>
      <c r="M19" s="2" t="inlineStr"/>
      <c r="N19" s="2" t="inlineStr"/>
      <c r="O19" s="2" t="inlineStr"/>
      <c r="P19" s="2" t="inlineStr"/>
      <c r="Q19" s="2" t="inlineStr"/>
      <c r="R19" s="2" t="inlineStr">
        <is>
          <t>"Raman microscopy and FTIR spectroscopy of protein-attached chromatography resins for process analytical technology (PAT)" [ChemRxiv] (2026) [DOI: https://doi.org/10.26434/chemrxiv.15001003/v1] | "Perivascular interactions and tissue properties modulate directional glymphatic transport in the brain" [Fluids and Barriers of the CNS] (2025) [DOI: https://doi.org/10.1186/s12987-025-00668-3] | "An arbitrary Lagrangian discrete least squares meshfree method for discontinuity capturing with application in the Saint–Venant equations" [Engineering With Computers] (2025) [DOI: https://doi.org/10.1007/s00366-025-02140-0]</t>
        </is>
      </c>
      <c r="S19" s="2" t="inlineStr">
        <is>
          <t>"Fully resolved numerical simulations of fused deposition modeling. Part I: fluid flow" [Rapid Prototyping Journal] (2018, 138 cites) [DOI: https://doi.org/10.1108/rpj-12-2016-0217] | "A model for a laser-induced cavitation bubble" [International Journal of Multiphase Flow] (2020, 96 cites) [DOI: https://doi.org/10.1016/j.ijmultiphaseflow.2020.103433] | "Cavitation in an orifice flow" [Physics of Fluids] (2007, 75 cites) [DOI: https://doi.org/10.1063/1.2750655]</t>
        </is>
      </c>
      <c r="T19" s="2" t="inlineStr"/>
      <c r="U19" s="2" t="inlineStr">
        <is>
          <t>Outstanding Mechanical Engineers Distinguished Engineering Alumni Honorary Doctorates Staff Awards Student Awards Distinguished...</t>
        </is>
      </c>
      <c r="V19" s="2" t="inlineStr"/>
      <c r="W19" s="2" t="inlineStr">
        <is>
          <t>Fluid Dynamics and Mixing (31) | Fluid Dynamics and Heat Transfer (29) | Particle Dynamics in Fluid Flows (11)</t>
        </is>
      </c>
      <c r="X19" s="2" t="inlineStr">
        <is>
          <t>Fluid Dynamics and Mixing (31) | Fluid Dynamics and Heat Transfer (29) | Particle Dynamics in Fluid Flows (11)</t>
        </is>
      </c>
      <c r="Y19" s="2" t="inlineStr">
        <is>
          <t>CFD of multiphase flows Turbulent gas-liquid flows Cavitation Heat transfer</t>
        </is>
      </c>
      <c r="Z19" s="2" t="inlineStr">
        <is>
          <t>Fluid Mechanics Heat &amp; Mass Transfer</t>
        </is>
      </c>
      <c r="AA19" s="2" t="inlineStr">
        <is>
          <t>Fluid Mechanics Heat &amp; Mass Transfer</t>
        </is>
      </c>
      <c r="AB19" s="2" t="inlineStr">
        <is>
          <t>Postdoctoral Associate, Mechanical Eng., MIT, '09-'10 Ph.D. Aerospace and Mechanical Eng., UC Irvine,  '09 M.Sc. Aerospace and Mechanical Eng., UC Irvine,  '05 B.Sc. Mechanical Eng., Sharif University of Technology, Iran, '03</t>
        </is>
      </c>
      <c r="AC19" s="2" t="inlineStr">
        <is>
          <t>Personal Homepage</t>
        </is>
      </c>
      <c r="AD19" s="3">
        <f>HYPERLINK("http://web.ics.purdue.edu/~sdabiris/", "http://web.ics.purdue.edu/~sdabiris/")</f>
        <v/>
      </c>
      <c r="AE19" s="2" t="inlineStr"/>
      <c r="AF19" s="2" t="inlineStr"/>
      <c r="AG19" s="2" t="inlineStr"/>
      <c r="AH19" s="2" t="inlineStr"/>
      <c r="AI19" s="2" t="inlineStr"/>
      <c r="AJ19" s="2" t="inlineStr"/>
      <c r="AK19" s="2" t="inlineStr"/>
      <c r="AL19" s="2" t="b">
        <v>1</v>
      </c>
      <c r="AM19" s="3">
        <f>HYPERLINK("https://engineering.purdue.edu/ME/People/ptFaculty", "https://engineering.purdue.edu/ME/People/ptFaculty")</f>
        <v/>
      </c>
    </row>
    <row r="20">
      <c r="A20" s="2" t="inlineStr">
        <is>
          <t>Tom Shih</t>
        </is>
      </c>
      <c r="B20" s="2" t="inlineStr">
        <is>
          <t>Purdue University</t>
        </is>
      </c>
      <c r="C20" s="3">
        <f>HYPERLINK("https://engineering.purdue.edu/AAE/people/ptProfile?resource_id=56893", "https://engineering.purdue.edu/AAE/people/ptProfile?resource_id=56893")</f>
        <v/>
      </c>
      <c r="D20" s="3">
        <f>HYPERLINK("https://scholar.google.com/citations?view_op=search_authors&amp;mauthors=Tom%20Shih%20Purdue%20University", "Google Scholar Search")</f>
        <v/>
      </c>
      <c r="E20" s="2" t="inlineStr">
        <is>
          <t>Professor of Aeronautics and Astronautics</t>
        </is>
      </c>
      <c r="F20" s="2" t="inlineStr">
        <is>
          <t>Aeronautics and Astronautics</t>
        </is>
      </c>
      <c r="G20" s="2" t="inlineStr"/>
      <c r="H20" s="3">
        <f>HYPERLINK("mailto:tomshih@purdue.edu", "tomshih@purdue.edu")</f>
        <v/>
      </c>
      <c r="I20" s="2" t="n">
        <v>1</v>
      </c>
      <c r="J20" s="2" t="inlineStr">
        <is>
          <t>🔵 Tier 1: Core Aero / Fluids / Propulsion</t>
        </is>
      </c>
      <c r="K20" s="2" t="n">
        <v>6</v>
      </c>
      <c r="L20" s="2" t="inlineStr">
        <is>
          <t>cfd, computational fluid dynamics, estimation, fluid dynamics, heat transfer, thermal</t>
        </is>
      </c>
      <c r="M20" s="2" t="inlineStr"/>
      <c r="N20" s="2" t="inlineStr"/>
      <c r="O20" s="2" t="inlineStr"/>
      <c r="P20" s="2" t="inlineStr"/>
      <c r="Q20" s="2" t="inlineStr"/>
      <c r="R20" s="2" t="inlineStr">
        <is>
          <t>"Outflow Boundary Conditions for Turbine-Integrated Rotating Detonation Combustors" [Applied Sciences] (2025) [DOI: https://doi.org/10.3390/app152211922] | "Revisiting Dimensionless Parameters Quantifying Film Cooling" [Journal of Turbomachinery] (2025) [DOI: https://doi.org/10.1115/1.4067931] | "Flow and Heat Transfer in a Ribbed Converging-Diverging U-Duct Under Rotating and Non-Rotating Conditions" [Journal of Turbomachinery] (2024) [DOI: https://doi.org/10.1115/1.4066567]</t>
        </is>
      </c>
      <c r="S20" s="2" t="inlineStr">
        <is>
          <t>"Mechanics of Fluids" [Medical Entomology and Zoology] (2012, 189 cites) [DOI: http://ci.nii.ac.jp/ncid/BA12971383] | "Single-phase and Two-phase Flow and Heat Transfer in Microchannel Heat Sink with Various Manifold Arrangements" [International Journal of Heat and Mass Transfer] (2021, 162 cites) [DOI: https://doi.org/10.1016/j.ijheatmasstransfer.2021.121118] | "Large-Eddy Simulations of Turbulent Flows in an Axisymmetric Dump Combustor" [AIAA Journal] (2008, 58 cites) [DOI: https://doi.org/10.2514/1.25467]</t>
        </is>
      </c>
      <c r="T20" s="2" t="inlineStr"/>
      <c r="U20" s="2" t="inlineStr">
        <is>
          <t>Honors Fellow, American Society of Mechanical Engineers (ASME) Fellow, American Institute of Aeronautics and Astronautics (AIAA...</t>
        </is>
      </c>
      <c r="V20" s="2" t="inlineStr"/>
      <c r="W20" s="2" t="inlineStr">
        <is>
          <t>Fluid Dynamics and Turbulent Flows (50) | Heat Transfer Mechanisms (45) | Computational Fluid Dynamics and Aerodynamics (33)</t>
        </is>
      </c>
      <c r="X20" s="2" t="inlineStr">
        <is>
          <t>Fluid Dynamics and Turbulent Flows (50) | Heat Transfer Mechanisms (45) | Computational Fluid Dynamics and Aerodynamics (33)</t>
        </is>
      </c>
      <c r="Y20" s="2" t="inlineStr">
        <is>
          <t>computational fluid dynamics and heat transfer, error estimation in CFD, thermal management, gas turbine aero-thermal, control of shock-wave/boundary-layer interactions, aircraft icing</t>
        </is>
      </c>
      <c r="Z20" s="2" t="inlineStr"/>
      <c r="AA20" s="2" t="inlineStr">
        <is>
          <t>computational fluid dynamics and heat transfer, error estimation in CFD, thermal management, gas turbine aero-thermal, control of shock-wave/boundary-layer interactions, aircraft icing</t>
        </is>
      </c>
      <c r="AB20" s="2" t="inlineStr">
        <is>
          <t>Freshman Year, West Virginia University, 1971-72 B.S.E., National Cheng Kung University, 1976 M.S.E., The University of Michigan, 1977 Ph.D., The University of Michigan, 1981</t>
        </is>
      </c>
      <c r="AC20" s="2" t="inlineStr">
        <is>
          <t>Indiana Space Grant Consortium</t>
        </is>
      </c>
      <c r="AD20" s="3">
        <f>HYPERLINK("https://insgc.spacegrant.org/", "https://insgc.spacegrant.org/")</f>
        <v/>
      </c>
      <c r="AE20" s="2" t="inlineStr">
        <is>
          <t>Academic INSGC Internships</t>
        </is>
      </c>
      <c r="AF20" s="2" t="inlineStr"/>
      <c r="AG20" s="2" t="inlineStr"/>
      <c r="AH20" s="2" t="inlineStr">
        <is>
          <t>NASA</t>
        </is>
      </c>
      <c r="AI20" s="2" t="inlineStr"/>
      <c r="AJ20" s="2" t="inlineStr"/>
      <c r="AK20" s="2" t="inlineStr">
        <is>
          <t>ARMS 3307</t>
        </is>
      </c>
      <c r="AL20" s="2" t="b">
        <v>1</v>
      </c>
      <c r="AM20" s="3">
        <f>HYPERLINK("https://engineering.purdue.edu/AAE/people/Faculty", "https://engineering.purdue.edu/AAE/people/Faculty")</f>
        <v/>
      </c>
    </row>
    <row r="21">
      <c r="A21" s="2" t="inlineStr">
        <is>
          <t>Kyle DeMars</t>
        </is>
      </c>
      <c r="B21" s="2" t="inlineStr">
        <is>
          <t>Purdue University</t>
        </is>
      </c>
      <c r="C21" s="3">
        <f>HYPERLINK("https://engineering.purdue.edu/AAE/people/ptProfile?resource_id=319705", "https://engineering.purdue.edu/AAE/people/ptProfile?resource_id=319705")</f>
        <v/>
      </c>
      <c r="D21" s="3">
        <f>HYPERLINK("https://scholar.google.com/citations?view_op=search_authors&amp;mauthors=Kyle%20DeMars%20Purdue%20University", "Google Scholar Search")</f>
        <v/>
      </c>
      <c r="E21" s="2" t="inlineStr">
        <is>
          <t>Professor</t>
        </is>
      </c>
      <c r="F21" s="2" t="inlineStr">
        <is>
          <t>Aeronautics and Astronautics</t>
        </is>
      </c>
      <c r="G21" s="2" t="inlineStr"/>
      <c r="H21" s="3">
        <f>HYPERLINK("mailto:kdemars@purdue.edu", "kdemars@purdue.edu")</f>
        <v/>
      </c>
      <c r="I21" s="2" t="n">
        <v>1</v>
      </c>
      <c r="J21" s="2" t="inlineStr">
        <is>
          <t>🔵 Tier 1: Core Aero / Fluids / Propulsion</t>
        </is>
      </c>
      <c r="K21" s="2" t="n">
        <v>5</v>
      </c>
      <c r="L21" s="2" t="inlineStr">
        <is>
          <t>aerospace, astrodynamics, autonomous, guidance, navigation</t>
        </is>
      </c>
      <c r="M21" s="2" t="inlineStr"/>
      <c r="N21" s="2" t="inlineStr"/>
      <c r="O21" s="2" t="inlineStr"/>
      <c r="P21" s="2" t="inlineStr"/>
      <c r="Q21" s="2" t="inlineStr"/>
      <c r="R21" s="2" t="inlineStr">
        <is>
          <t>"Cislunar State and Uncertainty Propagation via the Modified Generalized Equinoctial Orbital Elements" [arXiv (Cornell University)] (2026) [DOI: http://arxiv.org/abs/2603.20110]</t>
        </is>
      </c>
      <c r="S21" s="2" t="inlineStr">
        <is>
          <t>"Cislunar State and Uncertainty Propagation via the Modified Generalized Equinoctial Orbital Elements" [arXiv (Cornell University)] (2026, 0 cites) [DOI: http://arxiv.org/abs/2603.20110]</t>
        </is>
      </c>
      <c r="T21" s="2" t="inlineStr"/>
      <c r="U21" s="2" t="inlineStr">
        <is>
          <t>AAS Fellow, 2024 AIAA Associate Fellow, 2021 Chair, AIAA Astrodynamics Technical Committee Associate Editor, Journal of the Ast...</t>
        </is>
      </c>
      <c r="V21" s="2" t="inlineStr"/>
      <c r="W21" s="2" t="inlineStr">
        <is>
          <t>Target Tracking and Data Fusion in Sensor Networks (1) | Spacecraft Dynamics and Control (1) | Space Satellite Systems and Control (1)</t>
        </is>
      </c>
      <c r="X21" s="2" t="inlineStr">
        <is>
          <t>Target Tracking and Data Fusion in Sensor Networks (1) | Spacecraft Dynamics and Control (1) | Space Satellite Systems and Control (1)</t>
        </is>
      </c>
      <c r="Y21" s="2" t="inlineStr"/>
      <c r="Z21" s="2" t="inlineStr">
        <is>
          <t>Space surveillance and space domain awareness; Astrodynamics; Orbit determination; Nonlinear uncertainty prediction; Bayesian filtering; Multitarget tracking; Attitude dynamics, determination, and control; Autonomous navigation, guidance, and control Edit var myPronunciation=document.getElementById("pronunciation");
    function play() {
    myPronunciation.play();
    }
    function pause() {
    myPronunciation.pause();
    }</t>
        </is>
      </c>
      <c r="AA21" s="2" t="inlineStr">
        <is>
          <t>Space surveillance and space domain awareness; Astrodynamics; Orbit determination; Nonlinear uncertainty prediction; Bayesian filtering; Multitarget tracking; Attitude dynamics, determination, and control; Autonomous navigation, guidance, and control Edit var myPronunciation=document.getElementById("pronunciation");
    function play() {
    myPronunciation.play();
    }
    function...</t>
        </is>
      </c>
      <c r="AB21" s="2" t="inlineStr">
        <is>
          <t>Ph.D., The University of Texas at Austin, Aerospace Engineering, 2010 M.S.E., The University of Texas at Austin, Aerospace Engineering, 2007 B.S., The University of Texas at Austin, Aerospace Engineering, 2004</t>
        </is>
      </c>
      <c r="AC21" s="2" t="inlineStr">
        <is>
          <t>Indiana Space Grant Consortium</t>
        </is>
      </c>
      <c r="AD21" s="3">
        <f>HYPERLINK("https://insgc.spacegrant.org/", "https://insgc.spacegrant.org/")</f>
        <v/>
      </c>
      <c r="AE21" s="2" t="inlineStr">
        <is>
          <t>Academic INSGC Internships</t>
        </is>
      </c>
      <c r="AF21" s="2" t="inlineStr"/>
      <c r="AG21" s="2" t="inlineStr"/>
      <c r="AH21" s="2" t="inlineStr">
        <is>
          <t>NASA</t>
        </is>
      </c>
      <c r="AI21" s="2" t="inlineStr"/>
      <c r="AJ21" s="2" t="inlineStr"/>
      <c r="AK21" s="2" t="inlineStr">
        <is>
          <t>ARMS 3223</t>
        </is>
      </c>
      <c r="AL21" s="2" t="b">
        <v>1</v>
      </c>
      <c r="AM21" s="3">
        <f>HYPERLINK("https://engineering.purdue.edu/AAE/people/Faculty", "https://engineering.purdue.edu/AAE/people/Faculty")</f>
        <v/>
      </c>
    </row>
    <row r="22">
      <c r="A22" s="2" t="inlineStr">
        <is>
          <t>Li Qiao</t>
        </is>
      </c>
      <c r="B22" s="2" t="inlineStr">
        <is>
          <t>Purdue University</t>
        </is>
      </c>
      <c r="C22" s="3">
        <f>HYPERLINK("https://engineering.purdue.edu/AAE/people/ptProfile?resource_id=39640", "https://engineering.purdue.edu/AAE/people/ptProfile?resource_id=39640")</f>
        <v/>
      </c>
      <c r="D22" s="3">
        <f>HYPERLINK("https://scholar.google.com/citations?user=yFXFQPYAAAAJ&amp;hl=en", "Scholar (yFXFQPYAAAAJ)")</f>
        <v/>
      </c>
      <c r="E22" s="2" t="inlineStr">
        <is>
          <t>Professor, Associate Head for Engagement and Recognition</t>
        </is>
      </c>
      <c r="F22" s="2" t="inlineStr">
        <is>
          <t>Aeronautics and Astronautics</t>
        </is>
      </c>
      <c r="G22" s="2" t="inlineStr">
        <is>
          <t>yFXFQPYAAAAJ</t>
        </is>
      </c>
      <c r="H22" s="3">
        <f>HYPERLINK("mailto:lqiao@purdue.edu", "lqiao@purdue.edu")</f>
        <v/>
      </c>
      <c r="I22" s="2" t="n">
        <v>1</v>
      </c>
      <c r="J22" s="2" t="inlineStr">
        <is>
          <t>🔵 Tier 1: Core Aero / Fluids / Propulsion</t>
        </is>
      </c>
      <c r="K22" s="2" t="n">
        <v>5</v>
      </c>
      <c r="L22" s="2" t="inlineStr">
        <is>
          <t>aerospace, combustion, drone, propulsion, thermal</t>
        </is>
      </c>
      <c r="M22" s="2" t="inlineStr"/>
      <c r="N22" s="2" t="inlineStr"/>
      <c r="O22" s="2" t="inlineStr"/>
      <c r="P22" s="2" t="inlineStr"/>
      <c r="Q22" s="2" t="inlineStr"/>
      <c r="R22" s="2" t="inlineStr">
        <is>
          <t>"Dual‐Role Zn Engineering Enables Electron Redistribution and Hierarchical Porosity in Co–N 4 Carbon Nanofibers for Efficient Zinc–Air Batteries" [Advanced Functional Materials] (2026) [DOI: https://doi.org/10.1002/adfm.77161] | "Triphasic Bi heterointerfaces drive cycling exceeding 1650 h and high-power zinc-air batteries" [CHINESE JOURNAL OF CATALYSIS (CHINESE VERSION)] (2026) [DOI: https://doi.org/10.1016/s1872-2067(26)65052-8] | "Functional mechanisms of aqueous zinc-ion batteries: advanced materials, in-situ characterizations and theoretic understanding" [Coordination Chemistry Reviews] (2026) [DOI: https://doi.org/10.1016/j.ccr.2026.218262]</t>
        </is>
      </c>
      <c r="S22" s="2" t="inlineStr">
        <is>
          <t>"A review of electrolyte materials and compositions for electrochemical supercapacitors" [Chemical Society Reviews] (2015, 3673 cites) [DOI: https://doi.org/10.1039/c5cs00303b] | "A review of catalysts for the electroreduction of carbon dioxide to produce low-carbon fuels" [Chemical Society Reviews] (2013, 2989 cites) [DOI: https://doi.org/10.1039/c3cs60323g] | "A review of high temperature co-electrolysis of H 2 O and CO 2 to produce sustainable fuels using solid oxide electrolysis cells (SOECs): advanced materials and technology" [Chemical Society Reviews] (2017, 784 cites) [DOI: https://doi.org/10.1039/c6cs00403b]</t>
        </is>
      </c>
      <c r="T22" s="2" t="inlineStr"/>
      <c r="U22" s="2" t="inlineStr">
        <is>
          <t>Fulbright Scholar Award, 2024 AIAA High Speed Air Breathing Propulsion Best Paper Award, 2022 Associate Editor, AIAA Journal, 2...</t>
        </is>
      </c>
      <c r="V22" s="2" t="inlineStr"/>
      <c r="W22" s="2" t="inlineStr">
        <is>
          <t>Electrocatalysts for Energy Conversion (219) | Fuel Cells and Related Materials (195) | Advanced battery technologies research (179)</t>
        </is>
      </c>
      <c r="X22" s="2" t="inlineStr">
        <is>
          <t>Electrocatalysts for Energy Conversion (219) | Fuel Cells and Related Materials (195) | Advanced battery technologies research (179)</t>
        </is>
      </c>
      <c r="Y22" s="2" t="inlineStr"/>
      <c r="Z22" s="2" t="inlineStr">
        <is>
          <t>(1) Sustainable fuels; (2) Pre-chamber jet ignition for combustion engines; (3) Thermal management for electric and hybrid aircraft (4) Battery fire safety (5) Propulsion technology for drones and UAVs;</t>
        </is>
      </c>
      <c r="AA22" s="2" t="inlineStr">
        <is>
          <t>(1) Sustainable fuels; (2) Pre-chamber jet ignition for combustion engines; (3) Thermal management for electric and hybrid aircraft (4) Battery fire safety (5) Propulsion technology for drones and UAVs;</t>
        </is>
      </c>
      <c r="AB22" s="2" t="inlineStr">
        <is>
          <t>B.S., Tsinghua University, Engineering Mechanics, 1999 M.S., Tsinghua Univeristy, Engineering Mechanics, 2001 Ph.D., University of Michigan, Aerospace Engineering, 2007</t>
        </is>
      </c>
      <c r="AC22" s="2" t="inlineStr">
        <is>
          <t>Indiana Space Grant Consortium</t>
        </is>
      </c>
      <c r="AD22" s="3">
        <f>HYPERLINK("https://insgc.spacegrant.org/", "https://insgc.spacegrant.org/")</f>
        <v/>
      </c>
      <c r="AE22" s="2" t="inlineStr">
        <is>
          <t>Academic INSGC Internships</t>
        </is>
      </c>
      <c r="AF22" s="2" t="inlineStr"/>
      <c r="AG22" s="2" t="inlineStr"/>
      <c r="AH22" s="2" t="inlineStr">
        <is>
          <t>NASA</t>
        </is>
      </c>
      <c r="AI22" s="2" t="inlineStr"/>
      <c r="AJ22" s="2" t="inlineStr"/>
      <c r="AK22" s="2" t="inlineStr">
        <is>
          <t>ARMS 3221</t>
        </is>
      </c>
      <c r="AL22" s="2" t="b">
        <v>1</v>
      </c>
      <c r="AM22" s="3">
        <f>HYPERLINK("https://engineering.purdue.edu/AAE/people/Faculty", "https://engineering.purdue.edu/AAE/people/Faculty")</f>
        <v/>
      </c>
    </row>
    <row r="23">
      <c r="A23" s="2" t="inlineStr">
        <is>
          <t>Aaron Morris</t>
        </is>
      </c>
      <c r="B23" s="2" t="inlineStr">
        <is>
          <t>Purdue University</t>
        </is>
      </c>
      <c r="C23" s="3">
        <f>HYPERLINK("https://engineering.purdue.edu/ME/People/ptProfile?resource_id=159298", "https://engineering.purdue.edu/ME/People/ptProfile?resource_id=159298")</f>
        <v/>
      </c>
      <c r="D23" s="3">
        <f>HYPERLINK("https://scholar.google.com/citations?view_op=search_authors&amp;mauthors=Aaron%20Morris%20Purdue%20University", "Google Scholar Search")</f>
        <v/>
      </c>
      <c r="E23" s="2" t="inlineStr">
        <is>
          <t>Associate Professor of Mechanical Engineering</t>
        </is>
      </c>
      <c r="F23" s="2" t="inlineStr">
        <is>
          <t>Mechanical Engineering</t>
        </is>
      </c>
      <c r="G23" s="2" t="inlineStr"/>
      <c r="H23" s="3">
        <f>HYPERLINK("mailto:abmorris@purdue.edu", "abmorris@purdue.edu")</f>
        <v/>
      </c>
      <c r="I23" s="2" t="n">
        <v>1</v>
      </c>
      <c r="J23" s="2" t="inlineStr">
        <is>
          <t>🔵 Tier 1: Core Aero / Fluids / Propulsion</t>
        </is>
      </c>
      <c r="K23" s="2" t="n">
        <v>4</v>
      </c>
      <c r="L23" s="2" t="inlineStr">
        <is>
          <t>fluid dynamics, fluid mechanics, heat transfer, multiphase flow</t>
        </is>
      </c>
      <c r="M23" s="2" t="inlineStr"/>
      <c r="N23" s="2" t="inlineStr"/>
      <c r="O23" s="2" t="inlineStr"/>
      <c r="P23" s="2" t="inlineStr"/>
      <c r="Q23" s="2" t="inlineStr"/>
      <c r="R23" s="2" t="inlineStr">
        <is>
          <t>"Modeling of fluidized systems using a novel Monte Carlo approach for granular interactions" [AIChE Journal] (2026) [DOI: https://doi.org/10.1002/aic.70212] | "Continuum correlations from CFD-DEM modeling of conduction heat transfer in granular flows" [SSRN Electronic Journal] (2026) [DOI: https://doi.org/10.2139/ssrn.6030431] | "Geometric Optimization of an External Enclosure to Enhance Receiver Thermal Performance in Concentrated Solar Power Systems" (2025) [DOI: https://doi.org/10.1115/es2025-157075]</t>
        </is>
      </c>
      <c r="S23" s="2" t="inlineStr">
        <is>
          <t>"Extension of a coarse grained particle method to simulate heat transfer in fluidized beds" [International Journal of Heat and Mass Transfer] (2017, 133 cites) [DOI: https://doi.org/10.1016/j.ijheatmasstransfer.2017.04.040] | "Simulations of heat transfer to solid particles flowing through an array of heated tubes" [Solar Energy] (2016, 102 cites) [DOI: https://doi.org/10.1016/j.solener.2016.01.033] | "A conductive heat transfer model for particle flows over immersed surfaces" [International Journal of Heat and Mass Transfer] (2015, 82 cites) [DOI: https://doi.org/10.1016/j.ijheatmasstransfer.2015.06.004]</t>
        </is>
      </c>
      <c r="T23" s="2" t="inlineStr"/>
      <c r="U23" s="2" t="inlineStr">
        <is>
          <t>Outstanding Mechanical Engineers Distinguished Engineering Alumni Honorary Doctorates Staff Awards Student Awards Distinguished...</t>
        </is>
      </c>
      <c r="V23" s="2" t="inlineStr"/>
      <c r="W23" s="2" t="inlineStr">
        <is>
          <t>Particle Dynamics in Fluid Flows (22) | Granular flow and fluidized beds (19) | Gas Dynamics and Kinetic Theory (13)</t>
        </is>
      </c>
      <c r="X23" s="2" t="inlineStr">
        <is>
          <t>Particle Dynamics in Fluid Flows (22) | Granular flow and fluidized beds (19) | Gas Dynamics and Kinetic Theory (13)</t>
        </is>
      </c>
      <c r="Y23" s="2" t="inlineStr">
        <is>
          <t>Fluid dynamics Multiphase flows Monte Carlo methods Kinetic theory of granular flows Heat transfer in granular media Rarefied gas dynamics</t>
        </is>
      </c>
      <c r="Z23" s="2" t="inlineStr">
        <is>
          <t>Fluid Mechanics Heat &amp; Mass Transfer</t>
        </is>
      </c>
      <c r="AA23" s="2" t="inlineStr">
        <is>
          <t>Fluid Mechanics Heat &amp; Mass Transfer</t>
        </is>
      </c>
      <c r="AB23" s="2" t="inlineStr">
        <is>
          <t>Postdoctoral Fellow, University of Colorado Boulder, 2013-2015 Ph. D., University of Texas at Austin, 2012 M.S., University of Texas at Austin, 2009 B.S., Rensselaer Polytechnic Institute, 2006</t>
        </is>
      </c>
      <c r="AC23" s="2" t="inlineStr">
        <is>
          <t>Center for Particulate Products and Processes</t>
        </is>
      </c>
      <c r="AD23" s="3">
        <f>HYPERLINK("https://engineering.purdue.edu/CP3/", "https://engineering.purdue.edu/CP3/")</f>
        <v/>
      </c>
      <c r="AE23" s="2" t="inlineStr"/>
      <c r="AF23" s="2" t="inlineStr"/>
      <c r="AG23" s="2" t="inlineStr">
        <is>
          <t>Gas Turbine, MTS, Instron</t>
        </is>
      </c>
      <c r="AH23" s="2" t="inlineStr">
        <is>
          <t>DOE, NSF</t>
        </is>
      </c>
      <c r="AI23" s="2" t="inlineStr"/>
      <c r="AJ23" s="2" t="inlineStr"/>
      <c r="AK23" s="2" t="inlineStr">
        <is>
          <t>FLEX 3021D</t>
        </is>
      </c>
      <c r="AL23" s="2" t="b">
        <v>1</v>
      </c>
      <c r="AM23" s="3">
        <f>HYPERLINK("https://engineering.purdue.edu/ME/People/ptFaculty", "https://engineering.purdue.edu/ME/People/ptFaculty")</f>
        <v/>
      </c>
    </row>
    <row r="24">
      <c r="A24" s="2" t="inlineStr">
        <is>
          <t>Alexey Shashurin</t>
        </is>
      </c>
      <c r="B24" s="2" t="inlineStr">
        <is>
          <t>Purdue University</t>
        </is>
      </c>
      <c r="C24" s="3">
        <f>HYPERLINK("https://engineering.purdue.edu/AAE/people/ptProfile?resource_id=124987", "https://engineering.purdue.edu/AAE/people/ptProfile?resource_id=124987")</f>
        <v/>
      </c>
      <c r="D24" s="3">
        <f>HYPERLINK("https://scholar.google.com/citations?view_op=search_authors&amp;mauthors=Alexey%20Shashurin%20Purdue%20University", "Google Scholar Search")</f>
        <v/>
      </c>
      <c r="E24" s="2" t="inlineStr">
        <is>
          <t>Lawrence Cargnino Professor of Aeronautics and Astronautics</t>
        </is>
      </c>
      <c r="F24" s="2" t="inlineStr">
        <is>
          <t>Aeronautics and Astronautics</t>
        </is>
      </c>
      <c r="G24" s="2" t="inlineStr"/>
      <c r="H24" s="3">
        <f>HYPERLINK("mailto:ashashur@purdue.edu", "ashashur@purdue.edu")</f>
        <v/>
      </c>
      <c r="I24" s="2" t="n">
        <v>1</v>
      </c>
      <c r="J24" s="2" t="inlineStr">
        <is>
          <t>🔵 Tier 1: Core Aero / Fluids / Propulsion</t>
        </is>
      </c>
      <c r="K24" s="2" t="n">
        <v>4</v>
      </c>
      <c r="L24" s="2" t="inlineStr">
        <is>
          <t>combustion, flow control, propulsion, spacecraft</t>
        </is>
      </c>
      <c r="M24" s="2" t="inlineStr"/>
      <c r="N24" s="2" t="inlineStr"/>
      <c r="O24" s="2" t="inlineStr"/>
      <c r="P24" s="2" t="inlineStr"/>
      <c r="Q24" s="2" t="inlineStr"/>
      <c r="R24" s="2" t="inlineStr">
        <is>
          <t>"Characterization of nonlinear sheath dynamics in high-pressure asymmetric RF discharge" [Journal of Applied Physics] (2026) [DOI: https://doi.org/10.1063/5.0334090] | "Absolute Radar-REMPI via Two-Color REMPI and Absolutely Calibrated CMS for Diagnostics of Species in Gaseous Mixtures" [arXiv (Cornell University)] (2026) [DOI: https://doi.org/10.48550/arxiv.2606.20827] | "Absolute Radar-REMPI via Two-Color REMPI and Absolutely Calibrated CMS for Diagnostics of Species in Gaseous Mixtures" [arXiv (Cornell University)] (2026) [DOI: https://arxiv.org/abs/2606.20827]</t>
        </is>
      </c>
      <c r="S24" s="2" t="inlineStr">
        <is>
          <t>"Cold plasma selectivity and the possibility of a paradigm shift in cancer therapy" [British Journal of Cancer] (2011, 767 cites) [DOI: https://doi.org/10.1038/bjc.2011.386] | "Cold atmospheric plasma in cancer therapy" [Physics of Plasmas] (2013, 501 cites) [DOI: https://doi.org/10.1063/1.4801516] | "Living tissue under treatment of cold plasma atmospheric jet" [Applied Physics Letters] (2008, 293 cites) [DOI: https://doi.org/10.1063/1.3020223]</t>
        </is>
      </c>
      <c r="T24" s="2" t="inlineStr"/>
      <c r="U24" s="2" t="inlineStr"/>
      <c r="V24" s="2" t="inlineStr"/>
      <c r="W24" s="2" t="inlineStr">
        <is>
          <t>Plasma Diagnostics and Applications (92) | Plasma Applications and Diagnostics (65) | Vacuum and Plasma Arcs (47)</t>
        </is>
      </c>
      <c r="X24" s="2" t="inlineStr">
        <is>
          <t>Plasma Diagnostics and Applications (92) | Plasma Applications and Diagnostics (65) | Vacuum and Plasma Arcs (47)</t>
        </is>
      </c>
      <c r="Y24" s="2" t="inlineStr">
        <is>
          <t>Microwave and optical diagnostics for spacecraft electric propulsion and combustion; Femtosecond photoionization; Micropropulsion for CubeSats; Nanosecond repetitively pulsed discharges for flow control; High power microwave heating of gas; Generation, diagnostics and applications of cold plasmas; Biomedical applications of cold plasmas.</t>
        </is>
      </c>
      <c r="Z24" s="2" t="inlineStr"/>
      <c r="AA24" s="2" t="inlineStr">
        <is>
          <t>Microwave and optical diagnostics for spacecraft electric propulsion and combustion; Femtosecond photoionization; Micropropulsion for CubeSats; Nanosecond repetitively pulsed discharges for flow control; High power microwave heating of gas; Generation, diagnostics and applications of cold plasmas; Biomedical applications of cold plasmas.</t>
        </is>
      </c>
      <c r="AB24" s="2" t="inlineStr">
        <is>
          <t>B.Sc., Physics, Lobachevsky State University of Nizhny Novgorod, Russia, 1996 M.Sc., Physics, Lobachevsky State University of Nizhny Novgorod, Russia, 1998 Ph.D., School of Engineering, Dept. Interdisciplinary Studies, Tel Aviv University, 2008</t>
        </is>
      </c>
      <c r="AC24" s="2" t="inlineStr">
        <is>
          <t>Indiana Space Grant Consortium</t>
        </is>
      </c>
      <c r="AD24" s="3">
        <f>HYPERLINK("https://insgc.spacegrant.org/", "https://insgc.spacegrant.org/")</f>
        <v/>
      </c>
      <c r="AE24" s="2" t="inlineStr">
        <is>
          <t>Academic INSGC Internships</t>
        </is>
      </c>
      <c r="AF24" s="2" t="inlineStr"/>
      <c r="AG24" s="2" t="inlineStr"/>
      <c r="AH24" s="2" t="inlineStr">
        <is>
          <t>NASA</t>
        </is>
      </c>
      <c r="AI24" s="2" t="inlineStr"/>
      <c r="AJ24" s="2" t="inlineStr"/>
      <c r="AK24" s="2" t="inlineStr">
        <is>
          <t>ARMS 3331</t>
        </is>
      </c>
      <c r="AL24" s="2" t="b">
        <v>1</v>
      </c>
      <c r="AM24" s="3">
        <f>HYPERLINK("https://engineering.purdue.edu/AAE/people/Faculty", "https://engineering.purdue.edu/AAE/people/Faculty")</f>
        <v/>
      </c>
    </row>
    <row r="25">
      <c r="A25" s="2" t="inlineStr">
        <is>
          <t>Carlos Larriba-Andaluz</t>
        </is>
      </c>
      <c r="B25" s="2" t="inlineStr">
        <is>
          <t>Purdue University</t>
        </is>
      </c>
      <c r="C25" s="3">
        <f>HYPERLINK("https://engineering.purdue.edu/ME/People/ptProfile?resource_id=297468", "https://engineering.purdue.edu/ME/People/ptProfile?resource_id=297468")</f>
        <v/>
      </c>
      <c r="D25" s="3">
        <f>HYPERLINK("https://scholar.google.com/citations?view_op=search_authors&amp;mauthors=Carlos%20Larriba-Andaluz%20Purdue%20University", "Google Scholar Search")</f>
        <v/>
      </c>
      <c r="E25" s="2" t="inlineStr">
        <is>
          <t>Associate Professor of Mechanical Engineering</t>
        </is>
      </c>
      <c r="F25" s="2" t="inlineStr">
        <is>
          <t>Mechanical Engineering</t>
        </is>
      </c>
      <c r="G25" s="2" t="inlineStr"/>
      <c r="H25" s="3">
        <f>HYPERLINK("mailto:clarriba@purdue.edu", "clarriba@purdue.edu")</f>
        <v/>
      </c>
      <c r="I25" s="2" t="n">
        <v>1</v>
      </c>
      <c r="J25" s="2" t="inlineStr">
        <is>
          <t>🔵 Tier 1: Core Aero / Fluids / Propulsion</t>
        </is>
      </c>
      <c r="K25" s="2" t="n">
        <v>4</v>
      </c>
      <c r="L25" s="2" t="inlineStr">
        <is>
          <t>aerospace, fluid mechanics, propulsion, thermodynamics</t>
        </is>
      </c>
      <c r="M25" s="2" t="inlineStr"/>
      <c r="N25" s="2" t="inlineStr"/>
      <c r="O25" s="2" t="inlineStr"/>
      <c r="P25" s="2" t="inlineStr"/>
      <c r="Q25" s="2" t="inlineStr"/>
      <c r="R25" s="2" t="inlineStr">
        <is>
          <t>"First order approximation of polyatomic ion and neutral diffusion in neutral gases under arbitrary fields" [The Journal of Chemical Physics] (2026) [DOI: https://doi.org/10.1063/5.0337543] | "Optimization of Electric Field Traveling Waves in SLIM Platforms for Improved Resolution via Analytical Solutions of the Nernst–Planck Equation" [Journal of the American Society for Mass Spectrometry] (2026) [DOI: https://doi.org/10.1021/jasms.5c00347] | "Unraveling Ligand-Driven Isomerism in Redox-Active Mixed-Ligand Polyoxometalates Using Ion Mobility Spectrometry" [ACS Nano] (2025) [DOI: https://doi.org/10.1021/acsnano.5c12468]</t>
        </is>
      </c>
      <c r="S25" s="2" t="inlineStr">
        <is>
          <t>"Benchmark Comparison for a Multi-Processing Ion Mobility Calculator in the Free Molecular Regime" [Journal of the American Society for Mass Spectrometry] (2017, 150 cites) [DOI: https://doi.org/10.1007/s13361-017-1661-8] | "Collision cross section calculations for polyatomic ions considering rotating diatomic/linear gas molecules" [The Journal of Chemical Physics] (2014, 92 cites) [DOI: https://doi.org/10.1063/1.4901890] | "Gas molecule scattering &amp; ion mobility measurements for organic macro-ions in He versus N 2 environments" [Physical Chemistry Chemical Physics] (2015, 85 cites) [DOI: https://doi.org/10.1039/c5cp01017a]</t>
        </is>
      </c>
      <c r="T25" s="2" t="inlineStr"/>
      <c r="U25" s="2" t="inlineStr">
        <is>
          <t>Outstanding Mechanical Engineers Distinguished Engineering Alumni Honorary Doctorates Staff Awards Student Awards Distinguished...</t>
        </is>
      </c>
      <c r="V25" s="2" t="inlineStr"/>
      <c r="W25" s="2" t="inlineStr">
        <is>
          <t>Mass Spectrometry Techniques and Applications (39) | Analytical Chemistry and Chromatography (15) | Analytical chemistry methods development (14)</t>
        </is>
      </c>
      <c r="X25" s="2" t="inlineStr">
        <is>
          <t>Mass Spectrometry Techniques and Applications (39) | Analytical Chemistry and Chromatography (15) | Analytical chemistry methods development (14)</t>
        </is>
      </c>
      <c r="Y25" s="2" t="inlineStr">
        <is>
          <t>Renewable Energy Catalysts Aerosol Pollution Ion Mobility-Mass Spectrometry Electrical Propulsion Polymer Characterization Protein and Biomolecule Characterization Energy Transfer Molecular Dynamic coupling at the molecular Scale Multiscale Multichemistry Plasma Modeling</t>
        </is>
      </c>
      <c r="Z25" s="2" t="inlineStr">
        <is>
          <t>Thermodynamics Fluid Mechanics Heat &amp; Mass Transfer</t>
        </is>
      </c>
      <c r="AA25" s="2" t="inlineStr">
        <is>
          <t>Thermodynamics Fluid Mechanics Heat &amp; Mass Transfer</t>
        </is>
      </c>
      <c r="AB25" s="2" t="inlineStr">
        <is>
          <t>Ph.D. Mechanical Engineering, Yale University, 12/2010 BA/BS Aerospace Engineering, E.T.S.I.A., 9/2005 MA/MS Aeronautical Engineering, E.T.S.I.A, 9/2005</t>
        </is>
      </c>
      <c r="AC25" s="2" t="inlineStr">
        <is>
          <t>Personal Homepage</t>
        </is>
      </c>
      <c r="AD25" s="3">
        <f>HYPERLINK("http://www.imospedia.com", "http://www.imospedia.com")</f>
        <v/>
      </c>
      <c r="AE25" s="2" t="inlineStr"/>
      <c r="AF25" s="2" t="inlineStr"/>
      <c r="AG25" s="2" t="inlineStr"/>
      <c r="AH25" s="2" t="inlineStr"/>
      <c r="AI25" s="2" t="inlineStr"/>
      <c r="AJ25" s="2" t="inlineStr"/>
      <c r="AK25" s="2" t="inlineStr"/>
      <c r="AL25" s="2" t="b">
        <v>1</v>
      </c>
      <c r="AM25" s="3">
        <f>HYPERLINK("https://engineering.purdue.edu/ME/People/ptFaculty", "https://engineering.purdue.edu/ME/People/ptFaculty")</f>
        <v/>
      </c>
    </row>
    <row r="26">
      <c r="A26" s="2" t="inlineStr">
        <is>
          <t>Carolin E Frueh</t>
        </is>
      </c>
      <c r="B26" s="2" t="inlineStr">
        <is>
          <t>Purdue University</t>
        </is>
      </c>
      <c r="C26" s="3">
        <f>HYPERLINK("https://engineering.purdue.edu/AAE/people/ptProfile?resource_id=111420", "https://engineering.purdue.edu/AAE/people/ptProfile?resource_id=111420")</f>
        <v/>
      </c>
      <c r="D26" s="3">
        <f>HYPERLINK("https://scholar.google.com/citations?view_op=search_authors&amp;mauthors=Carolin%20E%20Frueh%20Purdue%20University", "Google Scholar Search")</f>
        <v/>
      </c>
      <c r="E26" s="2" t="inlineStr">
        <is>
          <t>Harold DeGroff Professor of Aeronautics and Astronautics</t>
        </is>
      </c>
      <c r="F26" s="2" t="inlineStr">
        <is>
          <t>Aeronautics and Astronautics</t>
        </is>
      </c>
      <c r="G26" s="2" t="inlineStr"/>
      <c r="H26" s="3">
        <f>HYPERLINK("mailto:cfrueh@purdue.edu", "cfrueh@purdue.edu")</f>
        <v/>
      </c>
      <c r="I26" s="2" t="n">
        <v>1</v>
      </c>
      <c r="J26" s="2" t="inlineStr">
        <is>
          <t>🔵 Tier 1: Core Aero / Fluids / Propulsion</t>
        </is>
      </c>
      <c r="K26" s="2" t="n">
        <v>4</v>
      </c>
      <c r="L26" s="2" t="inlineStr">
        <is>
          <t>astrodynamics, guidance, navigation, satellite</t>
        </is>
      </c>
      <c r="M26" s="2" t="inlineStr"/>
      <c r="N26" s="2" t="inlineStr"/>
      <c r="O26" s="2" t="inlineStr"/>
      <c r="P26" s="2" t="inlineStr"/>
      <c r="Q26" s="2" t="inlineStr"/>
      <c r="R26" s="2" t="inlineStr">
        <is>
          <t>"Material Property Sensitivity of Light Curve Attitude Estimation for the Lunar Trailblazer" [Earth and Space Science] (2026) [DOI: https://doi.org/10.1029/2025ea004733] | "Global Light Curve Attitude Estimation with Noisy Measurements and Inertia Uncertainty" [The Journal of the Astronautical Sciences] (2026) [DOI: https://doi.org/10.1007/s40295-025-00557-9] | "Goals and trends in space exploration: An overview of the panel on exploration sessions at the committee on space research general assembly 2024" [Life Sciences in Space Research] (2025) [DOI: https://doi.org/10.1016/j.lssr.2025.12.005]</t>
        </is>
      </c>
      <c r="S26" s="2" t="inlineStr">
        <is>
          <t>"A comprehensive review on Cislunar expansion and space domain awareness" [Progress in Aerospace Sciences] (2024, 63 cites) [DOI: https://doi.org/10.1016/j.paerosci.2024.101019] | "Space Situational Awareness Sensor Tasking: Comparison of Machine Learning with Classical Optimization Methods" [Journal of Guidance Control and Dynamics] (2019, 41 cites) [DOI: https://doi.org/10.2514/1.g004279] | "Tracklet-to-orbit association for maneuvering space objects using optimal control theory" [Acta Astronautica] (2021, 38 cites) [DOI: https://doi.org/10.1016/j.actaastro.2021.01.026]</t>
        </is>
      </c>
      <c r="T26" s="2" t="inlineStr"/>
      <c r="U26" s="2" t="inlineStr">
        <is>
          <t>(selection) AAS Fellow, 2024 AIAA Associate Fellow, 2024 The C. T. Sun Excellence in Research Award, 2024 The Elmer F. Bruhn Te...</t>
        </is>
      </c>
      <c r="V26" s="2" t="inlineStr"/>
      <c r="W26" s="2" t="inlineStr">
        <is>
          <t>Space Satellite Systems and Control (33) | Astro and Planetary Science (20) | Target Tracking and Data Fusion in Sensor Networks (19)</t>
        </is>
      </c>
      <c r="X26" s="2" t="inlineStr">
        <is>
          <t>Space Satellite Systems and Control (33) | Astro and Planetary Science (20) | Target Tracking and Data Fusion in Sensor Networks (19)</t>
        </is>
      </c>
      <c r="Y26" s="2" t="inlineStr"/>
      <c r="Z26" s="2" t="inlineStr">
        <is>
          <t>Space Domain Awareness and Space Traffic Management in the Near-Earth and Cislunar Region - Surveillance, Detection &amp; Tracking, Tasking - Optical Monostatic Object Characterization near-field fly by and far field (light curves) - Astrodynamics - Low Observability Systems, Information Quantification and Retrieval, Machine Learning. Research Page</t>
        </is>
      </c>
      <c r="AA26" s="2" t="inlineStr">
        <is>
          <t>Space Domain Awareness and Space Traffic Management in the Near-Earth and Cislunar Region - Surveillance, Detection &amp; Tracking, Tasking - Optical Monostatic Object Characterization near-field fly by and far field (light curves) - Astrodynamics - Low Observability Systems, Information Quantification and Retrieval, Machine Learning. Research Page</t>
        </is>
      </c>
      <c r="AB26" s="2" t="inlineStr">
        <is>
          <t>Ph.D., Physics with Specialization in Astronomy, University of Bern, Switzerland, 2011 MS of Science, Karlsruhe Institute of Technology, Germany, 2006 M.Div., CDSP, Berkeley, USA</t>
        </is>
      </c>
      <c r="AC26" s="2" t="inlineStr">
        <is>
          <t>Indiana Space Grant Consortium</t>
        </is>
      </c>
      <c r="AD26" s="3">
        <f>HYPERLINK("https://insgc.spacegrant.org/", "https://insgc.spacegrant.org/")</f>
        <v/>
      </c>
      <c r="AE26" s="2" t="inlineStr">
        <is>
          <t>Academic INSGC Internships</t>
        </is>
      </c>
      <c r="AF26" s="2" t="inlineStr"/>
      <c r="AG26" s="2" t="inlineStr"/>
      <c r="AH26" s="2" t="inlineStr">
        <is>
          <t>NASA</t>
        </is>
      </c>
      <c r="AI26" s="2" t="inlineStr"/>
      <c r="AJ26" s="2" t="inlineStr"/>
      <c r="AK26" s="2" t="inlineStr">
        <is>
          <t>ARMS 3309</t>
        </is>
      </c>
      <c r="AL26" s="2" t="b">
        <v>1</v>
      </c>
      <c r="AM26" s="3">
        <f>HYPERLINK("https://engineering.purdue.edu/AAE/people/Faculty", "https://engineering.purdue.edu/AAE/people/Faculty")</f>
        <v/>
      </c>
    </row>
    <row r="27">
      <c r="A27" s="2" t="inlineStr">
        <is>
          <t>Guang Lin</t>
        </is>
      </c>
      <c r="B27" s="2" t="inlineStr">
        <is>
          <t>Purdue University</t>
        </is>
      </c>
      <c r="C27" s="3">
        <f>HYPERLINK("https://engineering.purdue.edu/ME/People/ptProfile?resource_id=117602", "https://engineering.purdue.edu/ME/People/ptProfile?resource_id=117602")</f>
        <v/>
      </c>
      <c r="D27" s="3">
        <f>HYPERLINK("https://scholar.google.com/citations?view_op=search_authors&amp;mauthors=Guang%20Lin%20Purdue%20University", "Google Scholar Search")</f>
        <v/>
      </c>
      <c r="E27" s="2" t="inlineStr">
        <is>
          <t>Moses Cobb Stevens Professor in Mathematical Sciences; College of Science Associate Dean of Research and Innovation; Professor of Mechanical Engineering</t>
        </is>
      </c>
      <c r="F27" s="2" t="inlineStr">
        <is>
          <t>Mechanical Engineering</t>
        </is>
      </c>
      <c r="G27" s="2" t="inlineStr"/>
      <c r="H27" s="3">
        <f>HYPERLINK("mailto:guanglin@purdue.edu", "guanglin@purdue.edu")</f>
        <v/>
      </c>
      <c r="I27" s="2" t="n">
        <v>1</v>
      </c>
      <c r="J27" s="2" t="inlineStr">
        <is>
          <t>🔵 Tier 1: Core Aero / Fluids / Propulsion</t>
        </is>
      </c>
      <c r="K27" s="2" t="n">
        <v>4</v>
      </c>
      <c r="L27" s="2" t="inlineStr">
        <is>
          <t>computational fluid dynamics, fluid dynamics, fluid mechanics, scientific computing</t>
        </is>
      </c>
      <c r="M27" s="2" t="inlineStr"/>
      <c r="N27" s="2" t="inlineStr"/>
      <c r="O27" s="2" t="inlineStr"/>
      <c r="P27" s="2" t="inlineStr"/>
      <c r="Q27" s="2" t="inlineStr"/>
      <c r="R27" s="2" t="inlineStr">
        <is>
          <t>"In situ studies on heavy ion irradiation and partial oxidation induced stacking faults and nanograins in tungsten nanolaminates" [Materials Today] (2026) [DOI: https://doi.org/10.1016/j.mattod.2026.103494] | "Bayesian data-driven discovery of partial differential equations with variable coefficients" [Computers &amp; Mathematics with Applications] (2026) [DOI: https://doi.org/10.1016/j.camwa.2026.07.034] | "Muon with spectral guidance: Efficient optimization for scientific machine learning" [Journal of Computational Physics] (2026) [DOI: https://doi.org/10.1016/j.jcp.2026.115231]</t>
        </is>
      </c>
      <c r="S27" s="2" t="inlineStr">
        <is>
          <t>"EEG-based emotion recognition using 4D convolutional recurrent neural network" [Cognitive Neurodynamics] (2020, 248 cites) [DOI: https://doi.org/10.1007/s11571-020-09634-1] | "Compressive sensing based machine learning strategy for characterizing the flow around a cylinder with limited pressure measurements" [Physics of Fluids] (2013, 182 cites) [DOI: https://doi.org/10.1063/1.4836815] | "Multi-output separable Gaussian process: Towards an efficient, fully Bayesian paradigm for uncertainty quantification" [Journal of Computational Physics] (2013, 178 cites) [DOI: https://doi.org/10.1016/j.jcp.2013.01.011]</t>
        </is>
      </c>
      <c r="T27" s="2" t="inlineStr"/>
      <c r="U27" s="2" t="inlineStr">
        <is>
          <t>Outstanding Mechanical Engineers Distinguished Engineering Alumni Honorary Doctorates Staff Awards Student Awards Distinguished...</t>
        </is>
      </c>
      <c r="V27" s="2" t="inlineStr"/>
      <c r="W27" s="2" t="inlineStr">
        <is>
          <t>Model Reduction and Neural Networks (78) | Probabilistic and Robust Engineering Design (67) | Gaussian Processes and Bayesian Inference (39)</t>
        </is>
      </c>
      <c r="X27" s="2" t="inlineStr">
        <is>
          <t>Model Reduction and Neural Networks (78) | Probabilistic and Robust Engineering Design (67) | Gaussian Processes and Bayesian Inference (39)</t>
        </is>
      </c>
      <c r="Y27" s="2" t="inlineStr">
        <is>
          <t>Big data analysis and statistical machine learning Predictive modeling and uncertainty quantification Scientific computing and computational fluid dynamics Stochastic multiscale modeling</t>
        </is>
      </c>
      <c r="Z27" s="2" t="inlineStr">
        <is>
          <t>Dynamics &amp; Vibration Fluid Mechanics</t>
        </is>
      </c>
      <c r="AA27" s="2" t="inlineStr">
        <is>
          <t>Dynamics &amp; Vibration Fluid Mechanics</t>
        </is>
      </c>
      <c r="AB27" s="2" t="inlineStr"/>
      <c r="AC27" s="2" t="inlineStr">
        <is>
          <t>Personal Homepage</t>
        </is>
      </c>
      <c r="AD27" s="3">
        <f>HYPERLINK("http://www.math.purdue.edu/~lin491/", "http://www.math.purdue.edu/~lin491/")</f>
        <v/>
      </c>
      <c r="AE27" s="2" t="inlineStr"/>
      <c r="AF27" s="2" t="inlineStr"/>
      <c r="AG27" s="2" t="inlineStr"/>
      <c r="AH27" s="2" t="inlineStr"/>
      <c r="AI27" s="2" t="inlineStr"/>
      <c r="AJ27" s="2" t="inlineStr"/>
      <c r="AK27" s="2" t="inlineStr"/>
      <c r="AL27" s="2" t="b">
        <v>1</v>
      </c>
      <c r="AM27" s="3">
        <f>HYPERLINK("https://engineering.purdue.edu/ME/People/ptFaculty", "https://engineering.purdue.edu/ME/People/ptFaculty")</f>
        <v/>
      </c>
    </row>
    <row r="28">
      <c r="A28" s="2" t="inlineStr">
        <is>
          <t>Kazuki Maeda</t>
        </is>
      </c>
      <c r="B28" s="2" t="inlineStr">
        <is>
          <t>Purdue University</t>
        </is>
      </c>
      <c r="C28" s="3">
        <f>HYPERLINK("https://engineering.purdue.edu/AAE/people/ptProfile?resource_id=284676", "https://engineering.purdue.edu/AAE/people/ptProfile?resource_id=284676")</f>
        <v/>
      </c>
      <c r="D28" s="3">
        <f>HYPERLINK("https://scholar.google.com/citations?hl=en&amp;user=r7gLAy4AAAAJ&amp;view_op=list_works&amp;sortby=pubdate", "Scholar (r7gLAy4AAAAJ)")</f>
        <v/>
      </c>
      <c r="E28" s="2" t="inlineStr">
        <is>
          <t>Assistant Professor</t>
        </is>
      </c>
      <c r="F28" s="2" t="inlineStr">
        <is>
          <t>Aeronautics and Astronautics</t>
        </is>
      </c>
      <c r="G28" s="2" t="inlineStr">
        <is>
          <t>r7gLAy4AAAAJ</t>
        </is>
      </c>
      <c r="H28" s="3">
        <f>HYPERLINK("mailto:kmaeda@purdue.edu", "kmaeda@purdue.edu")</f>
        <v/>
      </c>
      <c r="I28" s="2" t="n">
        <v>1</v>
      </c>
      <c r="J28" s="2" t="inlineStr">
        <is>
          <t>🔵 Tier 1: Core Aero / Fluids / Propulsion</t>
        </is>
      </c>
      <c r="K28" s="2" t="n">
        <v>4</v>
      </c>
      <c r="L28" s="2" t="inlineStr">
        <is>
          <t>aerodynamics, hypersonic, propulsion, rocket propulsion</t>
        </is>
      </c>
      <c r="M28" s="2" t="inlineStr"/>
      <c r="N28" s="2" t="inlineStr"/>
      <c r="O28" s="2" t="inlineStr"/>
      <c r="P28" s="2" t="inlineStr"/>
      <c r="Q28" s="2" t="inlineStr"/>
      <c r="R28" s="2" t="inlineStr">
        <is>
          <t>"Effect of Shock Strength on the Structure of H 2 /O 2 Reactive Shock Waves" (2026) [DOI: https://doi.org/10.2514/6.2026-1003] | "High-frequency ultrasound for microcirculation in metastatic mouse lymph node: contrast-free versus contrast-enhanced imaging" [Scientific Reports] (2025) [DOI: https://doi.org/10.1038/s41598-025-27268-3] | "Subcontinuum structures of reactive shock waves in gaseous H 2 / O 2 mixtures" [Physical Review Fluids] (2025) [DOI: https://doi.org/10.1103/y7lz-563m]</t>
        </is>
      </c>
      <c r="S28" s="2" t="inlineStr">
        <is>
          <t>"Controlled Synthesis of 3D Multi‐Compartmental Particles with Centrifuge‐Based Microdroplet Formation from a Multi‐Barrelled Capillary" [Advanced Materials] (2012, 234 cites) [DOI: https://doi.org/10.1002/adma.201102560] | "Laser sintering (SLS) of hard metal powders for abrasion resistant coatings" [Journal of Materials Processing Technology] (2004, 78 cites) [DOI: https://doi.org/10.1016/j.jmatprotec.2004.02.024] | "Bubble cloud dynamics in an ultrasound field" [Journal of Fluid Mechanics] (2019, 77 cites) [DOI: https://doi.org/10.1017/jfm.2018.968]</t>
        </is>
      </c>
      <c r="T28" s="2" t="inlineStr"/>
      <c r="U28" s="2" t="inlineStr">
        <is>
          <t>Awards (selected) Richard Bruce Chapman Memorial Award Funai Foudation for Information Technology Overseas Scholarship Stanford...</t>
        </is>
      </c>
      <c r="V28" s="2" t="inlineStr"/>
      <c r="W28" s="2" t="inlineStr">
        <is>
          <t>Ultrasound and Cavitation Phenomena (20) | Optical Network Technologies (11) | Ultrasound and Hyperthermia Applications (10)</t>
        </is>
      </c>
      <c r="X28" s="2" t="inlineStr">
        <is>
          <t>Ultrasound and Cavitation Phenomena (20) | Optical Network Technologies (11) | Ultrasound and Hyperthermia Applications (10)</t>
        </is>
      </c>
      <c r="Y28" s="2" t="inlineStr">
        <is>
          <t>Space propulsion Flow physics and aerodynamics Cyberphysical integration High-performance computing Rockets and hypersonics</t>
        </is>
      </c>
      <c r="Z28" s="2" t="inlineStr">
        <is>
          <t>Our group studies the dynamics of complex flows through integrated approaches combining physics-based modeling, high-performance computing and data science, software engineering, control, and companion experiments, with emphasis on space propulsion and aerovehicle systems. We are also interested in cyberphysical integration - effectively connecting computers and real-world devices - for assimilation and optimization of complex engineering systems. Further information can be found in the group's webpage .</t>
        </is>
      </c>
      <c r="AA28" s="2" t="inlineStr">
        <is>
          <t>Our group studies the dynamics of complex flows through integrated approaches combining physics-based modeling, high-performance computing and data science, software engineering, control, and companion experiments, with emphasis on space propulsion and aerovehicle systems. We are also interested in cyberphysical integration - effectively connecting computers and real-world devices - for assimil...</t>
        </is>
      </c>
      <c r="AB28" s="2" t="inlineStr">
        <is>
          <t>Ph.D. California Institute of Technology, Mechanical Engineering, 2018 M.S. California Institute of Technology, Mechanical Engineering, 2014 B.S. The University of Tokyo, Mechanical Engineering, 2013</t>
        </is>
      </c>
      <c r="AC28" s="2" t="inlineStr">
        <is>
          <t>Indiana Space Grant Consortium</t>
        </is>
      </c>
      <c r="AD28" s="3">
        <f>HYPERLINK("https://insgc.spacegrant.org/", "https://insgc.spacegrant.org/")</f>
        <v/>
      </c>
      <c r="AE28" s="2" t="inlineStr">
        <is>
          <t>Academic INSGC Internships</t>
        </is>
      </c>
      <c r="AF28" s="2" t="inlineStr"/>
      <c r="AG28" s="2" t="inlineStr"/>
      <c r="AH28" s="2" t="inlineStr">
        <is>
          <t>NASA</t>
        </is>
      </c>
      <c r="AI28" s="2" t="inlineStr"/>
      <c r="AJ28" s="2" t="inlineStr"/>
      <c r="AK28" s="2" t="inlineStr">
        <is>
          <t>ARMS 2037</t>
        </is>
      </c>
      <c r="AL28" s="2" t="b">
        <v>1</v>
      </c>
      <c r="AM28" s="3">
        <f>HYPERLINK("https://engineering.purdue.edu/AAE/people/Faculty", "https://engineering.purdue.edu/AAE/people/Faculty")</f>
        <v/>
      </c>
    </row>
    <row r="29">
      <c r="A29" s="2" t="inlineStr">
        <is>
          <t>Romit Maulik</t>
        </is>
      </c>
      <c r="B29" s="2" t="inlineStr">
        <is>
          <t>Purdue University</t>
        </is>
      </c>
      <c r="C29" s="3">
        <f>HYPERLINK("https://engineering.purdue.edu/ME/People/ptProfile?resource_id=328301", "https://engineering.purdue.edu/ME/People/ptProfile?resource_id=328301")</f>
        <v/>
      </c>
      <c r="D29" s="3">
        <f>HYPERLINK("https://scholar.google.com/citations?view_op=search_authors&amp;mauthors=Romit%20Maulik%20Purdue%20University", "Google Scholar Search")</f>
        <v/>
      </c>
      <c r="E29" s="2" t="inlineStr">
        <is>
          <t>Assistant Professor of Mechanical Engineering</t>
        </is>
      </c>
      <c r="F29" s="2" t="inlineStr">
        <is>
          <t>Mechanical Engineering</t>
        </is>
      </c>
      <c r="G29" s="2" t="inlineStr"/>
      <c r="H29" s="3">
        <f>HYPERLINK("mailto:rmaulik@purdue.edu", "rmaulik@purdue.edu")</f>
        <v/>
      </c>
      <c r="I29" s="2" t="n">
        <v>1</v>
      </c>
      <c r="J29" s="2" t="inlineStr">
        <is>
          <t>🔵 Tier 1: Core Aero / Fluids / Propulsion</t>
        </is>
      </c>
      <c r="K29" s="2" t="n">
        <v>4</v>
      </c>
      <c r="L29" s="2" t="inlineStr">
        <is>
          <t>computational fluid dynamics, fluid dynamics, fluid mechanics, scientific computing</t>
        </is>
      </c>
      <c r="M29" s="2" t="inlineStr"/>
      <c r="N29" s="2" t="inlineStr"/>
      <c r="O29" s="2" t="inlineStr"/>
      <c r="P29" s="2" t="inlineStr"/>
      <c r="Q29" s="2" t="inlineStr"/>
      <c r="R29" s="2" t="inlineStr">
        <is>
          <t>"Generalizable data-driven turbulence closure modeling on unstructured grids with differentiable physics" [Computers &amp; Fluids] (2026) [DOI: https://doi.org/10.1016/j.compfluid.2026.107200] | "Localized PCA-Net neural operators for scalable solution reconstruction of elliptic PDEs" [Machine learning for computational science and engineering] (2026) [DOI: https://doi.org/10.1007/s44379-026-00070-2] | "SALSA-RL: stability analysis in the latent space of actions for reinforcement learning" [Neural Networks] (2026) [DOI: https://doi.org/10.1016/j.neunet.2026.108957]</t>
        </is>
      </c>
      <c r="S29" s="2" t="inlineStr">
        <is>
          <t>"Reduced-order modeling of advection-dominated systems with recurrent neural networks and convolutional autoencoders" [Physics of Fluids] (2021, 303 cites) [DOI: https://doi.org/10.1063/5.0039986] | "An artificial neural network framework for reduced order modeling of transient flows" [Communications in Nonlinear Science and Numerical Simulation] (2019, 170 cites) [DOI: https://doi.org/10.1016/j.cnsns.2019.04.025] | "Neural network closures for nonlinear model order reduction" [Advances in Computational Mathematics] (2018, 154 cites) [DOI: https://doi.org/10.1007/s10444-018-9590-z]</t>
        </is>
      </c>
      <c r="T29" s="2" t="inlineStr"/>
      <c r="U29" s="2" t="inlineStr">
        <is>
          <t>Outstanding Mechanical Engineers Distinguished Engineering Alumni Honorary Doctorates Staff Awards Student Awards Distinguished...</t>
        </is>
      </c>
      <c r="V29" s="2" t="inlineStr"/>
      <c r="W29" s="2" t="inlineStr">
        <is>
          <t>Model Reduction and Neural Networks (76) | Fluid Dynamics and Turbulent Flows (58) | Meteorological Phenomena and Simulations (46)</t>
        </is>
      </c>
      <c r="X29" s="2" t="inlineStr">
        <is>
          <t>Model Reduction and Neural Networks (76) | Fluid Dynamics and Turbulent Flows (58) | Meteorological Phenomena and Simulations (46)</t>
        </is>
      </c>
      <c r="Y29" s="2" t="inlineStr">
        <is>
          <t>Scientific machine learning Computational fluid dynamics Dynamical systems Inverse problems</t>
        </is>
      </c>
      <c r="Z29" s="2" t="inlineStr">
        <is>
          <t>Fluid Mechanics</t>
        </is>
      </c>
      <c r="AA29" s="2" t="inlineStr">
        <is>
          <t>Fluid Mechanics</t>
        </is>
      </c>
      <c r="AB29" s="2" t="inlineStr">
        <is>
          <t>Margaret Butler Postdoctoral Fellow - Argonne National Laboratory - 2021 PhD - Oklahoma State University - 2019 MS - Oklahoma State University - 2016 BS - Birla Institute of Technology - 2012</t>
        </is>
      </c>
      <c r="AC29" s="2" t="inlineStr">
        <is>
          <t>Interdisciplinary Scientific Computing Laboratory (GitHub)</t>
        </is>
      </c>
      <c r="AD29" s="3">
        <f>HYPERLINK("https://romit-maulik.github.io/", "https://romit-maulik.github.io/")</f>
        <v/>
      </c>
      <c r="AE29" s="2" t="inlineStr"/>
      <c r="AF29" s="2" t="inlineStr"/>
      <c r="AG29" s="2" t="inlineStr"/>
      <c r="AH29" s="2" t="inlineStr"/>
      <c r="AI29" s="3">
        <f>HYPERLINK("https://github.com/Romit-Maulik", "https://github.com/Romit-Maulik, https://github.com/mavroudisv/plain-academic")</f>
        <v/>
      </c>
      <c r="AJ29" s="2" t="inlineStr"/>
      <c r="AK29" s="2" t="inlineStr">
        <is>
          <t>FLEX 3081B</t>
        </is>
      </c>
      <c r="AL29" s="2" t="b">
        <v>1</v>
      </c>
      <c r="AM29" s="3">
        <f>HYPERLINK("https://engineering.purdue.edu/ME/People/ptFaculty", "https://engineering.purdue.edu/ME/People/ptFaculty")</f>
        <v/>
      </c>
    </row>
    <row r="30">
      <c r="A30" s="2" t="inlineStr">
        <is>
          <t>Timothée Pourpoint</t>
        </is>
      </c>
      <c r="B30" s="2" t="inlineStr">
        <is>
          <t>Purdue University</t>
        </is>
      </c>
      <c r="C30" s="3">
        <f>HYPERLINK("https://engineering.purdue.edu/AAE/people/ptProfile?resource_id=23845", "https://engineering.purdue.edu/AAE/people/ptProfile?resource_id=23845")</f>
        <v/>
      </c>
      <c r="D30" s="3">
        <f>HYPERLINK("https://scholar.google.com/citations?view_op=search_authors&amp;mauthors=Timoth%C3%A9e%20Pourpoint%20Purdue%20University", "Google Scholar Search")</f>
        <v/>
      </c>
      <c r="E30" s="2" t="inlineStr">
        <is>
          <t>Joseph Liston Professor of Aeronautics and Astronautics</t>
        </is>
      </c>
      <c r="F30" s="2" t="inlineStr">
        <is>
          <t>Aeronautics and Astronautics</t>
        </is>
      </c>
      <c r="G30" s="2" t="inlineStr"/>
      <c r="H30" s="3">
        <f>HYPERLINK("mailto:timothee@purdue.edu", "timothee@purdue.edu")</f>
        <v/>
      </c>
      <c r="I30" s="2" t="n">
        <v>1</v>
      </c>
      <c r="J30" s="2" t="inlineStr">
        <is>
          <t>🔵 Tier 1: Core Aero / Fluids / Propulsion</t>
        </is>
      </c>
      <c r="K30" s="2" t="n">
        <v>4</v>
      </c>
      <c r="L30" s="2" t="inlineStr">
        <is>
          <t>aerospace, combustion, materials, propulsion</t>
        </is>
      </c>
      <c r="M30" s="2" t="inlineStr"/>
      <c r="N30" s="2" t="inlineStr"/>
      <c r="O30" s="2" t="inlineStr"/>
      <c r="P30" s="2" t="inlineStr"/>
      <c r="Q30" s="2" t="inlineStr"/>
      <c r="R30" s="2" t="inlineStr">
        <is>
          <t>"An Alternate Mechanism for the Reactions of Methylhydrazine with Dinitrogen Tetroxide" [Energy &amp; Fuels] (2026) [DOI: https://doi.org/10.1021/acs.energyfuels.6c00475] | "KHz rate 3D white light particle tracking with a tunable acoustic gradient (TAG) lens" [Optics Express] (2026) [DOI: https://doi.org/10.1364/oe.588303] | "Design and Performance Analysis of an Optically Accessible Pneumatic Poppet Valve" (2026) [DOI: https://doi.org/10.2514/6.2026-1603]</t>
        </is>
      </c>
      <c r="S30" s="2" t="inlineStr">
        <is>
          <t>"Study of heat transfer and kinetics parameters influencing the design of heat exchangers for hydrogen storage in high-pressure metal hydrides" [International Journal of Heat and Mass Transfer] (2010, 85 cites) [DOI: https://doi.org/10.1016/j.ijheatmasstransfer.2009.12.010] | "Enhanced heat exchanger design for hydrogen storage using high-pressure metal hydride: Part 1. Design methodology and computational results" [International Journal of Heat and Mass Transfer] (2010, 82 cites) [DOI: https://doi.org/10.1016/j.ijheatmasstransfer.2010.09.029] | "Amine–Boranes: Green Hypergolic Fuels with Consistently Low Ignition Delays" [Chemistry - A European Journal] (2014, 66 cites) [DOI: https://doi.org/10.1002/chem.201405224]</t>
        </is>
      </c>
      <c r="T30" s="2" t="inlineStr"/>
      <c r="U30" s="2" t="inlineStr">
        <is>
          <t>AIAA Associate Fellow</t>
        </is>
      </c>
      <c r="V30" s="2" t="inlineStr"/>
      <c r="W30" s="2" t="inlineStr">
        <is>
          <t>Rocket and propulsion systems research (81) | Energetic Materials and Combustion (52) | Combustion and flame dynamics (25)</t>
        </is>
      </c>
      <c r="X30" s="2" t="inlineStr">
        <is>
          <t>Rocket and propulsion systems research (81) | Energetic Materials and Combustion (52) | Combustion and flame dynamics (25)</t>
        </is>
      </c>
      <c r="Y30" s="2" t="inlineStr">
        <is>
          <t>Aerospace propulsion systems Rocket engine combustors Liquid propellant injection systems Hypergolic propellants High pressure and hydrogen storage systems</t>
        </is>
      </c>
      <c r="Z30" s="2" t="inlineStr">
        <is>
          <t>Professor Timothée L. Pourpoint’s research interests relate to propulsion, combustion, and energy storage. Propulsion Research Dr. Pourpoint research focus in propulsion is to further the understanding of storable propellant ignition and combustion through system level testing and advanced diagnostic techniques with an emphasis on novel propellant combinations. A major emphasis of his work is on the development and characterization of new chemical propellants (see: Aerospace Propulsion and Energy Conversion Systems ). Energy Storage Research Dr. Pourpoint is developing safe and efficient ways to use hydrogen for power generation through a combination of gas and solid-state storage approaches.  This research builds on the experience and testing capabilities developed in partnership with General Motors for the characterization and large-scale evaluation of high pressure metal hydrides and adsorbents. Additional details about this research can be found at: Hydrogen Systems Laboratory Experimental Testing Facilities As part of his work Dr. Pourpoint has been involved in designing, implementing, and operating several testing facilities at the Maurice Zucrow Laboratories. Through his research Dr. Pourpoint has gained expertise in working with high-pressure hydrogen (up to 180 gal and 10,000 psia), pyrophoric metal powders, nanoscale materials, and propellants including monomethyl hydrazine, nitrogen tetroxide, hydrogen peroxide, and red fuming nitric acid.</t>
        </is>
      </c>
      <c r="AA30" s="2" t="inlineStr">
        <is>
          <t>Professor Timothée L. Pourpoint’s research interests relate to propulsion, combustion, and energy storage. Propulsion Research Dr. Pourpoint research focus in propulsion is to further the understanding of storable propellant ignition and combustion through system level testing and advanced diagnostic techniques with an emphasis on novel propellant combinations. A major emphasis of his work is o...</t>
        </is>
      </c>
      <c r="AB30" s="2" t="inlineStr">
        <is>
          <t>Ph.D., Purdue University, Aeronautical &amp; Astronautical Engineering, Dec. 2005 M.S., University of Alabama in Huntsville, Mechanical &amp; Aerospace Engineering, Dec. 2000 B.S., ESTACA University, Paris, France, Mechanical Engineering, July 2000</t>
        </is>
      </c>
      <c r="AC30" s="2" t="inlineStr">
        <is>
          <t>Indiana Space Grant Consortium</t>
        </is>
      </c>
      <c r="AD30" s="3">
        <f>HYPERLINK("https://insgc.spacegrant.org/", "https://insgc.spacegrant.org/")</f>
        <v/>
      </c>
      <c r="AE30" s="2" t="inlineStr">
        <is>
          <t>Academic INSGC Internships</t>
        </is>
      </c>
      <c r="AF30" s="2" t="inlineStr"/>
      <c r="AG30" s="2" t="inlineStr"/>
      <c r="AH30" s="2" t="inlineStr">
        <is>
          <t>NASA</t>
        </is>
      </c>
      <c r="AI30" s="2" t="inlineStr"/>
      <c r="AJ30" s="2" t="inlineStr"/>
      <c r="AK30" s="2" t="inlineStr">
        <is>
          <t>Chaffee Hall, Room 116 &amp; ARMS 2017</t>
        </is>
      </c>
      <c r="AL30" s="2" t="b">
        <v>1</v>
      </c>
      <c r="AM30" s="3">
        <f>HYPERLINK("https://engineering.purdue.edu/AAE/people/Faculty", "https://engineering.purdue.edu/AAE/people/Faculty")</f>
        <v/>
      </c>
    </row>
    <row r="31">
      <c r="A31" s="2" t="inlineStr">
        <is>
          <t>Jun Chen</t>
        </is>
      </c>
      <c r="B31" s="2" t="inlineStr">
        <is>
          <t>Purdue University</t>
        </is>
      </c>
      <c r="C31" s="3">
        <f>HYPERLINK("https://engineering.purdue.edu/ME/People/ptProfile?resource_id=44345", "https://engineering.purdue.edu/ME/People/ptProfile?resource_id=44345")</f>
        <v/>
      </c>
      <c r="D31" s="3">
        <f>HYPERLINK("https://scholar.google.com/citations?view_op=search_authors&amp;mauthors=Jun%20Chen%20Purdue%20University", "Google Scholar Search")</f>
        <v/>
      </c>
      <c r="E31" s="2" t="inlineStr">
        <is>
          <t>Professor Of Mechanical Engineering</t>
        </is>
      </c>
      <c r="F31" s="2" t="inlineStr">
        <is>
          <t>Aeronautics and Astronautics</t>
        </is>
      </c>
      <c r="G31" s="2" t="inlineStr"/>
      <c r="H31" s="3">
        <f>HYPERLINK("mailto:junchen@purdue.edu", "junchen@purdue.edu")</f>
        <v/>
      </c>
      <c r="I31" s="2" t="n">
        <v>1</v>
      </c>
      <c r="J31" s="2" t="inlineStr">
        <is>
          <t>🔵 Tier 1: Core Aero / Fluids / Propulsion</t>
        </is>
      </c>
      <c r="K31" s="2" t="n">
        <v>3</v>
      </c>
      <c r="L31" s="2" t="inlineStr">
        <is>
          <t>fluid dynamics, fluid mechanics, turbulent</t>
        </is>
      </c>
      <c r="M31" s="2" t="inlineStr"/>
      <c r="N31" s="2" t="inlineStr"/>
      <c r="O31" s="2" t="inlineStr"/>
      <c r="P31" s="2" t="inlineStr"/>
      <c r="Q31" s="2" t="inlineStr"/>
      <c r="R31" s="2" t="inlineStr">
        <is>
          <t>"Skin-Like Coating Stabilizes the In Situ Forming Lithium Anode for High-Energy-Density Batteries" [ACS Applied Materials &amp; Interfaces] (2026) [DOI: https://doi.org/10.1021/acsami.6c12564] | "Plastic‐Deformation‐Driven Nonepitaxial Deposition of (110)‐Texture Enables Stable Lithium and Sodium Metal Anodes" [Advanced Materials] (2026) [DOI: https://doi.org/10.1002/adma.74659] | "Dynamic Solvation Structure Regulation Enables Long-Life Li–Organic Batteries" [Journal of the American Chemical Society] (2026) [DOI: https://doi.org/10.1021/jacs.6c01785]</t>
        </is>
      </c>
      <c r="S31" s="2" t="inlineStr">
        <is>
          <t>"Metal–air batteries: from oxygen reduction electrochemistry to cathode catalysts" [Chemical Society Reviews] (2012, 2678 cites) [DOI: https://doi.org/10.1039/c1cs15228a] | "Cation-Deficient Spinel ZnMn 2 O 4 Cathode in Zn(CF 3 SO 3 ) 2 Electrolyte for Rechargeable Aqueous Zn-Ion Battery" [Journal of the American Chemical Society] (2016, 1886 cites) [DOI: https://doi.org/10.1021/jacs.6b05958] | "Rechargeable aqueous zinc-manganese dioxide batteries with high energy and power densities" [Nature Communications] (2017, 1795 cites) [DOI: https://doi.org/10.1038/s41467-017-00467-x]</t>
        </is>
      </c>
      <c r="T31" s="2" t="inlineStr"/>
      <c r="U31" s="2" t="inlineStr">
        <is>
          <t>Outstanding Mechanical Engineers Distinguished Engineering Alumni Honorary Doctorates Staff Awards Student Awards Distinguished...</t>
        </is>
      </c>
      <c r="V31" s="2" t="inlineStr"/>
      <c r="W31" s="2" t="inlineStr">
        <is>
          <t>Advancements in Battery Materials (575) | Advanced Battery Materials and Technologies (515) | Advanced battery technologies research (249)</t>
        </is>
      </c>
      <c r="X31" s="2" t="inlineStr">
        <is>
          <t>Advancements in Battery Materials (575) | Advanced Battery Materials and Technologies (515) | Advanced battery technologies research (249)</t>
        </is>
      </c>
      <c r="Y31" s="2" t="inlineStr">
        <is>
          <t>Experimental fluid dynamics Development of flow diagnostic techniques Flow dynamics in stratified environment Turbulent flow measurements and modeling</t>
        </is>
      </c>
      <c r="Z31" s="2" t="inlineStr">
        <is>
          <t>Fluid Mechanics Heat &amp; Mass Transfer</t>
        </is>
      </c>
      <c r="AA31" s="2" t="inlineStr">
        <is>
          <t>Fluid Mechanics Heat &amp; Mass Transfer</t>
        </is>
      </c>
      <c r="AB31" s="2" t="inlineStr">
        <is>
          <t>B.S., Beijing University of Aero. &amp; Astro., '94 M.S., Beijing University of Aero. &amp; Astro., '97 Ph.D., Johns Hopkins University., '04</t>
        </is>
      </c>
      <c r="AC31" s="2" t="inlineStr">
        <is>
          <t>Personal Homepage</t>
        </is>
      </c>
      <c r="AD31" s="3">
        <f>HYPERLINK("https://engineering.purdue.edu/~chen220", "https://engineering.purdue.edu/~chen220")</f>
        <v/>
      </c>
      <c r="AE31" s="2" t="inlineStr"/>
      <c r="AF31" s="2" t="inlineStr"/>
      <c r="AG31" s="2" t="inlineStr"/>
      <c r="AH31" s="2" t="inlineStr"/>
      <c r="AI31" s="2" t="inlineStr"/>
      <c r="AJ31" s="2" t="inlineStr"/>
      <c r="AK31" s="2" t="inlineStr"/>
      <c r="AL31" s="2" t="b">
        <v>1</v>
      </c>
      <c r="AM31" s="3">
        <f>HYPERLINK("https://engineering.purdue.edu/AAE/people/Faculty", "https://engineering.purdue.edu/AAE/people/Faculty")</f>
        <v/>
      </c>
    </row>
    <row r="32">
      <c r="A32" s="2" t="inlineStr">
        <is>
          <t>Mark Lewis</t>
        </is>
      </c>
      <c r="B32" s="2" t="inlineStr">
        <is>
          <t>Purdue University</t>
        </is>
      </c>
      <c r="C32" s="3">
        <f>HYPERLINK("https://engineering.purdue.edu/AAE/people/ptProfile?resource_id=255151", "https://engineering.purdue.edu/AAE/people/ptProfile?resource_id=255151")</f>
        <v/>
      </c>
      <c r="D32" s="3">
        <f>HYPERLINK("https://scholar.google.com/citations?view_op=search_authors&amp;mauthors=Mark%20Lewis%20Purdue%20University", "Google Scholar Search")</f>
        <v/>
      </c>
      <c r="E32" s="2" t="inlineStr">
        <is>
          <t>CEO of Purdue Applied Research Institute (PARI); Professor of Aeronautics and Astronautics</t>
        </is>
      </c>
      <c r="F32" s="2" t="inlineStr">
        <is>
          <t>Aeronautics and Astronautics</t>
        </is>
      </c>
      <c r="G32" s="2" t="inlineStr"/>
      <c r="H32" s="2" t="inlineStr"/>
      <c r="I32" s="2" t="n">
        <v>1</v>
      </c>
      <c r="J32" s="2" t="inlineStr">
        <is>
          <t>🔵 Tier 1: Core Aero / Fluids / Propulsion</t>
        </is>
      </c>
      <c r="K32" s="2" t="n">
        <v>3</v>
      </c>
      <c r="L32" s="2" t="inlineStr">
        <is>
          <t>aerodynamics, hypersonic, propulsion</t>
        </is>
      </c>
      <c r="M32" s="2" t="inlineStr"/>
      <c r="N32" s="2" t="inlineStr"/>
      <c r="O32" s="2" t="inlineStr"/>
      <c r="P32" s="2" t="inlineStr"/>
      <c r="Q32" s="2" t="inlineStr"/>
      <c r="R32" s="2" t="inlineStr">
        <is>
          <t>"In vivo genome editing of central nervous system SIV reservoirs in ART-suppressed rhesus macaques" [Molecular Therapy — Nucleic Acids] (2026) [DOI: https://doi.org/10.1016/j.omtn.2026.103063] | "Induction of broadly neutralizing HIV antibodies by a two-step mechanism informs vaccine design" [Science] (2026) [DOI: https://doi.org/10.1126/science.aec6396] | "Durable protection against SIV challenge by adeno-associated virus delivery of Env-specific antibodies" [bioRxiv (Cold Spring Harbor Laboratory)] (2026) [DOI: https://doi.org/10.64898/2026.04.20.719478]</t>
        </is>
      </c>
      <c r="S32" s="2" t="inlineStr">
        <is>
          <t>"The Sequence of the Human Genome" [Science] (2001, 13709 cites) [DOI: https://doi.org/10.1126/science.1058040] | "Protection of macaques against vaginal transmission of a pathogenic HIV-1/SIV chimeric virus by passive infusion of neutralizing antibodies" [Nature Medicine] (2000, 1248 cites) [DOI: https://doi.org/10.1038/72318] | "Correlates of protection against SARS-CoV-2 in rhesus macaques" [Nature] (2020, 1238 cites) [DOI: https://doi.org/10.1038/s41586-020-03041-6]</t>
        </is>
      </c>
      <c r="T32" s="2" t="inlineStr"/>
      <c r="U32" s="2" t="inlineStr"/>
      <c r="V32" s="2" t="inlineStr"/>
      <c r="W32" s="2" t="inlineStr">
        <is>
          <t>HIV Research and Treatment (184) | SARS-CoV-2 and COVID-19 Research (106) | Immune Cell Function and Interaction (85)</t>
        </is>
      </c>
      <c r="X32" s="2" t="inlineStr">
        <is>
          <t>HIV Research and Treatment (184) | SARS-CoV-2 and COVID-19 Research (106) | Immune Cell Function and Interaction (85)</t>
        </is>
      </c>
      <c r="Y32" s="2" t="inlineStr"/>
      <c r="Z32" s="2" t="inlineStr"/>
      <c r="AA32" s="2" t="inlineStr"/>
      <c r="AB32" s="2" t="inlineStr"/>
      <c r="AC32" s="2" t="inlineStr"/>
      <c r="AD32" s="2" t="inlineStr"/>
      <c r="AE32" s="2" t="inlineStr"/>
      <c r="AF32" s="2" t="inlineStr"/>
      <c r="AG32" s="2" t="inlineStr"/>
      <c r="AH32" s="2" t="inlineStr"/>
      <c r="AI32" s="2" t="inlineStr"/>
      <c r="AJ32" s="2" t="inlineStr"/>
      <c r="AK32" s="2" t="inlineStr"/>
      <c r="AL32" s="2" t="b">
        <v>1</v>
      </c>
      <c r="AM32" s="3">
        <f>HYPERLINK("https://engineering.purdue.edu/AAE/people/Faculty", "https://engineering.purdue.edu/AAE/people/Faculty")</f>
        <v/>
      </c>
    </row>
    <row r="33">
      <c r="A33" s="2" t="inlineStr">
        <is>
          <t>Vikas Tomar</t>
        </is>
      </c>
      <c r="B33" s="2" t="inlineStr">
        <is>
          <t>Purdue University</t>
        </is>
      </c>
      <c r="C33" s="3">
        <f>HYPERLINK("https://engineering.purdue.edu/AAE/people/ptProfile?resource_id=55699", "https://engineering.purdue.edu/AAE/people/ptProfile?resource_id=55699")</f>
        <v/>
      </c>
      <c r="D33" s="3">
        <f>HYPERLINK("https://scholar.google.com/citations?user=rI7TKPYAAAAJ&amp;hl=en&amp;oi=ao", "Scholar (rI7TKPYAAAAJ)")</f>
        <v/>
      </c>
      <c r="E33" s="2" t="inlineStr">
        <is>
          <t>Professor</t>
        </is>
      </c>
      <c r="F33" s="2" t="inlineStr">
        <is>
          <t>Aeronautics and Astronautics</t>
        </is>
      </c>
      <c r="G33" s="2" t="inlineStr">
        <is>
          <t>rI7TKPYAAAAJ</t>
        </is>
      </c>
      <c r="H33" s="3">
        <f>HYPERLINK("mailto:tomar@purdue.edu", "tomar@purdue.edu")</f>
        <v/>
      </c>
      <c r="I33" s="2" t="n">
        <v>1</v>
      </c>
      <c r="J33" s="2" t="inlineStr">
        <is>
          <t>🔵 Tier 1: Core Aero / Fluids / Propulsion</t>
        </is>
      </c>
      <c r="K33" s="2" t="n">
        <v>3</v>
      </c>
      <c r="L33" s="2" t="inlineStr">
        <is>
          <t>autonomous, hypersonic, materials</t>
        </is>
      </c>
      <c r="M33" s="2" t="inlineStr"/>
      <c r="N33" s="2" t="inlineStr"/>
      <c r="O33" s="2" t="inlineStr"/>
      <c r="P33" s="2" t="inlineStr"/>
      <c r="Q33" s="2" t="inlineStr"/>
      <c r="R33" s="2" t="inlineStr"/>
      <c r="S33" s="2" t="inlineStr">
        <is>
          <t>"Bounds for element size in a variable stiffness cohesive finite element model" [International Journal for Numerical Methods in Engineering] (2004, 192 cites) [DOI: https://doi.org/10.1002/nme.1138] | "Nanoindentation based properties of Inconel 718 at elevated temperatures: A comparison of conventional versus additively manufactured samples" [International Journal of Plasticity] (2019, 116 cites) [DOI: https://doi.org/10.1016/j.ijplas.2019.04.018] | "Micromechanical Simulation of Dynamic Fracture Using the Cohesive Finite Element Method" [Journal of Engineering Materials and Technology] (2004, 100 cites) [DOI: https://doi.org/10.1115/1.1647127]</t>
        </is>
      </c>
      <c r="T33" s="2" t="inlineStr"/>
      <c r="U33" s="2" t="inlineStr">
        <is>
          <t>• 2025 Featured Paper (chosen by the editors among all aubmitted and accepted papers) in the Journal of Applied Physics (with M...</t>
        </is>
      </c>
      <c r="V33" s="2" t="inlineStr"/>
      <c r="W33" s="2" t="inlineStr">
        <is>
          <t>High-Velocity Impact and Material Behavior (36) | Advanced ceramic materials synthesis (34) | Metal and Thin Film Mechanics (28)</t>
        </is>
      </c>
      <c r="X33" s="2" t="inlineStr">
        <is>
          <t>High-Velocity Impact and Material Behavior (36) | Advanced ceramic materials synthesis (34) | Metal and Thin Film Mechanics (28)</t>
        </is>
      </c>
      <c r="Y33" s="2" t="inlineStr">
        <is>
          <t>Emphasis is on engineering and science of materials in extreme environments with specific projects currently focusing on; 1. Non-equilibrium Phenomenon in Matter: Application of Nanosecond Multipoint Raman Spectroscopy and data science for understanding/describing shock as well as low velocity fracture/sensitivity to damage. Use of such knowledge in domains such as Physiology, Hypersonics, Anti Shock Designs,  Space Solutions, Additive Manufacturing etc. 2. Autonomy Energy Intelligence: Use of data science for combined edge-cloud solutions for deploying high voltage batteries in sensitive applications with emphasis on extreme events such as nail puncture-high voltage shock-rapid temperature events etc. Use of such knowledge for Physical AI Solutions for Autonomy, Artificial General Intelligence, Large Scale Autonomous Manufacturing etc</t>
        </is>
      </c>
      <c r="Z33" s="2" t="inlineStr">
        <is>
          <t>Interfacial Multiphysics Lab is focused on advancing analytical technologies such as Mechanical Raman Spectroscopy (MRS), an analytical experimental method developed by lab members (US Patent 9,778,194, Review of Scientific Instruments 85, 013902 (2014)) and Smart Battery Management Systems (another US Patent from lab: US11658350B2) to solve important extreme environment operational problems with specific projects currently focusing on; 1. Non-equilibrium Phenomenon in Matter: Application of Nanosecond Multipoint Raman Spectroscopy and data science to understand/describe shock as well as low velocity fracture/sensitivity to damage. Use of such knowledge in domains such as Physiology, Hypersonics, Anti-Shock Designs, Space Solutions, Additive Manufacturing, etc. 2. Autonomy Energy Intelligence: Use of data science for combined edge-cloud solutions for deploying high voltage batteries in sensitive applications, emphasizing extreme events such as nail puncture-high voltage shock-rapid temperature events, etc. Use of such knowledge for Physical AI Solutions for Autonomy, Artificial General Intelligence, Large Scale Autonomous Manufacturing etc Lab Director, Prof. Tomar started his career as an assistant professor in January 2006 after graduating from Georgia Tech with PhD in Mechanical Engineering in December 2005. He was promoted to full professor in 2016 at Purdue University. Lab has graduated 17 PhDs, 27 MS-Thesis students, and multiple non-thesis/undergrad special topic research project students. Lab has published over 400 publications, filed 11 research patents/disclosures (awarded 6 patents), written 2 published books, and edited 5 research volumes. The lab has been part of multiple externally funded projects from Industry, the Office of Naval Research (ONR), the Naval Surface Warfare Center, the National Science Foundation (NSF), the Department of Energy (DoE), ARMY, and Air Force Office of Scientific Research (AFoSR). Lab excellence in research has been recognized by several awards including the VAJRA award from Govt of India, the AFoSR Young Investigator Award for high-temperature interface thermomechanics, the American Society of Mechanical Engineers (ASME) Orr Early Career Award for excellence in fracture and fatigue, The Mineral, Metal, and Materials Societies (TMS) early career faculty fellow-honorable mention award for materials research, inaugural Elsevier Material Science and Engineering journals Early Career Young Researcher Award for Interface Mechanics, Purdue Seeds for Success Awards (2017, 2018, 2020), Purdue CT Sun Research award, Purdue University Faculty Scholar Award, and multiple other best paper awards. For his contribution to the profession, Dr. Tomar was elected an ASME Fellow in 2016 and an American Institute of Aeronautics and Astronautics (AIAA) Associate Fellow in 2015. He has been bestowed with multiple mentorship and teaching awards including the Indiana LSAMP Outstanding Mentor Award, Purdue School of Aeronautics Best Undergraduate Teacher Gustafson award etc. He has organized numerous conferences as track chair and conference co-organizer with various Editor-in-Chief and Associate Editor positions at reputed journals. Lab student members have won multiple research and service awards at the undergraduate and graduate level including the Mitchell Scholarship award to Milad Alucozai which is first ever awarded in Purdue undergraduate education history, the NASA RASC-AL award to an undergraduate team, the NSF best poster award with grad student Ming Gan, Best paper awards at TMS with Bing Li and Abhijeet Dhiman, Chorafus foundation best PhD dissertation finalist to Ming Gan, College of Engineering outstanding service award to Devendra Verma, and numerous other student awards such as Blissland Dissertation Fellowship, Purdue's Nominee for external Best Master's Thesis competitions, multiple Lynn Fellowships, and finally numerous student conference travel awards sponsored by organizations across the world. Students after graduation have enjoyed successful careers in academia US government agencies national labs and industry. Several lab alumni have either tenured or tenure-track faculty positions in universities in the USA, Mexico, India, China, and S Korea.</t>
        </is>
      </c>
      <c r="AA33" s="2" t="inlineStr">
        <is>
          <t>Interfacial Multiphysics Lab is focused on advancing analytical technologies such as Mechanical Raman Spectroscopy (MRS), an analytical experimental method developed by lab members (US Patent 9,778,194, Review of Scientific Instruments 85, 013902 (2014)) and Smart Battery Management Systems (another US Patent from lab: US11658350B2) to solve important extreme environment operational problems wi...</t>
        </is>
      </c>
      <c r="AB33" s="2" t="inlineStr">
        <is>
          <t>MBA, University of California, Berkeley, Haas School of Management, June 2023 Ph.D., Georgia Institute of Technology, Atlanta, GA, December 2005 M. Tech., Indian Institute of Technology-Madras, Chennai, India, May 2001 B. Tech., National Institute of Technology, Kurukshetra, India, May 1998</t>
        </is>
      </c>
      <c r="AC33" s="2" t="inlineStr">
        <is>
          <t>Indiana Space Grant Consortium</t>
        </is>
      </c>
      <c r="AD33" s="3">
        <f>HYPERLINK("https://insgc.spacegrant.org/", "https://insgc.spacegrant.org/")</f>
        <v/>
      </c>
      <c r="AE33" s="2" t="inlineStr">
        <is>
          <t>Academic INSGC Internships</t>
        </is>
      </c>
      <c r="AF33" s="2" t="inlineStr"/>
      <c r="AG33" s="2" t="inlineStr"/>
      <c r="AH33" s="2" t="inlineStr">
        <is>
          <t>NASA</t>
        </is>
      </c>
      <c r="AI33" s="2" t="inlineStr"/>
      <c r="AJ33" s="2" t="inlineStr"/>
      <c r="AK33" s="2" t="inlineStr">
        <is>
          <t>ARMS 2033</t>
        </is>
      </c>
      <c r="AL33" s="2" t="b">
        <v>1</v>
      </c>
      <c r="AM33" s="3">
        <f>HYPERLINK("https://engineering.purdue.edu/AAE/people/Faculty", "https://engineering.purdue.edu/AAE/people/Faculty")</f>
        <v/>
      </c>
    </row>
    <row r="34">
      <c r="A34" s="2" t="inlineStr">
        <is>
          <t>Benxin Wu</t>
        </is>
      </c>
      <c r="B34" s="2" t="inlineStr">
        <is>
          <t>Purdue University</t>
        </is>
      </c>
      <c r="C34" s="3">
        <f>HYPERLINK("https://engineering.purdue.edu/ME/People/ptProfile?resource_id=117606", "https://engineering.purdue.edu/ME/People/ptProfile?resource_id=117606")</f>
        <v/>
      </c>
      <c r="D34" s="3">
        <f>HYPERLINK("https://scholar.google.com/citations?view_op=search_authors&amp;mauthors=Benxin%20Wu%20Purdue%20University", "Google Scholar Search")</f>
        <v/>
      </c>
      <c r="E34" s="2" t="inlineStr">
        <is>
          <t>Professor of Mechanical Engineering</t>
        </is>
      </c>
      <c r="F34" s="2" t="inlineStr">
        <is>
          <t>Mechanical Engineering</t>
        </is>
      </c>
      <c r="G34" s="2" t="inlineStr"/>
      <c r="H34" s="3">
        <f>HYPERLINK("mailto:wu65@purdue.edu", "wu65@purdue.edu")</f>
        <v/>
      </c>
      <c r="I34" s="2" t="n">
        <v>1</v>
      </c>
      <c r="J34" s="2" t="inlineStr">
        <is>
          <t>🔵 Tier 1: Core Aero / Fluids / Propulsion</t>
        </is>
      </c>
      <c r="K34" s="2" t="n">
        <v>2</v>
      </c>
      <c r="L34" s="2" t="inlineStr">
        <is>
          <t>fluid mechanics, materials</t>
        </is>
      </c>
      <c r="M34" s="2" t="inlineStr"/>
      <c r="N34" s="2" t="inlineStr"/>
      <c r="O34" s="2" t="inlineStr"/>
      <c r="P34" s="2" t="inlineStr"/>
      <c r="Q34" s="2" t="inlineStr"/>
      <c r="R34" s="2" t="inlineStr">
        <is>
          <t>"Confinement-induced laser attenuation in multi-pulse ablation with high-intensity nanosecond laser" [Manufacturing Letters] (2026) [DOI: https://doi.org/10.1016/j.mfglet.2026.08.094] | "Double-front plasma produced from high-intensity nanosecond laser ablation of aluminum: Time-resolved imaging and hydrodynamic modeling" [Journal of Applied Physics] (2026) [DOI: https://doi.org/10.1063/5.0333327]</t>
        </is>
      </c>
      <c r="S34" s="2" t="inlineStr">
        <is>
          <t>"Double-front plasma produced from high-intensity nanosecond laser ablation of aluminum: Time-resolved imaging and hydrodynamic modeling" [Journal of Applied Physics] (2026, 1 cites) [DOI: https://doi.org/10.1063/5.0333327] | "Confinement-induced laser attenuation in multi-pulse ablation with high-intensity nanosecond laser" [Manufacturing Letters] (2026, 0 cites) [DOI: https://doi.org/10.1016/j.mfglet.2026.08.094]</t>
        </is>
      </c>
      <c r="T34" s="2" t="inlineStr"/>
      <c r="U34" s="2" t="inlineStr">
        <is>
          <t>Outstanding Mechanical Engineers Distinguished Engineering Alumni Honorary Doctorates Staff Awards Student Awards Distinguished...</t>
        </is>
      </c>
      <c r="V34" s="2" t="inlineStr"/>
      <c r="W34" s="2" t="inlineStr">
        <is>
          <t>Laser Material Processing Techniques (2) | Space Satellite Systems and Control (1) | Laser-induced spectroscopy and plasma (1)</t>
        </is>
      </c>
      <c r="X34" s="2" t="inlineStr">
        <is>
          <t>Laser Material Processing Techniques (2) | Space Satellite Systems and Control (1) | Laser-induced spectroscopy and plasma (1)</t>
        </is>
      </c>
      <c r="Y34" s="2" t="inlineStr">
        <is>
          <t>Laser-matter interactions Laser-induced plasma and laser-plasma interaction Laser applications in manufacturing, materials processing, and other areas</t>
        </is>
      </c>
      <c r="Z34" s="2" t="inlineStr">
        <is>
          <t>Fluid Mechanics Systems, Measurements &amp; Controls</t>
        </is>
      </c>
      <c r="AA34" s="2" t="inlineStr">
        <is>
          <t>Fluid Mechanics Systems, Measurements &amp; Controls</t>
        </is>
      </c>
      <c r="AB34" s="2" t="inlineStr">
        <is>
          <t>Ph.D., Purdue University, 2007 M.S., University of Missouri-Rolla, 2003 B.Eng., Tsinghua University, 2001</t>
        </is>
      </c>
      <c r="AC34" s="2" t="inlineStr">
        <is>
          <t>Indiana Space Grant Consortium</t>
        </is>
      </c>
      <c r="AD34" s="3">
        <f>HYPERLINK("https://insgc.spacegrant.org/", "https://insgc.spacegrant.org/")</f>
        <v/>
      </c>
      <c r="AE34" s="2" t="inlineStr">
        <is>
          <t>Academic INSGC Internships</t>
        </is>
      </c>
      <c r="AF34" s="2" t="inlineStr"/>
      <c r="AG34" s="2" t="inlineStr"/>
      <c r="AH34" s="2" t="inlineStr">
        <is>
          <t>NASA</t>
        </is>
      </c>
      <c r="AI34" s="2" t="inlineStr"/>
      <c r="AJ34" s="2" t="inlineStr"/>
      <c r="AK34" s="2" t="inlineStr">
        <is>
          <t>ME G091 &amp; 2550NW</t>
        </is>
      </c>
      <c r="AL34" s="2" t="b">
        <v>1</v>
      </c>
      <c r="AM34" s="3">
        <f>HYPERLINK("https://engineering.purdue.edu/ME/People/ptFaculty", "https://engineering.purdue.edu/ME/People/ptFaculty")</f>
        <v/>
      </c>
    </row>
    <row r="35">
      <c r="A35" s="2" t="inlineStr">
        <is>
          <t>Gregory M. Shaver</t>
        </is>
      </c>
      <c r="B35" s="2" t="inlineStr">
        <is>
          <t>Purdue University</t>
        </is>
      </c>
      <c r="C35" s="3">
        <f>HYPERLINK("https://engineering.purdue.edu/ME/People/ptProfile?resource_id=29361", "https://engineering.purdue.edu/ME/People/ptProfile?resource_id=29361")</f>
        <v/>
      </c>
      <c r="D35" s="3">
        <f>HYPERLINK("https://scholar.google.com/citations?view_op=search_authors&amp;mauthors=Gregory%20M.%20Shaver%20Purdue%20University", "Google Scholar Search")</f>
        <v/>
      </c>
      <c r="E35" s="2" t="inlineStr">
        <is>
          <t>Director of Herrick Labs; Reilly Professor of Mechanical Engineering</t>
        </is>
      </c>
      <c r="F35" s="2" t="inlineStr">
        <is>
          <t>Mechanical Engineering</t>
        </is>
      </c>
      <c r="G35" s="2" t="inlineStr"/>
      <c r="H35" s="3">
        <f>HYPERLINK("mailto:gshaver@purdue.edu", "gshaver@purdue.edu")</f>
        <v/>
      </c>
      <c r="I35" s="2" t="n">
        <v>1</v>
      </c>
      <c r="J35" s="2" t="inlineStr">
        <is>
          <t>🔵 Tier 1: Core Aero / Fluids / Propulsion</t>
        </is>
      </c>
      <c r="K35" s="2" t="n">
        <v>2</v>
      </c>
      <c r="L35" s="2" t="inlineStr">
        <is>
          <t>combustion, thermodynamics</t>
        </is>
      </c>
      <c r="M35" s="2" t="inlineStr"/>
      <c r="N35" s="2" t="inlineStr"/>
      <c r="O35" s="2" t="inlineStr"/>
      <c r="P35" s="2" t="inlineStr"/>
      <c r="Q35" s="2" t="inlineStr"/>
      <c r="R35" s="2" t="inlineStr">
        <is>
          <t>"Robust MIMO air handling control for eboosted off-road hybrid diesel powertrain" [International Journal of Engine Research] (2026) [DOI: https://doi.org/10.1177/14680874261473817] | "Experimental analysis of combustion stability and cycle-to-cycle variability in an off-road compression ignition engine fueled with biodiesel ethanol blends: Up to 50% ethanol" [Fuel] (2026) [DOI: https://doi.org/10.1016/j.fuel.2026.141185] | "Trajectory tracking in autonomous racing using a reduced-order feedback-linearized MPC framework" [Control Engineering Practice] (2026) [DOI: https://doi.org/10.1016/j.conengprac.2026.107036]</t>
        </is>
      </c>
      <c r="S35" s="2" t="inlineStr">
        <is>
          <t>"Physically-based reduced-order capacity loss model for graphite anodes in Li-ion battery cells" [Journal of Power Sources] (2017, 169 cites) [DOI: https://doi.org/10.1016/j.jpowsour.2016.12.099] | "Lessons Learned: Implementing the Case Teaching Method in a Mechanical Engineering Course" [Journal of Engineering Education] (2010, 166 cites) [DOI: https://doi.org/10.1002/j.2168-9830.2010.tb01042.x] | "Modeling cycle-to-cycle dynamics and mode transition in HCCI engines with variable valve actuation" [Control Engineering Practice] (2005, 99 cites) [DOI: https://doi.org/10.1016/j.conengprac.2005.04.009]</t>
        </is>
      </c>
      <c r="T35" s="2" t="inlineStr"/>
      <c r="U35" s="2" t="inlineStr">
        <is>
          <t>Outstanding Mechanical Engineers Distinguished Engineering Alumni Honorary Doctorates Staff Awards Student Awards Distinguished...</t>
        </is>
      </c>
      <c r="V35" s="2" t="inlineStr"/>
      <c r="W35" s="2" t="inlineStr">
        <is>
          <t>Advanced Combustion Engine Technologies (98) | Vehicle emissions and performance (57) | Biodiesel Production and Applications (29)</t>
        </is>
      </c>
      <c r="X35" s="2" t="inlineStr">
        <is>
          <t>Advanced Combustion Engine Technologies (98) | Vehicle emissions and performance (57) | Biodiesel Production and Applications (29)</t>
        </is>
      </c>
      <c r="Y35" s="2" t="inlineStr">
        <is>
          <t>Model-based system and control design of commercial vehicle power trains Connected and automated commercial vehicles Internal combustion engine &amp; after-treatment system design and controls Flexible valve actuation in diesel and natural gas engines</t>
        </is>
      </c>
      <c r="Z35" s="2" t="inlineStr">
        <is>
          <t>Thermodynamics Systems, Measurements &amp; Controls</t>
        </is>
      </c>
      <c r="AA35" s="2" t="inlineStr">
        <is>
          <t>Thermodynamics Systems, Measurements &amp; Controls</t>
        </is>
      </c>
      <c r="AB35" s="2" t="inlineStr">
        <is>
          <t>Ph.D. Stanford, '05 M.S. Stanford, '04 B.S. Purdue, '00</t>
        </is>
      </c>
      <c r="AC35" s="2" t="inlineStr">
        <is>
          <t>Personal Homepage</t>
        </is>
      </c>
      <c r="AD35" s="3">
        <f>HYPERLINK("http://www.gregshaver.com/", "http://www.gregshaver.com/")</f>
        <v/>
      </c>
      <c r="AE35" s="2" t="inlineStr"/>
      <c r="AF35" s="2" t="inlineStr"/>
      <c r="AG35" s="2" t="inlineStr"/>
      <c r="AH35" s="2" t="inlineStr"/>
      <c r="AI35" s="2" t="inlineStr"/>
      <c r="AJ35" s="2" t="inlineStr"/>
      <c r="AK35" s="2" t="inlineStr"/>
      <c r="AL35" s="2" t="b">
        <v>1</v>
      </c>
      <c r="AM35" s="3">
        <f>HYPERLINK("https://engineering.purdue.edu/ME/People/ptFaculty", "https://engineering.purdue.edu/ME/People/ptFaculty")</f>
        <v/>
      </c>
    </row>
    <row r="36">
      <c r="A36" s="2" t="inlineStr">
        <is>
          <t>Jamie Canino</t>
        </is>
      </c>
      <c r="B36" s="2" t="inlineStr">
        <is>
          <t>Purdue University</t>
        </is>
      </c>
      <c r="C36" s="3">
        <f>HYPERLINK("https://engineering.purdue.edu/AAE/people/ptProfile?resource_id=285032", "https://engineering.purdue.edu/AAE/people/ptProfile?resource_id=285032")</f>
        <v/>
      </c>
      <c r="D36" s="3">
        <f>HYPERLINK("https://scholar.google.com/citations?view_op=search_authors&amp;mauthors=Jamie%20Canino%20Purdue%20University", "Google Scholar Search")</f>
        <v/>
      </c>
      <c r="E36" s="2" t="inlineStr">
        <is>
          <t>Associate Professor of Engineering Practice</t>
        </is>
      </c>
      <c r="F36" s="2" t="inlineStr">
        <is>
          <t>Aeronautics and Astronautics</t>
        </is>
      </c>
      <c r="G36" s="2" t="inlineStr"/>
      <c r="H36" s="3">
        <f>HYPERLINK("mailto:canino@purdue.edu", "canino@purdue.edu")</f>
        <v/>
      </c>
      <c r="I36" s="2" t="n">
        <v>1</v>
      </c>
      <c r="J36" s="2" t="inlineStr">
        <is>
          <t>🔵 Tier 1: Core Aero / Fluids / Propulsion</t>
        </is>
      </c>
      <c r="K36" s="2" t="n">
        <v>2</v>
      </c>
      <c r="L36" s="2" t="inlineStr">
        <is>
          <t>propulsion, rocket propulsion</t>
        </is>
      </c>
      <c r="M36" s="2" t="inlineStr"/>
      <c r="N36" s="2" t="inlineStr"/>
      <c r="O36" s="2" t="inlineStr"/>
      <c r="P36" s="2" t="inlineStr"/>
      <c r="Q36" s="2" t="inlineStr"/>
      <c r="R36" s="2" t="inlineStr"/>
      <c r="S36" s="2" t="inlineStr">
        <is>
          <t>"Computational Modelling of Rocket Injector Internal Flows" (2007, 6 cites) [DOI: https://doi.org/10.2514/6.2007-5571] | "Optimization of Lenz-Type VAWT Geometries with Computational Fluid Dynamics" [AIAA SCITECH 2023 Forum] (2023, 0 cites) [DOI: https://doi.org/10.2514/6.2023-0017]</t>
        </is>
      </c>
      <c r="T36" s="2" t="inlineStr"/>
      <c r="U36" s="2" t="inlineStr"/>
      <c r="V36" s="2" t="inlineStr"/>
      <c r="W36" s="2" t="inlineStr">
        <is>
          <t>Advanced Combustion Engine Technologies (1) | Combustion and flame dynamics (1) | Wind Energy Research and Development (1)</t>
        </is>
      </c>
      <c r="X36" s="2" t="inlineStr">
        <is>
          <t>Advanced Combustion Engine Technologies (1) | Combustion and flame dynamics (1) | Wind Energy Research and Development (1)</t>
        </is>
      </c>
      <c r="Y36" s="2" t="inlineStr">
        <is>
          <t>Engineering Education, Undergraduate Mentoring, Rocket Propulsion Edit var myPronunciation=document.getElementById("pronunciation");
    function play() {
    myPronunciation.play();
    }
    function pause() {
    myPronunciation.pause();
    }</t>
        </is>
      </c>
      <c r="Z36" s="2" t="inlineStr"/>
      <c r="AA36" s="2" t="inlineStr">
        <is>
          <t>Engineering Education, Undergraduate Mentoring, Rocket Propulsion Edit var myPronunciation=document.getElementById("pronunciation");
    function play() {
    myPronunciation.play();
    }
    function pause() {
    myPronunciation.pause();
    }</t>
        </is>
      </c>
      <c r="AB36" s="2" t="inlineStr"/>
      <c r="AC36" s="2" t="inlineStr">
        <is>
          <t>Indiana Space Grant Consortium</t>
        </is>
      </c>
      <c r="AD36" s="3">
        <f>HYPERLINK("https://insgc.spacegrant.org/", "https://insgc.spacegrant.org/")</f>
        <v/>
      </c>
      <c r="AE36" s="2" t="inlineStr">
        <is>
          <t>Academic INSGC Internships</t>
        </is>
      </c>
      <c r="AF36" s="2" t="inlineStr"/>
      <c r="AG36" s="2" t="inlineStr"/>
      <c r="AH36" s="2" t="inlineStr">
        <is>
          <t>NASA</t>
        </is>
      </c>
      <c r="AI36" s="2" t="inlineStr"/>
      <c r="AJ36" s="2" t="inlineStr"/>
      <c r="AK36" s="2" t="inlineStr">
        <is>
          <t>ARMS 3209</t>
        </is>
      </c>
      <c r="AL36" s="2" t="b">
        <v>1</v>
      </c>
      <c r="AM36" s="3">
        <f>HYPERLINK("https://engineering.purdue.edu/AAE/people/Faculty", "https://engineering.purdue.edu/AAE/people/Faculty")</f>
        <v/>
      </c>
    </row>
    <row r="37">
      <c r="A37" s="2" t="inlineStr">
        <is>
          <t>Leifur Leifsson</t>
        </is>
      </c>
      <c r="B37" s="2" t="inlineStr">
        <is>
          <t>Purdue University</t>
        </is>
      </c>
      <c r="C37" s="3">
        <f>HYPERLINK("https://engineering.purdue.edu/AAE/people/ptProfile?resource_id=256632", "https://engineering.purdue.edu/AAE/people/ptProfile?resource_id=256632")</f>
        <v/>
      </c>
      <c r="D37" s="3">
        <f>HYPERLINK("https://scholar.google.com/citations?view_op=search_authors&amp;mauthors=Leifur%20Leifsson%20Purdue%20University", "Google Scholar Search")</f>
        <v/>
      </c>
      <c r="E37" s="2" t="inlineStr">
        <is>
          <t>Associate Professor</t>
        </is>
      </c>
      <c r="F37" s="2" t="inlineStr">
        <is>
          <t>Aeronautics and Astronautics</t>
        </is>
      </c>
      <c r="G37" s="2" t="inlineStr"/>
      <c r="H37" s="3">
        <f>HYPERLINK("mailto:leifur@purdue.edu", "leifur@purdue.edu")</f>
        <v/>
      </c>
      <c r="I37" s="2" t="n">
        <v>1</v>
      </c>
      <c r="J37" s="2" t="inlineStr">
        <is>
          <t>🔵 Tier 1: Core Aero / Fluids / Propulsion</t>
        </is>
      </c>
      <c r="K37" s="2" t="n">
        <v>2</v>
      </c>
      <c r="L37" s="2" t="inlineStr">
        <is>
          <t>aerospace, fluid-structure interaction</t>
        </is>
      </c>
      <c r="M37" s="2" t="inlineStr"/>
      <c r="N37" s="2" t="inlineStr"/>
      <c r="O37" s="2" t="inlineStr"/>
      <c r="P37" s="2" t="inlineStr"/>
      <c r="Q37" s="2" t="inlineStr"/>
      <c r="R37" s="2" t="inlineStr">
        <is>
          <t>"Adaptive Hyperparameter Optimization Strategies for Neural Network Models in Engineering Design Optimization" [Journal of Aerospace Information Systems] (2026) [DOI: https://doi.org/10.2514/1.i011839] | "Special Issue: Data-Driven Design Under Uncertainty" [Journal of Mechanical Design] (2026) [DOI: https://doi.org/10.1115/1.4070968] | "Efficient Design of Airfoil Shapes Using Surface Pressure–Informed Bayesian Optimization" (2026) [DOI: https://doi.org/10.2514/6.2026-0148]</t>
        </is>
      </c>
      <c r="S37" s="2" t="inlineStr">
        <is>
          <t>"Surrogate-Based Methods" [Studies in computational intelligence] (2011, 257 cites) [DOI: https://doi.org/10.1007/978-3-642-20859-1_3] | "Surrogate-based aerodynamic shape optimization for delaying airfoil dynamic stall using Kriging regression and infill criteria" [Aerospace Science and Technology] (2021, 120 cites) [DOI: https://doi.org/10.1016/j.ast.2021.106555] | "Surrogate-Based Aerodynamic Shape Optimization by Variable-Resolution Models" [AIAA Journal] (2012, 111 cites) [DOI: https://doi.org/10.2514/1.j051583]</t>
        </is>
      </c>
      <c r="T37" s="2" t="inlineStr"/>
      <c r="U37" s="2" t="inlineStr">
        <is>
          <t>NSF Early CAREER Award, NSF/CMMI/EDSE, February 2019 Best Paper Award, ASME Journal of Nondestructive Evaluation, 2019 Research...</t>
        </is>
      </c>
      <c r="V37" s="2" t="inlineStr"/>
      <c r="W37" s="2" t="inlineStr">
        <is>
          <t>Advanced Multi-Objective Optimization Algorithms (155) | Probabilistic and Robust Engineering Design (107) | Microwave Engineering and Waveguides (66)</t>
        </is>
      </c>
      <c r="X37" s="2" t="inlineStr">
        <is>
          <t>Advanced Multi-Objective Optimization Algorithms (155) | Probabilistic and Robust Engineering Design (107) | Microwave Engineering and Waveguides (66)</t>
        </is>
      </c>
      <c r="Y37" s="2" t="inlineStr">
        <is>
          <t>Computational aerospace engineering design; Multidisciplinary design optimization; Surrogate-based modeling and optimization; Uncertainty quantification; Scientific machine learning; Multifidelity methods</t>
        </is>
      </c>
      <c r="Z37" s="2" t="inlineStr">
        <is>
          <t>Dr. Leifsson's research focuses on advancing fundamental computational methods for modeling, optimization, and uncertainty quantification in aerospace engineering design with an emphasis on scientific machine learning. Current application areas include multidisciplinary design optimization, multifidelity modeling, aerodynamic shape optimization, fluid-structure interaction, and aircraft design. Edit var myPronunciation=document.getElementById("pronunciation");
    function play() {
    myPronunciation.play();
    }
    function pause() {
    myPronunciation.pause();
    }</t>
        </is>
      </c>
      <c r="AA37" s="2" t="inlineStr">
        <is>
          <t>Dr. Leifsson's research focuses on advancing fundamental computational methods for modeling, optimization, and uncertainty quantification in aerospace engineering design with an emphasis on scientific machine learning. Current application areas include multidisciplinary design optimization, multifidelity modeling, aerodynamic shape optimization, fluid-structure interaction, and aircraft design....</t>
        </is>
      </c>
      <c r="AB37" s="2" t="inlineStr">
        <is>
          <t>C.Sc. University of Iceland, Mechanical and Industrial Engineering, 1999 M.Sc. University of Iceland, Mechanical Engineering, 2000 Ph.D. Virginia Tech, Aerospace Engineering, 2006</t>
        </is>
      </c>
      <c r="AC37" s="2" t="inlineStr">
        <is>
          <t>Indiana Space Grant Consortium</t>
        </is>
      </c>
      <c r="AD37" s="3">
        <f>HYPERLINK("https://insgc.spacegrant.org/", "https://insgc.spacegrant.org/")</f>
        <v/>
      </c>
      <c r="AE37" s="2" t="inlineStr">
        <is>
          <t>Academic INSGC Internships</t>
        </is>
      </c>
      <c r="AF37" s="2" t="inlineStr"/>
      <c r="AG37" s="2" t="inlineStr"/>
      <c r="AH37" s="2" t="inlineStr">
        <is>
          <t>NASA</t>
        </is>
      </c>
      <c r="AI37" s="2" t="inlineStr"/>
      <c r="AJ37" s="2" t="inlineStr"/>
      <c r="AK37" s="2" t="inlineStr">
        <is>
          <t>ARMS 3229</t>
        </is>
      </c>
      <c r="AL37" s="2" t="b">
        <v>1</v>
      </c>
      <c r="AM37" s="3">
        <f>HYPERLINK("https://engineering.purdue.edu/AAE/people/Faculty", "https://engineering.purdue.edu/AAE/people/Faculty")</f>
        <v/>
      </c>
    </row>
    <row r="38">
      <c r="A38" s="2" t="inlineStr">
        <is>
          <t>Sascha Ranftl</t>
        </is>
      </c>
      <c r="B38" s="2" t="inlineStr">
        <is>
          <t>Purdue University</t>
        </is>
      </c>
      <c r="C38" s="3">
        <f>HYPERLINK("https://engineering.purdue.edu/ME/People/ptProfile?resource_id=324341", "https://engineering.purdue.edu/ME/People/ptProfile?resource_id=324341")</f>
        <v/>
      </c>
      <c r="D38" s="3">
        <f>HYPERLINK("https://scholar.google.com/citations?user=IKgNChQAAAAJ", "Scholar (IKgNChQAAAAJ)")</f>
        <v/>
      </c>
      <c r="E38" s="2" t="inlineStr">
        <is>
          <t>Assistant Professor of Mechanical Engineering</t>
        </is>
      </c>
      <c r="F38" s="2" t="inlineStr">
        <is>
          <t>Mechanical Engineering</t>
        </is>
      </c>
      <c r="G38" s="2" t="inlineStr">
        <is>
          <t>IKgNChQAAAAJ</t>
        </is>
      </c>
      <c r="H38" s="3">
        <f>HYPERLINK("mailto:sranftl@purdue.edu", "sranftl@purdue.edu")</f>
        <v/>
      </c>
      <c r="I38" s="2" t="n">
        <v>1</v>
      </c>
      <c r="J38" s="2" t="inlineStr">
        <is>
          <t>🔵 Tier 1: Core Aero / Fluids / Propulsion</t>
        </is>
      </c>
      <c r="K38" s="2" t="n">
        <v>2</v>
      </c>
      <c r="L38" s="2" t="inlineStr">
        <is>
          <t>fluid mechanics, scientific computing</t>
        </is>
      </c>
      <c r="M38" s="2" t="inlineStr"/>
      <c r="N38" s="2" t="inlineStr"/>
      <c r="O38" s="2" t="inlineStr"/>
      <c r="P38" s="2" t="inlineStr"/>
      <c r="Q38" s="2" t="inlineStr"/>
      <c r="R38" s="2" t="inlineStr">
        <is>
          <t>"Parameter Learning With Physics-Consistent Gaussian Processes" [Zenodo (CERN European Organization for Nuclear Research)] (2026) [DOI: https://doi.org/10.5281/zenodo.20392037] | "Parameter Learning With Physics-Consistent Gaussian Processes" [Zenodo (CERN European Organization for Nuclear Research)] (2026) [DOI: https://doi.org/10.5281/zenodo.21864854] | "Uncertainty quantification in mechanics: A unified Bayesian perspective" [arXiv (Cornell University)] (2026) [DOI: https://doi.org/10.48550/arxiv.2607.18734]</t>
        </is>
      </c>
      <c r="S38" s="2" t="inlineStr">
        <is>
          <t>"Femtosecond photoexcitation dynamics inside a quantum solvent" [Nature Communications] (2018, 38 cites) [DOI: https://doi.org/10.1038/s41467-018-06413-9] | "A neural network-based material cell for elastoplasticity and its performance in FE analyses of boundary value problems" [International Journal of Plasticity] (2023, 25 cites) [DOI: https://doi.org/10.1016/j.ijplas.2023.103811] | "A Bayesian approach to blood rheological uncertainties in aortic hemodynamics" [International Journal for Numerical Methods in Biomedical Engineering] (2022, 18 cites) [DOI: https://doi.org/10.1002/cnm.3576]</t>
        </is>
      </c>
      <c r="T38" s="2" t="inlineStr"/>
      <c r="U38" s="2" t="inlineStr">
        <is>
          <t>Outstanding Mechanical Engineers Distinguished Engineering Alumni Honorary Doctorates Staff Awards Student Awards Distinguished...</t>
        </is>
      </c>
      <c r="V38" s="2" t="inlineStr"/>
      <c r="W38" s="2" t="inlineStr">
        <is>
          <t>Quantum, superfluid, helium dynamics (10) | Probabilistic and Robust Engineering Design (9) | Spectroscopy and Quantum Chemical Studies (9)</t>
        </is>
      </c>
      <c r="X38" s="2" t="inlineStr">
        <is>
          <t>Quantum, superfluid, helium dynamics (10) | Probabilistic and Robust Engineering Design (9) | Spectroscopy and Quantum Chemical Studies (9)</t>
        </is>
      </c>
      <c r="Y38" s="2" t="inlineStr">
        <is>
          <t>Scientific machine learning Bayesian probability theory Uncertainty quantification Data analysis Scientific computing Computational physics &amp; engineering Machine learning applications in engineering</t>
        </is>
      </c>
      <c r="Z38" s="2" t="inlineStr">
        <is>
          <t>Fluid Mechanics</t>
        </is>
      </c>
      <c r="AA38" s="2" t="inlineStr">
        <is>
          <t>Fluid Mechanics</t>
        </is>
      </c>
      <c r="AB38" s="2" t="inlineStr">
        <is>
          <t>Postdoctoral fellow, Division of Applied Mathematics, Brown University, '25 Postdoctoral fellow, Courant Institute, New York University, '24 Ph.D., Institute of Theoretical &amp; Computational Physics, TU Graz, Austria, '21 Diplom-Ingenieur., Engineering Physics, TU Graz, Austria, '17</t>
        </is>
      </c>
      <c r="AC38" s="2" t="inlineStr">
        <is>
          <t>Personal Website</t>
        </is>
      </c>
      <c r="AD38" s="3">
        <f>HYPERLINK("https://sites.google.com/view/sascha-ranftl", "https://sites.google.com/view/sascha-ranftl")</f>
        <v/>
      </c>
      <c r="AE38" s="2" t="inlineStr">
        <is>
          <t>More About me News Open Positions Publications Contact</t>
        </is>
      </c>
      <c r="AF38" s="2" t="inlineStr"/>
      <c r="AG38" s="2" t="inlineStr">
        <is>
          <t>Supercomputer</t>
        </is>
      </c>
      <c r="AH38" s="2" t="inlineStr"/>
      <c r="AI38" s="2" t="inlineStr"/>
      <c r="AJ38" s="2" t="inlineStr"/>
      <c r="AK38" s="2" t="inlineStr"/>
      <c r="AL38" s="2" t="b">
        <v>1</v>
      </c>
      <c r="AM38" s="3">
        <f>HYPERLINK("https://engineering.purdue.edu/ME/People/ptFaculty", "https://engineering.purdue.edu/ME/People/ptFaculty")</f>
        <v/>
      </c>
    </row>
    <row r="39">
      <c r="A39" s="2" t="inlineStr">
        <is>
          <t>Amy Marconnet</t>
        </is>
      </c>
      <c r="B39" s="2" t="inlineStr">
        <is>
          <t>Purdue University</t>
        </is>
      </c>
      <c r="C39" s="3">
        <f>HYPERLINK("https://engineering.purdue.edu/ME/People/ptProfile?resource_id=86360", "https://engineering.purdue.edu/ME/People/ptProfile?resource_id=86360")</f>
        <v/>
      </c>
      <c r="D39" s="3">
        <f>HYPERLINK("https://scholar.google.com/citations?view_op=search_authors&amp;mauthors=Amy%20Marconnet%20Purdue%20University", "Google Scholar Search")</f>
        <v/>
      </c>
      <c r="E39" s="2" t="inlineStr">
        <is>
          <t>Professor of Mechanical Engineering</t>
        </is>
      </c>
      <c r="F39" s="2" t="inlineStr">
        <is>
          <t>Mechanical Engineering</t>
        </is>
      </c>
      <c r="G39" s="2" t="inlineStr"/>
      <c r="H39" s="3">
        <f>HYPERLINK("mailto:marconnet@purdue.edu", "marconnet@purdue.edu")</f>
        <v/>
      </c>
      <c r="I39" s="2" t="n">
        <v>2</v>
      </c>
      <c r="J39" s="2" t="inlineStr">
        <is>
          <t>🟡 Tier 2: Thermal / Heat Transfer / Energy</t>
        </is>
      </c>
      <c r="K39" s="2" t="n">
        <v>5</v>
      </c>
      <c r="L39" s="2" t="inlineStr">
        <is>
          <t>fluid mechanics, fluids, heat transfer, materials, thermal</t>
        </is>
      </c>
      <c r="M39" s="2" t="inlineStr"/>
      <c r="N39" s="2" t="inlineStr"/>
      <c r="O39" s="2" t="inlineStr"/>
      <c r="P39" s="2" t="inlineStr"/>
      <c r="Q39" s="2" t="inlineStr"/>
      <c r="R39" s="2" t="inlineStr"/>
      <c r="S39" s="2" t="inlineStr"/>
      <c r="T39" s="2" t="inlineStr"/>
      <c r="U39" s="2" t="inlineStr">
        <is>
          <t>Outstanding Mechanical Engineers Distinguished Engineering Alumni Honorary Doctorates Staff Awards Student Awards Distinguished...</t>
        </is>
      </c>
      <c r="V39" s="2" t="inlineStr">
        <is>
          <t>Purdue students are welcome to contact Professor Marconnet regarding independent study research opportunities and are also encouraged to apply for the SURF program. Qualified undergraduates from other institutions are encouraged to apply for the SURF program. | We are always looking for highly qualified, talented, and self-motivated graduate students with interests in heat transfer, thermal sciences, nanotechnology, energy conversion, and/or materials. However, Professor Marconnet generally does not reply to unsolicited emails from applicants unless they have already applied to Purdue's Mechanical Engineering program.</t>
        </is>
      </c>
      <c r="W39" s="2" t="inlineStr"/>
      <c r="X39" s="2" t="inlineStr"/>
      <c r="Y39" s="2" t="inlineStr">
        <is>
          <t>Transport Phenomena in Multi-Scale, Heterogeneous Materials &amp; Systems Fundamentals of Nanoscale Thermal Transport Heat Transfer in Natural and Synthetic Fiber Systems Thermofluids Interactions Multi-Physics Metrology Design Electronics Cooling and Thermal Management</t>
        </is>
      </c>
      <c r="Z39" s="2" t="inlineStr">
        <is>
          <t>Fluid Mechanics Heat &amp; Mass Transfer</t>
        </is>
      </c>
      <c r="AA39" s="2" t="inlineStr">
        <is>
          <t>Fluid Mechanics Heat &amp; Mass Transfer</t>
        </is>
      </c>
      <c r="AB39" s="2" t="inlineStr">
        <is>
          <t>Ph.D. Stanford University, '12 M.S. Stanford University, '09 B.S. University of Wisconsin - Madison, '07</t>
        </is>
      </c>
      <c r="AC39" s="2" t="inlineStr">
        <is>
          <t>Personal Homepage</t>
        </is>
      </c>
      <c r="AD39" s="3">
        <f>HYPERLINK("http://engineering.purdue.edu/MTEC", "http://engineering.purdue.edu/MTEC")</f>
        <v/>
      </c>
      <c r="AE39" s="2" t="inlineStr">
        <is>
          <t>Purdue students are welcome to contact Professor Marconnet regarding independent study research opportunities and are also encouraged to apply for the SURF program. Qualified undergraduates from other institutions are encouraged to apply for the SURF program. | We are always looking for highly qualified, talented, and self-motivated graduate students with interests in heat transfer, thermal sciences, nanotechnology, energy conversion, and/or materials. However, Professor Marconnet generally does not reply to unsolicited emails from applicants unless they have already applied to Purdue's Mechanical Engineering program.</t>
        </is>
      </c>
      <c r="AF39" s="2" t="inlineStr"/>
      <c r="AG39" s="2" t="inlineStr"/>
      <c r="AH39" s="2" t="inlineStr">
        <is>
          <t>DOE</t>
        </is>
      </c>
      <c r="AI39" s="2" t="inlineStr"/>
      <c r="AJ39" s="2" t="inlineStr"/>
      <c r="AK39" s="2" t="inlineStr"/>
      <c r="AL39" s="2" t="b">
        <v>1</v>
      </c>
      <c r="AM39" s="3">
        <f>HYPERLINK("https://engineering.purdue.edu/ME/People/ptFaculty", "https://engineering.purdue.edu/ME/People/ptFaculty")</f>
        <v/>
      </c>
    </row>
    <row r="40">
      <c r="A40" s="2" t="inlineStr">
        <is>
          <t>Thomas Beechem</t>
        </is>
      </c>
      <c r="B40" s="2" t="inlineStr">
        <is>
          <t>Purdue University</t>
        </is>
      </c>
      <c r="C40" s="3">
        <f>HYPERLINK("https://engineering.purdue.edu/ME/People/ptProfile?resource_id=256658", "https://engineering.purdue.edu/ME/People/ptProfile?resource_id=256658")</f>
        <v/>
      </c>
      <c r="D40" s="3">
        <f>HYPERLINK("https://scholar.google.com/citations?user=OEAnMz0AAAAJ&amp;hl=en", "Scholar (OEAnMz0AAAAJ)")</f>
        <v/>
      </c>
      <c r="E40" s="2" t="inlineStr">
        <is>
          <t>Professor Of Mechanical Engineering</t>
        </is>
      </c>
      <c r="F40" s="2" t="inlineStr">
        <is>
          <t>Mechanical Engineering</t>
        </is>
      </c>
      <c r="G40" s="2" t="inlineStr">
        <is>
          <t>OEAnMz0AAAAJ</t>
        </is>
      </c>
      <c r="H40" s="3">
        <f>HYPERLINK("mailto:tbeechem@purdue.edu", "tbeechem@purdue.edu")</f>
        <v/>
      </c>
      <c r="I40" s="2" t="n">
        <v>2</v>
      </c>
      <c r="J40" s="2" t="inlineStr">
        <is>
          <t>🟡 Tier 2: Thermal / Heat Transfer / Energy</t>
        </is>
      </c>
      <c r="K40" s="2" t="n">
        <v>4</v>
      </c>
      <c r="L40" s="2" t="inlineStr">
        <is>
          <t>materials, solid mechanics, thermal, thermodynamics</t>
        </is>
      </c>
      <c r="M40" s="2" t="inlineStr"/>
      <c r="N40" s="2" t="inlineStr"/>
      <c r="O40" s="2" t="inlineStr"/>
      <c r="P40" s="2" t="inlineStr"/>
      <c r="Q40" s="2" t="inlineStr"/>
      <c r="R40" s="2" t="inlineStr"/>
      <c r="S40" s="2" t="inlineStr"/>
      <c r="T40" s="2" t="inlineStr"/>
      <c r="U40" s="2" t="inlineStr">
        <is>
          <t>Outstanding Mechanical Engineers Distinguished Engineering Alumni Honorary Doctorates Staff Awards Student Awards Distinguished...</t>
        </is>
      </c>
      <c r="V40" s="2" t="inlineStr">
        <is>
          <t>Purdue University School of Mechanical Engineering School of Materials Engineering (Courtesy) Email: tbeechem at purdue.edu Phone: 765.494.0492</t>
        </is>
      </c>
      <c r="W40" s="2" t="inlineStr"/>
      <c r="X40" s="2" t="inlineStr"/>
      <c r="Y40" s="2" t="inlineStr">
        <is>
          <t>Thermal Physics ... Heat Moving Energy Spectroscopy ... "Seeing" energy with light Nanophotonics ... Pushing light to see more 2D Materials ... Creating functionality by losing dimension</t>
        </is>
      </c>
      <c r="Z40" s="2" t="inlineStr">
        <is>
          <t>Thermodynamics Heat &amp; Mass Transfer Solid Mechanics</t>
        </is>
      </c>
      <c r="AA40" s="2" t="inlineStr">
        <is>
          <t>Thermodynamics Heat &amp; Mass Transfer Solid Mechanics</t>
        </is>
      </c>
      <c r="AB40" s="2" t="inlineStr">
        <is>
          <t>Ph.D. Georgia Institute of Technology, 2008 M.S. University of Dayton, 2005 B.S. University of  Dayton, 2003</t>
        </is>
      </c>
      <c r="AC40" s="2" t="inlineStr">
        <is>
          <t>Specere Laboratory</t>
        </is>
      </c>
      <c r="AD40" s="3">
        <f>HYPERLINK("https://www.specere.org/", "https://www.specere.org/")</f>
        <v/>
      </c>
      <c r="AE40" s="2" t="inlineStr">
        <is>
          <t>Seeking motivated problem solvers capable of devoting 10-20 hours to research projects during the semester. | Join us for a summer via Purdue’s SURF (Summer Undergraduate Research Fellowship) Program .</t>
        </is>
      </c>
      <c r="AF40" s="2" t="inlineStr"/>
      <c r="AG40" s="2" t="inlineStr"/>
      <c r="AH40" s="2" t="inlineStr"/>
      <c r="AI40" s="2" t="inlineStr"/>
      <c r="AJ40" s="2" t="inlineStr"/>
      <c r="AK40" s="2" t="inlineStr"/>
      <c r="AL40" s="2" t="b">
        <v>1</v>
      </c>
      <c r="AM40" s="3">
        <f>HYPERLINK("https://engineering.purdue.edu/ME/People/ptFaculty", "https://engineering.purdue.edu/ME/People/ptFaculty")</f>
        <v/>
      </c>
    </row>
    <row r="41">
      <c r="A41" s="2" t="inlineStr">
        <is>
          <t>David Warsinger</t>
        </is>
      </c>
      <c r="B41" s="2" t="inlineStr">
        <is>
          <t>Purdue University</t>
        </is>
      </c>
      <c r="C41" s="3">
        <f>HYPERLINK("https://engineering.purdue.edu/ME/People/ptProfile?resource_id=183058", "https://engineering.purdue.edu/ME/People/ptProfile?resource_id=183058")</f>
        <v/>
      </c>
      <c r="D41" s="3">
        <f>HYPERLINK("https://scholar.google.com/citations?view_op=search_authors&amp;mauthors=David%20Warsinger%20Purdue%20University", "Google Scholar Search")</f>
        <v/>
      </c>
      <c r="E41" s="2" t="inlineStr">
        <is>
          <t>Associate Professor of Mechanical Engineering</t>
        </is>
      </c>
      <c r="F41" s="2" t="inlineStr">
        <is>
          <t>Mechanical Engineering</t>
        </is>
      </c>
      <c r="G41" s="2" t="inlineStr"/>
      <c r="H41" s="3">
        <f>HYPERLINK("mailto:dwarsing@purdue.edu", "dwarsing@purdue.edu")</f>
        <v/>
      </c>
      <c r="I41" s="2" t="n">
        <v>2</v>
      </c>
      <c r="J41" s="2" t="inlineStr">
        <is>
          <t>🟡 Tier 2: Thermal / Heat Transfer / Energy</t>
        </is>
      </c>
      <c r="K41" s="2" t="n">
        <v>3</v>
      </c>
      <c r="L41" s="2" t="inlineStr">
        <is>
          <t>fluid mechanics, fluids, thermodynamics</t>
        </is>
      </c>
      <c r="M41" s="2" t="inlineStr"/>
      <c r="N41" s="2" t="inlineStr"/>
      <c r="O41" s="2" t="inlineStr"/>
      <c r="P41" s="2" t="inlineStr"/>
      <c r="Q41" s="2" t="inlineStr"/>
      <c r="R41" s="2" t="inlineStr"/>
      <c r="S41" s="2" t="inlineStr"/>
      <c r="T41" s="2" t="inlineStr"/>
      <c r="U41" s="2" t="inlineStr">
        <is>
          <t>Outstanding Mechanical Engineers Distinguished Engineering Alumni Honorary Doctorates Staff Awards Student Awards Distinguished...</t>
        </is>
      </c>
      <c r="V41" s="2" t="inlineStr"/>
      <c r="W41" s="2" t="inlineStr"/>
      <c r="X41" s="2" t="inlineStr"/>
      <c r="Y41" s="2" t="inlineStr">
        <is>
          <t>Desalination &amp; Water Treatment Water-Food-Energy Nexus Thermofluids Nanotechnology Membrane Science</t>
        </is>
      </c>
      <c r="Z41" s="2" t="inlineStr">
        <is>
          <t>Thermodynamics Fluid Mechanics Heat &amp; Mass Transfer</t>
        </is>
      </c>
      <c r="AA41" s="2" t="inlineStr">
        <is>
          <t>Thermodynamics Fluid Mechanics Heat &amp; Mass Transfer</t>
        </is>
      </c>
      <c r="AB41" s="2" t="inlineStr">
        <is>
          <t>Ph.D., Massachusetts Institute of Technology M.Eng., Cornell University B.S., Cornell University</t>
        </is>
      </c>
      <c r="AC41" s="2" t="inlineStr">
        <is>
          <t>Research Website</t>
        </is>
      </c>
      <c r="AD41" s="3">
        <f>HYPERLINK("http://www.warsinger.com", "http://www.warsinger.com")</f>
        <v/>
      </c>
      <c r="AE41" s="2" t="inlineStr">
        <is>
          <t>PostDoc and PhD Positions available on vapor selective membranes and reverse osmosis technologies. | Type of Undergraduate work: A wide variety of experience is possible, including apparatus building and testing, machining, running experiments, controls work, technical writing, patents, academic diagrams, data analysis, and mathematical modelling. New positions include all areas mentioned on the research page.</t>
        </is>
      </c>
      <c r="AF41" s="2" t="inlineStr"/>
      <c r="AG41" s="2" t="inlineStr">
        <is>
          <t>Gas Turbine, SEM</t>
        </is>
      </c>
      <c r="AH41" s="2" t="inlineStr">
        <is>
          <t>DOE, NSF</t>
        </is>
      </c>
      <c r="AI41" s="3">
        <f>HYPERLINK("https://github.com/arao53/awh-limits/blob/main/lego_maps/warsinger_lego_maps.ipynb", "https://github.com/arao53/awh-limits/blob/main/lego_maps/warsinger_lego_maps.ipynb")</f>
        <v/>
      </c>
      <c r="AJ41" s="2" t="inlineStr"/>
      <c r="AK41" s="2" t="inlineStr"/>
      <c r="AL41" s="2" t="b">
        <v>1</v>
      </c>
      <c r="AM41" s="3">
        <f>HYPERLINK("https://engineering.purdue.edu/ME/People/ptFaculty", "https://engineering.purdue.edu/ME/People/ptFaculty")</f>
        <v/>
      </c>
    </row>
    <row r="42">
      <c r="A42" s="2" t="inlineStr">
        <is>
          <t>Jingang Li</t>
        </is>
      </c>
      <c r="B42" s="2" t="inlineStr">
        <is>
          <t>Purdue University</t>
        </is>
      </c>
      <c r="C42" s="3">
        <f>HYPERLINK("https://engineering.purdue.edu/ME/People/ptProfile?resource_id=318598", "https://engineering.purdue.edu/ME/People/ptProfile?resource_id=318598")</f>
        <v/>
      </c>
      <c r="D42" s="3">
        <f>HYPERLINK("https://scholar.google.com/citations?user=SxOdEgEAAAAJ&amp;hl=en&amp;oi=ao", "Scholar (SxOdEgEAAAAJ)")</f>
        <v/>
      </c>
      <c r="E42" s="2" t="inlineStr">
        <is>
          <t>Assistant Professor of Mechanical Engineering and Materials Engineering</t>
        </is>
      </c>
      <c r="F42" s="2" t="inlineStr">
        <is>
          <t>Mechanical Engineering</t>
        </is>
      </c>
      <c r="G42" s="2" t="inlineStr">
        <is>
          <t>SxOdEgEAAAAJ</t>
        </is>
      </c>
      <c r="H42" s="3">
        <f>HYPERLINK("mailto:jingang@purdue.edu", "jingang@purdue.edu")</f>
        <v/>
      </c>
      <c r="I42" s="2" t="n">
        <v>2</v>
      </c>
      <c r="J42" s="2" t="inlineStr">
        <is>
          <t>🟡 Tier 2: Thermal / Heat Transfer / Energy</t>
        </is>
      </c>
      <c r="K42" s="2" t="n">
        <v>3</v>
      </c>
      <c r="L42" s="2" t="inlineStr">
        <is>
          <t>materials, thermal, thermodynamics</t>
        </is>
      </c>
      <c r="M42" s="2" t="inlineStr"/>
      <c r="N42" s="2" t="inlineStr"/>
      <c r="O42" s="2" t="inlineStr"/>
      <c r="P42" s="2" t="inlineStr"/>
      <c r="Q42" s="2" t="inlineStr"/>
      <c r="R42" s="2" t="inlineStr"/>
      <c r="S42" s="2" t="inlineStr"/>
      <c r="T42" s="2" t="inlineStr"/>
      <c r="U42" s="2" t="inlineStr">
        <is>
          <t>Outstanding Mechanical Engineers Distinguished Engineering Alumni Honorary Doctorates Staff Awards Student Awards Distinguished...</t>
        </is>
      </c>
      <c r="V42" s="2" t="inlineStr"/>
      <c r="W42" s="2" t="inlineStr"/>
      <c r="X42" s="2" t="inlineStr"/>
      <c r="Y42" s="2" t="inlineStr">
        <is>
          <t>Optical tweezers and optical manipulation Nanophotonics Photothermal conversion and applications Optical and optoelectronic materials Nanoscale energy transfer Laser processing and diagnosis</t>
        </is>
      </c>
      <c r="Z42" s="2" t="inlineStr">
        <is>
          <t>Thermodynamics Heat &amp; Mass Transfer</t>
        </is>
      </c>
      <c r="AA42" s="2" t="inlineStr">
        <is>
          <t>Thermodynamics Heat &amp; Mass Transfer</t>
        </is>
      </c>
      <c r="AB42" s="2" t="inlineStr">
        <is>
          <t>Postdoctoral Fellow, University of California, Berkeley, 2025 Ph.D., The University of Texas at Austin, 2021 B.S., University of Science and Technology of China, 2017</t>
        </is>
      </c>
      <c r="AC42" s="2" t="inlineStr">
        <is>
          <t>Lab Website</t>
        </is>
      </c>
      <c r="AD42" s="3">
        <f>HYPERLINK("https://www.jingangli.org", "https://www.jingangli.org")</f>
        <v/>
      </c>
      <c r="AE42" s="2" t="inlineStr">
        <is>
          <t>More Home Members Research Publications Open Positions News Contact</t>
        </is>
      </c>
      <c r="AF42" s="2" t="inlineStr"/>
      <c r="AG42" s="2" t="inlineStr"/>
      <c r="AH42" s="2" t="inlineStr"/>
      <c r="AI42" s="2" t="inlineStr"/>
      <c r="AJ42" s="2" t="inlineStr"/>
      <c r="AK42" s="2" t="inlineStr"/>
      <c r="AL42" s="2" t="b">
        <v>1</v>
      </c>
      <c r="AM42" s="3">
        <f>HYPERLINK("https://engineering.purdue.edu/ME/People/ptFaculty", "https://engineering.purdue.edu/ME/People/ptFaculty")</f>
        <v/>
      </c>
    </row>
    <row r="43">
      <c r="A43" s="2" t="inlineStr">
        <is>
          <t>Davide Ziviani</t>
        </is>
      </c>
      <c r="B43" s="2" t="inlineStr">
        <is>
          <t>Purdue University</t>
        </is>
      </c>
      <c r="C43" s="3">
        <f>HYPERLINK("https://engineering.purdue.edu/ME/People/ptProfile?resource_id=164622", "https://engineering.purdue.edu/ME/People/ptProfile?resource_id=164622")</f>
        <v/>
      </c>
      <c r="D43" s="3">
        <f>HYPERLINK("https://scholar.google.com/citations?view_op=search_authors&amp;mauthors=Davide%20Ziviani%20Purdue%20University", "Google Scholar Search")</f>
        <v/>
      </c>
      <c r="E43" s="2" t="inlineStr">
        <is>
          <t>Associate Professor of Mechanical Engineering, Co-Director of the Center for High Performance Buildings</t>
        </is>
      </c>
      <c r="F43" s="2" t="inlineStr">
        <is>
          <t>Mechanical Engineering</t>
        </is>
      </c>
      <c r="G43" s="2" t="inlineStr"/>
      <c r="H43" s="3">
        <f>HYPERLINK("mailto:dziviani@purdue.edu", "dziviani@purdue.edu")</f>
        <v/>
      </c>
      <c r="I43" s="2" t="n">
        <v>2</v>
      </c>
      <c r="J43" s="2" t="inlineStr">
        <is>
          <t>🟡 Tier 2: Thermal / Heat Transfer / Energy</t>
        </is>
      </c>
      <c r="K43" s="2" t="n">
        <v>2</v>
      </c>
      <c r="L43" s="2" t="inlineStr">
        <is>
          <t>thermal, thermodynamics</t>
        </is>
      </c>
      <c r="M43" s="2" t="inlineStr"/>
      <c r="N43" s="2" t="inlineStr"/>
      <c r="O43" s="2" t="inlineStr"/>
      <c r="P43" s="2" t="inlineStr"/>
      <c r="Q43" s="2" t="inlineStr"/>
      <c r="R43" s="2" t="inlineStr"/>
      <c r="S43" s="2" t="inlineStr"/>
      <c r="T43" s="2" t="inlineStr"/>
      <c r="U43" s="2" t="inlineStr">
        <is>
          <t>Outstanding Mechanical Engineers Distinguished Engineering Alumni Honorary Doctorates Staff Awards Student Awards Distinguished...</t>
        </is>
      </c>
      <c r="V43" s="2" t="inlineStr"/>
      <c r="W43" s="2" t="inlineStr"/>
      <c r="X43" s="2" t="inlineStr"/>
      <c r="Y43" s="2" t="inlineStr">
        <is>
          <t>Advanced Heat Pumps and Refrigeration Systems Deep Space Habitats and Systems Thermal Management Systems</t>
        </is>
      </c>
      <c r="Z43" s="2" t="inlineStr">
        <is>
          <t>Thermodynamics</t>
        </is>
      </c>
      <c r="AA43" s="2" t="inlineStr">
        <is>
          <t>Thermodynamics</t>
        </is>
      </c>
      <c r="AB43" s="2" t="inlineStr">
        <is>
          <t>Ph.D. Ghent University (Belgium), '17 M.S. University of Ferrara (Italy), '11 B.S. University of Ferrara (Italy),'08</t>
        </is>
      </c>
      <c r="AC43" s="2" t="inlineStr">
        <is>
          <t>Ziviani Research Group overview</t>
        </is>
      </c>
      <c r="AD43" s="3">
        <f>HYPERLINK("https://engineering.purdue.edu/ME/Images/Ziviani-Research-Group-Overview.pdf", "https://engineering.purdue.edu/ME/Images/Ziviani-Research-Group-Overview.pdf")</f>
        <v/>
      </c>
      <c r="AE43" s="2" t="inlineStr"/>
      <c r="AF43" s="2" t="inlineStr"/>
      <c r="AG43" s="2" t="inlineStr"/>
      <c r="AH43" s="2" t="inlineStr"/>
      <c r="AI43" s="2" t="inlineStr"/>
      <c r="AJ43" s="2" t="inlineStr"/>
      <c r="AK43" s="2" t="inlineStr"/>
      <c r="AL43" s="2" t="b">
        <v>1</v>
      </c>
      <c r="AM43" s="3">
        <f>HYPERLINK("https://engineering.purdue.edu/ME/People/ptFaculty", "https://engineering.purdue.edu/ME/People/ptFaculty")</f>
        <v/>
      </c>
    </row>
    <row r="44">
      <c r="A44" s="2" t="inlineStr">
        <is>
          <t>Davin Piercey</t>
        </is>
      </c>
      <c r="B44" s="2" t="inlineStr">
        <is>
          <t>Purdue University</t>
        </is>
      </c>
      <c r="C44" s="3">
        <f>HYPERLINK("https://engineering.purdue.edu/ME/People/ptProfile?resource_id=184725", "https://engineering.purdue.edu/ME/People/ptProfile?resource_id=184725")</f>
        <v/>
      </c>
      <c r="D44" s="3">
        <f>HYPERLINK("https://scholar.google.com/citations?user=PJ1trVUAAAAJ&amp;hl=en", "Scholar (PJ1trVUAAAAJ)")</f>
        <v/>
      </c>
      <c r="E44" s="2" t="inlineStr">
        <is>
          <t>Associate Professor of Materials Engineering and Mechanical Engineering</t>
        </is>
      </c>
      <c r="F44" s="2" t="inlineStr">
        <is>
          <t>Mechanical Engineering</t>
        </is>
      </c>
      <c r="G44" s="2" t="inlineStr">
        <is>
          <t>PJ1trVUAAAAJ</t>
        </is>
      </c>
      <c r="H44" s="3">
        <f>HYPERLINK("mailto:dpiercey@purdue.edu", "dpiercey@purdue.edu")</f>
        <v/>
      </c>
      <c r="I44" s="2" t="n">
        <v>2</v>
      </c>
      <c r="J44" s="2" t="inlineStr">
        <is>
          <t>🟡 Tier 2: Thermal / Heat Transfer / Energy</t>
        </is>
      </c>
      <c r="K44" s="2" t="n">
        <v>2</v>
      </c>
      <c r="L44" s="2" t="inlineStr">
        <is>
          <t>materials, thermodynamics</t>
        </is>
      </c>
      <c r="M44" s="2" t="inlineStr"/>
      <c r="N44" s="2" t="inlineStr"/>
      <c r="O44" s="2" t="inlineStr"/>
      <c r="P44" s="2" t="inlineStr"/>
      <c r="Q44" s="2" t="inlineStr"/>
      <c r="R44" s="2" t="inlineStr"/>
      <c r="S44" s="2" t="inlineStr"/>
      <c r="T44" s="2" t="inlineStr"/>
      <c r="U44" s="2" t="inlineStr">
        <is>
          <t>Outstanding Mechanical Engineers Distinguished Engineering Alumni Honorary Doctorates Staff Awards Student Awards Distinguished...</t>
        </is>
      </c>
      <c r="V44" s="2" t="inlineStr"/>
      <c r="W44" s="2" t="inlineStr"/>
      <c r="X44" s="2" t="inlineStr"/>
      <c r="Y44" s="2" t="inlineStr">
        <is>
          <t>Synthesis of energetic materials Chemistry of nitrogen-rich compounds Characterization of explosives, propellants, and pyrotechnics Electrochemical synthesis Thermochemistry of energetic material synthesis Reactive and agent defeat materials</t>
        </is>
      </c>
      <c r="Z44" s="2" t="inlineStr">
        <is>
          <t>Thermodynamics</t>
        </is>
      </c>
      <c r="AA44" s="2" t="inlineStr">
        <is>
          <t>Thermodynamics</t>
        </is>
      </c>
      <c r="AB44" s="2" t="inlineStr"/>
      <c r="AC44" s="2" t="inlineStr">
        <is>
          <t>Piercey Research Group</t>
        </is>
      </c>
      <c r="AD44" s="3">
        <f>HYPERLINK("https://www.davinpiercey.com/", "https://www.davinpiercey.com/")</f>
        <v/>
      </c>
      <c r="AE44" s="2" t="inlineStr"/>
      <c r="AF44" s="2" t="inlineStr"/>
      <c r="AG44" s="2" t="inlineStr"/>
      <c r="AH44" s="2" t="inlineStr"/>
      <c r="AI44" s="2" t="inlineStr"/>
      <c r="AJ44" s="2" t="inlineStr"/>
      <c r="AK44" s="2" t="inlineStr">
        <is>
          <t>FLEX 3041D</t>
        </is>
      </c>
      <c r="AL44" s="2" t="b">
        <v>1</v>
      </c>
      <c r="AM44" s="3">
        <f>HYPERLINK("https://engineering.purdue.edu/ME/People/ptFaculty", "https://engineering.purdue.edu/ME/People/ptFaculty")</f>
        <v/>
      </c>
    </row>
    <row r="45">
      <c r="A45" s="2" t="inlineStr">
        <is>
          <t>Eckhard A. Groll</t>
        </is>
      </c>
      <c r="B45" s="2" t="inlineStr">
        <is>
          <t>Purdue University</t>
        </is>
      </c>
      <c r="C45" s="3">
        <f>HYPERLINK("https://engineering.purdue.edu/ME/People/ptProfile?resource_id=11748", "https://engineering.purdue.edu/ME/People/ptProfile?resource_id=11748")</f>
        <v/>
      </c>
      <c r="D45" s="3">
        <f>HYPERLINK("https://scholar.google.com/citations?view_op=search_authors&amp;mauthors=Eckhard%20A.%20Groll%20Purdue%20University", "Google Scholar Search")</f>
        <v/>
      </c>
      <c r="E45" s="2" t="inlineStr">
        <is>
          <t>William E. and Florence E. Perry Head of Mechanical Engineering, and Reilly Distinguished Professor of Mechanical Engineering</t>
        </is>
      </c>
      <c r="F45" s="2" t="inlineStr">
        <is>
          <t>Mechanical Engineering</t>
        </is>
      </c>
      <c r="G45" s="2" t="inlineStr"/>
      <c r="H45" s="3">
        <f>HYPERLINK("mailto:groll@purdue.edu", "groll@purdue.edu")</f>
        <v/>
      </c>
      <c r="I45" s="2" t="n">
        <v>2</v>
      </c>
      <c r="J45" s="2" t="inlineStr">
        <is>
          <t>🟡 Tier 2: Thermal / Heat Transfer / Energy</t>
        </is>
      </c>
      <c r="K45" s="2" t="n">
        <v>2</v>
      </c>
      <c r="L45" s="2" t="inlineStr">
        <is>
          <t>thermal, thermodynamics</t>
        </is>
      </c>
      <c r="M45" s="2" t="inlineStr"/>
      <c r="N45" s="2" t="inlineStr"/>
      <c r="O45" s="2" t="inlineStr"/>
      <c r="P45" s="2" t="inlineStr"/>
      <c r="Q45" s="2" t="inlineStr"/>
      <c r="R45" s="2" t="inlineStr"/>
      <c r="S45" s="2" t="inlineStr"/>
      <c r="T45" s="2" t="inlineStr"/>
      <c r="U45" s="2" t="inlineStr">
        <is>
          <t>Outstanding Mechanical Engineers Distinguished Engineering Alumni Honorary Doctorates Staff Awards Student Awards Distinguished...</t>
        </is>
      </c>
      <c r="V45" s="2" t="inlineStr"/>
      <c r="W45" s="2" t="inlineStr"/>
      <c r="X45" s="2" t="inlineStr"/>
      <c r="Y45" s="2" t="inlineStr">
        <is>
          <t>Thermal sciences as applied to HVAC&amp;R systems and equipment</t>
        </is>
      </c>
      <c r="Z45" s="2" t="inlineStr">
        <is>
          <t>Thermodynamics</t>
        </is>
      </c>
      <c r="AA45" s="2" t="inlineStr">
        <is>
          <t>Thermodynamics</t>
        </is>
      </c>
      <c r="AB45" s="2" t="inlineStr">
        <is>
          <t>02/94   "Doktor-Ingenieur" (Doctor of Engineering) in Mechanical Engineering, University of Hannover, Hannover, Germany 11/89   "Diplom-Ingenieur" (Diploma of Engineering) in Mechanical Engineering, Ruhr-University of Bochum, Bochum, Germany 10/86   "Diplom-Vorprüfung" (Pre-Diploma of Engineering) in Mechanical Engineering, Ruhr-University of Bochum, Bochum, Germany</t>
        </is>
      </c>
      <c r="AC45" s="2" t="inlineStr">
        <is>
          <t>Center for High Performance Buildings</t>
        </is>
      </c>
      <c r="AD45" s="3">
        <f>HYPERLINK("https://engineering.purdue.edu/CHPB", "https://engineering.purdue.edu/CHPB")</f>
        <v/>
      </c>
      <c r="AE45" s="2" t="inlineStr"/>
      <c r="AF45" s="2" t="inlineStr"/>
      <c r="AG45" s="2" t="inlineStr"/>
      <c r="AH45" s="2" t="inlineStr"/>
      <c r="AI45" s="2" t="inlineStr"/>
      <c r="AJ45" s="2" t="inlineStr"/>
      <c r="AK45" s="2" t="inlineStr">
        <is>
          <t>ME 2007A</t>
        </is>
      </c>
      <c r="AL45" s="2" t="b">
        <v>1</v>
      </c>
      <c r="AM45" s="3">
        <f>HYPERLINK("https://engineering.purdue.edu/ME/People/ptFaculty", "https://engineering.purdue.edu/ME/People/ptFaculty")</f>
        <v/>
      </c>
    </row>
    <row r="46">
      <c r="A46" s="2" t="inlineStr">
        <is>
          <t>Jie Cai</t>
        </is>
      </c>
      <c r="B46" s="2" t="inlineStr">
        <is>
          <t>Purdue University</t>
        </is>
      </c>
      <c r="C46" s="3">
        <f>HYPERLINK("https://engineering.purdue.edu/ME/People/ptProfile?resource_id=71762", "https://engineering.purdue.edu/ME/People/ptProfile?resource_id=71762")</f>
        <v/>
      </c>
      <c r="D46" s="3">
        <f>HYPERLINK("https://scholar.google.com/citations?view_op=search_authors&amp;mauthors=Jie%20Cai%20Purdue%20University", "Google Scholar Search")</f>
        <v/>
      </c>
      <c r="E46" s="2" t="inlineStr">
        <is>
          <t>Associate Professor of Mechanical Engineering</t>
        </is>
      </c>
      <c r="F46" s="2" t="inlineStr">
        <is>
          <t>Mechanical Engineering</t>
        </is>
      </c>
      <c r="G46" s="2" t="inlineStr"/>
      <c r="H46" s="3">
        <f>HYPERLINK("mailto:cai40@purdue.edu", "cai40@purdue.edu")</f>
        <v/>
      </c>
      <c r="I46" s="2" t="n">
        <v>2</v>
      </c>
      <c r="J46" s="2" t="inlineStr">
        <is>
          <t>🟡 Tier 2: Thermal / Heat Transfer / Energy</t>
        </is>
      </c>
      <c r="K46" s="2" t="n">
        <v>2</v>
      </c>
      <c r="L46" s="2" t="inlineStr">
        <is>
          <t>energy systems, thermal</t>
        </is>
      </c>
      <c r="M46" s="2" t="inlineStr"/>
      <c r="N46" s="2" t="inlineStr"/>
      <c r="O46" s="2" t="inlineStr"/>
      <c r="P46" s="2" t="inlineStr"/>
      <c r="Q46" s="2" t="inlineStr"/>
      <c r="R46" s="2" t="inlineStr"/>
      <c r="S46" s="2" t="inlineStr"/>
      <c r="T46" s="2" t="inlineStr"/>
      <c r="U46" s="2" t="inlineStr">
        <is>
          <t>Outstanding Mechanical Engineers Distinguished Engineering Alumni Honorary Doctorates Staff Awards Student Awards Distinguished...</t>
        </is>
      </c>
      <c r="V46" s="2" t="inlineStr"/>
      <c r="W46" s="2" t="inlineStr"/>
      <c r="X46" s="2" t="inlineStr"/>
      <c r="Y46" s="2" t="inlineStr">
        <is>
          <t>Grid-Interactive Building Controls Modeling and Control of Thermal/Energy Systems HVAC and Smart Buildings Data-Driven Modeling Intelligent Control Systems</t>
        </is>
      </c>
      <c r="Z46" s="2" t="inlineStr"/>
      <c r="AA46" s="2" t="inlineStr">
        <is>
          <t>Grid-Interactive Building Controls Modeling and Control of Thermal/Energy Systems HVAC and Smart Buildings Data-Driven Modeling Intelligent Control Systems</t>
        </is>
      </c>
      <c r="AB46" s="2" t="inlineStr"/>
      <c r="AC46" s="2" t="inlineStr">
        <is>
          <t>Cai Research Group</t>
        </is>
      </c>
      <c r="AD46" s="3">
        <f>HYPERLINK("https://www.purdue.edu/engineering/cairesearchgroup/", "https://www.purdue.edu/engineering/cairesearchgroup/")</f>
        <v/>
      </c>
      <c r="AE46" s="2" t="inlineStr">
        <is>
          <t>Looking for a list of our campus locations and online options?</t>
        </is>
      </c>
      <c r="AF46" s="2" t="inlineStr"/>
      <c r="AG46" s="2" t="inlineStr"/>
      <c r="AH46" s="2" t="inlineStr"/>
      <c r="AI46" s="2" t="inlineStr"/>
      <c r="AJ46" s="2" t="inlineStr"/>
      <c r="AK46" s="2" t="inlineStr"/>
      <c r="AL46" s="2" t="b">
        <v>1</v>
      </c>
      <c r="AM46" s="3">
        <f>HYPERLINK("https://engineering.purdue.edu/ME/People/ptFaculty", "https://engineering.purdue.edu/ME/People/ptFaculty")</f>
        <v/>
      </c>
    </row>
    <row r="47">
      <c r="A47" s="2" t="inlineStr">
        <is>
          <t>Li Zhan</t>
        </is>
      </c>
      <c r="B47" s="2" t="inlineStr">
        <is>
          <t>Purdue University</t>
        </is>
      </c>
      <c r="C47" s="3">
        <f>HYPERLINK("https://engineering.purdue.edu/ME/People/ptProfile?resource_id=307226", "https://engineering.purdue.edu/ME/People/ptProfile?resource_id=307226")</f>
        <v/>
      </c>
      <c r="D47" s="3">
        <f>HYPERLINK("https://scholar.google.com/citations?hl=en&amp;tzom=240&amp;user=KojhX0gAAAAJ&amp;view_op=list_works&amp;sortby=pubdate&amp;inst=5549692440350501774", "Scholar (KojhX0gAAAAJ)")</f>
        <v/>
      </c>
      <c r="E47" s="2" t="inlineStr">
        <is>
          <t>Assistant Professor of Mechanical Engineering and Biomedical Engineering</t>
        </is>
      </c>
      <c r="F47" s="2" t="inlineStr">
        <is>
          <t>Mechanical Engineering</t>
        </is>
      </c>
      <c r="G47" s="2" t="inlineStr">
        <is>
          <t>KojhX0gAAAAJ</t>
        </is>
      </c>
      <c r="H47" s="3">
        <f>HYPERLINK("mailto:lizhan@purdue.edu", "lizhan@purdue.edu")</f>
        <v/>
      </c>
      <c r="I47" s="2" t="n">
        <v>2</v>
      </c>
      <c r="J47" s="2" t="inlineStr">
        <is>
          <t>🟡 Tier 2: Thermal / Heat Transfer / Energy</t>
        </is>
      </c>
      <c r="K47" s="2" t="n">
        <v>2</v>
      </c>
      <c r="L47" s="2" t="inlineStr">
        <is>
          <t>microfluidics, thermodynamics</t>
        </is>
      </c>
      <c r="M47" s="2" t="inlineStr"/>
      <c r="N47" s="2" t="inlineStr"/>
      <c r="O47" s="2" t="inlineStr"/>
      <c r="P47" s="2" t="inlineStr"/>
      <c r="Q47" s="2" t="inlineStr"/>
      <c r="R47" s="2" t="inlineStr"/>
      <c r="S47" s="2" t="inlineStr"/>
      <c r="T47" s="2" t="inlineStr"/>
      <c r="U47" s="2" t="inlineStr">
        <is>
          <t>Outstanding Mechanical Engineers Distinguished Engineering Alumni Honorary Doctorates Staff Awards Student Awards Distinguished...</t>
        </is>
      </c>
      <c r="V47" s="2" t="inlineStr"/>
      <c r="W47" s="2" t="inlineStr"/>
      <c r="X47" s="2" t="inlineStr"/>
      <c r="Y47" s="2" t="inlineStr">
        <is>
          <t>Biomanufacturing and biopreservation Microfluidics Biotransport Micro/nano biomedical devices Diagnostics</t>
        </is>
      </c>
      <c r="Z47" s="2" t="inlineStr">
        <is>
          <t>Thermodynamics Heat &amp; Mass Transfer</t>
        </is>
      </c>
      <c r="AA47" s="2" t="inlineStr">
        <is>
          <t>Thermodynamics Heat &amp; Mass Transfer</t>
        </is>
      </c>
      <c r="AB47" s="2" t="inlineStr">
        <is>
          <t>Postdoctoral Fellow, Massachusetts General Hospital and Harvard Medical School, 2024 Ph.D., University of Minnesota, 2020 B.Eng., Xi’an Jiaotong University, 2014</t>
        </is>
      </c>
      <c r="AC47" s="2" t="inlineStr">
        <is>
          <t>Zhan Research Group</t>
        </is>
      </c>
      <c r="AD47" s="3">
        <f>HYPERLINK("https://www.zhanlab.org/", "https://www.zhanlab.org/")</f>
        <v/>
      </c>
      <c r="AE47" s="2" t="inlineStr"/>
      <c r="AF47" s="2" t="inlineStr"/>
      <c r="AG47" s="2" t="inlineStr"/>
      <c r="AH47" s="2" t="inlineStr"/>
      <c r="AI47" s="2" t="inlineStr"/>
      <c r="AJ47" s="2" t="inlineStr"/>
      <c r="AK47" s="2" t="inlineStr">
        <is>
          <t>ME G091</t>
        </is>
      </c>
      <c r="AL47" s="2" t="b">
        <v>1</v>
      </c>
      <c r="AM47" s="3">
        <f>HYPERLINK("https://engineering.purdue.edu/ME/People/ptFaculty", "https://engineering.purdue.edu/ME/People/ptFaculty")</f>
        <v/>
      </c>
    </row>
    <row r="48">
      <c r="A48" s="2" t="inlineStr">
        <is>
          <t>Partha P. Mukherjee</t>
        </is>
      </c>
      <c r="B48" s="2" t="inlineStr">
        <is>
          <t>Purdue University</t>
        </is>
      </c>
      <c r="C48" s="3">
        <f>HYPERLINK("https://engineering.purdue.edu/ME/People/ptProfile?resource_id=173050", "https://engineering.purdue.edu/ME/People/ptProfile?resource_id=173050")</f>
        <v/>
      </c>
      <c r="D48" s="3">
        <f>HYPERLINK("https://scholar.google.com/citations?view_op=search_authors&amp;mauthors=Partha%20P.%20Mukherjee%20Purdue%20University", "Google Scholar Search")</f>
        <v/>
      </c>
      <c r="E48" s="2" t="inlineStr">
        <is>
          <t>Professor of Mechanical Engineering, and Associate Head for Research</t>
        </is>
      </c>
      <c r="F48" s="2" t="inlineStr">
        <is>
          <t>Mechanical Engineering</t>
        </is>
      </c>
      <c r="G48" s="2" t="inlineStr"/>
      <c r="H48" s="3">
        <f>HYPERLINK("mailto:pmukherjee@purdue.edu", "pmukherjee@purdue.edu")</f>
        <v/>
      </c>
      <c r="I48" s="2" t="n">
        <v>2</v>
      </c>
      <c r="J48" s="2" t="inlineStr">
        <is>
          <t>🟡 Tier 2: Thermal / Heat Transfer / Energy</t>
        </is>
      </c>
      <c r="K48" s="2" t="n">
        <v>2</v>
      </c>
      <c r="L48" s="2" t="inlineStr">
        <is>
          <t>materials, thermodynamics</t>
        </is>
      </c>
      <c r="M48" s="2" t="inlineStr"/>
      <c r="N48" s="2" t="inlineStr"/>
      <c r="O48" s="2" t="inlineStr"/>
      <c r="P48" s="2" t="inlineStr"/>
      <c r="Q48" s="2" t="inlineStr"/>
      <c r="R48" s="2" t="inlineStr"/>
      <c r="S48" s="2" t="inlineStr"/>
      <c r="T48" s="2" t="inlineStr"/>
      <c r="U48" s="2" t="inlineStr">
        <is>
          <t>Outstanding Mechanical Engineers Distinguished Engineering Alumni Honorary Doctorates Staff Awards Student Awards Distinguished...</t>
        </is>
      </c>
      <c r="V48" s="2" t="inlineStr">
        <is>
          <t>Our experimental lab is situated at FLEX Labs 2nd Floor. The best way to contact Dr. Mukherjee is via email. | The best way to contact Dr. Mukherjee is via email.</t>
        </is>
      </c>
      <c r="W48" s="2" t="inlineStr"/>
      <c r="X48" s="2" t="inlineStr"/>
      <c r="Y48" s="2" t="inlineStr">
        <is>
          <t>Energy storage and conversion (batteries, fuel cells) Mesoscale physics and stochastics Reactive transport, materials, processing, and microstructure interactions</t>
        </is>
      </c>
      <c r="Z48" s="2" t="inlineStr">
        <is>
          <t>Thermodynamics Heat &amp; Mass Transfer</t>
        </is>
      </c>
      <c r="AA48" s="2" t="inlineStr">
        <is>
          <t>Thermodynamics Heat &amp; Mass Transfer</t>
        </is>
      </c>
      <c r="AB48" s="2" t="inlineStr">
        <is>
          <t>Ph.D., Pennsylvania State University, University Park, USA, ‘07 M.S., Indian Institute of Technology, Kanpur, India, ‘99 B.S., North Bengal University, West Bengal, India, ‘97</t>
        </is>
      </c>
      <c r="AC48" s="2" t="inlineStr">
        <is>
          <t>Energy and Transport Sciences Laboratory (ETSL)</t>
        </is>
      </c>
      <c r="AD48" s="3">
        <f>HYPERLINK("https://engineering.purdue.edu/ETSL/", "https://engineering.purdue.edu/ETSL/")</f>
        <v/>
      </c>
      <c r="AE48" s="2" t="inlineStr"/>
      <c r="AF48" s="2" t="inlineStr"/>
      <c r="AG48" s="2" t="inlineStr"/>
      <c r="AH48" s="2" t="inlineStr"/>
      <c r="AI48" s="2" t="inlineStr"/>
      <c r="AJ48" s="2" t="inlineStr"/>
      <c r="AK48" s="2" t="inlineStr">
        <is>
          <t>FLEX 2101A</t>
        </is>
      </c>
      <c r="AL48" s="2" t="b">
        <v>1</v>
      </c>
      <c r="AM48" s="3">
        <f>HYPERLINK("https://engineering.purdue.edu/ME/People/ptFaculty", "https://engineering.purdue.edu/ME/People/ptFaculty")</f>
        <v/>
      </c>
    </row>
    <row r="49">
      <c r="A49" s="2" t="inlineStr">
        <is>
          <t>Rebecca Ciez</t>
        </is>
      </c>
      <c r="B49" s="2" t="inlineStr">
        <is>
          <t>Purdue University</t>
        </is>
      </c>
      <c r="C49" s="3">
        <f>HYPERLINK("https://engineering.purdue.edu/ME/People/ptProfile?resource_id=241060", "https://engineering.purdue.edu/ME/People/ptProfile?resource_id=241060")</f>
        <v/>
      </c>
      <c r="D49" s="3">
        <f>HYPERLINK("https://scholar.google.com/citations?user=OEzRkQMAAAAJ&amp;hl=en", "Scholar (OEzRkQMAAAAJ)")</f>
        <v/>
      </c>
      <c r="E49" s="2" t="inlineStr">
        <is>
          <t>Assistant Professor of Mechanical Engineering, and Sustainability Engineering &amp; Environmental Engineering</t>
        </is>
      </c>
      <c r="F49" s="2" t="inlineStr">
        <is>
          <t>Mechanical Engineering</t>
        </is>
      </c>
      <c r="G49" s="2" t="inlineStr">
        <is>
          <t>OEzRkQMAAAAJ</t>
        </is>
      </c>
      <c r="H49" s="3">
        <f>HYPERLINK("mailto:rciez@purdue.edu", "rciez@purdue.edu")</f>
        <v/>
      </c>
      <c r="I49" s="2" t="n">
        <v>2</v>
      </c>
      <c r="J49" s="2" t="inlineStr">
        <is>
          <t>🟡 Tier 2: Thermal / Heat Transfer / Energy</t>
        </is>
      </c>
      <c r="K49" s="2" t="n">
        <v>2</v>
      </c>
      <c r="L49" s="2" t="inlineStr">
        <is>
          <t>energy systems, thermodynamics</t>
        </is>
      </c>
      <c r="M49" s="2" t="inlineStr"/>
      <c r="N49" s="2" t="inlineStr"/>
      <c r="O49" s="2" t="inlineStr"/>
      <c r="P49" s="2" t="inlineStr"/>
      <c r="Q49" s="2" t="inlineStr"/>
      <c r="R49" s="2" t="inlineStr"/>
      <c r="S49" s="2" t="inlineStr"/>
      <c r="T49" s="2" t="inlineStr"/>
      <c r="U49" s="2" t="inlineStr">
        <is>
          <t>Outstanding Mechanical Engineers Distinguished Engineering Alumni Honorary Doctorates Staff Awards Student Awards Distinguished...</t>
        </is>
      </c>
      <c r="V49" s="2" t="inlineStr">
        <is>
          <t>I recruit students through both Mechanical Engineering and Sustainability Engineering and Environmental Environmental Engineering . Interested undergraduate students should email me with a copy of their resume, a brief list of related classes, and their research interests. Prospective graduate students should email me with a copy their CV and a brief statement of their research interests, and how their interests connect to my research areas.</t>
        </is>
      </c>
      <c r="W49" s="2" t="inlineStr"/>
      <c r="X49" s="2" t="inlineStr"/>
      <c r="Y49" s="2" t="inlineStr">
        <is>
          <t>Identify interactions and design spaces at the intersection of energy technologies, economics, and decision-making process to minimize the cost of transitioning to new, decarbonized energy systems</t>
        </is>
      </c>
      <c r="Z49" s="2" t="inlineStr">
        <is>
          <t>Thermodynamics</t>
        </is>
      </c>
      <c r="AA49" s="2" t="inlineStr">
        <is>
          <t>Thermodynamics</t>
        </is>
      </c>
      <c r="AB49" s="2" t="inlineStr">
        <is>
          <t>Ph.D., Engineering and Public Policy, Carnegie Mellon University, 2018 B.S., Mechanical Engineering, Columbia University, 2013</t>
        </is>
      </c>
      <c r="AC49" s="2" t="inlineStr">
        <is>
          <t>Personal Website</t>
        </is>
      </c>
      <c r="AD49" s="3">
        <f>HYPERLINK("https://rciez2125.github.io/", "https://rciez2125.github.io/")</f>
        <v/>
      </c>
      <c r="AE49" s="2" t="inlineStr"/>
      <c r="AF49" s="2" t="inlineStr"/>
      <c r="AG49" s="2" t="inlineStr"/>
      <c r="AH49" s="2" t="inlineStr"/>
      <c r="AI49" s="2" t="inlineStr"/>
      <c r="AJ49" s="2" t="inlineStr"/>
      <c r="AK49" s="2" t="inlineStr"/>
      <c r="AL49" s="2" t="b">
        <v>1</v>
      </c>
      <c r="AM49" s="3">
        <f>HYPERLINK("https://engineering.purdue.edu/ME/People/ptFaculty", "https://engineering.purdue.edu/ME/People/ptFaculty")</f>
        <v/>
      </c>
    </row>
    <row r="50">
      <c r="A50" s="2" t="inlineStr">
        <is>
          <t>Justin A. Weibel</t>
        </is>
      </c>
      <c r="B50" s="2" t="inlineStr">
        <is>
          <t>Purdue University</t>
        </is>
      </c>
      <c r="C50" s="3">
        <f>HYPERLINK("https://engineering.purdue.edu/ME/People/ptProfile?resource_id=78578", "https://engineering.purdue.edu/ME/People/ptProfile?resource_id=78578")</f>
        <v/>
      </c>
      <c r="D50" s="3">
        <f>HYPERLINK("https://scholar.google.com/citations?view_op=search_authors&amp;mauthors=Justin%20A.%20Weibel%20Purdue%20University", "Google Scholar Search")</f>
        <v/>
      </c>
      <c r="E50" s="2" t="inlineStr">
        <is>
          <t>Professor of Mechanical Engineering</t>
        </is>
      </c>
      <c r="F50" s="2" t="inlineStr">
        <is>
          <t>Mechanical Engineering</t>
        </is>
      </c>
      <c r="G50" s="2" t="inlineStr"/>
      <c r="H50" s="3">
        <f>HYPERLINK("mailto:jaweibel@purdue.edu", "jaweibel@purdue.edu")</f>
        <v/>
      </c>
      <c r="I50" s="2" t="n">
        <v>2</v>
      </c>
      <c r="J50" s="2" t="inlineStr">
        <is>
          <t>🟡 Tier 2: Thermal / Heat Transfer / Energy</t>
        </is>
      </c>
      <c r="K50" s="2" t="n">
        <v>1</v>
      </c>
      <c r="L50" s="2" t="inlineStr">
        <is>
          <t>thermal</t>
        </is>
      </c>
      <c r="M50" s="2" t="inlineStr"/>
      <c r="N50" s="2" t="inlineStr"/>
      <c r="O50" s="2" t="inlineStr"/>
      <c r="P50" s="2" t="inlineStr"/>
      <c r="Q50" s="2" t="inlineStr"/>
      <c r="R50" s="2" t="inlineStr"/>
      <c r="S50" s="2" t="inlineStr"/>
      <c r="T50" s="2" t="inlineStr"/>
      <c r="U50" s="2" t="inlineStr">
        <is>
          <t>Outstanding Mechanical Engineers Distinguished Engineering Alumni Honorary Doctorates Staff Awards Student Awards Distinguished...</t>
        </is>
      </c>
      <c r="V50" s="2" t="inlineStr"/>
      <c r="W50" s="2" t="inlineStr"/>
      <c r="X50" s="2" t="inlineStr"/>
      <c r="Y50" s="2" t="inlineStr">
        <is>
          <t>Advanced electronics cooling and packaging technologies Phase-change transport phenomena Additive manufacturing of thermal management components Topological optimization and machine-learning-based design Thermal systems analysis for electrification and energy efficiency Microscale and nanoscale surface engineering for enhanced thermal transport</t>
        </is>
      </c>
      <c r="Z50" s="2" t="inlineStr">
        <is>
          <t>Heat &amp; Mass Transfer</t>
        </is>
      </c>
      <c r="AA50" s="2" t="inlineStr">
        <is>
          <t>Heat &amp; Mass Transfer</t>
        </is>
      </c>
      <c r="AB50" s="2" t="inlineStr"/>
      <c r="AC50" s="2" t="inlineStr">
        <is>
          <t>Cooling Technologies Research Center</t>
        </is>
      </c>
      <c r="AD50" s="3">
        <f>HYPERLINK("https://engineering.purdue.edu/CTRC/", "https://engineering.purdue.edu/CTRC/")</f>
        <v/>
      </c>
      <c r="AE50" s="2" t="inlineStr"/>
      <c r="AF50" s="2" t="inlineStr"/>
      <c r="AG50" s="2" t="inlineStr"/>
      <c r="AH50" s="2" t="inlineStr"/>
      <c r="AI50" s="2" t="inlineStr"/>
      <c r="AJ50" s="2" t="inlineStr"/>
      <c r="AK50" s="2" t="inlineStr">
        <is>
          <t>ME 3174</t>
        </is>
      </c>
      <c r="AL50" s="2" t="b">
        <v>1</v>
      </c>
      <c r="AM50" s="3">
        <f>HYPERLINK("https://engineering.purdue.edu/ME/People/ptFaculty", "https://engineering.purdue.edu/ME/People/ptFaculty")</f>
        <v/>
      </c>
    </row>
    <row r="51">
      <c r="A51" s="2" t="inlineStr">
        <is>
          <t>Kevin Kircher</t>
        </is>
      </c>
      <c r="B51" s="2" t="inlineStr">
        <is>
          <t>Purdue University</t>
        </is>
      </c>
      <c r="C51" s="3">
        <f>HYPERLINK("https://engineering.purdue.edu/ME/People/ptProfile?resource_id=273136", "https://engineering.purdue.edu/ME/People/ptProfile?resource_id=273136")</f>
        <v/>
      </c>
      <c r="D51" s="3">
        <f>HYPERLINK("https://scholar.google.com/citations?view_op=search_authors&amp;mauthors=Kevin%20Kircher%20Purdue%20University", "Google Scholar Search")</f>
        <v/>
      </c>
      <c r="E51" s="2" t="inlineStr">
        <is>
          <t>Assistant Professor of Mechanical Engineering</t>
        </is>
      </c>
      <c r="F51" s="2" t="inlineStr">
        <is>
          <t>Mechanical Engineering</t>
        </is>
      </c>
      <c r="G51" s="2" t="inlineStr"/>
      <c r="H51" s="3">
        <f>HYPERLINK("mailto:kircher@purdue.edu", "kircher@purdue.edu")</f>
        <v/>
      </c>
      <c r="I51" s="2" t="n">
        <v>2</v>
      </c>
      <c r="J51" s="2" t="inlineStr">
        <is>
          <t>🟡 Tier 2: Thermal / Heat Transfer / Energy</t>
        </is>
      </c>
      <c r="K51" s="2" t="n">
        <v>1</v>
      </c>
      <c r="L51" s="2" t="inlineStr">
        <is>
          <t>thermodynamics</t>
        </is>
      </c>
      <c r="M51" s="2" t="inlineStr"/>
      <c r="N51" s="2" t="inlineStr"/>
      <c r="O51" s="2" t="inlineStr"/>
      <c r="P51" s="2" t="inlineStr"/>
      <c r="Q51" s="2" t="inlineStr"/>
      <c r="R51" s="2" t="inlineStr"/>
      <c r="S51" s="2" t="inlineStr"/>
      <c r="T51" s="2" t="inlineStr"/>
      <c r="U51" s="2" t="inlineStr">
        <is>
          <t>Outstanding Mechanical Engineers Distinguished Engineering Alumni Honorary Doctorates Staff Awards Student Awards Distinguished...</t>
        </is>
      </c>
      <c r="V51" s="2" t="inlineStr"/>
      <c r="W51" s="2" t="inlineStr"/>
      <c r="X51" s="2" t="inlineStr"/>
      <c r="Y51" s="2" t="inlineStr">
        <is>
          <t>Building electrification, flexibility, and efficiency Integrating flexible loads, energy storage, and distributed solar into power grids Optimization and control under uncertainty Energy policy</t>
        </is>
      </c>
      <c r="Z51" s="2" t="inlineStr">
        <is>
          <t>Thermodynamics Systems, Measurements &amp; Controls</t>
        </is>
      </c>
      <c r="AA51" s="2" t="inlineStr">
        <is>
          <t>Thermodynamics Systems, Measurements &amp; Controls</t>
        </is>
      </c>
      <c r="AB51" s="2" t="inlineStr">
        <is>
          <t>PhD, Mechanical Engineering, Cornell University '19</t>
        </is>
      </c>
      <c r="AC51" s="2" t="inlineStr">
        <is>
          <t>Kircher Research Group</t>
        </is>
      </c>
      <c r="AD51" s="3">
        <f>HYPERLINK("https://kevinjkircher.com/", "https://kevinjkircher.com/")</f>
        <v/>
      </c>
      <c r="AE51" s="2" t="inlineStr"/>
      <c r="AF51" s="2" t="inlineStr"/>
      <c r="AG51" s="2" t="inlineStr"/>
      <c r="AH51" s="2" t="inlineStr"/>
      <c r="AI51" s="2" t="inlineStr"/>
      <c r="AJ51" s="2" t="inlineStr"/>
      <c r="AK51" s="2" t="inlineStr"/>
      <c r="AL51" s="2" t="b">
        <v>1</v>
      </c>
      <c r="AM51" s="3">
        <f>HYPERLINK("https://engineering.purdue.edu/ME/People/ptFaculty", "https://engineering.purdue.edu/ME/People/ptFaculty")</f>
        <v/>
      </c>
    </row>
    <row r="52">
      <c r="A52" s="2" t="inlineStr">
        <is>
          <t>Ashwin Ramachandran</t>
        </is>
      </c>
      <c r="B52" s="2" t="inlineStr">
        <is>
          <t>Purdue University</t>
        </is>
      </c>
      <c r="C52" s="3">
        <f>HYPERLINK("https://engineering.purdue.edu/ME/People/ptProfile?resource_id=311453", "https://engineering.purdue.edu/ME/People/ptProfile?resource_id=311453")</f>
        <v/>
      </c>
      <c r="D52" s="3">
        <f>HYPERLINK("https://scholar.google.com/citations?user=Kgo25P0AAAAJ&amp;hl=en", "Scholar (Kgo25P0AAAAJ)")</f>
        <v/>
      </c>
      <c r="E52" s="2" t="inlineStr">
        <is>
          <t>Assistant Professor of Mechanical Engineering</t>
        </is>
      </c>
      <c r="F52" s="2" t="inlineStr">
        <is>
          <t>Mechanical Engineering</t>
        </is>
      </c>
      <c r="G52" s="2" t="inlineStr">
        <is>
          <t>Kgo25P0AAAAJ</t>
        </is>
      </c>
      <c r="H52" s="3">
        <f>HYPERLINK("mailto:ashwinrc@purdue.edu", "ashwinrc@purdue.edu")</f>
        <v/>
      </c>
      <c r="I52" s="2" t="n">
        <v>3</v>
      </c>
      <c r="J52" s="2" t="inlineStr">
        <is>
          <t>🟠 Tier 3: Structures / Materials / Manufacturing</t>
        </is>
      </c>
      <c r="K52" s="2" t="n">
        <v>4</v>
      </c>
      <c r="L52" s="2" t="inlineStr">
        <is>
          <t>aerospace, fluid mechanics, hydrodynamics, solid mechanics</t>
        </is>
      </c>
      <c r="M52" s="2" t="inlineStr"/>
      <c r="N52" s="2" t="inlineStr"/>
      <c r="O52" s="2" t="inlineStr"/>
      <c r="P52" s="2" t="inlineStr"/>
      <c r="Q52" s="2" t="inlineStr"/>
      <c r="R52" s="2" t="inlineStr"/>
      <c r="S52" s="2" t="inlineStr"/>
      <c r="T52" s="2" t="inlineStr"/>
      <c r="U52" s="2" t="inlineStr">
        <is>
          <t>Outstanding Mechanical Engineers Distinguished Engineering Alumni Honorary Doctorates Staff Awards Student Awards Distinguished...</t>
        </is>
      </c>
      <c r="V52" s="2" t="inlineStr">
        <is>
          <t>Email to discuss opportunities and timing a few months ahead. Include a note on your background and future plans, a CV with publications, and 2–3 references. Fellowships are welcome.</t>
        </is>
      </c>
      <c r="W52" s="2" t="inlineStr"/>
      <c r="X52" s="2" t="inlineStr"/>
      <c r="Y52" s="2" t="inlineStr">
        <is>
          <t>Mechanobiology and biomechanics Diagnostics Bacterial biophysics Micro/nano fluidics and transport Biotechnology development Physicochemical hydrodynamics Measurement tools Biomedical devices and wearables</t>
        </is>
      </c>
      <c r="Z52" s="2" t="inlineStr">
        <is>
          <t>Dynamics &amp; Vibration Design &amp; Manufacturing Fluid Mechanics Heat &amp; Mass Transfer Systems, Measurements &amp; Controls Solid Mechanics</t>
        </is>
      </c>
      <c r="AA52" s="2" t="inlineStr">
        <is>
          <t>Dynamics &amp; Vibration Design &amp; Manufacturing Fluid Mechanics Heat &amp; Mass Transfer Systems, Measurements &amp; Controls Solid Mechanics</t>
        </is>
      </c>
      <c r="AB52" s="2" t="inlineStr">
        <is>
          <t>Postdoctoral researcher, Department of Mechanical and Aerospace Engineering, Department of Molecular Biology, Princeton University, 2021-2024 Ph.D. in Aeronautics and Astronautics (minor in Bioengineering), Stanford University, 2021 M.S. in Aeronautics and Astronautics, Stanford University, 2021 B. Tech in Aerospace Engineering (minor in Mathematics and Physics), Indian Institute of Technology Bombay, 2015</t>
        </is>
      </c>
      <c r="AC52" s="2" t="inlineStr">
        <is>
          <t>MicroNano Lab</t>
        </is>
      </c>
      <c r="AD52" s="3">
        <f>HYPERLINK("https://www.micronanolab.org/", "https://www.micronanolab.org/")</f>
        <v/>
      </c>
      <c r="AE52" s="2" t="inlineStr">
        <is>
          <t>Actively recruiting / Openings mentioned on lab site</t>
        </is>
      </c>
      <c r="AF52" s="2" t="inlineStr"/>
      <c r="AG52" s="2" t="inlineStr"/>
      <c r="AH52" s="2" t="inlineStr"/>
      <c r="AI52" s="2" t="inlineStr"/>
      <c r="AJ52" s="2" t="inlineStr"/>
      <c r="AK52" s="2" t="inlineStr">
        <is>
          <t>ME G090</t>
        </is>
      </c>
      <c r="AL52" s="2" t="b">
        <v>1</v>
      </c>
      <c r="AM52" s="3">
        <f>HYPERLINK("https://engineering.purdue.edu/ME/People/ptFaculty", "https://engineering.purdue.edu/ME/People/ptFaculty")</f>
        <v/>
      </c>
    </row>
    <row r="53">
      <c r="A53" s="2" t="inlineStr">
        <is>
          <t>Ganesh Subbarayan</t>
        </is>
      </c>
      <c r="B53" s="2" t="inlineStr">
        <is>
          <t>Purdue University</t>
        </is>
      </c>
      <c r="C53" s="3">
        <f>HYPERLINK("https://engineering.purdue.edu/ME/People/ptProfile?resource_id=11244", "https://engineering.purdue.edu/ME/People/ptProfile?resource_id=11244")</f>
        <v/>
      </c>
      <c r="D53" s="3">
        <f>HYPERLINK("https://scholar.google.com/citations?view_op=search_authors&amp;mauthors=Ganesh%20Subbarayan%20Purdue%20University", "Google Scholar Search")</f>
        <v/>
      </c>
      <c r="E53" s="2" t="inlineStr">
        <is>
          <t>James G. Dwyer Professor of Mechanical Engineering</t>
        </is>
      </c>
      <c r="F53" s="2" t="inlineStr">
        <is>
          <t>Mechanical Engineering</t>
        </is>
      </c>
      <c r="G53" s="2" t="inlineStr"/>
      <c r="H53" s="3">
        <f>HYPERLINK("mailto:ganeshs@purdue.edu", "ganeshs@purdue.edu")</f>
        <v/>
      </c>
      <c r="I53" s="2" t="n">
        <v>3</v>
      </c>
      <c r="J53" s="2" t="inlineStr">
        <is>
          <t>🟠 Tier 3: Structures / Materials / Manufacturing</t>
        </is>
      </c>
      <c r="K53" s="2" t="n">
        <v>4</v>
      </c>
      <c r="L53" s="2" t="inlineStr">
        <is>
          <t>fea, finite element, solid mechanics, thermal</t>
        </is>
      </c>
      <c r="M53" s="2" t="inlineStr"/>
      <c r="N53" s="2" t="inlineStr"/>
      <c r="O53" s="2" t="inlineStr"/>
      <c r="P53" s="2" t="inlineStr"/>
      <c r="Q53" s="2" t="inlineStr"/>
      <c r="R53" s="2" t="inlineStr"/>
      <c r="S53" s="2" t="inlineStr"/>
      <c r="T53" s="2" t="inlineStr"/>
      <c r="U53" s="2" t="inlineStr">
        <is>
          <t>Outstanding Mechanical Engineers Distinguished Engineering Alumni Honorary Doctorates Staff Awards Student Awards Distinguished...</t>
        </is>
      </c>
      <c r="V53" s="2" t="inlineStr">
        <is>
          <t>Phone: +1 (765) 494-3975 Email: future-engineers@purdue.edu | Phone: +1 (765) 494-4873 Email: EngrGrad@purdue.edu</t>
        </is>
      </c>
      <c r="W53" s="2" t="inlineStr"/>
      <c r="X53" s="2" t="inlineStr"/>
      <c r="Y53" s="2" t="inlineStr">
        <is>
          <t>Computational and experimental solid mechanics focused on fatigue, fracture, and multi-physics phase evolution problems Computational techniques including Finite Element Analysis (FEA), Isogeometric Analysis (IGA), geometric modeling, CAD and optimal design Heterogeneous Integration and Advanced Electronics Packaging with a focus on thermomechanical behavior, reliability, and electrical-thermal-mechanical co-design</t>
        </is>
      </c>
      <c r="Z53" s="2" t="inlineStr">
        <is>
          <t>Design &amp; Manufacturing Heat &amp; Mass Transfer Solid Mechanics</t>
        </is>
      </c>
      <c r="AA53" s="2" t="inlineStr">
        <is>
          <t>Design &amp; Manufacturing Heat &amp; Mass Transfer Solid Mechanics</t>
        </is>
      </c>
      <c r="AB53" s="2" t="inlineStr">
        <is>
          <t>B.Tech. Indian Inst. of Tech., '85 M.S. Cornell University, '89 Ph.D. Cornell University, '91</t>
        </is>
      </c>
      <c r="AC53" s="2" t="inlineStr">
        <is>
          <t>Institute for Advanced System Integration and Packaging (ASIP)</t>
        </is>
      </c>
      <c r="AD53" s="3">
        <f>HYPERLINK("https://engineering.purdue.edu/ASIP", "https://engineering.purdue.edu/ASIP")</f>
        <v/>
      </c>
      <c r="AE53" s="2" t="inlineStr">
        <is>
          <t>For You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 |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t>
        </is>
      </c>
      <c r="AF53" s="2" t="inlineStr"/>
      <c r="AG53" s="2" t="inlineStr"/>
      <c r="AH53" s="2" t="inlineStr">
        <is>
          <t>DOE</t>
        </is>
      </c>
      <c r="AI53" s="2" t="inlineStr"/>
      <c r="AJ53" s="2" t="inlineStr"/>
      <c r="AK53" s="2" t="inlineStr">
        <is>
          <t>ME 3172</t>
        </is>
      </c>
      <c r="AL53" s="2" t="b">
        <v>1</v>
      </c>
      <c r="AM53" s="3">
        <f>HYPERLINK("https://engineering.purdue.edu/ME/People/ptFaculty", "https://engineering.purdue.edu/ME/People/ptFaculty")</f>
        <v/>
      </c>
    </row>
    <row r="54">
      <c r="A54" s="2" t="inlineStr">
        <is>
          <t>Kawai Kwok</t>
        </is>
      </c>
      <c r="B54" s="2" t="inlineStr">
        <is>
          <t>Purdue University</t>
        </is>
      </c>
      <c r="C54" s="3">
        <f>HYPERLINK("https://engineering.purdue.edu/AAE/people/ptProfile?resource_id=288720", "https://engineering.purdue.edu/AAE/people/ptProfile?resource_id=288720")</f>
        <v/>
      </c>
      <c r="D54" s="3">
        <f>HYPERLINK("https://scholar.google.com/citations?view_op=search_authors&amp;mauthors=Kawai%20Kwok%20Purdue%20University", "Google Scholar Search")</f>
        <v/>
      </c>
      <c r="E54" s="2" t="inlineStr">
        <is>
          <t>Associate Professor of Aeronautics and Astronautics</t>
        </is>
      </c>
      <c r="F54" s="2" t="inlineStr">
        <is>
          <t>Aeronautics and Astronautics</t>
        </is>
      </c>
      <c r="G54" s="2" t="inlineStr"/>
      <c r="H54" s="3">
        <f>HYPERLINK("mailto:kawaik@purdue.edu", "kawaik@purdue.edu")</f>
        <v/>
      </c>
      <c r="I54" s="2" t="n">
        <v>3</v>
      </c>
      <c r="J54" s="2" t="inlineStr">
        <is>
          <t>🟠 Tier 3: Structures / Materials / Manufacturing</t>
        </is>
      </c>
      <c r="K54" s="2" t="n">
        <v>4</v>
      </c>
      <c r="L54" s="2" t="inlineStr">
        <is>
          <t>aerospace, elasticity, materials, spacecraft</t>
        </is>
      </c>
      <c r="M54" s="2" t="inlineStr"/>
      <c r="N54" s="2" t="inlineStr"/>
      <c r="O54" s="2" t="inlineStr"/>
      <c r="P54" s="2" t="inlineStr"/>
      <c r="Q54" s="2" t="inlineStr"/>
      <c r="R54" s="2" t="inlineStr"/>
      <c r="S54" s="2" t="inlineStr"/>
      <c r="T54" s="2" t="inlineStr"/>
      <c r="U54" s="2" t="inlineStr">
        <is>
          <t>NSF CAREER Award, 2022. ASCE Journal of Aerospace Engineering Outstanding Reviewer, 2016. NASA Robert H. Goddard Exceptional Ac...</t>
        </is>
      </c>
      <c r="V54" s="2" t="inlineStr"/>
      <c r="W54" s="2" t="inlineStr"/>
      <c r="X54" s="2" t="inlineStr"/>
      <c r="Y54" s="2" t="inlineStr"/>
      <c r="Z54" s="2" t="inlineStr">
        <is>
          <t>deployable spacecraft and aircraft concepts; multifunctional composite materials; in-space manufacturing and assembly; high-throughput characterization; structural stability; viscoelasticity Edit var myPronunciation=document.getElementById("pronunciation");
    function play() {
    myPronunciation.play();
    }
    function pause() {
    myPronunciation.pause();
    }</t>
        </is>
      </c>
      <c r="AA54" s="2" t="inlineStr">
        <is>
          <t>deployable spacecraft and aircraft concepts; multifunctional composite materials; in-space manufacturing and assembly; high-throughput characterization; structural stability; viscoelasticity Edit var myPronunciation=document.getElementById("pronunciation");
    function play() {
    myPronunciation.play();
    }
    function pause() {
    myPronunciation.pause();
    }</t>
        </is>
      </c>
      <c r="AB54" s="2" t="inlineStr">
        <is>
          <t>Ph.D. California Institute of Technology, Aerospace Engineering M.S. California Institute of Technology, Aerospace Engineering B.S. Lehigh University, Mechanical Engineering</t>
        </is>
      </c>
      <c r="AC54" s="2" t="inlineStr">
        <is>
          <t>Indiana Space Grant Consortium</t>
        </is>
      </c>
      <c r="AD54" s="3">
        <f>HYPERLINK("https://insgc.spacegrant.org/", "https://insgc.spacegrant.org/")</f>
        <v/>
      </c>
      <c r="AE54" s="2" t="inlineStr">
        <is>
          <t>Academic INSGC Internships</t>
        </is>
      </c>
      <c r="AF54" s="2" t="inlineStr"/>
      <c r="AG54" s="2" t="inlineStr"/>
      <c r="AH54" s="2" t="inlineStr">
        <is>
          <t>NASA</t>
        </is>
      </c>
      <c r="AI54" s="2" t="inlineStr"/>
      <c r="AJ54" s="2" t="inlineStr"/>
      <c r="AK54" s="2" t="inlineStr">
        <is>
          <t>ARMS 3233 and IMI 115</t>
        </is>
      </c>
      <c r="AL54" s="2" t="b">
        <v>1</v>
      </c>
      <c r="AM54" s="3">
        <f>HYPERLINK("https://engineering.purdue.edu/AAE/people/Faculty", "https://engineering.purdue.edu/AAE/people/Faculty")</f>
        <v/>
      </c>
    </row>
    <row r="55">
      <c r="A55" s="2" t="inlineStr">
        <is>
          <t>Kejie Zhao</t>
        </is>
      </c>
      <c r="B55" s="2" t="inlineStr">
        <is>
          <t>Purdue University</t>
        </is>
      </c>
      <c r="C55" s="3">
        <f>HYPERLINK("https://engineering.purdue.edu/ME/People/ptProfile?resource_id=113514", "https://engineering.purdue.edu/ME/People/ptProfile?resource_id=113514")</f>
        <v/>
      </c>
      <c r="D55" s="3">
        <f>HYPERLINK("https://scholar.google.com/citations?user=JXR_AsQAAAAJ&amp;hl=en", "Scholar (JXR_AsQAAAAJ)")</f>
        <v/>
      </c>
      <c r="E55" s="2" t="inlineStr">
        <is>
          <t>Professor of Mechanical Engineering</t>
        </is>
      </c>
      <c r="F55" s="2" t="inlineStr">
        <is>
          <t>Mechanical Engineering</t>
        </is>
      </c>
      <c r="G55" s="2" t="inlineStr">
        <is>
          <t>JXR_AsQAAAAJ</t>
        </is>
      </c>
      <c r="H55" s="3">
        <f>HYPERLINK("mailto:kjzhao@purdue.edu", "kjzhao@purdue.edu")</f>
        <v/>
      </c>
      <c r="I55" s="2" t="n">
        <v>3</v>
      </c>
      <c r="J55" s="2" t="inlineStr">
        <is>
          <t>🟠 Tier 3: Structures / Materials / Manufacturing</t>
        </is>
      </c>
      <c r="K55" s="2" t="n">
        <v>4</v>
      </c>
      <c r="L55" s="2" t="inlineStr">
        <is>
          <t>finite element, materials, plasticity, solid mechanics</t>
        </is>
      </c>
      <c r="M55" s="2" t="inlineStr"/>
      <c r="N55" s="2" t="inlineStr"/>
      <c r="O55" s="2" t="inlineStr"/>
      <c r="P55" s="2" t="inlineStr"/>
      <c r="Q55" s="2" t="inlineStr"/>
      <c r="R55" s="2" t="inlineStr"/>
      <c r="S55" s="2" t="inlineStr"/>
      <c r="T55" s="2" t="inlineStr"/>
      <c r="U55" s="2" t="inlineStr">
        <is>
          <t>Outstanding Mechanical Engineers Distinguished Engineering Alumni Honorary Doctorates Staff Awards Student Awards Distinguished...</t>
        </is>
      </c>
      <c r="V55" s="2" t="inlineStr"/>
      <c r="W55" s="2" t="inlineStr"/>
      <c r="X55" s="2" t="inlineStr"/>
      <c r="Y55" s="2" t="inlineStr">
        <is>
          <t>Deformation, stress, plasticity, fracture Multiscale modeling, first-principles, molecular dynamics simulations, and finite element modeling In-situ experiments Mechanics of redox active materials - Li-ion batteries, Na-ion batteries, all-solid-state batteries Mechanics of polymeric materials - organic electrochromics, superelastic organic semiconductors</t>
        </is>
      </c>
      <c r="Z55" s="2" t="inlineStr">
        <is>
          <t>Dynamics &amp; Vibration Design &amp; Manufacturing Solid Mechanics</t>
        </is>
      </c>
      <c r="AA55" s="2" t="inlineStr">
        <is>
          <t>Dynamics &amp; Vibration Design &amp; Manufacturing Solid Mechanics</t>
        </is>
      </c>
      <c r="AB55" s="2" t="inlineStr">
        <is>
          <t>Ph.D., Harvard Univ., '12 M.Phys., Harvard Univ., '10 M.Eng., Xi'an Jiaotong Univ., '08 B.Eng., Xi'an Jiaotong Univ., '05</t>
        </is>
      </c>
      <c r="AC55" s="2" t="inlineStr">
        <is>
          <t>Zhao Research Group</t>
        </is>
      </c>
      <c r="AD55" s="3">
        <f>HYPERLINK("https://engineering.purdue.edu/kjzhao", "https://engineering.purdue.edu/kjzhao")</f>
        <v/>
      </c>
      <c r="AE55" s="2" t="inlineStr"/>
      <c r="AF55" s="2" t="inlineStr"/>
      <c r="AG55" s="2" t="inlineStr"/>
      <c r="AH55" s="2" t="inlineStr">
        <is>
          <t>DOE, NSF, ONR</t>
        </is>
      </c>
      <c r="AI55" s="2" t="inlineStr"/>
      <c r="AJ55" s="2" t="inlineStr"/>
      <c r="AK55" s="2" t="inlineStr">
        <is>
          <t>ME 3166</t>
        </is>
      </c>
      <c r="AL55" s="2" t="b">
        <v>1</v>
      </c>
      <c r="AM55" s="3">
        <f>HYPERLINK("https://engineering.purdue.edu/ME/People/ptFaculty", "https://engineering.purdue.edu/ME/People/ptFaculty")</f>
        <v/>
      </c>
    </row>
    <row r="56">
      <c r="A56" s="2" t="inlineStr">
        <is>
          <t>Xiulin Ruan</t>
        </is>
      </c>
      <c r="B56" s="2" t="inlineStr">
        <is>
          <t>Purdue University</t>
        </is>
      </c>
      <c r="C56" s="3">
        <f>HYPERLINK("https://engineering.purdue.edu/ME/People/ptProfile?resource_id=29343", "https://engineering.purdue.edu/ME/People/ptProfile?resource_id=29343")</f>
        <v/>
      </c>
      <c r="D56" s="3">
        <f>HYPERLINK("https://scholar.google.com/citations?view_op=search_authors&amp;mauthors=Xiulin%20Ruan%20Purdue%20University", "Google Scholar Search")</f>
        <v/>
      </c>
      <c r="E56" s="2" t="inlineStr">
        <is>
          <t>Professor of Mechanical Engineering</t>
        </is>
      </c>
      <c r="F56" s="2" t="inlineStr">
        <is>
          <t>Mechanical Engineering</t>
        </is>
      </c>
      <c r="G56" s="2" t="inlineStr"/>
      <c r="H56" s="3">
        <f>HYPERLINK("mailto:ruan@purdue.edu", "ruan@purdue.edu")</f>
        <v/>
      </c>
      <c r="I56" s="2" t="n">
        <v>3</v>
      </c>
      <c r="J56" s="2" t="inlineStr">
        <is>
          <t>🟠 Tier 3: Structures / Materials / Manufacturing</t>
        </is>
      </c>
      <c r="K56" s="2" t="n">
        <v>4</v>
      </c>
      <c r="L56" s="2" t="inlineStr">
        <is>
          <t>materials, nanomaterials, thermal, thermodynamics</t>
        </is>
      </c>
      <c r="M56" s="2" t="inlineStr"/>
      <c r="N56" s="2" t="inlineStr"/>
      <c r="O56" s="2" t="inlineStr"/>
      <c r="P56" s="2" t="inlineStr"/>
      <c r="Q56" s="2" t="inlineStr"/>
      <c r="R56" s="2" t="inlineStr"/>
      <c r="S56" s="2" t="inlineStr"/>
      <c r="T56" s="2" t="inlineStr"/>
      <c r="U56" s="2" t="inlineStr">
        <is>
          <t>Outstanding Mechanical Engineers Distinguished Engineering Alumni Honorary Doctorates Staff Awards Student Awards Distinguished...</t>
        </is>
      </c>
      <c r="V56" s="2" t="inlineStr">
        <is>
          <t>We have PhD student and postdoc fellow openings available. Please contact Prof. Ruan with a resume. Due to high volume of inquiries, we may not be able to respond immediately or respond to all emails.</t>
        </is>
      </c>
      <c r="W56" s="2" t="inlineStr"/>
      <c r="X56" s="2" t="inlineStr"/>
      <c r="Y56" s="2" t="inlineStr">
        <is>
          <t>Simulations of nanoscale thermal transport Machine learning, optimization, and high throughput design Thermal management in electronics, space, and battery applications Transport phenomena in additive manufacturing Nanomaterials and devices for sustainable energy</t>
        </is>
      </c>
      <c r="Z56" s="2" t="inlineStr">
        <is>
          <t>Thermodynamics Heat &amp; Mass Transfer</t>
        </is>
      </c>
      <c r="AA56" s="2" t="inlineStr">
        <is>
          <t>Thermodynamics Heat &amp; Mass Transfer</t>
        </is>
      </c>
      <c r="AB56" s="2" t="inlineStr">
        <is>
          <t>B.S. Tsinghua University, '00 M.S. Tsinghua University, '02 M.S. University of Michigan - Ann Arbor, '06 Ph.D. University of Michigan - Ann Arbor, '07</t>
        </is>
      </c>
      <c r="AC56" s="2" t="inlineStr">
        <is>
          <t>Sustainable Energy and Nanoscale Transport Laboratory</t>
        </is>
      </c>
      <c r="AD56" s="3">
        <f>HYPERLINK("https://engineering.purdue.edu/NANOENERGY/", "https://engineering.purdue.edu/NANOENERGY/")</f>
        <v/>
      </c>
      <c r="AE56" s="2" t="inlineStr">
        <is>
          <t>We have PhD student and postdoc fellow openings available. Please contact Prof. Ruan with a resume. Due to high volume of inquiries, we may not be able to respond immediately or respond to all emails. | Undergraduate student positions: (1) ME 498 : Undergraduate students are welcome to take ME 497 with our lab to gain research experience. Detailed information of current projects in our lab can be found at: http://engineering.purdue.edu/nanoenergy/ . (2) SURF : We have at least two SURF (Summer Undergraduate Research Fellowship) positions available each summer, and priorities will be given to undergraduate students who have taken ME 497 with our lab.</t>
        </is>
      </c>
      <c r="AF56" s="2" t="inlineStr"/>
      <c r="AG56" s="2" t="inlineStr">
        <is>
          <t>Cluster</t>
        </is>
      </c>
      <c r="AH56" s="2" t="inlineStr">
        <is>
          <t>NSF</t>
        </is>
      </c>
      <c r="AI56" s="2" t="inlineStr"/>
      <c r="AJ56" s="2" t="inlineStr"/>
      <c r="AK56" s="2" t="inlineStr">
        <is>
          <t>FLEX 1081C</t>
        </is>
      </c>
      <c r="AL56" s="2" t="b">
        <v>1</v>
      </c>
      <c r="AM56" s="3">
        <f>HYPERLINK("https://engineering.purdue.edu/ME/People/ptFaculty", "https://engineering.purdue.edu/ME/People/ptFaculty")</f>
        <v/>
      </c>
    </row>
    <row r="57">
      <c r="A57" s="2" t="inlineStr">
        <is>
          <t>James D. Jones</t>
        </is>
      </c>
      <c r="B57" s="2" t="inlineStr">
        <is>
          <t>Purdue University</t>
        </is>
      </c>
      <c r="C57" s="3">
        <f>HYPERLINK("https://engineering.purdue.edu/ME/People/ptProfile?resource_id=12829", "https://engineering.purdue.edu/ME/People/ptProfile?resource_id=12829")</f>
        <v/>
      </c>
      <c r="D57" s="3">
        <f>HYPERLINK("https://scholar.google.com/citations?view_op=search_authors&amp;mauthors=James%20D.%20Jones%20Purdue%20University", "Google Scholar Search")</f>
        <v/>
      </c>
      <c r="E57" s="2" t="inlineStr">
        <is>
          <t>Associate Professor of Mechanical Engineering</t>
        </is>
      </c>
      <c r="F57" s="2" t="inlineStr">
        <is>
          <t>Mechanical Engineering</t>
        </is>
      </c>
      <c r="G57" s="2" t="inlineStr"/>
      <c r="H57" s="3">
        <f>HYPERLINK("mailto:jonesjd@purdue.edu", "jonesjd@purdue.edu")</f>
        <v/>
      </c>
      <c r="I57" s="2" t="n">
        <v>3</v>
      </c>
      <c r="J57" s="2" t="inlineStr">
        <is>
          <t>🟠 Tier 3: Structures / Materials / Manufacturing</t>
        </is>
      </c>
      <c r="K57" s="2" t="n">
        <v>3</v>
      </c>
      <c r="L57" s="2" t="inlineStr">
        <is>
          <t>materials, smart materials, solid mechanics</t>
        </is>
      </c>
      <c r="M57" s="2" t="inlineStr"/>
      <c r="N57" s="2" t="inlineStr"/>
      <c r="O57" s="2" t="inlineStr"/>
      <c r="P57" s="2" t="inlineStr"/>
      <c r="Q57" s="2" t="inlineStr"/>
      <c r="R57" s="2" t="inlineStr"/>
      <c r="S57" s="2" t="inlineStr"/>
      <c r="T57" s="2" t="inlineStr"/>
      <c r="U57" s="2" t="inlineStr">
        <is>
          <t>Outstanding Mechanical Engineers Distinguished Engineering Alumni Honorary Doctorates Staff Awards Student Awards Distinguished...</t>
        </is>
      </c>
      <c r="V57" s="2" t="inlineStr"/>
      <c r="W57" s="2" t="inlineStr"/>
      <c r="X57" s="2" t="inlineStr"/>
      <c r="Y57" s="2" t="inlineStr">
        <is>
          <t>Cooperative learning Acoustics Vibrations Active noise and vibration control Smart materials Intelligent structures</t>
        </is>
      </c>
      <c r="Z57" s="2" t="inlineStr">
        <is>
          <t>Dynamics &amp; Vibration Design &amp; Manufacturing Solid Mechanics</t>
        </is>
      </c>
      <c r="AA57" s="2" t="inlineStr">
        <is>
          <t>Dynamics &amp; Vibration Design &amp; Manufacturing Solid Mechanics</t>
        </is>
      </c>
      <c r="AB57" s="2" t="inlineStr">
        <is>
          <t>B.S. Tennessee Tech., '81 M.S. VPI &amp; SU, '82 Ph.D. VPI &amp; SU, '87</t>
        </is>
      </c>
      <c r="AC57" s="2" t="inlineStr">
        <is>
          <t>Indiana Space Grant Consortium</t>
        </is>
      </c>
      <c r="AD57" s="3">
        <f>HYPERLINK("https://insgc.spacegrant.org/", "https://insgc.spacegrant.org/")</f>
        <v/>
      </c>
      <c r="AE57" s="2" t="inlineStr">
        <is>
          <t>Academic INSGC Internships</t>
        </is>
      </c>
      <c r="AF57" s="2" t="inlineStr"/>
      <c r="AG57" s="2" t="inlineStr"/>
      <c r="AH57" s="2" t="inlineStr">
        <is>
          <t>NASA</t>
        </is>
      </c>
      <c r="AI57" s="2" t="inlineStr"/>
      <c r="AJ57" s="2" t="inlineStr"/>
      <c r="AK57" s="2" t="inlineStr">
        <is>
          <t>ME 3003H</t>
        </is>
      </c>
      <c r="AL57" s="2" t="b">
        <v>1</v>
      </c>
      <c r="AM57" s="3">
        <f>HYPERLINK("https://engineering.purdue.edu/ME/People/ptFaculty", "https://engineering.purdue.edu/ME/People/ptFaculty")</f>
        <v/>
      </c>
    </row>
    <row r="58">
      <c r="A58" s="2" t="inlineStr">
        <is>
          <t>Jong Hyun Choi</t>
        </is>
      </c>
      <c r="B58" s="2" t="inlineStr">
        <is>
          <t>Purdue University</t>
        </is>
      </c>
      <c r="C58" s="3">
        <f>HYPERLINK("https://engineering.purdue.edu/ME/People/ptProfile?resource_id=50402", "https://engineering.purdue.edu/ME/People/ptProfile?resource_id=50402")</f>
        <v/>
      </c>
      <c r="D58" s="3">
        <f>HYPERLINK("https://scholar.google.com/citations?user=aSHRXOkAAAAJ&amp;hl=en", "Scholar (aSHRXOkAAAAJ)")</f>
        <v/>
      </c>
      <c r="E58" s="2" t="inlineStr">
        <is>
          <t>Professor of Mechanical Engineering</t>
        </is>
      </c>
      <c r="F58" s="2" t="inlineStr">
        <is>
          <t>Mechanical Engineering</t>
        </is>
      </c>
      <c r="G58" s="2" t="inlineStr">
        <is>
          <t>aSHRXOkAAAAJ</t>
        </is>
      </c>
      <c r="H58" s="3">
        <f>HYPERLINK("mailto:jchoi@purdue.edu", "jchoi@purdue.edu")</f>
        <v/>
      </c>
      <c r="I58" s="2" t="n">
        <v>3</v>
      </c>
      <c r="J58" s="2" t="inlineStr">
        <is>
          <t>🟠 Tier 3: Structures / Materials / Manufacturing</t>
        </is>
      </c>
      <c r="K58" s="2" t="n">
        <v>3</v>
      </c>
      <c r="L58" s="2" t="inlineStr">
        <is>
          <t>materials, solid mechanics, thermodynamics</t>
        </is>
      </c>
      <c r="M58" s="2" t="inlineStr"/>
      <c r="N58" s="2" t="inlineStr"/>
      <c r="O58" s="2" t="inlineStr"/>
      <c r="P58" s="2" t="inlineStr"/>
      <c r="Q58" s="2" t="inlineStr"/>
      <c r="R58" s="2" t="inlineStr"/>
      <c r="S58" s="2" t="inlineStr"/>
      <c r="T58" s="2" t="inlineStr"/>
      <c r="U58" s="2" t="inlineStr">
        <is>
          <t>Outstanding Mechanical Engineers Distinguished Engineering Alumni Honorary Doctorates Staff Awards Student Awards Distinguished...</t>
        </is>
      </c>
      <c r="V58" s="2" t="inlineStr"/>
      <c r="W58" s="2" t="inlineStr"/>
      <c r="X58" s="2" t="inlineStr"/>
      <c r="Y58" s="2" t="inlineStr">
        <is>
          <t>Advanced materials Programmable metastructures Bioinspired design and manufacturing DNA nanotechnology Nanomachines</t>
        </is>
      </c>
      <c r="Z58" s="2" t="inlineStr">
        <is>
          <t>Thermodynamics Heat &amp; Mass Transfer Solid Mechanics</t>
        </is>
      </c>
      <c r="AA58" s="2" t="inlineStr">
        <is>
          <t>Thermodynamics Heat &amp; Mass Transfer Solid Mechanics</t>
        </is>
      </c>
      <c r="AB58" s="2" t="inlineStr">
        <is>
          <t>B.S., Yonsei University, '99 M.S., Yonsei University, '01 Ph.D., University of California, Berkeley, '05</t>
        </is>
      </c>
      <c r="AC58" s="2" t="inlineStr">
        <is>
          <t>Choi Lab</t>
        </is>
      </c>
      <c r="AD58" s="3">
        <f>HYPERLINK("https://choinano.org/ ", "https://choinano.org/ ")</f>
        <v/>
      </c>
      <c r="AE58" s="2" t="inlineStr"/>
      <c r="AF58" s="2" t="inlineStr"/>
      <c r="AG58" s="2" t="inlineStr"/>
      <c r="AH58" s="2" t="inlineStr"/>
      <c r="AI58" s="2" t="inlineStr"/>
      <c r="AJ58" s="2" t="inlineStr"/>
      <c r="AK58" s="2" t="inlineStr">
        <is>
          <t>ME 2198</t>
        </is>
      </c>
      <c r="AL58" s="2" t="b">
        <v>1</v>
      </c>
      <c r="AM58" s="3">
        <f>HYPERLINK("https://engineering.purdue.edu/ME/People/ptFaculty", "https://engineering.purdue.edu/ME/People/ptFaculty")</f>
        <v/>
      </c>
    </row>
    <row r="59">
      <c r="A59" s="2" t="inlineStr">
        <is>
          <t>Junfei Li</t>
        </is>
      </c>
      <c r="B59" s="2" t="inlineStr">
        <is>
          <t>Purdue University</t>
        </is>
      </c>
      <c r="C59" s="3">
        <f>HYPERLINK("https://engineering.purdue.edu/ME/People/ptProfile?resource_id=286140", "https://engineering.purdue.edu/ME/People/ptProfile?resource_id=286140")</f>
        <v/>
      </c>
      <c r="D59" s="3">
        <f>HYPERLINK("https://scholar.google.com/citations?view_op=search_authors&amp;mauthors=Junfei%20Li%20Purdue%20University", "Google Scholar Search")</f>
        <v/>
      </c>
      <c r="E59" s="2" t="inlineStr">
        <is>
          <t>Assistant Professor of Mechanical Engineering</t>
        </is>
      </c>
      <c r="F59" s="2" t="inlineStr">
        <is>
          <t>Mechanical Engineering</t>
        </is>
      </c>
      <c r="G59" s="2" t="inlineStr"/>
      <c r="H59" s="3">
        <f>HYPERLINK("mailto:junfeili@purdue.edu", "junfeili@purdue.edu")</f>
        <v/>
      </c>
      <c r="I59" s="2" t="n">
        <v>3</v>
      </c>
      <c r="J59" s="2" t="inlineStr">
        <is>
          <t>🟠 Tier 3: Structures / Materials / Manufacturing</t>
        </is>
      </c>
      <c r="K59" s="2" t="n">
        <v>3</v>
      </c>
      <c r="L59" s="2" t="inlineStr">
        <is>
          <t>fluid mechanics, materials, metamaterials</t>
        </is>
      </c>
      <c r="M59" s="2" t="inlineStr"/>
      <c r="N59" s="2" t="inlineStr"/>
      <c r="O59" s="2" t="inlineStr"/>
      <c r="P59" s="2" t="inlineStr"/>
      <c r="Q59" s="2" t="inlineStr"/>
      <c r="R59" s="2" t="inlineStr"/>
      <c r="S59" s="2" t="inlineStr"/>
      <c r="T59" s="2" t="inlineStr"/>
      <c r="U59" s="2" t="inlineStr">
        <is>
          <t>Outstanding Mechanical Engineers Distinguished Engineering Alumni Honorary Doctorates Staff Awards Student Awards Distinguished...</t>
        </is>
      </c>
      <c r="V59" s="2" t="inlineStr"/>
      <c r="W59" s="2" t="inlineStr"/>
      <c r="X59" s="2" t="inlineStr"/>
      <c r="Y59" s="2" t="inlineStr">
        <is>
          <t>Acoustic tweezers Acoustofluidics Acoustic metamaterials Ultrasound control Underwater communication Ultrasound imaging Multiphysics wave propagation theory Noise control and energy harvesting</t>
        </is>
      </c>
      <c r="Z59" s="2" t="inlineStr">
        <is>
          <t>Dynamics &amp; Vibration Fluid Mechanics Heat &amp; Mass Transfer Systems, Measurements &amp; Controls</t>
        </is>
      </c>
      <c r="AA59" s="2" t="inlineStr">
        <is>
          <t>Dynamics &amp; Vibration Fluid Mechanics Heat &amp; Mass Transfer Systems, Measurements &amp; Controls</t>
        </is>
      </c>
      <c r="AB59" s="2" t="inlineStr"/>
      <c r="AC59" s="2" t="inlineStr">
        <is>
          <t>Indiana Space Grant Consortium</t>
        </is>
      </c>
      <c r="AD59" s="3">
        <f>HYPERLINK("https://insgc.spacegrant.org/", "https://insgc.spacegrant.org/")</f>
        <v/>
      </c>
      <c r="AE59" s="2" t="inlineStr">
        <is>
          <t>Academic INSGC Internships</t>
        </is>
      </c>
      <c r="AF59" s="2" t="inlineStr"/>
      <c r="AG59" s="2" t="inlineStr"/>
      <c r="AH59" s="2" t="inlineStr">
        <is>
          <t>NASA</t>
        </is>
      </c>
      <c r="AI59" s="2" t="inlineStr"/>
      <c r="AJ59" s="2" t="inlineStr"/>
      <c r="AK59" s="2" t="inlineStr"/>
      <c r="AL59" s="2" t="b">
        <v>1</v>
      </c>
      <c r="AM59" s="3">
        <f>HYPERLINK("https://engineering.purdue.edu/ME/People/ptFaculty", "https://engineering.purdue.edu/ME/People/ptFaculty")</f>
        <v/>
      </c>
    </row>
    <row r="60">
      <c r="A60" s="2" t="inlineStr">
        <is>
          <t>Marisol Koslowski</t>
        </is>
      </c>
      <c r="B60" s="2" t="inlineStr">
        <is>
          <t>Purdue University</t>
        </is>
      </c>
      <c r="C60" s="3">
        <f>HYPERLINK("https://engineering.purdue.edu/ME/People/ptProfile?resource_id=29264", "https://engineering.purdue.edu/ME/People/ptProfile?resource_id=29264")</f>
        <v/>
      </c>
      <c r="D60" s="3">
        <f>HYPERLINK("https://scholar.google.com/citations?view_op=search_authors&amp;mauthors=Marisol%20Koslowski%20Purdue%20University", "Google Scholar Search")</f>
        <v/>
      </c>
      <c r="E60" s="2" t="inlineStr">
        <is>
          <t>Associate Dean for Global Engineering Programs and Partnerships and Professor of Mechanical Engineering</t>
        </is>
      </c>
      <c r="F60" s="2" t="inlineStr">
        <is>
          <t>Mechanical Engineering</t>
        </is>
      </c>
      <c r="G60" s="2" t="inlineStr"/>
      <c r="H60" s="3">
        <f>HYPERLINK("mailto:marisol@purdue.edu", "marisol@purdue.edu")</f>
        <v/>
      </c>
      <c r="I60" s="2" t="n">
        <v>3</v>
      </c>
      <c r="J60" s="2" t="inlineStr">
        <is>
          <t>🟠 Tier 3: Structures / Materials / Manufacturing</t>
        </is>
      </c>
      <c r="K60" s="2" t="n">
        <v>3</v>
      </c>
      <c r="L60" s="2" t="inlineStr">
        <is>
          <t>finite element, materials, solid mechanics</t>
        </is>
      </c>
      <c r="M60" s="2" t="inlineStr"/>
      <c r="N60" s="2" t="inlineStr"/>
      <c r="O60" s="2" t="inlineStr"/>
      <c r="P60" s="2" t="inlineStr"/>
      <c r="Q60" s="2" t="inlineStr"/>
      <c r="R60" s="2" t="inlineStr"/>
      <c r="S60" s="2" t="inlineStr"/>
      <c r="T60" s="2" t="inlineStr"/>
      <c r="U60" s="2" t="inlineStr">
        <is>
          <t>Outstanding Mechanical Engineers Distinguished Engineering Alumni Honorary Doctorates Staff Awards Student Awards Distinguished...</t>
        </is>
      </c>
      <c r="V60" s="2" t="inlineStr"/>
      <c r="W60" s="2" t="inlineStr"/>
      <c r="X60" s="2" t="inlineStr"/>
      <c r="Y60" s="2" t="inlineStr">
        <is>
          <t>Computational solid mechanics Multiscale modeling of materials Finite Elements Dislocation dynamics Reliability of electronic interconnects Shock compression in solids Phase transformations Energetic materials</t>
        </is>
      </c>
      <c r="Z60" s="2" t="inlineStr">
        <is>
          <t>Solid Mechanics</t>
        </is>
      </c>
      <c r="AA60" s="2" t="inlineStr">
        <is>
          <t>Solid Mechanics</t>
        </is>
      </c>
      <c r="AB60" s="2" t="inlineStr">
        <is>
          <t>B.S. University of Buenos Aires, Argentina, '97 M.S. California Institute of Technology, '99 Ph.D. California Institute of Technology, '03</t>
        </is>
      </c>
      <c r="AC60" s="2" t="inlineStr">
        <is>
          <t>Koslowski Group</t>
        </is>
      </c>
      <c r="AD60" s="3">
        <f>HYPERLINK("https://koslowskigroup.org/", "https://koslowskigroup.org/")</f>
        <v/>
      </c>
      <c r="AE60" s="2" t="inlineStr"/>
      <c r="AF60" s="2" t="inlineStr"/>
      <c r="AG60" s="2" t="inlineStr"/>
      <c r="AH60" s="2" t="inlineStr"/>
      <c r="AI60" s="2" t="inlineStr"/>
      <c r="AJ60" s="2" t="inlineStr"/>
      <c r="AK60" s="2" t="inlineStr"/>
      <c r="AL60" s="2" t="b">
        <v>1</v>
      </c>
      <c r="AM60" s="3">
        <f>HYPERLINK("https://engineering.purdue.edu/ME/People/ptFaculty", "https://engineering.purdue.edu/ME/People/ptFaculty")</f>
        <v/>
      </c>
    </row>
    <row r="61">
      <c r="A61" s="2" t="inlineStr">
        <is>
          <t>Shubhra Bansal</t>
        </is>
      </c>
      <c r="B61" s="2" t="inlineStr">
        <is>
          <t>Purdue University</t>
        </is>
      </c>
      <c r="C61" s="3">
        <f>HYPERLINK("https://engineering.purdue.edu/ME/People/ptProfile?resource_id=273456", "https://engineering.purdue.edu/ME/People/ptProfile?resource_id=273456")</f>
        <v/>
      </c>
      <c r="D61" s="3">
        <f>HYPERLINK("https://scholar.google.com/citations?user=E8PanGMAAAAJ", "Scholar (E8PanGMAAAAJ)")</f>
        <v/>
      </c>
      <c r="E61" s="2" t="inlineStr">
        <is>
          <t>Associate Professor of Mechanical Engineering and Materials Engineering</t>
        </is>
      </c>
      <c r="F61" s="2" t="inlineStr">
        <is>
          <t>Mechanical Engineering</t>
        </is>
      </c>
      <c r="G61" s="2" t="inlineStr">
        <is>
          <t>E8PanGMAAAAJ</t>
        </is>
      </c>
      <c r="H61" s="3">
        <f>HYPERLINK("mailto:bansal91@purdue.edu", "bansal91@purdue.edu")</f>
        <v/>
      </c>
      <c r="I61" s="2" t="n">
        <v>3</v>
      </c>
      <c r="J61" s="2" t="inlineStr">
        <is>
          <t>🟠 Tier 3: Structures / Materials / Manufacturing</t>
        </is>
      </c>
      <c r="K61" s="2" t="n">
        <v>3</v>
      </c>
      <c r="L61" s="2" t="inlineStr">
        <is>
          <t>materials, solid mechanics, thermal</t>
        </is>
      </c>
      <c r="M61" s="2" t="inlineStr"/>
      <c r="N61" s="2" t="inlineStr"/>
      <c r="O61" s="2" t="inlineStr"/>
      <c r="P61" s="2" t="inlineStr"/>
      <c r="Q61" s="2" t="inlineStr"/>
      <c r="R61" s="2" t="inlineStr"/>
      <c r="S61" s="2" t="inlineStr"/>
      <c r="T61" s="2" t="inlineStr"/>
      <c r="U61" s="2" t="inlineStr">
        <is>
          <t>Outstanding Mechanical Engineers Distinguished Engineering Alumni Honorary Doctorates Staff Awards Student Awards Distinguished...</t>
        </is>
      </c>
      <c r="V61" s="2" t="inlineStr"/>
      <c r="W61" s="2" t="inlineStr"/>
      <c r="X61" s="2" t="inlineStr"/>
      <c r="Y61" s="2" t="inlineStr">
        <is>
          <t>Renewable Energy Materials (physics-based energy yield predictions, sustainable PV and energy storage materials, recycling) Electro-Optical-Thermo-Mechanical Reliability (in-situ and in-operando accelerated stress tests) Heterogeneous Integration &amp; Advanced Packaging (sub-10 μm pitch interconnects, low-loss interposers) Harsh Environment Electronics Integration (high temperature Pb-free solders and nano-thermal interfaces)</t>
        </is>
      </c>
      <c r="Z61" s="2" t="inlineStr">
        <is>
          <t>Design &amp; Manufacturing Solid Mechanics</t>
        </is>
      </c>
      <c r="AA61" s="2" t="inlineStr">
        <is>
          <t>Design &amp; Manufacturing Solid Mechanics</t>
        </is>
      </c>
      <c r="AB61" s="2" t="inlineStr"/>
      <c r="AC61" s="2" t="inlineStr">
        <is>
          <t>Bansal Research Group</t>
        </is>
      </c>
      <c r="AD61" s="3">
        <f>HYPERLINK("https://engineering.purdue.edu/EMRSL", "https://engineering.purdue.edu/EMRSL")</f>
        <v/>
      </c>
      <c r="AE61" s="2" t="inlineStr"/>
      <c r="AF61" s="2" t="inlineStr"/>
      <c r="AG61" s="2" t="inlineStr"/>
      <c r="AH61" s="2" t="inlineStr"/>
      <c r="AI61" s="2" t="inlineStr"/>
      <c r="AJ61" s="2" t="inlineStr"/>
      <c r="AK61" s="2" t="inlineStr">
        <is>
          <t>FLEX 3081D</t>
        </is>
      </c>
      <c r="AL61" s="2" t="b">
        <v>1</v>
      </c>
      <c r="AM61" s="3">
        <f>HYPERLINK("https://engineering.purdue.edu/ME/People/ptFaculty", "https://engineering.purdue.edu/ME/People/ptFaculty")</f>
        <v/>
      </c>
    </row>
    <row r="62">
      <c r="A62" s="2" t="inlineStr">
        <is>
          <t>Chi Hwan Lee</t>
        </is>
      </c>
      <c r="B62" s="2" t="inlineStr">
        <is>
          <t>Purdue University</t>
        </is>
      </c>
      <c r="C62" s="3">
        <f>HYPERLINK("https://engineering.purdue.edu/ME/People/ptProfile?resource_id=127246", "https://engineering.purdue.edu/ME/People/ptProfile?resource_id=127246")</f>
        <v/>
      </c>
      <c r="D62" s="3">
        <f>HYPERLINK("https://scholar.google.com/citations?view_op=search_authors&amp;mauthors=Chi%20Hwan%20Lee%20Purdue%20University", "Google Scholar Search")</f>
        <v/>
      </c>
      <c r="E62" s="2" t="inlineStr">
        <is>
          <t>Professor of Biomedical Engineering and Mechanical Engineering</t>
        </is>
      </c>
      <c r="F62" s="2" t="inlineStr">
        <is>
          <t>Mechanical Engineering</t>
        </is>
      </c>
      <c r="G62" s="2" t="inlineStr"/>
      <c r="H62" s="3">
        <f>HYPERLINK("mailto:lee2270@purdue.edu", "lee2270@purdue.edu")</f>
        <v/>
      </c>
      <c r="I62" s="2" t="n">
        <v>3</v>
      </c>
      <c r="J62" s="2" t="inlineStr">
        <is>
          <t>🟠 Tier 3: Structures / Materials / Manufacturing</t>
        </is>
      </c>
      <c r="K62" s="2" t="n">
        <v>2</v>
      </c>
      <c r="L62" s="2" t="inlineStr">
        <is>
          <t>materials, solid mechanics</t>
        </is>
      </c>
      <c r="M62" s="2" t="inlineStr"/>
      <c r="N62" s="2" t="inlineStr"/>
      <c r="O62" s="2" t="inlineStr"/>
      <c r="P62" s="2" t="inlineStr"/>
      <c r="Q62" s="2" t="inlineStr"/>
      <c r="R62" s="2" t="inlineStr"/>
      <c r="S62" s="2" t="inlineStr"/>
      <c r="T62" s="2" t="inlineStr"/>
      <c r="U62" s="2" t="inlineStr">
        <is>
          <t>Outstanding Mechanical Engineers Distinguished Engineering Alumni Honorary Doctorates Staff Awards Student Awards Distinguished...</t>
        </is>
      </c>
      <c r="V62" s="2" t="inlineStr">
        <is>
          <t>Email: lee2270@purdue.edu Phone: +1 (765) 494 6212 | Contact Info. Prof Chi Hwan Lee, Email: lee2270@purdue.edu, Tel: +1 (765) 494-6212</t>
        </is>
      </c>
      <c r="W62" s="2" t="inlineStr"/>
      <c r="X62" s="2" t="inlineStr"/>
      <c r="Y62" s="2" t="inlineStr">
        <is>
          <t>Wearable biomedical devices 'Crack’-driven transfer printing technology Scalable manufacturing technology Mechanics and materials for flexible/stretchable electronics</t>
        </is>
      </c>
      <c r="Z62" s="2" t="inlineStr">
        <is>
          <t>Design &amp; Manufacturing Solid Mechanics</t>
        </is>
      </c>
      <c r="AA62" s="2" t="inlineStr">
        <is>
          <t>Design &amp; Manufacturing Solid Mechanics</t>
        </is>
      </c>
      <c r="AB62" s="2" t="inlineStr">
        <is>
          <t>PhD, Mechanical Engineering, Stanford University, '13 MS, Mechanical Engineering, Stanford University, '08 BSE, Mechanical Engineering, Illinois Institute of Technology, '07</t>
        </is>
      </c>
      <c r="AC62" s="2" t="inlineStr">
        <is>
          <t>Personal Homepage</t>
        </is>
      </c>
      <c r="AD62" s="3">
        <f>HYPERLINK("https://engineering.purdue.edu/StickTronics/", "https://engineering.purdue.edu/StickTronics/")</f>
        <v/>
      </c>
      <c r="AE62" s="2" t="inlineStr"/>
      <c r="AF62" s="2" t="inlineStr"/>
      <c r="AG62" s="2" t="inlineStr"/>
      <c r="AH62" s="2" t="inlineStr"/>
      <c r="AI62" s="2" t="inlineStr"/>
      <c r="AJ62" s="2" t="inlineStr"/>
      <c r="AK62" s="2" t="inlineStr"/>
      <c r="AL62" s="2" t="b">
        <v>1</v>
      </c>
      <c r="AM62" s="3">
        <f>HYPERLINK("https://engineering.purdue.edu/ME/People/ptFaculty", "https://engineering.purdue.edu/ME/People/ptFaculty")</f>
        <v/>
      </c>
    </row>
    <row r="63">
      <c r="A63" s="2" t="inlineStr">
        <is>
          <t>Dianyun Zhang</t>
        </is>
      </c>
      <c r="B63" s="2" t="inlineStr">
        <is>
          <t>Purdue University</t>
        </is>
      </c>
      <c r="C63" s="3">
        <f>HYPERLINK("https://engineering.purdue.edu/AAE/people/ptProfile?resource_id=243165", "https://engineering.purdue.edu/AAE/people/ptProfile?resource_id=243165")</f>
        <v/>
      </c>
      <c r="D63" s="3">
        <f>HYPERLINK("https://scholar.google.com/citations?view_op=search_authors&amp;mauthors=Dianyun%20Zhang%20Purdue%20University", "Google Scholar Search")</f>
        <v/>
      </c>
      <c r="E63" s="2" t="inlineStr">
        <is>
          <t>Associate Professor</t>
        </is>
      </c>
      <c r="F63" s="2" t="inlineStr">
        <is>
          <t>Aeronautics and Astronautics</t>
        </is>
      </c>
      <c r="G63" s="2" t="inlineStr"/>
      <c r="H63" s="3">
        <f>HYPERLINK("mailto:dianyun@purdue.edu", "dianyun@purdue.edu")</f>
        <v/>
      </c>
      <c r="I63" s="2" t="n">
        <v>3</v>
      </c>
      <c r="J63" s="2" t="inlineStr">
        <is>
          <t>🟠 Tier 3: Structures / Materials / Manufacturing</t>
        </is>
      </c>
      <c r="K63" s="2" t="n">
        <v>2</v>
      </c>
      <c r="L63" s="2" t="inlineStr">
        <is>
          <t>composites, materials</t>
        </is>
      </c>
      <c r="M63" s="2" t="inlineStr"/>
      <c r="N63" s="2" t="inlineStr"/>
      <c r="O63" s="2" t="inlineStr"/>
      <c r="P63" s="2" t="inlineStr"/>
      <c r="Q63" s="2" t="inlineStr"/>
      <c r="R63" s="2" t="inlineStr"/>
      <c r="S63" s="2" t="inlineStr"/>
      <c r="T63" s="2" t="inlineStr"/>
      <c r="U63" s="2" t="inlineStr"/>
      <c r="V63" s="2" t="inlineStr"/>
      <c r="W63" s="2" t="inlineStr"/>
      <c r="X63" s="2" t="inlineStr"/>
      <c r="Y63" s="2" t="inlineStr">
        <is>
          <t>Zhang’s broad area of research interest is in experimental characterization and computational modeling of lightweight materials, including polymer matrix composites, ceramic matrix composites and bio-inspired materials. Edit var myPronunciation=document.getElementById("pronunciation");
    function play() {
    myPronunciation.play();
    }
    function pause() {
    myPronunciation.pause();
    }</t>
        </is>
      </c>
      <c r="Z63" s="2" t="inlineStr"/>
      <c r="AA63" s="2" t="inlineStr">
        <is>
          <t>Zhang’s broad area of research interest is in experimental characterization and computational modeling of lightweight materials, including polymer matrix composites, ceramic matrix composites and bio-inspired materials. Edit var myPronunciation=document.getElementById("pronunciation");
    function play() {
    myPronunciation.play();
    }
    function pause() {
    myPronunciation....</t>
        </is>
      </c>
      <c r="AB63" s="2" t="inlineStr"/>
      <c r="AC63" s="2" t="inlineStr">
        <is>
          <t>Indiana Space Grant Consortium</t>
        </is>
      </c>
      <c r="AD63" s="3">
        <f>HYPERLINK("https://insgc.spacegrant.org/", "https://insgc.spacegrant.org/")</f>
        <v/>
      </c>
      <c r="AE63" s="2" t="inlineStr">
        <is>
          <t>Academic INSGC Internships</t>
        </is>
      </c>
      <c r="AF63" s="2" t="inlineStr"/>
      <c r="AG63" s="2" t="inlineStr"/>
      <c r="AH63" s="2" t="inlineStr">
        <is>
          <t>NASA</t>
        </is>
      </c>
      <c r="AI63" s="2" t="inlineStr"/>
      <c r="AJ63" s="2" t="inlineStr"/>
      <c r="AK63" s="2" t="inlineStr">
        <is>
          <t>ARMS 3233</t>
        </is>
      </c>
      <c r="AL63" s="2" t="b">
        <v>1</v>
      </c>
      <c r="AM63" s="3">
        <f>HYPERLINK("https://engineering.purdue.edu/AAE/people/Faculty", "https://engineering.purdue.edu/AAE/people/Faculty")</f>
        <v/>
      </c>
    </row>
    <row r="64">
      <c r="A64" s="2" t="inlineStr">
        <is>
          <t>Fu Zhao</t>
        </is>
      </c>
      <c r="B64" s="2" t="inlineStr">
        <is>
          <t>Purdue University</t>
        </is>
      </c>
      <c r="C64" s="3">
        <f>HYPERLINK("https://engineering.purdue.edu/ME/People/ptProfile?resource_id=29424", "https://engineering.purdue.edu/ME/People/ptProfile?resource_id=29424")</f>
        <v/>
      </c>
      <c r="D64" s="3">
        <f>HYPERLINK("https://scholar.google.com/citations?view_op=search_authors&amp;mauthors=Fu%20Zhao%20Purdue%20University", "Google Scholar Search")</f>
        <v/>
      </c>
      <c r="E64" s="2" t="inlineStr">
        <is>
          <t>Professor of Mechanical Engineering, and Sustainability Engineering &amp; Environmental Engineering</t>
        </is>
      </c>
      <c r="F64" s="2" t="inlineStr">
        <is>
          <t>Mechanical Engineering</t>
        </is>
      </c>
      <c r="G64" s="2" t="inlineStr"/>
      <c r="H64" s="3">
        <f>HYPERLINK("mailto:fzhao@purdue.edu", "fzhao@purdue.edu")</f>
        <v/>
      </c>
      <c r="I64" s="2" t="n">
        <v>3</v>
      </c>
      <c r="J64" s="2" t="inlineStr">
        <is>
          <t>🟠 Tier 3: Structures / Materials / Manufacturing</t>
        </is>
      </c>
      <c r="K64" s="2" t="n">
        <v>2</v>
      </c>
      <c r="L64" s="2" t="inlineStr">
        <is>
          <t>materials, thermodynamics</t>
        </is>
      </c>
      <c r="M64" s="2" t="inlineStr"/>
      <c r="N64" s="2" t="inlineStr"/>
      <c r="O64" s="2" t="inlineStr"/>
      <c r="P64" s="2" t="inlineStr"/>
      <c r="Q64" s="2" t="inlineStr"/>
      <c r="R64" s="2" t="inlineStr"/>
      <c r="S64" s="2" t="inlineStr"/>
      <c r="T64" s="2" t="inlineStr"/>
      <c r="U64" s="2" t="inlineStr">
        <is>
          <t>Outstanding Mechanical Engineers Distinguished Engineering Alumni Honorary Doctorates Staff Awards Student Awards Distinguished...</t>
        </is>
      </c>
      <c r="V64" s="2" t="inlineStr">
        <is>
          <t>We are always looking for motivated students interested in sustainability research. If you're interested in joining our lab, please email Professor Zhao with your CV and research interests.</t>
        </is>
      </c>
      <c r="W64" s="2" t="inlineStr"/>
      <c r="X64" s="2" t="inlineStr"/>
      <c r="Y64" s="2" t="inlineStr">
        <is>
          <t>Environment friendly design and life cycle engineering Applications of bio-based materials in manufacturing Fast and low-cost detection of pathogenic microorganisms Biomass thermo-chemical upgrading for liquid and gaseous fuel</t>
        </is>
      </c>
      <c r="Z64" s="2" t="inlineStr">
        <is>
          <t>Thermodynamics Design &amp; Manufacturing</t>
        </is>
      </c>
      <c r="AA64" s="2" t="inlineStr">
        <is>
          <t>Thermodynamics Design &amp; Manufacturing</t>
        </is>
      </c>
      <c r="AB64" s="2" t="inlineStr">
        <is>
          <t>B.S. Tsinghua University, '93 M.E. Tsinghua University, '96 M.S. University of Michigan, '01 Ph.D. University of Michigan, '05</t>
        </is>
      </c>
      <c r="AC64" s="2" t="inlineStr">
        <is>
          <t>Personal Homepage</t>
        </is>
      </c>
      <c r="AD64" s="3">
        <f>HYPERLINK("https://engineering.purdue.edu/~fzhao/", "https://engineering.purdue.edu/~fzhao/")</f>
        <v/>
      </c>
      <c r="AE64" s="2" t="inlineStr">
        <is>
          <t>We are always looking for motivated students interested in sustainability research. If you're interested in joining our lab, please email Professor Zhao with your CV and research interests.</t>
        </is>
      </c>
      <c r="AF64" s="2" t="inlineStr"/>
      <c r="AG64" s="2" t="inlineStr"/>
      <c r="AH64" s="2" t="inlineStr">
        <is>
          <t>DOE</t>
        </is>
      </c>
      <c r="AI64" s="2" t="inlineStr"/>
      <c r="AJ64" s="2" t="inlineStr"/>
      <c r="AK64" s="2" t="inlineStr">
        <is>
          <t>ME 2194</t>
        </is>
      </c>
      <c r="AL64" s="2" t="b">
        <v>1</v>
      </c>
      <c r="AM64" s="3">
        <f>HYPERLINK("https://engineering.purdue.edu/ME/People/ptFaculty", "https://engineering.purdue.edu/ME/People/ptFaculty")</f>
        <v/>
      </c>
    </row>
    <row r="65">
      <c r="A65" s="2" t="inlineStr">
        <is>
          <t>Heather Liddell</t>
        </is>
      </c>
      <c r="B65" s="2" t="inlineStr">
        <is>
          <t>Purdue University</t>
        </is>
      </c>
      <c r="C65" s="3">
        <f>HYPERLINK("https://engineering.purdue.edu/ME/People/ptProfile?resource_id=286292", "https://engineering.purdue.edu/ME/People/ptProfile?resource_id=286292")</f>
        <v/>
      </c>
      <c r="D65" s="3">
        <f>HYPERLINK("https://scholar.google.com/citations?user=JmlZjPgAAAAJ&amp;hl=en", "Scholar (JmlZjPgAAAAJ)")</f>
        <v/>
      </c>
      <c r="E65" s="2" t="inlineStr">
        <is>
          <t>Assistant Professor of Mechanical Engineering, and Sustainability Engineering &amp; Environmental Engineering</t>
        </is>
      </c>
      <c r="F65" s="2" t="inlineStr">
        <is>
          <t>Mechanical Engineering</t>
        </is>
      </c>
      <c r="G65" s="2" t="inlineStr">
        <is>
          <t>JmlZjPgAAAAJ</t>
        </is>
      </c>
      <c r="H65" s="3">
        <f>HYPERLINK("mailto:liddellh@purdue.edu", "liddellh@purdue.edu")</f>
        <v/>
      </c>
      <c r="I65" s="2" t="n">
        <v>3</v>
      </c>
      <c r="J65" s="2" t="inlineStr">
        <is>
          <t>🟠 Tier 3: Structures / Materials / Manufacturing</t>
        </is>
      </c>
      <c r="K65" s="2" t="n">
        <v>2</v>
      </c>
      <c r="L65" s="2" t="inlineStr">
        <is>
          <t>materials, solid mechanics</t>
        </is>
      </c>
      <c r="M65" s="2" t="inlineStr"/>
      <c r="N65" s="2" t="inlineStr"/>
      <c r="O65" s="2" t="inlineStr"/>
      <c r="P65" s="2" t="inlineStr"/>
      <c r="Q65" s="2" t="inlineStr"/>
      <c r="R65" s="2" t="inlineStr"/>
      <c r="S65" s="2" t="inlineStr"/>
      <c r="T65" s="2" t="inlineStr"/>
      <c r="U65" s="2" t="inlineStr">
        <is>
          <t>Outstanding Mechanical Engineers Distinguished Engineering Alumni Honorary Doctorates Staff Awards Student Awards Distinguished...</t>
        </is>
      </c>
      <c r="V65" s="2" t="inlineStr"/>
      <c r="W65" s="2" t="inlineStr"/>
      <c r="X65" s="2" t="inlineStr"/>
      <c r="Y65" s="2" t="inlineStr">
        <is>
          <t>Sustainable manufacturing Environmental life cycle assessment Mechanics of multilayered systems Adhesion in paints and coatings Lightweighting strategies for transportation</t>
        </is>
      </c>
      <c r="Z65" s="2" t="inlineStr">
        <is>
          <t>Design &amp; Manufacturing Solid Mechanics</t>
        </is>
      </c>
      <c r="AA65" s="2" t="inlineStr">
        <is>
          <t>Design &amp; Manufacturing Solid Mechanics</t>
        </is>
      </c>
      <c r="AB65" s="2" t="inlineStr">
        <is>
          <t>Postdoctoral Research Fellow, U.S. Naval Research Laboratory, 2017-2020 Ph.D., Materials Science, University of Rochester, 2014 M.S., Mechanical Engineering, University of Rochester, 2010 B.S., Mechanical Engineering, University of Rochester, 2008</t>
        </is>
      </c>
      <c r="AC65" s="2" t="inlineStr">
        <is>
          <t>Personal Website</t>
        </is>
      </c>
      <c r="AD65" s="3">
        <f>HYPERLINK("https://hpliddell.github.io/", "https://hpliddell.github.io/")</f>
        <v/>
      </c>
      <c r="AE65" s="2" t="inlineStr"/>
      <c r="AF65" s="2" t="inlineStr"/>
      <c r="AG65" s="2" t="inlineStr"/>
      <c r="AH65" s="2" t="inlineStr"/>
      <c r="AI65" s="3">
        <f>HYPERLINK("https://github.com/alshedivat/al-folio", "https://github.com/alshedivat/al-folio, https://pages.github.com")</f>
        <v/>
      </c>
      <c r="AJ65" s="2" t="inlineStr"/>
      <c r="AK65" s="2" t="inlineStr">
        <is>
          <t>POTR 322C</t>
        </is>
      </c>
      <c r="AL65" s="2" t="b">
        <v>1</v>
      </c>
      <c r="AM65" s="3">
        <f>HYPERLINK("https://engineering.purdue.edu/ME/People/ptFaculty", "https://engineering.purdue.edu/ME/People/ptFaculty")</f>
        <v/>
      </c>
    </row>
    <row r="66">
      <c r="A66" s="2" t="inlineStr">
        <is>
          <t>Luz Sotelo</t>
        </is>
      </c>
      <c r="B66" s="2" t="inlineStr">
        <is>
          <t>Purdue University</t>
        </is>
      </c>
      <c r="C66" s="3">
        <f>HYPERLINK("https://engineering.purdue.edu/ME/People/ptProfile?resource_id=277732", "https://engineering.purdue.edu/ME/People/ptProfile?resource_id=277732")</f>
        <v/>
      </c>
      <c r="D66" s="3">
        <f>HYPERLINK("https://scholar.google.com/citations?user=sUD9j0EAAAAJ", "Scholar (sUD9j0EAAAAJ)")</f>
        <v/>
      </c>
      <c r="E66" s="2" t="inlineStr">
        <is>
          <t>Assistant Professor of Mechanical Engineering</t>
        </is>
      </c>
      <c r="F66" s="2" t="inlineStr">
        <is>
          <t>Mechanical Engineering</t>
        </is>
      </c>
      <c r="G66" s="2" t="inlineStr">
        <is>
          <t>sUD9j0EAAAAJ</t>
        </is>
      </c>
      <c r="H66" s="3">
        <f>HYPERLINK("mailto:lsotelo@purdue.edu", "lsotelo@purdue.edu")</f>
        <v/>
      </c>
      <c r="I66" s="2" t="n">
        <v>3</v>
      </c>
      <c r="J66" s="2" t="inlineStr">
        <is>
          <t>🟠 Tier 3: Structures / Materials / Manufacturing</t>
        </is>
      </c>
      <c r="K66" s="2" t="n">
        <v>2</v>
      </c>
      <c r="L66" s="2" t="inlineStr">
        <is>
          <t>materials, metamaterials</t>
        </is>
      </c>
      <c r="M66" s="2" t="inlineStr"/>
      <c r="N66" s="2" t="inlineStr"/>
      <c r="O66" s="2" t="inlineStr"/>
      <c r="P66" s="2" t="inlineStr"/>
      <c r="Q66" s="2" t="inlineStr"/>
      <c r="R66" s="2" t="inlineStr"/>
      <c r="S66" s="2" t="inlineStr"/>
      <c r="T66" s="2" t="inlineStr"/>
      <c r="U66" s="2" t="inlineStr">
        <is>
          <t>Outstanding Mechanical Engineers Distinguished Engineering Alumni Honorary Doctorates Staff Awards Student Awards Distinguished...</t>
        </is>
      </c>
      <c r="V66" s="2" t="inlineStr"/>
      <c r="W66" s="2" t="inlineStr"/>
      <c r="X66" s="2" t="inlineStr"/>
      <c r="Y66" s="2" t="inlineStr">
        <is>
          <t>Multi-process/multi-material additive manufacturing Nondestructive evaluation Advanced acoustic materials and metamaterials Ultrasonics</t>
        </is>
      </c>
      <c r="Z66" s="2" t="inlineStr">
        <is>
          <t>Dynamics &amp; Vibration Design &amp; Manufacturing</t>
        </is>
      </c>
      <c r="AA66" s="2" t="inlineStr">
        <is>
          <t>Dynamics &amp; Vibration Design &amp; Manufacturing</t>
        </is>
      </c>
      <c r="AB66" s="2" t="inlineStr">
        <is>
          <t>Ph.D. University of Nebraska-Lincoln B.S. University of Texas Rio Grande Valley</t>
        </is>
      </c>
      <c r="AC66" s="2" t="inlineStr">
        <is>
          <t>Google Scholar</t>
        </is>
      </c>
      <c r="AD66" s="3">
        <f>HYPERLINK("https://scholar.google.com/citations?user=sUD9j0EAAAAJ", "https://scholar.google.com/citations?user=sUD9j0EAAAAJ")</f>
        <v/>
      </c>
      <c r="AE66" s="2" t="inlineStr"/>
      <c r="AF66" s="2" t="inlineStr"/>
      <c r="AG66" s="2" t="inlineStr"/>
      <c r="AH66" s="2" t="inlineStr"/>
      <c r="AI66" s="2" t="inlineStr"/>
      <c r="AJ66" s="2" t="inlineStr"/>
      <c r="AK66" s="2" t="inlineStr">
        <is>
          <t>MMRL 1900D, ME 3003F</t>
        </is>
      </c>
      <c r="AL66" s="2" t="b">
        <v>1</v>
      </c>
      <c r="AM66" s="3">
        <f>HYPERLINK("https://engineering.purdue.edu/ME/People/ptFaculty", "https://engineering.purdue.edu/ME/People/ptFaculty")</f>
        <v/>
      </c>
    </row>
    <row r="67">
      <c r="A67" s="2" t="inlineStr">
        <is>
          <t>Marcial Gonzalez</t>
        </is>
      </c>
      <c r="B67" s="2" t="inlineStr">
        <is>
          <t>Purdue University</t>
        </is>
      </c>
      <c r="C67" s="3">
        <f>HYPERLINK("https://engineering.purdue.edu/ME/People/ptProfile?resource_id=106137", "https://engineering.purdue.edu/ME/People/ptProfile?resource_id=106137")</f>
        <v/>
      </c>
      <c r="D67" s="3">
        <f>HYPERLINK("https://scholar.google.com/citations?view_op=search_authors&amp;mauthors=Marcial%20Gonzalez%20Purdue%20University", "Google Scholar Search")</f>
        <v/>
      </c>
      <c r="E67" s="2" t="inlineStr">
        <is>
          <t>Professor of Mechanical Engineering</t>
        </is>
      </c>
      <c r="F67" s="2" t="inlineStr">
        <is>
          <t>Mechanical Engineering</t>
        </is>
      </c>
      <c r="G67" s="2" t="inlineStr"/>
      <c r="H67" s="3">
        <f>HYPERLINK("mailto:marcial-gonzalez@purdue.edu", "marcial-gonzalez@purdue.edu")</f>
        <v/>
      </c>
      <c r="I67" s="2" t="n">
        <v>3</v>
      </c>
      <c r="J67" s="2" t="inlineStr">
        <is>
          <t>🟠 Tier 3: Structures / Materials / Manufacturing</t>
        </is>
      </c>
      <c r="K67" s="2" t="n">
        <v>2</v>
      </c>
      <c r="L67" s="2" t="inlineStr">
        <is>
          <t>materials, solid mechanics</t>
        </is>
      </c>
      <c r="M67" s="2" t="inlineStr"/>
      <c r="N67" s="2" t="inlineStr"/>
      <c r="O67" s="2" t="inlineStr"/>
      <c r="P67" s="2" t="inlineStr"/>
      <c r="Q67" s="2" t="inlineStr"/>
      <c r="R67" s="2" t="inlineStr"/>
      <c r="S67" s="2" t="inlineStr"/>
      <c r="T67" s="2" t="inlineStr"/>
      <c r="U67" s="2" t="inlineStr">
        <is>
          <t>Outstanding Mechanical Engineers Distinguished Engineering Alumni Honorary Doctorates Staff Awards Student Awards Distinguished...</t>
        </is>
      </c>
      <c r="V67" s="2" t="inlineStr"/>
      <c r="W67" s="2" t="inlineStr"/>
      <c r="X67" s="2" t="inlineStr"/>
      <c r="Y67" s="2" t="inlineStr">
        <is>
          <t>Predictive, multi-scale modeling and simulation of microstructure evolution in confined granular systems, with an emphasis in manufacturing processes and the relationship between product fabrication and performance. Application areas of interest include: (i) particulate products and processes (e.g., flow, mixing, segregation, consolidation, and compaction of powders), (ii) continuous manufacturing (e.g., Quality by Design, model predictive control, and reduced order models), and (iii) performance of pharmaceutical solid products (e.g., tensile strength, stiffness, swelling and disintegration), biomaterials (e.g., transport and feeding of corn stover) and energetic materials (e.g., deformation and heat generation under quasi-static, near-resonant and impact conditions, and formation and growth of hot spots) materials.</t>
        </is>
      </c>
      <c r="Z67" s="2" t="inlineStr">
        <is>
          <t>Dynamics &amp; Vibration Solid Mechanics</t>
        </is>
      </c>
      <c r="AA67" s="2" t="inlineStr">
        <is>
          <t>Dynamics &amp; Vibration Solid Mechanics</t>
        </is>
      </c>
      <c r="AB67" s="2" t="inlineStr">
        <is>
          <t>Mechanical Engineer, University of Buenos Aires, '02 Ms.Sc., Aeronautics, California Institute of Technology, '06 Ph.D., Aeronautics (Minor in Materials Science), California Institute of Technology, '11</t>
        </is>
      </c>
      <c r="AC67" s="2" t="inlineStr">
        <is>
          <t>Gonzalez Research Group</t>
        </is>
      </c>
      <c r="AD67" s="3">
        <f>HYPERLINK("http://www.marcialgonzalez.net", "http://www.marcialgonzalez.net")</f>
        <v/>
      </c>
      <c r="AE67" s="2" t="inlineStr"/>
      <c r="AF67" s="2" t="inlineStr"/>
      <c r="AG67" s="2" t="inlineStr"/>
      <c r="AH67" s="2" t="inlineStr"/>
      <c r="AI67" s="2" t="inlineStr"/>
      <c r="AJ67" s="2" t="inlineStr"/>
      <c r="AK67" s="2" t="inlineStr">
        <is>
          <t>ME 3003D</t>
        </is>
      </c>
      <c r="AL67" s="2" t="b">
        <v>1</v>
      </c>
      <c r="AM67" s="3">
        <f>HYPERLINK("https://engineering.purdue.edu/ME/People/ptFaculty", "https://engineering.purdue.edu/ME/People/ptFaculty")</f>
        <v/>
      </c>
    </row>
    <row r="68">
      <c r="A68" s="2" t="inlineStr">
        <is>
          <t>Pavlos Vlachos</t>
        </is>
      </c>
      <c r="B68" s="2" t="inlineStr">
        <is>
          <t>Purdue University</t>
        </is>
      </c>
      <c r="C68" s="3">
        <f>HYPERLINK("https://engineering.purdue.edu/ME/People/ptProfile?resource_id=90129", "https://engineering.purdue.edu/ME/People/ptProfile?resource_id=90129")</f>
        <v/>
      </c>
      <c r="D68" s="3">
        <f>HYPERLINK("https://scholar.google.com/citations?view_op=search_authors&amp;mauthors=Pavlos%20Vlachos%20Purdue%20University", "Google Scholar Search")</f>
        <v/>
      </c>
      <c r="E68" s="2" t="inlineStr">
        <is>
          <t>St. Vincent Health Professor of Healthcare Engineering; Director of the Regenstrief Center for Healthcare Engineering</t>
        </is>
      </c>
      <c r="F68" s="2" t="inlineStr">
        <is>
          <t>Mechanical Engineering</t>
        </is>
      </c>
      <c r="G68" s="2" t="inlineStr"/>
      <c r="H68" s="3">
        <f>HYPERLINK("mailto:pvlachos@purdue.edu", "pvlachos@purdue.edu")</f>
        <v/>
      </c>
      <c r="I68" s="2" t="n">
        <v>3</v>
      </c>
      <c r="J68" s="2" t="inlineStr">
        <is>
          <t>🟠 Tier 3: Structures / Materials / Manufacturing</t>
        </is>
      </c>
      <c r="K68" s="2" t="n">
        <v>2</v>
      </c>
      <c r="L68" s="2" t="inlineStr">
        <is>
          <t>biofluid, fluid mechanics</t>
        </is>
      </c>
      <c r="M68" s="2" t="inlineStr"/>
      <c r="N68" s="2" t="inlineStr"/>
      <c r="O68" s="2" t="inlineStr"/>
      <c r="P68" s="2" t="inlineStr"/>
      <c r="Q68" s="2" t="inlineStr"/>
      <c r="R68" s="2" t="inlineStr"/>
      <c r="S68" s="2" t="inlineStr"/>
      <c r="T68" s="2" t="inlineStr"/>
      <c r="U68" s="2" t="inlineStr">
        <is>
          <t>Outstanding Mechanical Engineers Distinguished Engineering Alumni Honorary Doctorates Staff Awards Student Awards Distinguished...</t>
        </is>
      </c>
      <c r="V68" s="2" t="inlineStr"/>
      <c r="W68" s="2" t="inlineStr"/>
      <c r="X68" s="2" t="inlineStr"/>
      <c r="Y68" s="2" t="inlineStr">
        <is>
          <t>Measurement science and instrumentation Particle image velocimetry Quantification of uncertainty Multi-phase flows Flow induced vibrations and hydro-kinetic energy Biological flows Biofluid mechanics Biomedical cardiovascular devices Heart failure and diastolic dysfunction</t>
        </is>
      </c>
      <c r="Z68" s="2" t="inlineStr">
        <is>
          <t>Fluid Mechanics</t>
        </is>
      </c>
      <c r="AA68" s="2" t="inlineStr">
        <is>
          <t>Fluid Mechanics</t>
        </is>
      </c>
      <c r="AB68" s="2" t="inlineStr">
        <is>
          <t>Diploma, Mechanical Engineering, National Technical University of Athens (NTUA), Greece, '95 M.S. Engineering Science and Mechanics, Virginia Tech, '98 Ph.D., Engineering Science and Mechanics, Virginia Tech, '00</t>
        </is>
      </c>
      <c r="AC68" s="2" t="inlineStr">
        <is>
          <t>Personal Homepage</t>
        </is>
      </c>
      <c r="AD68" s="3">
        <f>HYPERLINK("https://vlachosresearch.org/", "https://vlachosresearch.org/")</f>
        <v/>
      </c>
      <c r="AE68" s="2" t="inlineStr"/>
      <c r="AF68" s="2" t="inlineStr"/>
      <c r="AG68" s="2" t="inlineStr">
        <is>
          <t>PIV, Particle Image Velocimetry, Schlieren</t>
        </is>
      </c>
      <c r="AH68" s="2" t="inlineStr"/>
      <c r="AI68" s="2" t="inlineStr"/>
      <c r="AJ68" s="2" t="inlineStr"/>
      <c r="AK68" s="2" t="inlineStr"/>
      <c r="AL68" s="2" t="b">
        <v>1</v>
      </c>
      <c r="AM68" s="3">
        <f>HYPERLINK("https://engineering.purdue.edu/ME/People/ptFaculty", "https://engineering.purdue.edu/ME/People/ptFaculty")</f>
        <v/>
      </c>
    </row>
    <row r="69">
      <c r="A69" s="2" t="inlineStr">
        <is>
          <t>R Byron Pipes</t>
        </is>
      </c>
      <c r="B69" s="2" t="inlineStr">
        <is>
          <t>Purdue University</t>
        </is>
      </c>
      <c r="C69" s="3">
        <f>HYPERLINK("https://engineering.purdue.edu/AAE/people/ptProfile?resource_id=1436", "https://engineering.purdue.edu/AAE/people/ptProfile?resource_id=1436")</f>
        <v/>
      </c>
      <c r="D69" s="3">
        <f>HYPERLINK("https://scholar.google.com/citations?view_op=search_authors&amp;mauthors=R%20Byron%20Pipes%20Purdue%20University", "Google Scholar Search")</f>
        <v/>
      </c>
      <c r="E69" s="2" t="inlineStr">
        <is>
          <t>John L. Bray Distinguished Professor of Engineering</t>
        </is>
      </c>
      <c r="F69" s="2" t="inlineStr">
        <is>
          <t>Aeronautics and Astronautics</t>
        </is>
      </c>
      <c r="G69" s="2" t="inlineStr"/>
      <c r="H69" s="2" t="inlineStr"/>
      <c r="I69" s="2" t="n">
        <v>3</v>
      </c>
      <c r="J69" s="2" t="inlineStr">
        <is>
          <t>🟠 Tier 3: Structures / Materials / Manufacturing</t>
        </is>
      </c>
      <c r="K69" s="2" t="n">
        <v>2</v>
      </c>
      <c r="L69" s="2" t="inlineStr">
        <is>
          <t>aerospace, materials</t>
        </is>
      </c>
      <c r="M69" s="2" t="inlineStr"/>
      <c r="N69" s="2" t="inlineStr"/>
      <c r="O69" s="2" t="inlineStr"/>
      <c r="P69" s="2" t="inlineStr"/>
      <c r="Q69" s="2" t="inlineStr"/>
      <c r="R69" s="2" t="inlineStr"/>
      <c r="S69" s="2" t="inlineStr"/>
      <c r="T69" s="2" t="inlineStr"/>
      <c r="U69" s="2" t="inlineStr"/>
      <c r="V69" s="2" t="inlineStr"/>
      <c r="W69" s="2" t="inlineStr"/>
      <c r="X69" s="2" t="inlineStr"/>
      <c r="Y69" s="2" t="inlineStr"/>
      <c r="Z69" s="2" t="inlineStr"/>
      <c r="AA69" s="2" t="inlineStr"/>
      <c r="AB69" s="2" t="inlineStr"/>
      <c r="AC69" s="2" t="inlineStr"/>
      <c r="AD69" s="2" t="inlineStr"/>
      <c r="AE69" s="2" t="inlineStr"/>
      <c r="AF69" s="2" t="inlineStr"/>
      <c r="AG69" s="2" t="inlineStr"/>
      <c r="AH69" s="2" t="inlineStr"/>
      <c r="AI69" s="2" t="inlineStr"/>
      <c r="AJ69" s="2" t="inlineStr"/>
      <c r="AK69" s="2" t="inlineStr"/>
      <c r="AL69" s="2" t="b">
        <v>1</v>
      </c>
      <c r="AM69" s="3">
        <f>HYPERLINK("https://engineering.purdue.edu/AAE/people/Faculty", "https://engineering.purdue.edu/AAE/people/Faculty")</f>
        <v/>
      </c>
    </row>
    <row r="70">
      <c r="A70" s="2" t="inlineStr">
        <is>
          <t>Thomas Siegmund</t>
        </is>
      </c>
      <c r="B70" s="2" t="inlineStr">
        <is>
          <t>Purdue University</t>
        </is>
      </c>
      <c r="C70" s="3">
        <f>HYPERLINK("https://engineering.purdue.edu/ME/People/ptProfile?resource_id=12303", "https://engineering.purdue.edu/ME/People/ptProfile?resource_id=12303")</f>
        <v/>
      </c>
      <c r="D70" s="3">
        <f>HYPERLINK("https://scholar.google.com/citations?hl=en&amp;user=axgXCjEAAAAJ", "Scholar (axgXCjEAAAAJ)")</f>
        <v/>
      </c>
      <c r="E70" s="2" t="inlineStr">
        <is>
          <t>Professor of Mechanical Engineering</t>
        </is>
      </c>
      <c r="F70" s="2" t="inlineStr">
        <is>
          <t>Mechanical Engineering</t>
        </is>
      </c>
      <c r="G70" s="2" t="inlineStr">
        <is>
          <t>axgXCjEAAAAJ</t>
        </is>
      </c>
      <c r="H70" s="3">
        <f>HYPERLINK("mailto:siegmund@purdue.edu", "siegmund@purdue.edu")</f>
        <v/>
      </c>
      <c r="I70" s="2" t="n">
        <v>3</v>
      </c>
      <c r="J70" s="2" t="inlineStr">
        <is>
          <t>🟠 Tier 3: Structures / Materials / Manufacturing</t>
        </is>
      </c>
      <c r="K70" s="2" t="n">
        <v>2</v>
      </c>
      <c r="L70" s="2" t="inlineStr">
        <is>
          <t>materials, solid mechanics</t>
        </is>
      </c>
      <c r="M70" s="2" t="inlineStr"/>
      <c r="N70" s="2" t="inlineStr"/>
      <c r="O70" s="2" t="inlineStr"/>
      <c r="P70" s="2" t="inlineStr"/>
      <c r="Q70" s="2" t="inlineStr"/>
      <c r="R70" s="2" t="inlineStr"/>
      <c r="S70" s="2" t="inlineStr"/>
      <c r="T70" s="2" t="inlineStr"/>
      <c r="U70" s="2" t="inlineStr">
        <is>
          <t>Outstanding Mechanical Engineers Distinguished Engineering Alumni Honorary Doctorates Staff Awards Student Awards Distinguished...</t>
        </is>
      </c>
      <c r="V70" s="2" t="inlineStr">
        <is>
          <t>Contact Purdue Engineering MarCom regarding any accessibility issues | Accessibility Resources | Contact Us | Email webmaster-eng@purdue.edu to report a problem</t>
        </is>
      </c>
      <c r="W70" s="2" t="inlineStr"/>
      <c r="X70" s="2" t="inlineStr"/>
      <c r="Y70" s="2" t="inlineStr">
        <is>
          <t>Solid mechanics, multiscale and multiphysics modeling. Design of engineering material systems. Fracture and fatigue. Microarchitectured materials. Biomechanics of soft and hard tissues.</t>
        </is>
      </c>
      <c r="Z70" s="2" t="inlineStr">
        <is>
          <t>Solid Mechanics</t>
        </is>
      </c>
      <c r="AA70" s="2" t="inlineStr">
        <is>
          <t>Solid Mechanics</t>
        </is>
      </c>
      <c r="AB70" s="2" t="inlineStr">
        <is>
          <t>Diplom Ingenieur University of Leoben, Austria, '90 Ph.D. University of Leoben, Austria, '94</t>
        </is>
      </c>
      <c r="AC70" s="2" t="inlineStr">
        <is>
          <t>Lab Website</t>
        </is>
      </c>
      <c r="AD70" s="3">
        <f>HYPERLINK("https://engineering.purdue.edu/MYMECH", "https://engineering.purdue.edu/MYMECH")</f>
        <v/>
      </c>
      <c r="AE70" s="2" t="inlineStr"/>
      <c r="AF70" s="2" t="inlineStr"/>
      <c r="AG70" s="2" t="inlineStr"/>
      <c r="AH70" s="2" t="inlineStr">
        <is>
          <t>DOE</t>
        </is>
      </c>
      <c r="AI70" s="2" t="inlineStr"/>
      <c r="AJ70" s="2" t="inlineStr"/>
      <c r="AK70" s="2" t="inlineStr">
        <is>
          <t>ME 3001</t>
        </is>
      </c>
      <c r="AL70" s="2" t="b">
        <v>1</v>
      </c>
      <c r="AM70" s="3">
        <f>HYPERLINK("https://engineering.purdue.edu/ME/People/ptFaculty", "https://engineering.purdue.edu/ME/People/ptFaculty")</f>
        <v/>
      </c>
    </row>
    <row r="71">
      <c r="A71" s="2" t="inlineStr">
        <is>
          <t>Wenbin Yu</t>
        </is>
      </c>
      <c r="B71" s="2" t="inlineStr">
        <is>
          <t>Purdue University</t>
        </is>
      </c>
      <c r="C71" s="3">
        <f>HYPERLINK("https://engineering.purdue.edu/AAE/people/ptProfile?resource_id=93761", "https://engineering.purdue.edu/AAE/people/ptProfile?resource_id=93761")</f>
        <v/>
      </c>
      <c r="D71" s="3">
        <f>HYPERLINK("https://scholar.google.com/citations?view_op=search_authors&amp;mauthors=Wenbin%20Yu%20Purdue%20University", "Google Scholar Search")</f>
        <v/>
      </c>
      <c r="E71" s="2" t="inlineStr">
        <is>
          <t>Milton Clauser Professor of Aeronautics and Astronautics</t>
        </is>
      </c>
      <c r="F71" s="2" t="inlineStr">
        <is>
          <t>Aeronautics and Astronautics</t>
        </is>
      </c>
      <c r="G71" s="2" t="inlineStr"/>
      <c r="H71" s="3">
        <f>HYPERLINK("mailto:wenbinyu@purdue.edu", "wenbinyu@purdue.edu")</f>
        <v/>
      </c>
      <c r="I71" s="2" t="n">
        <v>3</v>
      </c>
      <c r="J71" s="2" t="inlineStr">
        <is>
          <t>🟠 Tier 3: Structures / Materials / Manufacturing</t>
        </is>
      </c>
      <c r="K71" s="2" t="n">
        <v>2</v>
      </c>
      <c r="L71" s="2" t="inlineStr">
        <is>
          <t>aerospace, materials</t>
        </is>
      </c>
      <c r="M71" s="2" t="inlineStr"/>
      <c r="N71" s="2" t="inlineStr"/>
      <c r="O71" s="2" t="inlineStr"/>
      <c r="P71" s="2" t="inlineStr"/>
      <c r="Q71" s="2" t="inlineStr"/>
      <c r="R71" s="2" t="inlineStr"/>
      <c r="S71" s="2" t="inlineStr"/>
      <c r="T71" s="2" t="inlineStr"/>
      <c r="U71" s="2" t="inlineStr">
        <is>
          <t>Editorial board, Journal of Mechanics of Materials and Structures, 2025- ASC Award in Composites, ASC, 2025 Distinguished Senio...</t>
        </is>
      </c>
      <c r="V71" s="2" t="inlineStr"/>
      <c r="W71" s="2" t="inlineStr"/>
      <c r="X71" s="2" t="inlineStr"/>
      <c r="Y71" s="2" t="inlineStr">
        <is>
          <t>Multiscale Modeling Structural Mechanics Micromechanics Computational Mechanics Multiphysics Modeling Advanced Materials/Structures</t>
        </is>
      </c>
      <c r="Z71" s="2" t="inlineStr"/>
      <c r="AA71" s="2" t="inlineStr">
        <is>
          <t>Multiscale Modeling Structural Mechanics Micromechanics Computational Mechanics Multiphysics Modeling Advanced Materials/Structures</t>
        </is>
      </c>
      <c r="AB71" s="2" t="inlineStr">
        <is>
          <t>Georgia Tech, Aerospace Engineering, MS, 2000; PhD, 2002 Tsinghua University, China, Engineering Mechanics, MS, 1998 North China University of Water Conservancy and Hydroelectric Power, China, Hydraulic Engineering, BS, 1995</t>
        </is>
      </c>
      <c r="AC71" s="2" t="inlineStr">
        <is>
          <t>Indiana Space Grant Consortium</t>
        </is>
      </c>
      <c r="AD71" s="3">
        <f>HYPERLINK("https://insgc.spacegrant.org/", "https://insgc.spacegrant.org/")</f>
        <v/>
      </c>
      <c r="AE71" s="2" t="inlineStr">
        <is>
          <t>Academic INSGC Internships</t>
        </is>
      </c>
      <c r="AF71" s="2" t="inlineStr"/>
      <c r="AG71" s="2" t="inlineStr"/>
      <c r="AH71" s="2" t="inlineStr">
        <is>
          <t>NASA</t>
        </is>
      </c>
      <c r="AI71" s="2" t="inlineStr"/>
      <c r="AJ71" s="2" t="inlineStr"/>
      <c r="AK71" s="2" t="inlineStr">
        <is>
          <t>ARMS 3321</t>
        </is>
      </c>
      <c r="AL71" s="2" t="b">
        <v>1</v>
      </c>
      <c r="AM71" s="3">
        <f>HYPERLINK("https://engineering.purdue.edu/AAE/people/Faculty", "https://engineering.purdue.edu/AAE/people/Faculty")</f>
        <v/>
      </c>
    </row>
    <row r="72">
      <c r="A72" s="2" t="inlineStr">
        <is>
          <t>Ajay Malshe</t>
        </is>
      </c>
      <c r="B72" s="2" t="inlineStr">
        <is>
          <t>Purdue University</t>
        </is>
      </c>
      <c r="C72" s="3">
        <f>HYPERLINK("https://engineering.purdue.edu/ME/People/ptProfile?resource_id=232598", "https://engineering.purdue.edu/ME/People/ptProfile?resource_id=232598")</f>
        <v/>
      </c>
      <c r="D72" s="3">
        <f>HYPERLINK("https://scholar.google.com/citations?view_op=search_authors&amp;mauthors=Ajay%20Malshe%20Purdue%20University", "Google Scholar Search")</f>
        <v/>
      </c>
      <c r="E72" s="2" t="inlineStr">
        <is>
          <t>R. Eugene and Susie E. Goodson Distinguished Professor of Mechanical Engineering; President’s Fellow; Director, Manufacturing and Materials Research Laboratories (MMRL); Co-Director, eXcellence in Manufacturing and Operations (XMO)</t>
        </is>
      </c>
      <c r="F72" s="2" t="inlineStr">
        <is>
          <t>Mechanical Engineering</t>
        </is>
      </c>
      <c r="G72" s="2" t="inlineStr"/>
      <c r="H72" s="3">
        <f>HYPERLINK("mailto:amalshe@purdue.edu", "amalshe@purdue.edu")</f>
        <v/>
      </c>
      <c r="I72" s="2" t="n">
        <v>3</v>
      </c>
      <c r="J72" s="2" t="inlineStr">
        <is>
          <t>🟠 Tier 3: Structures / Materials / Manufacturing</t>
        </is>
      </c>
      <c r="K72" s="2" t="n">
        <v>1</v>
      </c>
      <c r="L72" s="2" t="inlineStr">
        <is>
          <t>materials</t>
        </is>
      </c>
      <c r="M72" s="2" t="inlineStr"/>
      <c r="N72" s="2" t="inlineStr"/>
      <c r="O72" s="2" t="inlineStr"/>
      <c r="P72" s="2" t="inlineStr"/>
      <c r="Q72" s="2" t="inlineStr"/>
      <c r="R72" s="2" t="inlineStr"/>
      <c r="S72" s="2" t="inlineStr"/>
      <c r="T72" s="2" t="inlineStr"/>
      <c r="U72" s="2" t="inlineStr">
        <is>
          <t>Outstanding Mechanical Engineers Distinguished Engineering Alumni Honorary Doctorates Staff Awards Student Awards Distinguished...</t>
        </is>
      </c>
      <c r="V72" s="2" t="inlineStr"/>
      <c r="W72" s="2" t="inlineStr"/>
      <c r="X72" s="2" t="inlineStr"/>
      <c r="Y72" s="2" t="inlineStr">
        <is>
          <t>Bio-inspired designs Surface engineering and multifunctional materials Convergent Manufacturing for Industry 5.0: hybrid manufacturing processes, heterogeneous materials, and bio-inspired designs Systems integration, productization, and production Heavy-duty machines: machining, lubrication, and corrosion Heterogeneous and hierarchical integration (mechanical-electrical-optical and nano-micro-meso-macro) Precision agricultural and food: cellular agriculture, vertical farming, micro-production, and resilience Frugal engineering, social innovations, and social equity Manufacturing in space</t>
        </is>
      </c>
      <c r="Z72" s="2" t="inlineStr">
        <is>
          <t>Design &amp; Manufacturing</t>
        </is>
      </c>
      <c r="AA72" s="2" t="inlineStr">
        <is>
          <t>Design &amp; Manufacturing</t>
        </is>
      </c>
      <c r="AB72" s="2" t="inlineStr"/>
      <c r="AC72" s="2" t="inlineStr">
        <is>
          <t>LinkedIn</t>
        </is>
      </c>
      <c r="AD72" s="3">
        <f>HYPERLINK("https://www.linkedin.com/in/ajay-malshe/", "https://www.linkedin.com/in/ajay-malshe/")</f>
        <v/>
      </c>
      <c r="AE72" s="2" t="inlineStr"/>
      <c r="AF72" s="2" t="inlineStr"/>
      <c r="AG72" s="2" t="inlineStr"/>
      <c r="AH72" s="2" t="inlineStr"/>
      <c r="AI72" s="2" t="inlineStr"/>
      <c r="AJ72" s="2" t="inlineStr"/>
      <c r="AK72" s="2" t="inlineStr">
        <is>
          <t>ME 3003G</t>
        </is>
      </c>
      <c r="AL72" s="2" t="b">
        <v>1</v>
      </c>
      <c r="AM72" s="3">
        <f>HYPERLINK("https://engineering.purdue.edu/ME/People/ptFaculty", "https://engineering.purdue.edu/ME/People/ptFaculty")</f>
        <v/>
      </c>
    </row>
    <row r="73">
      <c r="A73" s="2" t="inlineStr">
        <is>
          <t>Alex Chortos</t>
        </is>
      </c>
      <c r="B73" s="2" t="inlineStr">
        <is>
          <t>Purdue University</t>
        </is>
      </c>
      <c r="C73" s="3">
        <f>HYPERLINK("https://engineering.purdue.edu/ME/People/ptProfile?resource_id=243743", "https://engineering.purdue.edu/ME/People/ptProfile?resource_id=243743")</f>
        <v/>
      </c>
      <c r="D73" s="3">
        <f>HYPERLINK("https://scholar.google.com/citations?view_op=search_authors&amp;mauthors=Alex%20Chortos%20Purdue%20University", "Google Scholar Search")</f>
        <v/>
      </c>
      <c r="E73" s="2" t="inlineStr">
        <is>
          <t>Assistant Professor of Mechanical Engineering</t>
        </is>
      </c>
      <c r="F73" s="2" t="inlineStr">
        <is>
          <t>Mechanical Engineering</t>
        </is>
      </c>
      <c r="G73" s="2" t="inlineStr"/>
      <c r="H73" s="3">
        <f>HYPERLINK("mailto:achortos@purdue.edu", "achortos@purdue.edu")</f>
        <v/>
      </c>
      <c r="I73" s="2" t="n">
        <v>3</v>
      </c>
      <c r="J73" s="2" t="inlineStr">
        <is>
          <t>🟠 Tier 3: Structures / Materials / Manufacturing</t>
        </is>
      </c>
      <c r="K73" s="2" t="n">
        <v>1</v>
      </c>
      <c r="L73" s="2" t="inlineStr">
        <is>
          <t>solid mechanics</t>
        </is>
      </c>
      <c r="M73" s="2" t="inlineStr"/>
      <c r="N73" s="2" t="inlineStr"/>
      <c r="O73" s="2" t="inlineStr"/>
      <c r="P73" s="2" t="inlineStr"/>
      <c r="Q73" s="2" t="inlineStr"/>
      <c r="R73" s="2" t="inlineStr"/>
      <c r="S73" s="2" t="inlineStr"/>
      <c r="T73" s="2" t="inlineStr"/>
      <c r="U73" s="2" t="inlineStr">
        <is>
          <t>Outstanding Mechanical Engineers Distinguished Engineering Alumni Honorary Doctorates Staff Awards Student Awards Distinguished...</t>
        </is>
      </c>
      <c r="V73" s="2" t="inlineStr"/>
      <c r="W73" s="2" t="inlineStr"/>
      <c r="X73" s="2" t="inlineStr"/>
      <c r="Y73" s="2" t="inlineStr">
        <is>
          <t>Bio-inspired and mechanically adaptive electronics Multimaterial additive fabrication Soft actuators (artificial muscles) Wearable actuators (haptics) Polymer design and polymer physics Deformation sensors and transistors</t>
        </is>
      </c>
      <c r="Z73" s="2" t="inlineStr">
        <is>
          <t>Design &amp; Manufacturing Solid Mechanics</t>
        </is>
      </c>
      <c r="AA73" s="2" t="inlineStr">
        <is>
          <t>Design &amp; Manufacturing Solid Mechanics</t>
        </is>
      </c>
      <c r="AB73" s="2" t="inlineStr">
        <is>
          <t>Postdoctoral Fellow, Harvard University, 2020 Ph.D., Stanford University, 2017 B.A.Sc., University of Waterloo, 2011</t>
        </is>
      </c>
      <c r="AC73" s="2" t="inlineStr">
        <is>
          <t>Bionic Interfaces Prototyping Lab</t>
        </is>
      </c>
      <c r="AD73" s="3">
        <f>HYPERLINK("https://www.alexchortos.com/", "https://www.alexchortos.com/")</f>
        <v/>
      </c>
      <c r="AE73" s="2" t="inlineStr"/>
      <c r="AF73" s="2" t="inlineStr"/>
      <c r="AG73" s="2" t="inlineStr"/>
      <c r="AH73" s="2" t="inlineStr"/>
      <c r="AI73" s="2" t="inlineStr"/>
      <c r="AJ73" s="2" t="inlineStr"/>
      <c r="AK73" s="2" t="inlineStr">
        <is>
          <t>ME 3003A</t>
        </is>
      </c>
      <c r="AL73" s="2" t="b">
        <v>1</v>
      </c>
      <c r="AM73" s="3">
        <f>HYPERLINK("https://engineering.purdue.edu/ME/People/ptFaculty", "https://engineering.purdue.edu/ME/People/ptFaculty")</f>
        <v/>
      </c>
    </row>
    <row r="74">
      <c r="A74" s="2" t="inlineStr">
        <is>
          <t>Anil K. Bajaj</t>
        </is>
      </c>
      <c r="B74" s="2" t="inlineStr">
        <is>
          <t>Purdue University</t>
        </is>
      </c>
      <c r="C74" s="3">
        <f>HYPERLINK("https://engineering.purdue.edu/ME/People/ptProfile?resource_id=11316", "https://engineering.purdue.edu/ME/People/ptProfile?resource_id=11316")</f>
        <v/>
      </c>
      <c r="D74" s="3">
        <f>HYPERLINK("https://scholar.google.com/citations?view_op=search_authors&amp;mauthors=Anil%20K.%20Bajaj%20Purdue%20University", "Google Scholar Search")</f>
        <v/>
      </c>
      <c r="E74" s="2" t="inlineStr">
        <is>
          <t>Alpha P. Jamison Professor of Mechanical Engineering</t>
        </is>
      </c>
      <c r="F74" s="2" t="inlineStr">
        <is>
          <t>Mechanical Engineering</t>
        </is>
      </c>
      <c r="G74" s="2" t="inlineStr"/>
      <c r="H74" s="3">
        <f>HYPERLINK("mailto:bajaj@purdue.edu", "bajaj@purdue.edu")</f>
        <v/>
      </c>
      <c r="I74" s="2" t="n">
        <v>3</v>
      </c>
      <c r="J74" s="2" t="inlineStr">
        <is>
          <t>🟠 Tier 3: Structures / Materials / Manufacturing</t>
        </is>
      </c>
      <c r="K74" s="2" t="n">
        <v>1</v>
      </c>
      <c r="L74" s="2" t="inlineStr">
        <is>
          <t>solid mechanics</t>
        </is>
      </c>
      <c r="M74" s="2" t="inlineStr"/>
      <c r="N74" s="2" t="inlineStr"/>
      <c r="O74" s="2" t="inlineStr"/>
      <c r="P74" s="2" t="inlineStr"/>
      <c r="Q74" s="2" t="inlineStr"/>
      <c r="R74" s="2" t="inlineStr"/>
      <c r="S74" s="2" t="inlineStr"/>
      <c r="T74" s="2" t="inlineStr"/>
      <c r="U74" s="2" t="inlineStr">
        <is>
          <t>Outstanding Mechanical Engineers Distinguished Engineering Alumni Honorary Doctorates Staff Awards Student Awards Distinguished...</t>
        </is>
      </c>
      <c r="V74" s="2" t="inlineStr"/>
      <c r="W74" s="2" t="inlineStr"/>
      <c r="X74" s="2" t="inlineStr"/>
      <c r="Y74" s="2" t="inlineStr">
        <is>
          <t>Modeling of nonlinear systems Structural dynamics and localization Flow-induced vibrations Impacting systems Bifurcations and chaos</t>
        </is>
      </c>
      <c r="Z74" s="2" t="inlineStr">
        <is>
          <t>Dynamics &amp; Vibration Systems, Measurements &amp; Controls Solid Mechanics</t>
        </is>
      </c>
      <c r="AA74" s="2" t="inlineStr">
        <is>
          <t>Dynamics &amp; Vibration Systems, Measurements &amp; Controls Solid Mechanics</t>
        </is>
      </c>
      <c r="AB74" s="2" t="inlineStr">
        <is>
          <t>B.Tech. Indian Institute of Technology, Kharagpur, '73 M.S. Indian Institute of Technology, Kanpur, '76 Ph.D. Minnesota, '81</t>
        </is>
      </c>
      <c r="AC74" s="2" t="inlineStr">
        <is>
          <t>Indiana Space Grant Consortium</t>
        </is>
      </c>
      <c r="AD74" s="3">
        <f>HYPERLINK("https://insgc.spacegrant.org/", "https://insgc.spacegrant.org/")</f>
        <v/>
      </c>
      <c r="AE74" s="2" t="inlineStr">
        <is>
          <t>Academic INSGC Internships</t>
        </is>
      </c>
      <c r="AF74" s="2" t="inlineStr"/>
      <c r="AG74" s="2" t="inlineStr"/>
      <c r="AH74" s="2" t="inlineStr">
        <is>
          <t>NASA</t>
        </is>
      </c>
      <c r="AI74" s="2" t="inlineStr"/>
      <c r="AJ74" s="2" t="inlineStr"/>
      <c r="AK74" s="2" t="inlineStr">
        <is>
          <t>ME 3180</t>
        </is>
      </c>
      <c r="AL74" s="2" t="b">
        <v>1</v>
      </c>
      <c r="AM74" s="3">
        <f>HYPERLINK("https://engineering.purdue.edu/ME/People/ptFaculty", "https://engineering.purdue.edu/ME/People/ptFaculty")</f>
        <v/>
      </c>
    </row>
    <row r="75">
      <c r="A75" s="2" t="inlineStr">
        <is>
          <t>Babak Anasori</t>
        </is>
      </c>
      <c r="B75" s="2" t="inlineStr">
        <is>
          <t>Purdue University</t>
        </is>
      </c>
      <c r="C75" s="3">
        <f>HYPERLINK("https://engineering.purdue.edu/ME/People/ptProfile?resource_id=250301", "https://engineering.purdue.edu/ME/People/ptProfile?resource_id=250301")</f>
        <v/>
      </c>
      <c r="D75" s="3">
        <f>HYPERLINK("https://scholar.google.com/citations?view_op=search_authors&amp;mauthors=Babak%20Anasori%20Purdue%20University", "Google Scholar Search")</f>
        <v/>
      </c>
      <c r="E75" s="2" t="inlineStr">
        <is>
          <t>Reilly Rising Star Associate Professor of Materials and Mechanical Engineering</t>
        </is>
      </c>
      <c r="F75" s="2" t="inlineStr">
        <is>
          <t>Mechanical Engineering</t>
        </is>
      </c>
      <c r="G75" s="2" t="inlineStr"/>
      <c r="H75" s="3">
        <f>HYPERLINK("mailto:banasori@purdue.edu", "banasori@purdue.edu")</f>
        <v/>
      </c>
      <c r="I75" s="2" t="n">
        <v>3</v>
      </c>
      <c r="J75" s="2" t="inlineStr">
        <is>
          <t>🟠 Tier 3: Structures / Materials / Manufacturing</t>
        </is>
      </c>
      <c r="K75" s="2" t="n">
        <v>1</v>
      </c>
      <c r="L75" s="2" t="inlineStr">
        <is>
          <t>materials</t>
        </is>
      </c>
      <c r="M75" s="2" t="inlineStr"/>
      <c r="N75" s="2" t="inlineStr"/>
      <c r="O75" s="2" t="inlineStr"/>
      <c r="P75" s="2" t="inlineStr"/>
      <c r="Q75" s="2" t="inlineStr"/>
      <c r="R75" s="2" t="inlineStr"/>
      <c r="S75" s="2" t="inlineStr"/>
      <c r="T75" s="2" t="inlineStr"/>
      <c r="U75" s="2" t="inlineStr">
        <is>
          <t>Outstanding Mechanical Engineers Distinguished Engineering Alumni Honorary Doctorates Staff Awards Student Awards Distinguished...</t>
        </is>
      </c>
      <c r="V75" s="2" t="inlineStr"/>
      <c r="W75" s="2" t="inlineStr"/>
      <c r="X75" s="2" t="inlineStr"/>
      <c r="Y75" s="2" t="inlineStr">
        <is>
          <t>Two-dimensional (2D) transition metal carbides and nitrides, MXenes</t>
        </is>
      </c>
      <c r="Z75" s="2" t="inlineStr"/>
      <c r="AA75" s="2" t="inlineStr">
        <is>
          <t>Two-dimensional (2D) transition metal carbides and nitrides, MXenes</t>
        </is>
      </c>
      <c r="AB75" s="2" t="inlineStr"/>
      <c r="AC75" s="2" t="inlineStr">
        <is>
          <t>Layered Materials and Structures Lab (LMSL)</t>
        </is>
      </c>
      <c r="AD75" s="3">
        <f>HYPERLINK("https://www.babakanasori.com/", "https://www.babakanasori.com/")</f>
        <v/>
      </c>
      <c r="AE75" s="2" t="inlineStr"/>
      <c r="AF75" s="2" t="inlineStr"/>
      <c r="AG75" s="2" t="inlineStr">
        <is>
          <t>SEM</t>
        </is>
      </c>
      <c r="AH75" s="2" t="inlineStr"/>
      <c r="AI75" s="2" t="inlineStr"/>
      <c r="AJ75" s="2" t="inlineStr"/>
      <c r="AK75" s="2" t="inlineStr">
        <is>
          <t>SL260M (Indy) / ARMS2209 (WL)</t>
        </is>
      </c>
      <c r="AL75" s="2" t="b">
        <v>1</v>
      </c>
      <c r="AM75" s="3">
        <f>HYPERLINK("https://engineering.purdue.edu/ME/People/ptFaculty", "https://engineering.purdue.edu/ME/People/ptFaculty")</f>
        <v/>
      </c>
    </row>
    <row r="76">
      <c r="A76" s="2" t="inlineStr">
        <is>
          <t>Beth Holloway</t>
        </is>
      </c>
      <c r="B76" s="2" t="inlineStr">
        <is>
          <t>Purdue University</t>
        </is>
      </c>
      <c r="C76" s="3">
        <f>HYPERLINK("https://engineering.purdue.edu/Engr/People/ptProfile?resource_id=4110", "https://engineering.purdue.edu/Engr/People/ptProfile?resource_id=4110")</f>
        <v/>
      </c>
      <c r="D76" s="3">
        <f>HYPERLINK("https://scholar.google.com/citations?view_op=search_authors&amp;mauthors=Beth%20Holloway%20Purdue%20University", "Google Scholar Search")</f>
        <v/>
      </c>
      <c r="E76" s="2" t="inlineStr">
        <is>
          <t>Senior Assistant Dean for Student Access and Success; Leah H. Jamieson Director of the Women In Engineering Program, College of Engineering; Professor of Engineering Practice</t>
        </is>
      </c>
      <c r="F76" s="2" t="inlineStr">
        <is>
          <t>Mechanical Engineering</t>
        </is>
      </c>
      <c r="G76" s="2" t="inlineStr"/>
      <c r="H76" s="3">
        <f>HYPERLINK("mailto:holloway@purdue.edu", "holloway@purdue.edu")</f>
        <v/>
      </c>
      <c r="I76" s="2" t="n">
        <v>3</v>
      </c>
      <c r="J76" s="2" t="inlineStr">
        <is>
          <t>🟠 Tier 3: Structures / Materials / Manufacturing</t>
        </is>
      </c>
      <c r="K76" s="2" t="n">
        <v>1</v>
      </c>
      <c r="L76" s="2" t="inlineStr">
        <is>
          <t>materials</t>
        </is>
      </c>
      <c r="M76" s="2" t="inlineStr"/>
      <c r="N76" s="2" t="inlineStr"/>
      <c r="O76" s="2" t="inlineStr"/>
      <c r="P76" s="2" t="inlineStr"/>
      <c r="Q76" s="2" t="inlineStr"/>
      <c r="R76" s="2" t="inlineStr"/>
      <c r="S76" s="2" t="inlineStr"/>
      <c r="T76" s="2" t="inlineStr"/>
      <c r="U76" s="2" t="inlineStr"/>
      <c r="V76" s="2" t="inlineStr"/>
      <c r="W76" s="2" t="inlineStr"/>
      <c r="X76" s="2" t="inlineStr"/>
      <c r="Y76" s="2" t="inlineStr"/>
      <c r="Z76" s="2" t="inlineStr"/>
      <c r="AA76" s="2" t="inlineStr"/>
      <c r="AB76" s="2" t="inlineStr">
        <is>
          <t>Undergraduate Engineering Degree Maps First Year Engineering Aeronautical &amp; Astronautical Engineering (Undergraduate) Agricultural &amp; Biological Engineering (Undergraduate) Biomedical Engineering (Undergraduate) Chemical Engineering (Undergraduate) Civil &amp; Construction Engineering (Undergraduate) Electrical &amp; Computer Engineering (Undergraduate) Industrial Engineering (Undergraduate) Interdisciplinary Engineering (Undergraduate) Materials Engineering (Undergraduate) Mechanical Engineering (Undergraduate) Multidisciplinary Engineering (Undergraduate) Nuclear Engineering (Undergraduate) Sustainability Engineering &amp; Environmental Engineering (Undergraduate)</t>
        </is>
      </c>
      <c r="AC76" s="2" t="inlineStr">
        <is>
          <t>Indiana Space Grant Consortium</t>
        </is>
      </c>
      <c r="AD76" s="3">
        <f>HYPERLINK("https://insgc.spacegrant.org/", "https://insgc.spacegrant.org/")</f>
        <v/>
      </c>
      <c r="AE76" s="2" t="inlineStr">
        <is>
          <t>Academic INSGC Internships</t>
        </is>
      </c>
      <c r="AF76" s="2" t="inlineStr"/>
      <c r="AG76" s="2" t="inlineStr"/>
      <c r="AH76" s="2" t="inlineStr">
        <is>
          <t>NASA</t>
        </is>
      </c>
      <c r="AI76" s="2" t="inlineStr"/>
      <c r="AJ76" s="2" t="inlineStr"/>
      <c r="AK76" s="2" t="inlineStr"/>
      <c r="AL76" s="2" t="b">
        <v>1</v>
      </c>
      <c r="AM76" s="3">
        <f>HYPERLINK("https://engineering.purdue.edu/ME/People/ptFaculty", "https://engineering.purdue.edu/ME/People/ptFaculty")</f>
        <v/>
      </c>
    </row>
    <row r="77">
      <c r="A77" s="2" t="inlineStr">
        <is>
          <t>Eduardo Barocio Vaca</t>
        </is>
      </c>
      <c r="B77" s="2" t="inlineStr">
        <is>
          <t>Purdue University</t>
        </is>
      </c>
      <c r="C77" s="3">
        <f>HYPERLINK("https://engineering.purdue.edu/ME/People/ptProfile?resource_id=120407", "https://engineering.purdue.edu/ME/People/ptProfile?resource_id=120407")</f>
        <v/>
      </c>
      <c r="D77" s="3">
        <f>HYPERLINK("https://scholar.google.com/citations?view_op=search_authors&amp;mauthors=Eduardo%20Barocio%20Vaca%20Purdue%20University", "Google Scholar Search")</f>
        <v/>
      </c>
      <c r="E77" s="2" t="inlineStr">
        <is>
          <t>Assistant Professor of Mechanical Engineering</t>
        </is>
      </c>
      <c r="F77" s="2" t="inlineStr">
        <is>
          <t>Mechanical Engineering</t>
        </is>
      </c>
      <c r="G77" s="2" t="inlineStr"/>
      <c r="H77" s="3">
        <f>HYPERLINK("mailto:ebarocio@purdue.edu", "ebarocio@purdue.edu")</f>
        <v/>
      </c>
      <c r="I77" s="2" t="n">
        <v>3</v>
      </c>
      <c r="J77" s="2" t="inlineStr">
        <is>
          <t>🟠 Tier 3: Structures / Materials / Manufacturing</t>
        </is>
      </c>
      <c r="K77" s="2" t="n">
        <v>1</v>
      </c>
      <c r="L77" s="2" t="inlineStr">
        <is>
          <t>solid mechanics</t>
        </is>
      </c>
      <c r="M77" s="2" t="inlineStr"/>
      <c r="N77" s="2" t="inlineStr"/>
      <c r="O77" s="2" t="inlineStr"/>
      <c r="P77" s="2" t="inlineStr"/>
      <c r="Q77" s="2" t="inlineStr"/>
      <c r="R77" s="2" t="inlineStr"/>
      <c r="S77" s="2" t="inlineStr"/>
      <c r="T77" s="2" t="inlineStr"/>
      <c r="U77" s="2" t="inlineStr">
        <is>
          <t>Outstanding Mechanical Engineers Distinguished Engineering Alumni Honorary Doctorates Staff Awards Student Awards Distinguished...</t>
        </is>
      </c>
      <c r="V77" s="2" t="inlineStr"/>
      <c r="W77" s="2" t="inlineStr"/>
      <c r="X77" s="2" t="inlineStr"/>
      <c r="Y77" s="2" t="inlineStr"/>
      <c r="Z77" s="2" t="inlineStr">
        <is>
          <t>Design &amp; Manufacturing Solid Mechanics</t>
        </is>
      </c>
      <c r="AA77" s="2" t="inlineStr">
        <is>
          <t>Design &amp; Manufacturing Solid Mechanics</t>
        </is>
      </c>
      <c r="AB77" s="2" t="inlineStr"/>
      <c r="AC77" s="2" t="inlineStr">
        <is>
          <t>Indiana Space Grant Consortium</t>
        </is>
      </c>
      <c r="AD77" s="3">
        <f>HYPERLINK("https://insgc.spacegrant.org/", "https://insgc.spacegrant.org/")</f>
        <v/>
      </c>
      <c r="AE77" s="2" t="inlineStr">
        <is>
          <t>Academic INSGC Internships</t>
        </is>
      </c>
      <c r="AF77" s="2" t="inlineStr"/>
      <c r="AG77" s="2" t="inlineStr"/>
      <c r="AH77" s="2" t="inlineStr">
        <is>
          <t>NASA</t>
        </is>
      </c>
      <c r="AI77" s="2" t="inlineStr"/>
      <c r="AJ77" s="2" t="inlineStr"/>
      <c r="AK77" s="2" t="inlineStr"/>
      <c r="AL77" s="2" t="b">
        <v>1</v>
      </c>
      <c r="AM77" s="3">
        <f>HYPERLINK("https://engineering.purdue.edu/ME/People/ptFaculty", "https://engineering.purdue.edu/ME/People/ptFaculty")</f>
        <v/>
      </c>
    </row>
    <row r="78">
      <c r="A78" s="2" t="inlineStr">
        <is>
          <t>Farshid Sadeghi</t>
        </is>
      </c>
      <c r="B78" s="2" t="inlineStr">
        <is>
          <t>Purdue University</t>
        </is>
      </c>
      <c r="C78" s="3">
        <f>HYPERLINK("https://engineering.purdue.edu/ME/People/ptProfile?resource_id=23987", "https://engineering.purdue.edu/ME/People/ptProfile?resource_id=23987")</f>
        <v/>
      </c>
      <c r="D78" s="3">
        <f>HYPERLINK("https://scholar.google.com/citations?view_op=search_authors&amp;mauthors=Farshid%20Sadeghi%20Purdue%20University", "Google Scholar Search")</f>
        <v/>
      </c>
      <c r="E78" s="2" t="inlineStr">
        <is>
          <t>Cummins Distinguished Professor of Mechanical Engineering</t>
        </is>
      </c>
      <c r="F78" s="2" t="inlineStr">
        <is>
          <t>Mechanical Engineering</t>
        </is>
      </c>
      <c r="G78" s="2" t="inlineStr"/>
      <c r="H78" s="3">
        <f>HYPERLINK("mailto:sadeghi@purdue.edu", "sadeghi@purdue.edu")</f>
        <v/>
      </c>
      <c r="I78" s="2" t="n">
        <v>3</v>
      </c>
      <c r="J78" s="2" t="inlineStr">
        <is>
          <t>🟠 Tier 3: Structures / Materials / Manufacturing</t>
        </is>
      </c>
      <c r="K78" s="2" t="n">
        <v>1</v>
      </c>
      <c r="L78" s="2" t="inlineStr">
        <is>
          <t>solid mechanics</t>
        </is>
      </c>
      <c r="M78" s="2" t="inlineStr"/>
      <c r="N78" s="2" t="inlineStr"/>
      <c r="O78" s="2" t="inlineStr"/>
      <c r="P78" s="2" t="inlineStr"/>
      <c r="Q78" s="2" t="inlineStr"/>
      <c r="R78" s="2" t="inlineStr"/>
      <c r="S78" s="2" t="inlineStr"/>
      <c r="T78" s="2" t="inlineStr"/>
      <c r="U78" s="2" t="inlineStr">
        <is>
          <t>Outstanding Mechanical Engineers Distinguished Engineering Alumni Honorary Doctorates Staff Awards Student Awards Distinguished...</t>
        </is>
      </c>
      <c r="V78" s="2" t="inlineStr">
        <is>
          <t>METL is frequently looking to hire graduate research assistants. If you are interested in a research position at the Mechanical Engineering Tribology Lab, please email your application to Professor Sadeghi. (sadeghi@purdue.edu) It is suggested that you include the following: Curriculum vitae or Resume Indicate desired role (i.e. Direct Ph.D, Ph.D, Masters, etc.) Clearly indicate previous experience or academic background</t>
        </is>
      </c>
      <c r="W78" s="2" t="inlineStr"/>
      <c r="X78" s="2" t="inlineStr"/>
      <c r="Y78" s="2" t="inlineStr">
        <is>
          <t>Contact mechanics Stresses, fatigue and friction of rolling/sliding Micro-mechanics of boundary and mixed lubrication regimes Spall initiation and propagation Surface science and damage Dynamics of ball and rolling element bearings and rotating systems Friction induced vibration and squeal in dry contacts Friction and wear of dry and lubricated contacts Virtual tribology Dry and lubricated fretting wear MEMS for in-situ monitoring of tribological contacts Discrete element modeling Design</t>
        </is>
      </c>
      <c r="Z78" s="2" t="inlineStr">
        <is>
          <t>Design &amp; Manufacturing Solid Mechanics</t>
        </is>
      </c>
      <c r="AA78" s="2" t="inlineStr">
        <is>
          <t>Design &amp; Manufacturing Solid Mechanics</t>
        </is>
      </c>
      <c r="AB78" s="2" t="inlineStr">
        <is>
          <t>B.S. University of Tennessee, '79 M.S. University of Tennessee, '81 Ph.D. North Carolina State University, '85</t>
        </is>
      </c>
      <c r="AC78" s="2" t="inlineStr">
        <is>
          <t>Mechanical Engineering Tribology Laboratory (METL)</t>
        </is>
      </c>
      <c r="AD78" s="3">
        <f>HYPERLINK("https://engineering.purdue.edu/METL", "https://engineering.purdue.edu/METL")</f>
        <v/>
      </c>
      <c r="AE78" s="2" t="inlineStr"/>
      <c r="AF78" s="2" t="inlineStr"/>
      <c r="AG78" s="2" t="inlineStr"/>
      <c r="AH78" s="2" t="inlineStr"/>
      <c r="AI78" s="2" t="inlineStr"/>
      <c r="AJ78" s="2" t="inlineStr"/>
      <c r="AK78" s="2" t="inlineStr"/>
      <c r="AL78" s="2" t="b">
        <v>1</v>
      </c>
      <c r="AM78" s="3">
        <f>HYPERLINK("https://engineering.purdue.edu/ME/People/ptFaculty", "https://engineering.purdue.edu/ME/People/ptFaculty")</f>
        <v/>
      </c>
    </row>
    <row r="79">
      <c r="A79" s="2" t="inlineStr">
        <is>
          <t>Ilias Bilionis</t>
        </is>
      </c>
      <c r="B79" s="2" t="inlineStr">
        <is>
          <t>Purdue University</t>
        </is>
      </c>
      <c r="C79" s="3">
        <f>HYPERLINK("https://engineering.purdue.edu/ME/People/ptProfile?resource_id=113500", "https://engineering.purdue.edu/ME/People/ptProfile?resource_id=113500")</f>
        <v/>
      </c>
      <c r="D79" s="3">
        <f>HYPERLINK("https://scholar.google.com/citations?view_op=search_authors&amp;mauthors=Ilias%20Bilionis%20Purdue%20University", "Google Scholar Search")</f>
        <v/>
      </c>
      <c r="E79" s="2" t="inlineStr">
        <is>
          <t>Professor of Mechanical Engineering</t>
        </is>
      </c>
      <c r="F79" s="2" t="inlineStr">
        <is>
          <t>Mechanical Engineering</t>
        </is>
      </c>
      <c r="G79" s="2" t="inlineStr"/>
      <c r="H79" s="3">
        <f>HYPERLINK("mailto:ibilion@purdue.edu", "ibilion@purdue.edu")</f>
        <v/>
      </c>
      <c r="I79" s="2" t="n">
        <v>3</v>
      </c>
      <c r="J79" s="2" t="inlineStr">
        <is>
          <t>🟠 Tier 3: Structures / Materials / Manufacturing</t>
        </is>
      </c>
      <c r="K79" s="2" t="n">
        <v>1</v>
      </c>
      <c r="L79" s="2" t="inlineStr">
        <is>
          <t>materials</t>
        </is>
      </c>
      <c r="M79" s="2" t="inlineStr"/>
      <c r="N79" s="2" t="inlineStr"/>
      <c r="O79" s="2" t="inlineStr"/>
      <c r="P79" s="2" t="inlineStr"/>
      <c r="Q79" s="2" t="inlineStr"/>
      <c r="R79" s="2" t="inlineStr"/>
      <c r="S79" s="2" t="inlineStr"/>
      <c r="T79" s="2" t="inlineStr"/>
      <c r="U79" s="2" t="inlineStr">
        <is>
          <t>Outstanding Mechanical Engineers Distinguished Engineering Alumni Honorary Doctorates Staff Awards Student Awards Distinguished...</t>
        </is>
      </c>
      <c r="V79" s="2" t="inlineStr"/>
      <c r="W79" s="2" t="inlineStr"/>
      <c r="X79" s="2" t="inlineStr"/>
      <c r="Y79" s="2" t="inlineStr">
        <is>
          <t>Uncertainty propagation Inverse problems Propagation of information across scales Optimal learning Materials by design</t>
        </is>
      </c>
      <c r="Z79" s="2" t="inlineStr">
        <is>
          <t>Dynamics &amp; Vibration Design &amp; Manufacturing Systems, Measurements &amp; Controls</t>
        </is>
      </c>
      <c r="AA79" s="2" t="inlineStr">
        <is>
          <t>Dynamics &amp; Vibration Design &amp; Manufacturing Systems, Measurements &amp; Controls</t>
        </is>
      </c>
      <c r="AB79" s="2" t="inlineStr"/>
      <c r="AC79" s="2" t="inlineStr">
        <is>
          <t>Predictive Science Lab</t>
        </is>
      </c>
      <c r="AD79" s="3">
        <f>HYPERLINK("https://www.predictivesciencelab.org/", "https://www.predictivesciencelab.org/")</f>
        <v/>
      </c>
      <c r="AE79" s="2" t="inlineStr"/>
      <c r="AF79" s="2" t="inlineStr"/>
      <c r="AG79" s="2" t="inlineStr"/>
      <c r="AH79" s="2" t="inlineStr"/>
      <c r="AI79" s="3">
        <f>HYPERLINK("https://github.com/PredictiveScienceLab", "https://github.com/PredictiveScienceLab")</f>
        <v/>
      </c>
      <c r="AJ79" s="2" t="inlineStr"/>
      <c r="AK79" s="2" t="inlineStr">
        <is>
          <t>FLEX 3081C</t>
        </is>
      </c>
      <c r="AL79" s="2" t="b">
        <v>1</v>
      </c>
      <c r="AM79" s="3">
        <f>HYPERLINK("https://engineering.purdue.edu/ME/People/ptFaculty", "https://engineering.purdue.edu/ME/People/ptFaculty")</f>
        <v/>
      </c>
    </row>
    <row r="80">
      <c r="A80" s="2" t="inlineStr">
        <is>
          <t>James Gibert</t>
        </is>
      </c>
      <c r="B80" s="2" t="inlineStr">
        <is>
          <t>Purdue University</t>
        </is>
      </c>
      <c r="C80" s="3">
        <f>HYPERLINK("https://engineering.purdue.edu/ME/People/ptProfile?resource_id=127242", "https://engineering.purdue.edu/ME/People/ptProfile?resource_id=127242")</f>
        <v/>
      </c>
      <c r="D80" s="3">
        <f>HYPERLINK("https://scholar.google.com/citations?view_op=search_authors&amp;mauthors=James%20Gibert%20Purdue%20University", "Google Scholar Search")</f>
        <v/>
      </c>
      <c r="E80" s="2" t="inlineStr">
        <is>
          <t>Professor of Mechanical Engineering</t>
        </is>
      </c>
      <c r="F80" s="2" t="inlineStr">
        <is>
          <t>Mechanical Engineering</t>
        </is>
      </c>
      <c r="G80" s="2" t="inlineStr"/>
      <c r="H80" s="3">
        <f>HYPERLINK("mailto:jgibert@purdue.edu", "jgibert@purdue.edu")</f>
        <v/>
      </c>
      <c r="I80" s="2" t="n">
        <v>3</v>
      </c>
      <c r="J80" s="2" t="inlineStr">
        <is>
          <t>🟠 Tier 3: Structures / Materials / Manufacturing</t>
        </is>
      </c>
      <c r="K80" s="2" t="n">
        <v>1</v>
      </c>
      <c r="L80" s="2" t="inlineStr">
        <is>
          <t>solid mechanics</t>
        </is>
      </c>
      <c r="M80" s="2" t="inlineStr"/>
      <c r="N80" s="2" t="inlineStr"/>
      <c r="O80" s="2" t="inlineStr"/>
      <c r="P80" s="2" t="inlineStr"/>
      <c r="Q80" s="2" t="inlineStr"/>
      <c r="R80" s="2" t="inlineStr"/>
      <c r="S80" s="2" t="inlineStr"/>
      <c r="T80" s="2" t="inlineStr"/>
      <c r="U80" s="2" t="inlineStr">
        <is>
          <t>Outstanding Mechanical Engineers Distinguished Engineering Alumni Honorary Doctorates Staff Awards Student Awards Distinguished...</t>
        </is>
      </c>
      <c r="V80" s="2" t="inlineStr"/>
      <c r="W80" s="2" t="inlineStr"/>
      <c r="X80" s="2" t="inlineStr"/>
      <c r="Y80" s="2" t="inlineStr">
        <is>
          <t>Vibrations and nonlinear dynamics Smart material systems Non-pneumatic tires Optimization of mechanical systems Additive manufacturing</t>
        </is>
      </c>
      <c r="Z80" s="2" t="inlineStr">
        <is>
          <t>Dynamics &amp; Vibration Solid Mechanics</t>
        </is>
      </c>
      <c r="AA80" s="2" t="inlineStr">
        <is>
          <t>Dynamics &amp; Vibration Solid Mechanics</t>
        </is>
      </c>
      <c r="AB80" s="2" t="inlineStr">
        <is>
          <t>B.S., Clemson University,   ‘02 M.S., Clemson University,   ‘04 Ph.D., Clemson University,   ‘09</t>
        </is>
      </c>
      <c r="AC80" s="2" t="inlineStr">
        <is>
          <t>Indiana Space Grant Consortium</t>
        </is>
      </c>
      <c r="AD80" s="3">
        <f>HYPERLINK("https://insgc.spacegrant.org/", "https://insgc.spacegrant.org/")</f>
        <v/>
      </c>
      <c r="AE80" s="2" t="inlineStr">
        <is>
          <t>Academic INSGC Internships</t>
        </is>
      </c>
      <c r="AF80" s="2" t="inlineStr"/>
      <c r="AG80" s="2" t="inlineStr"/>
      <c r="AH80" s="2" t="inlineStr">
        <is>
          <t>NASA</t>
        </is>
      </c>
      <c r="AI80" s="2" t="inlineStr"/>
      <c r="AJ80" s="2" t="inlineStr"/>
      <c r="AK80" s="2" t="inlineStr"/>
      <c r="AL80" s="2" t="b">
        <v>1</v>
      </c>
      <c r="AM80" s="3">
        <f>HYPERLINK("https://engineering.purdue.edu/ME/People/ptFaculty", "https://engineering.purdue.edu/ME/People/ptFaculty")</f>
        <v/>
      </c>
    </row>
    <row r="81">
      <c r="A81" s="2" t="inlineStr">
        <is>
          <t>Jitesh H. Panchal</t>
        </is>
      </c>
      <c r="B81" s="2" t="inlineStr">
        <is>
          <t>Purdue University</t>
        </is>
      </c>
      <c r="C81" s="3">
        <f>HYPERLINK("https://engineering.purdue.edu/ME/People/ptProfile?resource_id=80194", "https://engineering.purdue.edu/ME/People/ptProfile?resource_id=80194")</f>
        <v/>
      </c>
      <c r="D81" s="3">
        <f>HYPERLINK("https://scholar.google.com/citations?view_op=search_authors&amp;mauthors=Jitesh%20H.%20Panchal%20Purdue%20University", "Google Scholar Search")</f>
        <v/>
      </c>
      <c r="E81" s="2" t="inlineStr">
        <is>
          <t>Professor of Mechanical Engineering and Associate Head of Undergraduate Programs</t>
        </is>
      </c>
      <c r="F81" s="2" t="inlineStr">
        <is>
          <t>Mechanical Engineering</t>
        </is>
      </c>
      <c r="G81" s="2" t="inlineStr"/>
      <c r="H81" s="3">
        <f>HYPERLINK("mailto:panchal@purdue.edu", "panchal@purdue.edu")</f>
        <v/>
      </c>
      <c r="I81" s="2" t="n">
        <v>3</v>
      </c>
      <c r="J81" s="2" t="inlineStr">
        <is>
          <t>🟠 Tier 3: Structures / Materials / Manufacturing</t>
        </is>
      </c>
      <c r="K81" s="2" t="n">
        <v>1</v>
      </c>
      <c r="L81" s="2" t="inlineStr">
        <is>
          <t>materials</t>
        </is>
      </c>
      <c r="M81" s="2" t="inlineStr"/>
      <c r="N81" s="2" t="inlineStr"/>
      <c r="O81" s="2" t="inlineStr"/>
      <c r="P81" s="2" t="inlineStr"/>
      <c r="Q81" s="2" t="inlineStr"/>
      <c r="R81" s="2" t="inlineStr"/>
      <c r="S81" s="2" t="inlineStr"/>
      <c r="T81" s="2" t="inlineStr"/>
      <c r="U81" s="2" t="inlineStr">
        <is>
          <t>Outstanding Mechanical Engineers Distinguished Engineering Alumni Honorary Doctorates Staff Awards Student Awards Distinguished...</t>
        </is>
      </c>
      <c r="V81" s="2" t="inlineStr">
        <is>
          <t>Contact Purdue Engineering MarCom regarding any accessibility issues | Accessibility Resources | Contact Us | Email webmaster-eng@purdue.edu to report a problem</t>
        </is>
      </c>
      <c r="W81" s="2" t="inlineStr"/>
      <c r="X81" s="2" t="inlineStr"/>
      <c r="Y81" s="2" t="inlineStr">
        <is>
          <t>Computational Design of Socio-Technical Systems Secure Design and Manufacturing Engineering Design by Self-Organized Virtual Communities Integrated Products and Materials Design</t>
        </is>
      </c>
      <c r="Z81" s="2" t="inlineStr">
        <is>
          <t>Design &amp; Manufacturing</t>
        </is>
      </c>
      <c r="AA81" s="2" t="inlineStr">
        <is>
          <t>Design &amp; Manufacturing</t>
        </is>
      </c>
      <c r="AB81" s="2" t="inlineStr">
        <is>
          <t>Ph.D. (ME), Georgia Institute of Technology, '05 M.S. (ME), Georgia Institute of Technology, '03 B.Tech. (ME), Indian Institute of Technology, Guwahati, '00</t>
        </is>
      </c>
      <c r="AC81" s="2" t="inlineStr">
        <is>
          <t>Design Engineering Lab at Purdue (DELP)</t>
        </is>
      </c>
      <c r="AD81" s="3">
        <f>HYPERLINK("https://engineering.purdue.edu/DELP/", "https://engineering.purdue.edu/DELP/")</f>
        <v/>
      </c>
      <c r="AE81" s="2" t="inlineStr"/>
      <c r="AF81" s="2" t="inlineStr"/>
      <c r="AG81" s="2" t="inlineStr"/>
      <c r="AH81" s="2" t="inlineStr">
        <is>
          <t>DOE</t>
        </is>
      </c>
      <c r="AI81" s="2" t="inlineStr"/>
      <c r="AJ81" s="2" t="inlineStr"/>
      <c r="AK81" s="2" t="inlineStr">
        <is>
          <t>ME 2200</t>
        </is>
      </c>
      <c r="AL81" s="2" t="b">
        <v>1</v>
      </c>
      <c r="AM81" s="3">
        <f>HYPERLINK("https://engineering.purdue.edu/ME/People/ptFaculty", "https://engineering.purdue.edu/ME/People/ptFaculty")</f>
        <v/>
      </c>
    </row>
    <row r="82">
      <c r="A82" s="2" t="inlineStr">
        <is>
          <t>Martin Byung-Guk Jun</t>
        </is>
      </c>
      <c r="B82" s="2" t="inlineStr">
        <is>
          <t>Purdue University</t>
        </is>
      </c>
      <c r="C82" s="3">
        <f>HYPERLINK("https://engineering.purdue.edu/ME/People/ptProfile?resource_id=156378", "https://engineering.purdue.edu/ME/People/ptProfile?resource_id=156378")</f>
        <v/>
      </c>
      <c r="D82" s="3">
        <f>HYPERLINK("https://scholar.google.com/citations?view_op=search_authors&amp;mauthors=Martin%20Byung-Guk%20Jun%20Purdue%20University", "Google Scholar Search")</f>
        <v/>
      </c>
      <c r="E82" s="2" t="inlineStr">
        <is>
          <t>Professor of Mechanical Engineering</t>
        </is>
      </c>
      <c r="F82" s="2" t="inlineStr">
        <is>
          <t>Mechanical Engineering</t>
        </is>
      </c>
      <c r="G82" s="2" t="inlineStr"/>
      <c r="H82" s="3">
        <f>HYPERLINK("mailto:mbgjun@purdue.edu", "mbgjun@purdue.edu")</f>
        <v/>
      </c>
      <c r="I82" s="2" t="n">
        <v>3</v>
      </c>
      <c r="J82" s="2" t="inlineStr">
        <is>
          <t>🟠 Tier 3: Structures / Materials / Manufacturing</t>
        </is>
      </c>
      <c r="K82" s="2" t="n">
        <v>1</v>
      </c>
      <c r="L82" s="2" t="inlineStr">
        <is>
          <t>composites</t>
        </is>
      </c>
      <c r="M82" s="2" t="inlineStr"/>
      <c r="N82" s="2" t="inlineStr"/>
      <c r="O82" s="2" t="inlineStr"/>
      <c r="P82" s="2" t="inlineStr"/>
      <c r="Q82" s="2" t="inlineStr"/>
      <c r="R82" s="2" t="inlineStr"/>
      <c r="S82" s="2" t="inlineStr"/>
      <c r="T82" s="2" t="inlineStr"/>
      <c r="U82" s="2" t="inlineStr">
        <is>
          <t>Outstanding Mechanical Engineers Distinguished Engineering Alumni Honorary Doctorates Staff Awards Student Awards Distinguished...</t>
        </is>
      </c>
      <c r="V82" s="2" t="inlineStr"/>
      <c r="W82" s="2" t="inlineStr"/>
      <c r="X82" s="2" t="inlineStr"/>
      <c r="Y82" s="2" t="inlineStr">
        <is>
          <t>Advanced multi-scale manufacturing Ultrafast laser machining and processing Fiber optic sensors and environmental monitoring Spray-based nanoparticle coating and additive manufacturing Machining of carbon fiber reinforced polymer (CFRP) composites</t>
        </is>
      </c>
      <c r="Z82" s="2" t="inlineStr">
        <is>
          <t>Systems, Measurements &amp; Controls</t>
        </is>
      </c>
      <c r="AA82" s="2" t="inlineStr">
        <is>
          <t>Systems, Measurements &amp; Controls</t>
        </is>
      </c>
      <c r="AB82" s="2" t="inlineStr">
        <is>
          <t>B.A.Sc, University of British Columbia, 1998 M.A.Sc, University of British Columbia, 2000 Ph.D., University of Illinois - Urbana-Champaign, 2005</t>
        </is>
      </c>
      <c r="AC82" s="2" t="inlineStr">
        <is>
          <t>Jun Laboratory</t>
        </is>
      </c>
      <c r="AD82" s="3">
        <f>HYPERLINK("http://web.ics.purdue.edu/~jun25/", "http://web.ics.purdue.edu/~jun25/")</f>
        <v/>
      </c>
      <c r="AE82" s="2" t="inlineStr"/>
      <c r="AF82" s="2" t="inlineStr"/>
      <c r="AG82" s="2" t="inlineStr"/>
      <c r="AH82" s="2" t="inlineStr"/>
      <c r="AI82" s="2" t="inlineStr"/>
      <c r="AJ82" s="2" t="inlineStr"/>
      <c r="AK82" s="2" t="inlineStr">
        <is>
          <t>ME 1071</t>
        </is>
      </c>
      <c r="AL82" s="2" t="b">
        <v>1</v>
      </c>
      <c r="AM82" s="3">
        <f>HYPERLINK("https://engineering.purdue.edu/ME/People/ptFaculty", "https://engineering.purdue.edu/ME/People/ptFaculty")</f>
        <v/>
      </c>
    </row>
    <row r="83">
      <c r="A83" s="2" t="inlineStr">
        <is>
          <t>Mukerrem Cakmak</t>
        </is>
      </c>
      <c r="B83" s="2" t="inlineStr">
        <is>
          <t>Purdue University</t>
        </is>
      </c>
      <c r="C83" s="3">
        <f>HYPERLINK("https://engineering.purdue.edu/ME/People/ptProfile?resource_id=144060", "https://engineering.purdue.edu/ME/People/ptProfile?resource_id=144060")</f>
        <v/>
      </c>
      <c r="D83" s="3">
        <f>HYPERLINK("https://scholar.google.com/citations?view_op=search_authors&amp;mauthors=Mukerrem%20Cakmak%20Purdue%20University", "Google Scholar Search")</f>
        <v/>
      </c>
      <c r="E83" s="2" t="inlineStr">
        <is>
          <t>Reilly Professor of Materials Engineering and Mechanical Engineering</t>
        </is>
      </c>
      <c r="F83" s="2" t="inlineStr">
        <is>
          <t>Mechanical Engineering</t>
        </is>
      </c>
      <c r="G83" s="2" t="inlineStr"/>
      <c r="H83" s="3">
        <f>HYPERLINK("mailto:cakmak@purdue.edu", "cakmak@purdue.edu")</f>
        <v/>
      </c>
      <c r="I83" s="2" t="n">
        <v>3</v>
      </c>
      <c r="J83" s="2" t="inlineStr">
        <is>
          <t>🟠 Tier 3: Structures / Materials / Manufacturing</t>
        </is>
      </c>
      <c r="K83" s="2" t="n">
        <v>1</v>
      </c>
      <c r="L83" s="2" t="inlineStr">
        <is>
          <t>materials</t>
        </is>
      </c>
      <c r="M83" s="2" t="inlineStr"/>
      <c r="N83" s="2" t="inlineStr"/>
      <c r="O83" s="2" t="inlineStr"/>
      <c r="P83" s="2" t="inlineStr"/>
      <c r="Q83" s="2" t="inlineStr"/>
      <c r="R83" s="2" t="inlineStr"/>
      <c r="S83" s="2" t="inlineStr"/>
      <c r="T83" s="2" t="inlineStr"/>
      <c r="U83" s="2" t="inlineStr">
        <is>
          <t>Outstanding Mechanical Engineers Distinguished Engineering Alumni Honorary Doctorates Staff Awards Student Awards Distinguished...</t>
        </is>
      </c>
      <c r="V83" s="2" t="inlineStr"/>
      <c r="W83" s="2" t="inlineStr"/>
      <c r="X83" s="2" t="inlineStr"/>
      <c r="Y83" s="2" t="inlineStr">
        <is>
          <t>Modeling and experimental studies on processing Structure property relationships in polymer films and moldings and polymer/metal/ceramic hybrid systems</t>
        </is>
      </c>
      <c r="Z83" s="2" t="inlineStr">
        <is>
          <t>Design &amp; Manufacturing</t>
        </is>
      </c>
      <c r="AA83" s="2" t="inlineStr">
        <is>
          <t>Design &amp; Manufacturing</t>
        </is>
      </c>
      <c r="AB83" s="2" t="inlineStr">
        <is>
          <t>BS, Chemical Engineering, Technical University of Istanbul MS, Polymer Engineering, University of Tennessee PhD, Polymer Engineering, University of Tennessee</t>
        </is>
      </c>
      <c r="AC83" s="2" t="inlineStr">
        <is>
          <t>Indiana Space Grant Consortium</t>
        </is>
      </c>
      <c r="AD83" s="3">
        <f>HYPERLINK("https://insgc.spacegrant.org/", "https://insgc.spacegrant.org/")</f>
        <v/>
      </c>
      <c r="AE83" s="2" t="inlineStr">
        <is>
          <t>Academic INSGC Internships</t>
        </is>
      </c>
      <c r="AF83" s="2" t="inlineStr"/>
      <c r="AG83" s="2" t="inlineStr"/>
      <c r="AH83" s="2" t="inlineStr">
        <is>
          <t>NASA</t>
        </is>
      </c>
      <c r="AI83" s="2" t="inlineStr"/>
      <c r="AJ83" s="2" t="inlineStr"/>
      <c r="AK83" s="2" t="inlineStr"/>
      <c r="AL83" s="2" t="b">
        <v>1</v>
      </c>
      <c r="AM83" s="3">
        <f>HYPERLINK("https://engineering.purdue.edu/ME/People/ptFaculty", "https://engineering.purdue.edu/ME/People/ptFaculty")</f>
        <v/>
      </c>
    </row>
    <row r="84">
      <c r="A84" s="2" t="inlineStr">
        <is>
          <t>Ryan Wagner</t>
        </is>
      </c>
      <c r="B84" s="2" t="inlineStr">
        <is>
          <t>Purdue University</t>
        </is>
      </c>
      <c r="C84" s="3">
        <f>HYPERLINK("https://engineering.purdue.edu/ME/People/ptProfile?resource_id=236680", "https://engineering.purdue.edu/ME/People/ptProfile?resource_id=236680")</f>
        <v/>
      </c>
      <c r="D84" s="3">
        <f>HYPERLINK("https://scholar.google.com/citations?view_op=search_authors&amp;mauthors=Ryan%20Wagner%20Purdue%20University", "Google Scholar Search")</f>
        <v/>
      </c>
      <c r="E84" s="2" t="inlineStr">
        <is>
          <t>Research Assistant Professor</t>
        </is>
      </c>
      <c r="F84" s="2" t="inlineStr">
        <is>
          <t>Mechanical Engineering</t>
        </is>
      </c>
      <c r="G84" s="2" t="inlineStr"/>
      <c r="H84" s="3">
        <f>HYPERLINK("mailto:rbwagner@purdue.edu", "rbwagner@purdue.edu")</f>
        <v/>
      </c>
      <c r="I84" s="2" t="n">
        <v>3</v>
      </c>
      <c r="J84" s="2" t="inlineStr">
        <is>
          <t>🟠 Tier 3: Structures / Materials / Manufacturing</t>
        </is>
      </c>
      <c r="K84" s="2" t="n">
        <v>1</v>
      </c>
      <c r="L84" s="2" t="inlineStr">
        <is>
          <t>solid mechanics</t>
        </is>
      </c>
      <c r="M84" s="2" t="inlineStr"/>
      <c r="N84" s="2" t="inlineStr"/>
      <c r="O84" s="2" t="inlineStr"/>
      <c r="P84" s="2" t="inlineStr"/>
      <c r="Q84" s="2" t="inlineStr"/>
      <c r="R84" s="2" t="inlineStr"/>
      <c r="S84" s="2" t="inlineStr"/>
      <c r="T84" s="2" t="inlineStr"/>
      <c r="U84" s="2" t="inlineStr">
        <is>
          <t>Outstanding Mechanical Engineers Distinguished Engineering Alumni Honorary Doctorates Staff Awards Student Awards Distinguished...</t>
        </is>
      </c>
      <c r="V84" s="2" t="inlineStr">
        <is>
          <t>As a Research Professor in Mechanical Engineering I supervise graduate students, perform research actives, and engage in grant writing. The goal of my lab is to apply a core expertise in vibrations and dynamics to solve multiphysics problems as a part of interdisciplinary research collaborations.</t>
        </is>
      </c>
      <c r="W84" s="2" t="inlineStr"/>
      <c r="X84" s="2" t="inlineStr"/>
      <c r="Y84" s="2" t="inlineStr">
        <is>
          <t>Scanning Probe Microscopy Metrology Optomechanics Mass spectrometry Contact mechanics</t>
        </is>
      </c>
      <c r="Z84" s="2" t="inlineStr">
        <is>
          <t>Dynamics &amp; Vibration Systems, Measurements &amp; Controls Solid Mechanics</t>
        </is>
      </c>
      <c r="AA84" s="2" t="inlineStr">
        <is>
          <t>Dynamics &amp; Vibration Systems, Measurements &amp; Controls Solid Mechanics</t>
        </is>
      </c>
      <c r="AB84" s="2" t="inlineStr">
        <is>
          <t>Ph.D.  Purdue University, 2014 B.S. Purdue University, 2008</t>
        </is>
      </c>
      <c r="AC84" s="2" t="inlineStr">
        <is>
          <t>Ryan Wagner's Website</t>
        </is>
      </c>
      <c r="AD84" s="3">
        <f>HYPERLINK("https://engineering.purdue.edu/~rbwagner/", "https://engineering.purdue.edu/~rbwagner/")</f>
        <v/>
      </c>
      <c r="AE84" s="2" t="inlineStr"/>
      <c r="AF84" s="2" t="inlineStr"/>
      <c r="AG84" s="2" t="inlineStr"/>
      <c r="AH84" s="2" t="inlineStr"/>
      <c r="AI84" s="3">
        <f>HYPERLINK("https://github.com/rbwagner147", "https://github.com/rbwagner147")</f>
        <v/>
      </c>
      <c r="AJ84" s="2" t="inlineStr"/>
      <c r="AK84" s="2" t="inlineStr">
        <is>
          <t>ME 3061F</t>
        </is>
      </c>
      <c r="AL84" s="2" t="b">
        <v>1</v>
      </c>
      <c r="AM84" s="3">
        <f>HYPERLINK("https://engineering.purdue.edu/ME/People/ptFaculty", "https://engineering.purdue.edu/ME/People/ptFaculty")</f>
        <v/>
      </c>
    </row>
    <row r="85">
      <c r="A85" s="2" t="inlineStr">
        <is>
          <t>Tyler Tallman</t>
        </is>
      </c>
      <c r="B85" s="2" t="inlineStr">
        <is>
          <t>Purdue University</t>
        </is>
      </c>
      <c r="C85" s="3">
        <f>HYPERLINK("https://engineering.purdue.edu/AAE/people/ptProfile?resource_id=127158", "https://engineering.purdue.edu/AAE/people/ptProfile?resource_id=127158")</f>
        <v/>
      </c>
      <c r="D85" s="3">
        <f>HYPERLINK("https://scholar.google.com/citations?view_op=search_authors&amp;mauthors=Tyler%20Tallman%20Purdue%20University", "Google Scholar Search")</f>
        <v/>
      </c>
      <c r="E85" s="2" t="inlineStr">
        <is>
          <t>Ervin O. Stitz Associate Professor of Aeronautics and Astronautics</t>
        </is>
      </c>
      <c r="F85" s="2" t="inlineStr">
        <is>
          <t>Aeronautics and Astronautics</t>
        </is>
      </c>
      <c r="G85" s="2" t="inlineStr"/>
      <c r="H85" s="3">
        <f>HYPERLINK("mailto:ttallman@purdue.edu", "ttallman@purdue.edu")</f>
        <v/>
      </c>
      <c r="I85" s="2" t="n">
        <v>3</v>
      </c>
      <c r="J85" s="2" t="inlineStr">
        <is>
          <t>🟠 Tier 3: Structures / Materials / Manufacturing</t>
        </is>
      </c>
      <c r="K85" s="2" t="n">
        <v>1</v>
      </c>
      <c r="L85" s="2" t="inlineStr">
        <is>
          <t>materials</t>
        </is>
      </c>
      <c r="M85" s="2" t="inlineStr"/>
      <c r="N85" s="2" t="inlineStr"/>
      <c r="O85" s="2" t="inlineStr"/>
      <c r="P85" s="2" t="inlineStr"/>
      <c r="Q85" s="2" t="inlineStr"/>
      <c r="R85" s="2" t="inlineStr"/>
      <c r="S85" s="2" t="inlineStr"/>
      <c r="T85" s="2" t="inlineStr"/>
      <c r="U85" s="2" t="inlineStr">
        <is>
          <t>Elmer F. Bruhn Teaching Award, 2016 ASME SMASIS Best Journal Paper in Mechanics and Materials, 2018 ASME SMASIS Best Journal Pa...</t>
        </is>
      </c>
      <c r="V85" s="2" t="inlineStr"/>
      <c r="W85" s="2" t="inlineStr"/>
      <c r="X85" s="2" t="inlineStr"/>
      <c r="Y85" s="2" t="inlineStr">
        <is>
          <t>Multifunctional Materials Embedded Sensing Inverse Problems Smart Structures Nondestructive Evaluation</t>
        </is>
      </c>
      <c r="Z85" s="2" t="inlineStr"/>
      <c r="AA85" s="2" t="inlineStr">
        <is>
          <t>Multifunctional Materials Embedded Sensing Inverse Problems Smart Structures Nondestructive Evaluation</t>
        </is>
      </c>
      <c r="AB85" s="2" t="inlineStr">
        <is>
          <t>BS, Physics and Mathematics, University of Wisconsin-Eau Claire, 2010 BS, Engineering Mechanics, University of Wisconsin-Madison, 2010 MS, Mechanical Engineering, University of Michigan, 2012 PhD, Mechanical Engineering, University of Michigan, 2015</t>
        </is>
      </c>
      <c r="AC85" s="2" t="inlineStr">
        <is>
          <t>Indiana Space Grant Consortium</t>
        </is>
      </c>
      <c r="AD85" s="3">
        <f>HYPERLINK("https://insgc.spacegrant.org/", "https://insgc.spacegrant.org/")</f>
        <v/>
      </c>
      <c r="AE85" s="2" t="inlineStr">
        <is>
          <t>Academic INSGC Internships</t>
        </is>
      </c>
      <c r="AF85" s="2" t="inlineStr"/>
      <c r="AG85" s="2" t="inlineStr"/>
      <c r="AH85" s="2" t="inlineStr">
        <is>
          <t>NASA</t>
        </is>
      </c>
      <c r="AI85" s="2" t="inlineStr"/>
      <c r="AJ85" s="2" t="inlineStr"/>
      <c r="AK85" s="2" t="inlineStr">
        <is>
          <t>ARMS 3325</t>
        </is>
      </c>
      <c r="AL85" s="2" t="b">
        <v>1</v>
      </c>
      <c r="AM85" s="3">
        <f>HYPERLINK("https://engineering.purdue.edu/AAE/people/Faculty", "https://engineering.purdue.edu/AAE/people/Faculty")</f>
        <v/>
      </c>
    </row>
    <row r="86">
      <c r="A86" s="2" t="inlineStr">
        <is>
          <t>Inseok Hwang</t>
        </is>
      </c>
      <c r="B86" s="2" t="inlineStr">
        <is>
          <t>Purdue University</t>
        </is>
      </c>
      <c r="C86" s="3">
        <f>HYPERLINK("https://engineering.purdue.edu/AAE/people/ptProfile?resource_id=1403", "https://engineering.purdue.edu/AAE/people/ptProfile?resource_id=1403")</f>
        <v/>
      </c>
      <c r="D86" s="3">
        <f>HYPERLINK("https://scholar.google.com/citations?view_op=search_authors&amp;mauthors=Inseok%20Hwang%20Purdue%20University", "Google Scholar Search")</f>
        <v/>
      </c>
      <c r="E86" s="2" t="inlineStr">
        <is>
          <t>Paul Stanley Professor of Aeronautics and Astronautics</t>
        </is>
      </c>
      <c r="F86" s="2" t="inlineStr">
        <is>
          <t>Aeronautics and Astronautics</t>
        </is>
      </c>
      <c r="G86" s="2" t="inlineStr"/>
      <c r="H86" s="3">
        <f>HYPERLINK("mailto:ihwang@purdue.edu", "ihwang@purdue.edu")</f>
        <v/>
      </c>
      <c r="I86" s="2" t="n">
        <v>4</v>
      </c>
      <c r="J86" s="2" t="inlineStr">
        <is>
          <t>🔴 Tier 4: Robotics / Controls / Autonomy</t>
        </is>
      </c>
      <c r="K86" s="2" t="n">
        <v>8</v>
      </c>
      <c r="L86" s="2" t="inlineStr">
        <is>
          <t>aerospace, control theory, estimation, guidance, navigation, path planning, robot, spacecraft</t>
        </is>
      </c>
      <c r="M86" s="2" t="inlineStr"/>
      <c r="N86" s="2" t="inlineStr"/>
      <c r="O86" s="2" t="inlineStr"/>
      <c r="P86" s="2" t="inlineStr"/>
      <c r="Q86" s="2" t="inlineStr"/>
      <c r="R86" s="2" t="inlineStr"/>
      <c r="S86" s="2" t="inlineStr"/>
      <c r="T86" s="2" t="inlineStr"/>
      <c r="U86" s="2" t="inlineStr">
        <is>
          <t>AIAA Associate Fellow - 2012 Selected as one of the nation’s 82 brightest young engineers by the National Academy of Engineerin...</t>
        </is>
      </c>
      <c r="V86" s="2" t="inlineStr"/>
      <c r="W86" s="2" t="inlineStr"/>
      <c r="X86" s="2" t="inlineStr"/>
      <c r="Y86" s="2" t="inlineStr">
        <is>
          <t>Hybrid Systems/Nonlinear Systems: Analysis: stability and control of hybrid systems; Estimation: state estimation for hybrid systems; Information Inference: system identification for hybrid systems; Unmanned Aircraft/Spacecraft Control Unmanned Aircraft Systems (UAS): Development of Guidance, Navigation, and Control (GNC) algorithms Space applications: Control of spacecraft; Space Situational Awareness (e.g. spacecraft tracking); Formation Control of Spacecraft; Low-thrust Orbit Transfer Air Traffic Control: Target tracking and identity management, and conflict detection and resolution; Safe interface design; Real-time safety verification tools for safety critical systems Other Applications: Security and Safety of Cyber-Physical Systems; Fault Detection, Isolation and Reconfiguration; Sensor networks; Decentralized estimation and control of large scale interconnected dynamical systems.</t>
        </is>
      </c>
      <c r="Z86" s="2" t="inlineStr">
        <is>
          <t>Dr. Hwang's research has been strongly motivated by difficult and interesting practical problems such as controlling multiple-vehicle systems.  Controlling multiple-vehicle systems is one of the most important and challenging aspects of modern system theory and practice. Control of such systems involves the analysis of multiple dynamical systems which have inherently decentralized structures. The motions of vehicles have to be coordinated in such a way that the vehicles achieve their goals without conflicts between them. This requires path planning (computing optimal trajectories of vehicles from starting positions to destinations) and conflict detection and resolution. Path planning and conflict detection and resolution require information about individual vehicles, and therefore communication between vehicles for sharing this information is important.  Multiple-vehicle systems encompass a variety of applications, including groups of mobile robots (e.g., UAS), ad-hoc sensor networks, and air traffic control.  In addition, Dr. Hwang's research interests include control theory for hybrid and nonlinear systems, Unmanned Aircraft Systems, safety and security of Cyber-Physical Systems (e.g., aircraft, spacecraft, Air Traffic Control systems, and UAS), and space applications.</t>
        </is>
      </c>
      <c r="AA86" s="2" t="inlineStr">
        <is>
          <t>Dr. Hwang's research has been strongly motivated by difficult and interesting practical problems such as controlling multiple-vehicle systems.  Controlling multiple-vehicle systems is one of the most important and challenging aspects of modern system theory and practice. Control of such systems involves the analysis of multiple dynamical systems which have inherently decentralized structures. T...</t>
        </is>
      </c>
      <c r="AB86" s="2" t="inlineStr">
        <is>
          <t>B.S., Seoul National University, Aerospace Engineering, 1992 M.S., Korea Advanced Institute of Science and Technology, Aerospace Engineering, 1994 Ph.D., Stanford University, Aeronautics and Astronautics, 2004</t>
        </is>
      </c>
      <c r="AC86" s="2" t="inlineStr">
        <is>
          <t>Indiana Space Grant Consortium</t>
        </is>
      </c>
      <c r="AD86" s="3">
        <f>HYPERLINK("https://insgc.spacegrant.org/", "https://insgc.spacegrant.org/")</f>
        <v/>
      </c>
      <c r="AE86" s="2" t="inlineStr">
        <is>
          <t>Academic INSGC Internships</t>
        </is>
      </c>
      <c r="AF86" s="2" t="inlineStr"/>
      <c r="AG86" s="2" t="inlineStr"/>
      <c r="AH86" s="2" t="inlineStr">
        <is>
          <t>NASA</t>
        </is>
      </c>
      <c r="AI86" s="2" t="inlineStr"/>
      <c r="AJ86" s="2" t="inlineStr"/>
      <c r="AK86" s="2" t="inlineStr">
        <is>
          <t>ARMS 3323</t>
        </is>
      </c>
      <c r="AL86" s="2" t="b">
        <v>1</v>
      </c>
      <c r="AM86" s="3">
        <f>HYPERLINK("https://engineering.purdue.edu/AAE/people/Faculty", "https://engineering.purdue.edu/AAE/people/Faculty")</f>
        <v/>
      </c>
    </row>
    <row r="87">
      <c r="A87" s="2" t="inlineStr">
        <is>
          <t>Keith Le Grand</t>
        </is>
      </c>
      <c r="B87" s="2" t="inlineStr">
        <is>
          <t>Purdue University</t>
        </is>
      </c>
      <c r="C87" s="3">
        <f>HYPERLINK("https://engineering.purdue.edu/AAE/people/ptProfile?resource_id=272261", "https://engineering.purdue.edu/AAE/people/ptProfile?resource_id=272261")</f>
        <v/>
      </c>
      <c r="D87" s="3">
        <f>HYPERLINK("https://scholar.google.com/citations?hl=en&amp;user=fVJDLrYAAAAJ&amp;view_op=list_works&amp;sortby=pubdate", "Scholar (fVJDLrYAAAAJ)")</f>
        <v/>
      </c>
      <c r="E87" s="2" t="inlineStr">
        <is>
          <t>Assistant Professor</t>
        </is>
      </c>
      <c r="F87" s="2" t="inlineStr">
        <is>
          <t>Aeronautics and Astronautics</t>
        </is>
      </c>
      <c r="G87" s="2" t="inlineStr">
        <is>
          <t>fVJDLrYAAAAJ</t>
        </is>
      </c>
      <c r="H87" s="3">
        <f>HYPERLINK("mailto:klegrand@purdue.edu", "klegrand@purdue.edu")</f>
        <v/>
      </c>
      <c r="I87" s="2" t="n">
        <v>4</v>
      </c>
      <c r="J87" s="2" t="inlineStr">
        <is>
          <t>🔴 Tier 4: Robotics / Controls / Autonomy</t>
        </is>
      </c>
      <c r="K87" s="2" t="n">
        <v>5</v>
      </c>
      <c r="L87" s="2" t="inlineStr">
        <is>
          <t>aerospace, autonomous, estimation, navigation, spacecraft</t>
        </is>
      </c>
      <c r="M87" s="2" t="inlineStr"/>
      <c r="N87" s="2" t="inlineStr"/>
      <c r="O87" s="2" t="inlineStr"/>
      <c r="P87" s="2" t="inlineStr"/>
      <c r="Q87" s="2" t="inlineStr"/>
      <c r="R87" s="2" t="inlineStr"/>
      <c r="S87" s="2" t="inlineStr"/>
      <c r="T87" s="2" t="inlineStr"/>
      <c r="U87" s="2" t="inlineStr">
        <is>
          <t>(2025) Air Force Office of Scientific Research (AFOSR) Young Investigator Program Award (2025) International Society of Informa...</t>
        </is>
      </c>
      <c r="V87" s="2" t="inlineStr"/>
      <c r="W87" s="2" t="inlineStr"/>
      <c r="X87" s="2" t="inlineStr"/>
      <c r="Y87" s="2" t="inlineStr">
        <is>
          <t>space domain awareness; multi-sensor multi-object tracking; nonlinear estimation; spacecraft navigation; spacecraft autonomy</t>
        </is>
      </c>
      <c r="Z87" s="2" t="inlineStr">
        <is>
          <t>Keith LeGrand’s research explores the intersection of probabilistic estimation, autonomy, and space systems, with a focus on enabling intelligent sensing and decision-making in complex orbital environments. His work develops advanced Bayesian filtering, random finite set (RFS) theory, and information-driven sensor management methods to estimate, track, and characterize objects in dynamic, uncertain regimes such as cislunar space. Applications include angles-only orbit determination, multi-sensor data fusion, and autonomous tasking of ground and space-based networks for space domain awareness. By uniting theory with computational implementation, LeGrand’s research aims to advance the autonomy and resilience of future spaceflight systems for future missions in the Earth–Moon system and beyond.</t>
        </is>
      </c>
      <c r="AA87" s="2" t="inlineStr">
        <is>
          <t>Keith LeGrand’s research explores the intersection of probabilistic estimation, autonomy, and space systems, with a focus on enabling intelligent sensing and decision-making in complex orbital environments. His work develops advanced Bayesian filtering, random finite set (RFS) theory, and information-driven sensor management methods to estimate, track, and characterize objects in dynamic, uncer...</t>
        </is>
      </c>
      <c r="AB87" s="2" t="inlineStr">
        <is>
          <t>Ph.D. Cornell University, Aerospace Engineering, 2022 M.S. Missouri University of Science and Technology, Aerospace Engineering, 2015 B.S. Missouri University of Science and Technology, Aerospace Engineering, 2014</t>
        </is>
      </c>
      <c r="AC87" s="2" t="inlineStr">
        <is>
          <t>Indiana Space Grant Consortium</t>
        </is>
      </c>
      <c r="AD87" s="3">
        <f>HYPERLINK("https://insgc.spacegrant.org/", "https://insgc.spacegrant.org/")</f>
        <v/>
      </c>
      <c r="AE87" s="2" t="inlineStr">
        <is>
          <t>Academic INSGC Internships</t>
        </is>
      </c>
      <c r="AF87" s="2" t="inlineStr"/>
      <c r="AG87" s="2" t="inlineStr"/>
      <c r="AH87" s="2" t="inlineStr">
        <is>
          <t>NASA</t>
        </is>
      </c>
      <c r="AI87" s="2" t="inlineStr"/>
      <c r="AJ87" s="2" t="inlineStr"/>
      <c r="AK87" s="2" t="inlineStr">
        <is>
          <t>ARMS 3213</t>
        </is>
      </c>
      <c r="AL87" s="2" t="b">
        <v>1</v>
      </c>
      <c r="AM87" s="3">
        <f>HYPERLINK("https://engineering.purdue.edu/AAE/people/Faculty", "https://engineering.purdue.edu/AAE/people/Faculty")</f>
        <v/>
      </c>
    </row>
    <row r="88">
      <c r="A88" s="2" t="inlineStr">
        <is>
          <t>Daniel DeLaurentis</t>
        </is>
      </c>
      <c r="B88" s="2" t="inlineStr">
        <is>
          <t>Purdue University</t>
        </is>
      </c>
      <c r="C88" s="3">
        <f>HYPERLINK("https://engineering.purdue.edu/AAE/people/ptProfile?resource_id=1429", "https://engineering.purdue.edu/AAE/people/ptProfile?resource_id=1429")</f>
        <v/>
      </c>
      <c r="D88" s="3">
        <f>HYPERLINK("https://scholar.google.com/citations?view_op=search_authors&amp;mauthors=Daniel%20DeLaurentis%20Purdue%20University", "Google Scholar Search")</f>
        <v/>
      </c>
      <c r="E88" s="2" t="inlineStr">
        <is>
          <t>Bruce Reese Professor of Aeronautics and Astronautics</t>
        </is>
      </c>
      <c r="F88" s="2" t="inlineStr">
        <is>
          <t>Aeronautics and Astronautics</t>
        </is>
      </c>
      <c r="G88" s="2" t="inlineStr"/>
      <c r="H88" s="3">
        <f>HYPERLINK("mailto:ddelaure@purdue.edu", "ddelaure@purdue.edu")</f>
        <v/>
      </c>
      <c r="I88" s="2" t="n">
        <v>4</v>
      </c>
      <c r="J88" s="2" t="inlineStr">
        <is>
          <t>🔴 Tier 4: Robotics / Controls / Autonomy</t>
        </is>
      </c>
      <c r="K88" s="2" t="n">
        <v>4</v>
      </c>
      <c r="L88" s="2" t="inlineStr">
        <is>
          <t>aerospace, autonomous, estimation, system dynamics</t>
        </is>
      </c>
      <c r="M88" s="2" t="inlineStr"/>
      <c r="N88" s="2" t="inlineStr"/>
      <c r="O88" s="2" t="inlineStr"/>
      <c r="P88" s="2" t="inlineStr"/>
      <c r="Q88" s="2" t="inlineStr"/>
      <c r="R88" s="2" t="inlineStr"/>
      <c r="S88" s="2" t="inlineStr"/>
      <c r="T88" s="2" t="inlineStr"/>
      <c r="U88" s="2" t="inlineStr">
        <is>
          <t>FELLOW of the American Institute of Aeronautics and Astronautics (AIAA), 2023 FELLOW of the International Council on Systems En...</t>
        </is>
      </c>
      <c r="V88" s="2" t="inlineStr"/>
      <c r="W88" s="2" t="inlineStr"/>
      <c r="X88" s="2" t="inlineStr"/>
      <c r="Y88" s="2" t="inlineStr">
        <is>
          <t>Design Methods: Mathematical modeling and decision-support frameworks for the design of system-of systems, especially those for which air vehicles are a main element; approaches for robust design of autonomous systems and collectives/swarms Aerospace Systems and Flight Vehicles: sizing/synthesis algorithms for design &amp; performance estimation of revolutionary flight vehicles; exploration of advanced aerial mobility (AAM) designs and concept of operations; aircraft flight stability and control, especially as an integral part of conceptual design</t>
        </is>
      </c>
      <c r="Z88" s="2" t="inlineStr">
        <is>
          <t>Dr. DeLaurentis' doctoral research was motivated by the emerging paradigm of Integrated Product and Process Development (IPPD), which sought to bring historically process-based statistical approaches to product design. His work focused upon the characterization, representation, and quantification of the impact of uncertainty on aerospace design problems. Unique techniques were developed to accomplish this, including the use of Design of Experiments combined with probability theory to obtain rapid estimates of the cumulative distribution functions (CDFs) of key system metrics and objectives. Subsequently, a more direct adoption of robust feedback control concepts has been applied resulting in a new formulation for the design problem to include technology impact assessments and requirement exploration. In addition to methodological advances, the type of problems being faced by the community is changing significantly. Aerospace problems are increasingly becoming recognized as of the "system-of-systems" type, consisting of multiple interacting complex systems of differing type and function. The air transportation system is one example, as are associated issues such as personal air transportation and airborne delivery logistics architectures. Such challenges will require more than just "vehicle synthesis"; they will require "system-of-systems synthesis". Thus, Dr. DeLaurentis has embarked on two projects exploring the use of system dynamics, agent-based modeling, and other approaches to address these multi-disciplinary, multi-system problems. In addition, the areas of network theory and complexity are being explored, to better account for interconnections as well as nodes (i.e. systems) in designing future system-of-systems. The ultimate goal is to better define individual system requirements by understanding the context in which they will operate and to ensure that such operation will be robust over a wide range of plausible futures.</t>
        </is>
      </c>
      <c r="AA88" s="2" t="inlineStr">
        <is>
          <t>Dr. DeLaurentis' doctoral research was motivated by the emerging paradigm of Integrated Product and Process Development (IPPD), which sought to bring historically process-based statistical approaches to product design. His work focused upon the characterization, representation, and quantification of the impact of uncertainty on aerospace design problems. Unique techniques were developed to acco...</t>
        </is>
      </c>
      <c r="AB88" s="2" t="inlineStr">
        <is>
          <t>B.S., Florida Institute of Technology, Aerospace Engineering, 1992 M.S., Georgia Institute of Technology, Aerospace Engineering, 1993 Ph.D., Georgia Institute of Technology, Aerospace Engineering, 1998</t>
        </is>
      </c>
      <c r="AC88" s="2" t="inlineStr">
        <is>
          <t>Indiana Space Grant Consortium</t>
        </is>
      </c>
      <c r="AD88" s="3">
        <f>HYPERLINK("https://insgc.spacegrant.org/", "https://insgc.spacegrant.org/")</f>
        <v/>
      </c>
      <c r="AE88" s="2" t="inlineStr">
        <is>
          <t>Academic INSGC Internships</t>
        </is>
      </c>
      <c r="AF88" s="2" t="inlineStr"/>
      <c r="AG88" s="2" t="inlineStr"/>
      <c r="AH88" s="2" t="inlineStr">
        <is>
          <t>NASA</t>
        </is>
      </c>
      <c r="AI88" s="2" t="inlineStr"/>
      <c r="AJ88" s="2" t="inlineStr"/>
      <c r="AK88" s="2" t="inlineStr"/>
      <c r="AL88" s="2" t="b">
        <v>1</v>
      </c>
      <c r="AM88" s="3">
        <f>HYPERLINK("https://engineering.purdue.edu/AAE/people/Faculty", "https://engineering.purdue.edu/AAE/people/Faculty")</f>
        <v/>
      </c>
    </row>
    <row r="89">
      <c r="A89" s="2" t="inlineStr">
        <is>
          <t>Dengfeng Sun</t>
        </is>
      </c>
      <c r="B89" s="2" t="inlineStr">
        <is>
          <t>Purdue University</t>
        </is>
      </c>
      <c r="C89" s="3">
        <f>HYPERLINK("https://engineering.purdue.edu/AAE/people/ptProfile?resource_id=50922", "https://engineering.purdue.edu/AAE/people/ptProfile?resource_id=50922")</f>
        <v/>
      </c>
      <c r="D89" s="3">
        <f>HYPERLINK("https://scholar.google.com/citations?view_op=search_authors&amp;mauthors=Dengfeng%20Sun%20Purdue%20University", "Google Scholar Search")</f>
        <v/>
      </c>
      <c r="E89" s="2" t="inlineStr">
        <is>
          <t>Professor, Associate Head of Gambaro Graduate Program of Aeronautics and Astronautics</t>
        </is>
      </c>
      <c r="F89" s="2" t="inlineStr">
        <is>
          <t>Aeronautics and Astronautics</t>
        </is>
      </c>
      <c r="G89" s="2" t="inlineStr"/>
      <c r="H89" s="3">
        <f>HYPERLINK("mailto:dsun@purdue.edu", "dsun@purdue.edu")</f>
        <v/>
      </c>
      <c r="I89" s="2" t="n">
        <v>4</v>
      </c>
      <c r="J89" s="2" t="inlineStr">
        <is>
          <t>🔴 Tier 4: Robotics / Controls / Autonomy</t>
        </is>
      </c>
      <c r="K89" s="2" t="n">
        <v>4</v>
      </c>
      <c r="L89" s="2" t="inlineStr">
        <is>
          <t>aerospace, drone, robot, robotics</t>
        </is>
      </c>
      <c r="M89" s="2" t="inlineStr"/>
      <c r="N89" s="2" t="inlineStr"/>
      <c r="O89" s="2" t="inlineStr"/>
      <c r="P89" s="2" t="inlineStr"/>
      <c r="Q89" s="2" t="inlineStr"/>
      <c r="R89" s="2" t="inlineStr"/>
      <c r="S89" s="2" t="inlineStr"/>
      <c r="T89" s="2" t="inlineStr"/>
      <c r="U89" s="2" t="inlineStr"/>
      <c r="V89" s="2" t="inlineStr"/>
      <c r="W89" s="2" t="inlineStr"/>
      <c r="X89" s="2" t="inlineStr"/>
      <c r="Y89" s="2" t="inlineStr">
        <is>
          <t>Distributed control, optimization and autonomy Resilient network control and optimization Optimal resource management in large-scale infrastructure systems Robotics, drone technology and smart infrastructure systems Advanced air mobility, air traffic control and management, air transportation and intelligent transportation system</t>
        </is>
      </c>
      <c r="Z89" s="2" t="inlineStr">
        <is>
          <t>Autonomy and Control Aerospace Systems</t>
        </is>
      </c>
      <c r="AA89" s="2" t="inlineStr">
        <is>
          <t>Autonomy and Control Aerospace Systems</t>
        </is>
      </c>
      <c r="AB89" s="2" t="inlineStr">
        <is>
          <t>B.Eng., Tsinghua University, Precision Instruments and Mechanology, 2000 M.S., The Ohio State University, Industrial and Systems Engineering, 2002 Ph.D., University of California at Berkeley, Civil and Environmental Engineering, 2008</t>
        </is>
      </c>
      <c r="AC89" s="2" t="inlineStr">
        <is>
          <t>Indiana Space Grant Consortium</t>
        </is>
      </c>
      <c r="AD89" s="3">
        <f>HYPERLINK("https://insgc.spacegrant.org/", "https://insgc.spacegrant.org/")</f>
        <v/>
      </c>
      <c r="AE89" s="2" t="inlineStr">
        <is>
          <t>Academic INSGC Internships</t>
        </is>
      </c>
      <c r="AF89" s="2" t="inlineStr"/>
      <c r="AG89" s="2" t="inlineStr"/>
      <c r="AH89" s="2" t="inlineStr">
        <is>
          <t>NASA</t>
        </is>
      </c>
      <c r="AI89" s="2" t="inlineStr"/>
      <c r="AJ89" s="2" t="inlineStr"/>
      <c r="AK89" s="2" t="inlineStr">
        <is>
          <t>ARMS 2031</t>
        </is>
      </c>
      <c r="AL89" s="2" t="b">
        <v>1</v>
      </c>
      <c r="AM89" s="3">
        <f>HYPERLINK("https://engineering.purdue.edu/AAE/people/Faculty", "https://engineering.purdue.edu/AAE/people/Faculty")</f>
        <v/>
      </c>
    </row>
    <row r="90">
      <c r="A90" s="2" t="inlineStr">
        <is>
          <t>Bin Yao</t>
        </is>
      </c>
      <c r="B90" s="2" t="inlineStr">
        <is>
          <t>Purdue University</t>
        </is>
      </c>
      <c r="C90" s="3">
        <f>HYPERLINK("https://engineering.purdue.edu/ME/People/ptProfile?resource_id=11271", "https://engineering.purdue.edu/ME/People/ptProfile?resource_id=11271")</f>
        <v/>
      </c>
      <c r="D90" s="3">
        <f>HYPERLINK("https://scholar.google.com/citations?view_op=search_authors&amp;mauthors=Bin%20Yao%20Purdue%20University", "Google Scholar Search")</f>
        <v/>
      </c>
      <c r="E90" s="2" t="inlineStr">
        <is>
          <t>Professor of Mechanical Engineering</t>
        </is>
      </c>
      <c r="F90" s="2" t="inlineStr">
        <is>
          <t>Mechanical Engineering</t>
        </is>
      </c>
      <c r="G90" s="2" t="inlineStr"/>
      <c r="H90" s="3">
        <f>HYPERLINK("mailto:byao@purdue.edu", "byao@purdue.edu")</f>
        <v/>
      </c>
      <c r="I90" s="2" t="n">
        <v>4</v>
      </c>
      <c r="J90" s="2" t="inlineStr">
        <is>
          <t>🔴 Tier 4: Robotics / Controls / Autonomy</t>
        </is>
      </c>
      <c r="K90" s="2" t="n">
        <v>3</v>
      </c>
      <c r="L90" s="2" t="inlineStr">
        <is>
          <t>nonlinear control, robot, robotics</t>
        </is>
      </c>
      <c r="M90" s="2" t="inlineStr"/>
      <c r="N90" s="2" t="inlineStr"/>
      <c r="O90" s="2" t="inlineStr"/>
      <c r="P90" s="2" t="inlineStr"/>
      <c r="Q90" s="2" t="inlineStr"/>
      <c r="R90" s="2" t="inlineStr"/>
      <c r="S90" s="2" t="inlineStr"/>
      <c r="T90" s="2" t="inlineStr"/>
      <c r="U90" s="2" t="inlineStr">
        <is>
          <t>Outstanding Mechanical Engineers Distinguished Engineering Alumni Honorary Doctorates Staff Awards Student Awards Distinguished...</t>
        </is>
      </c>
      <c r="V90" s="2" t="inlineStr"/>
      <c r="W90" s="2" t="inlineStr"/>
      <c r="X90" s="2" t="inlineStr"/>
      <c r="Y90" s="2" t="inlineStr">
        <is>
          <t>Adaptive and robust control Nonlinear control Precision control of mechanical systems Vehicle control Robotics</t>
        </is>
      </c>
      <c r="Z90" s="2" t="inlineStr">
        <is>
          <t>Systems, Measurements &amp; Controls</t>
        </is>
      </c>
      <c r="AA90" s="2" t="inlineStr">
        <is>
          <t>Systems, Measurements &amp; Controls</t>
        </is>
      </c>
      <c r="AB90" s="2" t="inlineStr">
        <is>
          <t>B.Eng. Beijing Univ. of Aeronautics &amp; Astronautics, '87 M.Eng. Nanyang Technological University, '92 Ph.D. California-Berkeley, '96</t>
        </is>
      </c>
      <c r="AC90" s="2" t="inlineStr">
        <is>
          <t>Personal Homepage</t>
        </is>
      </c>
      <c r="AD90" s="3">
        <f>HYPERLINK("http://engineering.purdue.edu/~byao/", "http://engineering.purdue.edu/~byao/")</f>
        <v/>
      </c>
      <c r="AE90" s="2" t="inlineStr"/>
      <c r="AF90" s="2" t="inlineStr"/>
      <c r="AG90" s="2" t="inlineStr"/>
      <c r="AH90" s="2" t="inlineStr"/>
      <c r="AI90" s="2" t="inlineStr"/>
      <c r="AJ90" s="2" t="inlineStr"/>
      <c r="AK90" s="2" t="inlineStr">
        <is>
          <t>ME 1077</t>
        </is>
      </c>
      <c r="AL90" s="2" t="b">
        <v>1</v>
      </c>
      <c r="AM90" s="3">
        <f>HYPERLINK("https://engineering.purdue.edu/ME/People/ptFaculty", "https://engineering.purdue.edu/ME/People/ptFaculty")</f>
        <v/>
      </c>
    </row>
    <row r="91">
      <c r="A91" s="2" t="inlineStr">
        <is>
          <t>Nina Mahmoudian</t>
        </is>
      </c>
      <c r="B91" s="2" t="inlineStr">
        <is>
          <t>Purdue University</t>
        </is>
      </c>
      <c r="C91" s="3">
        <f>HYPERLINK("https://engineering.purdue.edu/ME/People/ptProfile?resource_id=211078", "https://engineering.purdue.edu/ME/People/ptProfile?resource_id=211078")</f>
        <v/>
      </c>
      <c r="D91" s="3">
        <f>HYPERLINK("https://scholar.google.com/citations?view_op=search_authors&amp;mauthors=Nina%20Mahmoudian%20Purdue%20University", "Google Scholar Search")</f>
        <v/>
      </c>
      <c r="E91" s="2" t="inlineStr">
        <is>
          <t>Professor of Mechanical Engineering</t>
        </is>
      </c>
      <c r="F91" s="2" t="inlineStr">
        <is>
          <t>Mechanical Engineering</t>
        </is>
      </c>
      <c r="G91" s="2" t="inlineStr"/>
      <c r="H91" s="3">
        <f>HYPERLINK("mailto:ninam@purdue.edu", "ninam@purdue.edu")</f>
        <v/>
      </c>
      <c r="I91" s="2" t="n">
        <v>4</v>
      </c>
      <c r="J91" s="2" t="inlineStr">
        <is>
          <t>🔴 Tier 4: Robotics / Controls / Autonomy</t>
        </is>
      </c>
      <c r="K91" s="2" t="n">
        <v>3</v>
      </c>
      <c r="L91" s="2" t="inlineStr">
        <is>
          <t>aerospace, robot, robotics</t>
        </is>
      </c>
      <c r="M91" s="2" t="inlineStr"/>
      <c r="N91" s="2" t="inlineStr"/>
      <c r="O91" s="2" t="inlineStr"/>
      <c r="P91" s="2" t="inlineStr"/>
      <c r="Q91" s="2" t="inlineStr"/>
      <c r="R91" s="2" t="inlineStr"/>
      <c r="S91" s="2" t="inlineStr"/>
      <c r="T91" s="2" t="inlineStr"/>
      <c r="U91" s="2" t="inlineStr">
        <is>
          <t>Outstanding Mechanical Engineers Distinguished Engineering Alumni Honorary Doctorates Staff Awards Student Awards Distinguished...</t>
        </is>
      </c>
      <c r="V91" s="2" t="inlineStr"/>
      <c r="W91" s="2" t="inlineStr"/>
      <c r="X91" s="2" t="inlineStr"/>
      <c r="Y91" s="2" t="inlineStr">
        <is>
          <t>Robotics Marine Robotics Unmanned Systems Energy Autonomy Systems Design Coordination and Controls</t>
        </is>
      </c>
      <c r="Z91" s="2" t="inlineStr">
        <is>
          <t>Design &amp; Manufacturing Systems, Measurements &amp; Controls</t>
        </is>
      </c>
      <c r="AA91" s="2" t="inlineStr">
        <is>
          <t>Design &amp; Manufacturing Systems, Measurements &amp; Controls</t>
        </is>
      </c>
      <c r="AB91" s="2" t="inlineStr">
        <is>
          <t>Postdoctoral Associate, Aerospace Engineering, University of Maryland, 2010 Ph.D.  Aerospace Engineering, Virginia Tech, 2009 B.S.   Aerospace Engineering, Tehran Polytechnic, 1999</t>
        </is>
      </c>
      <c r="AC91" s="2" t="inlineStr">
        <is>
          <t>Mahmoudian Lab</t>
        </is>
      </c>
      <c r="AD91" s="3">
        <f>HYPERLINK("https://engineering.purdue.edu/mahmoudian", "https://engineering.purdue.edu/mahmoudian")</f>
        <v/>
      </c>
      <c r="AE91" s="2" t="inlineStr"/>
      <c r="AF91" s="2" t="inlineStr"/>
      <c r="AG91" s="2" t="inlineStr"/>
      <c r="AH91" s="2" t="inlineStr"/>
      <c r="AI91" s="2" t="inlineStr"/>
      <c r="AJ91" s="2" t="inlineStr"/>
      <c r="AK91" s="2" t="inlineStr">
        <is>
          <t>ME 1072B and KEPNER</t>
        </is>
      </c>
      <c r="AL91" s="2" t="b">
        <v>1</v>
      </c>
      <c r="AM91" s="3">
        <f>HYPERLINK("https://engineering.purdue.edu/ME/People/ptFaculty", "https://engineering.purdue.edu/ME/People/ptFaculty")</f>
        <v/>
      </c>
    </row>
    <row r="92">
      <c r="A92" s="2" t="inlineStr">
        <is>
          <t>Ran Dai</t>
        </is>
      </c>
      <c r="B92" s="2" t="inlineStr">
        <is>
          <t>Purdue University</t>
        </is>
      </c>
      <c r="C92" s="3">
        <f>HYPERLINK("https://engineering.purdue.edu/AAE/people/ptProfile?resource_id=243160", "https://engineering.purdue.edu/AAE/people/ptProfile?resource_id=243160")</f>
        <v/>
      </c>
      <c r="D92" s="3">
        <f>HYPERLINK("https://scholar.google.com/citations?view_op=search_authors&amp;mauthors=Ran%20Dai%20Purdue%20University", "Google Scholar Search")</f>
        <v/>
      </c>
      <c r="E92" s="2" t="inlineStr">
        <is>
          <t>Professor</t>
        </is>
      </c>
      <c r="F92" s="2" t="inlineStr">
        <is>
          <t>Aeronautics and Astronautics</t>
        </is>
      </c>
      <c r="G92" s="2" t="inlineStr"/>
      <c r="H92" s="3">
        <f>HYPERLINK("mailto:randai@purdue.edu", "randai@purdue.edu")</f>
        <v/>
      </c>
      <c r="I92" s="2" t="n">
        <v>4</v>
      </c>
      <c r="J92" s="2" t="inlineStr">
        <is>
          <t>🔴 Tier 4: Robotics / Controls / Autonomy</t>
        </is>
      </c>
      <c r="K92" s="2" t="n">
        <v>3</v>
      </c>
      <c r="L92" s="2" t="inlineStr">
        <is>
          <t>autonomous, optimal control, path planning</t>
        </is>
      </c>
      <c r="M92" s="2" t="inlineStr"/>
      <c r="N92" s="2" t="inlineStr"/>
      <c r="O92" s="2" t="inlineStr"/>
      <c r="P92" s="2" t="inlineStr"/>
      <c r="Q92" s="2" t="inlineStr"/>
      <c r="R92" s="2" t="inlineStr"/>
      <c r="S92" s="2" t="inlineStr"/>
      <c r="T92" s="2" t="inlineStr"/>
      <c r="U92" s="2" t="inlineStr"/>
      <c r="V92" s="2" t="inlineStr"/>
      <c r="W92" s="2" t="inlineStr"/>
      <c r="X92" s="2" t="inlineStr"/>
      <c r="Y92" s="2" t="inlineStr"/>
      <c r="Z92" s="2" t="inlineStr">
        <is>
          <t>Dai's research focuses on control of autonomous systems, numerical optimization and networked dynamical systems. Her group has developed real-time optimal control algorithms for decision making and path planning of autonomous systems, especially for unmanned aerial and space vehicles. Edit var myPronunciation=document.getElementById("pronunciation");
    function play() {
    myPronunciation.play();
    }
    function pause() {
    myPronunciation.pause();
    }</t>
        </is>
      </c>
      <c r="AA92" s="2" t="inlineStr">
        <is>
          <t>Dai's research focuses on control of autonomous systems, numerical optimization and networked dynamical systems. Her group has developed real-time optimal control algorithms for decision making and path planning of autonomous systems, especially for unmanned aerial and space vehicles. Edit var myPronunciation=document.getElementById("pronunciation");
    function play() {
    myPronunciati...</t>
        </is>
      </c>
      <c r="AB92" s="2" t="inlineStr"/>
      <c r="AC92" s="2" t="inlineStr">
        <is>
          <t>Indiana Space Grant Consortium</t>
        </is>
      </c>
      <c r="AD92" s="3">
        <f>HYPERLINK("https://insgc.spacegrant.org/", "https://insgc.spacegrant.org/")</f>
        <v/>
      </c>
      <c r="AE92" s="2" t="inlineStr">
        <is>
          <t>Academic INSGC Internships</t>
        </is>
      </c>
      <c r="AF92" s="2" t="inlineStr"/>
      <c r="AG92" s="2" t="inlineStr"/>
      <c r="AH92" s="2" t="inlineStr">
        <is>
          <t>NASA</t>
        </is>
      </c>
      <c r="AI92" s="2" t="inlineStr"/>
      <c r="AJ92" s="2" t="inlineStr"/>
      <c r="AK92" s="2" t="inlineStr">
        <is>
          <t>ARMS 3227</t>
        </is>
      </c>
      <c r="AL92" s="2" t="b">
        <v>1</v>
      </c>
      <c r="AM92" s="3">
        <f>HYPERLINK("https://engineering.purdue.edu/AAE/people/Faculty", "https://engineering.purdue.edu/AAE/people/Faculty")</f>
        <v/>
      </c>
    </row>
    <row r="93">
      <c r="A93" s="2" t="inlineStr">
        <is>
          <t>Xinyan Deng</t>
        </is>
      </c>
      <c r="B93" s="2" t="inlineStr">
        <is>
          <t>Purdue University</t>
        </is>
      </c>
      <c r="C93" s="3">
        <f>HYPERLINK("https://engineering.purdue.edu/ME/People/ptProfile?resource_id=57378", "https://engineering.purdue.edu/ME/People/ptProfile?resource_id=57378")</f>
        <v/>
      </c>
      <c r="D93" s="3">
        <f>HYPERLINK("https://scholar.google.com/citations?view_op=search_authors&amp;mauthors=Xinyan%20Deng%20Purdue%20University", "Google Scholar Search")</f>
        <v/>
      </c>
      <c r="E93" s="2" t="inlineStr">
        <is>
          <t>Associate Professor of Mechanical Engineering</t>
        </is>
      </c>
      <c r="F93" s="2" t="inlineStr">
        <is>
          <t>Mechanical Engineering</t>
        </is>
      </c>
      <c r="G93" s="2" t="inlineStr"/>
      <c r="H93" s="3">
        <f>HYPERLINK("mailto:xdeng@purdue.edu", "xdeng@purdue.edu")</f>
        <v/>
      </c>
      <c r="I93" s="2" t="n">
        <v>4</v>
      </c>
      <c r="J93" s="2" t="inlineStr">
        <is>
          <t>🔴 Tier 4: Robotics / Controls / Autonomy</t>
        </is>
      </c>
      <c r="K93" s="2" t="n">
        <v>3</v>
      </c>
      <c r="L93" s="2" t="inlineStr">
        <is>
          <t>fluid mechanics, robot, robotics</t>
        </is>
      </c>
      <c r="M93" s="2" t="inlineStr"/>
      <c r="N93" s="2" t="inlineStr"/>
      <c r="O93" s="2" t="inlineStr"/>
      <c r="P93" s="2" t="inlineStr"/>
      <c r="Q93" s="2" t="inlineStr"/>
      <c r="R93" s="2" t="inlineStr"/>
      <c r="S93" s="2" t="inlineStr"/>
      <c r="T93" s="2" t="inlineStr"/>
      <c r="U93" s="2" t="inlineStr">
        <is>
          <t>Outstanding Mechanical Engineers Distinguished Engineering Alumni Honorary Doctorates Staff Awards Student Awards Distinguished...</t>
        </is>
      </c>
      <c r="V93" s="2" t="inlineStr"/>
      <c r="W93" s="2" t="inlineStr"/>
      <c r="X93" s="2" t="inlineStr"/>
      <c r="Y93" s="2" t="inlineStr">
        <is>
          <t>Principles of aerial and aquatic locomotion in animals Experimental fluid mechanics Dynamics Control Bio-inspired robotics Biologically inspired micro aerial vehicles and underwater robots Bio-sensing and sensor fusion algorithms</t>
        </is>
      </c>
      <c r="Z93" s="2" t="inlineStr">
        <is>
          <t>Systems, Measurements &amp; Controls</t>
        </is>
      </c>
      <c r="AA93" s="2" t="inlineStr">
        <is>
          <t>Systems, Measurements &amp; Controls</t>
        </is>
      </c>
      <c r="AB93" s="2" t="inlineStr">
        <is>
          <t>Ph.D., University of California at Berkeley, '04 B.S., Tianjin University, China, '95</t>
        </is>
      </c>
      <c r="AC93" s="2" t="inlineStr">
        <is>
          <t>Bio-Robotics Lab</t>
        </is>
      </c>
      <c r="AD93" s="3">
        <f>HYPERLINK("http://engineering.purdue.edu/~xdeng/", "http://engineering.purdue.edu/~xdeng/")</f>
        <v/>
      </c>
      <c r="AE93" s="2" t="inlineStr"/>
      <c r="AF93" s="2" t="inlineStr"/>
      <c r="AG93" s="2" t="inlineStr">
        <is>
          <t>Wind Tunnel, PIV, Particle Image Velocimetry</t>
        </is>
      </c>
      <c r="AH93" s="2" t="inlineStr"/>
      <c r="AI93" s="2" t="inlineStr"/>
      <c r="AJ93" s="2" t="inlineStr"/>
      <c r="AK93" s="2" t="inlineStr">
        <is>
          <t>ME 1069</t>
        </is>
      </c>
      <c r="AL93" s="2" t="b">
        <v>1</v>
      </c>
      <c r="AM93" s="3">
        <f>HYPERLINK("https://engineering.purdue.edu/ME/People/ptFaculty", "https://engineering.purdue.edu/ME/People/ptFaculty")</f>
        <v/>
      </c>
    </row>
    <row r="94">
      <c r="A94" s="2" t="inlineStr">
        <is>
          <t>Yan Gu</t>
        </is>
      </c>
      <c r="B94" s="2" t="inlineStr">
        <is>
          <t>Purdue University</t>
        </is>
      </c>
      <c r="C94" s="3">
        <f>HYPERLINK("https://engineering.purdue.edu/ME/People/ptProfile?resource_id=273141", "https://engineering.purdue.edu/ME/People/ptProfile?resource_id=273141")</f>
        <v/>
      </c>
      <c r="D94" s="3">
        <f>HYPERLINK("https://scholar.google.com/citations?view_op=search_authors&amp;mauthors=Yan%20Gu%20Purdue%20University", "Google Scholar Search")</f>
        <v/>
      </c>
      <c r="E94" s="2" t="inlineStr">
        <is>
          <t>Associate Professor Of Mechanical Engineering</t>
        </is>
      </c>
      <c r="F94" s="2" t="inlineStr">
        <is>
          <t>Mechanical Engineering</t>
        </is>
      </c>
      <c r="G94" s="2" t="inlineStr"/>
      <c r="H94" s="3">
        <f>HYPERLINK("mailto:yangu@purdue.edu", "yangu@purdue.edu")</f>
        <v/>
      </c>
      <c r="I94" s="2" t="n">
        <v>4</v>
      </c>
      <c r="J94" s="2" t="inlineStr">
        <is>
          <t>🔴 Tier 4: Robotics / Controls / Autonomy</t>
        </is>
      </c>
      <c r="K94" s="2" t="n">
        <v>3</v>
      </c>
      <c r="L94" s="2" t="inlineStr">
        <is>
          <t>estimation, robot, robotics</t>
        </is>
      </c>
      <c r="M94" s="2" t="inlineStr"/>
      <c r="N94" s="2" t="inlineStr"/>
      <c r="O94" s="2" t="inlineStr"/>
      <c r="P94" s="2" t="inlineStr"/>
      <c r="Q94" s="2" t="inlineStr"/>
      <c r="R94" s="2" t="inlineStr"/>
      <c r="S94" s="2" t="inlineStr"/>
      <c r="T94" s="2" t="inlineStr"/>
      <c r="U94" s="2" t="inlineStr">
        <is>
          <t>Outstanding Mechanical Engineers Distinguished Engineering Alumni Honorary Doctorates Staff Awards Student Awards Distinguished...</t>
        </is>
      </c>
      <c r="V94" s="2" t="inlineStr"/>
      <c r="W94" s="2" t="inlineStr"/>
      <c r="X94" s="2" t="inlineStr"/>
      <c r="Y94" s="2" t="inlineStr">
        <is>
          <t>Legged locomotion Humanoid and quadrupedal robots Wearable robotics Hybrid dynamical systems Control State estimation Dynamics</t>
        </is>
      </c>
      <c r="Z94" s="2" t="inlineStr">
        <is>
          <t>Systems, Measurements &amp; Controls</t>
        </is>
      </c>
      <c r="AA94" s="2" t="inlineStr">
        <is>
          <t>Systems, Measurements &amp; Controls</t>
        </is>
      </c>
      <c r="AB94" s="2" t="inlineStr">
        <is>
          <t>Ph.D., Purdue, '17 B.S., Zhejiang University, China, '11</t>
        </is>
      </c>
      <c r="AC94" s="2" t="inlineStr">
        <is>
          <t>TRACE Lab</t>
        </is>
      </c>
      <c r="AD94" s="3">
        <f>HYPERLINK("https://www.thetracelab.com/", "https://www.thetracelab.com/")</f>
        <v/>
      </c>
      <c r="AE94" s="2" t="inlineStr">
        <is>
          <t>Actively recruiting / Openings mentioned on lab site</t>
        </is>
      </c>
      <c r="AF94" s="2" t="inlineStr"/>
      <c r="AG94" s="2" t="inlineStr"/>
      <c r="AH94" s="2" t="inlineStr">
        <is>
          <t>NSF, ONR</t>
        </is>
      </c>
      <c r="AI94" s="2" t="inlineStr"/>
      <c r="AJ94" s="2" t="inlineStr"/>
      <c r="AK94" s="2" t="inlineStr">
        <is>
          <t>ME 1065</t>
        </is>
      </c>
      <c r="AL94" s="2" t="b">
        <v>1</v>
      </c>
      <c r="AM94" s="3">
        <f>HYPERLINK("https://engineering.purdue.edu/ME/People/ptFaculty", "https://engineering.purdue.edu/ME/People/ptFaculty")</f>
        <v/>
      </c>
    </row>
    <row r="95">
      <c r="A95" s="2" t="inlineStr">
        <is>
          <t>David Cappelleri</t>
        </is>
      </c>
      <c r="B95" s="2" t="inlineStr">
        <is>
          <t>Purdue University</t>
        </is>
      </c>
      <c r="C95" s="3">
        <f>HYPERLINK("https://engineering.purdue.edu/ME/People/ptProfile?resource_id=92669", "https://engineering.purdue.edu/ME/People/ptProfile?resource_id=92669")</f>
        <v/>
      </c>
      <c r="D95" s="3">
        <f>HYPERLINK("https://scholar.google.com/citations?view_op=search_authors&amp;mauthors=David%20Cappelleri%20Purdue%20University", "Google Scholar Search")</f>
        <v/>
      </c>
      <c r="E95" s="2" t="inlineStr">
        <is>
          <t>Professor of Mechanical Engineering; Assistant Vice President for Research Innovation</t>
        </is>
      </c>
      <c r="F95" s="2" t="inlineStr">
        <is>
          <t>Mechanical Engineering</t>
        </is>
      </c>
      <c r="G95" s="2" t="inlineStr"/>
      <c r="H95" s="3">
        <f>HYPERLINK("mailto:dcappell@purdue.edu", "dcappell@purdue.edu")</f>
        <v/>
      </c>
      <c r="I95" s="2" t="n">
        <v>4</v>
      </c>
      <c r="J95" s="2" t="inlineStr">
        <is>
          <t>🔴 Tier 4: Robotics / Controls / Autonomy</t>
        </is>
      </c>
      <c r="K95" s="2" t="n">
        <v>2</v>
      </c>
      <c r="L95" s="2" t="inlineStr">
        <is>
          <t>robot, robotics</t>
        </is>
      </c>
      <c r="M95" s="2" t="inlineStr"/>
      <c r="N95" s="2" t="inlineStr"/>
      <c r="O95" s="2" t="inlineStr"/>
      <c r="P95" s="2" t="inlineStr"/>
      <c r="Q95" s="2" t="inlineStr"/>
      <c r="R95" s="2" t="inlineStr"/>
      <c r="S95" s="2" t="inlineStr"/>
      <c r="T95" s="2" t="inlineStr"/>
      <c r="U95" s="2" t="inlineStr">
        <is>
          <t>Outstanding Mechanical Engineers Distinguished Engineering Alumni Honorary Doctorates Staff Awards Student Awards Distinguished...</t>
        </is>
      </c>
      <c r="V95" s="2" t="inlineStr"/>
      <c r="W95" s="2" t="inlineStr"/>
      <c r="X95" s="2" t="inlineStr"/>
      <c r="Y95" s="2" t="inlineStr">
        <is>
          <t>Multi-scale robotic manipulation and assembly Mobile micro/nano robotics Micro/nano aerial vehicles Micro-Bio robotics Mechatronics MEMS/NEMS Automation for the life sciences</t>
        </is>
      </c>
      <c r="Z95" s="2" t="inlineStr">
        <is>
          <t>Dynamics &amp; Vibration Design &amp; Manufacturing Systems, Measurements &amp; Controls</t>
        </is>
      </c>
      <c r="AA95" s="2" t="inlineStr">
        <is>
          <t>Dynamics &amp; Vibration Design &amp; Manufacturing Systems, Measurements &amp; Controls</t>
        </is>
      </c>
      <c r="AB95" s="2" t="inlineStr">
        <is>
          <t>B.S., Mechanical Engineering, Villanova University, '98 M.S., Mechanical Engineering, The Pennsylvania State University, ‘00 Ph.D., Mechanical Engineering &amp; Applied Mechanics, University of Pennsylvania, '08</t>
        </is>
      </c>
      <c r="AC95" s="2" t="inlineStr">
        <is>
          <t>Multi-Scale Robotics &amp; Automation Lab</t>
        </is>
      </c>
      <c r="AD95" s="3">
        <f>HYPERLINK("http://www.multiscalerobotics.org/", "http://www.multiscalerobotics.org/")</f>
        <v/>
      </c>
      <c r="AE95" s="2" t="inlineStr"/>
      <c r="AF95" s="2" t="inlineStr"/>
      <c r="AG95" s="2" t="inlineStr"/>
      <c r="AH95" s="2" t="inlineStr"/>
      <c r="AI95" s="2" t="inlineStr"/>
      <c r="AJ95" s="2" t="inlineStr"/>
      <c r="AK95" s="2" t="inlineStr">
        <is>
          <t>FLEX 2021C</t>
        </is>
      </c>
      <c r="AL95" s="2" t="b">
        <v>1</v>
      </c>
      <c r="AM95" s="3">
        <f>HYPERLINK("https://engineering.purdue.edu/ME/People/ptFaculty", "https://engineering.purdue.edu/ME/People/ptFaculty")</f>
        <v/>
      </c>
    </row>
    <row r="96">
      <c r="A96" s="2" t="inlineStr">
        <is>
          <t>Husheng Li</t>
        </is>
      </c>
      <c r="B96" s="2" t="inlineStr">
        <is>
          <t>Purdue University</t>
        </is>
      </c>
      <c r="C96" s="3">
        <f>HYPERLINK("https://engineering.purdue.edu/AAE/people/ptProfile?resource_id=270776", "https://engineering.purdue.edu/AAE/people/ptProfile?resource_id=270776")</f>
        <v/>
      </c>
      <c r="D96" s="3">
        <f>HYPERLINK("https://scholar.google.com/citations?view_op=search_authors&amp;mauthors=Husheng%20Li%20Purdue%20University", "Google Scholar Search")</f>
        <v/>
      </c>
      <c r="E96" s="2" t="inlineStr">
        <is>
          <t>Professor Of Aero And Astro Engineering</t>
        </is>
      </c>
      <c r="F96" s="2" t="inlineStr">
        <is>
          <t>Aeronautics and Astronautics</t>
        </is>
      </c>
      <c r="G96" s="2" t="inlineStr"/>
      <c r="H96" s="3">
        <f>HYPERLINK("mailto:husheng@purdue.edu", "husheng@purdue.edu")</f>
        <v/>
      </c>
      <c r="I96" s="2" t="n">
        <v>4</v>
      </c>
      <c r="J96" s="2" t="inlineStr">
        <is>
          <t>🔴 Tier 4: Robotics / Controls / Autonomy</t>
        </is>
      </c>
      <c r="K96" s="2" t="n">
        <v>2</v>
      </c>
      <c r="L96" s="2" t="inlineStr">
        <is>
          <t>autonomous, uav</t>
        </is>
      </c>
      <c r="M96" s="2" t="inlineStr"/>
      <c r="N96" s="2" t="inlineStr"/>
      <c r="O96" s="2" t="inlineStr"/>
      <c r="P96" s="2" t="inlineStr"/>
      <c r="Q96" s="2" t="inlineStr"/>
      <c r="R96" s="2" t="inlineStr"/>
      <c r="S96" s="2" t="inlineStr"/>
      <c r="T96" s="2" t="inlineStr"/>
      <c r="U96" s="2" t="inlineStr"/>
      <c r="V96" s="2" t="inlineStr"/>
      <c r="W96" s="2" t="inlineStr"/>
      <c r="X96" s="2" t="inlineStr"/>
      <c r="Y96" s="2" t="inlineStr"/>
      <c r="Z96" s="2" t="inlineStr">
        <is>
          <t>Dr. Li has previously researched cyber physical systems, statistical signal processing, wireless communications, and information theory. His current work is in autonomous and connected systems, UAV sensing and communications, and joint design of control and communication systems. Edit var myPronunciation=document.getElementById("pronunciation");
    function play() {
    myPronunciation.play();
    }
    function pause() {
    myPronunciation.pause();
    }</t>
        </is>
      </c>
      <c r="AA96" s="2" t="inlineStr">
        <is>
          <t>Dr. Li has previously researched cyber physical systems, statistical signal processing, wireless communications, and information theory. His current work is in autonomous and connected systems, UAV sensing and communications, and joint design of control and communication systems. Edit var myPronunciation=document.getElementById("pronunciation");
    function play() {
    myPronunciation.pl...</t>
        </is>
      </c>
      <c r="AB96" s="2" t="inlineStr">
        <is>
          <t>PhD in Electrical Engineering, Princeton University BS and MS in Electronic Engineering, Tsinghua University</t>
        </is>
      </c>
      <c r="AC96" s="2" t="inlineStr">
        <is>
          <t>Indiana Space Grant Consortium</t>
        </is>
      </c>
      <c r="AD96" s="3">
        <f>HYPERLINK("https://insgc.spacegrant.org/", "https://insgc.spacegrant.org/")</f>
        <v/>
      </c>
      <c r="AE96" s="2" t="inlineStr">
        <is>
          <t>Academic INSGC Internships</t>
        </is>
      </c>
      <c r="AF96" s="2" t="inlineStr"/>
      <c r="AG96" s="2" t="inlineStr"/>
      <c r="AH96" s="2" t="inlineStr">
        <is>
          <t>NASA</t>
        </is>
      </c>
      <c r="AI96" s="2" t="inlineStr"/>
      <c r="AJ96" s="2" t="inlineStr"/>
      <c r="AK96" s="2" t="inlineStr">
        <is>
          <t>ARMS 3215</t>
        </is>
      </c>
      <c r="AL96" s="2" t="b">
        <v>1</v>
      </c>
      <c r="AM96" s="3">
        <f>HYPERLINK("https://engineering.purdue.edu/AAE/people/Faculty", "https://engineering.purdue.edu/AAE/people/Faculty")</f>
        <v/>
      </c>
    </row>
    <row r="97">
      <c r="A97" s="2" t="inlineStr">
        <is>
          <t>Karen Marais</t>
        </is>
      </c>
      <c r="B97" s="2" t="inlineStr">
        <is>
          <t>Purdue University</t>
        </is>
      </c>
      <c r="C97" s="3">
        <f>HYPERLINK("https://engineering.purdue.edu/AAE/people/ptProfile?resource_id=50933", "https://engineering.purdue.edu/AAE/people/ptProfile?resource_id=50933")</f>
        <v/>
      </c>
      <c r="D97" s="3">
        <f>HYPERLINK("https://scholar.google.com/citations?view_op=search_authors&amp;mauthors=Karen%20Marais%20Purdue%20University", "Google Scholar Search")</f>
        <v/>
      </c>
      <c r="E97" s="2" t="inlineStr">
        <is>
          <t>Professor; Associate Head for Undergraduate Education</t>
        </is>
      </c>
      <c r="F97" s="2" t="inlineStr">
        <is>
          <t>Aeronautics and Astronautics</t>
        </is>
      </c>
      <c r="G97" s="2" t="inlineStr"/>
      <c r="H97" s="3">
        <f>HYPERLINK("mailto:kmarais@purdue.edu", "kmarais@purdue.edu")</f>
        <v/>
      </c>
      <c r="I97" s="2" t="n">
        <v>4</v>
      </c>
      <c r="J97" s="2" t="inlineStr">
        <is>
          <t>🔴 Tier 4: Robotics / Controls / Autonomy</t>
        </is>
      </c>
      <c r="K97" s="2" t="n">
        <v>2</v>
      </c>
      <c r="L97" s="2" t="inlineStr">
        <is>
          <t>aerospace, control theory</t>
        </is>
      </c>
      <c r="M97" s="2" t="inlineStr"/>
      <c r="N97" s="2" t="inlineStr"/>
      <c r="O97" s="2" t="inlineStr"/>
      <c r="P97" s="2" t="inlineStr"/>
      <c r="Q97" s="2" t="inlineStr"/>
      <c r="R97" s="2" t="inlineStr"/>
      <c r="S97" s="2" t="inlineStr"/>
      <c r="T97" s="2" t="inlineStr"/>
      <c r="U97" s="2" t="inlineStr"/>
      <c r="V97" s="2" t="inlineStr"/>
      <c r="W97" s="2" t="inlineStr"/>
      <c r="X97" s="2" t="inlineStr"/>
      <c r="Y97" s="2" t="inlineStr">
        <is>
          <t>Safety and Risk Analysis Systems Engineering Education Financial Modeling of Engineering Systems Environmental Impacts of Technology</t>
        </is>
      </c>
      <c r="Z97" s="2" t="inlineStr">
        <is>
          <t>My research is multi-disciplinary in nature, spanning traditional engineering disciplines such as reliability, maintainability, and risk analysis, and extending to engineering economics (e.g., environmental impact of aviation and policy choices and implications) and organizational behavior (in particular in regard to system safety). The fundamental aim of my research is to guide better engineering decisions in system design and operation. To that end I perform research in three general areas: System Safety and Risk Analysis In this work, I investigate new ways of addressing the safety and risk challenges posed by complex systems. I am currently investigating the application of techniques from control theory and digital signal processing to risk analysis. Value-Centric System Design and Operation In this work, I investigate system design and operation from the perspective of design impact on value. For example, recently my co-authors and I investigated the impact of reliability on system value and used our analysis to develop a method to identify optimal reliability levels that maximize system value delivery over time. I am now extending this perspective to system maintenance (an area with significant growth potential) and adapting this work to the civil aviation industry. Civil Aviation Policy In this work, I investigate various aspects of civil aviation policy. I focus on two areas. First, technology is seen as one of the primary enablers of increased air traffic over the next two decades. However, airlines and general aviation users are often reluctant to adopt new technologies. Using a value-centric approach I developed a framework that can be used to identify and address the causes of adoption reluctance and so increase the likelihood of successful technology transitions. Second, the impact of aviation on the environment is receiving increasing attention. However, aviation environmental policies are usually evaluated in isolation or on a cost-effectiveness basis. Such evaluations do not take into account the complex interdependencies between aviation environmental effects (e.g., quieter engines may be heavier and therefore increase fuel consumption). Here, again, a value-centric perspective that takes into account both the benefits and costs of aviation can allow better policy decisions.</t>
        </is>
      </c>
      <c r="AA97" s="2" t="inlineStr">
        <is>
          <t>My research is multi-disciplinary in nature, spanning traditional engineering disciplines such as reliability, maintainability, and risk analysis, and extending to engineering economics (e.g., environmental impact of aviation and policy choices and implications) and organizational behavior (in particular in regard to system safety). The fundamental aim of my research is to guide better engineer...</t>
        </is>
      </c>
      <c r="AB97" s="2" t="inlineStr">
        <is>
          <t>B.Eng. University of Stellenbosch, Electrical and Electronic Engineering, 1994 B.Sc. University of South Africa, Mathematics, 1997 S.M. Massachusetts Institute of Technology, Aerospace Engineering, 2001 Ph.D. Massachusetts Institute of Technology, Aerospace Engineering, 2005</t>
        </is>
      </c>
      <c r="AC97" s="2" t="inlineStr">
        <is>
          <t>Indiana Space Grant Consortium</t>
        </is>
      </c>
      <c r="AD97" s="3">
        <f>HYPERLINK("https://insgc.spacegrant.org/", "https://insgc.spacegrant.org/")</f>
        <v/>
      </c>
      <c r="AE97" s="2" t="inlineStr">
        <is>
          <t>Academic INSGC Internships</t>
        </is>
      </c>
      <c r="AF97" s="2" t="inlineStr"/>
      <c r="AG97" s="2" t="inlineStr"/>
      <c r="AH97" s="2" t="inlineStr">
        <is>
          <t>NASA</t>
        </is>
      </c>
      <c r="AI97" s="2" t="inlineStr"/>
      <c r="AJ97" s="2" t="inlineStr"/>
      <c r="AK97" s="2" t="inlineStr">
        <is>
          <t>ARMS 2041</t>
        </is>
      </c>
      <c r="AL97" s="2" t="b">
        <v>1</v>
      </c>
      <c r="AM97" s="3">
        <f>HYPERLINK("https://engineering.purdue.edu/AAE/people/Faculty", "https://engineering.purdue.edu/AAE/people/Faculty")</f>
        <v/>
      </c>
    </row>
    <row r="98">
      <c r="A98" s="2" t="inlineStr">
        <is>
          <t>Laura Blumenschein</t>
        </is>
      </c>
      <c r="B98" s="2" t="inlineStr">
        <is>
          <t>Purdue University</t>
        </is>
      </c>
      <c r="C98" s="3">
        <f>HYPERLINK("https://engineering.purdue.edu/ME/People/ptProfile?resource_id=241064", "https://engineering.purdue.edu/ME/People/ptProfile?resource_id=241064")</f>
        <v/>
      </c>
      <c r="D98" s="3">
        <f>HYPERLINK("https://scholar.google.com/citations?view_op=search_authors&amp;mauthors=Laura%20Blumenschein%20Purdue%20University", "Google Scholar Search")</f>
        <v/>
      </c>
      <c r="E98" s="2" t="inlineStr">
        <is>
          <t>Assistant Professor of Mechanical Engineering</t>
        </is>
      </c>
      <c r="F98" s="2" t="inlineStr">
        <is>
          <t>Mechanical Engineering</t>
        </is>
      </c>
      <c r="G98" s="2" t="inlineStr"/>
      <c r="H98" s="3">
        <f>HYPERLINK("mailto:lhblumen@purdue.edu", "lhblumen@purdue.edu")</f>
        <v/>
      </c>
      <c r="I98" s="2" t="n">
        <v>4</v>
      </c>
      <c r="J98" s="2" t="inlineStr">
        <is>
          <t>🔴 Tier 4: Robotics / Controls / Autonomy</t>
        </is>
      </c>
      <c r="K98" s="2" t="n">
        <v>2</v>
      </c>
      <c r="L98" s="2" t="inlineStr">
        <is>
          <t>robot, robotics</t>
        </is>
      </c>
      <c r="M98" s="2" t="inlineStr"/>
      <c r="N98" s="2" t="inlineStr"/>
      <c r="O98" s="2" t="inlineStr"/>
      <c r="P98" s="2" t="inlineStr"/>
      <c r="Q98" s="2" t="inlineStr"/>
      <c r="R98" s="2" t="inlineStr"/>
      <c r="S98" s="2" t="inlineStr"/>
      <c r="T98" s="2" t="inlineStr"/>
      <c r="U98" s="2" t="inlineStr">
        <is>
          <t>Outstanding Mechanical Engineers Distinguished Engineering Alumni Honorary Doctorates Staff Awards Student Awards Distinguished...</t>
        </is>
      </c>
      <c r="V98" s="2" t="inlineStr"/>
      <c r="W98" s="2" t="inlineStr"/>
      <c r="X98" s="2" t="inlineStr"/>
      <c r="Y98" s="2" t="inlineStr">
        <is>
          <t>Growing robots Soft robotics Bioinspired systems Wearable robots Haptics Soft matter</t>
        </is>
      </c>
      <c r="Z98" s="2" t="inlineStr">
        <is>
          <t>Design &amp; Manufacturing Systems, Measurements &amp; Controls</t>
        </is>
      </c>
      <c r="AA98" s="2" t="inlineStr">
        <is>
          <t>Design &amp; Manufacturing Systems, Measurements &amp; Controls</t>
        </is>
      </c>
      <c r="AB98" s="2" t="inlineStr">
        <is>
          <t>Ph.D., Stanford University '19 M.S., Rice University '16 B.S., Rice University '15</t>
        </is>
      </c>
      <c r="AC98" s="2" t="inlineStr">
        <is>
          <t>RAAD Lab</t>
        </is>
      </c>
      <c r="AD98" s="3">
        <f>HYPERLINK("https://lhblumen.wixsite.com/website-1", "https://lhblumen.wixsite.com/website-1")</f>
        <v/>
      </c>
      <c r="AE98" s="2" t="inlineStr">
        <is>
          <t>Actively recruiting / Openings mentioned on lab site</t>
        </is>
      </c>
      <c r="AF98" s="2" t="inlineStr"/>
      <c r="AG98" s="2" t="inlineStr"/>
      <c r="AH98" s="2" t="inlineStr">
        <is>
          <t>NSF</t>
        </is>
      </c>
      <c r="AI98" s="2" t="inlineStr"/>
      <c r="AJ98" s="2" t="inlineStr"/>
      <c r="AK98" s="2" t="inlineStr">
        <is>
          <t>ME 1075</t>
        </is>
      </c>
      <c r="AL98" s="2" t="b">
        <v>1</v>
      </c>
      <c r="AM98" s="3">
        <f>HYPERLINK("https://engineering.purdue.edu/ME/People/ptFaculty", "https://engineering.purdue.edu/ME/People/ptFaculty")</f>
        <v/>
      </c>
    </row>
    <row r="99">
      <c r="A99" s="2" t="inlineStr">
        <is>
          <t>Andrea Vacca</t>
        </is>
      </c>
      <c r="B99" s="2" t="inlineStr">
        <is>
          <t>Purdue University</t>
        </is>
      </c>
      <c r="C99" s="3">
        <f>HYPERLINK("https://engineering.purdue.edu/ME/People/ptProfile?resource_id=61666", "https://engineering.purdue.edu/ME/People/ptProfile?resource_id=61666")</f>
        <v/>
      </c>
      <c r="D99" s="3">
        <f>HYPERLINK("https://scholar.google.com/citations?view_op=search_authors&amp;mauthors=Andrea%20Vacca%20Purdue%20University", "Google Scholar Search")</f>
        <v/>
      </c>
      <c r="E99" s="2" t="inlineStr">
        <is>
          <t>Maha Fluid Power Faculty Chair, Professor of Mechanical Engineering, joint with Agricultural and Biological Engineering</t>
        </is>
      </c>
      <c r="F99" s="2" t="inlineStr">
        <is>
          <t>Mechanical Engineering</t>
        </is>
      </c>
      <c r="G99" s="2" t="inlineStr"/>
      <c r="H99" s="3">
        <f>HYPERLINK("mailto:avacca@purdue.edu", "avacca@purdue.edu")</f>
        <v/>
      </c>
      <c r="I99" s="2" t="n">
        <v>4</v>
      </c>
      <c r="J99" s="2" t="inlineStr">
        <is>
          <t>🔴 Tier 4: Robotics / Controls / Autonomy</t>
        </is>
      </c>
      <c r="K99" s="2" t="n">
        <v>1</v>
      </c>
      <c r="L99" s="2" t="inlineStr">
        <is>
          <t>fluid mechanics</t>
        </is>
      </c>
      <c r="M99" s="2" t="inlineStr"/>
      <c r="N99" s="2" t="inlineStr"/>
      <c r="O99" s="2" t="inlineStr"/>
      <c r="P99" s="2" t="inlineStr"/>
      <c r="Q99" s="2" t="inlineStr"/>
      <c r="R99" s="2" t="inlineStr"/>
      <c r="S99" s="2" t="inlineStr"/>
      <c r="T99" s="2" t="inlineStr"/>
      <c r="U99" s="2" t="inlineStr">
        <is>
          <t>Outstanding Mechanical Engineers Distinguished Engineering Alumni Honorary Doctorates Staff Awards Student Awards Distinguished...</t>
        </is>
      </c>
      <c r="V99" s="2" t="inlineStr">
        <is>
          <t>Contact us today to learn about the advantages of becoming a member at Maha Labs! Email Andrea Vacca: avacca@purdue.edu | If you are interested in a research position at the Maha Fluid Power Research Center, please email your application to Dr. Vacca ( avacca@purdue.edu ) or Dr. Shang ( shangl@purdue.edu ).</t>
        </is>
      </c>
      <c r="W99" s="2" t="inlineStr"/>
      <c r="X99" s="2" t="inlineStr"/>
      <c r="Y99" s="2" t="inlineStr">
        <is>
          <t>Modeling and simulation of hydraulic systems Modeling and testing of pumps and motors for fluid power applications Hydraulic valves modeling and testing Reduction of noise emissions in fluid power systems</t>
        </is>
      </c>
      <c r="Z99" s="2" t="inlineStr">
        <is>
          <t>Fluid Mechanics Heat &amp; Mass Transfer</t>
        </is>
      </c>
      <c r="AA99" s="2" t="inlineStr">
        <is>
          <t>Fluid Mechanics Heat &amp; Mass Transfer</t>
        </is>
      </c>
      <c r="AB99" s="2" t="inlineStr">
        <is>
          <t>M.S., University of Parma (Italy), '99 Ph.D., University of Florence (Italy), '05</t>
        </is>
      </c>
      <c r="AC99" s="2" t="inlineStr">
        <is>
          <t>Maha Fluid Power Research Center</t>
        </is>
      </c>
      <c r="AD99" s="3">
        <f>HYPERLINK("https://engineering.purdue.edu/Maha", "https://engineering.purdue.edu/Maha")</f>
        <v/>
      </c>
      <c r="AE99" s="2" t="inlineStr">
        <is>
          <t>Receive biannual updates on “Maha recommended” Purdue students looking for job opportunities Participate in a recruiting session during the annual Maha Fluid Power Conference Organize a private recruiting event at the Maha Fluid Power Research Center* | Receive biannual updates on “Maha recommended” Purdue students looking for job opportunities</t>
        </is>
      </c>
      <c r="AF99" s="2" t="inlineStr"/>
      <c r="AG99" s="2" t="inlineStr">
        <is>
          <t>Cluster</t>
        </is>
      </c>
      <c r="AH99" s="2" t="inlineStr"/>
      <c r="AI99" s="2" t="inlineStr"/>
      <c r="AJ99" s="2" t="inlineStr"/>
      <c r="AK99" s="2" t="inlineStr"/>
      <c r="AL99" s="2" t="b">
        <v>1</v>
      </c>
      <c r="AM99" s="3">
        <f>HYPERLINK("https://engineering.purdue.edu/ME/People/ptFaculty", "https://engineering.purdue.edu/ME/People/ptFaculty")</f>
        <v/>
      </c>
    </row>
    <row r="100">
      <c r="A100" s="2" t="inlineStr">
        <is>
          <t>Arthur E. Frazho</t>
        </is>
      </c>
      <c r="B100" s="2" t="inlineStr">
        <is>
          <t>Purdue University</t>
        </is>
      </c>
      <c r="C100" s="3">
        <f>HYPERLINK("https://engineering.purdue.edu/AAE/people/ptProfile?resource_id=1339", "https://engineering.purdue.edu/AAE/people/ptProfile?resource_id=1339")</f>
        <v/>
      </c>
      <c r="D100" s="3">
        <f>HYPERLINK("https://scholar.google.com/citations?view_op=search_authors&amp;mauthors=Arthur%20E.%20Frazho%20Purdue%20University", "Google Scholar Search")</f>
        <v/>
      </c>
      <c r="E100" s="2" t="inlineStr">
        <is>
          <t>Professor</t>
        </is>
      </c>
      <c r="F100" s="2" t="inlineStr">
        <is>
          <t>Aeronautics and Astronautics</t>
        </is>
      </c>
      <c r="G100" s="2" t="inlineStr"/>
      <c r="H100" s="3">
        <f>HYPERLINK("mailto:frazho@purdue.edu", "frazho@purdue.edu")</f>
        <v/>
      </c>
      <c r="I100" s="2" t="n">
        <v>4</v>
      </c>
      <c r="J100" s="2" t="inlineStr">
        <is>
          <t>🔴 Tier 4: Robotics / Controls / Autonomy</t>
        </is>
      </c>
      <c r="K100" s="2" t="n">
        <v>1</v>
      </c>
      <c r="L100" s="2" t="inlineStr">
        <is>
          <t>nonlinear control</t>
        </is>
      </c>
      <c r="M100" s="2" t="inlineStr"/>
      <c r="N100" s="2" t="inlineStr"/>
      <c r="O100" s="2" t="inlineStr"/>
      <c r="P100" s="2" t="inlineStr"/>
      <c r="Q100" s="2" t="inlineStr"/>
      <c r="R100" s="2" t="inlineStr"/>
      <c r="S100" s="2" t="inlineStr"/>
      <c r="T100" s="2" t="inlineStr"/>
      <c r="U100" s="2" t="inlineStr">
        <is>
          <t>2006 - The W. A. Gustafson Award (teaching award)</t>
        </is>
      </c>
      <c r="V100" s="2" t="inlineStr"/>
      <c r="W100" s="2" t="inlineStr"/>
      <c r="X100" s="2" t="inlineStr"/>
      <c r="Y100" s="2" t="inlineStr">
        <is>
          <t>Control systems</t>
        </is>
      </c>
      <c r="Z100" s="2" t="inlineStr">
        <is>
          <t>This research develops and applies operator theory to problems in deterministic and stochastic control systems. These techniques are used to design models for both linear and nonlinear control systems. We also obtain fast recursive algorithms for computing reduced order models. This also yields a theory of Hinfinity controller reduction and pole placement with applications to large space structure control. Finally, these techniques are used to solve problems in signal processing and inverse scattering theory.</t>
        </is>
      </c>
      <c r="AA100" s="2" t="inlineStr">
        <is>
          <t>This research develops and applies operator theory to problems in deterministic and stochastic control systems. These techniques are used to design models for both linear and nonlinear control systems. We also obtain fast recursive algorithms for computing reduced order models. This also yields a theory of Hinfinity controller reduction and pole placement with applications to large space struct...</t>
        </is>
      </c>
      <c r="AB100" s="2" t="inlineStr">
        <is>
          <t>B.S.E., The University of Michigan, Ann Arbor, Computer Engineering, 1973 M.S.E., The University of Michigan, Ann Arbor, Computer Information and Control Engineering, 1974 Ph.D., The University of Michigan, Ann Arbor, Computer Information and Control Engineering, 1977</t>
        </is>
      </c>
      <c r="AC100" s="2" t="inlineStr">
        <is>
          <t>Indiana Space Grant Consortium</t>
        </is>
      </c>
      <c r="AD100" s="3">
        <f>HYPERLINK("https://insgc.spacegrant.org/", "https://insgc.spacegrant.org/")</f>
        <v/>
      </c>
      <c r="AE100" s="2" t="inlineStr">
        <is>
          <t>Academic INSGC Internships</t>
        </is>
      </c>
      <c r="AF100" s="2" t="inlineStr"/>
      <c r="AG100" s="2" t="inlineStr"/>
      <c r="AH100" s="2" t="inlineStr">
        <is>
          <t>NASA</t>
        </is>
      </c>
      <c r="AI100" s="2" t="inlineStr"/>
      <c r="AJ100" s="2" t="inlineStr"/>
      <c r="AK100" s="2" t="inlineStr">
        <is>
          <t>ARMS 3333</t>
        </is>
      </c>
      <c r="AL100" s="2" t="b">
        <v>1</v>
      </c>
      <c r="AM100" s="3">
        <f>HYPERLINK("https://engineering.purdue.edu/AAE/people/Faculty", "https://engineering.purdue.edu/AAE/people/Faculty")</f>
        <v/>
      </c>
    </row>
    <row r="101">
      <c r="A101" s="2" t="inlineStr">
        <is>
          <t>Brandon Chynoweth</t>
        </is>
      </c>
      <c r="B101" s="2" t="inlineStr">
        <is>
          <t>Purdue University</t>
        </is>
      </c>
      <c r="C101" s="3">
        <f>HYPERLINK("https://engineering.purdue.edu/AAE/people/ptProfile?resource_id=132802", "https://engineering.purdue.edu/AAE/people/ptProfile?resource_id=132802")</f>
        <v/>
      </c>
      <c r="D101" s="3">
        <f>HYPERLINK("https://scholar.google.com/citations?view_op=search_authors&amp;mauthors=Brandon%20Chynoweth%20Purdue%20University", "Google Scholar Search")</f>
        <v/>
      </c>
      <c r="E101" s="2" t="inlineStr">
        <is>
          <t>Research Associate Professor</t>
        </is>
      </c>
      <c r="F101" s="2" t="inlineStr">
        <is>
          <t>Aeronautics and Astronautics</t>
        </is>
      </c>
      <c r="G101" s="2" t="inlineStr"/>
      <c r="H101" s="3">
        <f>HYPERLINK("mailto:bchynowe@purdue.edu", "bchynowe@purdue.edu")</f>
        <v/>
      </c>
      <c r="I101" s="2" t="n">
        <v>4</v>
      </c>
      <c r="J101" s="2" t="inlineStr">
        <is>
          <t>🔴 Tier 4: Robotics / Controls / Autonomy</t>
        </is>
      </c>
      <c r="K101" s="2" t="n">
        <v>1</v>
      </c>
      <c r="L101" s="2" t="inlineStr">
        <is>
          <t>aerospace</t>
        </is>
      </c>
      <c r="M101" s="2" t="inlineStr"/>
      <c r="N101" s="2" t="inlineStr"/>
      <c r="O101" s="2" t="inlineStr"/>
      <c r="P101" s="2" t="inlineStr"/>
      <c r="Q101" s="2" t="inlineStr"/>
      <c r="R101" s="2" t="inlineStr"/>
      <c r="S101" s="2" t="inlineStr"/>
      <c r="T101" s="2" t="inlineStr"/>
      <c r="U101" s="2" t="inlineStr"/>
      <c r="V101" s="2" t="inlineStr"/>
      <c r="W101" s="2" t="inlineStr"/>
      <c r="X101" s="2" t="inlineStr"/>
      <c r="Y101" s="2" t="inlineStr"/>
      <c r="Z101" s="2" t="inlineStr"/>
      <c r="AA101" s="2" t="inlineStr"/>
      <c r="AB101" s="2" t="inlineStr">
        <is>
          <t>Ph.D. Purdue University, Aeronautics and Astronautics, 2018 M.S. Purdue University, Aeronautics and Astronautics, 2015</t>
        </is>
      </c>
      <c r="AC101" s="2" t="inlineStr">
        <is>
          <t>Indiana Space Grant Consortium</t>
        </is>
      </c>
      <c r="AD101" s="3">
        <f>HYPERLINK("https://insgc.spacegrant.org/", "https://insgc.spacegrant.org/")</f>
        <v/>
      </c>
      <c r="AE101" s="2" t="inlineStr">
        <is>
          <t>Academic INSGC Internships</t>
        </is>
      </c>
      <c r="AF101" s="2" t="inlineStr"/>
      <c r="AG101" s="2" t="inlineStr"/>
      <c r="AH101" s="2" t="inlineStr">
        <is>
          <t>NASA</t>
        </is>
      </c>
      <c r="AI101" s="2" t="inlineStr"/>
      <c r="AJ101" s="2" t="inlineStr"/>
      <c r="AK101" s="2" t="inlineStr"/>
      <c r="AL101" s="2" t="b">
        <v>1</v>
      </c>
      <c r="AM101" s="3">
        <f>HYPERLINK("https://engineering.purdue.edu/AAE/people/Faculty", "https://engineering.purdue.edu/AAE/people/Faculty")</f>
        <v/>
      </c>
    </row>
    <row r="102">
      <c r="A102" s="2" t="inlineStr">
        <is>
          <t>Daniel Williams</t>
        </is>
      </c>
      <c r="B102" s="2" t="inlineStr">
        <is>
          <t>Purdue University</t>
        </is>
      </c>
      <c r="C102" s="3">
        <f>HYPERLINK("https://engineering.purdue.edu/ME/People/ptProfile?resource_id=293356", "https://engineering.purdue.edu/ME/People/ptProfile?resource_id=293356")</f>
        <v/>
      </c>
      <c r="D102" s="3">
        <f>HYPERLINK("https://scholar.google.com/citations?view_op=search_authors&amp;mauthors=Daniel%20Williams%20Purdue%20University", "Google Scholar Search")</f>
        <v/>
      </c>
      <c r="E102" s="2" t="inlineStr">
        <is>
          <t>Professor Of Engineering Practice</t>
        </is>
      </c>
      <c r="F102" s="2" t="inlineStr">
        <is>
          <t>Mechanical Engineering</t>
        </is>
      </c>
      <c r="G102" s="2" t="inlineStr"/>
      <c r="H102" s="3">
        <f>HYPERLINK("mailto:dewillia@purdue.edu", "dewillia@purdue.edu")</f>
        <v/>
      </c>
      <c r="I102" s="2" t="n">
        <v>4</v>
      </c>
      <c r="J102" s="2" t="inlineStr">
        <is>
          <t>🔴 Tier 4: Robotics / Controls / Autonomy</t>
        </is>
      </c>
      <c r="K102" s="2" t="n">
        <v>1</v>
      </c>
      <c r="L102" s="2" t="inlineStr">
        <is>
          <t>autonomous</t>
        </is>
      </c>
      <c r="M102" s="2" t="inlineStr"/>
      <c r="N102" s="2" t="inlineStr"/>
      <c r="O102" s="2" t="inlineStr"/>
      <c r="P102" s="2" t="inlineStr"/>
      <c r="Q102" s="2" t="inlineStr"/>
      <c r="R102" s="2" t="inlineStr"/>
      <c r="S102" s="2" t="inlineStr"/>
      <c r="T102" s="2" t="inlineStr"/>
      <c r="U102" s="2" t="inlineStr">
        <is>
          <t>Outstanding Mechanical Engineers Distinguished Engineering Alumni Honorary Doctorates Staff Awards Student Awards Distinguished...</t>
        </is>
      </c>
      <c r="V102" s="2" t="inlineStr"/>
      <c r="W102" s="2" t="inlineStr"/>
      <c r="X102" s="2" t="inlineStr"/>
      <c r="Y102" s="2" t="inlineStr">
        <is>
          <t>Vehicle Chassis Control Systems Vehicle Dynamics Autonomous Vehicles Human Driver Dynamics</t>
        </is>
      </c>
      <c r="Z102" s="2" t="inlineStr">
        <is>
          <t>Dynamics &amp; Vibration Systems, Measurements &amp; Controls Motorsports</t>
        </is>
      </c>
      <c r="AA102" s="2" t="inlineStr">
        <is>
          <t>Dynamics &amp; Vibration Systems, Measurements &amp; Controls Motorsports</t>
        </is>
      </c>
      <c r="AB102" s="2" t="inlineStr">
        <is>
          <t>Ph.D. Mechanical Engineering, Florida Institute of Technology, 1995 M.S. General Engineering, University of Illinois, 1987 B.S. Agricultural Engineering, University of Illinois, 1985 MBA Florida Institute of Technology, 1990 M.A. History, Purdue University, 2008</t>
        </is>
      </c>
      <c r="AC102" s="2" t="inlineStr">
        <is>
          <t>Indiana Space Grant Consortium</t>
        </is>
      </c>
      <c r="AD102" s="3">
        <f>HYPERLINK("https://insgc.spacegrant.org/", "https://insgc.spacegrant.org/")</f>
        <v/>
      </c>
      <c r="AE102" s="2" t="inlineStr">
        <is>
          <t>Academic INSGC Internships</t>
        </is>
      </c>
      <c r="AF102" s="2" t="inlineStr"/>
      <c r="AG102" s="2" t="inlineStr"/>
      <c r="AH102" s="2" t="inlineStr">
        <is>
          <t>NASA</t>
        </is>
      </c>
      <c r="AI102" s="2" t="inlineStr"/>
      <c r="AJ102" s="2" t="inlineStr"/>
      <c r="AK102" s="2" t="inlineStr"/>
      <c r="AL102" s="2" t="b">
        <v>1</v>
      </c>
      <c r="AM102" s="3">
        <f>HYPERLINK("https://engineering.purdue.edu/ME/People/ptFaculty", "https://engineering.purdue.edu/ME/People/ptFaculty")</f>
        <v/>
      </c>
    </row>
    <row r="103">
      <c r="A103" s="2" t="inlineStr">
        <is>
          <t>John Eric Goff</t>
        </is>
      </c>
      <c r="B103" s="2" t="inlineStr">
        <is>
          <t>Purdue University</t>
        </is>
      </c>
      <c r="C103" s="3">
        <f>HYPERLINK("https://engineering.purdue.edu/ME/People/ptProfile?resource_id=340479", "https://engineering.purdue.edu/ME/People/ptProfile?resource_id=340479")</f>
        <v/>
      </c>
      <c r="D103" s="3">
        <f>HYPERLINK("https://scholar.google.com/citations?view_op=search_authors&amp;mauthors=John%20Eric%20Goff%20Purdue%20University", "Google Scholar Search")</f>
        <v/>
      </c>
      <c r="E103" s="2" t="inlineStr">
        <is>
          <t>Professor of Engineering Practice In Biomedical Engineering and Mechanical Engineering</t>
        </is>
      </c>
      <c r="F103" s="2" t="inlineStr">
        <is>
          <t>Mechanical Engineering</t>
        </is>
      </c>
      <c r="G103" s="2" t="inlineStr"/>
      <c r="H103" s="3">
        <f>HYPERLINK("mailto:goffje@purdue.edu", "goffje@purdue.edu")</f>
        <v/>
      </c>
      <c r="I103" s="2" t="n">
        <v>4</v>
      </c>
      <c r="J103" s="2" t="inlineStr">
        <is>
          <t>🔴 Tier 4: Robotics / Controls / Autonomy</t>
        </is>
      </c>
      <c r="K103" s="2" t="n">
        <v>1</v>
      </c>
      <c r="L103" s="2" t="inlineStr">
        <is>
          <t>fluid mechanics</t>
        </is>
      </c>
      <c r="M103" s="2" t="inlineStr"/>
      <c r="N103" s="2" t="inlineStr"/>
      <c r="O103" s="2" t="inlineStr"/>
      <c r="P103" s="2" t="inlineStr"/>
      <c r="Q103" s="2" t="inlineStr"/>
      <c r="R103" s="2" t="inlineStr"/>
      <c r="S103" s="2" t="inlineStr"/>
      <c r="T103" s="2" t="inlineStr"/>
      <c r="U103" s="2" t="inlineStr">
        <is>
          <t>Outstanding Mechanical Engineers Distinguished Engineering Alumni Honorary Doctorates Staff Awards Student Awards Distinguished...</t>
        </is>
      </c>
      <c r="V103" s="2" t="inlineStr"/>
      <c r="W103" s="2" t="inlineStr"/>
      <c r="X103" s="2" t="inlineStr"/>
      <c r="Y103" s="2" t="inlineStr">
        <is>
          <t>Sports engineering (equipment, soccer balls, shoes, etc.) Biomedical engineering (athletic performance, safety) Physics</t>
        </is>
      </c>
      <c r="Z103" s="2" t="inlineStr">
        <is>
          <t>Fluid Mechanics</t>
        </is>
      </c>
      <c r="AA103" s="2" t="inlineStr">
        <is>
          <t>Fluid Mechanics</t>
        </is>
      </c>
      <c r="AB103" s="2" t="inlineStr"/>
      <c r="AC103" s="2" t="inlineStr">
        <is>
          <t>Indiana Space Grant Consortium</t>
        </is>
      </c>
      <c r="AD103" s="3">
        <f>HYPERLINK("https://insgc.spacegrant.org/", "https://insgc.spacegrant.org/")</f>
        <v/>
      </c>
      <c r="AE103" s="2" t="inlineStr">
        <is>
          <t>Academic INSGC Internships</t>
        </is>
      </c>
      <c r="AF103" s="2" t="inlineStr"/>
      <c r="AG103" s="2" t="inlineStr"/>
      <c r="AH103" s="2" t="inlineStr">
        <is>
          <t>NASA</t>
        </is>
      </c>
      <c r="AI103" s="2" t="inlineStr"/>
      <c r="AJ103" s="2" t="inlineStr"/>
      <c r="AK103" s="2" t="inlineStr"/>
      <c r="AL103" s="2" t="b">
        <v>1</v>
      </c>
      <c r="AM103" s="3">
        <f>HYPERLINK("https://engineering.purdue.edu/ME/People/ptFaculty", "https://engineering.purdue.edu/ME/People/ptFaculty")</f>
        <v/>
      </c>
    </row>
    <row r="104">
      <c r="A104" s="2" t="inlineStr">
        <is>
          <t>Kevin Parsons</t>
        </is>
      </c>
      <c r="B104" s="2" t="inlineStr">
        <is>
          <t>Purdue University</t>
        </is>
      </c>
      <c r="C104" s="3">
        <f>HYPERLINK("https://engineering.purdue.edu/AAE/people/ptProfile?resource_id=316433", "https://engineering.purdue.edu/AAE/people/ptProfile?resource_id=316433")</f>
        <v/>
      </c>
      <c r="D104" s="3">
        <f>HYPERLINK("https://scholar.google.com/citations?view_op=search_authors&amp;mauthors=Kevin%20Parsons%20Purdue%20University", "Google Scholar Search")</f>
        <v/>
      </c>
      <c r="E104" s="2" t="inlineStr">
        <is>
          <t>Associate Professor Of Engineering Practice</t>
        </is>
      </c>
      <c r="F104" s="2" t="inlineStr">
        <is>
          <t>Aeronautics and Astronautics</t>
        </is>
      </c>
      <c r="G104" s="2" t="inlineStr"/>
      <c r="H104" s="3">
        <f>HYPERLINK("mailto:kkparson@purdue.edu", "kkparson@purdue.edu")</f>
        <v/>
      </c>
      <c r="I104" s="2" t="n">
        <v>4</v>
      </c>
      <c r="J104" s="2" t="inlineStr">
        <is>
          <t>🔴 Tier 4: Robotics / Controls / Autonomy</t>
        </is>
      </c>
      <c r="K104" s="2" t="n">
        <v>1</v>
      </c>
      <c r="L104" s="2" t="inlineStr">
        <is>
          <t>aerospace</t>
        </is>
      </c>
      <c r="M104" s="2" t="inlineStr"/>
      <c r="N104" s="2" t="inlineStr"/>
      <c r="O104" s="2" t="inlineStr"/>
      <c r="P104" s="2" t="inlineStr"/>
      <c r="Q104" s="2" t="inlineStr"/>
      <c r="R104" s="2" t="inlineStr"/>
      <c r="S104" s="2" t="inlineStr"/>
      <c r="T104" s="2" t="inlineStr"/>
      <c r="U104" s="2" t="inlineStr"/>
      <c r="V104" s="2" t="inlineStr"/>
      <c r="W104" s="2" t="inlineStr"/>
      <c r="X104" s="2" t="inlineStr"/>
      <c r="Y104" s="2" t="inlineStr">
        <is>
          <t>system-of-systems architecting, systems engineering, program management, innovation, organizational effectiveness &amp; transformation Edit var myPronunciation=document.getElementById("pronunciation");
    function play() {
    myPronunciation.play();
    }
    function pause() {
    myPronunciation.pause();
    }</t>
        </is>
      </c>
      <c r="Z104" s="2" t="inlineStr"/>
      <c r="AA104" s="2" t="inlineStr">
        <is>
          <t>system-of-systems architecting, systems engineering, program management, innovation, organizational effectiveness &amp; transformation Edit var myPronunciation=document.getElementById("pronunciation");
    function play() {
    myPronunciation.play();
    }
    function pause() {
    myPronunciation.pause();
    }</t>
        </is>
      </c>
      <c r="AB104" s="2" t="inlineStr">
        <is>
          <t>BS AAE, Purdue University (1996) MS AAE, Massachusetts Institute of Technology (1997) Professional Certificate, Design Thinking for Strategic Innovation, Stanford University (2015)</t>
        </is>
      </c>
      <c r="AC104" s="2" t="inlineStr">
        <is>
          <t>Indiana Space Grant Consortium</t>
        </is>
      </c>
      <c r="AD104" s="3">
        <f>HYPERLINK("https://insgc.spacegrant.org/", "https://insgc.spacegrant.org/")</f>
        <v/>
      </c>
      <c r="AE104" s="2" t="inlineStr">
        <is>
          <t>Academic INSGC Internships</t>
        </is>
      </c>
      <c r="AF104" s="2" t="inlineStr"/>
      <c r="AG104" s="2" t="inlineStr"/>
      <c r="AH104" s="2" t="inlineStr">
        <is>
          <t>NASA</t>
        </is>
      </c>
      <c r="AI104" s="2" t="inlineStr"/>
      <c r="AJ104" s="2" t="inlineStr"/>
      <c r="AK104" s="2" t="inlineStr">
        <is>
          <t>ARMS 3205</t>
        </is>
      </c>
      <c r="AL104" s="2" t="b">
        <v>1</v>
      </c>
      <c r="AM104" s="3">
        <f>HYPERLINK("https://engineering.purdue.edu/AAE/people/Faculty", "https://engineering.purdue.edu/AAE/people/Faculty")</f>
        <v/>
      </c>
    </row>
    <row r="105">
      <c r="A105" s="2" t="inlineStr">
        <is>
          <t>Lizhi Shang</t>
        </is>
      </c>
      <c r="B105" s="2" t="inlineStr">
        <is>
          <t>Purdue University</t>
        </is>
      </c>
      <c r="C105" s="3">
        <f>HYPERLINK("https://engineering.purdue.edu/ME/People/ptProfile?resource_id=84937", "https://engineering.purdue.edu/ME/People/ptProfile?resource_id=84937")</f>
        <v/>
      </c>
      <c r="D105" s="3">
        <f>HYPERLINK("https://scholar.google.com/citations?view_op=search_authors&amp;mauthors=Lizhi%20Shang%20Purdue%20University", "Google Scholar Search")</f>
        <v/>
      </c>
      <c r="E105" s="2" t="inlineStr">
        <is>
          <t>Associate Professor of Agricultural and Biological Engineering, and Mechanical Engineering</t>
        </is>
      </c>
      <c r="F105" s="2" t="inlineStr">
        <is>
          <t>Mechanical Engineering</t>
        </is>
      </c>
      <c r="G105" s="2" t="inlineStr"/>
      <c r="H105" s="3">
        <f>HYPERLINK("mailto:shangl@purdue.edu", "shangl@purdue.edu")</f>
        <v/>
      </c>
      <c r="I105" s="2" t="n">
        <v>4</v>
      </c>
      <c r="J105" s="2" t="inlineStr">
        <is>
          <t>🔴 Tier 4: Robotics / Controls / Autonomy</t>
        </is>
      </c>
      <c r="K105" s="2" t="n">
        <v>1</v>
      </c>
      <c r="L105" s="2" t="inlineStr">
        <is>
          <t>fluid mechanics</t>
        </is>
      </c>
      <c r="M105" s="2" t="inlineStr"/>
      <c r="N105" s="2" t="inlineStr"/>
      <c r="O105" s="2" t="inlineStr"/>
      <c r="P105" s="2" t="inlineStr"/>
      <c r="Q105" s="2" t="inlineStr"/>
      <c r="R105" s="2" t="inlineStr"/>
      <c r="S105" s="2" t="inlineStr"/>
      <c r="T105" s="2" t="inlineStr"/>
      <c r="U105" s="2" t="inlineStr">
        <is>
          <t>Outstanding Mechanical Engineers Distinguished Engineering Alumni Honorary Doctorates Staff Awards Student Awards Distinguished...</t>
        </is>
      </c>
      <c r="V105" s="2" t="inlineStr">
        <is>
          <t>Contact us today to learn about the advantages of becoming a member at Maha Labs! Email Andrea Vacca: avacca@purdue.edu | If you are interested in a research position at the Maha Fluid Power Research Center, please email your application to Dr. Vacca ( avacca@purdue.edu ) or Dr. Shang ( shangl@purdue.edu ).</t>
        </is>
      </c>
      <c r="W105" s="2" t="inlineStr"/>
      <c r="X105" s="2" t="inlineStr"/>
      <c r="Y105" s="2" t="inlineStr">
        <is>
          <t>Designing and modeling hydrostatic pumps and motors Hydrodynamic pumps and turbines Fluid power systems Advanced computational and experimental tribological analysis</t>
        </is>
      </c>
      <c r="Z105" s="2" t="inlineStr">
        <is>
          <t>Fluid Mechanics</t>
        </is>
      </c>
      <c r="AA105" s="2" t="inlineStr">
        <is>
          <t>Fluid Mechanics</t>
        </is>
      </c>
      <c r="AB105" s="2" t="inlineStr"/>
      <c r="AC105" s="2" t="inlineStr">
        <is>
          <t>Maha Fluid Power Research Center</t>
        </is>
      </c>
      <c r="AD105" s="3">
        <f>HYPERLINK("https://engineering.purdue.edu/Maha", "https://engineering.purdue.edu/Maha")</f>
        <v/>
      </c>
      <c r="AE105" s="2" t="inlineStr">
        <is>
          <t>Receive biannual updates on “Maha recommended” Purdue students looking for job opportunities Participate in a recruiting session during the annual Maha Fluid Power Conference Organize a private recruiting event at the Maha Fluid Power Research Center* | Receive biannual updates on “Maha recommended” Purdue students looking for job opportunities</t>
        </is>
      </c>
      <c r="AF105" s="2" t="inlineStr"/>
      <c r="AG105" s="2" t="inlineStr">
        <is>
          <t>Cluster</t>
        </is>
      </c>
      <c r="AH105" s="2" t="inlineStr"/>
      <c r="AI105" s="2" t="inlineStr"/>
      <c r="AJ105" s="2" t="inlineStr"/>
      <c r="AK105" s="2" t="inlineStr"/>
      <c r="AL105" s="2" t="b">
        <v>1</v>
      </c>
      <c r="AM105" s="3">
        <f>HYPERLINK("https://engineering.purdue.edu/ME/People/ptFaculty", "https://engineering.purdue.edu/ME/People/ptFaculty")</f>
        <v/>
      </c>
    </row>
    <row r="106">
      <c r="A106" s="2" t="inlineStr">
        <is>
          <t>Mina Karimi</t>
        </is>
      </c>
      <c r="B106" s="2" t="inlineStr">
        <is>
          <t>Purdue University</t>
        </is>
      </c>
      <c r="C106" s="3">
        <f>HYPERLINK("https://engineering.purdue.edu/ME/People/ptProfile?resource_id=324781", "https://engineering.purdue.edu/ME/People/ptProfile?resource_id=324781")</f>
        <v/>
      </c>
      <c r="D106" s="3">
        <f>HYPERLINK("https://scholar.google.com/citations?view_op=search_authors&amp;mauthors=Mina%20Karimi%20Purdue%20University", "Google Scholar Search")</f>
        <v/>
      </c>
      <c r="E106" s="2" t="inlineStr">
        <is>
          <t>Assistant Professor of Mechanical Engineering</t>
        </is>
      </c>
      <c r="F106" s="2" t="inlineStr">
        <is>
          <t>Mechanical Engineering</t>
        </is>
      </c>
      <c r="G106" s="2" t="inlineStr"/>
      <c r="H106" s="3">
        <f>HYPERLINK("mailto:karimi2@purdue.edu", "karimi2@purdue.edu")</f>
        <v/>
      </c>
      <c r="I106" s="2" t="n">
        <v>4</v>
      </c>
      <c r="J106" s="2" t="inlineStr">
        <is>
          <t>🔴 Tier 4: Robotics / Controls / Autonomy</t>
        </is>
      </c>
      <c r="K106" s="2" t="n">
        <v>1</v>
      </c>
      <c r="L106" s="2" t="inlineStr">
        <is>
          <t>fluid mechanics</t>
        </is>
      </c>
      <c r="M106" s="2" t="inlineStr"/>
      <c r="N106" s="2" t="inlineStr"/>
      <c r="O106" s="2" t="inlineStr"/>
      <c r="P106" s="2" t="inlineStr"/>
      <c r="Q106" s="2" t="inlineStr"/>
      <c r="R106" s="2" t="inlineStr"/>
      <c r="S106" s="2" t="inlineStr"/>
      <c r="T106" s="2" t="inlineStr"/>
      <c r="U106" s="2" t="inlineStr">
        <is>
          <t>Outstanding Mechanical Engineers Distinguished Engineering Alumni Honorary Doctorates Staff Awards Student Awards Distinguished...</t>
        </is>
      </c>
      <c r="V106" s="2" t="inlineStr">
        <is>
          <t>Phone: +1 (765) 494-3975 Email: future-engineers@purdue.edu | Phone: +1 (765) 494-4873 Email: EngrGrad@purdue.edu</t>
        </is>
      </c>
      <c r="W106" s="2" t="inlineStr"/>
      <c r="X106" s="2" t="inlineStr"/>
      <c r="Y106" s="2" t="inlineStr">
        <is>
          <t>Mechanics and physics of porous media Multiscale modeling Inverse problems Scientific machine learning Uncertainty quantification</t>
        </is>
      </c>
      <c r="Z106" s="2" t="inlineStr">
        <is>
          <t>Fluid Mechanics</t>
        </is>
      </c>
      <c r="AA106" s="2" t="inlineStr">
        <is>
          <t>Fluid Mechanics</t>
        </is>
      </c>
      <c r="AB106" s="2" t="inlineStr">
        <is>
          <t>Postdoctoral researcher, California Institute of Technology, '25 Ph.D., Carnegie Mellon University, '22 M.S., University of Tehran, '18 B.S., University of Tehran, '15</t>
        </is>
      </c>
      <c r="AC106" s="2" t="inlineStr">
        <is>
          <t>Karimi Lab Website</t>
        </is>
      </c>
      <c r="AD106" s="3">
        <f>HYPERLINK("https://engineering.purdue.edu/karimi", "https://engineering.purdue.edu/karimi")</f>
        <v/>
      </c>
      <c r="AE106" s="2" t="inlineStr">
        <is>
          <t>For You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 |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t>
        </is>
      </c>
      <c r="AF106" s="2" t="inlineStr"/>
      <c r="AG106" s="2" t="inlineStr"/>
      <c r="AH106" s="2" t="inlineStr">
        <is>
          <t>DOE</t>
        </is>
      </c>
      <c r="AI106" s="2" t="inlineStr"/>
      <c r="AJ106" s="2" t="inlineStr"/>
      <c r="AK106" s="2" t="inlineStr">
        <is>
          <t>FLEX 1041C</t>
        </is>
      </c>
      <c r="AL106" s="2" t="b">
        <v>1</v>
      </c>
      <c r="AM106" s="3">
        <f>HYPERLINK("https://engineering.purdue.edu/ME/People/ptFaculty", "https://engineering.purdue.edu/ME/People/ptFaculty")</f>
        <v/>
      </c>
    </row>
    <row r="107">
      <c r="A107" s="2" t="inlineStr">
        <is>
          <t>Takashi Tanaka</t>
        </is>
      </c>
      <c r="B107" s="2" t="inlineStr">
        <is>
          <t>Purdue University</t>
        </is>
      </c>
      <c r="C107" s="3">
        <f>HYPERLINK("https://engineering.purdue.edu/AAE/people/ptProfile?resource_id=308322", "https://engineering.purdue.edu/AAE/people/ptProfile?resource_id=308322")</f>
        <v/>
      </c>
      <c r="D107" s="3">
        <f>HYPERLINK("https://scholar.google.com/citations?view_op=search_authors&amp;mauthors=Takashi%20Tanaka%20Purdue%20University", "Google Scholar Search")</f>
        <v/>
      </c>
      <c r="E107" s="2" t="inlineStr">
        <is>
          <t>Associate Professor of Aeronautics and Astronautics, and of Electrical and Computer Engineering</t>
        </is>
      </c>
      <c r="F107" s="2" t="inlineStr">
        <is>
          <t>Aeronautics and Astronautics</t>
        </is>
      </c>
      <c r="G107" s="2" t="inlineStr"/>
      <c r="H107" s="3">
        <f>HYPERLINK("mailto:webmaster-eng@purdue.edu", "webmaster-eng@purdue.edu")</f>
        <v/>
      </c>
      <c r="I107" s="2" t="n">
        <v>4</v>
      </c>
      <c r="J107" s="2" t="inlineStr">
        <is>
          <t>🔴 Tier 4: Robotics / Controls / Autonomy</t>
        </is>
      </c>
      <c r="K107" s="2" t="n">
        <v>1</v>
      </c>
      <c r="L107" s="2" t="inlineStr">
        <is>
          <t>optimal control</t>
        </is>
      </c>
      <c r="M107" s="2" t="inlineStr"/>
      <c r="N107" s="2" t="inlineStr"/>
      <c r="O107" s="2" t="inlineStr"/>
      <c r="P107" s="2" t="inlineStr"/>
      <c r="Q107" s="2" t="inlineStr"/>
      <c r="R107" s="2" t="inlineStr"/>
      <c r="S107" s="2" t="inlineStr"/>
      <c r="T107" s="2" t="inlineStr"/>
      <c r="U107" s="2" t="inlineStr"/>
      <c r="V107" s="2" t="inlineStr"/>
      <c r="W107" s="2" t="inlineStr"/>
      <c r="X107" s="2" t="inlineStr"/>
      <c r="Y107" s="2" t="inlineStr">
        <is>
          <t>Information theory in control, security and privacy in networked control systems, robust and stochastic optimal control, dynamic market design, neuromorphic sensing. Edit var myPronunciation=document.getElementById("pronunciation");
    function play() {
    myPronunciation.play();
    }
    function pause() {
    myPronunciation.pause();
    }</t>
        </is>
      </c>
      <c r="Z107" s="2" t="inlineStr"/>
      <c r="AA107" s="2" t="inlineStr">
        <is>
          <t>Information theory in control, security and privacy in networked control systems, robust and stochastic optimal control, dynamic market design, neuromorphic sensing. Edit var myPronunciation=document.getElementById("pronunciation");
    function play() {
    myPronunciation.play();
    }
    function pause() {
    myPronunciation.pause();
    }</t>
        </is>
      </c>
      <c r="AB107" s="2" t="inlineStr">
        <is>
          <t>BS, University of Tokyo, 2006 MS, University of Illinois at Urbana-Champaign, 2009 PhD, University of Illinois at Urbana-Champaign, 2012</t>
        </is>
      </c>
      <c r="AC107" s="2" t="inlineStr">
        <is>
          <t>Indiana Space Grant Consortium</t>
        </is>
      </c>
      <c r="AD107" s="3">
        <f>HYPERLINK("https://insgc.spacegrant.org/", "https://insgc.spacegrant.org/")</f>
        <v/>
      </c>
      <c r="AE107" s="2" t="inlineStr">
        <is>
          <t>Academic INSGC Internships</t>
        </is>
      </c>
      <c r="AF107" s="2" t="inlineStr"/>
      <c r="AG107" s="2" t="inlineStr"/>
      <c r="AH107" s="2" t="inlineStr">
        <is>
          <t>NASA</t>
        </is>
      </c>
      <c r="AI107" s="2" t="inlineStr"/>
      <c r="AJ107" s="2" t="inlineStr"/>
      <c r="AK107" s="2" t="inlineStr">
        <is>
          <t>ARMS 3327</t>
        </is>
      </c>
      <c r="AL107" s="2" t="b">
        <v>1</v>
      </c>
      <c r="AM107" s="3">
        <f>HYPERLINK("https://engineering.purdue.edu/AAE/people/Faculty", "https://engineering.purdue.edu/AAE/people/Faculty")</f>
        <v/>
      </c>
    </row>
    <row r="108">
      <c r="A108" s="2" t="inlineStr">
        <is>
          <t>William Crossley</t>
        </is>
      </c>
      <c r="B108" s="2" t="inlineStr">
        <is>
          <t>Purdue University</t>
        </is>
      </c>
      <c r="C108" s="3">
        <f>HYPERLINK("https://engineering.purdue.edu/AAE/people/ptProfile?resource_id=1305", "https://engineering.purdue.edu/AAE/people/ptProfile?resource_id=1305")</f>
        <v/>
      </c>
      <c r="D108" s="3">
        <f>HYPERLINK("https://scholar.google.com/citations?view_op=search_authors&amp;mauthors=William%20Crossley%20Purdue%20University", "Google Scholar Search")</f>
        <v/>
      </c>
      <c r="E108" s="2" t="inlineStr">
        <is>
          <t>Professor; Ph.D., Arizona State, 1995. Optimization and design methods for aerospace systems, systems of systems, design under uncertainty, environmental impact of aviation.</t>
        </is>
      </c>
      <c r="F108" s="2" t="inlineStr">
        <is>
          <t>Aeronautics and Astronautics</t>
        </is>
      </c>
      <c r="G108" s="2" t="inlineStr"/>
      <c r="H108" s="3">
        <f>HYPERLINK("mailto:asherwo@purdue.edu", "asherwo@purdue.edu")</f>
        <v/>
      </c>
      <c r="I108" s="2" t="n">
        <v>4</v>
      </c>
      <c r="J108" s="2" t="inlineStr">
        <is>
          <t>🔴 Tier 4: Robotics / Controls / Autonomy</t>
        </is>
      </c>
      <c r="K108" s="2" t="n">
        <v>1</v>
      </c>
      <c r="L108" s="2" t="inlineStr">
        <is>
          <t>aerospace</t>
        </is>
      </c>
      <c r="M108" s="2" t="inlineStr"/>
      <c r="N108" s="2" t="inlineStr"/>
      <c r="O108" s="2" t="inlineStr"/>
      <c r="P108" s="2" t="inlineStr"/>
      <c r="Q108" s="2" t="inlineStr"/>
      <c r="R108" s="2" t="inlineStr"/>
      <c r="S108" s="2" t="inlineStr"/>
      <c r="T108" s="2" t="inlineStr"/>
      <c r="U108" s="2" t="inlineStr">
        <is>
          <t>Awards Purdue Book of Great Teachers, 2013 AAE Elmer Bruhn Teaching Award, 2012 AAE Elmer Bruhn Teaching Award, 2009 Purdue Uni...</t>
        </is>
      </c>
      <c r="V108" s="2" t="inlineStr"/>
      <c r="W108" s="2" t="inlineStr"/>
      <c r="X108" s="2" t="inlineStr"/>
      <c r="Y108" s="2" t="inlineStr">
        <is>
          <t>Optimization and design methods for aerospace systems Systems of systems Design under uncertainty Environmental impact of aviation</t>
        </is>
      </c>
      <c r="Z108" s="2" t="inlineStr">
        <is>
          <t>Professor Crossley's current research interests are in the area of design methodologies and multidisciplinary design optimization, with emphasis for aerospace engineering systems design problems.</t>
        </is>
      </c>
      <c r="AA108" s="2" t="inlineStr">
        <is>
          <t>Professor Crossley's current research interests are in the area of design methodologies and multidisciplinary design optimization, with emphasis for aerospace engineering systems design problems.</t>
        </is>
      </c>
      <c r="AB108" s="2" t="inlineStr">
        <is>
          <t>B.S.E. University of Michigan, Aerospace Engineering, 1990 M. S. Arizona State University, Aerospace Engineering, 1992 Ph.D. Arizona State University, Aerospace Engineering, 1995</t>
        </is>
      </c>
      <c r="AC108" s="2" t="inlineStr">
        <is>
          <t>Indiana Space Grant Consortium</t>
        </is>
      </c>
      <c r="AD108" s="3">
        <f>HYPERLINK("https://insgc.spacegrant.org/", "https://insgc.spacegrant.org/")</f>
        <v/>
      </c>
      <c r="AE108" s="2" t="inlineStr">
        <is>
          <t>Academic INSGC Internships</t>
        </is>
      </c>
      <c r="AF108" s="2" t="inlineStr"/>
      <c r="AG108" s="2" t="inlineStr"/>
      <c r="AH108" s="2" t="inlineStr">
        <is>
          <t>NASA</t>
        </is>
      </c>
      <c r="AI108" s="2" t="inlineStr"/>
      <c r="AJ108" s="2" t="inlineStr"/>
      <c r="AK108" s="2" t="inlineStr">
        <is>
          <t>ARMS 2023</t>
        </is>
      </c>
      <c r="AL108" s="2" t="b">
        <v>1</v>
      </c>
      <c r="AM108" s="3">
        <f>HYPERLINK("https://engineering.purdue.edu/AAE/people/Faculty", "https://engineering.purdue.edu/AAE/people/Faculty")</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AD2" r:id="rId4"/>
    <hyperlink xmlns:r="http://schemas.openxmlformats.org/officeDocument/2006/relationships" ref="AM2" r:id="rId5"/>
    <hyperlink xmlns:r="http://schemas.openxmlformats.org/officeDocument/2006/relationships" ref="C3" r:id="rId6"/>
    <hyperlink xmlns:r="http://schemas.openxmlformats.org/officeDocument/2006/relationships" ref="D3" r:id="rId7"/>
    <hyperlink xmlns:r="http://schemas.openxmlformats.org/officeDocument/2006/relationships" ref="H3" r:id="rId8"/>
    <hyperlink xmlns:r="http://schemas.openxmlformats.org/officeDocument/2006/relationships" ref="AD3" r:id="rId9"/>
    <hyperlink xmlns:r="http://schemas.openxmlformats.org/officeDocument/2006/relationships" ref="AM3" r:id="rId10"/>
    <hyperlink xmlns:r="http://schemas.openxmlformats.org/officeDocument/2006/relationships" ref="C4" r:id="rId11"/>
    <hyperlink xmlns:r="http://schemas.openxmlformats.org/officeDocument/2006/relationships" ref="D4" r:id="rId12"/>
    <hyperlink xmlns:r="http://schemas.openxmlformats.org/officeDocument/2006/relationships" ref="H4" r:id="rId13"/>
    <hyperlink xmlns:r="http://schemas.openxmlformats.org/officeDocument/2006/relationships" ref="AD4" r:id="rId14"/>
    <hyperlink xmlns:r="http://schemas.openxmlformats.org/officeDocument/2006/relationships" ref="AM4" r:id="rId15"/>
    <hyperlink xmlns:r="http://schemas.openxmlformats.org/officeDocument/2006/relationships" ref="C5" r:id="rId16"/>
    <hyperlink xmlns:r="http://schemas.openxmlformats.org/officeDocument/2006/relationships" ref="D5" r:id="rId17"/>
    <hyperlink xmlns:r="http://schemas.openxmlformats.org/officeDocument/2006/relationships" ref="H5" r:id="rId18"/>
    <hyperlink xmlns:r="http://schemas.openxmlformats.org/officeDocument/2006/relationships" ref="AD5" r:id="rId19"/>
    <hyperlink xmlns:r="http://schemas.openxmlformats.org/officeDocument/2006/relationships" ref="AM5" r:id="rId20"/>
    <hyperlink xmlns:r="http://schemas.openxmlformats.org/officeDocument/2006/relationships" ref="C6" r:id="rId21"/>
    <hyperlink xmlns:r="http://schemas.openxmlformats.org/officeDocument/2006/relationships" ref="D6" r:id="rId22"/>
    <hyperlink xmlns:r="http://schemas.openxmlformats.org/officeDocument/2006/relationships" ref="H6" r:id="rId23"/>
    <hyperlink xmlns:r="http://schemas.openxmlformats.org/officeDocument/2006/relationships" ref="AD6" r:id="rId24"/>
    <hyperlink xmlns:r="http://schemas.openxmlformats.org/officeDocument/2006/relationships" ref="AM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D7" r:id="rId29"/>
    <hyperlink xmlns:r="http://schemas.openxmlformats.org/officeDocument/2006/relationships" ref="AM7" r:id="rId30"/>
    <hyperlink xmlns:r="http://schemas.openxmlformats.org/officeDocument/2006/relationships" ref="C8" r:id="rId31"/>
    <hyperlink xmlns:r="http://schemas.openxmlformats.org/officeDocument/2006/relationships" ref="D8" r:id="rId32"/>
    <hyperlink xmlns:r="http://schemas.openxmlformats.org/officeDocument/2006/relationships" ref="H8" r:id="rId33"/>
    <hyperlink xmlns:r="http://schemas.openxmlformats.org/officeDocument/2006/relationships" ref="AD8" r:id="rId34"/>
    <hyperlink xmlns:r="http://schemas.openxmlformats.org/officeDocument/2006/relationships" ref="AM8" r:id="rId35"/>
    <hyperlink xmlns:r="http://schemas.openxmlformats.org/officeDocument/2006/relationships" ref="C9" r:id="rId36"/>
    <hyperlink xmlns:r="http://schemas.openxmlformats.org/officeDocument/2006/relationships" ref="D9" r:id="rId37"/>
    <hyperlink xmlns:r="http://schemas.openxmlformats.org/officeDocument/2006/relationships" ref="H9" r:id="rId38"/>
    <hyperlink xmlns:r="http://schemas.openxmlformats.org/officeDocument/2006/relationships" ref="AD9" r:id="rId39"/>
    <hyperlink xmlns:r="http://schemas.openxmlformats.org/officeDocument/2006/relationships" ref="AM9" r:id="rId40"/>
    <hyperlink xmlns:r="http://schemas.openxmlformats.org/officeDocument/2006/relationships" ref="C10" r:id="rId41"/>
    <hyperlink xmlns:r="http://schemas.openxmlformats.org/officeDocument/2006/relationships" ref="D10" r:id="rId42"/>
    <hyperlink xmlns:r="http://schemas.openxmlformats.org/officeDocument/2006/relationships" ref="H10" r:id="rId43"/>
    <hyperlink xmlns:r="http://schemas.openxmlformats.org/officeDocument/2006/relationships" ref="AD10" r:id="rId44"/>
    <hyperlink xmlns:r="http://schemas.openxmlformats.org/officeDocument/2006/relationships" ref="AM10" r:id="rId45"/>
    <hyperlink xmlns:r="http://schemas.openxmlformats.org/officeDocument/2006/relationships" ref="C11" r:id="rId46"/>
    <hyperlink xmlns:r="http://schemas.openxmlformats.org/officeDocument/2006/relationships" ref="D11" r:id="rId47"/>
    <hyperlink xmlns:r="http://schemas.openxmlformats.org/officeDocument/2006/relationships" ref="H11" r:id="rId48"/>
    <hyperlink xmlns:r="http://schemas.openxmlformats.org/officeDocument/2006/relationships" ref="AD11" r:id="rId49"/>
    <hyperlink xmlns:r="http://schemas.openxmlformats.org/officeDocument/2006/relationships" ref="AM11" r:id="rId50"/>
    <hyperlink xmlns:r="http://schemas.openxmlformats.org/officeDocument/2006/relationships" ref="C12" r:id="rId51"/>
    <hyperlink xmlns:r="http://schemas.openxmlformats.org/officeDocument/2006/relationships" ref="D12" r:id="rId52"/>
    <hyperlink xmlns:r="http://schemas.openxmlformats.org/officeDocument/2006/relationships" ref="H12" r:id="rId53"/>
    <hyperlink xmlns:r="http://schemas.openxmlformats.org/officeDocument/2006/relationships" ref="AD12" r:id="rId54"/>
    <hyperlink xmlns:r="http://schemas.openxmlformats.org/officeDocument/2006/relationships" ref="AM12" r:id="rId55"/>
    <hyperlink xmlns:r="http://schemas.openxmlformats.org/officeDocument/2006/relationships" ref="C13" r:id="rId56"/>
    <hyperlink xmlns:r="http://schemas.openxmlformats.org/officeDocument/2006/relationships" ref="D13" r:id="rId57"/>
    <hyperlink xmlns:r="http://schemas.openxmlformats.org/officeDocument/2006/relationships" ref="H13" r:id="rId58"/>
    <hyperlink xmlns:r="http://schemas.openxmlformats.org/officeDocument/2006/relationships" ref="AD13" r:id="rId59"/>
    <hyperlink xmlns:r="http://schemas.openxmlformats.org/officeDocument/2006/relationships" ref="AM13" r:id="rId60"/>
    <hyperlink xmlns:r="http://schemas.openxmlformats.org/officeDocument/2006/relationships" ref="C14" r:id="rId61"/>
    <hyperlink xmlns:r="http://schemas.openxmlformats.org/officeDocument/2006/relationships" ref="D14" r:id="rId62"/>
    <hyperlink xmlns:r="http://schemas.openxmlformats.org/officeDocument/2006/relationships" ref="H14" r:id="rId63"/>
    <hyperlink xmlns:r="http://schemas.openxmlformats.org/officeDocument/2006/relationships" ref="AD14" r:id="rId64"/>
    <hyperlink xmlns:r="http://schemas.openxmlformats.org/officeDocument/2006/relationships" ref="AM14" r:id="rId65"/>
    <hyperlink xmlns:r="http://schemas.openxmlformats.org/officeDocument/2006/relationships" ref="C15" r:id="rId66"/>
    <hyperlink xmlns:r="http://schemas.openxmlformats.org/officeDocument/2006/relationships" ref="D15" r:id="rId67"/>
    <hyperlink xmlns:r="http://schemas.openxmlformats.org/officeDocument/2006/relationships" ref="H15" r:id="rId68"/>
    <hyperlink xmlns:r="http://schemas.openxmlformats.org/officeDocument/2006/relationships" ref="AD15" r:id="rId69"/>
    <hyperlink xmlns:r="http://schemas.openxmlformats.org/officeDocument/2006/relationships" ref="AM15" r:id="rId70"/>
    <hyperlink xmlns:r="http://schemas.openxmlformats.org/officeDocument/2006/relationships" ref="C16" r:id="rId71"/>
    <hyperlink xmlns:r="http://schemas.openxmlformats.org/officeDocument/2006/relationships" ref="D16" r:id="rId72"/>
    <hyperlink xmlns:r="http://schemas.openxmlformats.org/officeDocument/2006/relationships" ref="H16" r:id="rId73"/>
    <hyperlink xmlns:r="http://schemas.openxmlformats.org/officeDocument/2006/relationships" ref="AD16" r:id="rId74"/>
    <hyperlink xmlns:r="http://schemas.openxmlformats.org/officeDocument/2006/relationships" ref="AM16" r:id="rId75"/>
    <hyperlink xmlns:r="http://schemas.openxmlformats.org/officeDocument/2006/relationships" ref="C17" r:id="rId76"/>
    <hyperlink xmlns:r="http://schemas.openxmlformats.org/officeDocument/2006/relationships" ref="D17" r:id="rId77"/>
    <hyperlink xmlns:r="http://schemas.openxmlformats.org/officeDocument/2006/relationships" ref="H17" r:id="rId78"/>
    <hyperlink xmlns:r="http://schemas.openxmlformats.org/officeDocument/2006/relationships" ref="AD17" r:id="rId79"/>
    <hyperlink xmlns:r="http://schemas.openxmlformats.org/officeDocument/2006/relationships" ref="AM17" r:id="rId80"/>
    <hyperlink xmlns:r="http://schemas.openxmlformats.org/officeDocument/2006/relationships" ref="C18" r:id="rId81"/>
    <hyperlink xmlns:r="http://schemas.openxmlformats.org/officeDocument/2006/relationships" ref="D18" r:id="rId82"/>
    <hyperlink xmlns:r="http://schemas.openxmlformats.org/officeDocument/2006/relationships" ref="H18" r:id="rId83"/>
    <hyperlink xmlns:r="http://schemas.openxmlformats.org/officeDocument/2006/relationships" ref="AD18" r:id="rId84"/>
    <hyperlink xmlns:r="http://schemas.openxmlformats.org/officeDocument/2006/relationships" ref="AM18" r:id="rId85"/>
    <hyperlink xmlns:r="http://schemas.openxmlformats.org/officeDocument/2006/relationships" ref="C19" r:id="rId86"/>
    <hyperlink xmlns:r="http://schemas.openxmlformats.org/officeDocument/2006/relationships" ref="D19" r:id="rId87"/>
    <hyperlink xmlns:r="http://schemas.openxmlformats.org/officeDocument/2006/relationships" ref="H19" r:id="rId88"/>
    <hyperlink xmlns:r="http://schemas.openxmlformats.org/officeDocument/2006/relationships" ref="AD19" r:id="rId89"/>
    <hyperlink xmlns:r="http://schemas.openxmlformats.org/officeDocument/2006/relationships" ref="AM19" r:id="rId90"/>
    <hyperlink xmlns:r="http://schemas.openxmlformats.org/officeDocument/2006/relationships" ref="C20" r:id="rId91"/>
    <hyperlink xmlns:r="http://schemas.openxmlformats.org/officeDocument/2006/relationships" ref="D20" r:id="rId92"/>
    <hyperlink xmlns:r="http://schemas.openxmlformats.org/officeDocument/2006/relationships" ref="H20" r:id="rId93"/>
    <hyperlink xmlns:r="http://schemas.openxmlformats.org/officeDocument/2006/relationships" ref="AD20" r:id="rId94"/>
    <hyperlink xmlns:r="http://schemas.openxmlformats.org/officeDocument/2006/relationships" ref="AM20" r:id="rId95"/>
    <hyperlink xmlns:r="http://schemas.openxmlformats.org/officeDocument/2006/relationships" ref="C21" r:id="rId96"/>
    <hyperlink xmlns:r="http://schemas.openxmlformats.org/officeDocument/2006/relationships" ref="D21" r:id="rId97"/>
    <hyperlink xmlns:r="http://schemas.openxmlformats.org/officeDocument/2006/relationships" ref="H21" r:id="rId98"/>
    <hyperlink xmlns:r="http://schemas.openxmlformats.org/officeDocument/2006/relationships" ref="AD21" r:id="rId99"/>
    <hyperlink xmlns:r="http://schemas.openxmlformats.org/officeDocument/2006/relationships" ref="AM21" r:id="rId100"/>
    <hyperlink xmlns:r="http://schemas.openxmlformats.org/officeDocument/2006/relationships" ref="C22" r:id="rId101"/>
    <hyperlink xmlns:r="http://schemas.openxmlformats.org/officeDocument/2006/relationships" ref="D22" r:id="rId102"/>
    <hyperlink xmlns:r="http://schemas.openxmlformats.org/officeDocument/2006/relationships" ref="H22" r:id="rId103"/>
    <hyperlink xmlns:r="http://schemas.openxmlformats.org/officeDocument/2006/relationships" ref="AD22" r:id="rId104"/>
    <hyperlink xmlns:r="http://schemas.openxmlformats.org/officeDocument/2006/relationships" ref="AM22" r:id="rId105"/>
    <hyperlink xmlns:r="http://schemas.openxmlformats.org/officeDocument/2006/relationships" ref="C23" r:id="rId106"/>
    <hyperlink xmlns:r="http://schemas.openxmlformats.org/officeDocument/2006/relationships" ref="D23" r:id="rId107"/>
    <hyperlink xmlns:r="http://schemas.openxmlformats.org/officeDocument/2006/relationships" ref="H23" r:id="rId108"/>
    <hyperlink xmlns:r="http://schemas.openxmlformats.org/officeDocument/2006/relationships" ref="AD23" r:id="rId109"/>
    <hyperlink xmlns:r="http://schemas.openxmlformats.org/officeDocument/2006/relationships" ref="AM23" r:id="rId110"/>
    <hyperlink xmlns:r="http://schemas.openxmlformats.org/officeDocument/2006/relationships" ref="C24" r:id="rId111"/>
    <hyperlink xmlns:r="http://schemas.openxmlformats.org/officeDocument/2006/relationships" ref="D24" r:id="rId112"/>
    <hyperlink xmlns:r="http://schemas.openxmlformats.org/officeDocument/2006/relationships" ref="H24" r:id="rId113"/>
    <hyperlink xmlns:r="http://schemas.openxmlformats.org/officeDocument/2006/relationships" ref="AD24" r:id="rId114"/>
    <hyperlink xmlns:r="http://schemas.openxmlformats.org/officeDocument/2006/relationships" ref="AM24" r:id="rId115"/>
    <hyperlink xmlns:r="http://schemas.openxmlformats.org/officeDocument/2006/relationships" ref="C25" r:id="rId116"/>
    <hyperlink xmlns:r="http://schemas.openxmlformats.org/officeDocument/2006/relationships" ref="D25" r:id="rId117"/>
    <hyperlink xmlns:r="http://schemas.openxmlformats.org/officeDocument/2006/relationships" ref="H25" r:id="rId118"/>
    <hyperlink xmlns:r="http://schemas.openxmlformats.org/officeDocument/2006/relationships" ref="AD25" r:id="rId119"/>
    <hyperlink xmlns:r="http://schemas.openxmlformats.org/officeDocument/2006/relationships" ref="AM25" r:id="rId120"/>
    <hyperlink xmlns:r="http://schemas.openxmlformats.org/officeDocument/2006/relationships" ref="C26" r:id="rId121"/>
    <hyperlink xmlns:r="http://schemas.openxmlformats.org/officeDocument/2006/relationships" ref="D26" r:id="rId122"/>
    <hyperlink xmlns:r="http://schemas.openxmlformats.org/officeDocument/2006/relationships" ref="H26" r:id="rId123"/>
    <hyperlink xmlns:r="http://schemas.openxmlformats.org/officeDocument/2006/relationships" ref="AD26" r:id="rId124"/>
    <hyperlink xmlns:r="http://schemas.openxmlformats.org/officeDocument/2006/relationships" ref="AM26" r:id="rId125"/>
    <hyperlink xmlns:r="http://schemas.openxmlformats.org/officeDocument/2006/relationships" ref="C27" r:id="rId126"/>
    <hyperlink xmlns:r="http://schemas.openxmlformats.org/officeDocument/2006/relationships" ref="D27" r:id="rId127"/>
    <hyperlink xmlns:r="http://schemas.openxmlformats.org/officeDocument/2006/relationships" ref="H27" r:id="rId128"/>
    <hyperlink xmlns:r="http://schemas.openxmlformats.org/officeDocument/2006/relationships" ref="AD27" r:id="rId129"/>
    <hyperlink xmlns:r="http://schemas.openxmlformats.org/officeDocument/2006/relationships" ref="AM27" r:id="rId130"/>
    <hyperlink xmlns:r="http://schemas.openxmlformats.org/officeDocument/2006/relationships" ref="C28" r:id="rId131"/>
    <hyperlink xmlns:r="http://schemas.openxmlformats.org/officeDocument/2006/relationships" ref="D28" r:id="rId132"/>
    <hyperlink xmlns:r="http://schemas.openxmlformats.org/officeDocument/2006/relationships" ref="H28" r:id="rId133"/>
    <hyperlink xmlns:r="http://schemas.openxmlformats.org/officeDocument/2006/relationships" ref="AD28" r:id="rId134"/>
    <hyperlink xmlns:r="http://schemas.openxmlformats.org/officeDocument/2006/relationships" ref="AM28" r:id="rId135"/>
    <hyperlink xmlns:r="http://schemas.openxmlformats.org/officeDocument/2006/relationships" ref="C29" r:id="rId136"/>
    <hyperlink xmlns:r="http://schemas.openxmlformats.org/officeDocument/2006/relationships" ref="D29" r:id="rId137"/>
    <hyperlink xmlns:r="http://schemas.openxmlformats.org/officeDocument/2006/relationships" ref="H29" r:id="rId138"/>
    <hyperlink xmlns:r="http://schemas.openxmlformats.org/officeDocument/2006/relationships" ref="AD29" r:id="rId139"/>
    <hyperlink xmlns:r="http://schemas.openxmlformats.org/officeDocument/2006/relationships" ref="AI29" r:id="rId140"/>
    <hyperlink xmlns:r="http://schemas.openxmlformats.org/officeDocument/2006/relationships" ref="AM29" r:id="rId141"/>
    <hyperlink xmlns:r="http://schemas.openxmlformats.org/officeDocument/2006/relationships" ref="C30" r:id="rId142"/>
    <hyperlink xmlns:r="http://schemas.openxmlformats.org/officeDocument/2006/relationships" ref="D30" r:id="rId143"/>
    <hyperlink xmlns:r="http://schemas.openxmlformats.org/officeDocument/2006/relationships" ref="H30" r:id="rId144"/>
    <hyperlink xmlns:r="http://schemas.openxmlformats.org/officeDocument/2006/relationships" ref="AD30" r:id="rId145"/>
    <hyperlink xmlns:r="http://schemas.openxmlformats.org/officeDocument/2006/relationships" ref="AM30" r:id="rId146"/>
    <hyperlink xmlns:r="http://schemas.openxmlformats.org/officeDocument/2006/relationships" ref="C31" r:id="rId147"/>
    <hyperlink xmlns:r="http://schemas.openxmlformats.org/officeDocument/2006/relationships" ref="D31" r:id="rId148"/>
    <hyperlink xmlns:r="http://schemas.openxmlformats.org/officeDocument/2006/relationships" ref="H31" r:id="rId149"/>
    <hyperlink xmlns:r="http://schemas.openxmlformats.org/officeDocument/2006/relationships" ref="AD31" r:id="rId150"/>
    <hyperlink xmlns:r="http://schemas.openxmlformats.org/officeDocument/2006/relationships" ref="AM31" r:id="rId151"/>
    <hyperlink xmlns:r="http://schemas.openxmlformats.org/officeDocument/2006/relationships" ref="C32" r:id="rId152"/>
    <hyperlink xmlns:r="http://schemas.openxmlformats.org/officeDocument/2006/relationships" ref="D32" r:id="rId153"/>
    <hyperlink xmlns:r="http://schemas.openxmlformats.org/officeDocument/2006/relationships" ref="AM32" r:id="rId154"/>
    <hyperlink xmlns:r="http://schemas.openxmlformats.org/officeDocument/2006/relationships" ref="C33" r:id="rId155"/>
    <hyperlink xmlns:r="http://schemas.openxmlformats.org/officeDocument/2006/relationships" ref="D33" r:id="rId156"/>
    <hyperlink xmlns:r="http://schemas.openxmlformats.org/officeDocument/2006/relationships" ref="H33" r:id="rId157"/>
    <hyperlink xmlns:r="http://schemas.openxmlformats.org/officeDocument/2006/relationships" ref="AD33" r:id="rId158"/>
    <hyperlink xmlns:r="http://schemas.openxmlformats.org/officeDocument/2006/relationships" ref="AM33" r:id="rId159"/>
    <hyperlink xmlns:r="http://schemas.openxmlformats.org/officeDocument/2006/relationships" ref="C34" r:id="rId160"/>
    <hyperlink xmlns:r="http://schemas.openxmlformats.org/officeDocument/2006/relationships" ref="D34" r:id="rId161"/>
    <hyperlink xmlns:r="http://schemas.openxmlformats.org/officeDocument/2006/relationships" ref="H34" r:id="rId162"/>
    <hyperlink xmlns:r="http://schemas.openxmlformats.org/officeDocument/2006/relationships" ref="AD34" r:id="rId163"/>
    <hyperlink xmlns:r="http://schemas.openxmlformats.org/officeDocument/2006/relationships" ref="AM34" r:id="rId164"/>
    <hyperlink xmlns:r="http://schemas.openxmlformats.org/officeDocument/2006/relationships" ref="C35" r:id="rId165"/>
    <hyperlink xmlns:r="http://schemas.openxmlformats.org/officeDocument/2006/relationships" ref="D35" r:id="rId166"/>
    <hyperlink xmlns:r="http://schemas.openxmlformats.org/officeDocument/2006/relationships" ref="H35" r:id="rId167"/>
    <hyperlink xmlns:r="http://schemas.openxmlformats.org/officeDocument/2006/relationships" ref="AD35" r:id="rId168"/>
    <hyperlink xmlns:r="http://schemas.openxmlformats.org/officeDocument/2006/relationships" ref="AM35" r:id="rId169"/>
    <hyperlink xmlns:r="http://schemas.openxmlformats.org/officeDocument/2006/relationships" ref="C36" r:id="rId170"/>
    <hyperlink xmlns:r="http://schemas.openxmlformats.org/officeDocument/2006/relationships" ref="D36" r:id="rId171"/>
    <hyperlink xmlns:r="http://schemas.openxmlformats.org/officeDocument/2006/relationships" ref="H36" r:id="rId172"/>
    <hyperlink xmlns:r="http://schemas.openxmlformats.org/officeDocument/2006/relationships" ref="AD36" r:id="rId173"/>
    <hyperlink xmlns:r="http://schemas.openxmlformats.org/officeDocument/2006/relationships" ref="AM36" r:id="rId174"/>
    <hyperlink xmlns:r="http://schemas.openxmlformats.org/officeDocument/2006/relationships" ref="C37" r:id="rId175"/>
    <hyperlink xmlns:r="http://schemas.openxmlformats.org/officeDocument/2006/relationships" ref="D37" r:id="rId176"/>
    <hyperlink xmlns:r="http://schemas.openxmlformats.org/officeDocument/2006/relationships" ref="H37" r:id="rId177"/>
    <hyperlink xmlns:r="http://schemas.openxmlformats.org/officeDocument/2006/relationships" ref="AD37" r:id="rId178"/>
    <hyperlink xmlns:r="http://schemas.openxmlformats.org/officeDocument/2006/relationships" ref="AM37" r:id="rId179"/>
    <hyperlink xmlns:r="http://schemas.openxmlformats.org/officeDocument/2006/relationships" ref="C38" r:id="rId180"/>
    <hyperlink xmlns:r="http://schemas.openxmlformats.org/officeDocument/2006/relationships" ref="D38" r:id="rId181"/>
    <hyperlink xmlns:r="http://schemas.openxmlformats.org/officeDocument/2006/relationships" ref="H38" r:id="rId182"/>
    <hyperlink xmlns:r="http://schemas.openxmlformats.org/officeDocument/2006/relationships" ref="AD38" r:id="rId183"/>
    <hyperlink xmlns:r="http://schemas.openxmlformats.org/officeDocument/2006/relationships" ref="AM38" r:id="rId184"/>
    <hyperlink xmlns:r="http://schemas.openxmlformats.org/officeDocument/2006/relationships" ref="C39" r:id="rId185"/>
    <hyperlink xmlns:r="http://schemas.openxmlformats.org/officeDocument/2006/relationships" ref="D39" r:id="rId186"/>
    <hyperlink xmlns:r="http://schemas.openxmlformats.org/officeDocument/2006/relationships" ref="H39" r:id="rId187"/>
    <hyperlink xmlns:r="http://schemas.openxmlformats.org/officeDocument/2006/relationships" ref="AD39" r:id="rId188"/>
    <hyperlink xmlns:r="http://schemas.openxmlformats.org/officeDocument/2006/relationships" ref="AM39" r:id="rId189"/>
    <hyperlink xmlns:r="http://schemas.openxmlformats.org/officeDocument/2006/relationships" ref="C40" r:id="rId190"/>
    <hyperlink xmlns:r="http://schemas.openxmlformats.org/officeDocument/2006/relationships" ref="D40" r:id="rId191"/>
    <hyperlink xmlns:r="http://schemas.openxmlformats.org/officeDocument/2006/relationships" ref="H40" r:id="rId192"/>
    <hyperlink xmlns:r="http://schemas.openxmlformats.org/officeDocument/2006/relationships" ref="AD40" r:id="rId193"/>
    <hyperlink xmlns:r="http://schemas.openxmlformats.org/officeDocument/2006/relationships" ref="AM40" r:id="rId194"/>
    <hyperlink xmlns:r="http://schemas.openxmlformats.org/officeDocument/2006/relationships" ref="C41" r:id="rId195"/>
    <hyperlink xmlns:r="http://schemas.openxmlformats.org/officeDocument/2006/relationships" ref="D41" r:id="rId196"/>
    <hyperlink xmlns:r="http://schemas.openxmlformats.org/officeDocument/2006/relationships" ref="H41" r:id="rId197"/>
    <hyperlink xmlns:r="http://schemas.openxmlformats.org/officeDocument/2006/relationships" ref="AD41" r:id="rId198"/>
    <hyperlink xmlns:r="http://schemas.openxmlformats.org/officeDocument/2006/relationships" ref="AI41" r:id="rId199"/>
    <hyperlink xmlns:r="http://schemas.openxmlformats.org/officeDocument/2006/relationships" ref="AM41" r:id="rId200"/>
    <hyperlink xmlns:r="http://schemas.openxmlformats.org/officeDocument/2006/relationships" ref="C42" r:id="rId201"/>
    <hyperlink xmlns:r="http://schemas.openxmlformats.org/officeDocument/2006/relationships" ref="D42" r:id="rId202"/>
    <hyperlink xmlns:r="http://schemas.openxmlformats.org/officeDocument/2006/relationships" ref="H42" r:id="rId203"/>
    <hyperlink xmlns:r="http://schemas.openxmlformats.org/officeDocument/2006/relationships" ref="AD42" r:id="rId204"/>
    <hyperlink xmlns:r="http://schemas.openxmlformats.org/officeDocument/2006/relationships" ref="AM42" r:id="rId205"/>
    <hyperlink xmlns:r="http://schemas.openxmlformats.org/officeDocument/2006/relationships" ref="C43" r:id="rId206"/>
    <hyperlink xmlns:r="http://schemas.openxmlformats.org/officeDocument/2006/relationships" ref="D43" r:id="rId207"/>
    <hyperlink xmlns:r="http://schemas.openxmlformats.org/officeDocument/2006/relationships" ref="H43" r:id="rId208"/>
    <hyperlink xmlns:r="http://schemas.openxmlformats.org/officeDocument/2006/relationships" ref="AD43" r:id="rId209"/>
    <hyperlink xmlns:r="http://schemas.openxmlformats.org/officeDocument/2006/relationships" ref="AM43" r:id="rId210"/>
    <hyperlink xmlns:r="http://schemas.openxmlformats.org/officeDocument/2006/relationships" ref="C44" r:id="rId211"/>
    <hyperlink xmlns:r="http://schemas.openxmlformats.org/officeDocument/2006/relationships" ref="D44" r:id="rId212"/>
    <hyperlink xmlns:r="http://schemas.openxmlformats.org/officeDocument/2006/relationships" ref="H44" r:id="rId213"/>
    <hyperlink xmlns:r="http://schemas.openxmlformats.org/officeDocument/2006/relationships" ref="AD44" r:id="rId214"/>
    <hyperlink xmlns:r="http://schemas.openxmlformats.org/officeDocument/2006/relationships" ref="AM44" r:id="rId215"/>
    <hyperlink xmlns:r="http://schemas.openxmlformats.org/officeDocument/2006/relationships" ref="C45" r:id="rId216"/>
    <hyperlink xmlns:r="http://schemas.openxmlformats.org/officeDocument/2006/relationships" ref="D45" r:id="rId217"/>
    <hyperlink xmlns:r="http://schemas.openxmlformats.org/officeDocument/2006/relationships" ref="H45" r:id="rId218"/>
    <hyperlink xmlns:r="http://schemas.openxmlformats.org/officeDocument/2006/relationships" ref="AD45" r:id="rId219"/>
    <hyperlink xmlns:r="http://schemas.openxmlformats.org/officeDocument/2006/relationships" ref="AM45" r:id="rId220"/>
    <hyperlink xmlns:r="http://schemas.openxmlformats.org/officeDocument/2006/relationships" ref="C46" r:id="rId221"/>
    <hyperlink xmlns:r="http://schemas.openxmlformats.org/officeDocument/2006/relationships" ref="D46" r:id="rId222"/>
    <hyperlink xmlns:r="http://schemas.openxmlformats.org/officeDocument/2006/relationships" ref="H46" r:id="rId223"/>
    <hyperlink xmlns:r="http://schemas.openxmlformats.org/officeDocument/2006/relationships" ref="AD46" r:id="rId224"/>
    <hyperlink xmlns:r="http://schemas.openxmlformats.org/officeDocument/2006/relationships" ref="AM46" r:id="rId225"/>
    <hyperlink xmlns:r="http://schemas.openxmlformats.org/officeDocument/2006/relationships" ref="C47" r:id="rId226"/>
    <hyperlink xmlns:r="http://schemas.openxmlformats.org/officeDocument/2006/relationships" ref="D47" r:id="rId227"/>
    <hyperlink xmlns:r="http://schemas.openxmlformats.org/officeDocument/2006/relationships" ref="H47" r:id="rId228"/>
    <hyperlink xmlns:r="http://schemas.openxmlformats.org/officeDocument/2006/relationships" ref="AD47" r:id="rId229"/>
    <hyperlink xmlns:r="http://schemas.openxmlformats.org/officeDocument/2006/relationships" ref="AM47" r:id="rId230"/>
    <hyperlink xmlns:r="http://schemas.openxmlformats.org/officeDocument/2006/relationships" ref="C48" r:id="rId231"/>
    <hyperlink xmlns:r="http://schemas.openxmlformats.org/officeDocument/2006/relationships" ref="D48" r:id="rId232"/>
    <hyperlink xmlns:r="http://schemas.openxmlformats.org/officeDocument/2006/relationships" ref="H48" r:id="rId233"/>
    <hyperlink xmlns:r="http://schemas.openxmlformats.org/officeDocument/2006/relationships" ref="AD48" r:id="rId234"/>
    <hyperlink xmlns:r="http://schemas.openxmlformats.org/officeDocument/2006/relationships" ref="AM48" r:id="rId235"/>
    <hyperlink xmlns:r="http://schemas.openxmlformats.org/officeDocument/2006/relationships" ref="C49" r:id="rId236"/>
    <hyperlink xmlns:r="http://schemas.openxmlformats.org/officeDocument/2006/relationships" ref="D49" r:id="rId237"/>
    <hyperlink xmlns:r="http://schemas.openxmlformats.org/officeDocument/2006/relationships" ref="H49" r:id="rId238"/>
    <hyperlink xmlns:r="http://schemas.openxmlformats.org/officeDocument/2006/relationships" ref="AD49" r:id="rId239"/>
    <hyperlink xmlns:r="http://schemas.openxmlformats.org/officeDocument/2006/relationships" ref="AM49" r:id="rId240"/>
    <hyperlink xmlns:r="http://schemas.openxmlformats.org/officeDocument/2006/relationships" ref="C50" r:id="rId241"/>
    <hyperlink xmlns:r="http://schemas.openxmlformats.org/officeDocument/2006/relationships" ref="D50" r:id="rId242"/>
    <hyperlink xmlns:r="http://schemas.openxmlformats.org/officeDocument/2006/relationships" ref="H50" r:id="rId243"/>
    <hyperlink xmlns:r="http://schemas.openxmlformats.org/officeDocument/2006/relationships" ref="AD50" r:id="rId244"/>
    <hyperlink xmlns:r="http://schemas.openxmlformats.org/officeDocument/2006/relationships" ref="AM50" r:id="rId245"/>
    <hyperlink xmlns:r="http://schemas.openxmlformats.org/officeDocument/2006/relationships" ref="C51" r:id="rId246"/>
    <hyperlink xmlns:r="http://schemas.openxmlformats.org/officeDocument/2006/relationships" ref="D51" r:id="rId247"/>
    <hyperlink xmlns:r="http://schemas.openxmlformats.org/officeDocument/2006/relationships" ref="H51" r:id="rId248"/>
    <hyperlink xmlns:r="http://schemas.openxmlformats.org/officeDocument/2006/relationships" ref="AD51" r:id="rId249"/>
    <hyperlink xmlns:r="http://schemas.openxmlformats.org/officeDocument/2006/relationships" ref="AM51" r:id="rId250"/>
    <hyperlink xmlns:r="http://schemas.openxmlformats.org/officeDocument/2006/relationships" ref="C52" r:id="rId251"/>
    <hyperlink xmlns:r="http://schemas.openxmlformats.org/officeDocument/2006/relationships" ref="D52" r:id="rId252"/>
    <hyperlink xmlns:r="http://schemas.openxmlformats.org/officeDocument/2006/relationships" ref="H52" r:id="rId253"/>
    <hyperlink xmlns:r="http://schemas.openxmlformats.org/officeDocument/2006/relationships" ref="AD52" r:id="rId254"/>
    <hyperlink xmlns:r="http://schemas.openxmlformats.org/officeDocument/2006/relationships" ref="AM52" r:id="rId255"/>
    <hyperlink xmlns:r="http://schemas.openxmlformats.org/officeDocument/2006/relationships" ref="C53" r:id="rId256"/>
    <hyperlink xmlns:r="http://schemas.openxmlformats.org/officeDocument/2006/relationships" ref="D53" r:id="rId257"/>
    <hyperlink xmlns:r="http://schemas.openxmlformats.org/officeDocument/2006/relationships" ref="H53" r:id="rId258"/>
    <hyperlink xmlns:r="http://schemas.openxmlformats.org/officeDocument/2006/relationships" ref="AD53" r:id="rId259"/>
    <hyperlink xmlns:r="http://schemas.openxmlformats.org/officeDocument/2006/relationships" ref="AM53" r:id="rId260"/>
    <hyperlink xmlns:r="http://schemas.openxmlformats.org/officeDocument/2006/relationships" ref="C54" r:id="rId261"/>
    <hyperlink xmlns:r="http://schemas.openxmlformats.org/officeDocument/2006/relationships" ref="D54" r:id="rId262"/>
    <hyperlink xmlns:r="http://schemas.openxmlformats.org/officeDocument/2006/relationships" ref="H54" r:id="rId263"/>
    <hyperlink xmlns:r="http://schemas.openxmlformats.org/officeDocument/2006/relationships" ref="AD54" r:id="rId264"/>
    <hyperlink xmlns:r="http://schemas.openxmlformats.org/officeDocument/2006/relationships" ref="AM54" r:id="rId265"/>
    <hyperlink xmlns:r="http://schemas.openxmlformats.org/officeDocument/2006/relationships" ref="C55" r:id="rId266"/>
    <hyperlink xmlns:r="http://schemas.openxmlformats.org/officeDocument/2006/relationships" ref="D55" r:id="rId267"/>
    <hyperlink xmlns:r="http://schemas.openxmlformats.org/officeDocument/2006/relationships" ref="H55" r:id="rId268"/>
    <hyperlink xmlns:r="http://schemas.openxmlformats.org/officeDocument/2006/relationships" ref="AD55" r:id="rId269"/>
    <hyperlink xmlns:r="http://schemas.openxmlformats.org/officeDocument/2006/relationships" ref="AM55" r:id="rId270"/>
    <hyperlink xmlns:r="http://schemas.openxmlformats.org/officeDocument/2006/relationships" ref="C56" r:id="rId271"/>
    <hyperlink xmlns:r="http://schemas.openxmlformats.org/officeDocument/2006/relationships" ref="D56" r:id="rId272"/>
    <hyperlink xmlns:r="http://schemas.openxmlformats.org/officeDocument/2006/relationships" ref="H56" r:id="rId273"/>
    <hyperlink xmlns:r="http://schemas.openxmlformats.org/officeDocument/2006/relationships" ref="AD56" r:id="rId274"/>
    <hyperlink xmlns:r="http://schemas.openxmlformats.org/officeDocument/2006/relationships" ref="AM56" r:id="rId275"/>
    <hyperlink xmlns:r="http://schemas.openxmlformats.org/officeDocument/2006/relationships" ref="C57" r:id="rId276"/>
    <hyperlink xmlns:r="http://schemas.openxmlformats.org/officeDocument/2006/relationships" ref="D57" r:id="rId277"/>
    <hyperlink xmlns:r="http://schemas.openxmlformats.org/officeDocument/2006/relationships" ref="H57" r:id="rId278"/>
    <hyperlink xmlns:r="http://schemas.openxmlformats.org/officeDocument/2006/relationships" ref="AD57" r:id="rId279"/>
    <hyperlink xmlns:r="http://schemas.openxmlformats.org/officeDocument/2006/relationships" ref="AM57" r:id="rId280"/>
    <hyperlink xmlns:r="http://schemas.openxmlformats.org/officeDocument/2006/relationships" ref="C58" r:id="rId281"/>
    <hyperlink xmlns:r="http://schemas.openxmlformats.org/officeDocument/2006/relationships" ref="D58" r:id="rId282"/>
    <hyperlink xmlns:r="http://schemas.openxmlformats.org/officeDocument/2006/relationships" ref="H58" r:id="rId283"/>
    <hyperlink xmlns:r="http://schemas.openxmlformats.org/officeDocument/2006/relationships" ref="AD58" r:id="rId284"/>
    <hyperlink xmlns:r="http://schemas.openxmlformats.org/officeDocument/2006/relationships" ref="AM58" r:id="rId285"/>
    <hyperlink xmlns:r="http://schemas.openxmlformats.org/officeDocument/2006/relationships" ref="C59" r:id="rId286"/>
    <hyperlink xmlns:r="http://schemas.openxmlformats.org/officeDocument/2006/relationships" ref="D59" r:id="rId287"/>
    <hyperlink xmlns:r="http://schemas.openxmlformats.org/officeDocument/2006/relationships" ref="H59" r:id="rId288"/>
    <hyperlink xmlns:r="http://schemas.openxmlformats.org/officeDocument/2006/relationships" ref="AD59" r:id="rId289"/>
    <hyperlink xmlns:r="http://schemas.openxmlformats.org/officeDocument/2006/relationships" ref="AM59" r:id="rId290"/>
    <hyperlink xmlns:r="http://schemas.openxmlformats.org/officeDocument/2006/relationships" ref="C60" r:id="rId291"/>
    <hyperlink xmlns:r="http://schemas.openxmlformats.org/officeDocument/2006/relationships" ref="D60" r:id="rId292"/>
    <hyperlink xmlns:r="http://schemas.openxmlformats.org/officeDocument/2006/relationships" ref="H60" r:id="rId293"/>
    <hyperlink xmlns:r="http://schemas.openxmlformats.org/officeDocument/2006/relationships" ref="AD60" r:id="rId294"/>
    <hyperlink xmlns:r="http://schemas.openxmlformats.org/officeDocument/2006/relationships" ref="AM60" r:id="rId295"/>
    <hyperlink xmlns:r="http://schemas.openxmlformats.org/officeDocument/2006/relationships" ref="C61" r:id="rId296"/>
    <hyperlink xmlns:r="http://schemas.openxmlformats.org/officeDocument/2006/relationships" ref="D61" r:id="rId297"/>
    <hyperlink xmlns:r="http://schemas.openxmlformats.org/officeDocument/2006/relationships" ref="H61" r:id="rId298"/>
    <hyperlink xmlns:r="http://schemas.openxmlformats.org/officeDocument/2006/relationships" ref="AD61" r:id="rId299"/>
    <hyperlink xmlns:r="http://schemas.openxmlformats.org/officeDocument/2006/relationships" ref="AM61" r:id="rId300"/>
    <hyperlink xmlns:r="http://schemas.openxmlformats.org/officeDocument/2006/relationships" ref="C62" r:id="rId301"/>
    <hyperlink xmlns:r="http://schemas.openxmlformats.org/officeDocument/2006/relationships" ref="D62" r:id="rId302"/>
    <hyperlink xmlns:r="http://schemas.openxmlformats.org/officeDocument/2006/relationships" ref="H62" r:id="rId303"/>
    <hyperlink xmlns:r="http://schemas.openxmlformats.org/officeDocument/2006/relationships" ref="AD62" r:id="rId304"/>
    <hyperlink xmlns:r="http://schemas.openxmlformats.org/officeDocument/2006/relationships" ref="AM62" r:id="rId305"/>
    <hyperlink xmlns:r="http://schemas.openxmlformats.org/officeDocument/2006/relationships" ref="C63" r:id="rId306"/>
    <hyperlink xmlns:r="http://schemas.openxmlformats.org/officeDocument/2006/relationships" ref="D63" r:id="rId307"/>
    <hyperlink xmlns:r="http://schemas.openxmlformats.org/officeDocument/2006/relationships" ref="H63" r:id="rId308"/>
    <hyperlink xmlns:r="http://schemas.openxmlformats.org/officeDocument/2006/relationships" ref="AD63" r:id="rId309"/>
    <hyperlink xmlns:r="http://schemas.openxmlformats.org/officeDocument/2006/relationships" ref="AM63" r:id="rId310"/>
    <hyperlink xmlns:r="http://schemas.openxmlformats.org/officeDocument/2006/relationships" ref="C64" r:id="rId311"/>
    <hyperlink xmlns:r="http://schemas.openxmlformats.org/officeDocument/2006/relationships" ref="D64" r:id="rId312"/>
    <hyperlink xmlns:r="http://schemas.openxmlformats.org/officeDocument/2006/relationships" ref="H64" r:id="rId313"/>
    <hyperlink xmlns:r="http://schemas.openxmlformats.org/officeDocument/2006/relationships" ref="AD64" r:id="rId314"/>
    <hyperlink xmlns:r="http://schemas.openxmlformats.org/officeDocument/2006/relationships" ref="AM64" r:id="rId315"/>
    <hyperlink xmlns:r="http://schemas.openxmlformats.org/officeDocument/2006/relationships" ref="C65" r:id="rId316"/>
    <hyperlink xmlns:r="http://schemas.openxmlformats.org/officeDocument/2006/relationships" ref="D65" r:id="rId317"/>
    <hyperlink xmlns:r="http://schemas.openxmlformats.org/officeDocument/2006/relationships" ref="H65" r:id="rId318"/>
    <hyperlink xmlns:r="http://schemas.openxmlformats.org/officeDocument/2006/relationships" ref="AD65" r:id="rId319"/>
    <hyperlink xmlns:r="http://schemas.openxmlformats.org/officeDocument/2006/relationships" ref="AI65" r:id="rId320"/>
    <hyperlink xmlns:r="http://schemas.openxmlformats.org/officeDocument/2006/relationships" ref="AM65" r:id="rId321"/>
    <hyperlink xmlns:r="http://schemas.openxmlformats.org/officeDocument/2006/relationships" ref="C66" r:id="rId322"/>
    <hyperlink xmlns:r="http://schemas.openxmlformats.org/officeDocument/2006/relationships" ref="D66" r:id="rId323"/>
    <hyperlink xmlns:r="http://schemas.openxmlformats.org/officeDocument/2006/relationships" ref="H66" r:id="rId324"/>
    <hyperlink xmlns:r="http://schemas.openxmlformats.org/officeDocument/2006/relationships" ref="AD66" r:id="rId325"/>
    <hyperlink xmlns:r="http://schemas.openxmlformats.org/officeDocument/2006/relationships" ref="AM66" r:id="rId326"/>
    <hyperlink xmlns:r="http://schemas.openxmlformats.org/officeDocument/2006/relationships" ref="C67" r:id="rId327"/>
    <hyperlink xmlns:r="http://schemas.openxmlformats.org/officeDocument/2006/relationships" ref="D67" r:id="rId328"/>
    <hyperlink xmlns:r="http://schemas.openxmlformats.org/officeDocument/2006/relationships" ref="H67" r:id="rId329"/>
    <hyperlink xmlns:r="http://schemas.openxmlformats.org/officeDocument/2006/relationships" ref="AD67" r:id="rId330"/>
    <hyperlink xmlns:r="http://schemas.openxmlformats.org/officeDocument/2006/relationships" ref="AM67" r:id="rId331"/>
    <hyperlink xmlns:r="http://schemas.openxmlformats.org/officeDocument/2006/relationships" ref="C68" r:id="rId332"/>
    <hyperlink xmlns:r="http://schemas.openxmlformats.org/officeDocument/2006/relationships" ref="D68" r:id="rId333"/>
    <hyperlink xmlns:r="http://schemas.openxmlformats.org/officeDocument/2006/relationships" ref="H68" r:id="rId334"/>
    <hyperlink xmlns:r="http://schemas.openxmlformats.org/officeDocument/2006/relationships" ref="AD68" r:id="rId335"/>
    <hyperlink xmlns:r="http://schemas.openxmlformats.org/officeDocument/2006/relationships" ref="AM68" r:id="rId336"/>
    <hyperlink xmlns:r="http://schemas.openxmlformats.org/officeDocument/2006/relationships" ref="C69" r:id="rId337"/>
    <hyperlink xmlns:r="http://schemas.openxmlformats.org/officeDocument/2006/relationships" ref="D69" r:id="rId338"/>
    <hyperlink xmlns:r="http://schemas.openxmlformats.org/officeDocument/2006/relationships" ref="AM69" r:id="rId339"/>
    <hyperlink xmlns:r="http://schemas.openxmlformats.org/officeDocument/2006/relationships" ref="C70" r:id="rId340"/>
    <hyperlink xmlns:r="http://schemas.openxmlformats.org/officeDocument/2006/relationships" ref="D70" r:id="rId341"/>
    <hyperlink xmlns:r="http://schemas.openxmlformats.org/officeDocument/2006/relationships" ref="H70" r:id="rId342"/>
    <hyperlink xmlns:r="http://schemas.openxmlformats.org/officeDocument/2006/relationships" ref="AD70" r:id="rId343"/>
    <hyperlink xmlns:r="http://schemas.openxmlformats.org/officeDocument/2006/relationships" ref="AM70" r:id="rId344"/>
    <hyperlink xmlns:r="http://schemas.openxmlformats.org/officeDocument/2006/relationships" ref="C71" r:id="rId345"/>
    <hyperlink xmlns:r="http://schemas.openxmlformats.org/officeDocument/2006/relationships" ref="D71" r:id="rId346"/>
    <hyperlink xmlns:r="http://schemas.openxmlformats.org/officeDocument/2006/relationships" ref="H71" r:id="rId347"/>
    <hyperlink xmlns:r="http://schemas.openxmlformats.org/officeDocument/2006/relationships" ref="AD71" r:id="rId348"/>
    <hyperlink xmlns:r="http://schemas.openxmlformats.org/officeDocument/2006/relationships" ref="AM71" r:id="rId349"/>
    <hyperlink xmlns:r="http://schemas.openxmlformats.org/officeDocument/2006/relationships" ref="C72" r:id="rId350"/>
    <hyperlink xmlns:r="http://schemas.openxmlformats.org/officeDocument/2006/relationships" ref="D72" r:id="rId351"/>
    <hyperlink xmlns:r="http://schemas.openxmlformats.org/officeDocument/2006/relationships" ref="H72" r:id="rId352"/>
    <hyperlink xmlns:r="http://schemas.openxmlformats.org/officeDocument/2006/relationships" ref="AD72" r:id="rId353"/>
    <hyperlink xmlns:r="http://schemas.openxmlformats.org/officeDocument/2006/relationships" ref="AM72" r:id="rId354"/>
    <hyperlink xmlns:r="http://schemas.openxmlformats.org/officeDocument/2006/relationships" ref="C73" r:id="rId355"/>
    <hyperlink xmlns:r="http://schemas.openxmlformats.org/officeDocument/2006/relationships" ref="D73" r:id="rId356"/>
    <hyperlink xmlns:r="http://schemas.openxmlformats.org/officeDocument/2006/relationships" ref="H73" r:id="rId357"/>
    <hyperlink xmlns:r="http://schemas.openxmlformats.org/officeDocument/2006/relationships" ref="AD73" r:id="rId358"/>
    <hyperlink xmlns:r="http://schemas.openxmlformats.org/officeDocument/2006/relationships" ref="AM73" r:id="rId359"/>
    <hyperlink xmlns:r="http://schemas.openxmlformats.org/officeDocument/2006/relationships" ref="C74" r:id="rId360"/>
    <hyperlink xmlns:r="http://schemas.openxmlformats.org/officeDocument/2006/relationships" ref="D74" r:id="rId361"/>
    <hyperlink xmlns:r="http://schemas.openxmlformats.org/officeDocument/2006/relationships" ref="H74" r:id="rId362"/>
    <hyperlink xmlns:r="http://schemas.openxmlformats.org/officeDocument/2006/relationships" ref="AD74" r:id="rId363"/>
    <hyperlink xmlns:r="http://schemas.openxmlformats.org/officeDocument/2006/relationships" ref="AM74" r:id="rId364"/>
    <hyperlink xmlns:r="http://schemas.openxmlformats.org/officeDocument/2006/relationships" ref="C75" r:id="rId365"/>
    <hyperlink xmlns:r="http://schemas.openxmlformats.org/officeDocument/2006/relationships" ref="D75" r:id="rId366"/>
    <hyperlink xmlns:r="http://schemas.openxmlformats.org/officeDocument/2006/relationships" ref="H75" r:id="rId367"/>
    <hyperlink xmlns:r="http://schemas.openxmlformats.org/officeDocument/2006/relationships" ref="AD75" r:id="rId368"/>
    <hyperlink xmlns:r="http://schemas.openxmlformats.org/officeDocument/2006/relationships" ref="AM75" r:id="rId369"/>
    <hyperlink xmlns:r="http://schemas.openxmlformats.org/officeDocument/2006/relationships" ref="C76" r:id="rId370"/>
    <hyperlink xmlns:r="http://schemas.openxmlformats.org/officeDocument/2006/relationships" ref="D76" r:id="rId371"/>
    <hyperlink xmlns:r="http://schemas.openxmlformats.org/officeDocument/2006/relationships" ref="H76" r:id="rId372"/>
    <hyperlink xmlns:r="http://schemas.openxmlformats.org/officeDocument/2006/relationships" ref="AD76" r:id="rId373"/>
    <hyperlink xmlns:r="http://schemas.openxmlformats.org/officeDocument/2006/relationships" ref="AM76" r:id="rId374"/>
    <hyperlink xmlns:r="http://schemas.openxmlformats.org/officeDocument/2006/relationships" ref="C77" r:id="rId375"/>
    <hyperlink xmlns:r="http://schemas.openxmlformats.org/officeDocument/2006/relationships" ref="D77" r:id="rId376"/>
    <hyperlink xmlns:r="http://schemas.openxmlformats.org/officeDocument/2006/relationships" ref="H77" r:id="rId377"/>
    <hyperlink xmlns:r="http://schemas.openxmlformats.org/officeDocument/2006/relationships" ref="AD77" r:id="rId378"/>
    <hyperlink xmlns:r="http://schemas.openxmlformats.org/officeDocument/2006/relationships" ref="AM77" r:id="rId379"/>
    <hyperlink xmlns:r="http://schemas.openxmlformats.org/officeDocument/2006/relationships" ref="C78" r:id="rId380"/>
    <hyperlink xmlns:r="http://schemas.openxmlformats.org/officeDocument/2006/relationships" ref="D78" r:id="rId381"/>
    <hyperlink xmlns:r="http://schemas.openxmlformats.org/officeDocument/2006/relationships" ref="H78" r:id="rId382"/>
    <hyperlink xmlns:r="http://schemas.openxmlformats.org/officeDocument/2006/relationships" ref="AD78" r:id="rId383"/>
    <hyperlink xmlns:r="http://schemas.openxmlformats.org/officeDocument/2006/relationships" ref="AM78" r:id="rId384"/>
    <hyperlink xmlns:r="http://schemas.openxmlformats.org/officeDocument/2006/relationships" ref="C79" r:id="rId385"/>
    <hyperlink xmlns:r="http://schemas.openxmlformats.org/officeDocument/2006/relationships" ref="D79" r:id="rId386"/>
    <hyperlink xmlns:r="http://schemas.openxmlformats.org/officeDocument/2006/relationships" ref="H79" r:id="rId387"/>
    <hyperlink xmlns:r="http://schemas.openxmlformats.org/officeDocument/2006/relationships" ref="AD79" r:id="rId388"/>
    <hyperlink xmlns:r="http://schemas.openxmlformats.org/officeDocument/2006/relationships" ref="AI79" r:id="rId389"/>
    <hyperlink xmlns:r="http://schemas.openxmlformats.org/officeDocument/2006/relationships" ref="AM79" r:id="rId390"/>
    <hyperlink xmlns:r="http://schemas.openxmlformats.org/officeDocument/2006/relationships" ref="C80" r:id="rId391"/>
    <hyperlink xmlns:r="http://schemas.openxmlformats.org/officeDocument/2006/relationships" ref="D80" r:id="rId392"/>
    <hyperlink xmlns:r="http://schemas.openxmlformats.org/officeDocument/2006/relationships" ref="H80" r:id="rId393"/>
    <hyperlink xmlns:r="http://schemas.openxmlformats.org/officeDocument/2006/relationships" ref="AD80" r:id="rId394"/>
    <hyperlink xmlns:r="http://schemas.openxmlformats.org/officeDocument/2006/relationships" ref="AM80" r:id="rId395"/>
    <hyperlink xmlns:r="http://schemas.openxmlformats.org/officeDocument/2006/relationships" ref="C81" r:id="rId396"/>
    <hyperlink xmlns:r="http://schemas.openxmlformats.org/officeDocument/2006/relationships" ref="D81" r:id="rId397"/>
    <hyperlink xmlns:r="http://schemas.openxmlformats.org/officeDocument/2006/relationships" ref="H81" r:id="rId398"/>
    <hyperlink xmlns:r="http://schemas.openxmlformats.org/officeDocument/2006/relationships" ref="AD81" r:id="rId399"/>
    <hyperlink xmlns:r="http://schemas.openxmlformats.org/officeDocument/2006/relationships" ref="AM81" r:id="rId400"/>
    <hyperlink xmlns:r="http://schemas.openxmlformats.org/officeDocument/2006/relationships" ref="C82" r:id="rId401"/>
    <hyperlink xmlns:r="http://schemas.openxmlformats.org/officeDocument/2006/relationships" ref="D82" r:id="rId402"/>
    <hyperlink xmlns:r="http://schemas.openxmlformats.org/officeDocument/2006/relationships" ref="H82" r:id="rId403"/>
    <hyperlink xmlns:r="http://schemas.openxmlformats.org/officeDocument/2006/relationships" ref="AD82" r:id="rId404"/>
    <hyperlink xmlns:r="http://schemas.openxmlformats.org/officeDocument/2006/relationships" ref="AM82" r:id="rId405"/>
    <hyperlink xmlns:r="http://schemas.openxmlformats.org/officeDocument/2006/relationships" ref="C83" r:id="rId406"/>
    <hyperlink xmlns:r="http://schemas.openxmlformats.org/officeDocument/2006/relationships" ref="D83" r:id="rId407"/>
    <hyperlink xmlns:r="http://schemas.openxmlformats.org/officeDocument/2006/relationships" ref="H83" r:id="rId408"/>
    <hyperlink xmlns:r="http://schemas.openxmlformats.org/officeDocument/2006/relationships" ref="AD83" r:id="rId409"/>
    <hyperlink xmlns:r="http://schemas.openxmlformats.org/officeDocument/2006/relationships" ref="AM83" r:id="rId410"/>
    <hyperlink xmlns:r="http://schemas.openxmlformats.org/officeDocument/2006/relationships" ref="C84" r:id="rId411"/>
    <hyperlink xmlns:r="http://schemas.openxmlformats.org/officeDocument/2006/relationships" ref="D84" r:id="rId412"/>
    <hyperlink xmlns:r="http://schemas.openxmlformats.org/officeDocument/2006/relationships" ref="H84" r:id="rId413"/>
    <hyperlink xmlns:r="http://schemas.openxmlformats.org/officeDocument/2006/relationships" ref="AD84" r:id="rId414"/>
    <hyperlink xmlns:r="http://schemas.openxmlformats.org/officeDocument/2006/relationships" ref="AI84" r:id="rId415"/>
    <hyperlink xmlns:r="http://schemas.openxmlformats.org/officeDocument/2006/relationships" ref="AM84" r:id="rId416"/>
    <hyperlink xmlns:r="http://schemas.openxmlformats.org/officeDocument/2006/relationships" ref="C85" r:id="rId417"/>
    <hyperlink xmlns:r="http://schemas.openxmlformats.org/officeDocument/2006/relationships" ref="D85" r:id="rId418"/>
    <hyperlink xmlns:r="http://schemas.openxmlformats.org/officeDocument/2006/relationships" ref="H85" r:id="rId419"/>
    <hyperlink xmlns:r="http://schemas.openxmlformats.org/officeDocument/2006/relationships" ref="AD85" r:id="rId420"/>
    <hyperlink xmlns:r="http://schemas.openxmlformats.org/officeDocument/2006/relationships" ref="AM85" r:id="rId421"/>
    <hyperlink xmlns:r="http://schemas.openxmlformats.org/officeDocument/2006/relationships" ref="C86" r:id="rId422"/>
    <hyperlink xmlns:r="http://schemas.openxmlformats.org/officeDocument/2006/relationships" ref="D86" r:id="rId423"/>
    <hyperlink xmlns:r="http://schemas.openxmlformats.org/officeDocument/2006/relationships" ref="H86" r:id="rId424"/>
    <hyperlink xmlns:r="http://schemas.openxmlformats.org/officeDocument/2006/relationships" ref="AD86" r:id="rId425"/>
    <hyperlink xmlns:r="http://schemas.openxmlformats.org/officeDocument/2006/relationships" ref="AM86" r:id="rId426"/>
    <hyperlink xmlns:r="http://schemas.openxmlformats.org/officeDocument/2006/relationships" ref="C87" r:id="rId427"/>
    <hyperlink xmlns:r="http://schemas.openxmlformats.org/officeDocument/2006/relationships" ref="D87" r:id="rId428"/>
    <hyperlink xmlns:r="http://schemas.openxmlformats.org/officeDocument/2006/relationships" ref="H87" r:id="rId429"/>
    <hyperlink xmlns:r="http://schemas.openxmlformats.org/officeDocument/2006/relationships" ref="AD87" r:id="rId430"/>
    <hyperlink xmlns:r="http://schemas.openxmlformats.org/officeDocument/2006/relationships" ref="AM87" r:id="rId431"/>
    <hyperlink xmlns:r="http://schemas.openxmlformats.org/officeDocument/2006/relationships" ref="C88" r:id="rId432"/>
    <hyperlink xmlns:r="http://schemas.openxmlformats.org/officeDocument/2006/relationships" ref="D88" r:id="rId433"/>
    <hyperlink xmlns:r="http://schemas.openxmlformats.org/officeDocument/2006/relationships" ref="H88" r:id="rId434"/>
    <hyperlink xmlns:r="http://schemas.openxmlformats.org/officeDocument/2006/relationships" ref="AD88" r:id="rId435"/>
    <hyperlink xmlns:r="http://schemas.openxmlformats.org/officeDocument/2006/relationships" ref="AM88" r:id="rId436"/>
    <hyperlink xmlns:r="http://schemas.openxmlformats.org/officeDocument/2006/relationships" ref="C89" r:id="rId437"/>
    <hyperlink xmlns:r="http://schemas.openxmlformats.org/officeDocument/2006/relationships" ref="D89" r:id="rId438"/>
    <hyperlink xmlns:r="http://schemas.openxmlformats.org/officeDocument/2006/relationships" ref="H89" r:id="rId439"/>
    <hyperlink xmlns:r="http://schemas.openxmlformats.org/officeDocument/2006/relationships" ref="AD89" r:id="rId440"/>
    <hyperlink xmlns:r="http://schemas.openxmlformats.org/officeDocument/2006/relationships" ref="AM89" r:id="rId441"/>
    <hyperlink xmlns:r="http://schemas.openxmlformats.org/officeDocument/2006/relationships" ref="C90" r:id="rId442"/>
    <hyperlink xmlns:r="http://schemas.openxmlformats.org/officeDocument/2006/relationships" ref="D90" r:id="rId443"/>
    <hyperlink xmlns:r="http://schemas.openxmlformats.org/officeDocument/2006/relationships" ref="H90" r:id="rId444"/>
    <hyperlink xmlns:r="http://schemas.openxmlformats.org/officeDocument/2006/relationships" ref="AD90" r:id="rId445"/>
    <hyperlink xmlns:r="http://schemas.openxmlformats.org/officeDocument/2006/relationships" ref="AM90" r:id="rId446"/>
    <hyperlink xmlns:r="http://schemas.openxmlformats.org/officeDocument/2006/relationships" ref="C91" r:id="rId447"/>
    <hyperlink xmlns:r="http://schemas.openxmlformats.org/officeDocument/2006/relationships" ref="D91" r:id="rId448"/>
    <hyperlink xmlns:r="http://schemas.openxmlformats.org/officeDocument/2006/relationships" ref="H91" r:id="rId449"/>
    <hyperlink xmlns:r="http://schemas.openxmlformats.org/officeDocument/2006/relationships" ref="AD91" r:id="rId450"/>
    <hyperlink xmlns:r="http://schemas.openxmlformats.org/officeDocument/2006/relationships" ref="AM91" r:id="rId451"/>
    <hyperlink xmlns:r="http://schemas.openxmlformats.org/officeDocument/2006/relationships" ref="C92" r:id="rId452"/>
    <hyperlink xmlns:r="http://schemas.openxmlformats.org/officeDocument/2006/relationships" ref="D92" r:id="rId453"/>
    <hyperlink xmlns:r="http://schemas.openxmlformats.org/officeDocument/2006/relationships" ref="H92" r:id="rId454"/>
    <hyperlink xmlns:r="http://schemas.openxmlformats.org/officeDocument/2006/relationships" ref="AD92" r:id="rId455"/>
    <hyperlink xmlns:r="http://schemas.openxmlformats.org/officeDocument/2006/relationships" ref="AM92" r:id="rId456"/>
    <hyperlink xmlns:r="http://schemas.openxmlformats.org/officeDocument/2006/relationships" ref="C93" r:id="rId457"/>
    <hyperlink xmlns:r="http://schemas.openxmlformats.org/officeDocument/2006/relationships" ref="D93" r:id="rId458"/>
    <hyperlink xmlns:r="http://schemas.openxmlformats.org/officeDocument/2006/relationships" ref="H93" r:id="rId459"/>
    <hyperlink xmlns:r="http://schemas.openxmlformats.org/officeDocument/2006/relationships" ref="AD93" r:id="rId460"/>
    <hyperlink xmlns:r="http://schemas.openxmlformats.org/officeDocument/2006/relationships" ref="AM93" r:id="rId461"/>
    <hyperlink xmlns:r="http://schemas.openxmlformats.org/officeDocument/2006/relationships" ref="C94" r:id="rId462"/>
    <hyperlink xmlns:r="http://schemas.openxmlformats.org/officeDocument/2006/relationships" ref="D94" r:id="rId463"/>
    <hyperlink xmlns:r="http://schemas.openxmlformats.org/officeDocument/2006/relationships" ref="H94" r:id="rId464"/>
    <hyperlink xmlns:r="http://schemas.openxmlformats.org/officeDocument/2006/relationships" ref="AD94" r:id="rId465"/>
    <hyperlink xmlns:r="http://schemas.openxmlformats.org/officeDocument/2006/relationships" ref="AM94" r:id="rId466"/>
    <hyperlink xmlns:r="http://schemas.openxmlformats.org/officeDocument/2006/relationships" ref="C95" r:id="rId467"/>
    <hyperlink xmlns:r="http://schemas.openxmlformats.org/officeDocument/2006/relationships" ref="D95" r:id="rId468"/>
    <hyperlink xmlns:r="http://schemas.openxmlformats.org/officeDocument/2006/relationships" ref="H95" r:id="rId469"/>
    <hyperlink xmlns:r="http://schemas.openxmlformats.org/officeDocument/2006/relationships" ref="AD95" r:id="rId470"/>
    <hyperlink xmlns:r="http://schemas.openxmlformats.org/officeDocument/2006/relationships" ref="AM95" r:id="rId471"/>
    <hyperlink xmlns:r="http://schemas.openxmlformats.org/officeDocument/2006/relationships" ref="C96" r:id="rId472"/>
    <hyperlink xmlns:r="http://schemas.openxmlformats.org/officeDocument/2006/relationships" ref="D96" r:id="rId473"/>
    <hyperlink xmlns:r="http://schemas.openxmlformats.org/officeDocument/2006/relationships" ref="H96" r:id="rId474"/>
    <hyperlink xmlns:r="http://schemas.openxmlformats.org/officeDocument/2006/relationships" ref="AD96" r:id="rId475"/>
    <hyperlink xmlns:r="http://schemas.openxmlformats.org/officeDocument/2006/relationships" ref="AM96" r:id="rId476"/>
    <hyperlink xmlns:r="http://schemas.openxmlformats.org/officeDocument/2006/relationships" ref="C97" r:id="rId477"/>
    <hyperlink xmlns:r="http://schemas.openxmlformats.org/officeDocument/2006/relationships" ref="D97" r:id="rId478"/>
    <hyperlink xmlns:r="http://schemas.openxmlformats.org/officeDocument/2006/relationships" ref="H97" r:id="rId479"/>
    <hyperlink xmlns:r="http://schemas.openxmlformats.org/officeDocument/2006/relationships" ref="AD97" r:id="rId480"/>
    <hyperlink xmlns:r="http://schemas.openxmlformats.org/officeDocument/2006/relationships" ref="AM97" r:id="rId481"/>
    <hyperlink xmlns:r="http://schemas.openxmlformats.org/officeDocument/2006/relationships" ref="C98" r:id="rId482"/>
    <hyperlink xmlns:r="http://schemas.openxmlformats.org/officeDocument/2006/relationships" ref="D98" r:id="rId483"/>
    <hyperlink xmlns:r="http://schemas.openxmlformats.org/officeDocument/2006/relationships" ref="H98" r:id="rId484"/>
    <hyperlink xmlns:r="http://schemas.openxmlformats.org/officeDocument/2006/relationships" ref="AD98" r:id="rId485"/>
    <hyperlink xmlns:r="http://schemas.openxmlformats.org/officeDocument/2006/relationships" ref="AM98" r:id="rId486"/>
    <hyperlink xmlns:r="http://schemas.openxmlformats.org/officeDocument/2006/relationships" ref="C99" r:id="rId487"/>
    <hyperlink xmlns:r="http://schemas.openxmlformats.org/officeDocument/2006/relationships" ref="D99" r:id="rId488"/>
    <hyperlink xmlns:r="http://schemas.openxmlformats.org/officeDocument/2006/relationships" ref="H99" r:id="rId489"/>
    <hyperlink xmlns:r="http://schemas.openxmlformats.org/officeDocument/2006/relationships" ref="AD99" r:id="rId490"/>
    <hyperlink xmlns:r="http://schemas.openxmlformats.org/officeDocument/2006/relationships" ref="AM99" r:id="rId491"/>
    <hyperlink xmlns:r="http://schemas.openxmlformats.org/officeDocument/2006/relationships" ref="C100" r:id="rId492"/>
    <hyperlink xmlns:r="http://schemas.openxmlformats.org/officeDocument/2006/relationships" ref="D100" r:id="rId493"/>
    <hyperlink xmlns:r="http://schemas.openxmlformats.org/officeDocument/2006/relationships" ref="H100" r:id="rId494"/>
    <hyperlink xmlns:r="http://schemas.openxmlformats.org/officeDocument/2006/relationships" ref="AD100" r:id="rId495"/>
    <hyperlink xmlns:r="http://schemas.openxmlformats.org/officeDocument/2006/relationships" ref="AM100" r:id="rId496"/>
    <hyperlink xmlns:r="http://schemas.openxmlformats.org/officeDocument/2006/relationships" ref="C101" r:id="rId497"/>
    <hyperlink xmlns:r="http://schemas.openxmlformats.org/officeDocument/2006/relationships" ref="D101" r:id="rId498"/>
    <hyperlink xmlns:r="http://schemas.openxmlformats.org/officeDocument/2006/relationships" ref="H101" r:id="rId499"/>
    <hyperlink xmlns:r="http://schemas.openxmlformats.org/officeDocument/2006/relationships" ref="AD101" r:id="rId500"/>
    <hyperlink xmlns:r="http://schemas.openxmlformats.org/officeDocument/2006/relationships" ref="AM101" r:id="rId501"/>
    <hyperlink xmlns:r="http://schemas.openxmlformats.org/officeDocument/2006/relationships" ref="C102" r:id="rId502"/>
    <hyperlink xmlns:r="http://schemas.openxmlformats.org/officeDocument/2006/relationships" ref="D102" r:id="rId503"/>
    <hyperlink xmlns:r="http://schemas.openxmlformats.org/officeDocument/2006/relationships" ref="H102" r:id="rId504"/>
    <hyperlink xmlns:r="http://schemas.openxmlformats.org/officeDocument/2006/relationships" ref="AD102" r:id="rId505"/>
    <hyperlink xmlns:r="http://schemas.openxmlformats.org/officeDocument/2006/relationships" ref="AM102" r:id="rId506"/>
    <hyperlink xmlns:r="http://schemas.openxmlformats.org/officeDocument/2006/relationships" ref="C103" r:id="rId507"/>
    <hyperlink xmlns:r="http://schemas.openxmlformats.org/officeDocument/2006/relationships" ref="D103" r:id="rId508"/>
    <hyperlink xmlns:r="http://schemas.openxmlformats.org/officeDocument/2006/relationships" ref="H103" r:id="rId509"/>
    <hyperlink xmlns:r="http://schemas.openxmlformats.org/officeDocument/2006/relationships" ref="AD103" r:id="rId510"/>
    <hyperlink xmlns:r="http://schemas.openxmlformats.org/officeDocument/2006/relationships" ref="AM103" r:id="rId511"/>
    <hyperlink xmlns:r="http://schemas.openxmlformats.org/officeDocument/2006/relationships" ref="C104" r:id="rId512"/>
    <hyperlink xmlns:r="http://schemas.openxmlformats.org/officeDocument/2006/relationships" ref="D104" r:id="rId513"/>
    <hyperlink xmlns:r="http://schemas.openxmlformats.org/officeDocument/2006/relationships" ref="H104" r:id="rId514"/>
    <hyperlink xmlns:r="http://schemas.openxmlformats.org/officeDocument/2006/relationships" ref="AD104" r:id="rId515"/>
    <hyperlink xmlns:r="http://schemas.openxmlformats.org/officeDocument/2006/relationships" ref="AM104" r:id="rId516"/>
    <hyperlink xmlns:r="http://schemas.openxmlformats.org/officeDocument/2006/relationships" ref="C105" r:id="rId517"/>
    <hyperlink xmlns:r="http://schemas.openxmlformats.org/officeDocument/2006/relationships" ref="D105" r:id="rId518"/>
    <hyperlink xmlns:r="http://schemas.openxmlformats.org/officeDocument/2006/relationships" ref="H105" r:id="rId519"/>
    <hyperlink xmlns:r="http://schemas.openxmlformats.org/officeDocument/2006/relationships" ref="AD105" r:id="rId520"/>
    <hyperlink xmlns:r="http://schemas.openxmlformats.org/officeDocument/2006/relationships" ref="AM105" r:id="rId521"/>
    <hyperlink xmlns:r="http://schemas.openxmlformats.org/officeDocument/2006/relationships" ref="C106" r:id="rId522"/>
    <hyperlink xmlns:r="http://schemas.openxmlformats.org/officeDocument/2006/relationships" ref="D106" r:id="rId523"/>
    <hyperlink xmlns:r="http://schemas.openxmlformats.org/officeDocument/2006/relationships" ref="H106" r:id="rId524"/>
    <hyperlink xmlns:r="http://schemas.openxmlformats.org/officeDocument/2006/relationships" ref="AD106" r:id="rId525"/>
    <hyperlink xmlns:r="http://schemas.openxmlformats.org/officeDocument/2006/relationships" ref="AM106" r:id="rId526"/>
    <hyperlink xmlns:r="http://schemas.openxmlformats.org/officeDocument/2006/relationships" ref="C107" r:id="rId527"/>
    <hyperlink xmlns:r="http://schemas.openxmlformats.org/officeDocument/2006/relationships" ref="D107" r:id="rId528"/>
    <hyperlink xmlns:r="http://schemas.openxmlformats.org/officeDocument/2006/relationships" ref="H107" r:id="rId529"/>
    <hyperlink xmlns:r="http://schemas.openxmlformats.org/officeDocument/2006/relationships" ref="AD107" r:id="rId530"/>
    <hyperlink xmlns:r="http://schemas.openxmlformats.org/officeDocument/2006/relationships" ref="AM107" r:id="rId531"/>
    <hyperlink xmlns:r="http://schemas.openxmlformats.org/officeDocument/2006/relationships" ref="C108" r:id="rId532"/>
    <hyperlink xmlns:r="http://schemas.openxmlformats.org/officeDocument/2006/relationships" ref="D108" r:id="rId533"/>
    <hyperlink xmlns:r="http://schemas.openxmlformats.org/officeDocument/2006/relationships" ref="H108" r:id="rId534"/>
    <hyperlink xmlns:r="http://schemas.openxmlformats.org/officeDocument/2006/relationships" ref="AD108" r:id="rId535"/>
    <hyperlink xmlns:r="http://schemas.openxmlformats.org/officeDocument/2006/relationships" ref="AM108" r:id="rId5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M139"/>
  <sheetViews>
    <sheetView showGridLines="1" workbookViewId="0">
      <pane ySplit="1" topLeftCell="A2" activePane="bottomLeft" state="frozen"/>
      <selection pane="bottomLeft" activeCell="A1" sqref="A1"/>
    </sheetView>
  </sheetViews>
  <sheetFormatPr baseColWidth="8" defaultRowHeight="15"/>
  <cols>
    <col width="35" customWidth="1" min="1" max="1"/>
    <col width="20" customWidth="1" min="2" max="2"/>
    <col width="48" customWidth="1" min="3" max="3"/>
    <col width="31" customWidth="1" min="4" max="4"/>
    <col width="55" customWidth="1" min="5" max="5"/>
    <col width="31" customWidth="1" min="6" max="6"/>
    <col width="15" customWidth="1" min="7" max="7"/>
    <col width="48" customWidth="1" min="8" max="8"/>
    <col width="16" customWidth="1" min="9" max="9"/>
    <col width="51" customWidth="1" min="10" max="10"/>
    <col width="16" customWidth="1" min="11" max="11"/>
    <col width="55" customWidth="1" min="12" max="12"/>
    <col width="22" customWidth="1" min="13" max="13"/>
    <col width="14" customWidth="1" min="14" max="14"/>
    <col width="19" customWidth="1" min="15" max="15"/>
    <col width="16" customWidth="1" min="16" max="16"/>
    <col width="29" customWidth="1" min="17" max="17"/>
    <col width="55" customWidth="1" min="18" max="18"/>
    <col width="55" customWidth="1" min="19" max="19"/>
    <col width="17"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48" customWidth="1" min="30" max="30"/>
    <col width="55" customWidth="1" min="31" max="31"/>
    <col width="32" customWidth="1" min="32" max="32"/>
    <col width="47" customWidth="1" min="33" max="33"/>
    <col width="19" customWidth="1" min="34" max="34"/>
    <col width="48" customWidth="1" min="35" max="35"/>
    <col width="29" customWidth="1" min="36" max="36"/>
    <col width="53" customWidth="1" min="37" max="37"/>
    <col width="17" customWidth="1" min="38" max="38"/>
    <col width="48" customWidth="1" min="39" max="39"/>
  </cols>
  <sheetData>
    <row r="1" ht="28" customHeight="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Flagship Paper Hook</t>
        </is>
      </c>
      <c r="N1" s="1" t="inlineStr">
        <is>
          <t>Tech Stack</t>
        </is>
      </c>
      <c r="O1" s="1" t="inlineStr">
        <is>
          <t>Physical Finding</t>
        </is>
      </c>
      <c r="P1" s="1" t="inlineStr">
        <is>
          <t>Research Hook</t>
        </is>
      </c>
      <c r="Q1" s="1" t="inlineStr">
        <is>
          <t>Latest Paper / Publication</t>
        </is>
      </c>
      <c r="R1" s="1" t="inlineStr">
        <is>
          <t>Recent Papers (2024-2026)</t>
        </is>
      </c>
      <c r="S1" s="1" t="inlineStr">
        <is>
          <t>Top Cited Papers</t>
        </is>
      </c>
      <c r="T1" s="1" t="inlineStr">
        <is>
          <t>Courses Taught</t>
        </is>
      </c>
      <c r="U1" s="1" t="inlineStr">
        <is>
          <t>Recent Awards / Honors</t>
        </is>
      </c>
      <c r="V1" s="1" t="inlineStr">
        <is>
          <t>Cold Email / Application Instructions</t>
        </is>
      </c>
      <c r="W1" s="1" t="inlineStr">
        <is>
          <t>OpenAlex Research Topics</t>
        </is>
      </c>
      <c r="X1" s="1" t="inlineStr">
        <is>
          <t>Google Scholar Tags</t>
        </is>
      </c>
      <c r="Y1" s="1" t="inlineStr">
        <is>
          <t>Research Interests</t>
        </is>
      </c>
      <c r="Z1" s="1" t="inlineStr">
        <is>
          <t>Expertise Areas</t>
        </is>
      </c>
      <c r="AA1" s="1" t="inlineStr">
        <is>
          <t>Research / Bio Summary</t>
        </is>
      </c>
      <c r="AB1" s="1" t="inlineStr">
        <is>
          <t>Education / Degrees</t>
        </is>
      </c>
      <c r="AC1" s="1" t="inlineStr">
        <is>
          <t>Lab / Research Group Name</t>
        </is>
      </c>
      <c r="AD1" s="1" t="inlineStr">
        <is>
          <t>Lab / Personal Website</t>
        </is>
      </c>
      <c r="AE1" s="1" t="inlineStr">
        <is>
          <t>Actively Hiring / Openings</t>
        </is>
      </c>
      <c r="AF1" s="1" t="inlineStr">
        <is>
          <t>Target Skills / Prerequisites</t>
        </is>
      </c>
      <c r="AG1" s="1" t="inlineStr">
        <is>
          <t>Lab Facilities &amp; Equipment</t>
        </is>
      </c>
      <c r="AH1" s="1" t="inlineStr">
        <is>
          <t>Funding Sponsors</t>
        </is>
      </c>
      <c r="AI1" s="1" t="inlineStr">
        <is>
          <t>Software / Code Repo</t>
        </is>
      </c>
      <c r="AJ1" s="1" t="inlineStr">
        <is>
          <t>Latest Project / Highlight</t>
        </is>
      </c>
      <c r="AK1" s="1" t="inlineStr">
        <is>
          <t>Office Location</t>
        </is>
      </c>
      <c r="AL1" s="1" t="inlineStr">
        <is>
          <t>Is Field Match</t>
        </is>
      </c>
      <c r="AM1" s="1" t="inlineStr">
        <is>
          <t>Directory URL</t>
        </is>
      </c>
    </row>
    <row r="2">
      <c r="A2" s="2" t="inlineStr">
        <is>
          <t>Gregory A. Blaisdell</t>
        </is>
      </c>
      <c r="B2" s="2" t="inlineStr">
        <is>
          <t>Purdue University</t>
        </is>
      </c>
      <c r="C2" s="3">
        <f>HYPERLINK("https://engineering.purdue.edu/AAE/people/ptProfile?resource_id=1377", "https://engineering.purdue.edu/AAE/people/ptProfile?resource_id=1377")</f>
        <v/>
      </c>
      <c r="D2" s="3">
        <f>HYPERLINK("https://scholar.google.com/citations?view_op=search_authors&amp;mauthors=Gregory%20A.%20Blaisdell%20Purdue%20University", "Google Scholar Search")</f>
        <v/>
      </c>
      <c r="E2" s="2" t="inlineStr">
        <is>
          <t>Professor</t>
        </is>
      </c>
      <c r="F2" s="2" t="inlineStr">
        <is>
          <t>Aeronautics and Astronautics</t>
        </is>
      </c>
      <c r="G2" s="2" t="inlineStr"/>
      <c r="H2" s="3">
        <f>HYPERLINK("mailto:blaisdel@purdue.edu", "blaisdel@purdue.edu")</f>
        <v/>
      </c>
      <c r="I2" s="2" t="n">
        <v>1</v>
      </c>
      <c r="J2" s="2" t="inlineStr">
        <is>
          <t>🔵 Tier 1: Core Aero / Fluids / Propulsion</t>
        </is>
      </c>
      <c r="K2" s="2" t="n">
        <v>13</v>
      </c>
      <c r="L2" s="2" t="inlineStr">
        <is>
          <t>boundary layer, cfd, combustion, computational fluid dynamics, direct numerical simulation, dns, fluid dynamics, fluid mechanics, heat transfer, les, numerical methods, turbulence, turbulent</t>
        </is>
      </c>
      <c r="M2" s="2" t="inlineStr"/>
      <c r="N2" s="2" t="inlineStr"/>
      <c r="O2" s="2" t="inlineStr"/>
      <c r="P2" s="2" t="inlineStr"/>
      <c r="Q2" s="2" t="inlineStr"/>
      <c r="R2" s="2" t="inlineStr">
        <is>
          <t>"Performance Analysis of an Unsteady Ejector Driven by Exhaust Conditions of a Rotating Detonation Engine (RDE)" (2026) [DOI: https://doi.org/10.2514/6.2026-1976] | "Large-Eddy Simulation of an Axisymmetric Shock-Wave/Boundary-Layer Interaction at Mach 2.5" (2026) [DOI: https://doi.org/10.2514/6.2026-2519] | "Time Resolved BOS Velocimetry of Synthetic Raytraced Images of a Low Speed Mixing Flow" (2026) [DOI: https://doi.org/10.2514/6.2026-2293]</t>
        </is>
      </c>
      <c r="S2" s="2" t="inlineStr">
        <is>
          <t>"The effect of the formulation of nonlinear terms on aliasing errors in spectral methods" [Applied Numerical Mathematics] (1996, 183 cites) [DOI: https://doi.org/10.1016/0168-9274(96)00005-0] | "Compressibility effects on the growth and structure of homogeneous turbulent shear flow" [Journal of Fluid Mechanics] (1993, 179 cites) [DOI: https://doi.org/10.1017/s0022112093002848] | "Overview of Turbulent Inflow Boundary Conditions for Large-Eddy Simulations" [AIAA Journal] (2017, 173 cites) [DOI: https://doi.org/10.2514/1.j055528]</t>
        </is>
      </c>
      <c r="T2" s="2" t="inlineStr"/>
      <c r="U2" s="2" t="inlineStr">
        <is>
          <t>NASA-ASEE Summer Faculty Fellowship, 1995-1996 W. A. Gustafson Teaching Award, Fall 1997, Fall 2014</t>
        </is>
      </c>
      <c r="V2" s="2" t="inlineStr"/>
      <c r="W2" s="2" t="inlineStr">
        <is>
          <t>Fluid Dynamics and Turbulent Flows (109) | Computational Fluid Dynamics and Aerodynamics (74) | Aerodynamics and Acoustics in Jet Flows (71)</t>
        </is>
      </c>
      <c r="X2" s="2" t="inlineStr">
        <is>
          <t>Fluid Dynamics and Turbulent Flows (109) | Computational Fluid Dynamics and Aerodynamics (74) | Aerodynamics and Acoustics in Jet Flows (71)</t>
        </is>
      </c>
      <c r="Y2" s="2" t="inlineStr">
        <is>
          <t>Computational fluid mechanics Transition and turbulence</t>
        </is>
      </c>
      <c r="Z2" s="2" t="inlineStr">
        <is>
          <t>Current research interests involve the study of transitional and turbulent fluid flows using computational fluid dynamics (CFD) as an investigative tool.  Most flows of engineering interest are turbulent and turbulence has a significant impact on the performance of engineering systems. The drag on a body is generally much greater if the boundary layer is turbulent. Turbulence also increases heat transfer between a fluid and a surface. In addition, turbulent mixing is important to combustion. The physics of basic turbulent flows are studied using direct numerical simulations (DNS) and large-eddy simulations (LES). With LES the motion of the largest eddies are solved for directly while the effects of the unresolved small scale eddies are modeled. In contrast, with DNS all the relevant length scales within the turbulence are resolved and no modeling is needed. The results of the simulations are used to increase our understanding of turbulence and to test and improve turbulence models. Parallel computing and advanced numerical methods is another area of interest.</t>
        </is>
      </c>
      <c r="AA2" s="2" t="inlineStr">
        <is>
          <t>Current research interests involve the study of transitional and turbulent fluid flows using computational fluid dynamics (CFD) as an investigative tool.  Most flows of engineering interest are turbulent and turbulence has a significant impact on the performance of engineering systems. The drag on a body is generally much greater if the boundary layer is turbulent. Turbulence also increases hea...</t>
        </is>
      </c>
      <c r="AB2" s="2" t="inlineStr">
        <is>
          <t>B. S., California Institute of Technology, Applied Mathematics, 1980 M. S., California Institute of Technology, Applied Mathematics, 1982 Ph.D., Stanford University, Mechanical Engineering, 1991</t>
        </is>
      </c>
      <c r="AC2" s="2" t="inlineStr">
        <is>
          <t>Indiana Space Grant Consortium</t>
        </is>
      </c>
      <c r="AD2" s="3">
        <f>HYPERLINK("https://insgc.spacegrant.org/", "https://insgc.spacegrant.org/")</f>
        <v/>
      </c>
      <c r="AE2" s="2" t="inlineStr">
        <is>
          <t>Academic INSGC Internships</t>
        </is>
      </c>
      <c r="AF2" s="2" t="inlineStr"/>
      <c r="AG2" s="2" t="inlineStr"/>
      <c r="AH2" s="2" t="inlineStr">
        <is>
          <t>NASA</t>
        </is>
      </c>
      <c r="AI2" s="2" t="inlineStr"/>
      <c r="AJ2" s="2" t="inlineStr"/>
      <c r="AK2" s="2" t="inlineStr">
        <is>
          <t>ARMS 2029</t>
        </is>
      </c>
      <c r="AL2" s="2" t="b">
        <v>1</v>
      </c>
      <c r="AM2" s="3">
        <f>HYPERLINK("https://engineering.purdue.edu/AAE/people/Faculty", "https://engineering.purdue.edu/AAE/people/Faculty")</f>
        <v/>
      </c>
    </row>
    <row r="3">
      <c r="A3" s="2" t="inlineStr">
        <is>
          <t>Sally Bane</t>
        </is>
      </c>
      <c r="B3" s="2" t="inlineStr">
        <is>
          <t>Purdue University</t>
        </is>
      </c>
      <c r="C3" s="3">
        <f>HYPERLINK("https://engineering.purdue.edu/AAE/people/ptProfile?resource_id=72424", "https://engineering.purdue.edu/AAE/people/ptProfile?resource_id=72424")</f>
        <v/>
      </c>
      <c r="D3" s="3">
        <f>HYPERLINK("https://scholar.google.com/citations?user=fprhTwwAAAAJ&amp;hl=en", "Scholar (fprhTwwAAAAJ)")</f>
        <v/>
      </c>
      <c r="E3" s="2" t="inlineStr">
        <is>
          <t>Director of Laboratory &amp; Hands On Education and Associate Professor of AAE</t>
        </is>
      </c>
      <c r="F3" s="2" t="inlineStr">
        <is>
          <t>Aeronautics and Astronautics</t>
        </is>
      </c>
      <c r="G3" s="2" t="inlineStr">
        <is>
          <t>fprhTwwAAAAJ</t>
        </is>
      </c>
      <c r="H3" s="3">
        <f>HYPERLINK("mailto:sbane@purdue.edu", "sbane@purdue.edu")</f>
        <v/>
      </c>
      <c r="I3" s="2" t="n">
        <v>1</v>
      </c>
      <c r="J3" s="2" t="inlineStr">
        <is>
          <t>🔵 Tier 1: Core Aero / Fluids / Propulsion</t>
        </is>
      </c>
      <c r="K3" s="2" t="n">
        <v>11</v>
      </c>
      <c r="L3" s="2" t="inlineStr">
        <is>
          <t>aerodynamics, aerospace, boundary layer, combustion, detonation, flow control, hypersonic, propulsion, rotating detonation, supersonic, turbulent</t>
        </is>
      </c>
      <c r="M3" s="2" t="inlineStr"/>
      <c r="N3" s="2" t="inlineStr"/>
      <c r="O3" s="2" t="inlineStr"/>
      <c r="P3" s="2" t="inlineStr"/>
      <c r="Q3" s="2" t="inlineStr"/>
      <c r="R3" s="2" t="inlineStr">
        <is>
          <t>"Single-shot ultrafast dynamics of nanosecond pulsed plasmas: Transition from ps–ns nonequilibrium to near-full ionization" [Applied Physics Letters] (2026) [DOI: https://doi.org/10.1063/5.0341587] | "BOS/schlieren synthetic image generation via MIRAGE (MATLAB implementation of ray tracing for analysis of variable density Gradient Environments)" [Measurement Science and Technology] (2026) [DOI: https://doi.org/10.1088/1361-6501/ae4f0a] | "Active Control Strategies Using NRP Discharges for Thermoacoustic Instability Control in Methane-Air Atmospheric Combustion System" (2026) [DOI: https://doi.org/10.2514/6.2026-0398]</t>
        </is>
      </c>
      <c r="S3" s="2" t="inlineStr">
        <is>
          <t>"Investigation of the effect of electrode geometry on spark ignition" [Combustion and Flame] (2014, 87 cites) [DOI: https://doi.org/10.1016/j.combustflame.2014.07.017] | "Statistical analysis of electrostatic spark ignition of lean H2/O2/Ar mixtures" [International Journal of Hydrogen Energy] (2010, 69 cites) [DOI: https://doi.org/10.1016/j.ijhydene.2010.05.082] | "Experimental investigation of spark ignition energy in kerosene, hexane, and hydrogen" [Journal of Loss Prevention in the Process Industries] (2011, 68 cites) [DOI: https://doi.org/10.1016/j.jlp.2011.03.007]</t>
        </is>
      </c>
      <c r="T3" s="2" t="inlineStr"/>
      <c r="U3" s="2" t="inlineStr"/>
      <c r="V3" s="2" t="inlineStr"/>
      <c r="W3" s="2" t="inlineStr">
        <is>
          <t>Plasma Applications and Diagnostics (34) | Plasma and Flow Control in Aerodynamics (28) | Combustion and Detonation Processes (24)</t>
        </is>
      </c>
      <c r="X3" s="2" t="inlineStr">
        <is>
          <t>Plasma Applications and Diagnostics (34) | Plasma and Flow Control in Aerodynamics (28) | Combustion and Detonation Processes (24)</t>
        </is>
      </c>
      <c r="Y3" s="2" t="inlineStr">
        <is>
          <t>1. Plasmas for combustion and flow control nano-second repetitively pulsed (NRP) plasmas - generation and spectroscopic measurements plasma-assisted ignition (PAI) and combustion (PAC) plasma control of high-speed flows, shock wave/boundary layer interaction 2. Physics of supersonic and hypersonic turbulent flows and passive and active flow control 3. Optical methods for high-speed flow and combustion visualization and measurement PIV, BOS, schlieren image velocimetry (SIV) numerical tools for optical system modeling and design 4. Experimental combustion and propulsion ignition detonations and flame acceleration rotating detonation engines</t>
        </is>
      </c>
      <c r="Z3" s="2" t="inlineStr">
        <is>
          <t>Nonequilibrium plasmas, hypersonic and supersonic aerodynamics and flow control, optical and spectroscopic diagnostics, combustion and detonation dynamics</t>
        </is>
      </c>
      <c r="AA3" s="2" t="inlineStr">
        <is>
          <t>Nonequilibrium plasmas, hypersonic and supersonic aerodynamics and flow control, optical and spectroscopic diagnostics, combustion and detonation dynamics</t>
        </is>
      </c>
      <c r="AB3" s="2" t="inlineStr">
        <is>
          <t>B.S., University of Virginia, Aerospace Engineering, 2004 M.S., California Institute of Technology, Aeronautics, 2005 Ph.D., California Institute of Technology, Aeronautics, 2010</t>
        </is>
      </c>
      <c r="AC3" s="2" t="inlineStr">
        <is>
          <t>Indiana Space Grant Consortium</t>
        </is>
      </c>
      <c r="AD3" s="3">
        <f>HYPERLINK("https://insgc.spacegrant.org/", "https://insgc.spacegrant.org/")</f>
        <v/>
      </c>
      <c r="AE3" s="2" t="inlineStr">
        <is>
          <t>Academic INSGC Internships</t>
        </is>
      </c>
      <c r="AF3" s="2" t="inlineStr"/>
      <c r="AG3" s="2" t="inlineStr"/>
      <c r="AH3" s="2" t="inlineStr">
        <is>
          <t>NASA</t>
        </is>
      </c>
      <c r="AI3" s="2" t="inlineStr"/>
      <c r="AJ3" s="2" t="inlineStr"/>
      <c r="AK3" s="2" t="inlineStr">
        <is>
          <t>ARMS 3219</t>
        </is>
      </c>
      <c r="AL3" s="2" t="b">
        <v>1</v>
      </c>
      <c r="AM3" s="3">
        <f>HYPERLINK("https://engineering.purdue.edu/AAE/people/Faculty", "https://engineering.purdue.edu/AAE/people/Faculty")</f>
        <v/>
      </c>
    </row>
    <row r="4">
      <c r="A4" s="2" t="inlineStr">
        <is>
          <t>Carson Slabaugh</t>
        </is>
      </c>
      <c r="B4" s="2" t="inlineStr">
        <is>
          <t>Purdue University</t>
        </is>
      </c>
      <c r="C4" s="3">
        <f>HYPERLINK("https://engineering.purdue.edu/AAE/people/ptProfile?resource_id=124958", "https://engineering.purdue.edu/AAE/people/ptProfile?resource_id=124958")</f>
        <v/>
      </c>
      <c r="D4" s="3">
        <f>HYPERLINK("https://scholar.google.com/citations?view_op=search_authors&amp;mauthors=Carson%20Slabaugh%20Purdue%20University", "Google Scholar Search")</f>
        <v/>
      </c>
      <c r="E4" s="2" t="inlineStr">
        <is>
          <t>Paula Feuer Professor of Aeronautics and Astronautics</t>
        </is>
      </c>
      <c r="F4" s="2" t="inlineStr">
        <is>
          <t>Aeronautics and Astronautics</t>
        </is>
      </c>
      <c r="G4" s="2" t="inlineStr"/>
      <c r="H4" s="3">
        <f>HYPERLINK("mailto:cslabau@purdue.edu", "cslabau@purdue.edu")</f>
        <v/>
      </c>
      <c r="I4" s="2" t="n">
        <v>1</v>
      </c>
      <c r="J4" s="2" t="inlineStr">
        <is>
          <t>🔵 Tier 1: Core Aero / Fluids / Propulsion</t>
        </is>
      </c>
      <c r="K4" s="2" t="n">
        <v>10</v>
      </c>
      <c r="L4" s="2" t="inlineStr">
        <is>
          <t>combustion, detonation, energy systems, fluid mechanics, multiphase flow, propulsion, reacting flow, rotating detonation, turbulence, turbulent</t>
        </is>
      </c>
      <c r="M4" s="2" t="inlineStr"/>
      <c r="N4" s="2" t="inlineStr"/>
      <c r="O4" s="2" t="inlineStr"/>
      <c r="P4" s="2" t="inlineStr"/>
      <c r="Q4" s="2" t="inlineStr"/>
      <c r="R4" s="2" t="inlineStr">
        <is>
          <t>"Operating Mode Influence on Heat Release in an Axisymmetric Dual-Mode Ramjet" [AIAA Journal] (2026) [DOI: https://doi.org/10.2514/1.j067064] | "Coherent Stokes Raman Scattering for Simultaneous Measurement of CO 2 and CH 4 Temperatures" [Journal of Raman Spectroscopy] (2026) [DOI: https://doi.org/10.1002/jrs.70176] | "One-dimensional time-resolved single-shot femtosecond coherent anti-Stokes Raman scattering thermometry in reacting thermal gradients" [Applied Optics] (2026) [DOI: https://doi.org/10.1364/ao.583207]</t>
        </is>
      </c>
      <c r="S4" s="2" t="inlineStr">
        <is>
          <t>"3 kHz PIV/OH-PLIF measurements in a gas turbine combustor at elevated pressure" [Proceedings of the Combustion Institute] (2014, 89 cites) [DOI: https://doi.org/10.1016/j.proci.2014.06.090] | "High-Speed Diagnostics in a Natural Gas–Air Rotating Detonation Engine" [Journal of Propulsion and Power] (2020, 69 cites) [DOI: https://doi.org/10.2514/1.b37740] | "Flow and performance analysis of a natural gas-air rotating detonation engine with high-speed velocimetry" [Combustion and Flame] (2021, 60 cites) [DOI: https://doi.org/10.1016/j.combustflame.2021.111549]</t>
        </is>
      </c>
      <c r="T4" s="2" t="inlineStr"/>
      <c r="U4" s="2" t="inlineStr"/>
      <c r="V4" s="2" t="inlineStr"/>
      <c r="W4" s="2" t="inlineStr">
        <is>
          <t>Combustion and flame dynamics (74) | Combustion and Detonation Processes (54) | Advanced Combustion Engine Technologies (38)</t>
        </is>
      </c>
      <c r="X4" s="2" t="inlineStr">
        <is>
          <t>Combustion and flame dynamics (74) | Combustion and Detonation Processes (54) | Advanced Combustion Engine Technologies (38)</t>
        </is>
      </c>
      <c r="Y4" s="2" t="inlineStr">
        <is>
          <t>Prof. Slabaugh's research is focused on the physics of fluid mechanics and combustion in the operating regimes of advanced propulsion and energy systems.  Ongoing projects cover a wide spectrum of topics; from fundamental exploration of turbulence-chemistry interactions to development of advanced combustion technologies for liquid rocket engines.  The group also maintains a continuous effort in the advancement of high-bandwidth (typically, laser-based) measurement techniques to non-intrusively probe the physics of these complex, reacting flows.  Please visit our website for more information about the group and our work.</t>
        </is>
      </c>
      <c r="Z4" s="2" t="inlineStr">
        <is>
          <t>Propulsion: rockets, gas turbines, sc/ramjets, rotating detonation engines Combustion: detonation, turbulent combustion Fluid mechanics: turbulence, acoustics, gas dynamics, multiphase flows Laser diagnostics and data science: methodology development, cross-platform verification and validation Edit var myPronunciation=document.getElementById("pronunciation");
    function play() {
    myPronunciation.play();
    }
    function pause() {
    myPronunciation.pause();
    }</t>
        </is>
      </c>
      <c r="AA4" s="2" t="inlineStr">
        <is>
          <t>Propulsion: rockets, gas turbines, sc/ramjets, rotating detonation engines Combustion: detonation, turbulent combustion Fluid mechanics: turbulence, acoustics, gas dynamics, multiphase flows Laser diagnostics and data science: methodology development, cross-platform verification and validation Edit var myPronunciation=document.getElementById("pronunciation");
    function play() {
    myPr...</t>
        </is>
      </c>
      <c r="AB4" s="2" t="inlineStr">
        <is>
          <t>Ph.D., Purdue University, 2014 M.S., University of Central Florida, 2010 B.S., University of Central Florida, 2009</t>
        </is>
      </c>
      <c r="AC4" s="2" t="inlineStr">
        <is>
          <t>Indiana Space Grant Consortium</t>
        </is>
      </c>
      <c r="AD4" s="3">
        <f>HYPERLINK("https://insgc.spacegrant.org/", "https://insgc.spacegrant.org/")</f>
        <v/>
      </c>
      <c r="AE4" s="2" t="inlineStr">
        <is>
          <t>Academic INSGC Internships</t>
        </is>
      </c>
      <c r="AF4" s="2" t="inlineStr"/>
      <c r="AG4" s="2" t="inlineStr"/>
      <c r="AH4" s="2" t="inlineStr">
        <is>
          <t>NASA</t>
        </is>
      </c>
      <c r="AI4" s="2" t="inlineStr"/>
      <c r="AJ4" s="2" t="inlineStr"/>
      <c r="AK4" s="2" t="inlineStr">
        <is>
          <t>ARMS 2035 and ZL3 106</t>
        </is>
      </c>
      <c r="AL4" s="2" t="b">
        <v>1</v>
      </c>
      <c r="AM4" s="3">
        <f>HYPERLINK("https://engineering.purdue.edu/AAE/people/Faculty", "https://engineering.purdue.edu/AAE/people/Faculty")</f>
        <v/>
      </c>
    </row>
    <row r="5">
      <c r="A5" s="2" t="inlineStr">
        <is>
          <t>Steven P. Schneider</t>
        </is>
      </c>
      <c r="B5" s="2" t="inlineStr">
        <is>
          <t>Purdue University</t>
        </is>
      </c>
      <c r="C5" s="3">
        <f>HYPERLINK("https://engineering.purdue.edu/AAE/people/ptProfile?resource_id=1274", "https://engineering.purdue.edu/AAE/people/ptProfile?resource_id=1274")</f>
        <v/>
      </c>
      <c r="D5" s="3">
        <f>HYPERLINK("https://scholar.google.com/citations?view_op=search_authors&amp;mauthors=Steven%20P.%20Schneider%20Purdue%20University", "Google Scholar Search")</f>
        <v/>
      </c>
      <c r="E5" s="2" t="inlineStr">
        <is>
          <t>Professor</t>
        </is>
      </c>
      <c r="F5" s="2" t="inlineStr">
        <is>
          <t>Aeronautics and Astronautics</t>
        </is>
      </c>
      <c r="G5" s="2" t="inlineStr"/>
      <c r="H5" s="3">
        <f>HYPERLINK("mailto:steves@purdue.edu", "steves@purdue.edu")</f>
        <v/>
      </c>
      <c r="I5" s="2" t="n">
        <v>1</v>
      </c>
      <c r="J5" s="2" t="inlineStr">
        <is>
          <t>🔵 Tier 1: Core Aero / Fluids / Propulsion</t>
        </is>
      </c>
      <c r="K5" s="2" t="n">
        <v>10</v>
      </c>
      <c r="L5" s="2" t="inlineStr">
        <is>
          <t>aerothermodynamics, boundary layer, entry vehicles, heat transfer, hypersonic, supersonic, thermal, thermodynamics, turbulence, turbulent</t>
        </is>
      </c>
      <c r="M5" s="2" t="inlineStr"/>
      <c r="N5" s="2" t="inlineStr"/>
      <c r="O5" s="2" t="inlineStr"/>
      <c r="P5" s="2" t="inlineStr"/>
      <c r="Q5" s="2" t="inlineStr"/>
      <c r="R5" s="2" t="inlineStr"/>
      <c r="S5" s="2" t="inlineStr"/>
      <c r="T5" s="2" t="inlineStr"/>
      <c r="U5" s="2" t="inlineStr">
        <is>
          <t>Fellow, AIAA AIAA Ground Testing Award, 2012</t>
        </is>
      </c>
      <c r="V5" s="2" t="inlineStr"/>
      <c r="W5" s="2" t="inlineStr"/>
      <c r="X5" s="2" t="inlineStr"/>
      <c r="Y5" s="2" t="inlineStr">
        <is>
          <t>Hypersonic and supersonic laminar-turbulent transition Low-disturbance wind tunnels and associated instrumentation</t>
        </is>
      </c>
      <c r="Z5" s="2" t="inlineStr">
        <is>
          <t>High-speed laminar-turbulent transition is critical for applications including missiles for survivable time-critical strike, hypersonic reconnaissance vehicles, thermal protection for re-entry vehicles, drag reduction on supersonic transports, and flow noise and heat transfer above IR windows on interceptor missiles. Unfortunately, nearly all existing high-speed experimental results are contaminated by facility noise, such as that radiating from the turbulent boundary layers normally present on the test-section walls of supersonic tunnels. Just as at low speeds, reliable experimental progress requires low-turbulence wind tunnels with noise levels comparable to those in flight. Mechanism-based prediction methods are being developed to reduce the uncertainty in predicting transition on future flight vehicles.  Measurements of the instability mechanisms leading to transition are being carried out to support the development and validation of these new methods.  However, no single wind tunnel can simultaneously simulate all aspects of transition in flight, including Mach number, Reynolds number, enthalpy, freestream disturbances, surface ablation and so on.  Furthermore, although computational advances are critical, all computations require models that must be based on experimental results.  Effective progress requires cooperation between theory, computation and experiment, and also between system designers and researchers. Prof. Schneider continues to focus on hypersonic transition and the development of quiet tunnels, while also serving as a senior technical expert in aerothermodynamics.  Prof. Jewell now leads the Mach-6 quiet tunnel, and Prof. Chynoweth leads the development of the new Mach-8 quiet tunnel.  Prof. Schneider has moved into a supporting role as part of a long phased retirement.  He is no longer serving as an advisor to new graduate students.</t>
        </is>
      </c>
      <c r="AA5" s="2" t="inlineStr">
        <is>
          <t>High-speed laminar-turbulent transition is critical for applications including missiles for survivable time-critical strike, hypersonic reconnaissance vehicles, thermal protection for re-entry vehicles, drag reduction on supersonic transports, and flow noise and heat transfer above IR windows on interceptor missiles. Unfortunately, nearly all existing high-speed experimental results are contami...</t>
        </is>
      </c>
      <c r="AB5" s="2" t="inlineStr">
        <is>
          <t>B.S.	─ Caltech, Engineering and Applied Science, with Honor, June 1981 M.S.	─ Caltech, Aeronautics, June 1984 Ph.D.	─ Caltech, Aeronautics, March 1989</t>
        </is>
      </c>
      <c r="AC5" s="2" t="inlineStr">
        <is>
          <t>Indiana Space Grant Consortium</t>
        </is>
      </c>
      <c r="AD5" s="3">
        <f>HYPERLINK("https://insgc.spacegrant.org/", "https://insgc.spacegrant.org/")</f>
        <v/>
      </c>
      <c r="AE5" s="2" t="inlineStr">
        <is>
          <t>Academic INSGC Internships</t>
        </is>
      </c>
      <c r="AF5" s="2" t="inlineStr"/>
      <c r="AG5" s="2" t="inlineStr"/>
      <c r="AH5" s="2" t="inlineStr">
        <is>
          <t>NASA</t>
        </is>
      </c>
      <c r="AI5" s="2" t="inlineStr"/>
      <c r="AJ5" s="2" t="inlineStr"/>
      <c r="AK5" s="2" t="inlineStr">
        <is>
          <t>Room 13C AERO (Hangar 3) &amp; ARMS 3216</t>
        </is>
      </c>
      <c r="AL5" s="2" t="b">
        <v>1</v>
      </c>
      <c r="AM5" s="3">
        <f>HYPERLINK("https://engineering.purdue.edu/AAE/people/Faculty", "https://engineering.purdue.edu/AAE/people/Faculty")</f>
        <v/>
      </c>
    </row>
    <row r="6">
      <c r="A6" s="2" t="inlineStr">
        <is>
          <t>Joseph S. Jewell</t>
        </is>
      </c>
      <c r="B6" s="2" t="inlineStr">
        <is>
          <t>Purdue University</t>
        </is>
      </c>
      <c r="C6" s="3">
        <f>HYPERLINK("https://engineering.purdue.edu/AAE/people/ptProfile?resource_id=221718", "https://engineering.purdue.edu/AAE/people/ptProfile?resource_id=221718")</f>
        <v/>
      </c>
      <c r="D6" s="3">
        <f>HYPERLINK("https://scholar.google.com/citations?hl=en&amp;user=NZ7cWNwAAAAJ", "Scholar (NZ7cWNwAAAAJ)")</f>
        <v/>
      </c>
      <c r="E6" s="2" t="inlineStr">
        <is>
          <t>[On leave for Federal service as of Dec 2025] John Bogdanoff Professor of Aeronautics and Astronautics</t>
        </is>
      </c>
      <c r="F6" s="2" t="inlineStr">
        <is>
          <t>Aeronautics and Astronautics</t>
        </is>
      </c>
      <c r="G6" s="2" t="inlineStr">
        <is>
          <t>NZ7cWNwAAAAJ</t>
        </is>
      </c>
      <c r="H6" s="3">
        <f>HYPERLINK("mailto:jsjewell@purdue.edu", "jsjewell@purdue.edu")</f>
        <v/>
      </c>
      <c r="I6" s="2" t="n">
        <v>1</v>
      </c>
      <c r="J6" s="2" t="inlineStr">
        <is>
          <t>🔵 Tier 1: Core Aero / Fluids / Propulsion</t>
        </is>
      </c>
      <c r="K6" s="2" t="n">
        <v>9</v>
      </c>
      <c r="L6" s="2" t="inlineStr">
        <is>
          <t>aerodynamics, aerospace, aerothermodynamics, boundary layer, fluid mechanics, hypersonic, spacecraft, thermodynamics, turbulence</t>
        </is>
      </c>
      <c r="M6" s="2" t="inlineStr"/>
      <c r="N6" s="2" t="inlineStr"/>
      <c r="O6" s="2" t="inlineStr"/>
      <c r="P6" s="2" t="inlineStr"/>
      <c r="Q6" s="2" t="inlineStr"/>
      <c r="R6" s="2" t="inlineStr">
        <is>
          <t>"Global Measurements of Unstart in an Internal Osculating Waverider Inlet" [AIAA Journal] (2026) [DOI: https://doi.org/10.2514/1.j067385] | "100 kHz-rate femtosecond laser electronic excitation tagging velocimetry in Mach 6 quiet flow" [Applied Optics] (2026) [DOI: https://doi.org/10.1364/ao.604902] | "Characterizing the Response of Focused Laser Differential Interferometry to Mixed-Mode Hypersonic Instabilities" [AIAA Journal] (2026) [DOI: https://doi.org/10.2514/1.j067275]</t>
        </is>
      </c>
      <c r="S6" s="2" t="inlineStr">
        <is>
          <t>"Nose-Tip Bluntness Effects on Transition at Hypersonic Speeds" [Journal of Spacecraft and Rockets] (2018, 103 cites) [DOI: https://doi.org/10.2514/1.a34277] | "Boundary-Layer Stability Analysis for Stetson’s Mach 6 Blunt-Cone Experiments" [Journal of Spacecraft and Rockets] (2016, 92 cites) [DOI: https://doi.org/10.2514/1.a33619] | "Nonmodal Growth of Traveling Waves on Blunt Cones at Hypersonic Speeds" [AIAA Journal] (2019, 69 cites) [DOI: https://doi.org/10.2514/1.j058290]</t>
        </is>
      </c>
      <c r="T6" s="2" t="inlineStr"/>
      <c r="U6" s="2" t="inlineStr">
        <is>
          <t>Appointments **[on leave of absence from Purdue/PARI from Dec 2025] Federal Service , Dec 2025-present John Bogdanoff Professor...</t>
        </is>
      </c>
      <c r="V6" s="2" t="inlineStr"/>
      <c r="W6" s="2" t="inlineStr">
        <is>
          <t>Fluid Dynamics and Turbulent Flows (117) | Computational Fluid Dynamics and Aerodynamics (97) | Gas Dynamics and Kinetic Theory (59)</t>
        </is>
      </c>
      <c r="X6" s="2" t="inlineStr">
        <is>
          <t>Fluid Dynamics and Turbulent Flows (117) | Computational Fluid Dynamics and Aerodynamics (97) | Gas Dynamics and Kinetic Theory (59)</t>
        </is>
      </c>
      <c r="Y6" s="2" t="inlineStr">
        <is>
          <t>Hypersonic aerothermodynamics Boundary layer instability, transition and turbulence Low-disturbance wind tunnels Reflected shock tunnels Expansion tunnels Spacecraft re-entry aerodynamics Non-intrusive diagnostic methods Hypersonic wind tunnel design, modeling, and operation Hypervelocity/high-enthalpy gasdynamics</t>
        </is>
      </c>
      <c r="Z6" s="2" t="inlineStr"/>
      <c r="AA6" s="2" t="inlineStr">
        <is>
          <t>Hypersonic aerothermodynamics Boundary layer instability, transition and turbulence Low-disturbance wind tunnels Reflected shock tunnels Expansion tunnels Spacecraft re-entry aerodynamics Non-intrusive diagnostic methods Hypersonic wind tunnel design, modeling, and operation Hypervelocity/high-enthalpy gasdynamics</t>
        </is>
      </c>
      <c r="AB6" s="2" t="inlineStr">
        <is>
          <t>B.S., California Institute of Technology, Aeronautics and History, with Honor, 2004 M.S.E., University of Michigan, Aerospace Engineering, 2005 M.Sc., University of Oxford, Engineering Science (by Research), 2008 Ph.D., California Institute of Technology, Aeronautics, 2014</t>
        </is>
      </c>
      <c r="AC6" s="2" t="inlineStr">
        <is>
          <t>Indiana Space Grant Consortium</t>
        </is>
      </c>
      <c r="AD6" s="3">
        <f>HYPERLINK("https://insgc.spacegrant.org/", "https://insgc.spacegrant.org/")</f>
        <v/>
      </c>
      <c r="AE6" s="2" t="inlineStr">
        <is>
          <t>Academic INSGC Internships</t>
        </is>
      </c>
      <c r="AF6" s="2" t="inlineStr"/>
      <c r="AG6" s="2" t="inlineStr"/>
      <c r="AH6" s="2" t="inlineStr">
        <is>
          <t>NASA</t>
        </is>
      </c>
      <c r="AI6" s="2" t="inlineStr"/>
      <c r="AJ6" s="2" t="inlineStr"/>
      <c r="AK6" s="2" t="inlineStr">
        <is>
          <t>Aerospace Sciences Lab (AERO) Room 13B &amp; ARMS 3216</t>
        </is>
      </c>
      <c r="AL6" s="2" t="b">
        <v>1</v>
      </c>
      <c r="AM6" s="3">
        <f>HYPERLINK("https://engineering.purdue.edu/AAE/people/Faculty", "https://engineering.purdue.edu/AAE/people/Faculty")</f>
        <v/>
      </c>
    </row>
    <row r="7">
      <c r="A7" s="2" t="inlineStr">
        <is>
          <t>Kenshiro Oguri</t>
        </is>
      </c>
      <c r="B7" s="2" t="inlineStr">
        <is>
          <t>Purdue University</t>
        </is>
      </c>
      <c r="C7" s="3">
        <f>HYPERLINK("https://engineering.purdue.edu/AAE/people/ptProfile?resource_id=255154", "https://engineering.purdue.edu/AAE/people/ptProfile?resource_id=255154")</f>
        <v/>
      </c>
      <c r="D7" s="3">
        <f>HYPERLINK("https://scholar.google.com/citations?view_op=search_authors&amp;mauthors=Kenshiro%20Oguri%20Purdue%20University", "Google Scholar Search")</f>
        <v/>
      </c>
      <c r="E7" s="2" t="inlineStr">
        <is>
          <t>Assistant Professor</t>
        </is>
      </c>
      <c r="F7" s="2" t="inlineStr">
        <is>
          <t>Aeronautics and Astronautics</t>
        </is>
      </c>
      <c r="G7" s="2" t="inlineStr"/>
      <c r="H7" s="3">
        <f>HYPERLINK("mailto:koguri@purdue.edu", "koguri@purdue.edu")</f>
        <v/>
      </c>
      <c r="I7" s="2" t="n">
        <v>1</v>
      </c>
      <c r="J7" s="2" t="inlineStr">
        <is>
          <t>🔵 Tier 1: Core Aero / Fluids / Propulsion</t>
        </is>
      </c>
      <c r="K7" s="2" t="n">
        <v>8</v>
      </c>
      <c r="L7" s="2" t="inlineStr">
        <is>
          <t>aerospace, astrodynamics, autonomous, control theory, guidance, navigation, optimal control, spacecraft</t>
        </is>
      </c>
      <c r="M7" s="2" t="inlineStr"/>
      <c r="N7" s="2" t="inlineStr"/>
      <c r="O7" s="2" t="inlineStr"/>
      <c r="P7" s="2" t="inlineStr"/>
      <c r="Q7" s="2" t="inlineStr"/>
      <c r="R7" s="2" t="inlineStr">
        <is>
          <t>"Global Optimization Framework for Automated Low-Thrust Gravity-Assist Trajectory Design" [arXiv (Cornell University)] (2026) [DOI: https://doi.org/10.48550/arxiv.2609.09515] | "On the Optimality of Markovian Policies for Chance-Constrained Covariance Steering" [arXiv (Cornell University)] (2026) [DOI: https://doi.org/10.48550/arxiv.2608.22589] | "(Preprint) AAS 26-718 POLYNOMIAL CHAOS EXPANSION FOR UNCERTAINTY PROPAGATION IN REGULARIZED CISLUNAR DYNAMICS" (2026) [DOI: https://doi.org/10.13140/rg.2.2.22661.92648]</t>
        </is>
      </c>
      <c r="S7" s="2" t="inlineStr">
        <is>
          <t>"EQUULEUS Trajectory Design" [The Journal of the Astronautical Sciences] (2020, 51 cites) [DOI: https://doi.org/10.1007/s40295-019-00206-y] | "Robust Spacecraft Guidance Around Small Bodies Under Uncertainty: Stochastic Optimal Control Approach" [Journal of Guidance Control and Dynamics] (2021, 44 cites) [DOI: https://doi.org/10.2514/1.g005426] | "Trajectory &amp; maneuver design of the NEA Scout solar sail mission" [Acta Astronautica] (2024, 23 cites) [DOI: https://doi.org/10.1016/j.actaastro.2024.08.039]</t>
        </is>
      </c>
      <c r="T7" s="2" t="inlineStr"/>
      <c r="U7" s="2" t="inlineStr">
        <is>
          <t>Awards for Dr. Oguri: NASA Early Career Faculty Award, 2025 JPL Center for Academic Partnership Award, 2025 AIAA Journal of Gui...</t>
        </is>
      </c>
      <c r="V7" s="2" t="inlineStr"/>
      <c r="W7" s="2" t="inlineStr">
        <is>
          <t>Spacecraft Dynamics and Control (45) | Space Satellite Systems and Control (30) | Astro and Planetary Science (21)</t>
        </is>
      </c>
      <c r="X7" s="2" t="inlineStr">
        <is>
          <t>Spacecraft Dynamics and Control (45) | Space Satellite Systems and Control (30) | Astro and Planetary Science (21)</t>
        </is>
      </c>
      <c r="Y7" s="2" t="inlineStr">
        <is>
          <t>Astrodynamics; Space Mission Design; Space Trajectory Optimization; Spacecraft Guidance, Navigation, and Control (GNC); Spacecraft Autonomy; Control Theory; Stochastic Systems; Uncertainty Quantification</t>
        </is>
      </c>
      <c r="Z7" s="2" t="inlineStr">
        <is>
          <t>Research Group Website Prof. Oguri's research interest lies at the intersection of astrodynamics, control, optimization, nonlinear dynamics, and stochastic systems. His research develops mathematical and computational frameworks that address scientific and engineering challenges in space exploration, through advancing the state-of-the-art in space mission design, space trajectory optimization, spacecraft guidance, navigation, and control (GNC), and space autonomy. In particular, his Ph.D. research was focused on developing robust space mission design methods by combining astrodynamics, optimal control, stochastic optimal control, and numerical optimization to advance the technologies for autonomous spacecraft GNC and designing robust space trajectories under uncertainty. He also leverages his flight project experience as a mission designer at NASA JPL and JAXA to blend theory and practice, to identify and address critical challenges in real-world applications, and to contribute to the forefront of space exploration.</t>
        </is>
      </c>
      <c r="AA7" s="2" t="inlineStr">
        <is>
          <t>Research Group Website Prof. Oguri's research interest lies at the intersection of astrodynamics, control, optimization, nonlinear dynamics, and stochastic systems. His research develops mathematical and computational frameworks that address scientific and engineering challenges in space exploration, through advancing the state-of-the-art in space mission design, space trajectory optimization, ...</t>
        </is>
      </c>
      <c r="AB7" s="2" t="inlineStr">
        <is>
          <t>Ph.D., The University of Colorado Boulder, Aerospace Engineering Sciences, 2021 M.S., The University of Tokyo, Aeronautics and Astronautics, 2017 B.S., The University of Tokyo, Aeronautics and Astronautics, 2015</t>
        </is>
      </c>
      <c r="AC7" s="2" t="inlineStr">
        <is>
          <t>Indiana Space Grant Consortium</t>
        </is>
      </c>
      <c r="AD7" s="3">
        <f>HYPERLINK("https://insgc.spacegrant.org/", "https://insgc.spacegrant.org/")</f>
        <v/>
      </c>
      <c r="AE7" s="2" t="inlineStr">
        <is>
          <t>Academic INSGC Internships</t>
        </is>
      </c>
      <c r="AF7" s="2" t="inlineStr"/>
      <c r="AG7" s="2" t="inlineStr"/>
      <c r="AH7" s="2" t="inlineStr">
        <is>
          <t>NASA</t>
        </is>
      </c>
      <c r="AI7" s="2" t="inlineStr"/>
      <c r="AJ7" s="2" t="inlineStr"/>
      <c r="AK7" s="2" t="inlineStr">
        <is>
          <t>ARMS 3225</t>
        </is>
      </c>
      <c r="AL7" s="2" t="b">
        <v>1</v>
      </c>
      <c r="AM7" s="3">
        <f>HYPERLINK("https://engineering.purdue.edu/AAE/people/Faculty", "https://engineering.purdue.edu/AAE/people/Faculty")</f>
        <v/>
      </c>
    </row>
    <row r="8">
      <c r="A8" s="2" t="inlineStr">
        <is>
          <t>Haifeng Wang</t>
        </is>
      </c>
      <c r="B8" s="2" t="inlineStr">
        <is>
          <t>Purdue University</t>
        </is>
      </c>
      <c r="C8" s="3">
        <f>HYPERLINK("https://engineering.purdue.edu/AAE/people/ptProfile?resource_id=78657", "https://engineering.purdue.edu/AAE/people/ptProfile?resource_id=78657")</f>
        <v/>
      </c>
      <c r="D8" s="3">
        <f>HYPERLINK("https://scholar.google.com/citations?view_op=search_authors&amp;mauthors=Haifeng%20Wang%20Purdue%20University", "Google Scholar Search")</f>
        <v/>
      </c>
      <c r="E8" s="2" t="inlineStr">
        <is>
          <t>Associate Professor</t>
        </is>
      </c>
      <c r="F8" s="2" t="inlineStr">
        <is>
          <t>Aeronautics and Astronautics</t>
        </is>
      </c>
      <c r="G8" s="2" t="inlineStr"/>
      <c r="H8" s="3">
        <f>HYPERLINK("mailto:haifeng@purdue.edu", "haifeng@purdue.edu")</f>
        <v/>
      </c>
      <c r="I8" s="2" t="n">
        <v>1</v>
      </c>
      <c r="J8" s="2" t="inlineStr">
        <is>
          <t>🔵 Tier 1: Core Aero / Fluids / Propulsion</t>
        </is>
      </c>
      <c r="K8" s="2" t="n">
        <v>7</v>
      </c>
      <c r="L8" s="2" t="inlineStr">
        <is>
          <t>combustion, computational fluid dynamics, energy systems, fluid dynamics, fluid mechanics, propulsion, turbulence</t>
        </is>
      </c>
      <c r="M8" s="2" t="inlineStr"/>
      <c r="N8" s="2" t="inlineStr"/>
      <c r="O8" s="2" t="inlineStr"/>
      <c r="P8" s="2" t="inlineStr"/>
      <c r="Q8" s="2" t="inlineStr"/>
      <c r="R8" s="2" t="inlineStr">
        <is>
          <t>"Photon–Phonon Co‐Driven Ammonia Synthesis Over Ru/BaTiO 3 Under Very Mild Conditions" [Advanced Materials] (2026) [DOI: https://doi.org/10.1002/adma.75041] | "Light‐driven oxidative coupling of methane to acetone over Pd clusters via • OH ‐mediated activation‐coupling route" [AIChE Journal] (2026) [DOI: https://doi.org/10.1002/aic.70646] | "Spatial Programming of Redox Pathways for Z-Scheme Photocatalytic Water Splitting" [Journal of the American Chemical Society] (2026) [DOI: https://doi.org/10.1021/jacs.6c09932]</t>
        </is>
      </c>
      <c r="S8" s="2" t="inlineStr">
        <is>
          <t>"Creation of a needle of longitudinally polarized light in vacuum using binary optics" [Nature Photonics] (2008, 895 cites) [DOI: https://doi.org/10.1038/nphoton.2008.127] | "TEM Study of Electrochemical Cycling‐Induced Damage and Disorder in LiCoO2 Cathodes for Rechargeable Lithium Batteries" [Journal of The Electrochemical Society] (1999, 681 cites) [DOI: https://doi.org/10.1149/1.1391631] | "Heterogeneous Single‐Atom Catalysts for Electrochemical CO2 Reduction Reaction" [Advanced Materials] (2020, 613 cites) [DOI: https://doi.org/10.1002/adma.202001848]</t>
        </is>
      </c>
      <c r="T8" s="2" t="inlineStr"/>
      <c r="U8" s="2" t="inlineStr">
        <is>
          <t>• American Chemical Society Petroleum Research Fund Doctoral New Investigator award, 2014 • Bernard Lewis Fellowship, Combustio...</t>
        </is>
      </c>
      <c r="V8" s="2" t="inlineStr"/>
      <c r="W8" s="2" t="inlineStr">
        <is>
          <t>Catalytic Processes in Materials Science (109) | Electrocatalysts for Energy Conversion (82) | Advanced Photocatalysis Techniques (70)</t>
        </is>
      </c>
      <c r="X8" s="2" t="inlineStr">
        <is>
          <t>Catalytic Processes in Materials Science (109) | Electrocatalysts for Energy Conversion (82) | Advanced Photocatalysis Techniques (70)</t>
        </is>
      </c>
      <c r="Y8" s="2" t="inlineStr">
        <is>
          <t>• Turbulence and combustion modeling • Fluid mechanics and computational modeling • Multi-phase flows • Propulsion and energy systems • Machine learning and data-driven modeling</t>
        </is>
      </c>
      <c r="Z8" s="2" t="inlineStr"/>
      <c r="AA8" s="2" t="inlineStr">
        <is>
          <t>• Turbulence and combustion modeling • Fluid mechanics and computational modeling • Multi-phase flows • Propulsion and energy systems • Machine learning and data-driven modeling</t>
        </is>
      </c>
      <c r="AB8" s="2" t="inlineStr"/>
      <c r="AC8" s="2" t="inlineStr">
        <is>
          <t>Indiana Space Grant Consortium</t>
        </is>
      </c>
      <c r="AD8" s="3">
        <f>HYPERLINK("https://insgc.spacegrant.org/", "https://insgc.spacegrant.org/")</f>
        <v/>
      </c>
      <c r="AE8" s="2" t="inlineStr">
        <is>
          <t>Academic INSGC Internships</t>
        </is>
      </c>
      <c r="AF8" s="2" t="inlineStr"/>
      <c r="AG8" s="2" t="inlineStr"/>
      <c r="AH8" s="2" t="inlineStr">
        <is>
          <t>NASA</t>
        </is>
      </c>
      <c r="AI8" s="2" t="inlineStr"/>
      <c r="AJ8" s="2" t="inlineStr"/>
      <c r="AK8" s="2" t="inlineStr">
        <is>
          <t>ARMS 3313</t>
        </is>
      </c>
      <c r="AL8" s="2" t="b">
        <v>1</v>
      </c>
      <c r="AM8" s="3">
        <f>HYPERLINK("https://engineering.purdue.edu/AAE/people/Faculty", "https://engineering.purdue.edu/AAE/people/Faculty")</f>
        <v/>
      </c>
    </row>
    <row r="9">
      <c r="A9" s="2" t="inlineStr">
        <is>
          <t>Jonathan Poggie</t>
        </is>
      </c>
      <c r="B9" s="2" t="inlineStr">
        <is>
          <t>Purdue University</t>
        </is>
      </c>
      <c r="C9" s="3">
        <f>HYPERLINK("https://engineering.purdue.edu/AAE/people/ptProfile?resource_id=124984", "https://engineering.purdue.edu/AAE/people/ptProfile?resource_id=124984")</f>
        <v/>
      </c>
      <c r="D9" s="3">
        <f>HYPERLINK("https://scholar.google.com/citations?view_op=search_authors&amp;mauthors=Jonathan%20Poggie%20Purdue%20University", "Google Scholar Search")</f>
        <v/>
      </c>
      <c r="E9" s="2" t="inlineStr">
        <is>
          <t>Professor</t>
        </is>
      </c>
      <c r="F9" s="2" t="inlineStr">
        <is>
          <t>Aeronautics and Astronautics</t>
        </is>
      </c>
      <c r="G9" s="2" t="inlineStr"/>
      <c r="H9" s="3">
        <f>HYPERLINK("mailto:jpoggie@purdue.edu", "jpoggie@purdue.edu")</f>
        <v/>
      </c>
      <c r="I9" s="2" t="n">
        <v>1</v>
      </c>
      <c r="J9" s="2" t="inlineStr">
        <is>
          <t>🔵 Tier 1: Core Aero / Fluids / Propulsion</t>
        </is>
      </c>
      <c r="K9" s="2" t="n">
        <v>7</v>
      </c>
      <c r="L9" s="2" t="inlineStr">
        <is>
          <t>aerospace, compressible flow, flow control, hydrodynamics, hypersonic, turbulence, turbulent</t>
        </is>
      </c>
      <c r="M9" s="2" t="inlineStr"/>
      <c r="N9" s="2" t="inlineStr"/>
      <c r="O9" s="2" t="inlineStr"/>
      <c r="P9" s="2" t="inlineStr"/>
      <c r="Q9" s="2" t="inlineStr"/>
      <c r="R9" s="2" t="inlineStr">
        <is>
          <t>"Fluid Mechanics" [WORLD SCIENTIFIC eBooks] (2026) [DOI: https://doi.org/10.1142/15064] | "Fluid Mechanics" [WORLD SCIENTIFIC eBooks] (2026) [DOI: https://doi.org/10.1142/15053] | "Fluid Mechanics" [WORLD SCIENTIFIC eBooks] (2026) [DOI: https://doi.org/10.1142/15041]</t>
        </is>
      </c>
      <c r="S9" s="2" t="inlineStr">
        <is>
          <t>"Magnetic control of flow past a blunt body: Numerical validation and exploration" [Physics of Fluids] (2002, 139 cites) [DOI: https://doi.org/10.1063/1.1465424] | "Resolution effects in compressible, turbulent boundary layer simulations" [Computers &amp; Fluids] (2015, 137 cites) [DOI: https://doi.org/10.1016/j.compfluid.2015.07.015] | "Numerical simulation of nanosecond-pulse electrical discharges" [Plasma Sources Science and Technology] (2012, 100 cites) [DOI: https://doi.org/10.1088/0963-0252/22/1/015001]</t>
        </is>
      </c>
      <c r="T9" s="2" t="inlineStr"/>
      <c r="U9" s="2" t="inlineStr">
        <is>
          <t>Honors C. T. Sun Excellence in Research Award, 2023 University Faculty Scholar, 2023-2028 Outstanding Graduate Faculty Mentor A...</t>
        </is>
      </c>
      <c r="V9" s="2" t="inlineStr"/>
      <c r="W9" s="2" t="inlineStr">
        <is>
          <t>Computational Fluid Dynamics and Aerodynamics (120) | Fluid Dynamics and Turbulent Flows (119) | Plasma and Flow Control in Aerodynamics (84)</t>
        </is>
      </c>
      <c r="X9" s="2" t="inlineStr">
        <is>
          <t>Computational Fluid Dynamics and Aerodynamics (120) | Fluid Dynamics and Turbulent Flows (119) | Plasma and Flow Control in Aerodynamics (84)</t>
        </is>
      </c>
      <c r="Y9" s="2" t="inlineStr">
        <is>
          <t>Hypersonic Flight, Compressible Flow, Flow Control, Turbulence, Laminar-Turbulent Transition, Weakly-Ionized Plasmas, Magnetohydrodynamics</t>
        </is>
      </c>
      <c r="Z9" s="2" t="inlineStr"/>
      <c r="AA9" s="2" t="inlineStr">
        <is>
          <t>Hypersonic Flight, Compressible Flow, Flow Control, Turbulence, Laminar-Turbulent Transition, Weakly-Ionized Plasmas, Magnetohydrodynamics</t>
        </is>
      </c>
      <c r="AB9" s="2" t="inlineStr">
        <is>
          <t>Ph.D., Mechanical and Aerospace Engineering, Princeton University, 1995 M.S.E., Mechanical and Aerospace Engineering, Princeton University, 1991 B.S., Mechanical Engineering, University of Rhode Island, 1988</t>
        </is>
      </c>
      <c r="AC9" s="2" t="inlineStr">
        <is>
          <t>Indiana Space Grant Consortium</t>
        </is>
      </c>
      <c r="AD9" s="3">
        <f>HYPERLINK("https://insgc.spacegrant.org/", "https://insgc.spacegrant.org/")</f>
        <v/>
      </c>
      <c r="AE9" s="2" t="inlineStr">
        <is>
          <t>Academic INSGC Internships</t>
        </is>
      </c>
      <c r="AF9" s="2" t="inlineStr"/>
      <c r="AG9" s="2" t="inlineStr"/>
      <c r="AH9" s="2" t="inlineStr">
        <is>
          <t>NASA</t>
        </is>
      </c>
      <c r="AI9" s="2" t="inlineStr"/>
      <c r="AJ9" s="2" t="inlineStr"/>
      <c r="AK9" s="2" t="inlineStr">
        <is>
          <t>ARMS 3315</t>
        </is>
      </c>
      <c r="AL9" s="2" t="b">
        <v>1</v>
      </c>
      <c r="AM9" s="3">
        <f>HYPERLINK("https://engineering.purdue.edu/AAE/people/Faculty", "https://engineering.purdue.edu/AAE/people/Faculty")</f>
        <v/>
      </c>
    </row>
    <row r="10">
      <c r="A10" s="2" t="inlineStr">
        <is>
          <t>Kathleen C. Howell</t>
        </is>
      </c>
      <c r="B10" s="2" t="inlineStr">
        <is>
          <t>Purdue University</t>
        </is>
      </c>
      <c r="C10" s="3">
        <f>HYPERLINK("https://engineering.purdue.edu/AAE/people/ptProfile?resource_id=1384", "https://engineering.purdue.edu/AAE/people/ptProfile?resource_id=1384")</f>
        <v/>
      </c>
      <c r="D10" s="3">
        <f>HYPERLINK("https://scholar.google.com/citations?view_op=search_authors&amp;mauthors=Kathleen%20C.%20Howell%20Purdue%20University", "Google Scholar Search")</f>
        <v/>
      </c>
      <c r="E10" s="2" t="inlineStr">
        <is>
          <t>Hsu Lo Distinguished Professor of Aeronautics and Astronautics</t>
        </is>
      </c>
      <c r="F10" s="2" t="inlineStr">
        <is>
          <t>Aeronautics and Astronautics</t>
        </is>
      </c>
      <c r="G10" s="2" t="inlineStr"/>
      <c r="H10" s="3">
        <f>HYPERLINK("mailto:howell@purdue.edu", "howell@purdue.edu")</f>
        <v/>
      </c>
      <c r="I10" s="2" t="n">
        <v>1</v>
      </c>
      <c r="J10" s="2" t="inlineStr">
        <is>
          <t>🔵 Tier 1: Core Aero / Fluids / Propulsion</t>
        </is>
      </c>
      <c r="K10" s="2" t="n">
        <v>7</v>
      </c>
      <c r="L10" s="2" t="inlineStr">
        <is>
          <t>aerospace, astrodynamics, navigation, optimal control, orbital mechanics, satellite, spacecraft</t>
        </is>
      </c>
      <c r="M10" s="2" t="inlineStr"/>
      <c r="N10" s="2" t="inlineStr"/>
      <c r="O10" s="2" t="inlineStr"/>
      <c r="P10" s="2" t="inlineStr"/>
      <c r="Q10" s="2" t="inlineStr"/>
      <c r="R10" s="2" t="inlineStr">
        <is>
          <t>"On-Orbit Servicing Networks in Cislunar Space: A Framework for Orbit Selection, Transfer Design, and Scheduling" [The Journal of the Astronautical Sciences] (2025) [DOI: https://doi.org/10.1007/s40295-025-00551-1] | "Leveraging the Hill restricted four-body problem to investigate the ephemeris transition characteristics in the Earth-Moon L2 halo orbit region" [Astrodynamics] (2025) [DOI: https://doi.org/10.1007/s42064-024-0250-4] | "Unified transition scheme for invariant tori across various models in the cislunar domain" [Communications in Nonlinear Science and Numerical Simulation] (2025) [DOI: https://doi.org/10.1016/j.cnsns.2025.109323]</t>
        </is>
      </c>
      <c r="S10" s="2" t="inlineStr">
        <is>
          <t>"Three-dimensional, periodic, ?halo? orbits" [Celestial Mechanics and Dynamical Astronomy] (1984, 429 cites) [DOI: https://doi.org/10.1007/bf01358403] | "Numerical determination of Lissajous trajectories in the restricted three-body problem" [Celestial Mechanics and Dynamical Astronomy] (1987, 242 cites) [DOI: https://doi.org/10.1007/bf01238756] | "Application of Dynamical Systems Theory to Trajectory Design for a Libration Point Mission" [The Journal of the Astronautical Sciences] (1997, 215 cites) [DOI: https://doi.org/10.1007/bf03546374]</t>
        </is>
      </c>
      <c r="T10" s="2" t="inlineStr"/>
      <c r="U10" s="2" t="inlineStr">
        <is>
          <t>Fellow, AIAA 2013 W.A. Gustafson Award for Outstanding Teaching 2012 Inducted into Iowa State University Department of Aerospac...</t>
        </is>
      </c>
      <c r="V10" s="2" t="inlineStr"/>
      <c r="W10" s="2" t="inlineStr">
        <is>
          <t>Astro and Planetary Science (181) | Spacecraft Dynamics and Control (175) | Space Satellite Systems and Control (86)</t>
        </is>
      </c>
      <c r="X10" s="2" t="inlineStr">
        <is>
          <t>Astro and Planetary Science (181) | Spacecraft Dynamics and Control (175) | Space Satellite Systems and Control (86)</t>
        </is>
      </c>
      <c r="Y10" s="2" t="inlineStr">
        <is>
          <t>Orbit mechanics Spacecraft dynamics, control Trajectory optimization</t>
        </is>
      </c>
      <c r="Z10" s="2" t="inlineStr">
        <is>
          <t>Professor Howell's Research Page In the area of astrodynamics, the complex missions envisioned in the next few decades will demand innovative spacecraft trajectory concepts and efficient design tools for analysis and implementation. In support of such plans, current research efforts focus on spacecraft navigation and maneuver requirements, and mission planning, both in the neighborhood of the Earth and in interplanetary space. Some sample projects are mentioned below.
Much recent research activity has involved libration point orbits in the three- and four-body problems. The n -body problem in orbital mechanics generally considers trajectory solutions when ( n -1) gravity fields are significant. Spacecraft in the vicinity of libration points thus operate in an environment in which gravity forces due to two or three (or more) celestial bodies may result in trajectories that appear as three-dimensional, quasi-periodic Lissajous paths. Such three-dimensional trajectories are of considerable interest in connection with any future lunar operations. In the near term, missions involving libration point satellites are included in a number of programs that the U. S. is planning with international partners. Technical studies involve trajectory design and optimization including optimal control strategies for out-of-plane motion in consideration of communication and other operational specifications. Analyses of station-keeping requirements for such trajectories are also currently under study.
The subject of optimal transfer trajectories is of considerable importance and rapidly growing in complexity as well. New types of problems now facing mission designers render standard optimization strategies inadequate, particularly for application in the n -body problem. Nominal transfer trajectory determination and optimization is the focus of an expanding investigation. Various projects range from development of new computational techniques to application of geometric nonlinear dynamical systems theory to these problems.
A related problem of interest involves Earth orbiting vehicles that repeatedly pass close to the Moon. Such trajectories use lunar gravity to effect trajectory changes. Not only can such a swingby aid in minimizing mission fuel requirements, it also creates trajectory options that may otherwise be impossible. Analysis is complicated, however, by the strong solar perturbation. Multi-conic analysis has proven promising and work is continuing to develop tools to make optimal trajectory design efficient and accurate. Design strategies can also be extended to other multi-body systems. Such applications are under considerations as well.</t>
        </is>
      </c>
      <c r="AA10" s="2" t="inlineStr">
        <is>
          <t>Professor Howell's Research Page In the area of astrodynamics, the complex missions envisioned in the next few decades will demand innovative spacecraft trajectory concepts and efficient design tools for analysis and implementation. In support of such plans, current research efforts focus on spacecraft navigation and maneuver requirements, and mission planning, both in the neighborhood of the E...</t>
        </is>
      </c>
      <c r="AB10" s="2" t="inlineStr">
        <is>
          <t>B. S., Iowa State University, Aerospace Engineering, 1973 M. S., Stanford University, Aeronautical &amp; Astronautical Engineering, 1977 Ph.D., Stanford University, Aeronautical &amp; Astronautical Sciences, 1983</t>
        </is>
      </c>
      <c r="AC10" s="2" t="inlineStr">
        <is>
          <t>Indiana Space Grant Consortium</t>
        </is>
      </c>
      <c r="AD10" s="3">
        <f>HYPERLINK("https://insgc.spacegrant.org/", "https://insgc.spacegrant.org/")</f>
        <v/>
      </c>
      <c r="AE10" s="2" t="inlineStr">
        <is>
          <t>Academic INSGC Internships</t>
        </is>
      </c>
      <c r="AF10" s="2" t="inlineStr"/>
      <c r="AG10" s="2" t="inlineStr"/>
      <c r="AH10" s="2" t="inlineStr">
        <is>
          <t>NASA</t>
        </is>
      </c>
      <c r="AI10" s="2" t="inlineStr"/>
      <c r="AJ10" s="2" t="inlineStr"/>
      <c r="AK10" s="2" t="inlineStr">
        <is>
          <t>ARMS 3235</t>
        </is>
      </c>
      <c r="AL10" s="2" t="b">
        <v>1</v>
      </c>
      <c r="AM10" s="3">
        <f>HYPERLINK("https://engineering.purdue.edu/AAE/people/Faculty", "https://engineering.purdue.edu/AAE/people/Faculty")</f>
        <v/>
      </c>
    </row>
    <row r="11">
      <c r="A11" s="2" t="inlineStr">
        <is>
          <t>Kyle Hanquist</t>
        </is>
      </c>
      <c r="B11" s="2" t="inlineStr">
        <is>
          <t>Purdue University</t>
        </is>
      </c>
      <c r="C11" s="3">
        <f>HYPERLINK("https://engineering.purdue.edu/AAE/people/ptProfile?resource_id=318748", "https://engineering.purdue.edu/AAE/people/ptProfile?resource_id=318748")</f>
        <v/>
      </c>
      <c r="D11" s="3">
        <f>HYPERLINK("https://scholar.google.com/citations?view_op=search_authors&amp;mauthors=Kyle%20Hanquist%20Purdue%20University", "Google Scholar Search")</f>
        <v/>
      </c>
      <c r="E11" s="2" t="inlineStr">
        <is>
          <t>Assistant Professor</t>
        </is>
      </c>
      <c r="F11" s="2" t="inlineStr">
        <is>
          <t>Aeronautics and Astronautics</t>
        </is>
      </c>
      <c r="G11" s="2" t="inlineStr"/>
      <c r="H11" s="3">
        <f>HYPERLINK("mailto:hanquist@purdue.edu", "hanquist@purdue.edu")</f>
        <v/>
      </c>
      <c r="I11" s="2" t="n">
        <v>1</v>
      </c>
      <c r="J11" s="2" t="inlineStr">
        <is>
          <t>🔵 Tier 1: Core Aero / Fluids / Propulsion</t>
        </is>
      </c>
      <c r="K11" s="2" t="n">
        <v>7</v>
      </c>
      <c r="L11" s="2" t="inlineStr">
        <is>
          <t>aerospace, aerothermodynamics, computational fluid dynamics, fluid dynamics, hypersonic, thermal, thermodynamics</t>
        </is>
      </c>
      <c r="M11" s="2" t="inlineStr"/>
      <c r="N11" s="2" t="inlineStr"/>
      <c r="O11" s="2" t="inlineStr"/>
      <c r="P11" s="2" t="inlineStr"/>
      <c r="Q11" s="2" t="inlineStr"/>
      <c r="R11" s="2" t="inlineStr">
        <is>
          <t>"Alkali Metal Seeding for Enhanced Ionization in Hypersonic Flight" (2026) [DOI: https://doi.org/10.2514/6.2026-4057] | "Numerical Investigation of High-Enthalpy Effects on Aero-Optics in Hypersonic Flows" [Journal of Thermophysics and Heat Transfer] (2026) [DOI: https://doi.org/10.2514/1.t7189] | "Thrust Regulation in a Solid Fuel Ramjet Using Dynamic Mode Adaptive Control" (2026) [DOI: https://doi.org/10.2514/6.2026-1389]</t>
        </is>
      </c>
      <c r="S11" s="2" t="inlineStr">
        <is>
          <t>"Detailed modeling of electron emission for transpiration cooling of hypersonic vehicles" [Journal of Applied Physics] (2017, 72 cites) [DOI: https://doi.org/10.1063/1.4974961] | "Test cases for grid-based direct kinetic modeling of plasma flows" [Plasma Sources Science and Technology] (2018, 62 cites) [DOI: https://doi.org/10.1088/1361-6595/aac6b9] | "Shock-tube measurements of coupled vibration–dissociation time-histories and rate parameters in oxygen and argon mixtures from 5000 K to 10 000 K" [Physics of Fluids] (2020, 47 cites) [DOI: https://doi.org/10.1063/5.0012426]</t>
        </is>
      </c>
      <c r="T11" s="2" t="inlineStr"/>
      <c r="U11" s="2" t="inlineStr">
        <is>
          <t>2025 AFOSR Young Investigator Award (YIP) 2025 ONR Young Investigator Award (YIP) AIAA Associate Fellow Edit var myPronunciatio...</t>
        </is>
      </c>
      <c r="V11" s="2" t="inlineStr"/>
      <c r="W11" s="2" t="inlineStr">
        <is>
          <t>Gas Dynamics and Kinetic Theory (38) | Computational Fluid Dynamics and Aerodynamics (35) | Plasma and Flow Control in Aerodynamics (17)</t>
        </is>
      </c>
      <c r="X11" s="2" t="inlineStr">
        <is>
          <t>Gas Dynamics and Kinetic Theory (38) | Computational Fluid Dynamics and Aerodynamics (35) | Plasma and Flow Control in Aerodynamics (17)</t>
        </is>
      </c>
      <c r="Y11" s="2" t="inlineStr">
        <is>
          <t>Hypersonic aerothermodynamics Computational fluid dynamics High enthalpy flows Chemical kinetics Thermal management Low-temperature plasmas</t>
        </is>
      </c>
      <c r="Z11" s="2" t="inlineStr"/>
      <c r="AA11" s="2" t="inlineStr">
        <is>
          <t>Hypersonic aerothermodynamics Computational fluid dynamics High enthalpy flows Chemical kinetics Thermal management Low-temperature plasmas</t>
        </is>
      </c>
      <c r="AB11" s="2" t="inlineStr">
        <is>
          <t>B.S. University of Nebraska, Mechanical Engineering, 2012 M.S. University of Michigan, Aerospace Engineering, 2015 Ph.D. University of Michigan, Aerospace Engineering, 2017</t>
        </is>
      </c>
      <c r="AC11" s="2" t="inlineStr">
        <is>
          <t>Indiana Space Grant Consortium</t>
        </is>
      </c>
      <c r="AD11" s="3">
        <f>HYPERLINK("https://insgc.spacegrant.org/", "https://insgc.spacegrant.org/")</f>
        <v/>
      </c>
      <c r="AE11" s="2" t="inlineStr">
        <is>
          <t>Academic INSGC Internships</t>
        </is>
      </c>
      <c r="AF11" s="2" t="inlineStr"/>
      <c r="AG11" s="2" t="inlineStr"/>
      <c r="AH11" s="2" t="inlineStr">
        <is>
          <t>NASA</t>
        </is>
      </c>
      <c r="AI11" s="2" t="inlineStr"/>
      <c r="AJ11" s="2" t="inlineStr"/>
      <c r="AK11" s="2" t="inlineStr">
        <is>
          <t>ARMS 2021</t>
        </is>
      </c>
      <c r="AL11" s="2" t="b">
        <v>1</v>
      </c>
      <c r="AM11" s="3">
        <f>HYPERLINK("https://engineering.purdue.edu/AAE/people/Faculty", "https://engineering.purdue.edu/AAE/people/Faculty")</f>
        <v/>
      </c>
    </row>
    <row r="12">
      <c r="A12" s="2" t="inlineStr">
        <is>
          <t>Steven Collicott</t>
        </is>
      </c>
      <c r="B12" s="2" t="inlineStr">
        <is>
          <t>Purdue University</t>
        </is>
      </c>
      <c r="C12" s="3">
        <f>HYPERLINK("https://engineering.purdue.edu/AAE/people/ptProfile?resource_id=1370", "https://engineering.purdue.edu/AAE/people/ptProfile?resource_id=1370")</f>
        <v/>
      </c>
      <c r="D12" s="3">
        <f>HYPERLINK("https://scholar.google.com/citations?view_op=search_authors&amp;mauthors=Steven%20Collicott%20Purdue%20University", "Google Scholar Search")</f>
        <v/>
      </c>
      <c r="E12" s="2" t="inlineStr">
        <is>
          <t>Professor</t>
        </is>
      </c>
      <c r="F12" s="2" t="inlineStr">
        <is>
          <t>Aeronautics and Astronautics</t>
        </is>
      </c>
      <c r="G12" s="2" t="inlineStr"/>
      <c r="H12" s="3">
        <f>HYPERLINK("mailto:collicott@purdue.edu", "collicott@purdue.edu")</f>
        <v/>
      </c>
      <c r="I12" s="2" t="n">
        <v>1</v>
      </c>
      <c r="J12" s="2" t="inlineStr">
        <is>
          <t>🔵 Tier 1: Core Aero / Fluids / Propulsion</t>
        </is>
      </c>
      <c r="K12" s="2" t="n">
        <v>7</v>
      </c>
      <c r="L12" s="2" t="inlineStr">
        <is>
          <t>aerospace, boundary layer, fluid dynamics, fluid mechanics, fluids, hypersonic, satellite</t>
        </is>
      </c>
      <c r="M12" s="2" t="inlineStr"/>
      <c r="N12" s="2" t="inlineStr"/>
      <c r="O12" s="2" t="inlineStr"/>
      <c r="P12" s="2" t="inlineStr"/>
      <c r="Q12" s="2" t="inlineStr"/>
      <c r="R12" s="2" t="inlineStr">
        <is>
          <t>"Odyssey Propellant Estimation Phenomenal Mission in Progress Mission Success" [SpaceOps] (2026) [DOI: https://doi.org/10.82217/spaceops2025_398] | "Popcorn from Suborbital Spaceflight" [Gravitational and Space Research] (2026) [DOI: https://doi.org/10.2478/gsr-2026-0005] | "Critical investments in bioregenerative life support systems for bioastronautics and sustainable lunar exploration" [npj Microgravity] (2025) [DOI: https://doi.org/10.1038/s41526-025-00518-4]</t>
        </is>
      </c>
      <c r="S12" s="2" t="inlineStr">
        <is>
          <t>"Computational fluid dynamics" [Elsevier eBooks] (2024, 264 cites) [DOI: https://doi.org/10.1016/b978-0-32-399544-3.00013-x] | "Receptivity of the Mach-4 boundary layer on an elliptic cone to laser-generated localized freestream perturbations" [36th AIAA Aerospace Sciences Meeting and Exhibit] (1998, 67 cites) [DOI: https://doi.org/10.2514/6.1998-532] | "Computing Existence and Stability of Capillary Surfaces Using Surface Evolver" [AIAA Journal] (2004, 53 cites) [DOI: https://doi.org/10.2514/1.9093]</t>
        </is>
      </c>
      <c r="T12" s="2" t="inlineStr"/>
      <c r="U12" s="2" t="inlineStr">
        <is>
          <t>Inducted into Purdue University’s “Book of Great Teachers,” August 28, 2008 Presented the American Institute of Aeronautics and...</t>
        </is>
      </c>
      <c r="V12" s="2" t="inlineStr"/>
      <c r="W12" s="2" t="inlineStr">
        <is>
          <t>Spacecraft and Cryogenic Technologies (67) | Rocket and propulsion systems research (38) | Fluid Dynamics and Turbulent Flows (34)</t>
        </is>
      </c>
      <c r="X12" s="2" t="inlineStr">
        <is>
          <t>Spacecraft and Cryogenic Technologies (67) | Rocket and propulsion systems research (38) | Fluid Dynamics and Turbulent Flows (34)</t>
        </is>
      </c>
      <c r="Y12" s="2" t="inlineStr">
        <is>
          <t>Experimental fluid mechanics Low-gravity fluid dynamics Optical diagnostics Applied optics</t>
        </is>
      </c>
      <c r="Z12" s="2" t="inlineStr">
        <is>
          <t>Low-gravity fluid dynamics and capillary fluid physics are the focus of two-phase fluids research.  A collaborative aero-elastic study of failures of High-Mast Lighting Towers is underway, led by Professor Connor in Purdue’s School of Civil Engineering.  Sprays and internal flows in spray systems plus oil-air flows in turbine engines remain of interest too. Capillary effects dominate liquid positioning in the weightless portions of spaceflight and in small-scale two-phase fluids systems on Earth.  Beginning with work in support of the Gravity Probe-B satellite in 1993, Professor Collicott has become the leading expert in the use of the capillary fluids statics code, Surface Evolver, for both research and real-world engineering in two-phase fluids problems.  Research includes designing the “Vane-Gap” experiments for the Capillary Fluids Experiment (CFE) presently in the second set of tests in orbit in the International Space Station, exploring the existence and stability of water droplets in lung passages, designing and building a three-dimensional critical wetting experiment - one of the first experiments to fly on Blue Origin’s New Shepard rocket, and many others.  Engineering solutions that have grown from research include the best on-orbit propellant-gauging service available for satellites and presently available for owners and operators of satellites. Novel spray control and spray formation methods have grown from research, started by an NSF-Career Award, that probes the internal flow with specialized optics to uncover the physics of cavitation.  Small-scale non-equilibrium unsteady cavitation exists, the behavior of which can not presently be predicted to any useful extent.  Coordination with Professor Heister's simulations with pseudo-density models for non-equilibrium cavitating flows has been crucial to understanding the internal flow fields. Hypersonic boundary layer transition is a critical event on high speed flight vehicles, including the Space Shuttle during re-entry.  Sporadic collaborations with Professor Schneider's experiments involve both an optical perturber and optical diagnostics.  The perturber has been developed and is in regular use.  High-sensitivity, high bandwidth Laser Differential Interferometry is being applied to detect and measure instability waves in millimeter and thinner boundary layers in flows at speeds in excess of one-half of a kilometer per second.</t>
        </is>
      </c>
      <c r="AA12" s="2" t="inlineStr">
        <is>
          <t>Low-gravity fluid dynamics and capillary fluid physics are the focus of two-phase fluids research.  A collaborative aero-elastic study of failures of High-Mast Lighting Towers is underway, led by Professor Connor in Purdue’s School of Civil Engineering.  Sprays and internal flows in spray systems plus oil-air flows in turbine engines remain of interest too. Capillary effects dominate liquid pos...</t>
        </is>
      </c>
      <c r="AB12" s="2" t="inlineStr">
        <is>
          <t>B. S., University of Michigan, Aerospace Engineering, 1983, magna cum laude M. S., Stanford University, Aeronautics &amp; Astronautics, 1984 Ph.D., Stanford University, Aeronautics &amp; Astronautics, 1991</t>
        </is>
      </c>
      <c r="AC12" s="2" t="inlineStr">
        <is>
          <t>Indiana Space Grant Consortium</t>
        </is>
      </c>
      <c r="AD12" s="3">
        <f>HYPERLINK("https://insgc.spacegrant.org/", "https://insgc.spacegrant.org/")</f>
        <v/>
      </c>
      <c r="AE12" s="2" t="inlineStr">
        <is>
          <t>Academic INSGC Internships</t>
        </is>
      </c>
      <c r="AF12" s="2" t="inlineStr"/>
      <c r="AG12" s="2" t="inlineStr"/>
      <c r="AH12" s="2" t="inlineStr">
        <is>
          <t>NASA</t>
        </is>
      </c>
      <c r="AI12" s="2" t="inlineStr"/>
      <c r="AJ12" s="2" t="inlineStr"/>
      <c r="AK12" s="2" t="inlineStr">
        <is>
          <t>ARMS 2039</t>
        </is>
      </c>
      <c r="AL12" s="2" t="b">
        <v>1</v>
      </c>
      <c r="AM12" s="3">
        <f>HYPERLINK("https://engineering.purdue.edu/AAE/people/Faculty", "https://engineering.purdue.edu/AAE/people/Faculty")</f>
        <v/>
      </c>
    </row>
    <row r="13">
      <c r="A13" s="2" t="inlineStr">
        <is>
          <t>Alina Alexeenko</t>
        </is>
      </c>
      <c r="B13" s="2" t="inlineStr">
        <is>
          <t>Purdue University</t>
        </is>
      </c>
      <c r="C13" s="3">
        <f>HYPERLINK("https://engineering.purdue.edu/AAE/people/ptProfile?resource_id=23887", "https://engineering.purdue.edu/AAE/people/ptProfile?resource_id=23887")</f>
        <v/>
      </c>
      <c r="D13" s="3">
        <f>HYPERLINK("https://scholar.google.com/citations?user=vr5HyoMAAAAJ&amp;hl=en", "Scholar (vr5HyoMAAAAJ)")</f>
        <v/>
      </c>
      <c r="E13" s="2" t="inlineStr">
        <is>
          <t>Reilly Professor of Aeronautics and Astronautics &amp; Chemical Engineering</t>
        </is>
      </c>
      <c r="F13" s="2" t="inlineStr">
        <is>
          <t>Aeronautics and Astronautics</t>
        </is>
      </c>
      <c r="G13" s="2" t="inlineStr">
        <is>
          <t>vr5HyoMAAAAJ</t>
        </is>
      </c>
      <c r="H13" s="3">
        <f>HYPERLINK("mailto:alexeenk@purdue.edu", "alexeenk@purdue.edu")</f>
        <v/>
      </c>
      <c r="I13" s="2" t="n">
        <v>1</v>
      </c>
      <c r="J13" s="2" t="inlineStr">
        <is>
          <t>🔵 Tier 1: Core Aero / Fluids / Propulsion</t>
        </is>
      </c>
      <c r="K13" s="2" t="n">
        <v>6</v>
      </c>
      <c r="L13" s="2" t="inlineStr">
        <is>
          <t>aerospace, aerothermodynamics, numerical methods, propulsion, spacecraft, thermodynamics</t>
        </is>
      </c>
      <c r="M13" s="2" t="inlineStr"/>
      <c r="N13" s="2" t="inlineStr"/>
      <c r="O13" s="2" t="inlineStr"/>
      <c r="P13" s="2" t="inlineStr"/>
      <c r="Q13" s="2" t="inlineStr"/>
      <c r="R13" s="2" t="inlineStr">
        <is>
          <t>"DGFS-BE Solver: An open-source Discontinuous Galerkin Fast Spectral Solver for the full Boltzmann equation" [SoftwareX] (2026) [DOI: https://doi.org/10.1016/j.softx.2026.102544] | "Cryoconcentration modeling and experimental measurements for freezing and thawing of a biologic bulk drug substance" [European Journal of Pharmaceutics and Biopharmaceutics] (2025) [DOI: https://doi.org/10.1016/j.ejpb.2025.114812] | "Critical Needs and Opportunities for Advanced Manufacturing of Lyophilized Injectables" [Pharmaceutical Research] (2025) [DOI: https://doi.org/10.1007/s11095-025-03869-5]</t>
        </is>
      </c>
      <c r="S13" s="2" t="inlineStr">
        <is>
          <t>"Transient Heat Transfer and Gas Flow in a MEMS-Based Thruster" [Journal of Microelectromechanical Systems] (2006, 90 cites) [DOI: https://doi.org/10.1109/jmems.2005.859203] | "Recommended Best Practices for Process Monitoring Instrumentation in Pharmaceutical Freeze Drying—2017" [AAPS PharmSciTech] (2017, 88 cites) [DOI: https://doi.org/10.1208/s12249-017-0733-1] | "Ab initio -informed maximum entropy modeling of rovibrational relaxation and state-specific dissociation with application to the O2 + O system" [The Journal of Chemical Physics] (2016, 83 cites) [DOI: https://doi.org/10.1063/1.4947590]</t>
        </is>
      </c>
      <c r="T13" s="2" t="inlineStr"/>
      <c r="U13" s="2" t="inlineStr">
        <is>
          <t>Dean Henry T Yang Leadership in Service award, 2023 Associate Editor, Journal of Thermophysics and Heat Transfer, 2021-2022 Int...</t>
        </is>
      </c>
      <c r="V13" s="2" t="inlineStr"/>
      <c r="W13" s="2" t="inlineStr">
        <is>
          <t>Gas Dynamics and Kinetic Theory (139) | Plasma Diagnostics and Applications (51) | Protein purification and stability (39)</t>
        </is>
      </c>
      <c r="X13" s="2" t="inlineStr">
        <is>
          <t>Gas Dynamics and Kinetic Theory (139) | Plasma Diagnostics and Applications (51) | Protein purification and stability (39)</t>
        </is>
      </c>
      <c r="Y13" s="2" t="inlineStr">
        <is>
          <t>Rarefied gas dynamics, deterministic and stochastic numerical methods for the Boltzmann equation, direct simulation Monte Carlo (DSMC) and particle-in-cell Monte Carlo collisions (PIC/MCC) techniques; High-altitude aerothermodynamics and micropropulsion; Gas-phase effects in N/MEMS sensors and actuators; Vacuum gas dynamics; Modeling, analysis and design of vacuum deposition systems (MBE, P/CVD, EBPVD) for nano/microfabrication; Lyophilization/freeze-drying for biopharmaceutical manufacturing.</t>
        </is>
      </c>
      <c r="Z13" s="2" t="inlineStr">
        <is>
          <t>Professor Alexeenko’s research is centered on computational and experimental  studies of rarefied gas flow phenomena occurring in both high-altitude flight such as smallsat propulsion, spacecraft contamination, plume interactions, high-altitude aerothermodynamics; and in emerging technologies such as micro-electro-mechanical systems for space communications and micropropulsion and in vacuum manufacturing processes.  Broadening applications of rarefied gas dynamics is one of her long-term research goals. Alexeenko's group at Purdue has developed fast computational algorithms and solvers for the deterministic, as opposed to the stochastic DSMC, solution of rarefied flow problems. Such new techniques are especially useful in studying low-speed and/or unsteady flows and have allowed to address several challenging problems, such as the aerodynamic damping in MEMS and shock wave propagation at microscale. Additionally, the research led to novel microdevice concepts that exploit the unique microscale, rarefied flow physics for gas sensing and smallsat propulsion.</t>
        </is>
      </c>
      <c r="AA13" s="2" t="inlineStr">
        <is>
          <t>Professor Alexeenko’s research is centered on computational and experimental  studies of rarefied gas flow phenomena occurring in both high-altitude flight such as smallsat propulsion, spacecraft contamination, plume interactions, high-altitude aerothermodynamics; and in emerging technologies such as micro-electro-mechanical systems for space communications and micropropulsion and in vacuum man...</t>
        </is>
      </c>
      <c r="AB13" s="2" t="inlineStr">
        <is>
          <t>B.S., Novosibirsk State University, Mathematics, 1997 M.S., Novosibirsk State University, Applied Mathematics, 1999 Ph.D., Pennsylvania State University, Aerospace Engineering, 2003</t>
        </is>
      </c>
      <c r="AC13" s="2" t="inlineStr">
        <is>
          <t>Indiana Space Grant Consortium</t>
        </is>
      </c>
      <c r="AD13" s="3">
        <f>HYPERLINK("https://insgc.spacegrant.org/", "https://insgc.spacegrant.org/")</f>
        <v/>
      </c>
      <c r="AE13" s="2" t="inlineStr">
        <is>
          <t>Academic INSGC Internships</t>
        </is>
      </c>
      <c r="AF13" s="2" t="inlineStr"/>
      <c r="AG13" s="2" t="inlineStr"/>
      <c r="AH13" s="2" t="inlineStr">
        <is>
          <t>NASA</t>
        </is>
      </c>
      <c r="AI13" s="2" t="inlineStr"/>
      <c r="AJ13" s="2" t="inlineStr"/>
      <c r="AK13" s="2" t="inlineStr">
        <is>
          <t>ARMS 3231</t>
        </is>
      </c>
      <c r="AL13" s="2" t="b">
        <v>1</v>
      </c>
      <c r="AM13" s="3">
        <f>HYPERLINK("https://engineering.purdue.edu/AAE/people/Faculty", "https://engineering.purdue.edu/AAE/people/Faculty")</f>
        <v/>
      </c>
    </row>
    <row r="14">
      <c r="A14" s="2" t="inlineStr">
        <is>
          <t>Arezoo Ardekani</t>
        </is>
      </c>
      <c r="B14" s="2" t="inlineStr">
        <is>
          <t>Purdue University</t>
        </is>
      </c>
      <c r="C14" s="3">
        <f>HYPERLINK("https://engineering.purdue.edu/ME/People/ptProfile?resource_id=110641", "https://engineering.purdue.edu/ME/People/ptProfile?resource_id=110641")</f>
        <v/>
      </c>
      <c r="D14" s="3">
        <f>HYPERLINK("https://scholar.google.com/citations?view_op=search_authors&amp;mauthors=Arezoo%20Ardekani%20Purdue%20University", "Google Scholar Search")</f>
        <v/>
      </c>
      <c r="E14" s="2" t="inlineStr">
        <is>
          <t>Associate Head for Faculty Affairs, and Professor of Mechanical Engineering</t>
        </is>
      </c>
      <c r="F14" s="2" t="inlineStr">
        <is>
          <t>Mechanical Engineering</t>
        </is>
      </c>
      <c r="G14" s="2" t="inlineStr"/>
      <c r="H14" s="3">
        <f>HYPERLINK("mailto:ardekani@purdue.edu", "ardekani@purdue.edu")</f>
        <v/>
      </c>
      <c r="I14" s="2" t="n">
        <v>1</v>
      </c>
      <c r="J14" s="2" t="inlineStr">
        <is>
          <t>🔵 Tier 1: Core Aero / Fluids / Propulsion</t>
        </is>
      </c>
      <c r="K14" s="2" t="n">
        <v>6</v>
      </c>
      <c r="L14" s="2" t="inlineStr">
        <is>
          <t>fluid dynamics, fluid mechanics, fluids, microfluidics, multiphase flow, thermodynamics</t>
        </is>
      </c>
      <c r="M14" s="2" t="inlineStr"/>
      <c r="N14" s="2" t="inlineStr"/>
      <c r="O14" s="2" t="inlineStr"/>
      <c r="P14" s="2" t="inlineStr"/>
      <c r="Q14" s="2" t="inlineStr"/>
      <c r="R14" s="2" t="inlineStr">
        <is>
          <t>"A multiscale modeling framework for transport of PEGylated lipid nanoparticle through the extracellular matrix" [bioRxiv (Cold Spring Harbor Laboratory)] (2026) [DOI: https://doi.org/10.64898/2026.09.09.750406] | "A Review on Lymphatic Uptake of Large Therapeutic Proteins after Subcutaneous Injection" [Pharmaceutical Research] (2026) [DOI: https://doi.org/10.1007/s11095-026-04171-8] | "Protein-protein interactions and self-association of etanercept and immunoglobulin G1 in the bulk phase and at the air-water interface: Effects of NaCl and sucrose" [Journal of Colloid and Interface Science] (2026) [DOI: https://doi.org/10.1016/j.jcis.2026.141296]</t>
        </is>
      </c>
      <c r="S14" s="2" t="inlineStr">
        <is>
          <t>"Hydrodynamic mechanisms of cell and particle trapping in microfluidics" [Biomicrofluidics] (2013, 381 cites) [DOI: https://doi.org/10.1063/1.4799787] | "Hydrodynamic interaction of microswimmers near a wall" [Physical Review E] (2014, 214 cites) [DOI: https://doi.org/10.1103/physreve.90.013010] | "Interplay of physical mechanisms and biofilm processes: review of microfluidic methods" [Lab on a Chip] (2014, 183 cites) [DOI: https://doi.org/10.1039/c4lc01095g]</t>
        </is>
      </c>
      <c r="T14" s="2" t="inlineStr"/>
      <c r="U14" s="2" t="inlineStr">
        <is>
          <t>Outstanding Mechanical Engineers Distinguished Engineering Alumni Honorary Doctorates Staff Awards Student Awards Distinguished...</t>
        </is>
      </c>
      <c r="V14" s="2" t="inlineStr">
        <is>
          <t>Phone: +1 (765) 494-3975 Email: future-engineers@purdue.edu | Phone: +1 (765) 494-4873 Email: EngrGrad@purdue.edu</t>
        </is>
      </c>
      <c r="W14" s="2" t="inlineStr">
        <is>
          <t>Micro and Nano Robotics (75) | Microfluidic and Bio-sensing Technologies (60) | Particle Dynamics in Fluid Flows (49)</t>
        </is>
      </c>
      <c r="X14" s="2" t="inlineStr">
        <is>
          <t>Micro and Nano Robotics (75) | Microfluidic and Bio-sensing Technologies (60) | Particle Dynamics in Fluid Flows (49)</t>
        </is>
      </c>
      <c r="Y14" s="2" t="inlineStr">
        <is>
          <t>Fluid dynamics Biomaterial Multiphase flows Non-Newtonian fluid dynamics Microfluidics Complex fluids Soft matter</t>
        </is>
      </c>
      <c r="Z14" s="2" t="inlineStr">
        <is>
          <t>Thermodynamics Fluid Mechanics</t>
        </is>
      </c>
      <c r="AA14" s="2" t="inlineStr">
        <is>
          <t>Thermodynamics Fluid Mechanics</t>
        </is>
      </c>
      <c r="AB14" s="2" t="inlineStr">
        <is>
          <t>Shapiro Postdoctoral Fellow, Massachusetts Institute of Technology, '10 Ph.D., University of California Irvine, '09 M.S., University of California Irvine, '05, B.S., Sharif University of Technology, '03</t>
        </is>
      </c>
      <c r="AC14" s="2" t="inlineStr">
        <is>
          <t>Complex Flow Lab</t>
        </is>
      </c>
      <c r="AD14" s="3">
        <f>HYPERLINK("https://engineering.purdue.edu/ComplexFlowLab", "https://engineering.purdue.edu/ComplexFlowLab")</f>
        <v/>
      </c>
      <c r="AE14" s="2" t="inlineStr">
        <is>
          <t>For You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 |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t>
        </is>
      </c>
      <c r="AF14" s="2" t="inlineStr"/>
      <c r="AG14" s="2" t="inlineStr"/>
      <c r="AH14" s="2" t="inlineStr">
        <is>
          <t>DOE, NSF</t>
        </is>
      </c>
      <c r="AI14" s="2" t="inlineStr"/>
      <c r="AJ14" s="2" t="inlineStr"/>
      <c r="AK14" s="2" t="inlineStr">
        <is>
          <t>ME 2007F</t>
        </is>
      </c>
      <c r="AL14" s="2" t="b">
        <v>1</v>
      </c>
      <c r="AM14" s="3">
        <f>HYPERLINK("https://engineering.purdue.edu/ME/People/ptFaculty", "https://engineering.purdue.edu/ME/People/ptFaculty")</f>
        <v/>
      </c>
    </row>
    <row r="15">
      <c r="A15" s="2" t="inlineStr">
        <is>
          <t>Daniel Guildenbecher</t>
        </is>
      </c>
      <c r="B15" s="2" t="inlineStr">
        <is>
          <t>Purdue University</t>
        </is>
      </c>
      <c r="C15" s="3">
        <f>HYPERLINK("https://engineering.purdue.edu/ME/People/ptProfile?resource_id=281457", "https://engineering.purdue.edu/ME/People/ptProfile?resource_id=281457")</f>
        <v/>
      </c>
      <c r="D15" s="3">
        <f>HYPERLINK("https://scholar.google.com/citations?view_op=search_authors&amp;mauthors=Daniel%20Guildenbecher%20Purdue%20University", "Google Scholar Search")</f>
        <v/>
      </c>
      <c r="E15" s="2" t="inlineStr">
        <is>
          <t>Associate Professor of Mechanical Engineering</t>
        </is>
      </c>
      <c r="F15" s="2" t="inlineStr">
        <is>
          <t>Mechanical Engineering</t>
        </is>
      </c>
      <c r="G15" s="2" t="inlineStr"/>
      <c r="H15" s="3">
        <f>HYPERLINK("mailto:dguilden@purdue.edu", "dguilden@purdue.edu")</f>
        <v/>
      </c>
      <c r="I15" s="2" t="n">
        <v>1</v>
      </c>
      <c r="J15" s="2" t="inlineStr">
        <is>
          <t>🔵 Tier 1: Core Aero / Fluids / Propulsion</t>
        </is>
      </c>
      <c r="K15" s="2" t="n">
        <v>6</v>
      </c>
      <c r="L15" s="2" t="inlineStr">
        <is>
          <t>combustion, fluid mechanics, hydrodynamics, materials, multiphase flow, thermodynamics</t>
        </is>
      </c>
      <c r="M15" s="2" t="inlineStr"/>
      <c r="N15" s="2" t="inlineStr"/>
      <c r="O15" s="2" t="inlineStr"/>
      <c r="P15" s="2" t="inlineStr"/>
      <c r="Q15" s="2" t="inlineStr"/>
      <c r="R15" s="2" t="inlineStr">
        <is>
          <t>"Direct burn rate measurement of levitated aluminum particles by digital holography" [Combustion and Flame] (2026) [DOI: https://doi.org/10.1016/j.combustflame.2026.115159] | "Corrections for accurate measurements of particle extinction in scattering media using collimated and diffuse illumination" [Optics Express] (2026) [DOI: https://doi.org/10.1364/oe.591768] | "KHz rate 3D white light particle tracking with a tunable acoustic gradient (TAG) lens" [Optics Express] (2026) [DOI: https://doi.org/10.1364/oe.588303]</t>
        </is>
      </c>
      <c r="S15" s="2" t="inlineStr">
        <is>
          <t>"Secondary atomization" [Experiments in Fluids] (2009, 621 cites) [DOI: https://doi.org/10.1007/s00348-008-0593-2] | "Study of aluminum particle combustion in solid propellant plumes using digital in-line holography and imaging pyrometry" [Combustion and Flame] (2017, 244 cites) [DOI: https://doi.org/10.1016/j.combustflame.2017.04.016] | "Experimental statistics of droplet trajectory and air flow during aerodynamic fragmentation of liquid drops" [International Journal of Multiphase Flow] (2012, 141 cites) [DOI: https://doi.org/10.1016/j.ijmultiphaseflow.2012.06.008]</t>
        </is>
      </c>
      <c r="T15" s="2" t="inlineStr"/>
      <c r="U15" s="2" t="inlineStr">
        <is>
          <t>Outstanding Mechanical Engineers Distinguished Engineering Alumni Honorary Doctorates Staff Awards Student Awards Distinguished...</t>
        </is>
      </c>
      <c r="V15" s="2" t="inlineStr">
        <is>
          <t>Phone: +1 (765) 494-3975 Email: future-engineers@purdue.edu | Phone: +1 (765) 494-4873 Email: EngrGrad@purdue.edu</t>
        </is>
      </c>
      <c r="W15" s="2" t="inlineStr">
        <is>
          <t>Fluid Dynamics and Heat Transfer (42) | Digital Holography and Microscopy (40) | Energetic Materials and Combustion (38)</t>
        </is>
      </c>
      <c r="X15" s="2" t="inlineStr">
        <is>
          <t>Fluid Dynamics and Heat Transfer (42) | Digital Holography and Microscopy (40) | Energetic Materials and Combustion (38)</t>
        </is>
      </c>
      <c r="Y15" s="2" t="inlineStr">
        <is>
          <t>Multiphase flows Laser and high-speed imaging diagnostics Energetic materials (e.g., explosives &amp; propellants) hydrodynamics, combustion, and model validation Sprays and atomization High-speed fluid mechanics</t>
        </is>
      </c>
      <c r="Z15" s="2" t="inlineStr">
        <is>
          <t>Thermodynamics Fluid Mechanics</t>
        </is>
      </c>
      <c r="AA15" s="2" t="inlineStr">
        <is>
          <t>Thermodynamics Fluid Mechanics</t>
        </is>
      </c>
      <c r="AB15" s="2" t="inlineStr">
        <is>
          <t>B.S. in Mechanical Engineering, Purdue University, 2006 Ph.D. in Mechanical Engineering, Purdue University, 2009</t>
        </is>
      </c>
      <c r="AC15" s="2" t="inlineStr">
        <is>
          <t>Guildenbecher Research Group</t>
        </is>
      </c>
      <c r="AD15" s="3">
        <f>HYPERLINK("https://engineering.purdue.edu/GuildenbecherLab", "https://engineering.purdue.edu/GuildenbecherLab")</f>
        <v/>
      </c>
      <c r="AE15" s="2" t="inlineStr">
        <is>
          <t>For You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 |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t>
        </is>
      </c>
      <c r="AF15" s="2" t="inlineStr"/>
      <c r="AG15" s="2" t="inlineStr"/>
      <c r="AH15" s="2" t="inlineStr">
        <is>
          <t>DOE</t>
        </is>
      </c>
      <c r="AI15" s="2" t="inlineStr"/>
      <c r="AJ15" s="2" t="inlineStr"/>
      <c r="AK15" s="2" t="inlineStr"/>
      <c r="AL15" s="2" t="b">
        <v>1</v>
      </c>
      <c r="AM15" s="3">
        <f>HYPERLINK("https://engineering.purdue.edu/ME/People/ptFaculty", "https://engineering.purdue.edu/ME/People/ptFaculty")</f>
        <v/>
      </c>
    </row>
    <row r="16">
      <c r="A16" s="2" t="inlineStr">
        <is>
          <t>John Mullin</t>
        </is>
      </c>
      <c r="B16" s="2" t="inlineStr">
        <is>
          <t>Purdue University</t>
        </is>
      </c>
      <c r="C16" s="3">
        <f>HYPERLINK("https://engineering.purdue.edu/AAE/people/ptProfile?resource_id=339087", "https://engineering.purdue.edu/AAE/people/ptProfile?resource_id=339087")</f>
        <v/>
      </c>
      <c r="D16" s="3">
        <f>HYPERLINK("https://scholar.google.com/citations?view_op=search_authors&amp;mauthors=John%20Mullin%20Purdue%20University", "Google Scholar Search")</f>
        <v/>
      </c>
      <c r="E16" s="2" t="inlineStr">
        <is>
          <t>Associate Professor Of Engineering Practice</t>
        </is>
      </c>
      <c r="F16" s="2" t="inlineStr">
        <is>
          <t>Aeronautics and Astronautics</t>
        </is>
      </c>
      <c r="G16" s="2" t="inlineStr"/>
      <c r="H16" s="3">
        <f>HYPERLINK("mailto:webmaster-eng@purdue.edu", "webmaster-eng@purdue.edu")</f>
        <v/>
      </c>
      <c r="I16" s="2" t="n">
        <v>1</v>
      </c>
      <c r="J16" s="2" t="inlineStr">
        <is>
          <t>🔵 Tier 1: Core Aero / Fluids / Propulsion</t>
        </is>
      </c>
      <c r="K16" s="2" t="n">
        <v>6</v>
      </c>
      <c r="L16" s="2" t="inlineStr">
        <is>
          <t>aerodynamics, aerospace, fluid dynamics, reacting flow, satellite, turbulence</t>
        </is>
      </c>
      <c r="M16" s="2" t="inlineStr"/>
      <c r="N16" s="2" t="inlineStr"/>
      <c r="O16" s="2" t="inlineStr"/>
      <c r="P16" s="2" t="inlineStr"/>
      <c r="Q16" s="2" t="inlineStr"/>
      <c r="R16" s="2" t="inlineStr"/>
      <c r="S16" s="2" t="inlineStr">
        <is>
          <t>"Interpretation of crystallization induction periods" [Journal of Colloid and Interface Science] (1988, 390 cites) [DOI: https://doi.org/10.1016/0021-9797(88)90219-6] | "Precipitation of calcium carbonate" [Journal of Crystal Growth] (1982, 328 cites) [DOI: https://doi.org/10.1016/0022-0248(82)90095-1] | "Recrystallization" [Elsevier eBooks] (2001, 317 cites) [DOI: https://doi.org/10.1016/b978-075064833-2/50009-7]</t>
        </is>
      </c>
      <c r="T16" s="2" t="inlineStr"/>
      <c r="U16" s="2" t="inlineStr">
        <is>
          <t>NGAS Executive Leadership Program, 2025 NGC Global Capture Program, 2024 USC Leadership Certificate, 2010 NGAS President Award ...</t>
        </is>
      </c>
      <c r="V16" s="2" t="inlineStr"/>
      <c r="W16" s="2" t="inlineStr">
        <is>
          <t>Crystallization and Solubility Studies (76) | Chemical and Physical Properties in Aqueous Solutions (23) | nanoparticles nucleation surface interactions (22)</t>
        </is>
      </c>
      <c r="X16" s="2" t="inlineStr">
        <is>
          <t>Crystallization and Solubility Studies (76) | Chemical and Physical Properties in Aqueous Solutions (23) | nanoparticles nucleation surface interactions (22)</t>
        </is>
      </c>
      <c r="Y16" s="2" t="inlineStr">
        <is>
          <t>Aerospace Systems and Design; Aerodynamics Worked on the Airborne Laser Program, JWST MIRI Cyrocooler, Next Gen Polar Missile Warning Satellite, Strike Aircraft, VTOL Aircraft and Collaborative Combat Aircraft</t>
        </is>
      </c>
      <c r="Z16" s="2" t="inlineStr">
        <is>
          <t>Fluid dynamics, turbulence, reacting and non-reacting flows Aerospace and Defense Industry and Education Curriculum</t>
        </is>
      </c>
      <c r="AA16" s="2" t="inlineStr">
        <is>
          <t>Fluid dynamics, turbulence, reacting and non-reacting flows Aerospace and Defense Industry and Education Curriculum</t>
        </is>
      </c>
      <c r="AB16" s="2" t="inlineStr">
        <is>
          <t>MS &amp; PhD, Aerospace Engineering, University Michigan, 2004 BS, Aerospace Engineering, University of Southern California, 1995</t>
        </is>
      </c>
      <c r="AC16" s="2" t="inlineStr">
        <is>
          <t>Indiana Space Grant Consortium</t>
        </is>
      </c>
      <c r="AD16" s="3">
        <f>HYPERLINK("https://insgc.spacegrant.org/", "https://insgc.spacegrant.org/")</f>
        <v/>
      </c>
      <c r="AE16" s="2" t="inlineStr">
        <is>
          <t>Academic INSGC Internships</t>
        </is>
      </c>
      <c r="AF16" s="2" t="inlineStr"/>
      <c r="AG16" s="2" t="inlineStr"/>
      <c r="AH16" s="2" t="inlineStr">
        <is>
          <t>NASA</t>
        </is>
      </c>
      <c r="AI16" s="2" t="inlineStr"/>
      <c r="AJ16" s="2" t="inlineStr"/>
      <c r="AK16" s="2" t="inlineStr">
        <is>
          <t>ARMS 3211</t>
        </is>
      </c>
      <c r="AL16" s="2" t="b">
        <v>1</v>
      </c>
      <c r="AM16" s="3">
        <f>HYPERLINK("https://engineering.purdue.edu/AAE/people/Faculty", "https://engineering.purdue.edu/AAE/people/Faculty")</f>
        <v/>
      </c>
    </row>
    <row r="17">
      <c r="A17" s="2" t="inlineStr">
        <is>
          <t>Luciano Castillo</t>
        </is>
      </c>
      <c r="B17" s="2" t="inlineStr">
        <is>
          <t>Purdue University</t>
        </is>
      </c>
      <c r="C17" s="3">
        <f>HYPERLINK("https://engineering.purdue.edu/ME/People/ptProfile?resource_id=173054", "https://engineering.purdue.edu/ME/People/ptProfile?resource_id=173054")</f>
        <v/>
      </c>
      <c r="D17" s="3">
        <f>HYPERLINK("https://scholar.google.com/citations?view_op=search_authors&amp;mauthors=Luciano%20Castillo%20Purdue%20University", "Google Scholar Search")</f>
        <v/>
      </c>
      <c r="E17" s="2" t="inlineStr">
        <is>
          <t>Kenninger Professor of Renewable Energy and Power Systems</t>
        </is>
      </c>
      <c r="F17" s="2" t="inlineStr">
        <is>
          <t>Mechanical Engineering</t>
        </is>
      </c>
      <c r="G17" s="2" t="inlineStr"/>
      <c r="H17" s="3">
        <f>HYPERLINK("mailto:lcastillo@purdue.edu", "lcastillo@purdue.edu")</f>
        <v/>
      </c>
      <c r="I17" s="2" t="n">
        <v>1</v>
      </c>
      <c r="J17" s="2" t="inlineStr">
        <is>
          <t>🔵 Tier 1: Core Aero / Fluids / Propulsion</t>
        </is>
      </c>
      <c r="K17" s="2" t="n">
        <v>6</v>
      </c>
      <c r="L17" s="2" t="inlineStr">
        <is>
          <t>boundary layer, fluid mechanics, thermal, thermodynamics, turbulence, turbulent</t>
        </is>
      </c>
      <c r="M17" s="2" t="inlineStr"/>
      <c r="N17" s="2" t="inlineStr"/>
      <c r="O17" s="2" t="inlineStr"/>
      <c r="P17" s="2" t="inlineStr"/>
      <c r="Q17" s="2" t="inlineStr"/>
      <c r="R17" s="2" t="inlineStr">
        <is>
          <t>"Polluted-Air Direct Capture Using a $$\textrm{CO}_2$$ Liquid Filter" (2026) [DOI: https://doi.org/10.1007/978-3-032-07974-9_3] | "Quantification Methodology of Offshore and Onshore Sargassum in Eastern Puerto Rico" (2026) [DOI: https://doi.org/10.1007/978-3-032-07974-9_31] | "Building Future Engineers: Students’ Engagement with the Engineering Design Process" (2026) [DOI: https://doi.org/10.1007/978-3-032-07974-9_39]</t>
        </is>
      </c>
      <c r="S17" s="2" t="inlineStr">
        <is>
          <t>"Zero-Pressure-Gradient Turbulent Boundary Layer" [Applied Mechanics Reviews] (1997, 390 cites) [DOI: https://doi.org/10.1115/1.3101858] | "Experimental study of the horizontally averaged flow structure in a model wind-turbine array boundary layer" [Journal of Renewable and Sustainable Energy] (2010, 356 cites) [DOI: https://doi.org/10.1063/1.3289735] | "Unrestricted wind farm layout optimization (UWFLO): Investigating key factors influencing the maximum power generation" [Renewable Energy] (2011, 339 cites) [DOI: https://doi.org/10.1016/j.renene.2011.06.033]</t>
        </is>
      </c>
      <c r="T17" s="2" t="inlineStr"/>
      <c r="U17" s="2" t="inlineStr">
        <is>
          <t>Outstanding Mechanical Engineers Distinguished Engineering Alumni Honorary Doctorates Staff Awards Student Awards Distinguished...</t>
        </is>
      </c>
      <c r="V17" s="2" t="inlineStr"/>
      <c r="W17" s="2" t="inlineStr">
        <is>
          <t>Fluid Dynamics and Turbulent Flows (199) | Wind and Air Flow Studies (116) | Heat Transfer Mechanisms (72)</t>
        </is>
      </c>
      <c r="X17" s="2" t="inlineStr">
        <is>
          <t>Fluid Dynamics and Turbulent Flows (199) | Wind and Air Flow Studies (116) | Heat Transfer Mechanisms (72)</t>
        </is>
      </c>
      <c r="Y17" s="2" t="inlineStr">
        <is>
          <t>Modeling, Experiments and Simulations of turbulent boundary layers: role of initial conditions and bio-inspired micro-surfaces on evolution of velocity/thermal fields. Importance of turbulence and complex topography on wind energy. Integration of renewable with water and thermal storage. Translational research focus on renewable energy &amp; society Wall interaction (e.g., bio-inspired micro surfaces) in respiratory flows Big data in turbulence, renewable energy and biomedical engineering. Energy and social equality</t>
        </is>
      </c>
      <c r="Z17" s="2" t="inlineStr">
        <is>
          <t>Thermodynamics Fluid Mechanics Heat &amp; Mass Transfer</t>
        </is>
      </c>
      <c r="AA17" s="2" t="inlineStr">
        <is>
          <t>Thermodynamics Fluid Mechanics Heat &amp; Mass Transfer</t>
        </is>
      </c>
      <c r="AB17" s="2" t="inlineStr"/>
      <c r="AC17" s="2" t="inlineStr">
        <is>
          <t>Blue Integrated Partnerships</t>
        </is>
      </c>
      <c r="AD17" s="3">
        <f>HYPERLINK("https://blueintegratedpartners.org/", "https://blueintegratedpartners.org/")</f>
        <v/>
      </c>
      <c r="AE17" s="2" t="inlineStr"/>
      <c r="AF17" s="2" t="inlineStr"/>
      <c r="AG17" s="2" t="inlineStr">
        <is>
          <t>Cluster</t>
        </is>
      </c>
      <c r="AH17" s="2" t="inlineStr"/>
      <c r="AI17" s="2" t="inlineStr"/>
      <c r="AJ17" s="2" t="inlineStr"/>
      <c r="AK17" s="2" t="inlineStr"/>
      <c r="AL17" s="2" t="b">
        <v>1</v>
      </c>
      <c r="AM17" s="3">
        <f>HYPERLINK("https://engineering.purdue.edu/ME/People/ptFaculty", "https://engineering.purdue.edu/ME/People/ptFaculty")</f>
        <v/>
      </c>
    </row>
    <row r="18">
      <c r="A18" s="2" t="inlineStr">
        <is>
          <t>Robert Lucht</t>
        </is>
      </c>
      <c r="B18" s="2" t="inlineStr">
        <is>
          <t>Purdue University</t>
        </is>
      </c>
      <c r="C18" s="3">
        <f>HYPERLINK("https://engineering.purdue.edu/AAE/people/ptProfile?resource_id=28413", "https://engineering.purdue.edu/AAE/people/ptProfile?resource_id=28413")</f>
        <v/>
      </c>
      <c r="D18" s="3">
        <f>HYPERLINK("https://scholar.google.com/citations?view_op=search_authors&amp;mauthors=Robert%20Lucht%20Purdue%20University", "Google Scholar Search")</f>
        <v/>
      </c>
      <c r="E18" s="2" t="inlineStr">
        <is>
          <t>Ralph and Bettye Bailey Distinguished Professor of Mechanical Engineering</t>
        </is>
      </c>
      <c r="F18" s="2" t="inlineStr">
        <is>
          <t>Aeronautics and Astronautics</t>
        </is>
      </c>
      <c r="G18" s="2" t="inlineStr"/>
      <c r="H18" s="3">
        <f>HYPERLINK("mailto:lucht@purdue.edu", "lucht@purdue.edu")</f>
        <v/>
      </c>
      <c r="I18" s="2" t="n">
        <v>1</v>
      </c>
      <c r="J18" s="2" t="inlineStr">
        <is>
          <t>🔵 Tier 1: Core Aero / Fluids / Propulsion</t>
        </is>
      </c>
      <c r="K18" s="2" t="n">
        <v>6</v>
      </c>
      <c r="L18" s="2" t="inlineStr">
        <is>
          <t>combustion, fluid mechanics, heat transfer, materials, propulsion, thermodynamics</t>
        </is>
      </c>
      <c r="M18" s="2" t="inlineStr"/>
      <c r="N18" s="2" t="inlineStr"/>
      <c r="O18" s="2" t="inlineStr"/>
      <c r="P18" s="2" t="inlineStr"/>
      <c r="Q18" s="2" t="inlineStr"/>
      <c r="R18" s="2" t="inlineStr">
        <is>
          <t>"Coherent Stokes Raman Scattering for Simultaneous Measurement of CO 2 and CH 4 Temperatures" [Journal of Raman Spectroscopy] (2026) [DOI: https://doi.org/10.1002/jrs.70176] | "One-dimensional time-resolved single-shot femtosecond coherent anti-Stokes Raman scattering thermometry in reacting thermal gradients" [Applied Optics] (2026) [DOI: https://doi.org/10.1364/ao.583207] | "Methodology for Unsteady Exhaust Emissions Characterization in High-Pressure Hydrogen–Ammonia–Methane Flames" (2026) [DOI: https://doi.org/10.2514/6.2026-1621]</t>
        </is>
      </c>
      <c r="S18" s="2" t="inlineStr">
        <is>
          <t>"Nitrogen and hydrogen CARS temperature measurements in a hydrogen/air flame using a near-adiabatic flat-flame burner" [Combustion and Flame] (1997, 191 cites) [DOI: https://doi.org/10.1016/s0010-2180(96)00191-5] | "Mixing of a Sonic Transverse Jet Injected into a Supersonic Flow" [AIAA Journal] (2000, 179 cites) [DOI: https://doi.org/10.2514/2.984] | "Label-Free Bond-Selective Imaging by Listening to Vibrationally Excited Molecules" [Physical Review Letters] (2011, 167 cites) [DOI: https://doi.org/10.1103/physrevlett.106.238106]</t>
        </is>
      </c>
      <c r="T18" s="2" t="inlineStr"/>
      <c r="U18" s="2" t="inlineStr"/>
      <c r="V18" s="2" t="inlineStr"/>
      <c r="W18" s="2" t="inlineStr">
        <is>
          <t>Combustion and flame dynamics (241) | Spectroscopy and Laser Applications (186) | Advanced Combustion Engine Technologies (114)</t>
        </is>
      </c>
      <c r="X18" s="2" t="inlineStr">
        <is>
          <t>Combustion and flame dynamics (241) | Spectroscopy and Laser Applications (186) | Advanced Combustion Engine Technologies (114)</t>
        </is>
      </c>
      <c r="Y18" s="2" t="inlineStr">
        <is>
          <t>Laser diagnostics Diode-laser-based sensors Gas turbine and internal engine combustion Materials processing and synthesis Combustion science Fluid mechanics and heat transfer</t>
        </is>
      </c>
      <c r="Z18" s="2" t="inlineStr">
        <is>
          <t>Combustion, Energy Utilization, and Thermodynamics Fluid Mechanics &amp; Propulsion Systems, Measurement, and Control Research Links Personal Homepage Faculty Research Presentation Edit var myPronunciation=document.getElementById("pronunciation");
    function play() {
    myPronunciation.play();
    }
    function pause() {
    myPronunciation.pause();
    }</t>
        </is>
      </c>
      <c r="AA18" s="2" t="inlineStr">
        <is>
          <t>Combustion, Energy Utilization, and Thermodynamics Fluid Mechanics &amp; Propulsion Systems, Measurement, and Control Research Links Personal Homepage Faculty Research Presentation Edit var myPronunciation=document.getElementById("pronunciation");
    function play() {
    myPronunciation.play();
    }
    function pause() {
    myPronunciation.pause();
    }</t>
        </is>
      </c>
      <c r="AB18" s="2" t="inlineStr">
        <is>
          <t>Ph.D., Purdue, 1981 M.S., Purdue, 1979 B.S., Purdue, 1977</t>
        </is>
      </c>
      <c r="AC18" s="2" t="inlineStr">
        <is>
          <t>Indiana Space Grant Consortium</t>
        </is>
      </c>
      <c r="AD18" s="3">
        <f>HYPERLINK("https://insgc.spacegrant.org/", "https://insgc.spacegrant.org/")</f>
        <v/>
      </c>
      <c r="AE18" s="2" t="inlineStr">
        <is>
          <t>Academic INSGC Internships</t>
        </is>
      </c>
      <c r="AF18" s="2" t="inlineStr"/>
      <c r="AG18" s="2" t="inlineStr"/>
      <c r="AH18" s="2" t="inlineStr">
        <is>
          <t>NASA</t>
        </is>
      </c>
      <c r="AI18" s="2" t="inlineStr"/>
      <c r="AJ18" s="2" t="inlineStr"/>
      <c r="AK18" s="2" t="inlineStr"/>
      <c r="AL18" s="2" t="b">
        <v>1</v>
      </c>
      <c r="AM18" s="3">
        <f>HYPERLINK("https://engineering.purdue.edu/AAE/people/Faculty", "https://engineering.purdue.edu/AAE/people/Faculty")</f>
        <v/>
      </c>
    </row>
    <row r="19">
      <c r="A19" s="2" t="inlineStr">
        <is>
          <t>Sadegh Dabiri</t>
        </is>
      </c>
      <c r="B19" s="2" t="inlineStr">
        <is>
          <t>Purdue University</t>
        </is>
      </c>
      <c r="C19" s="3">
        <f>HYPERLINK("https://engineering.purdue.edu/ME/People/ptProfile?resource_id=105717", "https://engineering.purdue.edu/ME/People/ptProfile?resource_id=105717")</f>
        <v/>
      </c>
      <c r="D19" s="3">
        <f>HYPERLINK("https://scholar.google.com/citations?view_op=search_authors&amp;mauthors=Sadegh%20Dabiri%20Purdue%20University", "Google Scholar Search")</f>
        <v/>
      </c>
      <c r="E19" s="2" t="inlineStr">
        <is>
          <t>Associate Professor of Agricultural and Biological Engineering, and Mechanical Engineering</t>
        </is>
      </c>
      <c r="F19" s="2" t="inlineStr">
        <is>
          <t>Mechanical Engineering</t>
        </is>
      </c>
      <c r="G19" s="2" t="inlineStr"/>
      <c r="H19" s="3">
        <f>HYPERLINK("mailto:dabiri@purdue.edu", "dabiri@purdue.edu")</f>
        <v/>
      </c>
      <c r="I19" s="2" t="n">
        <v>1</v>
      </c>
      <c r="J19" s="2" t="inlineStr">
        <is>
          <t>🔵 Tier 1: Core Aero / Fluids / Propulsion</t>
        </is>
      </c>
      <c r="K19" s="2" t="n">
        <v>6</v>
      </c>
      <c r="L19" s="2" t="inlineStr">
        <is>
          <t>aerospace, cfd, fluid mechanics, heat transfer, multiphase flow, turbulent</t>
        </is>
      </c>
      <c r="M19" s="2" t="inlineStr"/>
      <c r="N19" s="2" t="inlineStr"/>
      <c r="O19" s="2" t="inlineStr"/>
      <c r="P19" s="2" t="inlineStr"/>
      <c r="Q19" s="2" t="inlineStr"/>
      <c r="R19" s="2" t="inlineStr">
        <is>
          <t>"Raman microscopy and FTIR spectroscopy of protein-attached chromatography resins for process analytical technology (PAT)" [ChemRxiv] (2026) [DOI: https://doi.org/10.26434/chemrxiv.15001003/v1] | "Perivascular interactions and tissue properties modulate directional glymphatic transport in the brain" [Fluids and Barriers of the CNS] (2025) [DOI: https://doi.org/10.1186/s12987-025-00668-3] | "An arbitrary Lagrangian discrete least squares meshfree method for discontinuity capturing with application in the Saint–Venant equations" [Engineering With Computers] (2025) [DOI: https://doi.org/10.1007/s00366-025-02140-0]</t>
        </is>
      </c>
      <c r="S19" s="2" t="inlineStr">
        <is>
          <t>"Fully resolved numerical simulations of fused deposition modeling. Part I: fluid flow" [Rapid Prototyping Journal] (2018, 138 cites) [DOI: https://doi.org/10.1108/rpj-12-2016-0217] | "A model for a laser-induced cavitation bubble" [International Journal of Multiphase Flow] (2020, 96 cites) [DOI: https://doi.org/10.1016/j.ijmultiphaseflow.2020.103433] | "Cavitation in an orifice flow" [Physics of Fluids] (2007, 75 cites) [DOI: https://doi.org/10.1063/1.2750655]</t>
        </is>
      </c>
      <c r="T19" s="2" t="inlineStr"/>
      <c r="U19" s="2" t="inlineStr">
        <is>
          <t>Outstanding Mechanical Engineers Distinguished Engineering Alumni Honorary Doctorates Staff Awards Student Awards Distinguished...</t>
        </is>
      </c>
      <c r="V19" s="2" t="inlineStr"/>
      <c r="W19" s="2" t="inlineStr">
        <is>
          <t>Fluid Dynamics and Mixing (31) | Fluid Dynamics and Heat Transfer (29) | Particle Dynamics in Fluid Flows (11)</t>
        </is>
      </c>
      <c r="X19" s="2" t="inlineStr">
        <is>
          <t>Fluid Dynamics and Mixing (31) | Fluid Dynamics and Heat Transfer (29) | Particle Dynamics in Fluid Flows (11)</t>
        </is>
      </c>
      <c r="Y19" s="2" t="inlineStr">
        <is>
          <t>CFD of multiphase flows Turbulent gas-liquid flows Cavitation Heat transfer</t>
        </is>
      </c>
      <c r="Z19" s="2" t="inlineStr">
        <is>
          <t>Fluid Mechanics Heat &amp; Mass Transfer</t>
        </is>
      </c>
      <c r="AA19" s="2" t="inlineStr">
        <is>
          <t>Fluid Mechanics Heat &amp; Mass Transfer</t>
        </is>
      </c>
      <c r="AB19" s="2" t="inlineStr">
        <is>
          <t>Postdoctoral Associate, Mechanical Eng., MIT, '09-'10 Ph.D. Aerospace and Mechanical Eng., UC Irvine,  '09 M.Sc. Aerospace and Mechanical Eng., UC Irvine,  '05 B.Sc. Mechanical Eng., Sharif University of Technology, Iran, '03</t>
        </is>
      </c>
      <c r="AC19" s="2" t="inlineStr">
        <is>
          <t>Personal Homepage</t>
        </is>
      </c>
      <c r="AD19" s="3">
        <f>HYPERLINK("http://web.ics.purdue.edu/~sdabiris/", "http://web.ics.purdue.edu/~sdabiris/")</f>
        <v/>
      </c>
      <c r="AE19" s="2" t="inlineStr"/>
      <c r="AF19" s="2" t="inlineStr"/>
      <c r="AG19" s="2" t="inlineStr"/>
      <c r="AH19" s="2" t="inlineStr"/>
      <c r="AI19" s="2" t="inlineStr"/>
      <c r="AJ19" s="2" t="inlineStr"/>
      <c r="AK19" s="2" t="inlineStr"/>
      <c r="AL19" s="2" t="b">
        <v>1</v>
      </c>
      <c r="AM19" s="3">
        <f>HYPERLINK("https://engineering.purdue.edu/ME/People/ptFaculty", "https://engineering.purdue.edu/ME/People/ptFaculty")</f>
        <v/>
      </c>
    </row>
    <row r="20">
      <c r="A20" s="2" t="inlineStr">
        <is>
          <t>Tom Shih</t>
        </is>
      </c>
      <c r="B20" s="2" t="inlineStr">
        <is>
          <t>Purdue University</t>
        </is>
      </c>
      <c r="C20" s="3">
        <f>HYPERLINK("https://engineering.purdue.edu/AAE/people/ptProfile?resource_id=56893", "https://engineering.purdue.edu/AAE/people/ptProfile?resource_id=56893")</f>
        <v/>
      </c>
      <c r="D20" s="3">
        <f>HYPERLINK("https://scholar.google.com/citations?view_op=search_authors&amp;mauthors=Tom%20Shih%20Purdue%20University", "Google Scholar Search")</f>
        <v/>
      </c>
      <c r="E20" s="2" t="inlineStr">
        <is>
          <t>Professor of Aeronautics and Astronautics</t>
        </is>
      </c>
      <c r="F20" s="2" t="inlineStr">
        <is>
          <t>Aeronautics and Astronautics</t>
        </is>
      </c>
      <c r="G20" s="2" t="inlineStr"/>
      <c r="H20" s="3">
        <f>HYPERLINK("mailto:tomshih@purdue.edu", "tomshih@purdue.edu")</f>
        <v/>
      </c>
      <c r="I20" s="2" t="n">
        <v>1</v>
      </c>
      <c r="J20" s="2" t="inlineStr">
        <is>
          <t>🔵 Tier 1: Core Aero / Fluids / Propulsion</t>
        </is>
      </c>
      <c r="K20" s="2" t="n">
        <v>6</v>
      </c>
      <c r="L20" s="2" t="inlineStr">
        <is>
          <t>cfd, computational fluid dynamics, estimation, fluid dynamics, heat transfer, thermal</t>
        </is>
      </c>
      <c r="M20" s="2" t="inlineStr"/>
      <c r="N20" s="2" t="inlineStr"/>
      <c r="O20" s="2" t="inlineStr"/>
      <c r="P20" s="2" t="inlineStr"/>
      <c r="Q20" s="2" t="inlineStr"/>
      <c r="R20" s="2" t="inlineStr">
        <is>
          <t>"Outflow Boundary Conditions for Turbine-Integrated Rotating Detonation Combustors" [Applied Sciences] (2025) [DOI: https://doi.org/10.3390/app152211922] | "Revisiting Dimensionless Parameters Quantifying Film Cooling" [Journal of Turbomachinery] (2025) [DOI: https://doi.org/10.1115/1.4067931] | "Flow and Heat Transfer in a Ribbed Converging-Diverging U-Duct Under Rotating and Non-Rotating Conditions" [Journal of Turbomachinery] (2024) [DOI: https://doi.org/10.1115/1.4066567]</t>
        </is>
      </c>
      <c r="S20" s="2" t="inlineStr">
        <is>
          <t>"Mechanics of Fluids" [Medical Entomology and Zoology] (2012, 189 cites) [DOI: http://ci.nii.ac.jp/ncid/BA12971383] | "Single-phase and Two-phase Flow and Heat Transfer in Microchannel Heat Sink with Various Manifold Arrangements" [International Journal of Heat and Mass Transfer] (2021, 162 cites) [DOI: https://doi.org/10.1016/j.ijheatmasstransfer.2021.121118] | "Large-Eddy Simulations of Turbulent Flows in an Axisymmetric Dump Combustor" [AIAA Journal] (2008, 58 cites) [DOI: https://doi.org/10.2514/1.25467]</t>
        </is>
      </c>
      <c r="T20" s="2" t="inlineStr"/>
      <c r="U20" s="2" t="inlineStr">
        <is>
          <t>Honors Fellow, American Society of Mechanical Engineers (ASME) Fellow, American Institute of Aeronautics and Astronautics (AIAA...</t>
        </is>
      </c>
      <c r="V20" s="2" t="inlineStr"/>
      <c r="W20" s="2" t="inlineStr">
        <is>
          <t>Fluid Dynamics and Turbulent Flows (50) | Heat Transfer Mechanisms (45) | Computational Fluid Dynamics and Aerodynamics (33)</t>
        </is>
      </c>
      <c r="X20" s="2" t="inlineStr">
        <is>
          <t>Fluid Dynamics and Turbulent Flows (50) | Heat Transfer Mechanisms (45) | Computational Fluid Dynamics and Aerodynamics (33)</t>
        </is>
      </c>
      <c r="Y20" s="2" t="inlineStr">
        <is>
          <t>computational fluid dynamics and heat transfer, error estimation in CFD, thermal management, gas turbine aero-thermal, control of shock-wave/boundary-layer interactions, aircraft icing</t>
        </is>
      </c>
      <c r="Z20" s="2" t="inlineStr"/>
      <c r="AA20" s="2" t="inlineStr">
        <is>
          <t>computational fluid dynamics and heat transfer, error estimation in CFD, thermal management, gas turbine aero-thermal, control of shock-wave/boundary-layer interactions, aircraft icing</t>
        </is>
      </c>
      <c r="AB20" s="2" t="inlineStr">
        <is>
          <t>Freshman Year, West Virginia University, 1971-72 B.S.E., National Cheng Kung University, 1976 M.S.E., The University of Michigan, 1977 Ph.D., The University of Michigan, 1981</t>
        </is>
      </c>
      <c r="AC20" s="2" t="inlineStr">
        <is>
          <t>Indiana Space Grant Consortium</t>
        </is>
      </c>
      <c r="AD20" s="3">
        <f>HYPERLINK("https://insgc.spacegrant.org/", "https://insgc.spacegrant.org/")</f>
        <v/>
      </c>
      <c r="AE20" s="2" t="inlineStr">
        <is>
          <t>Academic INSGC Internships</t>
        </is>
      </c>
      <c r="AF20" s="2" t="inlineStr"/>
      <c r="AG20" s="2" t="inlineStr"/>
      <c r="AH20" s="2" t="inlineStr">
        <is>
          <t>NASA</t>
        </is>
      </c>
      <c r="AI20" s="2" t="inlineStr"/>
      <c r="AJ20" s="2" t="inlineStr"/>
      <c r="AK20" s="2" t="inlineStr">
        <is>
          <t>ARMS 3307</t>
        </is>
      </c>
      <c r="AL20" s="2" t="b">
        <v>1</v>
      </c>
      <c r="AM20" s="3">
        <f>HYPERLINK("https://engineering.purdue.edu/AAE/people/Faculty", "https://engineering.purdue.edu/AAE/people/Faculty")</f>
        <v/>
      </c>
    </row>
    <row r="21">
      <c r="A21" s="2" t="inlineStr">
        <is>
          <t>Kyle DeMars</t>
        </is>
      </c>
      <c r="B21" s="2" t="inlineStr">
        <is>
          <t>Purdue University</t>
        </is>
      </c>
      <c r="C21" s="3">
        <f>HYPERLINK("https://engineering.purdue.edu/AAE/people/ptProfile?resource_id=319705", "https://engineering.purdue.edu/AAE/people/ptProfile?resource_id=319705")</f>
        <v/>
      </c>
      <c r="D21" s="3">
        <f>HYPERLINK("https://scholar.google.com/citations?view_op=search_authors&amp;mauthors=Kyle%20DeMars%20Purdue%20University", "Google Scholar Search")</f>
        <v/>
      </c>
      <c r="E21" s="2" t="inlineStr">
        <is>
          <t>Professor</t>
        </is>
      </c>
      <c r="F21" s="2" t="inlineStr">
        <is>
          <t>Aeronautics and Astronautics</t>
        </is>
      </c>
      <c r="G21" s="2" t="inlineStr"/>
      <c r="H21" s="3">
        <f>HYPERLINK("mailto:kdemars@purdue.edu", "kdemars@purdue.edu")</f>
        <v/>
      </c>
      <c r="I21" s="2" t="n">
        <v>1</v>
      </c>
      <c r="J21" s="2" t="inlineStr">
        <is>
          <t>🔵 Tier 1: Core Aero / Fluids / Propulsion</t>
        </is>
      </c>
      <c r="K21" s="2" t="n">
        <v>5</v>
      </c>
      <c r="L21" s="2" t="inlineStr">
        <is>
          <t>aerospace, astrodynamics, autonomous, guidance, navigation</t>
        </is>
      </c>
      <c r="M21" s="2" t="inlineStr"/>
      <c r="N21" s="2" t="inlineStr"/>
      <c r="O21" s="2" t="inlineStr"/>
      <c r="P21" s="2" t="inlineStr"/>
      <c r="Q21" s="2" t="inlineStr"/>
      <c r="R21" s="2" t="inlineStr">
        <is>
          <t>"Cislunar State and Uncertainty Propagation via the Modified Generalized Equinoctial Orbital Elements" [arXiv (Cornell University)] (2026) [DOI: http://arxiv.org/abs/2603.20110]</t>
        </is>
      </c>
      <c r="S21" s="2" t="inlineStr">
        <is>
          <t>"Cislunar State and Uncertainty Propagation via the Modified Generalized Equinoctial Orbital Elements" [arXiv (Cornell University)] (2026, 0 cites) [DOI: http://arxiv.org/abs/2603.20110]</t>
        </is>
      </c>
      <c r="T21" s="2" t="inlineStr"/>
      <c r="U21" s="2" t="inlineStr">
        <is>
          <t>AAS Fellow, 2024 AIAA Associate Fellow, 2021 Chair, AIAA Astrodynamics Technical Committee Associate Editor, Journal of the Ast...</t>
        </is>
      </c>
      <c r="V21" s="2" t="inlineStr"/>
      <c r="W21" s="2" t="inlineStr">
        <is>
          <t>Target Tracking and Data Fusion in Sensor Networks (1) | Spacecraft Dynamics and Control (1) | Space Satellite Systems and Control (1)</t>
        </is>
      </c>
      <c r="X21" s="2" t="inlineStr">
        <is>
          <t>Target Tracking and Data Fusion in Sensor Networks (1) | Spacecraft Dynamics and Control (1) | Space Satellite Systems and Control (1)</t>
        </is>
      </c>
      <c r="Y21" s="2" t="inlineStr"/>
      <c r="Z21" s="2" t="inlineStr">
        <is>
          <t>Space surveillance and space domain awareness; Astrodynamics; Orbit determination; Nonlinear uncertainty prediction; Bayesian filtering; Multitarget tracking; Attitude dynamics, determination, and control; Autonomous navigation, guidance, and control Edit var myPronunciation=document.getElementById("pronunciation");
    function play() {
    myPronunciation.play();
    }
    function pause() {
    myPronunciation.pause();
    }</t>
        </is>
      </c>
      <c r="AA21" s="2" t="inlineStr">
        <is>
          <t>Space surveillance and space domain awareness; Astrodynamics; Orbit determination; Nonlinear uncertainty prediction; Bayesian filtering; Multitarget tracking; Attitude dynamics, determination, and control; Autonomous navigation, guidance, and control Edit var myPronunciation=document.getElementById("pronunciation");
    function play() {
    myPronunciation.play();
    }
    function...</t>
        </is>
      </c>
      <c r="AB21" s="2" t="inlineStr">
        <is>
          <t>Ph.D., The University of Texas at Austin, Aerospace Engineering, 2010 M.S.E., The University of Texas at Austin, Aerospace Engineering, 2007 B.S., The University of Texas at Austin, Aerospace Engineering, 2004</t>
        </is>
      </c>
      <c r="AC21" s="2" t="inlineStr">
        <is>
          <t>Indiana Space Grant Consortium</t>
        </is>
      </c>
      <c r="AD21" s="3">
        <f>HYPERLINK("https://insgc.spacegrant.org/", "https://insgc.spacegrant.org/")</f>
        <v/>
      </c>
      <c r="AE21" s="2" t="inlineStr">
        <is>
          <t>Academic INSGC Internships</t>
        </is>
      </c>
      <c r="AF21" s="2" t="inlineStr"/>
      <c r="AG21" s="2" t="inlineStr"/>
      <c r="AH21" s="2" t="inlineStr">
        <is>
          <t>NASA</t>
        </is>
      </c>
      <c r="AI21" s="2" t="inlineStr"/>
      <c r="AJ21" s="2" t="inlineStr"/>
      <c r="AK21" s="2" t="inlineStr">
        <is>
          <t>ARMS 3223</t>
        </is>
      </c>
      <c r="AL21" s="2" t="b">
        <v>1</v>
      </c>
      <c r="AM21" s="3">
        <f>HYPERLINK("https://engineering.purdue.edu/AAE/people/Faculty", "https://engineering.purdue.edu/AAE/people/Faculty")</f>
        <v/>
      </c>
    </row>
    <row r="22">
      <c r="A22" s="2" t="inlineStr">
        <is>
          <t>Li Qiao</t>
        </is>
      </c>
      <c r="B22" s="2" t="inlineStr">
        <is>
          <t>Purdue University</t>
        </is>
      </c>
      <c r="C22" s="3">
        <f>HYPERLINK("https://engineering.purdue.edu/AAE/people/ptProfile?resource_id=39640", "https://engineering.purdue.edu/AAE/people/ptProfile?resource_id=39640")</f>
        <v/>
      </c>
      <c r="D22" s="3">
        <f>HYPERLINK("https://scholar.google.com/citations?user=yFXFQPYAAAAJ&amp;hl=en", "Scholar (yFXFQPYAAAAJ)")</f>
        <v/>
      </c>
      <c r="E22" s="2" t="inlineStr">
        <is>
          <t>Professor, Associate Head for Engagement and Recognition</t>
        </is>
      </c>
      <c r="F22" s="2" t="inlineStr">
        <is>
          <t>Aeronautics and Astronautics</t>
        </is>
      </c>
      <c r="G22" s="2" t="inlineStr">
        <is>
          <t>yFXFQPYAAAAJ</t>
        </is>
      </c>
      <c r="H22" s="3">
        <f>HYPERLINK("mailto:lqiao@purdue.edu", "lqiao@purdue.edu")</f>
        <v/>
      </c>
      <c r="I22" s="2" t="n">
        <v>1</v>
      </c>
      <c r="J22" s="2" t="inlineStr">
        <is>
          <t>🔵 Tier 1: Core Aero / Fluids / Propulsion</t>
        </is>
      </c>
      <c r="K22" s="2" t="n">
        <v>5</v>
      </c>
      <c r="L22" s="2" t="inlineStr">
        <is>
          <t>aerospace, combustion, drone, propulsion, thermal</t>
        </is>
      </c>
      <c r="M22" s="2" t="inlineStr"/>
      <c r="N22" s="2" t="inlineStr"/>
      <c r="O22" s="2" t="inlineStr"/>
      <c r="P22" s="2" t="inlineStr"/>
      <c r="Q22" s="2" t="inlineStr"/>
      <c r="R22" s="2" t="inlineStr">
        <is>
          <t>"Dual‐Role Zn Engineering Enables Electron Redistribution and Hierarchical Porosity in Co–N 4 Carbon Nanofibers for Efficient Zinc–Air Batteries" [Advanced Functional Materials] (2026) [DOI: https://doi.org/10.1002/adfm.77161] | "Triphasic Bi heterointerfaces drive cycling exceeding 1650 h and high-power zinc-air batteries" [CHINESE JOURNAL OF CATALYSIS (CHINESE VERSION)] (2026) [DOI: https://doi.org/10.1016/s1872-2067(26)65052-8] | "Functional mechanisms of aqueous zinc-ion batteries: advanced materials, in-situ characterizations and theoretic understanding" [Coordination Chemistry Reviews] (2026) [DOI: https://doi.org/10.1016/j.ccr.2026.218262]</t>
        </is>
      </c>
      <c r="S22" s="2" t="inlineStr">
        <is>
          <t>"A review of electrolyte materials and compositions for electrochemical supercapacitors" [Chemical Society Reviews] (2015, 3673 cites) [DOI: https://doi.org/10.1039/c5cs00303b] | "A review of catalysts for the electroreduction of carbon dioxide to produce low-carbon fuels" [Chemical Society Reviews] (2013, 2989 cites) [DOI: https://doi.org/10.1039/c3cs60323g] | "A review of high temperature co-electrolysis of H 2 O and CO 2 to produce sustainable fuels using solid oxide electrolysis cells (SOECs): advanced materials and technology" [Chemical Society Reviews] (2017, 784 cites) [DOI: https://doi.org/10.1039/c6cs00403b]</t>
        </is>
      </c>
      <c r="T22" s="2" t="inlineStr"/>
      <c r="U22" s="2" t="inlineStr">
        <is>
          <t>Fulbright Scholar Award, 2024 AIAA High Speed Air Breathing Propulsion Best Paper Award, 2022 Associate Editor, AIAA Journal, 2...</t>
        </is>
      </c>
      <c r="V22" s="2" t="inlineStr"/>
      <c r="W22" s="2" t="inlineStr">
        <is>
          <t>Electrocatalysts for Energy Conversion (219) | Fuel Cells and Related Materials (195) | Advanced battery technologies research (179)</t>
        </is>
      </c>
      <c r="X22" s="2" t="inlineStr">
        <is>
          <t>Electrocatalysts for Energy Conversion (219) | Fuel Cells and Related Materials (195) | Advanced battery technologies research (179)</t>
        </is>
      </c>
      <c r="Y22" s="2" t="inlineStr"/>
      <c r="Z22" s="2" t="inlineStr">
        <is>
          <t>(1) Sustainable fuels; (2) Pre-chamber jet ignition for combustion engines; (3) Thermal management for electric and hybrid aircraft (4) Battery fire safety (5) Propulsion technology for drones and UAVs;</t>
        </is>
      </c>
      <c r="AA22" s="2" t="inlineStr">
        <is>
          <t>(1) Sustainable fuels; (2) Pre-chamber jet ignition for combustion engines; (3) Thermal management for electric and hybrid aircraft (4) Battery fire safety (5) Propulsion technology for drones and UAVs;</t>
        </is>
      </c>
      <c r="AB22" s="2" t="inlineStr">
        <is>
          <t>B.S., Tsinghua University, Engineering Mechanics, 1999 M.S., Tsinghua Univeristy, Engineering Mechanics, 2001 Ph.D., University of Michigan, Aerospace Engineering, 2007</t>
        </is>
      </c>
      <c r="AC22" s="2" t="inlineStr">
        <is>
          <t>Indiana Space Grant Consortium</t>
        </is>
      </c>
      <c r="AD22" s="3">
        <f>HYPERLINK("https://insgc.spacegrant.org/", "https://insgc.spacegrant.org/")</f>
        <v/>
      </c>
      <c r="AE22" s="2" t="inlineStr">
        <is>
          <t>Academic INSGC Internships</t>
        </is>
      </c>
      <c r="AF22" s="2" t="inlineStr"/>
      <c r="AG22" s="2" t="inlineStr"/>
      <c r="AH22" s="2" t="inlineStr">
        <is>
          <t>NASA</t>
        </is>
      </c>
      <c r="AI22" s="2" t="inlineStr"/>
      <c r="AJ22" s="2" t="inlineStr"/>
      <c r="AK22" s="2" t="inlineStr">
        <is>
          <t>ARMS 3221</t>
        </is>
      </c>
      <c r="AL22" s="2" t="b">
        <v>1</v>
      </c>
      <c r="AM22" s="3">
        <f>HYPERLINK("https://engineering.purdue.edu/AAE/people/Faculty", "https://engineering.purdue.edu/AAE/people/Faculty")</f>
        <v/>
      </c>
    </row>
    <row r="23">
      <c r="A23" s="2" t="inlineStr">
        <is>
          <t>Aaron Morris</t>
        </is>
      </c>
      <c r="B23" s="2" t="inlineStr">
        <is>
          <t>Purdue University</t>
        </is>
      </c>
      <c r="C23" s="3">
        <f>HYPERLINK("https://engineering.purdue.edu/ME/People/ptProfile?resource_id=159298", "https://engineering.purdue.edu/ME/People/ptProfile?resource_id=159298")</f>
        <v/>
      </c>
      <c r="D23" s="3">
        <f>HYPERLINK("https://scholar.google.com/citations?view_op=search_authors&amp;mauthors=Aaron%20Morris%20Purdue%20University", "Google Scholar Search")</f>
        <v/>
      </c>
      <c r="E23" s="2" t="inlineStr">
        <is>
          <t>Associate Professor of Mechanical Engineering</t>
        </is>
      </c>
      <c r="F23" s="2" t="inlineStr">
        <is>
          <t>Mechanical Engineering</t>
        </is>
      </c>
      <c r="G23" s="2" t="inlineStr"/>
      <c r="H23" s="3">
        <f>HYPERLINK("mailto:abmorris@purdue.edu", "abmorris@purdue.edu")</f>
        <v/>
      </c>
      <c r="I23" s="2" t="n">
        <v>1</v>
      </c>
      <c r="J23" s="2" t="inlineStr">
        <is>
          <t>🔵 Tier 1: Core Aero / Fluids / Propulsion</t>
        </is>
      </c>
      <c r="K23" s="2" t="n">
        <v>4</v>
      </c>
      <c r="L23" s="2" t="inlineStr">
        <is>
          <t>fluid dynamics, fluid mechanics, heat transfer, multiphase flow</t>
        </is>
      </c>
      <c r="M23" s="2" t="inlineStr"/>
      <c r="N23" s="2" t="inlineStr"/>
      <c r="O23" s="2" t="inlineStr"/>
      <c r="P23" s="2" t="inlineStr"/>
      <c r="Q23" s="2" t="inlineStr"/>
      <c r="R23" s="2" t="inlineStr">
        <is>
          <t>"Modeling of fluidized systems using a novel Monte Carlo approach for granular interactions" [AIChE Journal] (2026) [DOI: https://doi.org/10.1002/aic.70212] | "Continuum correlations from CFD-DEM modeling of conduction heat transfer in granular flows" [SSRN Electronic Journal] (2026) [DOI: https://doi.org/10.2139/ssrn.6030431] | "Geometric Optimization of an External Enclosure to Enhance Receiver Thermal Performance in Concentrated Solar Power Systems" (2025) [DOI: https://doi.org/10.1115/es2025-157075]</t>
        </is>
      </c>
      <c r="S23" s="2" t="inlineStr">
        <is>
          <t>"Extension of a coarse grained particle method to simulate heat transfer in fluidized beds" [International Journal of Heat and Mass Transfer] (2017, 133 cites) [DOI: https://doi.org/10.1016/j.ijheatmasstransfer.2017.04.040] | "Simulations of heat transfer to solid particles flowing through an array of heated tubes" [Solar Energy] (2016, 102 cites) [DOI: https://doi.org/10.1016/j.solener.2016.01.033] | "A conductive heat transfer model for particle flows over immersed surfaces" [International Journal of Heat and Mass Transfer] (2015, 82 cites) [DOI: https://doi.org/10.1016/j.ijheatmasstransfer.2015.06.004]</t>
        </is>
      </c>
      <c r="T23" s="2" t="inlineStr"/>
      <c r="U23" s="2" t="inlineStr">
        <is>
          <t>Outstanding Mechanical Engineers Distinguished Engineering Alumni Honorary Doctorates Staff Awards Student Awards Distinguished...</t>
        </is>
      </c>
      <c r="V23" s="2" t="inlineStr"/>
      <c r="W23" s="2" t="inlineStr">
        <is>
          <t>Particle Dynamics in Fluid Flows (22) | Granular flow and fluidized beds (19) | Gas Dynamics and Kinetic Theory (13)</t>
        </is>
      </c>
      <c r="X23" s="2" t="inlineStr">
        <is>
          <t>Particle Dynamics in Fluid Flows (22) | Granular flow and fluidized beds (19) | Gas Dynamics and Kinetic Theory (13)</t>
        </is>
      </c>
      <c r="Y23" s="2" t="inlineStr">
        <is>
          <t>Fluid dynamics Multiphase flows Monte Carlo methods Kinetic theory of granular flows Heat transfer in granular media Rarefied gas dynamics</t>
        </is>
      </c>
      <c r="Z23" s="2" t="inlineStr">
        <is>
          <t>Fluid Mechanics Heat &amp; Mass Transfer</t>
        </is>
      </c>
      <c r="AA23" s="2" t="inlineStr">
        <is>
          <t>Fluid Mechanics Heat &amp; Mass Transfer</t>
        </is>
      </c>
      <c r="AB23" s="2" t="inlineStr">
        <is>
          <t>Postdoctoral Fellow, University of Colorado Boulder, 2013-2015 Ph. D., University of Texas at Austin, 2012 M.S., University of Texas at Austin, 2009 B.S., Rensselaer Polytechnic Institute, 2006</t>
        </is>
      </c>
      <c r="AC23" s="2" t="inlineStr">
        <is>
          <t>Center for Particulate Products and Processes</t>
        </is>
      </c>
      <c r="AD23" s="3">
        <f>HYPERLINK("https://engineering.purdue.edu/CP3/", "https://engineering.purdue.edu/CP3/")</f>
        <v/>
      </c>
      <c r="AE23" s="2" t="inlineStr"/>
      <c r="AF23" s="2" t="inlineStr"/>
      <c r="AG23" s="2" t="inlineStr">
        <is>
          <t>Gas Turbine, MTS, Instron</t>
        </is>
      </c>
      <c r="AH23" s="2" t="inlineStr">
        <is>
          <t>DOE, NSF</t>
        </is>
      </c>
      <c r="AI23" s="2" t="inlineStr"/>
      <c r="AJ23" s="2" t="inlineStr"/>
      <c r="AK23" s="2" t="inlineStr">
        <is>
          <t>FLEX 3021D</t>
        </is>
      </c>
      <c r="AL23" s="2" t="b">
        <v>1</v>
      </c>
      <c r="AM23" s="3">
        <f>HYPERLINK("https://engineering.purdue.edu/ME/People/ptFaculty", "https://engineering.purdue.edu/ME/People/ptFaculty")</f>
        <v/>
      </c>
    </row>
    <row r="24">
      <c r="A24" s="2" t="inlineStr">
        <is>
          <t>Alexey Shashurin</t>
        </is>
      </c>
      <c r="B24" s="2" t="inlineStr">
        <is>
          <t>Purdue University</t>
        </is>
      </c>
      <c r="C24" s="3">
        <f>HYPERLINK("https://engineering.purdue.edu/AAE/people/ptProfile?resource_id=124987", "https://engineering.purdue.edu/AAE/people/ptProfile?resource_id=124987")</f>
        <v/>
      </c>
      <c r="D24" s="3">
        <f>HYPERLINK("https://scholar.google.com/citations?view_op=search_authors&amp;mauthors=Alexey%20Shashurin%20Purdue%20University", "Google Scholar Search")</f>
        <v/>
      </c>
      <c r="E24" s="2" t="inlineStr">
        <is>
          <t>Lawrence Cargnino Professor of Aeronautics and Astronautics</t>
        </is>
      </c>
      <c r="F24" s="2" t="inlineStr">
        <is>
          <t>Aeronautics and Astronautics</t>
        </is>
      </c>
      <c r="G24" s="2" t="inlineStr"/>
      <c r="H24" s="3">
        <f>HYPERLINK("mailto:ashashur@purdue.edu", "ashashur@purdue.edu")</f>
        <v/>
      </c>
      <c r="I24" s="2" t="n">
        <v>1</v>
      </c>
      <c r="J24" s="2" t="inlineStr">
        <is>
          <t>🔵 Tier 1: Core Aero / Fluids / Propulsion</t>
        </is>
      </c>
      <c r="K24" s="2" t="n">
        <v>4</v>
      </c>
      <c r="L24" s="2" t="inlineStr">
        <is>
          <t>combustion, flow control, propulsion, spacecraft</t>
        </is>
      </c>
      <c r="M24" s="2" t="inlineStr"/>
      <c r="N24" s="2" t="inlineStr"/>
      <c r="O24" s="2" t="inlineStr"/>
      <c r="P24" s="2" t="inlineStr"/>
      <c r="Q24" s="2" t="inlineStr"/>
      <c r="R24" s="2" t="inlineStr">
        <is>
          <t>"Characterization of nonlinear sheath dynamics in high-pressure asymmetric RF discharge" [Journal of Applied Physics] (2026) [DOI: https://doi.org/10.1063/5.0334090] | "Absolute Radar-REMPI via Two-Color REMPI and Absolutely Calibrated CMS for Diagnostics of Species in Gaseous Mixtures" [arXiv (Cornell University)] (2026) [DOI: https://doi.org/10.48550/arxiv.2606.20827] | "Absolute Radar-REMPI via Two-Color REMPI and Absolutely Calibrated CMS for Diagnostics of Species in Gaseous Mixtures" [arXiv (Cornell University)] (2026) [DOI: https://arxiv.org/abs/2606.20827]</t>
        </is>
      </c>
      <c r="S24" s="2" t="inlineStr">
        <is>
          <t>"Cold plasma selectivity and the possibility of a paradigm shift in cancer therapy" [British Journal of Cancer] (2011, 767 cites) [DOI: https://doi.org/10.1038/bjc.2011.386] | "Cold atmospheric plasma in cancer therapy" [Physics of Plasmas] (2013, 501 cites) [DOI: https://doi.org/10.1063/1.4801516] | "Living tissue under treatment of cold plasma atmospheric jet" [Applied Physics Letters] (2008, 293 cites) [DOI: https://doi.org/10.1063/1.3020223]</t>
        </is>
      </c>
      <c r="T24" s="2" t="inlineStr"/>
      <c r="U24" s="2" t="inlineStr"/>
      <c r="V24" s="2" t="inlineStr"/>
      <c r="W24" s="2" t="inlineStr">
        <is>
          <t>Plasma Diagnostics and Applications (92) | Plasma Applications and Diagnostics (65) | Vacuum and Plasma Arcs (47)</t>
        </is>
      </c>
      <c r="X24" s="2" t="inlineStr">
        <is>
          <t>Plasma Diagnostics and Applications (92) | Plasma Applications and Diagnostics (65) | Vacuum and Plasma Arcs (47)</t>
        </is>
      </c>
      <c r="Y24" s="2" t="inlineStr">
        <is>
          <t>Microwave and optical diagnostics for spacecraft electric propulsion and combustion; Femtosecond photoionization; Micropropulsion for CubeSats; Nanosecond repetitively pulsed discharges for flow control; High power microwave heating of gas; Generation, diagnostics and applications of cold plasmas; Biomedical applications of cold plasmas.</t>
        </is>
      </c>
      <c r="Z24" s="2" t="inlineStr"/>
      <c r="AA24" s="2" t="inlineStr">
        <is>
          <t>Microwave and optical diagnostics for spacecraft electric propulsion and combustion; Femtosecond photoionization; Micropropulsion for CubeSats; Nanosecond repetitively pulsed discharges for flow control; High power microwave heating of gas; Generation, diagnostics and applications of cold plasmas; Biomedical applications of cold plasmas.</t>
        </is>
      </c>
      <c r="AB24" s="2" t="inlineStr">
        <is>
          <t>B.Sc., Physics, Lobachevsky State University of Nizhny Novgorod, Russia, 1996 M.Sc., Physics, Lobachevsky State University of Nizhny Novgorod, Russia, 1998 Ph.D., School of Engineering, Dept. Interdisciplinary Studies, Tel Aviv University, 2008</t>
        </is>
      </c>
      <c r="AC24" s="2" t="inlineStr">
        <is>
          <t>Indiana Space Grant Consortium</t>
        </is>
      </c>
      <c r="AD24" s="3">
        <f>HYPERLINK("https://insgc.spacegrant.org/", "https://insgc.spacegrant.org/")</f>
        <v/>
      </c>
      <c r="AE24" s="2" t="inlineStr">
        <is>
          <t>Academic INSGC Internships</t>
        </is>
      </c>
      <c r="AF24" s="2" t="inlineStr"/>
      <c r="AG24" s="2" t="inlineStr"/>
      <c r="AH24" s="2" t="inlineStr">
        <is>
          <t>NASA</t>
        </is>
      </c>
      <c r="AI24" s="2" t="inlineStr"/>
      <c r="AJ24" s="2" t="inlineStr"/>
      <c r="AK24" s="2" t="inlineStr">
        <is>
          <t>ARMS 3331</t>
        </is>
      </c>
      <c r="AL24" s="2" t="b">
        <v>1</v>
      </c>
      <c r="AM24" s="3">
        <f>HYPERLINK("https://engineering.purdue.edu/AAE/people/Faculty", "https://engineering.purdue.edu/AAE/people/Faculty")</f>
        <v/>
      </c>
    </row>
    <row r="25">
      <c r="A25" s="2" t="inlineStr">
        <is>
          <t>Carlos Larriba-Andaluz</t>
        </is>
      </c>
      <c r="B25" s="2" t="inlineStr">
        <is>
          <t>Purdue University</t>
        </is>
      </c>
      <c r="C25" s="3">
        <f>HYPERLINK("https://engineering.purdue.edu/ME/People/ptProfile?resource_id=297468", "https://engineering.purdue.edu/ME/People/ptProfile?resource_id=297468")</f>
        <v/>
      </c>
      <c r="D25" s="3">
        <f>HYPERLINK("https://scholar.google.com/citations?view_op=search_authors&amp;mauthors=Carlos%20Larriba-Andaluz%20Purdue%20University", "Google Scholar Search")</f>
        <v/>
      </c>
      <c r="E25" s="2" t="inlineStr">
        <is>
          <t>Associate Professor of Mechanical Engineering</t>
        </is>
      </c>
      <c r="F25" s="2" t="inlineStr">
        <is>
          <t>Mechanical Engineering</t>
        </is>
      </c>
      <c r="G25" s="2" t="inlineStr"/>
      <c r="H25" s="3">
        <f>HYPERLINK("mailto:clarriba@purdue.edu", "clarriba@purdue.edu")</f>
        <v/>
      </c>
      <c r="I25" s="2" t="n">
        <v>1</v>
      </c>
      <c r="J25" s="2" t="inlineStr">
        <is>
          <t>🔵 Tier 1: Core Aero / Fluids / Propulsion</t>
        </is>
      </c>
      <c r="K25" s="2" t="n">
        <v>4</v>
      </c>
      <c r="L25" s="2" t="inlineStr">
        <is>
          <t>aerospace, fluid mechanics, propulsion, thermodynamics</t>
        </is>
      </c>
      <c r="M25" s="2" t="inlineStr"/>
      <c r="N25" s="2" t="inlineStr"/>
      <c r="O25" s="2" t="inlineStr"/>
      <c r="P25" s="2" t="inlineStr"/>
      <c r="Q25" s="2" t="inlineStr"/>
      <c r="R25" s="2" t="inlineStr">
        <is>
          <t>"First order approximation of polyatomic ion and neutral diffusion in neutral gases under arbitrary fields" [The Journal of Chemical Physics] (2026) [DOI: https://doi.org/10.1063/5.0337543] | "Optimization of Electric Field Traveling Waves in SLIM Platforms for Improved Resolution via Analytical Solutions of the Nernst–Planck Equation" [Journal of the American Society for Mass Spectrometry] (2026) [DOI: https://doi.org/10.1021/jasms.5c00347] | "Unraveling Ligand-Driven Isomerism in Redox-Active Mixed-Ligand Polyoxometalates Using Ion Mobility Spectrometry" [ACS Nano] (2025) [DOI: https://doi.org/10.1021/acsnano.5c12468]</t>
        </is>
      </c>
      <c r="S25" s="2" t="inlineStr">
        <is>
          <t>"Benchmark Comparison for a Multi-Processing Ion Mobility Calculator in the Free Molecular Regime" [Journal of the American Society for Mass Spectrometry] (2017, 150 cites) [DOI: https://doi.org/10.1007/s13361-017-1661-8] | "Collision cross section calculations for polyatomic ions considering rotating diatomic/linear gas molecules" [The Journal of Chemical Physics] (2014, 92 cites) [DOI: https://doi.org/10.1063/1.4901890] | "Gas molecule scattering &amp; ion mobility measurements for organic macro-ions in He versus N 2 environments" [Physical Chemistry Chemical Physics] (2015, 85 cites) [DOI: https://doi.org/10.1039/c5cp01017a]</t>
        </is>
      </c>
      <c r="T25" s="2" t="inlineStr"/>
      <c r="U25" s="2" t="inlineStr">
        <is>
          <t>Outstanding Mechanical Engineers Distinguished Engineering Alumni Honorary Doctorates Staff Awards Student Awards Distinguished...</t>
        </is>
      </c>
      <c r="V25" s="2" t="inlineStr"/>
      <c r="W25" s="2" t="inlineStr">
        <is>
          <t>Mass Spectrometry Techniques and Applications (39) | Analytical Chemistry and Chromatography (15) | Analytical chemistry methods development (14)</t>
        </is>
      </c>
      <c r="X25" s="2" t="inlineStr">
        <is>
          <t>Mass Spectrometry Techniques and Applications (39) | Analytical Chemistry and Chromatography (15) | Analytical chemistry methods development (14)</t>
        </is>
      </c>
      <c r="Y25" s="2" t="inlineStr">
        <is>
          <t>Renewable Energy Catalysts Aerosol Pollution Ion Mobility-Mass Spectrometry Electrical Propulsion Polymer Characterization Protein and Biomolecule Characterization Energy Transfer Molecular Dynamic coupling at the molecular Scale Multiscale Multichemistry Plasma Modeling</t>
        </is>
      </c>
      <c r="Z25" s="2" t="inlineStr">
        <is>
          <t>Thermodynamics Fluid Mechanics Heat &amp; Mass Transfer</t>
        </is>
      </c>
      <c r="AA25" s="2" t="inlineStr">
        <is>
          <t>Thermodynamics Fluid Mechanics Heat &amp; Mass Transfer</t>
        </is>
      </c>
      <c r="AB25" s="2" t="inlineStr">
        <is>
          <t>Ph.D. Mechanical Engineering, Yale University, 12/2010 BA/BS Aerospace Engineering, E.T.S.I.A., 9/2005 MA/MS Aeronautical Engineering, E.T.S.I.A, 9/2005</t>
        </is>
      </c>
      <c r="AC25" s="2" t="inlineStr">
        <is>
          <t>Personal Homepage</t>
        </is>
      </c>
      <c r="AD25" s="3">
        <f>HYPERLINK("http://www.imospedia.com", "http://www.imospedia.com")</f>
        <v/>
      </c>
      <c r="AE25" s="2" t="inlineStr"/>
      <c r="AF25" s="2" t="inlineStr"/>
      <c r="AG25" s="2" t="inlineStr"/>
      <c r="AH25" s="2" t="inlineStr"/>
      <c r="AI25" s="2" t="inlineStr"/>
      <c r="AJ25" s="2" t="inlineStr"/>
      <c r="AK25" s="2" t="inlineStr"/>
      <c r="AL25" s="2" t="b">
        <v>1</v>
      </c>
      <c r="AM25" s="3">
        <f>HYPERLINK("https://engineering.purdue.edu/ME/People/ptFaculty", "https://engineering.purdue.edu/ME/People/ptFaculty")</f>
        <v/>
      </c>
    </row>
    <row r="26">
      <c r="A26" s="2" t="inlineStr">
        <is>
          <t>Carolin E Frueh</t>
        </is>
      </c>
      <c r="B26" s="2" t="inlineStr">
        <is>
          <t>Purdue University</t>
        </is>
      </c>
      <c r="C26" s="3">
        <f>HYPERLINK("https://engineering.purdue.edu/AAE/people/ptProfile?resource_id=111420", "https://engineering.purdue.edu/AAE/people/ptProfile?resource_id=111420")</f>
        <v/>
      </c>
      <c r="D26" s="3">
        <f>HYPERLINK("https://scholar.google.com/citations?view_op=search_authors&amp;mauthors=Carolin%20E%20Frueh%20Purdue%20University", "Google Scholar Search")</f>
        <v/>
      </c>
      <c r="E26" s="2" t="inlineStr">
        <is>
          <t>Harold DeGroff Professor of Aeronautics and Astronautics</t>
        </is>
      </c>
      <c r="F26" s="2" t="inlineStr">
        <is>
          <t>Aeronautics and Astronautics</t>
        </is>
      </c>
      <c r="G26" s="2" t="inlineStr"/>
      <c r="H26" s="3">
        <f>HYPERLINK("mailto:cfrueh@purdue.edu", "cfrueh@purdue.edu")</f>
        <v/>
      </c>
      <c r="I26" s="2" t="n">
        <v>1</v>
      </c>
      <c r="J26" s="2" t="inlineStr">
        <is>
          <t>🔵 Tier 1: Core Aero / Fluids / Propulsion</t>
        </is>
      </c>
      <c r="K26" s="2" t="n">
        <v>4</v>
      </c>
      <c r="L26" s="2" t="inlineStr">
        <is>
          <t>astrodynamics, guidance, navigation, satellite</t>
        </is>
      </c>
      <c r="M26" s="2" t="inlineStr"/>
      <c r="N26" s="2" t="inlineStr"/>
      <c r="O26" s="2" t="inlineStr"/>
      <c r="P26" s="2" t="inlineStr"/>
      <c r="Q26" s="2" t="inlineStr"/>
      <c r="R26" s="2" t="inlineStr">
        <is>
          <t>"Material Property Sensitivity of Light Curve Attitude Estimation for the Lunar Trailblazer" [Earth and Space Science] (2026) [DOI: https://doi.org/10.1029/2025ea004733] | "Global Light Curve Attitude Estimation with Noisy Measurements and Inertia Uncertainty" [The Journal of the Astronautical Sciences] (2026) [DOI: https://doi.org/10.1007/s40295-025-00557-9] | "Goals and trends in space exploration: An overview of the panel on exploration sessions at the committee on space research general assembly 2024" [Life Sciences in Space Research] (2025) [DOI: https://doi.org/10.1016/j.lssr.2025.12.005]</t>
        </is>
      </c>
      <c r="S26" s="2" t="inlineStr">
        <is>
          <t>"A comprehensive review on Cislunar expansion and space domain awareness" [Progress in Aerospace Sciences] (2024, 63 cites) [DOI: https://doi.org/10.1016/j.paerosci.2024.101019] | "Space Situational Awareness Sensor Tasking: Comparison of Machine Learning with Classical Optimization Methods" [Journal of Guidance Control and Dynamics] (2019, 41 cites) [DOI: https://doi.org/10.2514/1.g004279] | "Tracklet-to-orbit association for maneuvering space objects using optimal control theory" [Acta Astronautica] (2021, 38 cites) [DOI: https://doi.org/10.1016/j.actaastro.2021.01.026]</t>
        </is>
      </c>
      <c r="T26" s="2" t="inlineStr"/>
      <c r="U26" s="2" t="inlineStr">
        <is>
          <t>(selection) AAS Fellow, 2024 AIAA Associate Fellow, 2024 The C. T. Sun Excellence in Research Award, 2024 The Elmer F. Bruhn Te...</t>
        </is>
      </c>
      <c r="V26" s="2" t="inlineStr"/>
      <c r="W26" s="2" t="inlineStr">
        <is>
          <t>Space Satellite Systems and Control (33) | Astro and Planetary Science (20) | Target Tracking and Data Fusion in Sensor Networks (19)</t>
        </is>
      </c>
      <c r="X26" s="2" t="inlineStr">
        <is>
          <t>Space Satellite Systems and Control (33) | Astro and Planetary Science (20) | Target Tracking and Data Fusion in Sensor Networks (19)</t>
        </is>
      </c>
      <c r="Y26" s="2" t="inlineStr"/>
      <c r="Z26" s="2" t="inlineStr">
        <is>
          <t>Space Domain Awareness and Space Traffic Management in the Near-Earth and Cislunar Region - Surveillance, Detection &amp; Tracking, Tasking - Optical Monostatic Object Characterization near-field fly by and far field (light curves) - Astrodynamics - Low Observability Systems, Information Quantification and Retrieval, Machine Learning. Research Page</t>
        </is>
      </c>
      <c r="AA26" s="2" t="inlineStr">
        <is>
          <t>Space Domain Awareness and Space Traffic Management in the Near-Earth and Cislunar Region - Surveillance, Detection &amp; Tracking, Tasking - Optical Monostatic Object Characterization near-field fly by and far field (light curves) - Astrodynamics - Low Observability Systems, Information Quantification and Retrieval, Machine Learning. Research Page</t>
        </is>
      </c>
      <c r="AB26" s="2" t="inlineStr">
        <is>
          <t>Ph.D., Physics with Specialization in Astronomy, University of Bern, Switzerland, 2011 MS of Science, Karlsruhe Institute of Technology, Germany, 2006 M.Div., CDSP, Berkeley, USA</t>
        </is>
      </c>
      <c r="AC26" s="2" t="inlineStr">
        <is>
          <t>Indiana Space Grant Consortium</t>
        </is>
      </c>
      <c r="AD26" s="3">
        <f>HYPERLINK("https://insgc.spacegrant.org/", "https://insgc.spacegrant.org/")</f>
        <v/>
      </c>
      <c r="AE26" s="2" t="inlineStr">
        <is>
          <t>Academic INSGC Internships</t>
        </is>
      </c>
      <c r="AF26" s="2" t="inlineStr"/>
      <c r="AG26" s="2" t="inlineStr"/>
      <c r="AH26" s="2" t="inlineStr">
        <is>
          <t>NASA</t>
        </is>
      </c>
      <c r="AI26" s="2" t="inlineStr"/>
      <c r="AJ26" s="2" t="inlineStr"/>
      <c r="AK26" s="2" t="inlineStr">
        <is>
          <t>ARMS 3309</t>
        </is>
      </c>
      <c r="AL26" s="2" t="b">
        <v>1</v>
      </c>
      <c r="AM26" s="3">
        <f>HYPERLINK("https://engineering.purdue.edu/AAE/people/Faculty", "https://engineering.purdue.edu/AAE/people/Faculty")</f>
        <v/>
      </c>
    </row>
    <row r="27">
      <c r="A27" s="2" t="inlineStr">
        <is>
          <t>Guang Lin</t>
        </is>
      </c>
      <c r="B27" s="2" t="inlineStr">
        <is>
          <t>Purdue University</t>
        </is>
      </c>
      <c r="C27" s="3">
        <f>HYPERLINK("https://engineering.purdue.edu/ME/People/ptProfile?resource_id=117602", "https://engineering.purdue.edu/ME/People/ptProfile?resource_id=117602")</f>
        <v/>
      </c>
      <c r="D27" s="3">
        <f>HYPERLINK("https://scholar.google.com/citations?view_op=search_authors&amp;mauthors=Guang%20Lin%20Purdue%20University", "Google Scholar Search")</f>
        <v/>
      </c>
      <c r="E27" s="2" t="inlineStr">
        <is>
          <t>Moses Cobb Stevens Professor in Mathematical Sciences; College of Science Associate Dean of Research and Innovation; Professor of Mechanical Engineering</t>
        </is>
      </c>
      <c r="F27" s="2" t="inlineStr">
        <is>
          <t>Mechanical Engineering</t>
        </is>
      </c>
      <c r="G27" s="2" t="inlineStr"/>
      <c r="H27" s="3">
        <f>HYPERLINK("mailto:guanglin@purdue.edu", "guanglin@purdue.edu")</f>
        <v/>
      </c>
      <c r="I27" s="2" t="n">
        <v>1</v>
      </c>
      <c r="J27" s="2" t="inlineStr">
        <is>
          <t>🔵 Tier 1: Core Aero / Fluids / Propulsion</t>
        </is>
      </c>
      <c r="K27" s="2" t="n">
        <v>4</v>
      </c>
      <c r="L27" s="2" t="inlineStr">
        <is>
          <t>computational fluid dynamics, fluid dynamics, fluid mechanics, scientific computing</t>
        </is>
      </c>
      <c r="M27" s="2" t="inlineStr"/>
      <c r="N27" s="2" t="inlineStr"/>
      <c r="O27" s="2" t="inlineStr"/>
      <c r="P27" s="2" t="inlineStr"/>
      <c r="Q27" s="2" t="inlineStr"/>
      <c r="R27" s="2" t="inlineStr">
        <is>
          <t>"In situ studies on heavy ion irradiation and partial oxidation induced stacking faults and nanograins in tungsten nanolaminates" [Materials Today] (2026) [DOI: https://doi.org/10.1016/j.mattod.2026.103494] | "Bayesian data-driven discovery of partial differential equations with variable coefficients" [Computers &amp; Mathematics with Applications] (2026) [DOI: https://doi.org/10.1016/j.camwa.2026.07.034] | "Muon with spectral guidance: Efficient optimization for scientific machine learning" [Journal of Computational Physics] (2026) [DOI: https://doi.org/10.1016/j.jcp.2026.115231]</t>
        </is>
      </c>
      <c r="S27" s="2" t="inlineStr">
        <is>
          <t>"EEG-based emotion recognition using 4D convolutional recurrent neural network" [Cognitive Neurodynamics] (2020, 248 cites) [DOI: https://doi.org/10.1007/s11571-020-09634-1] | "Compressive sensing based machine learning strategy for characterizing the flow around a cylinder with limited pressure measurements" [Physics of Fluids] (2013, 182 cites) [DOI: https://doi.org/10.1063/1.4836815] | "Multi-output separable Gaussian process: Towards an efficient, fully Bayesian paradigm for uncertainty quantification" [Journal of Computational Physics] (2013, 178 cites) [DOI: https://doi.org/10.1016/j.jcp.2013.01.011]</t>
        </is>
      </c>
      <c r="T27" s="2" t="inlineStr"/>
      <c r="U27" s="2" t="inlineStr">
        <is>
          <t>Outstanding Mechanical Engineers Distinguished Engineering Alumni Honorary Doctorates Staff Awards Student Awards Distinguished...</t>
        </is>
      </c>
      <c r="V27" s="2" t="inlineStr"/>
      <c r="W27" s="2" t="inlineStr">
        <is>
          <t>Model Reduction and Neural Networks (78) | Probabilistic and Robust Engineering Design (67) | Gaussian Processes and Bayesian Inference (39)</t>
        </is>
      </c>
      <c r="X27" s="2" t="inlineStr">
        <is>
          <t>Model Reduction and Neural Networks (78) | Probabilistic and Robust Engineering Design (67) | Gaussian Processes and Bayesian Inference (39)</t>
        </is>
      </c>
      <c r="Y27" s="2" t="inlineStr">
        <is>
          <t>Big data analysis and statistical machine learning Predictive modeling and uncertainty quantification Scientific computing and computational fluid dynamics Stochastic multiscale modeling</t>
        </is>
      </c>
      <c r="Z27" s="2" t="inlineStr">
        <is>
          <t>Dynamics &amp; Vibration Fluid Mechanics</t>
        </is>
      </c>
      <c r="AA27" s="2" t="inlineStr">
        <is>
          <t>Dynamics &amp; Vibration Fluid Mechanics</t>
        </is>
      </c>
      <c r="AB27" s="2" t="inlineStr"/>
      <c r="AC27" s="2" t="inlineStr">
        <is>
          <t>Personal Homepage</t>
        </is>
      </c>
      <c r="AD27" s="3">
        <f>HYPERLINK("http://www.math.purdue.edu/~lin491/", "http://www.math.purdue.edu/~lin491/")</f>
        <v/>
      </c>
      <c r="AE27" s="2" t="inlineStr"/>
      <c r="AF27" s="2" t="inlineStr"/>
      <c r="AG27" s="2" t="inlineStr"/>
      <c r="AH27" s="2" t="inlineStr"/>
      <c r="AI27" s="2" t="inlineStr"/>
      <c r="AJ27" s="2" t="inlineStr"/>
      <c r="AK27" s="2" t="inlineStr"/>
      <c r="AL27" s="2" t="b">
        <v>1</v>
      </c>
      <c r="AM27" s="3">
        <f>HYPERLINK("https://engineering.purdue.edu/ME/People/ptFaculty", "https://engineering.purdue.edu/ME/People/ptFaculty")</f>
        <v/>
      </c>
    </row>
    <row r="28">
      <c r="A28" s="2" t="inlineStr">
        <is>
          <t>Kazuki Maeda</t>
        </is>
      </c>
      <c r="B28" s="2" t="inlineStr">
        <is>
          <t>Purdue University</t>
        </is>
      </c>
      <c r="C28" s="3">
        <f>HYPERLINK("https://engineering.purdue.edu/AAE/people/ptProfile?resource_id=284676", "https://engineering.purdue.edu/AAE/people/ptProfile?resource_id=284676")</f>
        <v/>
      </c>
      <c r="D28" s="3">
        <f>HYPERLINK("https://scholar.google.com/citations?hl=en&amp;user=r7gLAy4AAAAJ&amp;view_op=list_works&amp;sortby=pubdate", "Scholar (r7gLAy4AAAAJ)")</f>
        <v/>
      </c>
      <c r="E28" s="2" t="inlineStr">
        <is>
          <t>Assistant Professor</t>
        </is>
      </c>
      <c r="F28" s="2" t="inlineStr">
        <is>
          <t>Aeronautics and Astronautics</t>
        </is>
      </c>
      <c r="G28" s="2" t="inlineStr">
        <is>
          <t>r7gLAy4AAAAJ</t>
        </is>
      </c>
      <c r="H28" s="3">
        <f>HYPERLINK("mailto:kmaeda@purdue.edu", "kmaeda@purdue.edu")</f>
        <v/>
      </c>
      <c r="I28" s="2" t="n">
        <v>1</v>
      </c>
      <c r="J28" s="2" t="inlineStr">
        <is>
          <t>🔵 Tier 1: Core Aero / Fluids / Propulsion</t>
        </is>
      </c>
      <c r="K28" s="2" t="n">
        <v>4</v>
      </c>
      <c r="L28" s="2" t="inlineStr">
        <is>
          <t>aerodynamics, hypersonic, propulsion, rocket propulsion</t>
        </is>
      </c>
      <c r="M28" s="2" t="inlineStr"/>
      <c r="N28" s="2" t="inlineStr"/>
      <c r="O28" s="2" t="inlineStr"/>
      <c r="P28" s="2" t="inlineStr"/>
      <c r="Q28" s="2" t="inlineStr"/>
      <c r="R28" s="2" t="inlineStr">
        <is>
          <t>"Effect of Shock Strength on the Structure of H 2 /O 2 Reactive Shock Waves" (2026) [DOI: https://doi.org/10.2514/6.2026-1003] | "High-frequency ultrasound for microcirculation in metastatic mouse lymph node: contrast-free versus contrast-enhanced imaging" [Scientific Reports] (2025) [DOI: https://doi.org/10.1038/s41598-025-27268-3] | "Subcontinuum structures of reactive shock waves in gaseous H 2 / O 2 mixtures" [Physical Review Fluids] (2025) [DOI: https://doi.org/10.1103/y7lz-563m]</t>
        </is>
      </c>
      <c r="S28" s="2" t="inlineStr">
        <is>
          <t>"Controlled Synthesis of 3D Multi‐Compartmental Particles with Centrifuge‐Based Microdroplet Formation from a Multi‐Barrelled Capillary" [Advanced Materials] (2012, 234 cites) [DOI: https://doi.org/10.1002/adma.201102560] | "Laser sintering (SLS) of hard metal powders for abrasion resistant coatings" [Journal of Materials Processing Technology] (2004, 78 cites) [DOI: https://doi.org/10.1016/j.jmatprotec.2004.02.024] | "Bubble cloud dynamics in an ultrasound field" [Journal of Fluid Mechanics] (2019, 77 cites) [DOI: https://doi.org/10.1017/jfm.2018.968]</t>
        </is>
      </c>
      <c r="T28" s="2" t="inlineStr"/>
      <c r="U28" s="2" t="inlineStr">
        <is>
          <t>Awards (selected) Richard Bruce Chapman Memorial Award Funai Foudation for Information Technology Overseas Scholarship Stanford...</t>
        </is>
      </c>
      <c r="V28" s="2" t="inlineStr"/>
      <c r="W28" s="2" t="inlineStr">
        <is>
          <t>Ultrasound and Cavitation Phenomena (20) | Optical Network Technologies (11) | Ultrasound and Hyperthermia Applications (10)</t>
        </is>
      </c>
      <c r="X28" s="2" t="inlineStr">
        <is>
          <t>Ultrasound and Cavitation Phenomena (20) | Optical Network Technologies (11) | Ultrasound and Hyperthermia Applications (10)</t>
        </is>
      </c>
      <c r="Y28" s="2" t="inlineStr">
        <is>
          <t>Space propulsion Flow physics and aerodynamics Cyberphysical integration High-performance computing Rockets and hypersonics</t>
        </is>
      </c>
      <c r="Z28" s="2" t="inlineStr">
        <is>
          <t>Our group studies the dynamics of complex flows through integrated approaches combining physics-based modeling, high-performance computing and data science, software engineering, control, and companion experiments, with emphasis on space propulsion and aerovehicle systems. We are also interested in cyberphysical integration - effectively connecting computers and real-world devices - for assimilation and optimization of complex engineering systems. Further information can be found in the group's webpage .</t>
        </is>
      </c>
      <c r="AA28" s="2" t="inlineStr">
        <is>
          <t>Our group studies the dynamics of complex flows through integrated approaches combining physics-based modeling, high-performance computing and data science, software engineering, control, and companion experiments, with emphasis on space propulsion and aerovehicle systems. We are also interested in cyberphysical integration - effectively connecting computers and real-world devices - for assimil...</t>
        </is>
      </c>
      <c r="AB28" s="2" t="inlineStr">
        <is>
          <t>Ph.D. California Institute of Technology, Mechanical Engineering, 2018 M.S. California Institute of Technology, Mechanical Engineering, 2014 B.S. The University of Tokyo, Mechanical Engineering, 2013</t>
        </is>
      </c>
      <c r="AC28" s="2" t="inlineStr">
        <is>
          <t>Indiana Space Grant Consortium</t>
        </is>
      </c>
      <c r="AD28" s="3">
        <f>HYPERLINK("https://insgc.spacegrant.org/", "https://insgc.spacegrant.org/")</f>
        <v/>
      </c>
      <c r="AE28" s="2" t="inlineStr">
        <is>
          <t>Academic INSGC Internships</t>
        </is>
      </c>
      <c r="AF28" s="2" t="inlineStr"/>
      <c r="AG28" s="2" t="inlineStr"/>
      <c r="AH28" s="2" t="inlineStr">
        <is>
          <t>NASA</t>
        </is>
      </c>
      <c r="AI28" s="2" t="inlineStr"/>
      <c r="AJ28" s="2" t="inlineStr"/>
      <c r="AK28" s="2" t="inlineStr">
        <is>
          <t>ARMS 2037</t>
        </is>
      </c>
      <c r="AL28" s="2" t="b">
        <v>1</v>
      </c>
      <c r="AM28" s="3">
        <f>HYPERLINK("https://engineering.purdue.edu/AAE/people/Faculty", "https://engineering.purdue.edu/AAE/people/Faculty")</f>
        <v/>
      </c>
    </row>
    <row r="29">
      <c r="A29" s="2" t="inlineStr">
        <is>
          <t>Romit Maulik</t>
        </is>
      </c>
      <c r="B29" s="2" t="inlineStr">
        <is>
          <t>Purdue University</t>
        </is>
      </c>
      <c r="C29" s="3">
        <f>HYPERLINK("https://engineering.purdue.edu/ME/People/ptProfile?resource_id=328301", "https://engineering.purdue.edu/ME/People/ptProfile?resource_id=328301")</f>
        <v/>
      </c>
      <c r="D29" s="3">
        <f>HYPERLINK("https://scholar.google.com/citations?view_op=search_authors&amp;mauthors=Romit%20Maulik%20Purdue%20University", "Google Scholar Search")</f>
        <v/>
      </c>
      <c r="E29" s="2" t="inlineStr">
        <is>
          <t>Assistant Professor of Mechanical Engineering</t>
        </is>
      </c>
      <c r="F29" s="2" t="inlineStr">
        <is>
          <t>Mechanical Engineering</t>
        </is>
      </c>
      <c r="G29" s="2" t="inlineStr"/>
      <c r="H29" s="3">
        <f>HYPERLINK("mailto:rmaulik@purdue.edu", "rmaulik@purdue.edu")</f>
        <v/>
      </c>
      <c r="I29" s="2" t="n">
        <v>1</v>
      </c>
      <c r="J29" s="2" t="inlineStr">
        <is>
          <t>🔵 Tier 1: Core Aero / Fluids / Propulsion</t>
        </is>
      </c>
      <c r="K29" s="2" t="n">
        <v>4</v>
      </c>
      <c r="L29" s="2" t="inlineStr">
        <is>
          <t>computational fluid dynamics, fluid dynamics, fluid mechanics, scientific computing</t>
        </is>
      </c>
      <c r="M29" s="2" t="inlineStr"/>
      <c r="N29" s="2" t="inlineStr"/>
      <c r="O29" s="2" t="inlineStr"/>
      <c r="P29" s="2" t="inlineStr"/>
      <c r="Q29" s="2" t="inlineStr"/>
      <c r="R29" s="2" t="inlineStr">
        <is>
          <t>"Generalizable data-driven turbulence closure modeling on unstructured grids with differentiable physics" [Computers &amp; Fluids] (2026) [DOI: https://doi.org/10.1016/j.compfluid.2026.107200] | "Localized PCA-Net neural operators for scalable solution reconstruction of elliptic PDEs" [Machine learning for computational science and engineering] (2026) [DOI: https://doi.org/10.1007/s44379-026-00070-2] | "SALSA-RL: stability analysis in the latent space of actions for reinforcement learning" [Neural Networks] (2026) [DOI: https://doi.org/10.1016/j.neunet.2026.108957]</t>
        </is>
      </c>
      <c r="S29" s="2" t="inlineStr">
        <is>
          <t>"Reduced-order modeling of advection-dominated systems with recurrent neural networks and convolutional autoencoders" [Physics of Fluids] (2021, 303 cites) [DOI: https://doi.org/10.1063/5.0039986] | "An artificial neural network framework for reduced order modeling of transient flows" [Communications in Nonlinear Science and Numerical Simulation] (2019, 170 cites) [DOI: https://doi.org/10.1016/j.cnsns.2019.04.025] | "Neural network closures for nonlinear model order reduction" [Advances in Computational Mathematics] (2018, 154 cites) [DOI: https://doi.org/10.1007/s10444-018-9590-z]</t>
        </is>
      </c>
      <c r="T29" s="2" t="inlineStr"/>
      <c r="U29" s="2" t="inlineStr">
        <is>
          <t>Outstanding Mechanical Engineers Distinguished Engineering Alumni Honorary Doctorates Staff Awards Student Awards Distinguished...</t>
        </is>
      </c>
      <c r="V29" s="2" t="inlineStr"/>
      <c r="W29" s="2" t="inlineStr">
        <is>
          <t>Model Reduction and Neural Networks (76) | Fluid Dynamics and Turbulent Flows (58) | Meteorological Phenomena and Simulations (46)</t>
        </is>
      </c>
      <c r="X29" s="2" t="inlineStr">
        <is>
          <t>Model Reduction and Neural Networks (76) | Fluid Dynamics and Turbulent Flows (58) | Meteorological Phenomena and Simulations (46)</t>
        </is>
      </c>
      <c r="Y29" s="2" t="inlineStr">
        <is>
          <t>Scientific machine learning Computational fluid dynamics Dynamical systems Inverse problems</t>
        </is>
      </c>
      <c r="Z29" s="2" t="inlineStr">
        <is>
          <t>Fluid Mechanics</t>
        </is>
      </c>
      <c r="AA29" s="2" t="inlineStr">
        <is>
          <t>Fluid Mechanics</t>
        </is>
      </c>
      <c r="AB29" s="2" t="inlineStr">
        <is>
          <t>Margaret Butler Postdoctoral Fellow - Argonne National Laboratory - 2021 PhD - Oklahoma State University - 2019 MS - Oklahoma State University - 2016 BS - Birla Institute of Technology - 2012</t>
        </is>
      </c>
      <c r="AC29" s="2" t="inlineStr">
        <is>
          <t>Interdisciplinary Scientific Computing Laboratory (GitHub)</t>
        </is>
      </c>
      <c r="AD29" s="3">
        <f>HYPERLINK("https://romit-maulik.github.io/", "https://romit-maulik.github.io/")</f>
        <v/>
      </c>
      <c r="AE29" s="2" t="inlineStr"/>
      <c r="AF29" s="2" t="inlineStr"/>
      <c r="AG29" s="2" t="inlineStr"/>
      <c r="AH29" s="2" t="inlineStr"/>
      <c r="AI29" s="3">
        <f>HYPERLINK("https://github.com/Romit-Maulik", "https://github.com/Romit-Maulik, https://github.com/mavroudisv/plain-academic")</f>
        <v/>
      </c>
      <c r="AJ29" s="2" t="inlineStr"/>
      <c r="AK29" s="2" t="inlineStr">
        <is>
          <t>FLEX 3081B</t>
        </is>
      </c>
      <c r="AL29" s="2" t="b">
        <v>1</v>
      </c>
      <c r="AM29" s="3">
        <f>HYPERLINK("https://engineering.purdue.edu/ME/People/ptFaculty", "https://engineering.purdue.edu/ME/People/ptFaculty")</f>
        <v/>
      </c>
    </row>
    <row r="30">
      <c r="A30" s="2" t="inlineStr">
        <is>
          <t>Timothée Pourpoint</t>
        </is>
      </c>
      <c r="B30" s="2" t="inlineStr">
        <is>
          <t>Purdue University</t>
        </is>
      </c>
      <c r="C30" s="3">
        <f>HYPERLINK("https://engineering.purdue.edu/AAE/people/ptProfile?resource_id=23845", "https://engineering.purdue.edu/AAE/people/ptProfile?resource_id=23845")</f>
        <v/>
      </c>
      <c r="D30" s="3">
        <f>HYPERLINK("https://scholar.google.com/citations?view_op=search_authors&amp;mauthors=Timoth%C3%A9e%20Pourpoint%20Purdue%20University", "Google Scholar Search")</f>
        <v/>
      </c>
      <c r="E30" s="2" t="inlineStr">
        <is>
          <t>Joseph Liston Professor of Aeronautics and Astronautics</t>
        </is>
      </c>
      <c r="F30" s="2" t="inlineStr">
        <is>
          <t>Aeronautics and Astronautics</t>
        </is>
      </c>
      <c r="G30" s="2" t="inlineStr"/>
      <c r="H30" s="3">
        <f>HYPERLINK("mailto:timothee@purdue.edu", "timothee@purdue.edu")</f>
        <v/>
      </c>
      <c r="I30" s="2" t="n">
        <v>1</v>
      </c>
      <c r="J30" s="2" t="inlineStr">
        <is>
          <t>🔵 Tier 1: Core Aero / Fluids / Propulsion</t>
        </is>
      </c>
      <c r="K30" s="2" t="n">
        <v>4</v>
      </c>
      <c r="L30" s="2" t="inlineStr">
        <is>
          <t>aerospace, combustion, materials, propulsion</t>
        </is>
      </c>
      <c r="M30" s="2" t="inlineStr"/>
      <c r="N30" s="2" t="inlineStr"/>
      <c r="O30" s="2" t="inlineStr"/>
      <c r="P30" s="2" t="inlineStr"/>
      <c r="Q30" s="2" t="inlineStr"/>
      <c r="R30" s="2" t="inlineStr">
        <is>
          <t>"An Alternate Mechanism for the Reactions of Methylhydrazine with Dinitrogen Tetroxide" [Energy &amp; Fuels] (2026) [DOI: https://doi.org/10.1021/acs.energyfuels.6c00475] | "KHz rate 3D white light particle tracking with a tunable acoustic gradient (TAG) lens" [Optics Express] (2026) [DOI: https://doi.org/10.1364/oe.588303] | "Design and Performance Analysis of an Optically Accessible Pneumatic Poppet Valve" (2026) [DOI: https://doi.org/10.2514/6.2026-1603]</t>
        </is>
      </c>
      <c r="S30" s="2" t="inlineStr">
        <is>
          <t>"Study of heat transfer and kinetics parameters influencing the design of heat exchangers for hydrogen storage in high-pressure metal hydrides" [International Journal of Heat and Mass Transfer] (2010, 85 cites) [DOI: https://doi.org/10.1016/j.ijheatmasstransfer.2009.12.010] | "Enhanced heat exchanger design for hydrogen storage using high-pressure metal hydride: Part 1. Design methodology and computational results" [International Journal of Heat and Mass Transfer] (2010, 82 cites) [DOI: https://doi.org/10.1016/j.ijheatmasstransfer.2010.09.029] | "Amine–Boranes: Green Hypergolic Fuels with Consistently Low Ignition Delays" [Chemistry - A European Journal] (2014, 66 cites) [DOI: https://doi.org/10.1002/chem.201405224]</t>
        </is>
      </c>
      <c r="T30" s="2" t="inlineStr"/>
      <c r="U30" s="2" t="inlineStr">
        <is>
          <t>AIAA Associate Fellow</t>
        </is>
      </c>
      <c r="V30" s="2" t="inlineStr"/>
      <c r="W30" s="2" t="inlineStr">
        <is>
          <t>Rocket and propulsion systems research (81) | Energetic Materials and Combustion (52) | Combustion and flame dynamics (25)</t>
        </is>
      </c>
      <c r="X30" s="2" t="inlineStr">
        <is>
          <t>Rocket and propulsion systems research (81) | Energetic Materials and Combustion (52) | Combustion and flame dynamics (25)</t>
        </is>
      </c>
      <c r="Y30" s="2" t="inlineStr">
        <is>
          <t>Aerospace propulsion systems Rocket engine combustors Liquid propellant injection systems Hypergolic propellants High pressure and hydrogen storage systems</t>
        </is>
      </c>
      <c r="Z30" s="2" t="inlineStr">
        <is>
          <t>Professor Timothée L. Pourpoint’s research interests relate to propulsion, combustion, and energy storage. Propulsion Research Dr. Pourpoint research focus in propulsion is to further the understanding of storable propellant ignition and combustion through system level testing and advanced diagnostic techniques with an emphasis on novel propellant combinations. A major emphasis of his work is on the development and characterization of new chemical propellants (see: Aerospace Propulsion and Energy Conversion Systems ). Energy Storage Research Dr. Pourpoint is developing safe and efficient ways to use hydrogen for power generation through a combination of gas and solid-state storage approaches.  This research builds on the experience and testing capabilities developed in partnership with General Motors for the characterization and large-scale evaluation of high pressure metal hydrides and adsorbents. Additional details about this research can be found at: Hydrogen Systems Laboratory Experimental Testing Facilities As part of his work Dr. Pourpoint has been involved in designing, implementing, and operating several testing facilities at the Maurice Zucrow Laboratories. Through his research Dr. Pourpoint has gained expertise in working with high-pressure hydrogen (up to 180 gal and 10,000 psia), pyrophoric metal powders, nanoscale materials, and propellants including monomethyl hydrazine, nitrogen tetroxide, hydrogen peroxide, and red fuming nitric acid.</t>
        </is>
      </c>
      <c r="AA30" s="2" t="inlineStr">
        <is>
          <t>Professor Timothée L. Pourpoint’s research interests relate to propulsion, combustion, and energy storage. Propulsion Research Dr. Pourpoint research focus in propulsion is to further the understanding of storable propellant ignition and combustion through system level testing and advanced diagnostic techniques with an emphasis on novel propellant combinations. A major emphasis of his work is o...</t>
        </is>
      </c>
      <c r="AB30" s="2" t="inlineStr">
        <is>
          <t>Ph.D., Purdue University, Aeronautical &amp; Astronautical Engineering, Dec. 2005 M.S., University of Alabama in Huntsville, Mechanical &amp; Aerospace Engineering, Dec. 2000 B.S., ESTACA University, Paris, France, Mechanical Engineering, July 2000</t>
        </is>
      </c>
      <c r="AC30" s="2" t="inlineStr">
        <is>
          <t>Indiana Space Grant Consortium</t>
        </is>
      </c>
      <c r="AD30" s="3">
        <f>HYPERLINK("https://insgc.spacegrant.org/", "https://insgc.spacegrant.org/")</f>
        <v/>
      </c>
      <c r="AE30" s="2" t="inlineStr">
        <is>
          <t>Academic INSGC Internships</t>
        </is>
      </c>
      <c r="AF30" s="2" t="inlineStr"/>
      <c r="AG30" s="2" t="inlineStr"/>
      <c r="AH30" s="2" t="inlineStr">
        <is>
          <t>NASA</t>
        </is>
      </c>
      <c r="AI30" s="2" t="inlineStr"/>
      <c r="AJ30" s="2" t="inlineStr"/>
      <c r="AK30" s="2" t="inlineStr">
        <is>
          <t>Chaffee Hall, Room 116 &amp; ARMS 2017</t>
        </is>
      </c>
      <c r="AL30" s="2" t="b">
        <v>1</v>
      </c>
      <c r="AM30" s="3">
        <f>HYPERLINK("https://engineering.purdue.edu/AAE/people/Faculty", "https://engineering.purdue.edu/AAE/people/Faculty")</f>
        <v/>
      </c>
    </row>
    <row r="31">
      <c r="A31" s="2" t="inlineStr">
        <is>
          <t>Jun Chen</t>
        </is>
      </c>
      <c r="B31" s="2" t="inlineStr">
        <is>
          <t>Purdue University</t>
        </is>
      </c>
      <c r="C31" s="3">
        <f>HYPERLINK("https://engineering.purdue.edu/ME/People/ptProfile?resource_id=44345", "https://engineering.purdue.edu/ME/People/ptProfile?resource_id=44345")</f>
        <v/>
      </c>
      <c r="D31" s="3">
        <f>HYPERLINK("https://scholar.google.com/citations?view_op=search_authors&amp;mauthors=Jun%20Chen%20Purdue%20University", "Google Scholar Search")</f>
        <v/>
      </c>
      <c r="E31" s="2" t="inlineStr">
        <is>
          <t>Professor Of Mechanical Engineering</t>
        </is>
      </c>
      <c r="F31" s="2" t="inlineStr">
        <is>
          <t>Aeronautics and Astronautics</t>
        </is>
      </c>
      <c r="G31" s="2" t="inlineStr"/>
      <c r="H31" s="3">
        <f>HYPERLINK("mailto:junchen@purdue.edu", "junchen@purdue.edu")</f>
        <v/>
      </c>
      <c r="I31" s="2" t="n">
        <v>1</v>
      </c>
      <c r="J31" s="2" t="inlineStr">
        <is>
          <t>🔵 Tier 1: Core Aero / Fluids / Propulsion</t>
        </is>
      </c>
      <c r="K31" s="2" t="n">
        <v>3</v>
      </c>
      <c r="L31" s="2" t="inlineStr">
        <is>
          <t>fluid dynamics, fluid mechanics, turbulent</t>
        </is>
      </c>
      <c r="M31" s="2" t="inlineStr"/>
      <c r="N31" s="2" t="inlineStr"/>
      <c r="O31" s="2" t="inlineStr"/>
      <c r="P31" s="2" t="inlineStr"/>
      <c r="Q31" s="2" t="inlineStr"/>
      <c r="R31" s="2" t="inlineStr">
        <is>
          <t>"Skin-Like Coating Stabilizes the In Situ Forming Lithium Anode for High-Energy-Density Batteries" [ACS Applied Materials &amp; Interfaces] (2026) [DOI: https://doi.org/10.1021/acsami.6c12564] | "Plastic‐Deformation‐Driven Nonepitaxial Deposition of (110)‐Texture Enables Stable Lithium and Sodium Metal Anodes" [Advanced Materials] (2026) [DOI: https://doi.org/10.1002/adma.74659] | "Dynamic Solvation Structure Regulation Enables Long-Life Li–Organic Batteries" [Journal of the American Chemical Society] (2026) [DOI: https://doi.org/10.1021/jacs.6c01785]</t>
        </is>
      </c>
      <c r="S31" s="2" t="inlineStr">
        <is>
          <t>"Metal–air batteries: from oxygen reduction electrochemistry to cathode catalysts" [Chemical Society Reviews] (2012, 2678 cites) [DOI: https://doi.org/10.1039/c1cs15228a] | "Cation-Deficient Spinel ZnMn 2 O 4 Cathode in Zn(CF 3 SO 3 ) 2 Electrolyte for Rechargeable Aqueous Zn-Ion Battery" [Journal of the American Chemical Society] (2016, 1886 cites) [DOI: https://doi.org/10.1021/jacs.6b05958] | "Rechargeable aqueous zinc-manganese dioxide batteries with high energy and power densities" [Nature Communications] (2017, 1795 cites) [DOI: https://doi.org/10.1038/s41467-017-00467-x]</t>
        </is>
      </c>
      <c r="T31" s="2" t="inlineStr"/>
      <c r="U31" s="2" t="inlineStr">
        <is>
          <t>Outstanding Mechanical Engineers Distinguished Engineering Alumni Honorary Doctorates Staff Awards Student Awards Distinguished...</t>
        </is>
      </c>
      <c r="V31" s="2" t="inlineStr"/>
      <c r="W31" s="2" t="inlineStr">
        <is>
          <t>Advancements in Battery Materials (575) | Advanced Battery Materials and Technologies (515) | Advanced battery technologies research (249)</t>
        </is>
      </c>
      <c r="X31" s="2" t="inlineStr">
        <is>
          <t>Advancements in Battery Materials (575) | Advanced Battery Materials and Technologies (515) | Advanced battery technologies research (249)</t>
        </is>
      </c>
      <c r="Y31" s="2" t="inlineStr">
        <is>
          <t>Experimental fluid dynamics Development of flow diagnostic techniques Flow dynamics in stratified environment Turbulent flow measurements and modeling</t>
        </is>
      </c>
      <c r="Z31" s="2" t="inlineStr">
        <is>
          <t>Fluid Mechanics Heat &amp; Mass Transfer</t>
        </is>
      </c>
      <c r="AA31" s="2" t="inlineStr">
        <is>
          <t>Fluid Mechanics Heat &amp; Mass Transfer</t>
        </is>
      </c>
      <c r="AB31" s="2" t="inlineStr">
        <is>
          <t>B.S., Beijing University of Aero. &amp; Astro., '94 M.S., Beijing University of Aero. &amp; Astro., '97 Ph.D., Johns Hopkins University., '04</t>
        </is>
      </c>
      <c r="AC31" s="2" t="inlineStr">
        <is>
          <t>Personal Homepage</t>
        </is>
      </c>
      <c r="AD31" s="3">
        <f>HYPERLINK("https://engineering.purdue.edu/~chen220", "https://engineering.purdue.edu/~chen220")</f>
        <v/>
      </c>
      <c r="AE31" s="2" t="inlineStr"/>
      <c r="AF31" s="2" t="inlineStr"/>
      <c r="AG31" s="2" t="inlineStr"/>
      <c r="AH31" s="2" t="inlineStr"/>
      <c r="AI31" s="2" t="inlineStr"/>
      <c r="AJ31" s="2" t="inlineStr"/>
      <c r="AK31" s="2" t="inlineStr"/>
      <c r="AL31" s="2" t="b">
        <v>1</v>
      </c>
      <c r="AM31" s="3">
        <f>HYPERLINK("https://engineering.purdue.edu/AAE/people/Faculty", "https://engineering.purdue.edu/AAE/people/Faculty")</f>
        <v/>
      </c>
    </row>
    <row r="32">
      <c r="A32" s="2" t="inlineStr">
        <is>
          <t>Mark Lewis</t>
        </is>
      </c>
      <c r="B32" s="2" t="inlineStr">
        <is>
          <t>Purdue University</t>
        </is>
      </c>
      <c r="C32" s="3">
        <f>HYPERLINK("https://engineering.purdue.edu/AAE/people/ptProfile?resource_id=255151", "https://engineering.purdue.edu/AAE/people/ptProfile?resource_id=255151")</f>
        <v/>
      </c>
      <c r="D32" s="3">
        <f>HYPERLINK("https://scholar.google.com/citations?view_op=search_authors&amp;mauthors=Mark%20Lewis%20Purdue%20University", "Google Scholar Search")</f>
        <v/>
      </c>
      <c r="E32" s="2" t="inlineStr">
        <is>
          <t>CEO of Purdue Applied Research Institute (PARI); Professor of Aeronautics and Astronautics</t>
        </is>
      </c>
      <c r="F32" s="2" t="inlineStr">
        <is>
          <t>Aeronautics and Astronautics</t>
        </is>
      </c>
      <c r="G32" s="2" t="inlineStr"/>
      <c r="H32" s="2" t="inlineStr"/>
      <c r="I32" s="2" t="n">
        <v>1</v>
      </c>
      <c r="J32" s="2" t="inlineStr">
        <is>
          <t>🔵 Tier 1: Core Aero / Fluids / Propulsion</t>
        </is>
      </c>
      <c r="K32" s="2" t="n">
        <v>3</v>
      </c>
      <c r="L32" s="2" t="inlineStr">
        <is>
          <t>aerodynamics, hypersonic, propulsion</t>
        </is>
      </c>
      <c r="M32" s="2" t="inlineStr"/>
      <c r="N32" s="2" t="inlineStr"/>
      <c r="O32" s="2" t="inlineStr"/>
      <c r="P32" s="2" t="inlineStr"/>
      <c r="Q32" s="2" t="inlineStr"/>
      <c r="R32" s="2" t="inlineStr">
        <is>
          <t>"In vivo genome editing of central nervous system SIV reservoirs in ART-suppressed rhesus macaques" [Molecular Therapy — Nucleic Acids] (2026) [DOI: https://doi.org/10.1016/j.omtn.2026.103063] | "Induction of broadly neutralizing HIV antibodies by a two-step mechanism informs vaccine design" [Science] (2026) [DOI: https://doi.org/10.1126/science.aec6396] | "Durable protection against SIV challenge by adeno-associated virus delivery of Env-specific antibodies" [bioRxiv (Cold Spring Harbor Laboratory)] (2026) [DOI: https://doi.org/10.64898/2026.04.20.719478]</t>
        </is>
      </c>
      <c r="S32" s="2" t="inlineStr">
        <is>
          <t>"The Sequence of the Human Genome" [Science] (2001, 13709 cites) [DOI: https://doi.org/10.1126/science.1058040] | "Protection of macaques against vaginal transmission of a pathogenic HIV-1/SIV chimeric virus by passive infusion of neutralizing antibodies" [Nature Medicine] (2000, 1248 cites) [DOI: https://doi.org/10.1038/72318] | "Correlates of protection against SARS-CoV-2 in rhesus macaques" [Nature] (2020, 1238 cites) [DOI: https://doi.org/10.1038/s41586-020-03041-6]</t>
        </is>
      </c>
      <c r="T32" s="2" t="inlineStr"/>
      <c r="U32" s="2" t="inlineStr"/>
      <c r="V32" s="2" t="inlineStr"/>
      <c r="W32" s="2" t="inlineStr">
        <is>
          <t>HIV Research and Treatment (184) | SARS-CoV-2 and COVID-19 Research (106) | Immune Cell Function and Interaction (85)</t>
        </is>
      </c>
      <c r="X32" s="2" t="inlineStr">
        <is>
          <t>HIV Research and Treatment (184) | SARS-CoV-2 and COVID-19 Research (106) | Immune Cell Function and Interaction (85)</t>
        </is>
      </c>
      <c r="Y32" s="2" t="inlineStr"/>
      <c r="Z32" s="2" t="inlineStr"/>
      <c r="AA32" s="2" t="inlineStr"/>
      <c r="AB32" s="2" t="inlineStr"/>
      <c r="AC32" s="2" t="inlineStr"/>
      <c r="AD32" s="2" t="inlineStr"/>
      <c r="AE32" s="2" t="inlineStr"/>
      <c r="AF32" s="2" t="inlineStr"/>
      <c r="AG32" s="2" t="inlineStr"/>
      <c r="AH32" s="2" t="inlineStr"/>
      <c r="AI32" s="2" t="inlineStr"/>
      <c r="AJ32" s="2" t="inlineStr"/>
      <c r="AK32" s="2" t="inlineStr"/>
      <c r="AL32" s="2" t="b">
        <v>1</v>
      </c>
      <c r="AM32" s="3">
        <f>HYPERLINK("https://engineering.purdue.edu/AAE/people/Faculty", "https://engineering.purdue.edu/AAE/people/Faculty")</f>
        <v/>
      </c>
    </row>
    <row r="33">
      <c r="A33" s="2" t="inlineStr">
        <is>
          <t>Vikas Tomar</t>
        </is>
      </c>
      <c r="B33" s="2" t="inlineStr">
        <is>
          <t>Purdue University</t>
        </is>
      </c>
      <c r="C33" s="3">
        <f>HYPERLINK("https://engineering.purdue.edu/AAE/people/ptProfile?resource_id=55699", "https://engineering.purdue.edu/AAE/people/ptProfile?resource_id=55699")</f>
        <v/>
      </c>
      <c r="D33" s="3">
        <f>HYPERLINK("https://scholar.google.com/citations?user=rI7TKPYAAAAJ&amp;hl=en&amp;oi=ao", "Scholar (rI7TKPYAAAAJ)")</f>
        <v/>
      </c>
      <c r="E33" s="2" t="inlineStr">
        <is>
          <t>Professor</t>
        </is>
      </c>
      <c r="F33" s="2" t="inlineStr">
        <is>
          <t>Aeronautics and Astronautics</t>
        </is>
      </c>
      <c r="G33" s="2" t="inlineStr">
        <is>
          <t>rI7TKPYAAAAJ</t>
        </is>
      </c>
      <c r="H33" s="3">
        <f>HYPERLINK("mailto:tomar@purdue.edu", "tomar@purdue.edu")</f>
        <v/>
      </c>
      <c r="I33" s="2" t="n">
        <v>1</v>
      </c>
      <c r="J33" s="2" t="inlineStr">
        <is>
          <t>🔵 Tier 1: Core Aero / Fluids / Propulsion</t>
        </is>
      </c>
      <c r="K33" s="2" t="n">
        <v>3</v>
      </c>
      <c r="L33" s="2" t="inlineStr">
        <is>
          <t>autonomous, hypersonic, materials</t>
        </is>
      </c>
      <c r="M33" s="2" t="inlineStr"/>
      <c r="N33" s="2" t="inlineStr"/>
      <c r="O33" s="2" t="inlineStr"/>
      <c r="P33" s="2" t="inlineStr"/>
      <c r="Q33" s="2" t="inlineStr"/>
      <c r="R33" s="2" t="inlineStr"/>
      <c r="S33" s="2" t="inlineStr">
        <is>
          <t>"Bounds for element size in a variable stiffness cohesive finite element model" [International Journal for Numerical Methods in Engineering] (2004, 192 cites) [DOI: https://doi.org/10.1002/nme.1138] | "Nanoindentation based properties of Inconel 718 at elevated temperatures: A comparison of conventional versus additively manufactured samples" [International Journal of Plasticity] (2019, 116 cites) [DOI: https://doi.org/10.1016/j.ijplas.2019.04.018] | "Micromechanical Simulation of Dynamic Fracture Using the Cohesive Finite Element Method" [Journal of Engineering Materials and Technology] (2004, 100 cites) [DOI: https://doi.org/10.1115/1.1647127]</t>
        </is>
      </c>
      <c r="T33" s="2" t="inlineStr"/>
      <c r="U33" s="2" t="inlineStr">
        <is>
          <t>• 2025 Featured Paper (chosen by the editors among all aubmitted and accepted papers) in the Journal of Applied Physics (with M...</t>
        </is>
      </c>
      <c r="V33" s="2" t="inlineStr"/>
      <c r="W33" s="2" t="inlineStr">
        <is>
          <t>High-Velocity Impact and Material Behavior (36) | Advanced ceramic materials synthesis (34) | Metal and Thin Film Mechanics (28)</t>
        </is>
      </c>
      <c r="X33" s="2" t="inlineStr">
        <is>
          <t>High-Velocity Impact and Material Behavior (36) | Advanced ceramic materials synthesis (34) | Metal and Thin Film Mechanics (28)</t>
        </is>
      </c>
      <c r="Y33" s="2" t="inlineStr">
        <is>
          <t>Emphasis is on engineering and science of materials in extreme environments with specific projects currently focusing on; 1. Non-equilibrium Phenomenon in Matter: Application of Nanosecond Multipoint Raman Spectroscopy and data science for understanding/describing shock as well as low velocity fracture/sensitivity to damage. Use of such knowledge in domains such as Physiology, Hypersonics, Anti Shock Designs,  Space Solutions, Additive Manufacturing etc. 2. Autonomy Energy Intelligence: Use of data science for combined edge-cloud solutions for deploying high voltage batteries in sensitive applications with emphasis on extreme events such as nail puncture-high voltage shock-rapid temperature events etc. Use of such knowledge for Physical AI Solutions for Autonomy, Artificial General Intelligence, Large Scale Autonomous Manufacturing etc</t>
        </is>
      </c>
      <c r="Z33" s="2" t="inlineStr">
        <is>
          <t>Interfacial Multiphysics Lab is focused on advancing analytical technologies such as Mechanical Raman Spectroscopy (MRS), an analytical experimental method developed by lab members (US Patent 9,778,194, Review of Scientific Instruments 85, 013902 (2014)) and Smart Battery Management Systems (another US Patent from lab: US11658350B2) to solve important extreme environment operational problems with specific projects currently focusing on; 1. Non-equilibrium Phenomenon in Matter: Application of Nanosecond Multipoint Raman Spectroscopy and data science to understand/describe shock as well as low velocity fracture/sensitivity to damage. Use of such knowledge in domains such as Physiology, Hypersonics, Anti-Shock Designs, Space Solutions, Additive Manufacturing, etc. 2. Autonomy Energy Intelligence: Use of data science for combined edge-cloud solutions for deploying high voltage batteries in sensitive applications, emphasizing extreme events such as nail puncture-high voltage shock-rapid temperature events, etc. Use of such knowledge for Physical AI Solutions for Autonomy, Artificial General Intelligence, Large Scale Autonomous Manufacturing etc Lab Director, Prof. Tomar started his career as an assistant professor in January 2006 after graduating from Georgia Tech with PhD in Mechanical Engineering in December 2005. He was promoted to full professor in 2016 at Purdue University. Lab has graduated 17 PhDs, 27 MS-Thesis students, and multiple non-thesis/undergrad special topic research project students. Lab has published over 400 publications, filed 11 research patents/disclosures (awarded 6 patents), written 2 published books, and edited 5 research volumes. The lab has been part of multiple externally funded projects from Industry, the Office of Naval Research (ONR), the Naval Surface Warfare Center, the National Science Foundation (NSF), the Department of Energy (DoE), ARMY, and Air Force Office of Scientific Research (AFoSR). Lab excellence in research has been recognized by several awards including the VAJRA award from Govt of India, the AFoSR Young Investigator Award for high-temperature interface thermomechanics, the American Society of Mechanical Engineers (ASME) Orr Early Career Award for excellence in fracture and fatigue, The Mineral, Metal, and Materials Societies (TMS) early career faculty fellow-honorable mention award for materials research, inaugural Elsevier Material Science and Engineering journals Early Career Young Researcher Award for Interface Mechanics, Purdue Seeds for Success Awards (2017, 2018, 2020), Purdue CT Sun Research award, Purdue University Faculty Scholar Award, and multiple other best paper awards. For his contribution to the profession, Dr. Tomar was elected an ASME Fellow in 2016 and an American Institute of Aeronautics and Astronautics (AIAA) Associate Fellow in 2015. He has been bestowed with multiple mentorship and teaching awards including the Indiana LSAMP Outstanding Mentor Award, Purdue School of Aeronautics Best Undergraduate Teacher Gustafson award etc. He has organized numerous conferences as track chair and conference co-organizer with various Editor-in-Chief and Associate Editor positions at reputed journals. Lab student members have won multiple research and service awards at the undergraduate and graduate level including the Mitchell Scholarship award to Milad Alucozai which is first ever awarded in Purdue undergraduate education history, the NASA RASC-AL award to an undergraduate team, the NSF best poster award with grad student Ming Gan, Best paper awards at TMS with Bing Li and Abhijeet Dhiman, Chorafus foundation best PhD dissertation finalist to Ming Gan, College of Engineering outstanding service award to Devendra Verma, and numerous other student awards such as Blissland Dissertation Fellowship, Purdue's Nominee for external Best Master's Thesis competitions, multiple Lynn Fellowships, and finally numerous student conference travel awards sponsored by organizations across the world. Students after graduation have enjoyed successful careers in academia US government agencies national labs and industry. Several lab alumni have either tenured or tenure-track faculty positions in universities in the USA, Mexico, India, China, and S Korea.</t>
        </is>
      </c>
      <c r="AA33" s="2" t="inlineStr">
        <is>
          <t>Interfacial Multiphysics Lab is focused on advancing analytical technologies such as Mechanical Raman Spectroscopy (MRS), an analytical experimental method developed by lab members (US Patent 9,778,194, Review of Scientific Instruments 85, 013902 (2014)) and Smart Battery Management Systems (another US Patent from lab: US11658350B2) to solve important extreme environment operational problems wi...</t>
        </is>
      </c>
      <c r="AB33" s="2" t="inlineStr">
        <is>
          <t>MBA, University of California, Berkeley, Haas School of Management, June 2023 Ph.D., Georgia Institute of Technology, Atlanta, GA, December 2005 M. Tech., Indian Institute of Technology-Madras, Chennai, India, May 2001 B. Tech., National Institute of Technology, Kurukshetra, India, May 1998</t>
        </is>
      </c>
      <c r="AC33" s="2" t="inlineStr">
        <is>
          <t>Indiana Space Grant Consortium</t>
        </is>
      </c>
      <c r="AD33" s="3">
        <f>HYPERLINK("https://insgc.spacegrant.org/", "https://insgc.spacegrant.org/")</f>
        <v/>
      </c>
      <c r="AE33" s="2" t="inlineStr">
        <is>
          <t>Academic INSGC Internships</t>
        </is>
      </c>
      <c r="AF33" s="2" t="inlineStr"/>
      <c r="AG33" s="2" t="inlineStr"/>
      <c r="AH33" s="2" t="inlineStr">
        <is>
          <t>NASA</t>
        </is>
      </c>
      <c r="AI33" s="2" t="inlineStr"/>
      <c r="AJ33" s="2" t="inlineStr"/>
      <c r="AK33" s="2" t="inlineStr">
        <is>
          <t>ARMS 2033</t>
        </is>
      </c>
      <c r="AL33" s="2" t="b">
        <v>1</v>
      </c>
      <c r="AM33" s="3">
        <f>HYPERLINK("https://engineering.purdue.edu/AAE/people/Faculty", "https://engineering.purdue.edu/AAE/people/Faculty")</f>
        <v/>
      </c>
    </row>
    <row r="34">
      <c r="A34" s="2" t="inlineStr">
        <is>
          <t>Benxin Wu</t>
        </is>
      </c>
      <c r="B34" s="2" t="inlineStr">
        <is>
          <t>Purdue University</t>
        </is>
      </c>
      <c r="C34" s="3">
        <f>HYPERLINK("https://engineering.purdue.edu/ME/People/ptProfile?resource_id=117606", "https://engineering.purdue.edu/ME/People/ptProfile?resource_id=117606")</f>
        <v/>
      </c>
      <c r="D34" s="3">
        <f>HYPERLINK("https://scholar.google.com/citations?view_op=search_authors&amp;mauthors=Benxin%20Wu%20Purdue%20University", "Google Scholar Search")</f>
        <v/>
      </c>
      <c r="E34" s="2" t="inlineStr">
        <is>
          <t>Professor of Mechanical Engineering</t>
        </is>
      </c>
      <c r="F34" s="2" t="inlineStr">
        <is>
          <t>Mechanical Engineering</t>
        </is>
      </c>
      <c r="G34" s="2" t="inlineStr"/>
      <c r="H34" s="3">
        <f>HYPERLINK("mailto:wu65@purdue.edu", "wu65@purdue.edu")</f>
        <v/>
      </c>
      <c r="I34" s="2" t="n">
        <v>1</v>
      </c>
      <c r="J34" s="2" t="inlineStr">
        <is>
          <t>🔵 Tier 1: Core Aero / Fluids / Propulsion</t>
        </is>
      </c>
      <c r="K34" s="2" t="n">
        <v>2</v>
      </c>
      <c r="L34" s="2" t="inlineStr">
        <is>
          <t>fluid mechanics, materials</t>
        </is>
      </c>
      <c r="M34" s="2" t="inlineStr"/>
      <c r="N34" s="2" t="inlineStr"/>
      <c r="O34" s="2" t="inlineStr"/>
      <c r="P34" s="2" t="inlineStr"/>
      <c r="Q34" s="2" t="inlineStr"/>
      <c r="R34" s="2" t="inlineStr">
        <is>
          <t>"Confinement-induced laser attenuation in multi-pulse ablation with high-intensity nanosecond laser" [Manufacturing Letters] (2026) [DOI: https://doi.org/10.1016/j.mfglet.2026.08.094] | "Double-front plasma produced from high-intensity nanosecond laser ablation of aluminum: Time-resolved imaging and hydrodynamic modeling" [Journal of Applied Physics] (2026) [DOI: https://doi.org/10.1063/5.0333327]</t>
        </is>
      </c>
      <c r="S34" s="2" t="inlineStr">
        <is>
          <t>"Double-front plasma produced from high-intensity nanosecond laser ablation of aluminum: Time-resolved imaging and hydrodynamic modeling" [Journal of Applied Physics] (2026, 1 cites) [DOI: https://doi.org/10.1063/5.0333327] | "Confinement-induced laser attenuation in multi-pulse ablation with high-intensity nanosecond laser" [Manufacturing Letters] (2026, 0 cites) [DOI: https://doi.org/10.1016/j.mfglet.2026.08.094]</t>
        </is>
      </c>
      <c r="T34" s="2" t="inlineStr"/>
      <c r="U34" s="2" t="inlineStr">
        <is>
          <t>Outstanding Mechanical Engineers Distinguished Engineering Alumni Honorary Doctorates Staff Awards Student Awards Distinguished...</t>
        </is>
      </c>
      <c r="V34" s="2" t="inlineStr"/>
      <c r="W34" s="2" t="inlineStr">
        <is>
          <t>Laser Material Processing Techniques (2) | Space Satellite Systems and Control (1) | Laser-induced spectroscopy and plasma (1)</t>
        </is>
      </c>
      <c r="X34" s="2" t="inlineStr">
        <is>
          <t>Laser Material Processing Techniques (2) | Space Satellite Systems and Control (1) | Laser-induced spectroscopy and plasma (1)</t>
        </is>
      </c>
      <c r="Y34" s="2" t="inlineStr">
        <is>
          <t>Laser-matter interactions Laser-induced plasma and laser-plasma interaction Laser applications in manufacturing, materials processing, and other areas</t>
        </is>
      </c>
      <c r="Z34" s="2" t="inlineStr">
        <is>
          <t>Fluid Mechanics Systems, Measurements &amp; Controls</t>
        </is>
      </c>
      <c r="AA34" s="2" t="inlineStr">
        <is>
          <t>Fluid Mechanics Systems, Measurements &amp; Controls</t>
        </is>
      </c>
      <c r="AB34" s="2" t="inlineStr">
        <is>
          <t>Ph.D., Purdue University, 2007 M.S., University of Missouri-Rolla, 2003 B.Eng., Tsinghua University, 2001</t>
        </is>
      </c>
      <c r="AC34" s="2" t="inlineStr">
        <is>
          <t>Indiana Space Grant Consortium</t>
        </is>
      </c>
      <c r="AD34" s="3">
        <f>HYPERLINK("https://insgc.spacegrant.org/", "https://insgc.spacegrant.org/")</f>
        <v/>
      </c>
      <c r="AE34" s="2" t="inlineStr">
        <is>
          <t>Academic INSGC Internships</t>
        </is>
      </c>
      <c r="AF34" s="2" t="inlineStr"/>
      <c r="AG34" s="2" t="inlineStr"/>
      <c r="AH34" s="2" t="inlineStr">
        <is>
          <t>NASA</t>
        </is>
      </c>
      <c r="AI34" s="2" t="inlineStr"/>
      <c r="AJ34" s="2" t="inlineStr"/>
      <c r="AK34" s="2" t="inlineStr">
        <is>
          <t>ME G091 &amp; 2550NW</t>
        </is>
      </c>
      <c r="AL34" s="2" t="b">
        <v>1</v>
      </c>
      <c r="AM34" s="3">
        <f>HYPERLINK("https://engineering.purdue.edu/ME/People/ptFaculty", "https://engineering.purdue.edu/ME/People/ptFaculty")</f>
        <v/>
      </c>
    </row>
    <row r="35">
      <c r="A35" s="2" t="inlineStr">
        <is>
          <t>Gregory M. Shaver</t>
        </is>
      </c>
      <c r="B35" s="2" t="inlineStr">
        <is>
          <t>Purdue University</t>
        </is>
      </c>
      <c r="C35" s="3">
        <f>HYPERLINK("https://engineering.purdue.edu/ME/People/ptProfile?resource_id=29361", "https://engineering.purdue.edu/ME/People/ptProfile?resource_id=29361")</f>
        <v/>
      </c>
      <c r="D35" s="3">
        <f>HYPERLINK("https://scholar.google.com/citations?view_op=search_authors&amp;mauthors=Gregory%20M.%20Shaver%20Purdue%20University", "Google Scholar Search")</f>
        <v/>
      </c>
      <c r="E35" s="2" t="inlineStr">
        <is>
          <t>Director of Herrick Labs; Reilly Professor of Mechanical Engineering</t>
        </is>
      </c>
      <c r="F35" s="2" t="inlineStr">
        <is>
          <t>Mechanical Engineering</t>
        </is>
      </c>
      <c r="G35" s="2" t="inlineStr"/>
      <c r="H35" s="3">
        <f>HYPERLINK("mailto:gshaver@purdue.edu", "gshaver@purdue.edu")</f>
        <v/>
      </c>
      <c r="I35" s="2" t="n">
        <v>1</v>
      </c>
      <c r="J35" s="2" t="inlineStr">
        <is>
          <t>🔵 Tier 1: Core Aero / Fluids / Propulsion</t>
        </is>
      </c>
      <c r="K35" s="2" t="n">
        <v>2</v>
      </c>
      <c r="L35" s="2" t="inlineStr">
        <is>
          <t>combustion, thermodynamics</t>
        </is>
      </c>
      <c r="M35" s="2" t="inlineStr"/>
      <c r="N35" s="2" t="inlineStr"/>
      <c r="O35" s="2" t="inlineStr"/>
      <c r="P35" s="2" t="inlineStr"/>
      <c r="Q35" s="2" t="inlineStr"/>
      <c r="R35" s="2" t="inlineStr">
        <is>
          <t>"Robust MIMO air handling control for eboosted off-road hybrid diesel powertrain" [International Journal of Engine Research] (2026) [DOI: https://doi.org/10.1177/14680874261473817] | "Experimental analysis of combustion stability and cycle-to-cycle variability in an off-road compression ignition engine fueled with biodiesel ethanol blends: Up to 50% ethanol" [Fuel] (2026) [DOI: https://doi.org/10.1016/j.fuel.2026.141185] | "Trajectory tracking in autonomous racing using a reduced-order feedback-linearized MPC framework" [Control Engineering Practice] (2026) [DOI: https://doi.org/10.1016/j.conengprac.2026.107036]</t>
        </is>
      </c>
      <c r="S35" s="2" t="inlineStr">
        <is>
          <t>"Physically-based reduced-order capacity loss model for graphite anodes in Li-ion battery cells" [Journal of Power Sources] (2017, 169 cites) [DOI: https://doi.org/10.1016/j.jpowsour.2016.12.099] | "Lessons Learned: Implementing the Case Teaching Method in a Mechanical Engineering Course" [Journal of Engineering Education] (2010, 166 cites) [DOI: https://doi.org/10.1002/j.2168-9830.2010.tb01042.x] | "Modeling cycle-to-cycle dynamics and mode transition in HCCI engines with variable valve actuation" [Control Engineering Practice] (2005, 99 cites) [DOI: https://doi.org/10.1016/j.conengprac.2005.04.009]</t>
        </is>
      </c>
      <c r="T35" s="2" t="inlineStr"/>
      <c r="U35" s="2" t="inlineStr">
        <is>
          <t>Outstanding Mechanical Engineers Distinguished Engineering Alumni Honorary Doctorates Staff Awards Student Awards Distinguished...</t>
        </is>
      </c>
      <c r="V35" s="2" t="inlineStr"/>
      <c r="W35" s="2" t="inlineStr">
        <is>
          <t>Advanced Combustion Engine Technologies (98) | Vehicle emissions and performance (57) | Biodiesel Production and Applications (29)</t>
        </is>
      </c>
      <c r="X35" s="2" t="inlineStr">
        <is>
          <t>Advanced Combustion Engine Technologies (98) | Vehicle emissions and performance (57) | Biodiesel Production and Applications (29)</t>
        </is>
      </c>
      <c r="Y35" s="2" t="inlineStr">
        <is>
          <t>Model-based system and control design of commercial vehicle power trains Connected and automated commercial vehicles Internal combustion engine &amp; after-treatment system design and controls Flexible valve actuation in diesel and natural gas engines</t>
        </is>
      </c>
      <c r="Z35" s="2" t="inlineStr">
        <is>
          <t>Thermodynamics Systems, Measurements &amp; Controls</t>
        </is>
      </c>
      <c r="AA35" s="2" t="inlineStr">
        <is>
          <t>Thermodynamics Systems, Measurements &amp; Controls</t>
        </is>
      </c>
      <c r="AB35" s="2" t="inlineStr">
        <is>
          <t>Ph.D. Stanford, '05 M.S. Stanford, '04 B.S. Purdue, '00</t>
        </is>
      </c>
      <c r="AC35" s="2" t="inlineStr">
        <is>
          <t>Personal Homepage</t>
        </is>
      </c>
      <c r="AD35" s="3">
        <f>HYPERLINK("http://www.gregshaver.com/", "http://www.gregshaver.com/")</f>
        <v/>
      </c>
      <c r="AE35" s="2" t="inlineStr"/>
      <c r="AF35" s="2" t="inlineStr"/>
      <c r="AG35" s="2" t="inlineStr"/>
      <c r="AH35" s="2" t="inlineStr"/>
      <c r="AI35" s="2" t="inlineStr"/>
      <c r="AJ35" s="2" t="inlineStr"/>
      <c r="AK35" s="2" t="inlineStr"/>
      <c r="AL35" s="2" t="b">
        <v>1</v>
      </c>
      <c r="AM35" s="3">
        <f>HYPERLINK("https://engineering.purdue.edu/ME/People/ptFaculty", "https://engineering.purdue.edu/ME/People/ptFaculty")</f>
        <v/>
      </c>
    </row>
    <row r="36">
      <c r="A36" s="2" t="inlineStr">
        <is>
          <t>Jamie Canino</t>
        </is>
      </c>
      <c r="B36" s="2" t="inlineStr">
        <is>
          <t>Purdue University</t>
        </is>
      </c>
      <c r="C36" s="3">
        <f>HYPERLINK("https://engineering.purdue.edu/AAE/people/ptProfile?resource_id=285032", "https://engineering.purdue.edu/AAE/people/ptProfile?resource_id=285032")</f>
        <v/>
      </c>
      <c r="D36" s="3">
        <f>HYPERLINK("https://scholar.google.com/citations?view_op=search_authors&amp;mauthors=Jamie%20Canino%20Purdue%20University", "Google Scholar Search")</f>
        <v/>
      </c>
      <c r="E36" s="2" t="inlineStr">
        <is>
          <t>Associate Professor of Engineering Practice</t>
        </is>
      </c>
      <c r="F36" s="2" t="inlineStr">
        <is>
          <t>Aeronautics and Astronautics</t>
        </is>
      </c>
      <c r="G36" s="2" t="inlineStr"/>
      <c r="H36" s="3">
        <f>HYPERLINK("mailto:canino@purdue.edu", "canino@purdue.edu")</f>
        <v/>
      </c>
      <c r="I36" s="2" t="n">
        <v>1</v>
      </c>
      <c r="J36" s="2" t="inlineStr">
        <is>
          <t>🔵 Tier 1: Core Aero / Fluids / Propulsion</t>
        </is>
      </c>
      <c r="K36" s="2" t="n">
        <v>2</v>
      </c>
      <c r="L36" s="2" t="inlineStr">
        <is>
          <t>propulsion, rocket propulsion</t>
        </is>
      </c>
      <c r="M36" s="2" t="inlineStr"/>
      <c r="N36" s="2" t="inlineStr"/>
      <c r="O36" s="2" t="inlineStr"/>
      <c r="P36" s="2" t="inlineStr"/>
      <c r="Q36" s="2" t="inlineStr"/>
      <c r="R36" s="2" t="inlineStr"/>
      <c r="S36" s="2" t="inlineStr">
        <is>
          <t>"Computational Modelling of Rocket Injector Internal Flows" (2007, 6 cites) [DOI: https://doi.org/10.2514/6.2007-5571] | "Optimization of Lenz-Type VAWT Geometries with Computational Fluid Dynamics" [AIAA SCITECH 2023 Forum] (2023, 0 cites) [DOI: https://doi.org/10.2514/6.2023-0017]</t>
        </is>
      </c>
      <c r="T36" s="2" t="inlineStr"/>
      <c r="U36" s="2" t="inlineStr"/>
      <c r="V36" s="2" t="inlineStr"/>
      <c r="W36" s="2" t="inlineStr">
        <is>
          <t>Advanced Combustion Engine Technologies (1) | Combustion and flame dynamics (1) | Wind Energy Research and Development (1)</t>
        </is>
      </c>
      <c r="X36" s="2" t="inlineStr">
        <is>
          <t>Advanced Combustion Engine Technologies (1) | Combustion and flame dynamics (1) | Wind Energy Research and Development (1)</t>
        </is>
      </c>
      <c r="Y36" s="2" t="inlineStr">
        <is>
          <t>Engineering Education, Undergraduate Mentoring, Rocket Propulsion Edit var myPronunciation=document.getElementById("pronunciation");
    function play() {
    myPronunciation.play();
    }
    function pause() {
    myPronunciation.pause();
    }</t>
        </is>
      </c>
      <c r="Z36" s="2" t="inlineStr"/>
      <c r="AA36" s="2" t="inlineStr">
        <is>
          <t>Engineering Education, Undergraduate Mentoring, Rocket Propulsion Edit var myPronunciation=document.getElementById("pronunciation");
    function play() {
    myPronunciation.play();
    }
    function pause() {
    myPronunciation.pause();
    }</t>
        </is>
      </c>
      <c r="AB36" s="2" t="inlineStr"/>
      <c r="AC36" s="2" t="inlineStr">
        <is>
          <t>Indiana Space Grant Consortium</t>
        </is>
      </c>
      <c r="AD36" s="3">
        <f>HYPERLINK("https://insgc.spacegrant.org/", "https://insgc.spacegrant.org/")</f>
        <v/>
      </c>
      <c r="AE36" s="2" t="inlineStr">
        <is>
          <t>Academic INSGC Internships</t>
        </is>
      </c>
      <c r="AF36" s="2" t="inlineStr"/>
      <c r="AG36" s="2" t="inlineStr"/>
      <c r="AH36" s="2" t="inlineStr">
        <is>
          <t>NASA</t>
        </is>
      </c>
      <c r="AI36" s="2" t="inlineStr"/>
      <c r="AJ36" s="2" t="inlineStr"/>
      <c r="AK36" s="2" t="inlineStr">
        <is>
          <t>ARMS 3209</t>
        </is>
      </c>
      <c r="AL36" s="2" t="b">
        <v>1</v>
      </c>
      <c r="AM36" s="3">
        <f>HYPERLINK("https://engineering.purdue.edu/AAE/people/Faculty", "https://engineering.purdue.edu/AAE/people/Faculty")</f>
        <v/>
      </c>
    </row>
    <row r="37">
      <c r="A37" s="2" t="inlineStr">
        <is>
          <t>Leifur Leifsson</t>
        </is>
      </c>
      <c r="B37" s="2" t="inlineStr">
        <is>
          <t>Purdue University</t>
        </is>
      </c>
      <c r="C37" s="3">
        <f>HYPERLINK("https://engineering.purdue.edu/AAE/people/ptProfile?resource_id=256632", "https://engineering.purdue.edu/AAE/people/ptProfile?resource_id=256632")</f>
        <v/>
      </c>
      <c r="D37" s="3">
        <f>HYPERLINK("https://scholar.google.com/citations?view_op=search_authors&amp;mauthors=Leifur%20Leifsson%20Purdue%20University", "Google Scholar Search")</f>
        <v/>
      </c>
      <c r="E37" s="2" t="inlineStr">
        <is>
          <t>Associate Professor</t>
        </is>
      </c>
      <c r="F37" s="2" t="inlineStr">
        <is>
          <t>Aeronautics and Astronautics</t>
        </is>
      </c>
      <c r="G37" s="2" t="inlineStr"/>
      <c r="H37" s="3">
        <f>HYPERLINK("mailto:leifur@purdue.edu", "leifur@purdue.edu")</f>
        <v/>
      </c>
      <c r="I37" s="2" t="n">
        <v>1</v>
      </c>
      <c r="J37" s="2" t="inlineStr">
        <is>
          <t>🔵 Tier 1: Core Aero / Fluids / Propulsion</t>
        </is>
      </c>
      <c r="K37" s="2" t="n">
        <v>2</v>
      </c>
      <c r="L37" s="2" t="inlineStr">
        <is>
          <t>aerospace, fluid-structure interaction</t>
        </is>
      </c>
      <c r="M37" s="2" t="inlineStr"/>
      <c r="N37" s="2" t="inlineStr"/>
      <c r="O37" s="2" t="inlineStr"/>
      <c r="P37" s="2" t="inlineStr"/>
      <c r="Q37" s="2" t="inlineStr"/>
      <c r="R37" s="2" t="inlineStr">
        <is>
          <t>"Adaptive Hyperparameter Optimization Strategies for Neural Network Models in Engineering Design Optimization" [Journal of Aerospace Information Systems] (2026) [DOI: https://doi.org/10.2514/1.i011839] | "Special Issue: Data-Driven Design Under Uncertainty" [Journal of Mechanical Design] (2026) [DOI: https://doi.org/10.1115/1.4070968] | "Efficient Design of Airfoil Shapes Using Surface Pressure–Informed Bayesian Optimization" (2026) [DOI: https://doi.org/10.2514/6.2026-0148]</t>
        </is>
      </c>
      <c r="S37" s="2" t="inlineStr">
        <is>
          <t>"Surrogate-Based Methods" [Studies in computational intelligence] (2011, 257 cites) [DOI: https://doi.org/10.1007/978-3-642-20859-1_3] | "Surrogate-based aerodynamic shape optimization for delaying airfoil dynamic stall using Kriging regression and infill criteria" [Aerospace Science and Technology] (2021, 120 cites) [DOI: https://doi.org/10.1016/j.ast.2021.106555] | "Surrogate-Based Aerodynamic Shape Optimization by Variable-Resolution Models" [AIAA Journal] (2012, 111 cites) [DOI: https://doi.org/10.2514/1.j051583]</t>
        </is>
      </c>
      <c r="T37" s="2" t="inlineStr"/>
      <c r="U37" s="2" t="inlineStr">
        <is>
          <t>NSF Early CAREER Award, NSF/CMMI/EDSE, February 2019 Best Paper Award, ASME Journal of Nondestructive Evaluation, 2019 Research...</t>
        </is>
      </c>
      <c r="V37" s="2" t="inlineStr"/>
      <c r="W37" s="2" t="inlineStr">
        <is>
          <t>Advanced Multi-Objective Optimization Algorithms (155) | Probabilistic and Robust Engineering Design (107) | Microwave Engineering and Waveguides (66)</t>
        </is>
      </c>
      <c r="X37" s="2" t="inlineStr">
        <is>
          <t>Advanced Multi-Objective Optimization Algorithms (155) | Probabilistic and Robust Engineering Design (107) | Microwave Engineering and Waveguides (66)</t>
        </is>
      </c>
      <c r="Y37" s="2" t="inlineStr">
        <is>
          <t>Computational aerospace engineering design; Multidisciplinary design optimization; Surrogate-based modeling and optimization; Uncertainty quantification; Scientific machine learning; Multifidelity methods</t>
        </is>
      </c>
      <c r="Z37" s="2" t="inlineStr">
        <is>
          <t>Dr. Leifsson's research focuses on advancing fundamental computational methods for modeling, optimization, and uncertainty quantification in aerospace engineering design with an emphasis on scientific machine learning. Current application areas include multidisciplinary design optimization, multifidelity modeling, aerodynamic shape optimization, fluid-structure interaction, and aircraft design. Edit var myPronunciation=document.getElementById("pronunciation");
    function play() {
    myPronunciation.play();
    }
    function pause() {
    myPronunciation.pause();
    }</t>
        </is>
      </c>
      <c r="AA37" s="2" t="inlineStr">
        <is>
          <t>Dr. Leifsson's research focuses on advancing fundamental computational methods for modeling, optimization, and uncertainty quantification in aerospace engineering design with an emphasis on scientific machine learning. Current application areas include multidisciplinary design optimization, multifidelity modeling, aerodynamic shape optimization, fluid-structure interaction, and aircraft design....</t>
        </is>
      </c>
      <c r="AB37" s="2" t="inlineStr">
        <is>
          <t>C.Sc. University of Iceland, Mechanical and Industrial Engineering, 1999 M.Sc. University of Iceland, Mechanical Engineering, 2000 Ph.D. Virginia Tech, Aerospace Engineering, 2006</t>
        </is>
      </c>
      <c r="AC37" s="2" t="inlineStr">
        <is>
          <t>Indiana Space Grant Consortium</t>
        </is>
      </c>
      <c r="AD37" s="3">
        <f>HYPERLINK("https://insgc.spacegrant.org/", "https://insgc.spacegrant.org/")</f>
        <v/>
      </c>
      <c r="AE37" s="2" t="inlineStr">
        <is>
          <t>Academic INSGC Internships</t>
        </is>
      </c>
      <c r="AF37" s="2" t="inlineStr"/>
      <c r="AG37" s="2" t="inlineStr"/>
      <c r="AH37" s="2" t="inlineStr">
        <is>
          <t>NASA</t>
        </is>
      </c>
      <c r="AI37" s="2" t="inlineStr"/>
      <c r="AJ37" s="2" t="inlineStr"/>
      <c r="AK37" s="2" t="inlineStr">
        <is>
          <t>ARMS 3229</t>
        </is>
      </c>
      <c r="AL37" s="2" t="b">
        <v>1</v>
      </c>
      <c r="AM37" s="3">
        <f>HYPERLINK("https://engineering.purdue.edu/AAE/people/Faculty", "https://engineering.purdue.edu/AAE/people/Faculty")</f>
        <v/>
      </c>
    </row>
    <row r="38">
      <c r="A38" s="2" t="inlineStr">
        <is>
          <t>Sascha Ranftl</t>
        </is>
      </c>
      <c r="B38" s="2" t="inlineStr">
        <is>
          <t>Purdue University</t>
        </is>
      </c>
      <c r="C38" s="3">
        <f>HYPERLINK("https://engineering.purdue.edu/ME/People/ptProfile?resource_id=324341", "https://engineering.purdue.edu/ME/People/ptProfile?resource_id=324341")</f>
        <v/>
      </c>
      <c r="D38" s="3">
        <f>HYPERLINK("https://scholar.google.com/citations?user=IKgNChQAAAAJ", "Scholar (IKgNChQAAAAJ)")</f>
        <v/>
      </c>
      <c r="E38" s="2" t="inlineStr">
        <is>
          <t>Assistant Professor of Mechanical Engineering</t>
        </is>
      </c>
      <c r="F38" s="2" t="inlineStr">
        <is>
          <t>Mechanical Engineering</t>
        </is>
      </c>
      <c r="G38" s="2" t="inlineStr">
        <is>
          <t>IKgNChQAAAAJ</t>
        </is>
      </c>
      <c r="H38" s="3">
        <f>HYPERLINK("mailto:sranftl@purdue.edu", "sranftl@purdue.edu")</f>
        <v/>
      </c>
      <c r="I38" s="2" t="n">
        <v>1</v>
      </c>
      <c r="J38" s="2" t="inlineStr">
        <is>
          <t>🔵 Tier 1: Core Aero / Fluids / Propulsion</t>
        </is>
      </c>
      <c r="K38" s="2" t="n">
        <v>2</v>
      </c>
      <c r="L38" s="2" t="inlineStr">
        <is>
          <t>fluid mechanics, scientific computing</t>
        </is>
      </c>
      <c r="M38" s="2" t="inlineStr"/>
      <c r="N38" s="2" t="inlineStr"/>
      <c r="O38" s="2" t="inlineStr"/>
      <c r="P38" s="2" t="inlineStr"/>
      <c r="Q38" s="2" t="inlineStr"/>
      <c r="R38" s="2" t="inlineStr">
        <is>
          <t>"Parameter Learning With Physics-Consistent Gaussian Processes" [Zenodo (CERN European Organization for Nuclear Research)] (2026) [DOI: https://doi.org/10.5281/zenodo.20392037] | "Parameter Learning With Physics-Consistent Gaussian Processes" [Zenodo (CERN European Organization for Nuclear Research)] (2026) [DOI: https://doi.org/10.5281/zenodo.21864854] | "Uncertainty quantification in mechanics: A unified Bayesian perspective" [arXiv (Cornell University)] (2026) [DOI: https://doi.org/10.48550/arxiv.2607.18734]</t>
        </is>
      </c>
      <c r="S38" s="2" t="inlineStr">
        <is>
          <t>"Femtosecond photoexcitation dynamics inside a quantum solvent" [Nature Communications] (2018, 38 cites) [DOI: https://doi.org/10.1038/s41467-018-06413-9] | "A neural network-based material cell for elastoplasticity and its performance in FE analyses of boundary value problems" [International Journal of Plasticity] (2023, 25 cites) [DOI: https://doi.org/10.1016/j.ijplas.2023.103811] | "A Bayesian approach to blood rheological uncertainties in aortic hemodynamics" [International Journal for Numerical Methods in Biomedical Engineering] (2022, 18 cites) [DOI: https://doi.org/10.1002/cnm.3576]</t>
        </is>
      </c>
      <c r="T38" s="2" t="inlineStr"/>
      <c r="U38" s="2" t="inlineStr">
        <is>
          <t>Outstanding Mechanical Engineers Distinguished Engineering Alumni Honorary Doctorates Staff Awards Student Awards Distinguished...</t>
        </is>
      </c>
      <c r="V38" s="2" t="inlineStr"/>
      <c r="W38" s="2" t="inlineStr">
        <is>
          <t>Quantum, superfluid, helium dynamics (10) | Probabilistic and Robust Engineering Design (9) | Spectroscopy and Quantum Chemical Studies (9)</t>
        </is>
      </c>
      <c r="X38" s="2" t="inlineStr">
        <is>
          <t>Quantum, superfluid, helium dynamics (10) | Probabilistic and Robust Engineering Design (9) | Spectroscopy and Quantum Chemical Studies (9)</t>
        </is>
      </c>
      <c r="Y38" s="2" t="inlineStr">
        <is>
          <t>Scientific machine learning Bayesian probability theory Uncertainty quantification Data analysis Scientific computing Computational physics &amp; engineering Machine learning applications in engineering</t>
        </is>
      </c>
      <c r="Z38" s="2" t="inlineStr">
        <is>
          <t>Fluid Mechanics</t>
        </is>
      </c>
      <c r="AA38" s="2" t="inlineStr">
        <is>
          <t>Fluid Mechanics</t>
        </is>
      </c>
      <c r="AB38" s="2" t="inlineStr">
        <is>
          <t>Postdoctoral fellow, Division of Applied Mathematics, Brown University, '25 Postdoctoral fellow, Courant Institute, New York University, '24 Ph.D., Institute of Theoretical &amp; Computational Physics, TU Graz, Austria, '21 Diplom-Ingenieur., Engineering Physics, TU Graz, Austria, '17</t>
        </is>
      </c>
      <c r="AC38" s="2" t="inlineStr">
        <is>
          <t>Personal Website</t>
        </is>
      </c>
      <c r="AD38" s="3">
        <f>HYPERLINK("https://sites.google.com/view/sascha-ranftl", "https://sites.google.com/view/sascha-ranftl")</f>
        <v/>
      </c>
      <c r="AE38" s="2" t="inlineStr">
        <is>
          <t>More About me News Open Positions Publications Contact</t>
        </is>
      </c>
      <c r="AF38" s="2" t="inlineStr"/>
      <c r="AG38" s="2" t="inlineStr">
        <is>
          <t>Supercomputer</t>
        </is>
      </c>
      <c r="AH38" s="2" t="inlineStr"/>
      <c r="AI38" s="2" t="inlineStr"/>
      <c r="AJ38" s="2" t="inlineStr"/>
      <c r="AK38" s="2" t="inlineStr"/>
      <c r="AL38" s="2" t="b">
        <v>1</v>
      </c>
      <c r="AM38" s="3">
        <f>HYPERLINK("https://engineering.purdue.edu/ME/People/ptFaculty", "https://engineering.purdue.edu/ME/People/ptFaculty")</f>
        <v/>
      </c>
    </row>
    <row r="39">
      <c r="A39" s="2" t="inlineStr">
        <is>
          <t>Amy Marconnet</t>
        </is>
      </c>
      <c r="B39" s="2" t="inlineStr">
        <is>
          <t>Purdue University</t>
        </is>
      </c>
      <c r="C39" s="3">
        <f>HYPERLINK("https://engineering.purdue.edu/ME/People/ptProfile?resource_id=86360", "https://engineering.purdue.edu/ME/People/ptProfile?resource_id=86360")</f>
        <v/>
      </c>
      <c r="D39" s="3">
        <f>HYPERLINK("https://scholar.google.com/citations?view_op=search_authors&amp;mauthors=Amy%20Marconnet%20Purdue%20University", "Google Scholar Search")</f>
        <v/>
      </c>
      <c r="E39" s="2" t="inlineStr">
        <is>
          <t>Professor of Mechanical Engineering</t>
        </is>
      </c>
      <c r="F39" s="2" t="inlineStr">
        <is>
          <t>Mechanical Engineering</t>
        </is>
      </c>
      <c r="G39" s="2" t="inlineStr"/>
      <c r="H39" s="3">
        <f>HYPERLINK("mailto:marconnet@purdue.edu", "marconnet@purdue.edu")</f>
        <v/>
      </c>
      <c r="I39" s="2" t="n">
        <v>2</v>
      </c>
      <c r="J39" s="2" t="inlineStr">
        <is>
          <t>🟡 Tier 2: Thermal / Heat Transfer / Energy</t>
        </is>
      </c>
      <c r="K39" s="2" t="n">
        <v>5</v>
      </c>
      <c r="L39" s="2" t="inlineStr">
        <is>
          <t>fluid mechanics, fluids, heat transfer, materials, thermal</t>
        </is>
      </c>
      <c r="M39" s="2" t="inlineStr"/>
      <c r="N39" s="2" t="inlineStr"/>
      <c r="O39" s="2" t="inlineStr"/>
      <c r="P39" s="2" t="inlineStr"/>
      <c r="Q39" s="2" t="inlineStr"/>
      <c r="R39" s="2" t="inlineStr"/>
      <c r="S39" s="2" t="inlineStr"/>
      <c r="T39" s="2" t="inlineStr"/>
      <c r="U39" s="2" t="inlineStr">
        <is>
          <t>Outstanding Mechanical Engineers Distinguished Engineering Alumni Honorary Doctorates Staff Awards Student Awards Distinguished...</t>
        </is>
      </c>
      <c r="V39" s="2" t="inlineStr">
        <is>
          <t>Purdue students are welcome to contact Professor Marconnet regarding independent study research opportunities and are also encouraged to apply for the SURF program. Qualified undergraduates from other institutions are encouraged to apply for the SURF program. | We are always looking for highly qualified, talented, and self-motivated graduate students with interests in heat transfer, thermal sciences, nanotechnology, energy conversion, and/or materials. However, Professor Marconnet generally does not reply to unsolicited emails from applicants unless they have already applied to Purdue's Mechanical Engineering program.</t>
        </is>
      </c>
      <c r="W39" s="2" t="inlineStr"/>
      <c r="X39" s="2" t="inlineStr"/>
      <c r="Y39" s="2" t="inlineStr">
        <is>
          <t>Transport Phenomena in Multi-Scale, Heterogeneous Materials &amp; Systems Fundamentals of Nanoscale Thermal Transport Heat Transfer in Natural and Synthetic Fiber Systems Thermofluids Interactions Multi-Physics Metrology Design Electronics Cooling and Thermal Management</t>
        </is>
      </c>
      <c r="Z39" s="2" t="inlineStr">
        <is>
          <t>Fluid Mechanics Heat &amp; Mass Transfer</t>
        </is>
      </c>
      <c r="AA39" s="2" t="inlineStr">
        <is>
          <t>Fluid Mechanics Heat &amp; Mass Transfer</t>
        </is>
      </c>
      <c r="AB39" s="2" t="inlineStr">
        <is>
          <t>Ph.D. Stanford University, '12 M.S. Stanford University, '09 B.S. University of Wisconsin - Madison, '07</t>
        </is>
      </c>
      <c r="AC39" s="2" t="inlineStr">
        <is>
          <t>Personal Homepage</t>
        </is>
      </c>
      <c r="AD39" s="3">
        <f>HYPERLINK("http://engineering.purdue.edu/MTEC", "http://engineering.purdue.edu/MTEC")</f>
        <v/>
      </c>
      <c r="AE39" s="2" t="inlineStr">
        <is>
          <t>Purdue students are welcome to contact Professor Marconnet regarding independent study research opportunities and are also encouraged to apply for the SURF program. Qualified undergraduates from other institutions are encouraged to apply for the SURF program. | We are always looking for highly qualified, talented, and self-motivated graduate students with interests in heat transfer, thermal sciences, nanotechnology, energy conversion, and/or materials. However, Professor Marconnet generally does not reply to unsolicited emails from applicants unless they have already applied to Purdue's Mechanical Engineering program.</t>
        </is>
      </c>
      <c r="AF39" s="2" t="inlineStr"/>
      <c r="AG39" s="2" t="inlineStr"/>
      <c r="AH39" s="2" t="inlineStr">
        <is>
          <t>DOE</t>
        </is>
      </c>
      <c r="AI39" s="2" t="inlineStr"/>
      <c r="AJ39" s="2" t="inlineStr"/>
      <c r="AK39" s="2" t="inlineStr"/>
      <c r="AL39" s="2" t="b">
        <v>1</v>
      </c>
      <c r="AM39" s="3">
        <f>HYPERLINK("https://engineering.purdue.edu/ME/People/ptFaculty", "https://engineering.purdue.edu/ME/People/ptFaculty")</f>
        <v/>
      </c>
    </row>
    <row r="40">
      <c r="A40" s="2" t="inlineStr">
        <is>
          <t>Thomas Beechem</t>
        </is>
      </c>
      <c r="B40" s="2" t="inlineStr">
        <is>
          <t>Purdue University</t>
        </is>
      </c>
      <c r="C40" s="3">
        <f>HYPERLINK("https://engineering.purdue.edu/ME/People/ptProfile?resource_id=256658", "https://engineering.purdue.edu/ME/People/ptProfile?resource_id=256658")</f>
        <v/>
      </c>
      <c r="D40" s="3">
        <f>HYPERLINK("https://scholar.google.com/citations?user=OEAnMz0AAAAJ&amp;hl=en", "Scholar (OEAnMz0AAAAJ)")</f>
        <v/>
      </c>
      <c r="E40" s="2" t="inlineStr">
        <is>
          <t>Professor Of Mechanical Engineering</t>
        </is>
      </c>
      <c r="F40" s="2" t="inlineStr">
        <is>
          <t>Mechanical Engineering</t>
        </is>
      </c>
      <c r="G40" s="2" t="inlineStr">
        <is>
          <t>OEAnMz0AAAAJ</t>
        </is>
      </c>
      <c r="H40" s="3">
        <f>HYPERLINK("mailto:tbeechem@purdue.edu", "tbeechem@purdue.edu")</f>
        <v/>
      </c>
      <c r="I40" s="2" t="n">
        <v>2</v>
      </c>
      <c r="J40" s="2" t="inlineStr">
        <is>
          <t>🟡 Tier 2: Thermal / Heat Transfer / Energy</t>
        </is>
      </c>
      <c r="K40" s="2" t="n">
        <v>4</v>
      </c>
      <c r="L40" s="2" t="inlineStr">
        <is>
          <t>materials, solid mechanics, thermal, thermodynamics</t>
        </is>
      </c>
      <c r="M40" s="2" t="inlineStr"/>
      <c r="N40" s="2" t="inlineStr"/>
      <c r="O40" s="2" t="inlineStr"/>
      <c r="P40" s="2" t="inlineStr"/>
      <c r="Q40" s="2" t="inlineStr"/>
      <c r="R40" s="2" t="inlineStr"/>
      <c r="S40" s="2" t="inlineStr"/>
      <c r="T40" s="2" t="inlineStr"/>
      <c r="U40" s="2" t="inlineStr">
        <is>
          <t>Outstanding Mechanical Engineers Distinguished Engineering Alumni Honorary Doctorates Staff Awards Student Awards Distinguished...</t>
        </is>
      </c>
      <c r="V40" s="2" t="inlineStr">
        <is>
          <t>Purdue University School of Mechanical Engineering School of Materials Engineering (Courtesy) Email: tbeechem at purdue.edu Phone: 765.494.0492</t>
        </is>
      </c>
      <c r="W40" s="2" t="inlineStr"/>
      <c r="X40" s="2" t="inlineStr"/>
      <c r="Y40" s="2" t="inlineStr">
        <is>
          <t>Thermal Physics ... Heat Moving Energy Spectroscopy ... "Seeing" energy with light Nanophotonics ... Pushing light to see more 2D Materials ... Creating functionality by losing dimension</t>
        </is>
      </c>
      <c r="Z40" s="2" t="inlineStr">
        <is>
          <t>Thermodynamics Heat &amp; Mass Transfer Solid Mechanics</t>
        </is>
      </c>
      <c r="AA40" s="2" t="inlineStr">
        <is>
          <t>Thermodynamics Heat &amp; Mass Transfer Solid Mechanics</t>
        </is>
      </c>
      <c r="AB40" s="2" t="inlineStr">
        <is>
          <t>Ph.D. Georgia Institute of Technology, 2008 M.S. University of Dayton, 2005 B.S. University of  Dayton, 2003</t>
        </is>
      </c>
      <c r="AC40" s="2" t="inlineStr">
        <is>
          <t>Specere Laboratory</t>
        </is>
      </c>
      <c r="AD40" s="3">
        <f>HYPERLINK("https://www.specere.org/", "https://www.specere.org/")</f>
        <v/>
      </c>
      <c r="AE40" s="2" t="inlineStr">
        <is>
          <t>Seeking motivated problem solvers capable of devoting 10-20 hours to research projects during the semester. | Join us for a summer via Purdue’s SURF (Summer Undergraduate Research Fellowship) Program .</t>
        </is>
      </c>
      <c r="AF40" s="2" t="inlineStr"/>
      <c r="AG40" s="2" t="inlineStr"/>
      <c r="AH40" s="2" t="inlineStr"/>
      <c r="AI40" s="2" t="inlineStr"/>
      <c r="AJ40" s="2" t="inlineStr"/>
      <c r="AK40" s="2" t="inlineStr"/>
      <c r="AL40" s="2" t="b">
        <v>1</v>
      </c>
      <c r="AM40" s="3">
        <f>HYPERLINK("https://engineering.purdue.edu/ME/People/ptFaculty", "https://engineering.purdue.edu/ME/People/ptFaculty")</f>
        <v/>
      </c>
    </row>
    <row r="41">
      <c r="A41" s="2" t="inlineStr">
        <is>
          <t>David Warsinger</t>
        </is>
      </c>
      <c r="B41" s="2" t="inlineStr">
        <is>
          <t>Purdue University</t>
        </is>
      </c>
      <c r="C41" s="3">
        <f>HYPERLINK("https://engineering.purdue.edu/ME/People/ptProfile?resource_id=183058", "https://engineering.purdue.edu/ME/People/ptProfile?resource_id=183058")</f>
        <v/>
      </c>
      <c r="D41" s="3">
        <f>HYPERLINK("https://scholar.google.com/citations?view_op=search_authors&amp;mauthors=David%20Warsinger%20Purdue%20University", "Google Scholar Search")</f>
        <v/>
      </c>
      <c r="E41" s="2" t="inlineStr">
        <is>
          <t>Associate Professor of Mechanical Engineering</t>
        </is>
      </c>
      <c r="F41" s="2" t="inlineStr">
        <is>
          <t>Mechanical Engineering</t>
        </is>
      </c>
      <c r="G41" s="2" t="inlineStr"/>
      <c r="H41" s="3">
        <f>HYPERLINK("mailto:dwarsing@purdue.edu", "dwarsing@purdue.edu")</f>
        <v/>
      </c>
      <c r="I41" s="2" t="n">
        <v>2</v>
      </c>
      <c r="J41" s="2" t="inlineStr">
        <is>
          <t>🟡 Tier 2: Thermal / Heat Transfer / Energy</t>
        </is>
      </c>
      <c r="K41" s="2" t="n">
        <v>3</v>
      </c>
      <c r="L41" s="2" t="inlineStr">
        <is>
          <t>fluid mechanics, fluids, thermodynamics</t>
        </is>
      </c>
      <c r="M41" s="2" t="inlineStr"/>
      <c r="N41" s="2" t="inlineStr"/>
      <c r="O41" s="2" t="inlineStr"/>
      <c r="P41" s="2" t="inlineStr"/>
      <c r="Q41" s="2" t="inlineStr"/>
      <c r="R41" s="2" t="inlineStr"/>
      <c r="S41" s="2" t="inlineStr"/>
      <c r="T41" s="2" t="inlineStr"/>
      <c r="U41" s="2" t="inlineStr">
        <is>
          <t>Outstanding Mechanical Engineers Distinguished Engineering Alumni Honorary Doctorates Staff Awards Student Awards Distinguished...</t>
        </is>
      </c>
      <c r="V41" s="2" t="inlineStr"/>
      <c r="W41" s="2" t="inlineStr"/>
      <c r="X41" s="2" t="inlineStr"/>
      <c r="Y41" s="2" t="inlineStr">
        <is>
          <t>Desalination &amp; Water Treatment Water-Food-Energy Nexus Thermofluids Nanotechnology Membrane Science</t>
        </is>
      </c>
      <c r="Z41" s="2" t="inlineStr">
        <is>
          <t>Thermodynamics Fluid Mechanics Heat &amp; Mass Transfer</t>
        </is>
      </c>
      <c r="AA41" s="2" t="inlineStr">
        <is>
          <t>Thermodynamics Fluid Mechanics Heat &amp; Mass Transfer</t>
        </is>
      </c>
      <c r="AB41" s="2" t="inlineStr">
        <is>
          <t>Ph.D., Massachusetts Institute of Technology M.Eng., Cornell University B.S., Cornell University</t>
        </is>
      </c>
      <c r="AC41" s="2" t="inlineStr">
        <is>
          <t>Research Website</t>
        </is>
      </c>
      <c r="AD41" s="3">
        <f>HYPERLINK("http://www.warsinger.com", "http://www.warsinger.com")</f>
        <v/>
      </c>
      <c r="AE41" s="2" t="inlineStr">
        <is>
          <t>PostDoc and PhD Positions available on vapor selective membranes and reverse osmosis technologies. | Type of Undergraduate work: A wide variety of experience is possible, including apparatus building and testing, machining, running experiments, controls work, technical writing, patents, academic diagrams, data analysis, and mathematical modelling. New positions include all areas mentioned on the research page.</t>
        </is>
      </c>
      <c r="AF41" s="2" t="inlineStr"/>
      <c r="AG41" s="2" t="inlineStr">
        <is>
          <t>Gas Turbine, SEM</t>
        </is>
      </c>
      <c r="AH41" s="2" t="inlineStr">
        <is>
          <t>DOE, NSF</t>
        </is>
      </c>
      <c r="AI41" s="3">
        <f>HYPERLINK("https://github.com/arao53/awh-limits/blob/main/lego_maps/warsinger_lego_maps.ipynb", "https://github.com/arao53/awh-limits/blob/main/lego_maps/warsinger_lego_maps.ipynb")</f>
        <v/>
      </c>
      <c r="AJ41" s="2" t="inlineStr"/>
      <c r="AK41" s="2" t="inlineStr"/>
      <c r="AL41" s="2" t="b">
        <v>1</v>
      </c>
      <c r="AM41" s="3">
        <f>HYPERLINK("https://engineering.purdue.edu/ME/People/ptFaculty", "https://engineering.purdue.edu/ME/People/ptFaculty")</f>
        <v/>
      </c>
    </row>
    <row r="42">
      <c r="A42" s="2" t="inlineStr">
        <is>
          <t>Jingang Li</t>
        </is>
      </c>
      <c r="B42" s="2" t="inlineStr">
        <is>
          <t>Purdue University</t>
        </is>
      </c>
      <c r="C42" s="3">
        <f>HYPERLINK("https://engineering.purdue.edu/ME/People/ptProfile?resource_id=318598", "https://engineering.purdue.edu/ME/People/ptProfile?resource_id=318598")</f>
        <v/>
      </c>
      <c r="D42" s="3">
        <f>HYPERLINK("https://scholar.google.com/citations?user=SxOdEgEAAAAJ&amp;hl=en&amp;oi=ao", "Scholar (SxOdEgEAAAAJ)")</f>
        <v/>
      </c>
      <c r="E42" s="2" t="inlineStr">
        <is>
          <t>Assistant Professor of Mechanical Engineering and Materials Engineering</t>
        </is>
      </c>
      <c r="F42" s="2" t="inlineStr">
        <is>
          <t>Mechanical Engineering</t>
        </is>
      </c>
      <c r="G42" s="2" t="inlineStr">
        <is>
          <t>SxOdEgEAAAAJ</t>
        </is>
      </c>
      <c r="H42" s="3">
        <f>HYPERLINK("mailto:jingang@purdue.edu", "jingang@purdue.edu")</f>
        <v/>
      </c>
      <c r="I42" s="2" t="n">
        <v>2</v>
      </c>
      <c r="J42" s="2" t="inlineStr">
        <is>
          <t>🟡 Tier 2: Thermal / Heat Transfer / Energy</t>
        </is>
      </c>
      <c r="K42" s="2" t="n">
        <v>3</v>
      </c>
      <c r="L42" s="2" t="inlineStr">
        <is>
          <t>materials, thermal, thermodynamics</t>
        </is>
      </c>
      <c r="M42" s="2" t="inlineStr"/>
      <c r="N42" s="2" t="inlineStr"/>
      <c r="O42" s="2" t="inlineStr"/>
      <c r="P42" s="2" t="inlineStr"/>
      <c r="Q42" s="2" t="inlineStr"/>
      <c r="R42" s="2" t="inlineStr"/>
      <c r="S42" s="2" t="inlineStr"/>
      <c r="T42" s="2" t="inlineStr"/>
      <c r="U42" s="2" t="inlineStr">
        <is>
          <t>Outstanding Mechanical Engineers Distinguished Engineering Alumni Honorary Doctorates Staff Awards Student Awards Distinguished...</t>
        </is>
      </c>
      <c r="V42" s="2" t="inlineStr"/>
      <c r="W42" s="2" t="inlineStr"/>
      <c r="X42" s="2" t="inlineStr"/>
      <c r="Y42" s="2" t="inlineStr">
        <is>
          <t>Optical tweezers and optical manipulation Nanophotonics Photothermal conversion and applications Optical and optoelectronic materials Nanoscale energy transfer Laser processing and diagnosis</t>
        </is>
      </c>
      <c r="Z42" s="2" t="inlineStr">
        <is>
          <t>Thermodynamics Heat &amp; Mass Transfer</t>
        </is>
      </c>
      <c r="AA42" s="2" t="inlineStr">
        <is>
          <t>Thermodynamics Heat &amp; Mass Transfer</t>
        </is>
      </c>
      <c r="AB42" s="2" t="inlineStr">
        <is>
          <t>Postdoctoral Fellow, University of California, Berkeley, 2025 Ph.D., The University of Texas at Austin, 2021 B.S., University of Science and Technology of China, 2017</t>
        </is>
      </c>
      <c r="AC42" s="2" t="inlineStr">
        <is>
          <t>Lab Website</t>
        </is>
      </c>
      <c r="AD42" s="3">
        <f>HYPERLINK("https://www.jingangli.org", "https://www.jingangli.org")</f>
        <v/>
      </c>
      <c r="AE42" s="2" t="inlineStr">
        <is>
          <t>More Home Members Research Publications Open Positions News Contact</t>
        </is>
      </c>
      <c r="AF42" s="2" t="inlineStr"/>
      <c r="AG42" s="2" t="inlineStr"/>
      <c r="AH42" s="2" t="inlineStr"/>
      <c r="AI42" s="2" t="inlineStr"/>
      <c r="AJ42" s="2" t="inlineStr"/>
      <c r="AK42" s="2" t="inlineStr"/>
      <c r="AL42" s="2" t="b">
        <v>1</v>
      </c>
      <c r="AM42" s="3">
        <f>HYPERLINK("https://engineering.purdue.edu/ME/People/ptFaculty", "https://engineering.purdue.edu/ME/People/ptFaculty")</f>
        <v/>
      </c>
    </row>
    <row r="43">
      <c r="A43" s="2" t="inlineStr">
        <is>
          <t>Davide Ziviani</t>
        </is>
      </c>
      <c r="B43" s="2" t="inlineStr">
        <is>
          <t>Purdue University</t>
        </is>
      </c>
      <c r="C43" s="3">
        <f>HYPERLINK("https://engineering.purdue.edu/ME/People/ptProfile?resource_id=164622", "https://engineering.purdue.edu/ME/People/ptProfile?resource_id=164622")</f>
        <v/>
      </c>
      <c r="D43" s="3">
        <f>HYPERLINK("https://scholar.google.com/citations?view_op=search_authors&amp;mauthors=Davide%20Ziviani%20Purdue%20University", "Google Scholar Search")</f>
        <v/>
      </c>
      <c r="E43" s="2" t="inlineStr">
        <is>
          <t>Associate Professor of Mechanical Engineering, Co-Director of the Center for High Performance Buildings</t>
        </is>
      </c>
      <c r="F43" s="2" t="inlineStr">
        <is>
          <t>Mechanical Engineering</t>
        </is>
      </c>
      <c r="G43" s="2" t="inlineStr"/>
      <c r="H43" s="3">
        <f>HYPERLINK("mailto:dziviani@purdue.edu", "dziviani@purdue.edu")</f>
        <v/>
      </c>
      <c r="I43" s="2" t="n">
        <v>2</v>
      </c>
      <c r="J43" s="2" t="inlineStr">
        <is>
          <t>🟡 Tier 2: Thermal / Heat Transfer / Energy</t>
        </is>
      </c>
      <c r="K43" s="2" t="n">
        <v>2</v>
      </c>
      <c r="L43" s="2" t="inlineStr">
        <is>
          <t>thermal, thermodynamics</t>
        </is>
      </c>
      <c r="M43" s="2" t="inlineStr"/>
      <c r="N43" s="2" t="inlineStr"/>
      <c r="O43" s="2" t="inlineStr"/>
      <c r="P43" s="2" t="inlineStr"/>
      <c r="Q43" s="2" t="inlineStr"/>
      <c r="R43" s="2" t="inlineStr"/>
      <c r="S43" s="2" t="inlineStr"/>
      <c r="T43" s="2" t="inlineStr"/>
      <c r="U43" s="2" t="inlineStr">
        <is>
          <t>Outstanding Mechanical Engineers Distinguished Engineering Alumni Honorary Doctorates Staff Awards Student Awards Distinguished...</t>
        </is>
      </c>
      <c r="V43" s="2" t="inlineStr"/>
      <c r="W43" s="2" t="inlineStr"/>
      <c r="X43" s="2" t="inlineStr"/>
      <c r="Y43" s="2" t="inlineStr">
        <is>
          <t>Advanced Heat Pumps and Refrigeration Systems Deep Space Habitats and Systems Thermal Management Systems</t>
        </is>
      </c>
      <c r="Z43" s="2" t="inlineStr">
        <is>
          <t>Thermodynamics</t>
        </is>
      </c>
      <c r="AA43" s="2" t="inlineStr">
        <is>
          <t>Thermodynamics</t>
        </is>
      </c>
      <c r="AB43" s="2" t="inlineStr">
        <is>
          <t>Ph.D. Ghent University (Belgium), '17 M.S. University of Ferrara (Italy), '11 B.S. University of Ferrara (Italy),'08</t>
        </is>
      </c>
      <c r="AC43" s="2" t="inlineStr">
        <is>
          <t>Ziviani Research Group overview</t>
        </is>
      </c>
      <c r="AD43" s="3">
        <f>HYPERLINK("https://engineering.purdue.edu/ME/Images/Ziviani-Research-Group-Overview.pdf", "https://engineering.purdue.edu/ME/Images/Ziviani-Research-Group-Overview.pdf")</f>
        <v/>
      </c>
      <c r="AE43" s="2" t="inlineStr"/>
      <c r="AF43" s="2" t="inlineStr"/>
      <c r="AG43" s="2" t="inlineStr"/>
      <c r="AH43" s="2" t="inlineStr"/>
      <c r="AI43" s="2" t="inlineStr"/>
      <c r="AJ43" s="2" t="inlineStr"/>
      <c r="AK43" s="2" t="inlineStr"/>
      <c r="AL43" s="2" t="b">
        <v>1</v>
      </c>
      <c r="AM43" s="3">
        <f>HYPERLINK("https://engineering.purdue.edu/ME/People/ptFaculty", "https://engineering.purdue.edu/ME/People/ptFaculty")</f>
        <v/>
      </c>
    </row>
    <row r="44">
      <c r="A44" s="2" t="inlineStr">
        <is>
          <t>Davin Piercey</t>
        </is>
      </c>
      <c r="B44" s="2" t="inlineStr">
        <is>
          <t>Purdue University</t>
        </is>
      </c>
      <c r="C44" s="3">
        <f>HYPERLINK("https://engineering.purdue.edu/ME/People/ptProfile?resource_id=184725", "https://engineering.purdue.edu/ME/People/ptProfile?resource_id=184725")</f>
        <v/>
      </c>
      <c r="D44" s="3">
        <f>HYPERLINK("https://scholar.google.com/citations?user=PJ1trVUAAAAJ&amp;hl=en", "Scholar (PJ1trVUAAAAJ)")</f>
        <v/>
      </c>
      <c r="E44" s="2" t="inlineStr">
        <is>
          <t>Associate Professor of Materials Engineering and Mechanical Engineering</t>
        </is>
      </c>
      <c r="F44" s="2" t="inlineStr">
        <is>
          <t>Mechanical Engineering</t>
        </is>
      </c>
      <c r="G44" s="2" t="inlineStr">
        <is>
          <t>PJ1trVUAAAAJ</t>
        </is>
      </c>
      <c r="H44" s="3">
        <f>HYPERLINK("mailto:dpiercey@purdue.edu", "dpiercey@purdue.edu")</f>
        <v/>
      </c>
      <c r="I44" s="2" t="n">
        <v>2</v>
      </c>
      <c r="J44" s="2" t="inlineStr">
        <is>
          <t>🟡 Tier 2: Thermal / Heat Transfer / Energy</t>
        </is>
      </c>
      <c r="K44" s="2" t="n">
        <v>2</v>
      </c>
      <c r="L44" s="2" t="inlineStr">
        <is>
          <t>materials, thermodynamics</t>
        </is>
      </c>
      <c r="M44" s="2" t="inlineStr"/>
      <c r="N44" s="2" t="inlineStr"/>
      <c r="O44" s="2" t="inlineStr"/>
      <c r="P44" s="2" t="inlineStr"/>
      <c r="Q44" s="2" t="inlineStr"/>
      <c r="R44" s="2" t="inlineStr"/>
      <c r="S44" s="2" t="inlineStr"/>
      <c r="T44" s="2" t="inlineStr"/>
      <c r="U44" s="2" t="inlineStr">
        <is>
          <t>Outstanding Mechanical Engineers Distinguished Engineering Alumni Honorary Doctorates Staff Awards Student Awards Distinguished...</t>
        </is>
      </c>
      <c r="V44" s="2" t="inlineStr"/>
      <c r="W44" s="2" t="inlineStr"/>
      <c r="X44" s="2" t="inlineStr"/>
      <c r="Y44" s="2" t="inlineStr">
        <is>
          <t>Synthesis of energetic materials Chemistry of nitrogen-rich compounds Characterization of explosives, propellants, and pyrotechnics Electrochemical synthesis Thermochemistry of energetic material synthesis Reactive and agent defeat materials</t>
        </is>
      </c>
      <c r="Z44" s="2" t="inlineStr">
        <is>
          <t>Thermodynamics</t>
        </is>
      </c>
      <c r="AA44" s="2" t="inlineStr">
        <is>
          <t>Thermodynamics</t>
        </is>
      </c>
      <c r="AB44" s="2" t="inlineStr"/>
      <c r="AC44" s="2" t="inlineStr">
        <is>
          <t>Piercey Research Group</t>
        </is>
      </c>
      <c r="AD44" s="3">
        <f>HYPERLINK("https://www.davinpiercey.com/", "https://www.davinpiercey.com/")</f>
        <v/>
      </c>
      <c r="AE44" s="2" t="inlineStr"/>
      <c r="AF44" s="2" t="inlineStr"/>
      <c r="AG44" s="2" t="inlineStr"/>
      <c r="AH44" s="2" t="inlineStr"/>
      <c r="AI44" s="2" t="inlineStr"/>
      <c r="AJ44" s="2" t="inlineStr"/>
      <c r="AK44" s="2" t="inlineStr">
        <is>
          <t>FLEX 3041D</t>
        </is>
      </c>
      <c r="AL44" s="2" t="b">
        <v>1</v>
      </c>
      <c r="AM44" s="3">
        <f>HYPERLINK("https://engineering.purdue.edu/ME/People/ptFaculty", "https://engineering.purdue.edu/ME/People/ptFaculty")</f>
        <v/>
      </c>
    </row>
    <row r="45">
      <c r="A45" s="2" t="inlineStr">
        <is>
          <t>Eckhard A. Groll</t>
        </is>
      </c>
      <c r="B45" s="2" t="inlineStr">
        <is>
          <t>Purdue University</t>
        </is>
      </c>
      <c r="C45" s="3">
        <f>HYPERLINK("https://engineering.purdue.edu/ME/People/ptProfile?resource_id=11748", "https://engineering.purdue.edu/ME/People/ptProfile?resource_id=11748")</f>
        <v/>
      </c>
      <c r="D45" s="3">
        <f>HYPERLINK("https://scholar.google.com/citations?view_op=search_authors&amp;mauthors=Eckhard%20A.%20Groll%20Purdue%20University", "Google Scholar Search")</f>
        <v/>
      </c>
      <c r="E45" s="2" t="inlineStr">
        <is>
          <t>William E. and Florence E. Perry Head of Mechanical Engineering, and Reilly Distinguished Professor of Mechanical Engineering</t>
        </is>
      </c>
      <c r="F45" s="2" t="inlineStr">
        <is>
          <t>Mechanical Engineering</t>
        </is>
      </c>
      <c r="G45" s="2" t="inlineStr"/>
      <c r="H45" s="3">
        <f>HYPERLINK("mailto:groll@purdue.edu", "groll@purdue.edu")</f>
        <v/>
      </c>
      <c r="I45" s="2" t="n">
        <v>2</v>
      </c>
      <c r="J45" s="2" t="inlineStr">
        <is>
          <t>🟡 Tier 2: Thermal / Heat Transfer / Energy</t>
        </is>
      </c>
      <c r="K45" s="2" t="n">
        <v>2</v>
      </c>
      <c r="L45" s="2" t="inlineStr">
        <is>
          <t>thermal, thermodynamics</t>
        </is>
      </c>
      <c r="M45" s="2" t="inlineStr"/>
      <c r="N45" s="2" t="inlineStr"/>
      <c r="O45" s="2" t="inlineStr"/>
      <c r="P45" s="2" t="inlineStr"/>
      <c r="Q45" s="2" t="inlineStr"/>
      <c r="R45" s="2" t="inlineStr"/>
      <c r="S45" s="2" t="inlineStr"/>
      <c r="T45" s="2" t="inlineStr"/>
      <c r="U45" s="2" t="inlineStr">
        <is>
          <t>Outstanding Mechanical Engineers Distinguished Engineering Alumni Honorary Doctorates Staff Awards Student Awards Distinguished...</t>
        </is>
      </c>
      <c r="V45" s="2" t="inlineStr"/>
      <c r="W45" s="2" t="inlineStr"/>
      <c r="X45" s="2" t="inlineStr"/>
      <c r="Y45" s="2" t="inlineStr">
        <is>
          <t>Thermal sciences as applied to HVAC&amp;R systems and equipment</t>
        </is>
      </c>
      <c r="Z45" s="2" t="inlineStr">
        <is>
          <t>Thermodynamics</t>
        </is>
      </c>
      <c r="AA45" s="2" t="inlineStr">
        <is>
          <t>Thermodynamics</t>
        </is>
      </c>
      <c r="AB45" s="2" t="inlineStr">
        <is>
          <t>02/94   "Doktor-Ingenieur" (Doctor of Engineering) in Mechanical Engineering, University of Hannover, Hannover, Germany 11/89   "Diplom-Ingenieur" (Diploma of Engineering) in Mechanical Engineering, Ruhr-University of Bochum, Bochum, Germany 10/86   "Diplom-Vorprüfung" (Pre-Diploma of Engineering) in Mechanical Engineering, Ruhr-University of Bochum, Bochum, Germany</t>
        </is>
      </c>
      <c r="AC45" s="2" t="inlineStr">
        <is>
          <t>Center for High Performance Buildings</t>
        </is>
      </c>
      <c r="AD45" s="3">
        <f>HYPERLINK("https://engineering.purdue.edu/CHPB", "https://engineering.purdue.edu/CHPB")</f>
        <v/>
      </c>
      <c r="AE45" s="2" t="inlineStr"/>
      <c r="AF45" s="2" t="inlineStr"/>
      <c r="AG45" s="2" t="inlineStr"/>
      <c r="AH45" s="2" t="inlineStr"/>
      <c r="AI45" s="2" t="inlineStr"/>
      <c r="AJ45" s="2" t="inlineStr"/>
      <c r="AK45" s="2" t="inlineStr">
        <is>
          <t>ME 2007A</t>
        </is>
      </c>
      <c r="AL45" s="2" t="b">
        <v>1</v>
      </c>
      <c r="AM45" s="3">
        <f>HYPERLINK("https://engineering.purdue.edu/ME/People/ptFaculty", "https://engineering.purdue.edu/ME/People/ptFaculty")</f>
        <v/>
      </c>
    </row>
    <row r="46">
      <c r="A46" s="2" t="inlineStr">
        <is>
          <t>Jie Cai</t>
        </is>
      </c>
      <c r="B46" s="2" t="inlineStr">
        <is>
          <t>Purdue University</t>
        </is>
      </c>
      <c r="C46" s="3">
        <f>HYPERLINK("https://engineering.purdue.edu/ME/People/ptProfile?resource_id=71762", "https://engineering.purdue.edu/ME/People/ptProfile?resource_id=71762")</f>
        <v/>
      </c>
      <c r="D46" s="3">
        <f>HYPERLINK("https://scholar.google.com/citations?view_op=search_authors&amp;mauthors=Jie%20Cai%20Purdue%20University", "Google Scholar Search")</f>
        <v/>
      </c>
      <c r="E46" s="2" t="inlineStr">
        <is>
          <t>Associate Professor of Mechanical Engineering</t>
        </is>
      </c>
      <c r="F46" s="2" t="inlineStr">
        <is>
          <t>Mechanical Engineering</t>
        </is>
      </c>
      <c r="G46" s="2" t="inlineStr"/>
      <c r="H46" s="3">
        <f>HYPERLINK("mailto:cai40@purdue.edu", "cai40@purdue.edu")</f>
        <v/>
      </c>
      <c r="I46" s="2" t="n">
        <v>2</v>
      </c>
      <c r="J46" s="2" t="inlineStr">
        <is>
          <t>🟡 Tier 2: Thermal / Heat Transfer / Energy</t>
        </is>
      </c>
      <c r="K46" s="2" t="n">
        <v>2</v>
      </c>
      <c r="L46" s="2" t="inlineStr">
        <is>
          <t>energy systems, thermal</t>
        </is>
      </c>
      <c r="M46" s="2" t="inlineStr"/>
      <c r="N46" s="2" t="inlineStr"/>
      <c r="O46" s="2" t="inlineStr"/>
      <c r="P46" s="2" t="inlineStr"/>
      <c r="Q46" s="2" t="inlineStr"/>
      <c r="R46" s="2" t="inlineStr"/>
      <c r="S46" s="2" t="inlineStr"/>
      <c r="T46" s="2" t="inlineStr"/>
      <c r="U46" s="2" t="inlineStr">
        <is>
          <t>Outstanding Mechanical Engineers Distinguished Engineering Alumni Honorary Doctorates Staff Awards Student Awards Distinguished...</t>
        </is>
      </c>
      <c r="V46" s="2" t="inlineStr"/>
      <c r="W46" s="2" t="inlineStr"/>
      <c r="X46" s="2" t="inlineStr"/>
      <c r="Y46" s="2" t="inlineStr">
        <is>
          <t>Grid-Interactive Building Controls Modeling and Control of Thermal/Energy Systems HVAC and Smart Buildings Data-Driven Modeling Intelligent Control Systems</t>
        </is>
      </c>
      <c r="Z46" s="2" t="inlineStr"/>
      <c r="AA46" s="2" t="inlineStr">
        <is>
          <t>Grid-Interactive Building Controls Modeling and Control of Thermal/Energy Systems HVAC and Smart Buildings Data-Driven Modeling Intelligent Control Systems</t>
        </is>
      </c>
      <c r="AB46" s="2" t="inlineStr"/>
      <c r="AC46" s="2" t="inlineStr">
        <is>
          <t>Cai Research Group</t>
        </is>
      </c>
      <c r="AD46" s="3">
        <f>HYPERLINK("https://www.purdue.edu/engineering/cairesearchgroup/", "https://www.purdue.edu/engineering/cairesearchgroup/")</f>
        <v/>
      </c>
      <c r="AE46" s="2" t="inlineStr">
        <is>
          <t>Looking for a list of our campus locations and online options?</t>
        </is>
      </c>
      <c r="AF46" s="2" t="inlineStr"/>
      <c r="AG46" s="2" t="inlineStr"/>
      <c r="AH46" s="2" t="inlineStr"/>
      <c r="AI46" s="2" t="inlineStr"/>
      <c r="AJ46" s="2" t="inlineStr"/>
      <c r="AK46" s="2" t="inlineStr"/>
      <c r="AL46" s="2" t="b">
        <v>1</v>
      </c>
      <c r="AM46" s="3">
        <f>HYPERLINK("https://engineering.purdue.edu/ME/People/ptFaculty", "https://engineering.purdue.edu/ME/People/ptFaculty")</f>
        <v/>
      </c>
    </row>
    <row r="47">
      <c r="A47" s="2" t="inlineStr">
        <is>
          <t>Li Zhan</t>
        </is>
      </c>
      <c r="B47" s="2" t="inlineStr">
        <is>
          <t>Purdue University</t>
        </is>
      </c>
      <c r="C47" s="3">
        <f>HYPERLINK("https://engineering.purdue.edu/ME/People/ptProfile?resource_id=307226", "https://engineering.purdue.edu/ME/People/ptProfile?resource_id=307226")</f>
        <v/>
      </c>
      <c r="D47" s="3">
        <f>HYPERLINK("https://scholar.google.com/citations?hl=en&amp;tzom=240&amp;user=KojhX0gAAAAJ&amp;view_op=list_works&amp;sortby=pubdate&amp;inst=5549692440350501774", "Scholar (KojhX0gAAAAJ)")</f>
        <v/>
      </c>
      <c r="E47" s="2" t="inlineStr">
        <is>
          <t>Assistant Professor of Mechanical Engineering and Biomedical Engineering</t>
        </is>
      </c>
      <c r="F47" s="2" t="inlineStr">
        <is>
          <t>Mechanical Engineering</t>
        </is>
      </c>
      <c r="G47" s="2" t="inlineStr">
        <is>
          <t>KojhX0gAAAAJ</t>
        </is>
      </c>
      <c r="H47" s="3">
        <f>HYPERLINK("mailto:lizhan@purdue.edu", "lizhan@purdue.edu")</f>
        <v/>
      </c>
      <c r="I47" s="2" t="n">
        <v>2</v>
      </c>
      <c r="J47" s="2" t="inlineStr">
        <is>
          <t>🟡 Tier 2: Thermal / Heat Transfer / Energy</t>
        </is>
      </c>
      <c r="K47" s="2" t="n">
        <v>2</v>
      </c>
      <c r="L47" s="2" t="inlineStr">
        <is>
          <t>microfluidics, thermodynamics</t>
        </is>
      </c>
      <c r="M47" s="2" t="inlineStr"/>
      <c r="N47" s="2" t="inlineStr"/>
      <c r="O47" s="2" t="inlineStr"/>
      <c r="P47" s="2" t="inlineStr"/>
      <c r="Q47" s="2" t="inlineStr"/>
      <c r="R47" s="2" t="inlineStr"/>
      <c r="S47" s="2" t="inlineStr"/>
      <c r="T47" s="2" t="inlineStr"/>
      <c r="U47" s="2" t="inlineStr">
        <is>
          <t>Outstanding Mechanical Engineers Distinguished Engineering Alumni Honorary Doctorates Staff Awards Student Awards Distinguished...</t>
        </is>
      </c>
      <c r="V47" s="2" t="inlineStr"/>
      <c r="W47" s="2" t="inlineStr"/>
      <c r="X47" s="2" t="inlineStr"/>
      <c r="Y47" s="2" t="inlineStr">
        <is>
          <t>Biomanufacturing and biopreservation Microfluidics Biotransport Micro/nano biomedical devices Diagnostics</t>
        </is>
      </c>
      <c r="Z47" s="2" t="inlineStr">
        <is>
          <t>Thermodynamics Heat &amp; Mass Transfer</t>
        </is>
      </c>
      <c r="AA47" s="2" t="inlineStr">
        <is>
          <t>Thermodynamics Heat &amp; Mass Transfer</t>
        </is>
      </c>
      <c r="AB47" s="2" t="inlineStr">
        <is>
          <t>Postdoctoral Fellow, Massachusetts General Hospital and Harvard Medical School, 2024 Ph.D., University of Minnesota, 2020 B.Eng., Xi’an Jiaotong University, 2014</t>
        </is>
      </c>
      <c r="AC47" s="2" t="inlineStr">
        <is>
          <t>Zhan Research Group</t>
        </is>
      </c>
      <c r="AD47" s="3">
        <f>HYPERLINK("https://www.zhanlab.org/", "https://www.zhanlab.org/")</f>
        <v/>
      </c>
      <c r="AE47" s="2" t="inlineStr"/>
      <c r="AF47" s="2" t="inlineStr"/>
      <c r="AG47" s="2" t="inlineStr"/>
      <c r="AH47" s="2" t="inlineStr"/>
      <c r="AI47" s="2" t="inlineStr"/>
      <c r="AJ47" s="2" t="inlineStr"/>
      <c r="AK47" s="2" t="inlineStr">
        <is>
          <t>ME G091</t>
        </is>
      </c>
      <c r="AL47" s="2" t="b">
        <v>1</v>
      </c>
      <c r="AM47" s="3">
        <f>HYPERLINK("https://engineering.purdue.edu/ME/People/ptFaculty", "https://engineering.purdue.edu/ME/People/ptFaculty")</f>
        <v/>
      </c>
    </row>
    <row r="48">
      <c r="A48" s="2" t="inlineStr">
        <is>
          <t>Partha P. Mukherjee</t>
        </is>
      </c>
      <c r="B48" s="2" t="inlineStr">
        <is>
          <t>Purdue University</t>
        </is>
      </c>
      <c r="C48" s="3">
        <f>HYPERLINK("https://engineering.purdue.edu/ME/People/ptProfile?resource_id=173050", "https://engineering.purdue.edu/ME/People/ptProfile?resource_id=173050")</f>
        <v/>
      </c>
      <c r="D48" s="3">
        <f>HYPERLINK("https://scholar.google.com/citations?view_op=search_authors&amp;mauthors=Partha%20P.%20Mukherjee%20Purdue%20University", "Google Scholar Search")</f>
        <v/>
      </c>
      <c r="E48" s="2" t="inlineStr">
        <is>
          <t>Professor of Mechanical Engineering, and Associate Head for Research</t>
        </is>
      </c>
      <c r="F48" s="2" t="inlineStr">
        <is>
          <t>Mechanical Engineering</t>
        </is>
      </c>
      <c r="G48" s="2" t="inlineStr"/>
      <c r="H48" s="3">
        <f>HYPERLINK("mailto:pmukherjee@purdue.edu", "pmukherjee@purdue.edu")</f>
        <v/>
      </c>
      <c r="I48" s="2" t="n">
        <v>2</v>
      </c>
      <c r="J48" s="2" t="inlineStr">
        <is>
          <t>🟡 Tier 2: Thermal / Heat Transfer / Energy</t>
        </is>
      </c>
      <c r="K48" s="2" t="n">
        <v>2</v>
      </c>
      <c r="L48" s="2" t="inlineStr">
        <is>
          <t>materials, thermodynamics</t>
        </is>
      </c>
      <c r="M48" s="2" t="inlineStr"/>
      <c r="N48" s="2" t="inlineStr"/>
      <c r="O48" s="2" t="inlineStr"/>
      <c r="P48" s="2" t="inlineStr"/>
      <c r="Q48" s="2" t="inlineStr"/>
      <c r="R48" s="2" t="inlineStr"/>
      <c r="S48" s="2" t="inlineStr"/>
      <c r="T48" s="2" t="inlineStr"/>
      <c r="U48" s="2" t="inlineStr">
        <is>
          <t>Outstanding Mechanical Engineers Distinguished Engineering Alumni Honorary Doctorates Staff Awards Student Awards Distinguished...</t>
        </is>
      </c>
      <c r="V48" s="2" t="inlineStr">
        <is>
          <t>Our experimental lab is situated at FLEX Labs 2nd Floor. The best way to contact Dr. Mukherjee is via email. | The best way to contact Dr. Mukherjee is via email.</t>
        </is>
      </c>
      <c r="W48" s="2" t="inlineStr"/>
      <c r="X48" s="2" t="inlineStr"/>
      <c r="Y48" s="2" t="inlineStr">
        <is>
          <t>Energy storage and conversion (batteries, fuel cells) Mesoscale physics and stochastics Reactive transport, materials, processing, and microstructure interactions</t>
        </is>
      </c>
      <c r="Z48" s="2" t="inlineStr">
        <is>
          <t>Thermodynamics Heat &amp; Mass Transfer</t>
        </is>
      </c>
      <c r="AA48" s="2" t="inlineStr">
        <is>
          <t>Thermodynamics Heat &amp; Mass Transfer</t>
        </is>
      </c>
      <c r="AB48" s="2" t="inlineStr">
        <is>
          <t>Ph.D., Pennsylvania State University, University Park, USA, ‘07 M.S., Indian Institute of Technology, Kanpur, India, ‘99 B.S., North Bengal University, West Bengal, India, ‘97</t>
        </is>
      </c>
      <c r="AC48" s="2" t="inlineStr">
        <is>
          <t>Energy and Transport Sciences Laboratory (ETSL)</t>
        </is>
      </c>
      <c r="AD48" s="3">
        <f>HYPERLINK("https://engineering.purdue.edu/ETSL/", "https://engineering.purdue.edu/ETSL/")</f>
        <v/>
      </c>
      <c r="AE48" s="2" t="inlineStr"/>
      <c r="AF48" s="2" t="inlineStr"/>
      <c r="AG48" s="2" t="inlineStr"/>
      <c r="AH48" s="2" t="inlineStr"/>
      <c r="AI48" s="2" t="inlineStr"/>
      <c r="AJ48" s="2" t="inlineStr"/>
      <c r="AK48" s="2" t="inlineStr">
        <is>
          <t>FLEX 2101A</t>
        </is>
      </c>
      <c r="AL48" s="2" t="b">
        <v>1</v>
      </c>
      <c r="AM48" s="3">
        <f>HYPERLINK("https://engineering.purdue.edu/ME/People/ptFaculty", "https://engineering.purdue.edu/ME/People/ptFaculty")</f>
        <v/>
      </c>
    </row>
    <row r="49">
      <c r="A49" s="2" t="inlineStr">
        <is>
          <t>Rebecca Ciez</t>
        </is>
      </c>
      <c r="B49" s="2" t="inlineStr">
        <is>
          <t>Purdue University</t>
        </is>
      </c>
      <c r="C49" s="3">
        <f>HYPERLINK("https://engineering.purdue.edu/ME/People/ptProfile?resource_id=241060", "https://engineering.purdue.edu/ME/People/ptProfile?resource_id=241060")</f>
        <v/>
      </c>
      <c r="D49" s="3">
        <f>HYPERLINK("https://scholar.google.com/citations?user=OEzRkQMAAAAJ&amp;hl=en", "Scholar (OEzRkQMAAAAJ)")</f>
        <v/>
      </c>
      <c r="E49" s="2" t="inlineStr">
        <is>
          <t>Assistant Professor of Mechanical Engineering, and Sustainability Engineering &amp; Environmental Engineering</t>
        </is>
      </c>
      <c r="F49" s="2" t="inlineStr">
        <is>
          <t>Mechanical Engineering</t>
        </is>
      </c>
      <c r="G49" s="2" t="inlineStr">
        <is>
          <t>OEzRkQMAAAAJ</t>
        </is>
      </c>
      <c r="H49" s="3">
        <f>HYPERLINK("mailto:rciez@purdue.edu", "rciez@purdue.edu")</f>
        <v/>
      </c>
      <c r="I49" s="2" t="n">
        <v>2</v>
      </c>
      <c r="J49" s="2" t="inlineStr">
        <is>
          <t>🟡 Tier 2: Thermal / Heat Transfer / Energy</t>
        </is>
      </c>
      <c r="K49" s="2" t="n">
        <v>2</v>
      </c>
      <c r="L49" s="2" t="inlineStr">
        <is>
          <t>energy systems, thermodynamics</t>
        </is>
      </c>
      <c r="M49" s="2" t="inlineStr"/>
      <c r="N49" s="2" t="inlineStr"/>
      <c r="O49" s="2" t="inlineStr"/>
      <c r="P49" s="2" t="inlineStr"/>
      <c r="Q49" s="2" t="inlineStr"/>
      <c r="R49" s="2" t="inlineStr"/>
      <c r="S49" s="2" t="inlineStr"/>
      <c r="T49" s="2" t="inlineStr"/>
      <c r="U49" s="2" t="inlineStr">
        <is>
          <t>Outstanding Mechanical Engineers Distinguished Engineering Alumni Honorary Doctorates Staff Awards Student Awards Distinguished...</t>
        </is>
      </c>
      <c r="V49" s="2" t="inlineStr">
        <is>
          <t>I recruit students through both Mechanical Engineering and Sustainability Engineering and Environmental Environmental Engineering . Interested undergraduate students should email me with a copy of their resume, a brief list of related classes, and their research interests. Prospective graduate students should email me with a copy their CV and a brief statement of their research interests, and how their interests connect to my research areas.</t>
        </is>
      </c>
      <c r="W49" s="2" t="inlineStr"/>
      <c r="X49" s="2" t="inlineStr"/>
      <c r="Y49" s="2" t="inlineStr">
        <is>
          <t>Identify interactions and design spaces at the intersection of energy technologies, economics, and decision-making process to minimize the cost of transitioning to new, decarbonized energy systems</t>
        </is>
      </c>
      <c r="Z49" s="2" t="inlineStr">
        <is>
          <t>Thermodynamics</t>
        </is>
      </c>
      <c r="AA49" s="2" t="inlineStr">
        <is>
          <t>Thermodynamics</t>
        </is>
      </c>
      <c r="AB49" s="2" t="inlineStr">
        <is>
          <t>Ph.D., Engineering and Public Policy, Carnegie Mellon University, 2018 B.S., Mechanical Engineering, Columbia University, 2013</t>
        </is>
      </c>
      <c r="AC49" s="2" t="inlineStr">
        <is>
          <t>Personal Website</t>
        </is>
      </c>
      <c r="AD49" s="3">
        <f>HYPERLINK("https://rciez2125.github.io/", "https://rciez2125.github.io/")</f>
        <v/>
      </c>
      <c r="AE49" s="2" t="inlineStr"/>
      <c r="AF49" s="2" t="inlineStr"/>
      <c r="AG49" s="2" t="inlineStr"/>
      <c r="AH49" s="2" t="inlineStr"/>
      <c r="AI49" s="2" t="inlineStr"/>
      <c r="AJ49" s="2" t="inlineStr"/>
      <c r="AK49" s="2" t="inlineStr"/>
      <c r="AL49" s="2" t="b">
        <v>1</v>
      </c>
      <c r="AM49" s="3">
        <f>HYPERLINK("https://engineering.purdue.edu/ME/People/ptFaculty", "https://engineering.purdue.edu/ME/People/ptFaculty")</f>
        <v/>
      </c>
    </row>
    <row r="50">
      <c r="A50" s="2" t="inlineStr">
        <is>
          <t>Justin A. Weibel</t>
        </is>
      </c>
      <c r="B50" s="2" t="inlineStr">
        <is>
          <t>Purdue University</t>
        </is>
      </c>
      <c r="C50" s="3">
        <f>HYPERLINK("https://engineering.purdue.edu/ME/People/ptProfile?resource_id=78578", "https://engineering.purdue.edu/ME/People/ptProfile?resource_id=78578")</f>
        <v/>
      </c>
      <c r="D50" s="3">
        <f>HYPERLINK("https://scholar.google.com/citations?view_op=search_authors&amp;mauthors=Justin%20A.%20Weibel%20Purdue%20University", "Google Scholar Search")</f>
        <v/>
      </c>
      <c r="E50" s="2" t="inlineStr">
        <is>
          <t>Professor of Mechanical Engineering</t>
        </is>
      </c>
      <c r="F50" s="2" t="inlineStr">
        <is>
          <t>Mechanical Engineering</t>
        </is>
      </c>
      <c r="G50" s="2" t="inlineStr"/>
      <c r="H50" s="3">
        <f>HYPERLINK("mailto:jaweibel@purdue.edu", "jaweibel@purdue.edu")</f>
        <v/>
      </c>
      <c r="I50" s="2" t="n">
        <v>2</v>
      </c>
      <c r="J50" s="2" t="inlineStr">
        <is>
          <t>🟡 Tier 2: Thermal / Heat Transfer / Energy</t>
        </is>
      </c>
      <c r="K50" s="2" t="n">
        <v>1</v>
      </c>
      <c r="L50" s="2" t="inlineStr">
        <is>
          <t>thermal</t>
        </is>
      </c>
      <c r="M50" s="2" t="inlineStr"/>
      <c r="N50" s="2" t="inlineStr"/>
      <c r="O50" s="2" t="inlineStr"/>
      <c r="P50" s="2" t="inlineStr"/>
      <c r="Q50" s="2" t="inlineStr"/>
      <c r="R50" s="2" t="inlineStr"/>
      <c r="S50" s="2" t="inlineStr"/>
      <c r="T50" s="2" t="inlineStr"/>
      <c r="U50" s="2" t="inlineStr">
        <is>
          <t>Outstanding Mechanical Engineers Distinguished Engineering Alumni Honorary Doctorates Staff Awards Student Awards Distinguished...</t>
        </is>
      </c>
      <c r="V50" s="2" t="inlineStr"/>
      <c r="W50" s="2" t="inlineStr"/>
      <c r="X50" s="2" t="inlineStr"/>
      <c r="Y50" s="2" t="inlineStr">
        <is>
          <t>Advanced electronics cooling and packaging technologies Phase-change transport phenomena Additive manufacturing of thermal management components Topological optimization and machine-learning-based design Thermal systems analysis for electrification and energy efficiency Microscale and nanoscale surface engineering for enhanced thermal transport</t>
        </is>
      </c>
      <c r="Z50" s="2" t="inlineStr">
        <is>
          <t>Heat &amp; Mass Transfer</t>
        </is>
      </c>
      <c r="AA50" s="2" t="inlineStr">
        <is>
          <t>Heat &amp; Mass Transfer</t>
        </is>
      </c>
      <c r="AB50" s="2" t="inlineStr"/>
      <c r="AC50" s="2" t="inlineStr">
        <is>
          <t>Cooling Technologies Research Center</t>
        </is>
      </c>
      <c r="AD50" s="3">
        <f>HYPERLINK("https://engineering.purdue.edu/CTRC/", "https://engineering.purdue.edu/CTRC/")</f>
        <v/>
      </c>
      <c r="AE50" s="2" t="inlineStr"/>
      <c r="AF50" s="2" t="inlineStr"/>
      <c r="AG50" s="2" t="inlineStr"/>
      <c r="AH50" s="2" t="inlineStr"/>
      <c r="AI50" s="2" t="inlineStr"/>
      <c r="AJ50" s="2" t="inlineStr"/>
      <c r="AK50" s="2" t="inlineStr">
        <is>
          <t>ME 3174</t>
        </is>
      </c>
      <c r="AL50" s="2" t="b">
        <v>1</v>
      </c>
      <c r="AM50" s="3">
        <f>HYPERLINK("https://engineering.purdue.edu/ME/People/ptFaculty", "https://engineering.purdue.edu/ME/People/ptFaculty")</f>
        <v/>
      </c>
    </row>
    <row r="51">
      <c r="A51" s="2" t="inlineStr">
        <is>
          <t>Kevin Kircher</t>
        </is>
      </c>
      <c r="B51" s="2" t="inlineStr">
        <is>
          <t>Purdue University</t>
        </is>
      </c>
      <c r="C51" s="3">
        <f>HYPERLINK("https://engineering.purdue.edu/ME/People/ptProfile?resource_id=273136", "https://engineering.purdue.edu/ME/People/ptProfile?resource_id=273136")</f>
        <v/>
      </c>
      <c r="D51" s="3">
        <f>HYPERLINK("https://scholar.google.com/citations?view_op=search_authors&amp;mauthors=Kevin%20Kircher%20Purdue%20University", "Google Scholar Search")</f>
        <v/>
      </c>
      <c r="E51" s="2" t="inlineStr">
        <is>
          <t>Assistant Professor of Mechanical Engineering</t>
        </is>
      </c>
      <c r="F51" s="2" t="inlineStr">
        <is>
          <t>Mechanical Engineering</t>
        </is>
      </c>
      <c r="G51" s="2" t="inlineStr"/>
      <c r="H51" s="3">
        <f>HYPERLINK("mailto:kircher@purdue.edu", "kircher@purdue.edu")</f>
        <v/>
      </c>
      <c r="I51" s="2" t="n">
        <v>2</v>
      </c>
      <c r="J51" s="2" t="inlineStr">
        <is>
          <t>🟡 Tier 2: Thermal / Heat Transfer / Energy</t>
        </is>
      </c>
      <c r="K51" s="2" t="n">
        <v>1</v>
      </c>
      <c r="L51" s="2" t="inlineStr">
        <is>
          <t>thermodynamics</t>
        </is>
      </c>
      <c r="M51" s="2" t="inlineStr"/>
      <c r="N51" s="2" t="inlineStr"/>
      <c r="O51" s="2" t="inlineStr"/>
      <c r="P51" s="2" t="inlineStr"/>
      <c r="Q51" s="2" t="inlineStr"/>
      <c r="R51" s="2" t="inlineStr"/>
      <c r="S51" s="2" t="inlineStr"/>
      <c r="T51" s="2" t="inlineStr"/>
      <c r="U51" s="2" t="inlineStr">
        <is>
          <t>Outstanding Mechanical Engineers Distinguished Engineering Alumni Honorary Doctorates Staff Awards Student Awards Distinguished...</t>
        </is>
      </c>
      <c r="V51" s="2" t="inlineStr"/>
      <c r="W51" s="2" t="inlineStr"/>
      <c r="X51" s="2" t="inlineStr"/>
      <c r="Y51" s="2" t="inlineStr">
        <is>
          <t>Building electrification, flexibility, and efficiency Integrating flexible loads, energy storage, and distributed solar into power grids Optimization and control under uncertainty Energy policy</t>
        </is>
      </c>
      <c r="Z51" s="2" t="inlineStr">
        <is>
          <t>Thermodynamics Systems, Measurements &amp; Controls</t>
        </is>
      </c>
      <c r="AA51" s="2" t="inlineStr">
        <is>
          <t>Thermodynamics Systems, Measurements &amp; Controls</t>
        </is>
      </c>
      <c r="AB51" s="2" t="inlineStr">
        <is>
          <t>PhD, Mechanical Engineering, Cornell University '19</t>
        </is>
      </c>
      <c r="AC51" s="2" t="inlineStr">
        <is>
          <t>Kircher Research Group</t>
        </is>
      </c>
      <c r="AD51" s="3">
        <f>HYPERLINK("https://kevinjkircher.com/", "https://kevinjkircher.com/")</f>
        <v/>
      </c>
      <c r="AE51" s="2" t="inlineStr"/>
      <c r="AF51" s="2" t="inlineStr"/>
      <c r="AG51" s="2" t="inlineStr"/>
      <c r="AH51" s="2" t="inlineStr"/>
      <c r="AI51" s="2" t="inlineStr"/>
      <c r="AJ51" s="2" t="inlineStr"/>
      <c r="AK51" s="2" t="inlineStr"/>
      <c r="AL51" s="2" t="b">
        <v>1</v>
      </c>
      <c r="AM51" s="3">
        <f>HYPERLINK("https://engineering.purdue.edu/ME/People/ptFaculty", "https://engineering.purdue.edu/ME/People/ptFaculty")</f>
        <v/>
      </c>
    </row>
    <row r="52">
      <c r="A52" s="2" t="inlineStr">
        <is>
          <t>Ashwin Ramachandran</t>
        </is>
      </c>
      <c r="B52" s="2" t="inlineStr">
        <is>
          <t>Purdue University</t>
        </is>
      </c>
      <c r="C52" s="3">
        <f>HYPERLINK("https://engineering.purdue.edu/ME/People/ptProfile?resource_id=311453", "https://engineering.purdue.edu/ME/People/ptProfile?resource_id=311453")</f>
        <v/>
      </c>
      <c r="D52" s="3">
        <f>HYPERLINK("https://scholar.google.com/citations?user=Kgo25P0AAAAJ&amp;hl=en", "Scholar (Kgo25P0AAAAJ)")</f>
        <v/>
      </c>
      <c r="E52" s="2" t="inlineStr">
        <is>
          <t>Assistant Professor of Mechanical Engineering</t>
        </is>
      </c>
      <c r="F52" s="2" t="inlineStr">
        <is>
          <t>Mechanical Engineering</t>
        </is>
      </c>
      <c r="G52" s="2" t="inlineStr">
        <is>
          <t>Kgo25P0AAAAJ</t>
        </is>
      </c>
      <c r="H52" s="3">
        <f>HYPERLINK("mailto:ashwinrc@purdue.edu", "ashwinrc@purdue.edu")</f>
        <v/>
      </c>
      <c r="I52" s="2" t="n">
        <v>3</v>
      </c>
      <c r="J52" s="2" t="inlineStr">
        <is>
          <t>🟠 Tier 3: Structures / Materials / Manufacturing</t>
        </is>
      </c>
      <c r="K52" s="2" t="n">
        <v>4</v>
      </c>
      <c r="L52" s="2" t="inlineStr">
        <is>
          <t>aerospace, fluid mechanics, hydrodynamics, solid mechanics</t>
        </is>
      </c>
      <c r="M52" s="2" t="inlineStr"/>
      <c r="N52" s="2" t="inlineStr"/>
      <c r="O52" s="2" t="inlineStr"/>
      <c r="P52" s="2" t="inlineStr"/>
      <c r="Q52" s="2" t="inlineStr"/>
      <c r="R52" s="2" t="inlineStr"/>
      <c r="S52" s="2" t="inlineStr"/>
      <c r="T52" s="2" t="inlineStr"/>
      <c r="U52" s="2" t="inlineStr">
        <is>
          <t>Outstanding Mechanical Engineers Distinguished Engineering Alumni Honorary Doctorates Staff Awards Student Awards Distinguished...</t>
        </is>
      </c>
      <c r="V52" s="2" t="inlineStr">
        <is>
          <t>Email to discuss opportunities and timing a few months ahead. Include a note on your background and future plans, a CV with publications, and 2–3 references. Fellowships are welcome.</t>
        </is>
      </c>
      <c r="W52" s="2" t="inlineStr"/>
      <c r="X52" s="2" t="inlineStr"/>
      <c r="Y52" s="2" t="inlineStr">
        <is>
          <t>Mechanobiology and biomechanics Diagnostics Bacterial biophysics Micro/nano fluidics and transport Biotechnology development Physicochemical hydrodynamics Measurement tools Biomedical devices and wearables</t>
        </is>
      </c>
      <c r="Z52" s="2" t="inlineStr">
        <is>
          <t>Dynamics &amp; Vibration Design &amp; Manufacturing Fluid Mechanics Heat &amp; Mass Transfer Systems, Measurements &amp; Controls Solid Mechanics</t>
        </is>
      </c>
      <c r="AA52" s="2" t="inlineStr">
        <is>
          <t>Dynamics &amp; Vibration Design &amp; Manufacturing Fluid Mechanics Heat &amp; Mass Transfer Systems, Measurements &amp; Controls Solid Mechanics</t>
        </is>
      </c>
      <c r="AB52" s="2" t="inlineStr">
        <is>
          <t>Postdoctoral researcher, Department of Mechanical and Aerospace Engineering, Department of Molecular Biology, Princeton University, 2021-2024 Ph.D. in Aeronautics and Astronautics (minor in Bioengineering), Stanford University, 2021 M.S. in Aeronautics and Astronautics, Stanford University, 2021 B. Tech in Aerospace Engineering (minor in Mathematics and Physics), Indian Institute of Technology Bombay, 2015</t>
        </is>
      </c>
      <c r="AC52" s="2" t="inlineStr">
        <is>
          <t>MicroNano Lab</t>
        </is>
      </c>
      <c r="AD52" s="3">
        <f>HYPERLINK("https://www.micronanolab.org/", "https://www.micronanolab.org/")</f>
        <v/>
      </c>
      <c r="AE52" s="2" t="inlineStr">
        <is>
          <t>Actively recruiting / Openings mentioned on lab site</t>
        </is>
      </c>
      <c r="AF52" s="2" t="inlineStr"/>
      <c r="AG52" s="2" t="inlineStr"/>
      <c r="AH52" s="2" t="inlineStr"/>
      <c r="AI52" s="2" t="inlineStr"/>
      <c r="AJ52" s="2" t="inlineStr"/>
      <c r="AK52" s="2" t="inlineStr">
        <is>
          <t>ME G090</t>
        </is>
      </c>
      <c r="AL52" s="2" t="b">
        <v>1</v>
      </c>
      <c r="AM52" s="3">
        <f>HYPERLINK("https://engineering.purdue.edu/ME/People/ptFaculty", "https://engineering.purdue.edu/ME/People/ptFaculty")</f>
        <v/>
      </c>
    </row>
    <row r="53">
      <c r="A53" s="2" t="inlineStr">
        <is>
          <t>Ganesh Subbarayan</t>
        </is>
      </c>
      <c r="B53" s="2" t="inlineStr">
        <is>
          <t>Purdue University</t>
        </is>
      </c>
      <c r="C53" s="3">
        <f>HYPERLINK("https://engineering.purdue.edu/ME/People/ptProfile?resource_id=11244", "https://engineering.purdue.edu/ME/People/ptProfile?resource_id=11244")</f>
        <v/>
      </c>
      <c r="D53" s="3">
        <f>HYPERLINK("https://scholar.google.com/citations?view_op=search_authors&amp;mauthors=Ganesh%20Subbarayan%20Purdue%20University", "Google Scholar Search")</f>
        <v/>
      </c>
      <c r="E53" s="2" t="inlineStr">
        <is>
          <t>James G. Dwyer Professor of Mechanical Engineering</t>
        </is>
      </c>
      <c r="F53" s="2" t="inlineStr">
        <is>
          <t>Mechanical Engineering</t>
        </is>
      </c>
      <c r="G53" s="2" t="inlineStr"/>
      <c r="H53" s="3">
        <f>HYPERLINK("mailto:ganeshs@purdue.edu", "ganeshs@purdue.edu")</f>
        <v/>
      </c>
      <c r="I53" s="2" t="n">
        <v>3</v>
      </c>
      <c r="J53" s="2" t="inlineStr">
        <is>
          <t>🟠 Tier 3: Structures / Materials / Manufacturing</t>
        </is>
      </c>
      <c r="K53" s="2" t="n">
        <v>4</v>
      </c>
      <c r="L53" s="2" t="inlineStr">
        <is>
          <t>fea, finite element, solid mechanics, thermal</t>
        </is>
      </c>
      <c r="M53" s="2" t="inlineStr"/>
      <c r="N53" s="2" t="inlineStr"/>
      <c r="O53" s="2" t="inlineStr"/>
      <c r="P53" s="2" t="inlineStr"/>
      <c r="Q53" s="2" t="inlineStr"/>
      <c r="R53" s="2" t="inlineStr"/>
      <c r="S53" s="2" t="inlineStr"/>
      <c r="T53" s="2" t="inlineStr"/>
      <c r="U53" s="2" t="inlineStr">
        <is>
          <t>Outstanding Mechanical Engineers Distinguished Engineering Alumni Honorary Doctorates Staff Awards Student Awards Distinguished...</t>
        </is>
      </c>
      <c r="V53" s="2" t="inlineStr">
        <is>
          <t>Phone: +1 (765) 494-3975 Email: future-engineers@purdue.edu | Phone: +1 (765) 494-4873 Email: EngrGrad@purdue.edu</t>
        </is>
      </c>
      <c r="W53" s="2" t="inlineStr"/>
      <c r="X53" s="2" t="inlineStr"/>
      <c r="Y53" s="2" t="inlineStr">
        <is>
          <t>Computational and experimental solid mechanics focused on fatigue, fracture, and multi-physics phase evolution problems Computational techniques including Finite Element Analysis (FEA), Isogeometric Analysis (IGA), geometric modeling, CAD and optimal design Heterogeneous Integration and Advanced Electronics Packaging with a focus on thermomechanical behavior, reliability, and electrical-thermal-mechanical co-design</t>
        </is>
      </c>
      <c r="Z53" s="2" t="inlineStr">
        <is>
          <t>Design &amp; Manufacturing Heat &amp; Mass Transfer Solid Mechanics</t>
        </is>
      </c>
      <c r="AA53" s="2" t="inlineStr">
        <is>
          <t>Design &amp; Manufacturing Heat &amp; Mass Transfer Solid Mechanics</t>
        </is>
      </c>
      <c r="AB53" s="2" t="inlineStr">
        <is>
          <t>B.Tech. Indian Inst. of Tech., '85 M.S. Cornell University, '89 Ph.D. Cornell University, '91</t>
        </is>
      </c>
      <c r="AC53" s="2" t="inlineStr">
        <is>
          <t>Institute for Advanced System Integration and Packaging (ASIP)</t>
        </is>
      </c>
      <c r="AD53" s="3">
        <f>HYPERLINK("https://engineering.purdue.edu/ASIP", "https://engineering.purdue.edu/ASIP")</f>
        <v/>
      </c>
      <c r="AE53" s="2" t="inlineStr">
        <is>
          <t>For You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 |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t>
        </is>
      </c>
      <c r="AF53" s="2" t="inlineStr"/>
      <c r="AG53" s="2" t="inlineStr"/>
      <c r="AH53" s="2" t="inlineStr">
        <is>
          <t>DOE</t>
        </is>
      </c>
      <c r="AI53" s="2" t="inlineStr"/>
      <c r="AJ53" s="2" t="inlineStr"/>
      <c r="AK53" s="2" t="inlineStr">
        <is>
          <t>ME 3172</t>
        </is>
      </c>
      <c r="AL53" s="2" t="b">
        <v>1</v>
      </c>
      <c r="AM53" s="3">
        <f>HYPERLINK("https://engineering.purdue.edu/ME/People/ptFaculty", "https://engineering.purdue.edu/ME/People/ptFaculty")</f>
        <v/>
      </c>
    </row>
    <row r="54">
      <c r="A54" s="2" t="inlineStr">
        <is>
          <t>Kawai Kwok</t>
        </is>
      </c>
      <c r="B54" s="2" t="inlineStr">
        <is>
          <t>Purdue University</t>
        </is>
      </c>
      <c r="C54" s="3">
        <f>HYPERLINK("https://engineering.purdue.edu/AAE/people/ptProfile?resource_id=288720", "https://engineering.purdue.edu/AAE/people/ptProfile?resource_id=288720")</f>
        <v/>
      </c>
      <c r="D54" s="3">
        <f>HYPERLINK("https://scholar.google.com/citations?view_op=search_authors&amp;mauthors=Kawai%20Kwok%20Purdue%20University", "Google Scholar Search")</f>
        <v/>
      </c>
      <c r="E54" s="2" t="inlineStr">
        <is>
          <t>Associate Professor of Aeronautics and Astronautics</t>
        </is>
      </c>
      <c r="F54" s="2" t="inlineStr">
        <is>
          <t>Aeronautics and Astronautics</t>
        </is>
      </c>
      <c r="G54" s="2" t="inlineStr"/>
      <c r="H54" s="3">
        <f>HYPERLINK("mailto:kawaik@purdue.edu", "kawaik@purdue.edu")</f>
        <v/>
      </c>
      <c r="I54" s="2" t="n">
        <v>3</v>
      </c>
      <c r="J54" s="2" t="inlineStr">
        <is>
          <t>🟠 Tier 3: Structures / Materials / Manufacturing</t>
        </is>
      </c>
      <c r="K54" s="2" t="n">
        <v>4</v>
      </c>
      <c r="L54" s="2" t="inlineStr">
        <is>
          <t>aerospace, elasticity, materials, spacecraft</t>
        </is>
      </c>
      <c r="M54" s="2" t="inlineStr"/>
      <c r="N54" s="2" t="inlineStr"/>
      <c r="O54" s="2" t="inlineStr"/>
      <c r="P54" s="2" t="inlineStr"/>
      <c r="Q54" s="2" t="inlineStr"/>
      <c r="R54" s="2" t="inlineStr"/>
      <c r="S54" s="2" t="inlineStr"/>
      <c r="T54" s="2" t="inlineStr"/>
      <c r="U54" s="2" t="inlineStr">
        <is>
          <t>NSF CAREER Award, 2022. ASCE Journal of Aerospace Engineering Outstanding Reviewer, 2016. NASA Robert H. Goddard Exceptional Ac...</t>
        </is>
      </c>
      <c r="V54" s="2" t="inlineStr"/>
      <c r="W54" s="2" t="inlineStr"/>
      <c r="X54" s="2" t="inlineStr"/>
      <c r="Y54" s="2" t="inlineStr"/>
      <c r="Z54" s="2" t="inlineStr">
        <is>
          <t>deployable spacecraft and aircraft concepts; multifunctional composite materials; in-space manufacturing and assembly; high-throughput characterization; structural stability; viscoelasticity Edit var myPronunciation=document.getElementById("pronunciation");
    function play() {
    myPronunciation.play();
    }
    function pause() {
    myPronunciation.pause();
    }</t>
        </is>
      </c>
      <c r="AA54" s="2" t="inlineStr">
        <is>
          <t>deployable spacecraft and aircraft concepts; multifunctional composite materials; in-space manufacturing and assembly; high-throughput characterization; structural stability; viscoelasticity Edit var myPronunciation=document.getElementById("pronunciation");
    function play() {
    myPronunciation.play();
    }
    function pause() {
    myPronunciation.pause();
    }</t>
        </is>
      </c>
      <c r="AB54" s="2" t="inlineStr">
        <is>
          <t>Ph.D. California Institute of Technology, Aerospace Engineering M.S. California Institute of Technology, Aerospace Engineering B.S. Lehigh University, Mechanical Engineering</t>
        </is>
      </c>
      <c r="AC54" s="2" t="inlineStr">
        <is>
          <t>Indiana Space Grant Consortium</t>
        </is>
      </c>
      <c r="AD54" s="3">
        <f>HYPERLINK("https://insgc.spacegrant.org/", "https://insgc.spacegrant.org/")</f>
        <v/>
      </c>
      <c r="AE54" s="2" t="inlineStr">
        <is>
          <t>Academic INSGC Internships</t>
        </is>
      </c>
      <c r="AF54" s="2" t="inlineStr"/>
      <c r="AG54" s="2" t="inlineStr"/>
      <c r="AH54" s="2" t="inlineStr">
        <is>
          <t>NASA</t>
        </is>
      </c>
      <c r="AI54" s="2" t="inlineStr"/>
      <c r="AJ54" s="2" t="inlineStr"/>
      <c r="AK54" s="2" t="inlineStr">
        <is>
          <t>ARMS 3233 and IMI 115</t>
        </is>
      </c>
      <c r="AL54" s="2" t="b">
        <v>1</v>
      </c>
      <c r="AM54" s="3">
        <f>HYPERLINK("https://engineering.purdue.edu/AAE/people/Faculty", "https://engineering.purdue.edu/AAE/people/Faculty")</f>
        <v/>
      </c>
    </row>
    <row r="55">
      <c r="A55" s="2" t="inlineStr">
        <is>
          <t>Kejie Zhao</t>
        </is>
      </c>
      <c r="B55" s="2" t="inlineStr">
        <is>
          <t>Purdue University</t>
        </is>
      </c>
      <c r="C55" s="3">
        <f>HYPERLINK("https://engineering.purdue.edu/ME/People/ptProfile?resource_id=113514", "https://engineering.purdue.edu/ME/People/ptProfile?resource_id=113514")</f>
        <v/>
      </c>
      <c r="D55" s="3">
        <f>HYPERLINK("https://scholar.google.com/citations?user=JXR_AsQAAAAJ&amp;hl=en", "Scholar (JXR_AsQAAAAJ)")</f>
        <v/>
      </c>
      <c r="E55" s="2" t="inlineStr">
        <is>
          <t>Professor of Mechanical Engineering</t>
        </is>
      </c>
      <c r="F55" s="2" t="inlineStr">
        <is>
          <t>Mechanical Engineering</t>
        </is>
      </c>
      <c r="G55" s="2" t="inlineStr">
        <is>
          <t>JXR_AsQAAAAJ</t>
        </is>
      </c>
      <c r="H55" s="3">
        <f>HYPERLINK("mailto:kjzhao@purdue.edu", "kjzhao@purdue.edu")</f>
        <v/>
      </c>
      <c r="I55" s="2" t="n">
        <v>3</v>
      </c>
      <c r="J55" s="2" t="inlineStr">
        <is>
          <t>🟠 Tier 3: Structures / Materials / Manufacturing</t>
        </is>
      </c>
      <c r="K55" s="2" t="n">
        <v>4</v>
      </c>
      <c r="L55" s="2" t="inlineStr">
        <is>
          <t>finite element, materials, plasticity, solid mechanics</t>
        </is>
      </c>
      <c r="M55" s="2" t="inlineStr"/>
      <c r="N55" s="2" t="inlineStr"/>
      <c r="O55" s="2" t="inlineStr"/>
      <c r="P55" s="2" t="inlineStr"/>
      <c r="Q55" s="2" t="inlineStr"/>
      <c r="R55" s="2" t="inlineStr"/>
      <c r="S55" s="2" t="inlineStr"/>
      <c r="T55" s="2" t="inlineStr"/>
      <c r="U55" s="2" t="inlineStr">
        <is>
          <t>Outstanding Mechanical Engineers Distinguished Engineering Alumni Honorary Doctorates Staff Awards Student Awards Distinguished...</t>
        </is>
      </c>
      <c r="V55" s="2" t="inlineStr"/>
      <c r="W55" s="2" t="inlineStr"/>
      <c r="X55" s="2" t="inlineStr"/>
      <c r="Y55" s="2" t="inlineStr">
        <is>
          <t>Deformation, stress, plasticity, fracture Multiscale modeling, first-principles, molecular dynamics simulations, and finite element modeling In-situ experiments Mechanics of redox active materials - Li-ion batteries, Na-ion batteries, all-solid-state batteries Mechanics of polymeric materials - organic electrochromics, superelastic organic semiconductors</t>
        </is>
      </c>
      <c r="Z55" s="2" t="inlineStr">
        <is>
          <t>Dynamics &amp; Vibration Design &amp; Manufacturing Solid Mechanics</t>
        </is>
      </c>
      <c r="AA55" s="2" t="inlineStr">
        <is>
          <t>Dynamics &amp; Vibration Design &amp; Manufacturing Solid Mechanics</t>
        </is>
      </c>
      <c r="AB55" s="2" t="inlineStr">
        <is>
          <t>Ph.D., Harvard Univ., '12 M.Phys., Harvard Univ., '10 M.Eng., Xi'an Jiaotong Univ., '08 B.Eng., Xi'an Jiaotong Univ., '05</t>
        </is>
      </c>
      <c r="AC55" s="2" t="inlineStr">
        <is>
          <t>Zhao Research Group</t>
        </is>
      </c>
      <c r="AD55" s="3">
        <f>HYPERLINK("https://engineering.purdue.edu/kjzhao", "https://engineering.purdue.edu/kjzhao")</f>
        <v/>
      </c>
      <c r="AE55" s="2" t="inlineStr"/>
      <c r="AF55" s="2" t="inlineStr"/>
      <c r="AG55" s="2" t="inlineStr"/>
      <c r="AH55" s="2" t="inlineStr">
        <is>
          <t>DOE, NSF, ONR</t>
        </is>
      </c>
      <c r="AI55" s="2" t="inlineStr"/>
      <c r="AJ55" s="2" t="inlineStr"/>
      <c r="AK55" s="2" t="inlineStr">
        <is>
          <t>ME 3166</t>
        </is>
      </c>
      <c r="AL55" s="2" t="b">
        <v>1</v>
      </c>
      <c r="AM55" s="3">
        <f>HYPERLINK("https://engineering.purdue.edu/ME/People/ptFaculty", "https://engineering.purdue.edu/ME/People/ptFaculty")</f>
        <v/>
      </c>
    </row>
    <row r="56">
      <c r="A56" s="2" t="inlineStr">
        <is>
          <t>Xiulin Ruan</t>
        </is>
      </c>
      <c r="B56" s="2" t="inlineStr">
        <is>
          <t>Purdue University</t>
        </is>
      </c>
      <c r="C56" s="3">
        <f>HYPERLINK("https://engineering.purdue.edu/ME/People/ptProfile?resource_id=29343", "https://engineering.purdue.edu/ME/People/ptProfile?resource_id=29343")</f>
        <v/>
      </c>
      <c r="D56" s="3">
        <f>HYPERLINK("https://scholar.google.com/citations?view_op=search_authors&amp;mauthors=Xiulin%20Ruan%20Purdue%20University", "Google Scholar Search")</f>
        <v/>
      </c>
      <c r="E56" s="2" t="inlineStr">
        <is>
          <t>Professor of Mechanical Engineering</t>
        </is>
      </c>
      <c r="F56" s="2" t="inlineStr">
        <is>
          <t>Mechanical Engineering</t>
        </is>
      </c>
      <c r="G56" s="2" t="inlineStr"/>
      <c r="H56" s="3">
        <f>HYPERLINK("mailto:ruan@purdue.edu", "ruan@purdue.edu")</f>
        <v/>
      </c>
      <c r="I56" s="2" t="n">
        <v>3</v>
      </c>
      <c r="J56" s="2" t="inlineStr">
        <is>
          <t>🟠 Tier 3: Structures / Materials / Manufacturing</t>
        </is>
      </c>
      <c r="K56" s="2" t="n">
        <v>4</v>
      </c>
      <c r="L56" s="2" t="inlineStr">
        <is>
          <t>materials, nanomaterials, thermal, thermodynamics</t>
        </is>
      </c>
      <c r="M56" s="2" t="inlineStr"/>
      <c r="N56" s="2" t="inlineStr"/>
      <c r="O56" s="2" t="inlineStr"/>
      <c r="P56" s="2" t="inlineStr"/>
      <c r="Q56" s="2" t="inlineStr"/>
      <c r="R56" s="2" t="inlineStr"/>
      <c r="S56" s="2" t="inlineStr"/>
      <c r="T56" s="2" t="inlineStr"/>
      <c r="U56" s="2" t="inlineStr">
        <is>
          <t>Outstanding Mechanical Engineers Distinguished Engineering Alumni Honorary Doctorates Staff Awards Student Awards Distinguished...</t>
        </is>
      </c>
      <c r="V56" s="2" t="inlineStr">
        <is>
          <t>We have PhD student and postdoc fellow openings available. Please contact Prof. Ruan with a resume. Due to high volume of inquiries, we may not be able to respond immediately or respond to all emails.</t>
        </is>
      </c>
      <c r="W56" s="2" t="inlineStr"/>
      <c r="X56" s="2" t="inlineStr"/>
      <c r="Y56" s="2" t="inlineStr">
        <is>
          <t>Simulations of nanoscale thermal transport Machine learning, optimization, and high throughput design Thermal management in electronics, space, and battery applications Transport phenomena in additive manufacturing Nanomaterials and devices for sustainable energy</t>
        </is>
      </c>
      <c r="Z56" s="2" t="inlineStr">
        <is>
          <t>Thermodynamics Heat &amp; Mass Transfer</t>
        </is>
      </c>
      <c r="AA56" s="2" t="inlineStr">
        <is>
          <t>Thermodynamics Heat &amp; Mass Transfer</t>
        </is>
      </c>
      <c r="AB56" s="2" t="inlineStr">
        <is>
          <t>B.S. Tsinghua University, '00 M.S. Tsinghua University, '02 M.S. University of Michigan - Ann Arbor, '06 Ph.D. University of Michigan - Ann Arbor, '07</t>
        </is>
      </c>
      <c r="AC56" s="2" t="inlineStr">
        <is>
          <t>Sustainable Energy and Nanoscale Transport Laboratory</t>
        </is>
      </c>
      <c r="AD56" s="3">
        <f>HYPERLINK("https://engineering.purdue.edu/NANOENERGY/", "https://engineering.purdue.edu/NANOENERGY/")</f>
        <v/>
      </c>
      <c r="AE56" s="2" t="inlineStr">
        <is>
          <t>We have PhD student and postdoc fellow openings available. Please contact Prof. Ruan with a resume. Due to high volume of inquiries, we may not be able to respond immediately or respond to all emails. | Undergraduate student positions: (1) ME 498 : Undergraduate students are welcome to take ME 497 with our lab to gain research experience. Detailed information of current projects in our lab can be found at: http://engineering.purdue.edu/nanoenergy/ . (2) SURF : We have at least two SURF (Summer Undergraduate Research Fellowship) positions available each summer, and priorities will be given to undergraduate students who have taken ME 497 with our lab.</t>
        </is>
      </c>
      <c r="AF56" s="2" t="inlineStr"/>
      <c r="AG56" s="2" t="inlineStr">
        <is>
          <t>Cluster</t>
        </is>
      </c>
      <c r="AH56" s="2" t="inlineStr">
        <is>
          <t>NSF</t>
        </is>
      </c>
      <c r="AI56" s="2" t="inlineStr"/>
      <c r="AJ56" s="2" t="inlineStr"/>
      <c r="AK56" s="2" t="inlineStr">
        <is>
          <t>FLEX 1081C</t>
        </is>
      </c>
      <c r="AL56" s="2" t="b">
        <v>1</v>
      </c>
      <c r="AM56" s="3">
        <f>HYPERLINK("https://engineering.purdue.edu/ME/People/ptFaculty", "https://engineering.purdue.edu/ME/People/ptFaculty")</f>
        <v/>
      </c>
    </row>
    <row r="57">
      <c r="A57" s="2" t="inlineStr">
        <is>
          <t>James D. Jones</t>
        </is>
      </c>
      <c r="B57" s="2" t="inlineStr">
        <is>
          <t>Purdue University</t>
        </is>
      </c>
      <c r="C57" s="3">
        <f>HYPERLINK("https://engineering.purdue.edu/ME/People/ptProfile?resource_id=12829", "https://engineering.purdue.edu/ME/People/ptProfile?resource_id=12829")</f>
        <v/>
      </c>
      <c r="D57" s="3">
        <f>HYPERLINK("https://scholar.google.com/citations?view_op=search_authors&amp;mauthors=James%20D.%20Jones%20Purdue%20University", "Google Scholar Search")</f>
        <v/>
      </c>
      <c r="E57" s="2" t="inlineStr">
        <is>
          <t>Associate Professor of Mechanical Engineering</t>
        </is>
      </c>
      <c r="F57" s="2" t="inlineStr">
        <is>
          <t>Mechanical Engineering</t>
        </is>
      </c>
      <c r="G57" s="2" t="inlineStr"/>
      <c r="H57" s="3">
        <f>HYPERLINK("mailto:jonesjd@purdue.edu", "jonesjd@purdue.edu")</f>
        <v/>
      </c>
      <c r="I57" s="2" t="n">
        <v>3</v>
      </c>
      <c r="J57" s="2" t="inlineStr">
        <is>
          <t>🟠 Tier 3: Structures / Materials / Manufacturing</t>
        </is>
      </c>
      <c r="K57" s="2" t="n">
        <v>3</v>
      </c>
      <c r="L57" s="2" t="inlineStr">
        <is>
          <t>materials, smart materials, solid mechanics</t>
        </is>
      </c>
      <c r="M57" s="2" t="inlineStr"/>
      <c r="N57" s="2" t="inlineStr"/>
      <c r="O57" s="2" t="inlineStr"/>
      <c r="P57" s="2" t="inlineStr"/>
      <c r="Q57" s="2" t="inlineStr"/>
      <c r="R57" s="2" t="inlineStr"/>
      <c r="S57" s="2" t="inlineStr"/>
      <c r="T57" s="2" t="inlineStr"/>
      <c r="U57" s="2" t="inlineStr">
        <is>
          <t>Outstanding Mechanical Engineers Distinguished Engineering Alumni Honorary Doctorates Staff Awards Student Awards Distinguished...</t>
        </is>
      </c>
      <c r="V57" s="2" t="inlineStr"/>
      <c r="W57" s="2" t="inlineStr"/>
      <c r="X57" s="2" t="inlineStr"/>
      <c r="Y57" s="2" t="inlineStr">
        <is>
          <t>Cooperative learning Acoustics Vibrations Active noise and vibration control Smart materials Intelligent structures</t>
        </is>
      </c>
      <c r="Z57" s="2" t="inlineStr">
        <is>
          <t>Dynamics &amp; Vibration Design &amp; Manufacturing Solid Mechanics</t>
        </is>
      </c>
      <c r="AA57" s="2" t="inlineStr">
        <is>
          <t>Dynamics &amp; Vibration Design &amp; Manufacturing Solid Mechanics</t>
        </is>
      </c>
      <c r="AB57" s="2" t="inlineStr">
        <is>
          <t>B.S. Tennessee Tech., '81 M.S. VPI &amp; SU, '82 Ph.D. VPI &amp; SU, '87</t>
        </is>
      </c>
      <c r="AC57" s="2" t="inlineStr">
        <is>
          <t>Indiana Space Grant Consortium</t>
        </is>
      </c>
      <c r="AD57" s="3">
        <f>HYPERLINK("https://insgc.spacegrant.org/", "https://insgc.spacegrant.org/")</f>
        <v/>
      </c>
      <c r="AE57" s="2" t="inlineStr">
        <is>
          <t>Academic INSGC Internships</t>
        </is>
      </c>
      <c r="AF57" s="2" t="inlineStr"/>
      <c r="AG57" s="2" t="inlineStr"/>
      <c r="AH57" s="2" t="inlineStr">
        <is>
          <t>NASA</t>
        </is>
      </c>
      <c r="AI57" s="2" t="inlineStr"/>
      <c r="AJ57" s="2" t="inlineStr"/>
      <c r="AK57" s="2" t="inlineStr">
        <is>
          <t>ME 3003H</t>
        </is>
      </c>
      <c r="AL57" s="2" t="b">
        <v>1</v>
      </c>
      <c r="AM57" s="3">
        <f>HYPERLINK("https://engineering.purdue.edu/ME/People/ptFaculty", "https://engineering.purdue.edu/ME/People/ptFaculty")</f>
        <v/>
      </c>
    </row>
    <row r="58">
      <c r="A58" s="2" t="inlineStr">
        <is>
          <t>Jong Hyun Choi</t>
        </is>
      </c>
      <c r="B58" s="2" t="inlineStr">
        <is>
          <t>Purdue University</t>
        </is>
      </c>
      <c r="C58" s="3">
        <f>HYPERLINK("https://engineering.purdue.edu/ME/People/ptProfile?resource_id=50402", "https://engineering.purdue.edu/ME/People/ptProfile?resource_id=50402")</f>
        <v/>
      </c>
      <c r="D58" s="3">
        <f>HYPERLINK("https://scholar.google.com/citations?user=aSHRXOkAAAAJ&amp;hl=en", "Scholar (aSHRXOkAAAAJ)")</f>
        <v/>
      </c>
      <c r="E58" s="2" t="inlineStr">
        <is>
          <t>Professor of Mechanical Engineering</t>
        </is>
      </c>
      <c r="F58" s="2" t="inlineStr">
        <is>
          <t>Mechanical Engineering</t>
        </is>
      </c>
      <c r="G58" s="2" t="inlineStr">
        <is>
          <t>aSHRXOkAAAAJ</t>
        </is>
      </c>
      <c r="H58" s="3">
        <f>HYPERLINK("mailto:jchoi@purdue.edu", "jchoi@purdue.edu")</f>
        <v/>
      </c>
      <c r="I58" s="2" t="n">
        <v>3</v>
      </c>
      <c r="J58" s="2" t="inlineStr">
        <is>
          <t>🟠 Tier 3: Structures / Materials / Manufacturing</t>
        </is>
      </c>
      <c r="K58" s="2" t="n">
        <v>3</v>
      </c>
      <c r="L58" s="2" t="inlineStr">
        <is>
          <t>materials, solid mechanics, thermodynamics</t>
        </is>
      </c>
      <c r="M58" s="2" t="inlineStr"/>
      <c r="N58" s="2" t="inlineStr"/>
      <c r="O58" s="2" t="inlineStr"/>
      <c r="P58" s="2" t="inlineStr"/>
      <c r="Q58" s="2" t="inlineStr"/>
      <c r="R58" s="2" t="inlineStr"/>
      <c r="S58" s="2" t="inlineStr"/>
      <c r="T58" s="2" t="inlineStr"/>
      <c r="U58" s="2" t="inlineStr">
        <is>
          <t>Outstanding Mechanical Engineers Distinguished Engineering Alumni Honorary Doctorates Staff Awards Student Awards Distinguished...</t>
        </is>
      </c>
      <c r="V58" s="2" t="inlineStr"/>
      <c r="W58" s="2" t="inlineStr"/>
      <c r="X58" s="2" t="inlineStr"/>
      <c r="Y58" s="2" t="inlineStr">
        <is>
          <t>Advanced materials Programmable metastructures Bioinspired design and manufacturing DNA nanotechnology Nanomachines</t>
        </is>
      </c>
      <c r="Z58" s="2" t="inlineStr">
        <is>
          <t>Thermodynamics Heat &amp; Mass Transfer Solid Mechanics</t>
        </is>
      </c>
      <c r="AA58" s="2" t="inlineStr">
        <is>
          <t>Thermodynamics Heat &amp; Mass Transfer Solid Mechanics</t>
        </is>
      </c>
      <c r="AB58" s="2" t="inlineStr">
        <is>
          <t>B.S., Yonsei University, '99 M.S., Yonsei University, '01 Ph.D., University of California, Berkeley, '05</t>
        </is>
      </c>
      <c r="AC58" s="2" t="inlineStr">
        <is>
          <t>Choi Lab</t>
        </is>
      </c>
      <c r="AD58" s="3">
        <f>HYPERLINK("https://choinano.org/ ", "https://choinano.org/ ")</f>
        <v/>
      </c>
      <c r="AE58" s="2" t="inlineStr"/>
      <c r="AF58" s="2" t="inlineStr"/>
      <c r="AG58" s="2" t="inlineStr"/>
      <c r="AH58" s="2" t="inlineStr"/>
      <c r="AI58" s="2" t="inlineStr"/>
      <c r="AJ58" s="2" t="inlineStr"/>
      <c r="AK58" s="2" t="inlineStr">
        <is>
          <t>ME 2198</t>
        </is>
      </c>
      <c r="AL58" s="2" t="b">
        <v>1</v>
      </c>
      <c r="AM58" s="3">
        <f>HYPERLINK("https://engineering.purdue.edu/ME/People/ptFaculty", "https://engineering.purdue.edu/ME/People/ptFaculty")</f>
        <v/>
      </c>
    </row>
    <row r="59">
      <c r="A59" s="2" t="inlineStr">
        <is>
          <t>Junfei Li</t>
        </is>
      </c>
      <c r="B59" s="2" t="inlineStr">
        <is>
          <t>Purdue University</t>
        </is>
      </c>
      <c r="C59" s="3">
        <f>HYPERLINK("https://engineering.purdue.edu/ME/People/ptProfile?resource_id=286140", "https://engineering.purdue.edu/ME/People/ptProfile?resource_id=286140")</f>
        <v/>
      </c>
      <c r="D59" s="3">
        <f>HYPERLINK("https://scholar.google.com/citations?view_op=search_authors&amp;mauthors=Junfei%20Li%20Purdue%20University", "Google Scholar Search")</f>
        <v/>
      </c>
      <c r="E59" s="2" t="inlineStr">
        <is>
          <t>Assistant Professor of Mechanical Engineering</t>
        </is>
      </c>
      <c r="F59" s="2" t="inlineStr">
        <is>
          <t>Mechanical Engineering</t>
        </is>
      </c>
      <c r="G59" s="2" t="inlineStr"/>
      <c r="H59" s="3">
        <f>HYPERLINK("mailto:junfeili@purdue.edu", "junfeili@purdue.edu")</f>
        <v/>
      </c>
      <c r="I59" s="2" t="n">
        <v>3</v>
      </c>
      <c r="J59" s="2" t="inlineStr">
        <is>
          <t>🟠 Tier 3: Structures / Materials / Manufacturing</t>
        </is>
      </c>
      <c r="K59" s="2" t="n">
        <v>3</v>
      </c>
      <c r="L59" s="2" t="inlineStr">
        <is>
          <t>fluid mechanics, materials, metamaterials</t>
        </is>
      </c>
      <c r="M59" s="2" t="inlineStr"/>
      <c r="N59" s="2" t="inlineStr"/>
      <c r="O59" s="2" t="inlineStr"/>
      <c r="P59" s="2" t="inlineStr"/>
      <c r="Q59" s="2" t="inlineStr"/>
      <c r="R59" s="2" t="inlineStr"/>
      <c r="S59" s="2" t="inlineStr"/>
      <c r="T59" s="2" t="inlineStr"/>
      <c r="U59" s="2" t="inlineStr">
        <is>
          <t>Outstanding Mechanical Engineers Distinguished Engineering Alumni Honorary Doctorates Staff Awards Student Awards Distinguished...</t>
        </is>
      </c>
      <c r="V59" s="2" t="inlineStr"/>
      <c r="W59" s="2" t="inlineStr"/>
      <c r="X59" s="2" t="inlineStr"/>
      <c r="Y59" s="2" t="inlineStr">
        <is>
          <t>Acoustic tweezers Acoustofluidics Acoustic metamaterials Ultrasound control Underwater communication Ultrasound imaging Multiphysics wave propagation theory Noise control and energy harvesting</t>
        </is>
      </c>
      <c r="Z59" s="2" t="inlineStr">
        <is>
          <t>Dynamics &amp; Vibration Fluid Mechanics Heat &amp; Mass Transfer Systems, Measurements &amp; Controls</t>
        </is>
      </c>
      <c r="AA59" s="2" t="inlineStr">
        <is>
          <t>Dynamics &amp; Vibration Fluid Mechanics Heat &amp; Mass Transfer Systems, Measurements &amp; Controls</t>
        </is>
      </c>
      <c r="AB59" s="2" t="inlineStr"/>
      <c r="AC59" s="2" t="inlineStr">
        <is>
          <t>Indiana Space Grant Consortium</t>
        </is>
      </c>
      <c r="AD59" s="3">
        <f>HYPERLINK("https://insgc.spacegrant.org/", "https://insgc.spacegrant.org/")</f>
        <v/>
      </c>
      <c r="AE59" s="2" t="inlineStr">
        <is>
          <t>Academic INSGC Internships</t>
        </is>
      </c>
      <c r="AF59" s="2" t="inlineStr"/>
      <c r="AG59" s="2" t="inlineStr"/>
      <c r="AH59" s="2" t="inlineStr">
        <is>
          <t>NASA</t>
        </is>
      </c>
      <c r="AI59" s="2" t="inlineStr"/>
      <c r="AJ59" s="2" t="inlineStr"/>
      <c r="AK59" s="2" t="inlineStr"/>
      <c r="AL59" s="2" t="b">
        <v>1</v>
      </c>
      <c r="AM59" s="3">
        <f>HYPERLINK("https://engineering.purdue.edu/ME/People/ptFaculty", "https://engineering.purdue.edu/ME/People/ptFaculty")</f>
        <v/>
      </c>
    </row>
    <row r="60">
      <c r="A60" s="2" t="inlineStr">
        <is>
          <t>Marisol Koslowski</t>
        </is>
      </c>
      <c r="B60" s="2" t="inlineStr">
        <is>
          <t>Purdue University</t>
        </is>
      </c>
      <c r="C60" s="3">
        <f>HYPERLINK("https://engineering.purdue.edu/ME/People/ptProfile?resource_id=29264", "https://engineering.purdue.edu/ME/People/ptProfile?resource_id=29264")</f>
        <v/>
      </c>
      <c r="D60" s="3">
        <f>HYPERLINK("https://scholar.google.com/citations?view_op=search_authors&amp;mauthors=Marisol%20Koslowski%20Purdue%20University", "Google Scholar Search")</f>
        <v/>
      </c>
      <c r="E60" s="2" t="inlineStr">
        <is>
          <t>Associate Dean for Global Engineering Programs and Partnerships and Professor of Mechanical Engineering</t>
        </is>
      </c>
      <c r="F60" s="2" t="inlineStr">
        <is>
          <t>Mechanical Engineering</t>
        </is>
      </c>
      <c r="G60" s="2" t="inlineStr"/>
      <c r="H60" s="3">
        <f>HYPERLINK("mailto:marisol@purdue.edu", "marisol@purdue.edu")</f>
        <v/>
      </c>
      <c r="I60" s="2" t="n">
        <v>3</v>
      </c>
      <c r="J60" s="2" t="inlineStr">
        <is>
          <t>🟠 Tier 3: Structures / Materials / Manufacturing</t>
        </is>
      </c>
      <c r="K60" s="2" t="n">
        <v>3</v>
      </c>
      <c r="L60" s="2" t="inlineStr">
        <is>
          <t>finite element, materials, solid mechanics</t>
        </is>
      </c>
      <c r="M60" s="2" t="inlineStr"/>
      <c r="N60" s="2" t="inlineStr"/>
      <c r="O60" s="2" t="inlineStr"/>
      <c r="P60" s="2" t="inlineStr"/>
      <c r="Q60" s="2" t="inlineStr"/>
      <c r="R60" s="2" t="inlineStr"/>
      <c r="S60" s="2" t="inlineStr"/>
      <c r="T60" s="2" t="inlineStr"/>
      <c r="U60" s="2" t="inlineStr">
        <is>
          <t>Outstanding Mechanical Engineers Distinguished Engineering Alumni Honorary Doctorates Staff Awards Student Awards Distinguished...</t>
        </is>
      </c>
      <c r="V60" s="2" t="inlineStr"/>
      <c r="W60" s="2" t="inlineStr"/>
      <c r="X60" s="2" t="inlineStr"/>
      <c r="Y60" s="2" t="inlineStr">
        <is>
          <t>Computational solid mechanics Multiscale modeling of materials Finite Elements Dislocation dynamics Reliability of electronic interconnects Shock compression in solids Phase transformations Energetic materials</t>
        </is>
      </c>
      <c r="Z60" s="2" t="inlineStr">
        <is>
          <t>Solid Mechanics</t>
        </is>
      </c>
      <c r="AA60" s="2" t="inlineStr">
        <is>
          <t>Solid Mechanics</t>
        </is>
      </c>
      <c r="AB60" s="2" t="inlineStr">
        <is>
          <t>B.S. University of Buenos Aires, Argentina, '97 M.S. California Institute of Technology, '99 Ph.D. California Institute of Technology, '03</t>
        </is>
      </c>
      <c r="AC60" s="2" t="inlineStr">
        <is>
          <t>Koslowski Group</t>
        </is>
      </c>
      <c r="AD60" s="3">
        <f>HYPERLINK("https://koslowskigroup.org/", "https://koslowskigroup.org/")</f>
        <v/>
      </c>
      <c r="AE60" s="2" t="inlineStr"/>
      <c r="AF60" s="2" t="inlineStr"/>
      <c r="AG60" s="2" t="inlineStr"/>
      <c r="AH60" s="2" t="inlineStr"/>
      <c r="AI60" s="2" t="inlineStr"/>
      <c r="AJ60" s="2" t="inlineStr"/>
      <c r="AK60" s="2" t="inlineStr"/>
      <c r="AL60" s="2" t="b">
        <v>1</v>
      </c>
      <c r="AM60" s="3">
        <f>HYPERLINK("https://engineering.purdue.edu/ME/People/ptFaculty", "https://engineering.purdue.edu/ME/People/ptFaculty")</f>
        <v/>
      </c>
    </row>
    <row r="61">
      <c r="A61" s="2" t="inlineStr">
        <is>
          <t>Shubhra Bansal</t>
        </is>
      </c>
      <c r="B61" s="2" t="inlineStr">
        <is>
          <t>Purdue University</t>
        </is>
      </c>
      <c r="C61" s="3">
        <f>HYPERLINK("https://engineering.purdue.edu/ME/People/ptProfile?resource_id=273456", "https://engineering.purdue.edu/ME/People/ptProfile?resource_id=273456")</f>
        <v/>
      </c>
      <c r="D61" s="3">
        <f>HYPERLINK("https://scholar.google.com/citations?user=E8PanGMAAAAJ", "Scholar (E8PanGMAAAAJ)")</f>
        <v/>
      </c>
      <c r="E61" s="2" t="inlineStr">
        <is>
          <t>Associate Professor of Mechanical Engineering and Materials Engineering</t>
        </is>
      </c>
      <c r="F61" s="2" t="inlineStr">
        <is>
          <t>Mechanical Engineering</t>
        </is>
      </c>
      <c r="G61" s="2" t="inlineStr">
        <is>
          <t>E8PanGMAAAAJ</t>
        </is>
      </c>
      <c r="H61" s="3">
        <f>HYPERLINK("mailto:bansal91@purdue.edu", "bansal91@purdue.edu")</f>
        <v/>
      </c>
      <c r="I61" s="2" t="n">
        <v>3</v>
      </c>
      <c r="J61" s="2" t="inlineStr">
        <is>
          <t>🟠 Tier 3: Structures / Materials / Manufacturing</t>
        </is>
      </c>
      <c r="K61" s="2" t="n">
        <v>3</v>
      </c>
      <c r="L61" s="2" t="inlineStr">
        <is>
          <t>materials, solid mechanics, thermal</t>
        </is>
      </c>
      <c r="M61" s="2" t="inlineStr"/>
      <c r="N61" s="2" t="inlineStr"/>
      <c r="O61" s="2" t="inlineStr"/>
      <c r="P61" s="2" t="inlineStr"/>
      <c r="Q61" s="2" t="inlineStr"/>
      <c r="R61" s="2" t="inlineStr"/>
      <c r="S61" s="2" t="inlineStr"/>
      <c r="T61" s="2" t="inlineStr"/>
      <c r="U61" s="2" t="inlineStr">
        <is>
          <t>Outstanding Mechanical Engineers Distinguished Engineering Alumni Honorary Doctorates Staff Awards Student Awards Distinguished...</t>
        </is>
      </c>
      <c r="V61" s="2" t="inlineStr"/>
      <c r="W61" s="2" t="inlineStr"/>
      <c r="X61" s="2" t="inlineStr"/>
      <c r="Y61" s="2" t="inlineStr">
        <is>
          <t>Renewable Energy Materials (physics-based energy yield predictions, sustainable PV and energy storage materials, recycling) Electro-Optical-Thermo-Mechanical Reliability (in-situ and in-operando accelerated stress tests) Heterogeneous Integration &amp; Advanced Packaging (sub-10 μm pitch interconnects, low-loss interposers) Harsh Environment Electronics Integration (high temperature Pb-free solders and nano-thermal interfaces)</t>
        </is>
      </c>
      <c r="Z61" s="2" t="inlineStr">
        <is>
          <t>Design &amp; Manufacturing Solid Mechanics</t>
        </is>
      </c>
      <c r="AA61" s="2" t="inlineStr">
        <is>
          <t>Design &amp; Manufacturing Solid Mechanics</t>
        </is>
      </c>
      <c r="AB61" s="2" t="inlineStr"/>
      <c r="AC61" s="2" t="inlineStr">
        <is>
          <t>Bansal Research Group</t>
        </is>
      </c>
      <c r="AD61" s="3">
        <f>HYPERLINK("https://engineering.purdue.edu/EMRSL", "https://engineering.purdue.edu/EMRSL")</f>
        <v/>
      </c>
      <c r="AE61" s="2" t="inlineStr"/>
      <c r="AF61" s="2" t="inlineStr"/>
      <c r="AG61" s="2" t="inlineStr"/>
      <c r="AH61" s="2" t="inlineStr"/>
      <c r="AI61" s="2" t="inlineStr"/>
      <c r="AJ61" s="2" t="inlineStr"/>
      <c r="AK61" s="2" t="inlineStr">
        <is>
          <t>FLEX 3081D</t>
        </is>
      </c>
      <c r="AL61" s="2" t="b">
        <v>1</v>
      </c>
      <c r="AM61" s="3">
        <f>HYPERLINK("https://engineering.purdue.edu/ME/People/ptFaculty", "https://engineering.purdue.edu/ME/People/ptFaculty")</f>
        <v/>
      </c>
    </row>
    <row r="62">
      <c r="A62" s="2" t="inlineStr">
        <is>
          <t>Chi Hwan Lee</t>
        </is>
      </c>
      <c r="B62" s="2" t="inlineStr">
        <is>
          <t>Purdue University</t>
        </is>
      </c>
      <c r="C62" s="3">
        <f>HYPERLINK("https://engineering.purdue.edu/ME/People/ptProfile?resource_id=127246", "https://engineering.purdue.edu/ME/People/ptProfile?resource_id=127246")</f>
        <v/>
      </c>
      <c r="D62" s="3">
        <f>HYPERLINK("https://scholar.google.com/citations?view_op=search_authors&amp;mauthors=Chi%20Hwan%20Lee%20Purdue%20University", "Google Scholar Search")</f>
        <v/>
      </c>
      <c r="E62" s="2" t="inlineStr">
        <is>
          <t>Professor of Biomedical Engineering and Mechanical Engineering</t>
        </is>
      </c>
      <c r="F62" s="2" t="inlineStr">
        <is>
          <t>Mechanical Engineering</t>
        </is>
      </c>
      <c r="G62" s="2" t="inlineStr"/>
      <c r="H62" s="3">
        <f>HYPERLINK("mailto:lee2270@purdue.edu", "lee2270@purdue.edu")</f>
        <v/>
      </c>
      <c r="I62" s="2" t="n">
        <v>3</v>
      </c>
      <c r="J62" s="2" t="inlineStr">
        <is>
          <t>🟠 Tier 3: Structures / Materials / Manufacturing</t>
        </is>
      </c>
      <c r="K62" s="2" t="n">
        <v>2</v>
      </c>
      <c r="L62" s="2" t="inlineStr">
        <is>
          <t>materials, solid mechanics</t>
        </is>
      </c>
      <c r="M62" s="2" t="inlineStr"/>
      <c r="N62" s="2" t="inlineStr"/>
      <c r="O62" s="2" t="inlineStr"/>
      <c r="P62" s="2" t="inlineStr"/>
      <c r="Q62" s="2" t="inlineStr"/>
      <c r="R62" s="2" t="inlineStr"/>
      <c r="S62" s="2" t="inlineStr"/>
      <c r="T62" s="2" t="inlineStr"/>
      <c r="U62" s="2" t="inlineStr">
        <is>
          <t>Outstanding Mechanical Engineers Distinguished Engineering Alumni Honorary Doctorates Staff Awards Student Awards Distinguished...</t>
        </is>
      </c>
      <c r="V62" s="2" t="inlineStr">
        <is>
          <t>Email: lee2270@purdue.edu Phone: +1 (765) 494 6212 | Contact Info. Prof Chi Hwan Lee, Email: lee2270@purdue.edu, Tel: +1 (765) 494-6212</t>
        </is>
      </c>
      <c r="W62" s="2" t="inlineStr"/>
      <c r="X62" s="2" t="inlineStr"/>
      <c r="Y62" s="2" t="inlineStr">
        <is>
          <t>Wearable biomedical devices 'Crack’-driven transfer printing technology Scalable manufacturing technology Mechanics and materials for flexible/stretchable electronics</t>
        </is>
      </c>
      <c r="Z62" s="2" t="inlineStr">
        <is>
          <t>Design &amp; Manufacturing Solid Mechanics</t>
        </is>
      </c>
      <c r="AA62" s="2" t="inlineStr">
        <is>
          <t>Design &amp; Manufacturing Solid Mechanics</t>
        </is>
      </c>
      <c r="AB62" s="2" t="inlineStr">
        <is>
          <t>PhD, Mechanical Engineering, Stanford University, '13 MS, Mechanical Engineering, Stanford University, '08 BSE, Mechanical Engineering, Illinois Institute of Technology, '07</t>
        </is>
      </c>
      <c r="AC62" s="2" t="inlineStr">
        <is>
          <t>Personal Homepage</t>
        </is>
      </c>
      <c r="AD62" s="3">
        <f>HYPERLINK("https://engineering.purdue.edu/StickTronics/", "https://engineering.purdue.edu/StickTronics/")</f>
        <v/>
      </c>
      <c r="AE62" s="2" t="inlineStr"/>
      <c r="AF62" s="2" t="inlineStr"/>
      <c r="AG62" s="2" t="inlineStr"/>
      <c r="AH62" s="2" t="inlineStr"/>
      <c r="AI62" s="2" t="inlineStr"/>
      <c r="AJ62" s="2" t="inlineStr"/>
      <c r="AK62" s="2" t="inlineStr"/>
      <c r="AL62" s="2" t="b">
        <v>1</v>
      </c>
      <c r="AM62" s="3">
        <f>HYPERLINK("https://engineering.purdue.edu/ME/People/ptFaculty", "https://engineering.purdue.edu/ME/People/ptFaculty")</f>
        <v/>
      </c>
    </row>
    <row r="63">
      <c r="A63" s="2" t="inlineStr">
        <is>
          <t>Dianyun Zhang</t>
        </is>
      </c>
      <c r="B63" s="2" t="inlineStr">
        <is>
          <t>Purdue University</t>
        </is>
      </c>
      <c r="C63" s="3">
        <f>HYPERLINK("https://engineering.purdue.edu/AAE/people/ptProfile?resource_id=243165", "https://engineering.purdue.edu/AAE/people/ptProfile?resource_id=243165")</f>
        <v/>
      </c>
      <c r="D63" s="3">
        <f>HYPERLINK("https://scholar.google.com/citations?view_op=search_authors&amp;mauthors=Dianyun%20Zhang%20Purdue%20University", "Google Scholar Search")</f>
        <v/>
      </c>
      <c r="E63" s="2" t="inlineStr">
        <is>
          <t>Associate Professor</t>
        </is>
      </c>
      <c r="F63" s="2" t="inlineStr">
        <is>
          <t>Aeronautics and Astronautics</t>
        </is>
      </c>
      <c r="G63" s="2" t="inlineStr"/>
      <c r="H63" s="3">
        <f>HYPERLINK("mailto:dianyun@purdue.edu", "dianyun@purdue.edu")</f>
        <v/>
      </c>
      <c r="I63" s="2" t="n">
        <v>3</v>
      </c>
      <c r="J63" s="2" t="inlineStr">
        <is>
          <t>🟠 Tier 3: Structures / Materials / Manufacturing</t>
        </is>
      </c>
      <c r="K63" s="2" t="n">
        <v>2</v>
      </c>
      <c r="L63" s="2" t="inlineStr">
        <is>
          <t>composites, materials</t>
        </is>
      </c>
      <c r="M63" s="2" t="inlineStr"/>
      <c r="N63" s="2" t="inlineStr"/>
      <c r="O63" s="2" t="inlineStr"/>
      <c r="P63" s="2" t="inlineStr"/>
      <c r="Q63" s="2" t="inlineStr"/>
      <c r="R63" s="2" t="inlineStr"/>
      <c r="S63" s="2" t="inlineStr"/>
      <c r="T63" s="2" t="inlineStr"/>
      <c r="U63" s="2" t="inlineStr"/>
      <c r="V63" s="2" t="inlineStr"/>
      <c r="W63" s="2" t="inlineStr"/>
      <c r="X63" s="2" t="inlineStr"/>
      <c r="Y63" s="2" t="inlineStr">
        <is>
          <t>Zhang’s broad area of research interest is in experimental characterization and computational modeling of lightweight materials, including polymer matrix composites, ceramic matrix composites and bio-inspired materials. Edit var myPronunciation=document.getElementById("pronunciation");
    function play() {
    myPronunciation.play();
    }
    function pause() {
    myPronunciation.pause();
    }</t>
        </is>
      </c>
      <c r="Z63" s="2" t="inlineStr"/>
      <c r="AA63" s="2" t="inlineStr">
        <is>
          <t>Zhang’s broad area of research interest is in experimental characterization and computational modeling of lightweight materials, including polymer matrix composites, ceramic matrix composites and bio-inspired materials. Edit var myPronunciation=document.getElementById("pronunciation");
    function play() {
    myPronunciation.play();
    }
    function pause() {
    myPronunciation....</t>
        </is>
      </c>
      <c r="AB63" s="2" t="inlineStr"/>
      <c r="AC63" s="2" t="inlineStr">
        <is>
          <t>Indiana Space Grant Consortium</t>
        </is>
      </c>
      <c r="AD63" s="3">
        <f>HYPERLINK("https://insgc.spacegrant.org/", "https://insgc.spacegrant.org/")</f>
        <v/>
      </c>
      <c r="AE63" s="2" t="inlineStr">
        <is>
          <t>Academic INSGC Internships</t>
        </is>
      </c>
      <c r="AF63" s="2" t="inlineStr"/>
      <c r="AG63" s="2" t="inlineStr"/>
      <c r="AH63" s="2" t="inlineStr">
        <is>
          <t>NASA</t>
        </is>
      </c>
      <c r="AI63" s="2" t="inlineStr"/>
      <c r="AJ63" s="2" t="inlineStr"/>
      <c r="AK63" s="2" t="inlineStr">
        <is>
          <t>ARMS 3233</t>
        </is>
      </c>
      <c r="AL63" s="2" t="b">
        <v>1</v>
      </c>
      <c r="AM63" s="3">
        <f>HYPERLINK("https://engineering.purdue.edu/AAE/people/Faculty", "https://engineering.purdue.edu/AAE/people/Faculty")</f>
        <v/>
      </c>
    </row>
    <row r="64">
      <c r="A64" s="2" t="inlineStr">
        <is>
          <t>Fu Zhao</t>
        </is>
      </c>
      <c r="B64" s="2" t="inlineStr">
        <is>
          <t>Purdue University</t>
        </is>
      </c>
      <c r="C64" s="3">
        <f>HYPERLINK("https://engineering.purdue.edu/ME/People/ptProfile?resource_id=29424", "https://engineering.purdue.edu/ME/People/ptProfile?resource_id=29424")</f>
        <v/>
      </c>
      <c r="D64" s="3">
        <f>HYPERLINK("https://scholar.google.com/citations?view_op=search_authors&amp;mauthors=Fu%20Zhao%20Purdue%20University", "Google Scholar Search")</f>
        <v/>
      </c>
      <c r="E64" s="2" t="inlineStr">
        <is>
          <t>Professor of Mechanical Engineering, and Sustainability Engineering &amp; Environmental Engineering</t>
        </is>
      </c>
      <c r="F64" s="2" t="inlineStr">
        <is>
          <t>Mechanical Engineering</t>
        </is>
      </c>
      <c r="G64" s="2" t="inlineStr"/>
      <c r="H64" s="3">
        <f>HYPERLINK("mailto:fzhao@purdue.edu", "fzhao@purdue.edu")</f>
        <v/>
      </c>
      <c r="I64" s="2" t="n">
        <v>3</v>
      </c>
      <c r="J64" s="2" t="inlineStr">
        <is>
          <t>🟠 Tier 3: Structures / Materials / Manufacturing</t>
        </is>
      </c>
      <c r="K64" s="2" t="n">
        <v>2</v>
      </c>
      <c r="L64" s="2" t="inlineStr">
        <is>
          <t>materials, thermodynamics</t>
        </is>
      </c>
      <c r="M64" s="2" t="inlineStr"/>
      <c r="N64" s="2" t="inlineStr"/>
      <c r="O64" s="2" t="inlineStr"/>
      <c r="P64" s="2" t="inlineStr"/>
      <c r="Q64" s="2" t="inlineStr"/>
      <c r="R64" s="2" t="inlineStr"/>
      <c r="S64" s="2" t="inlineStr"/>
      <c r="T64" s="2" t="inlineStr"/>
      <c r="U64" s="2" t="inlineStr">
        <is>
          <t>Outstanding Mechanical Engineers Distinguished Engineering Alumni Honorary Doctorates Staff Awards Student Awards Distinguished...</t>
        </is>
      </c>
      <c r="V64" s="2" t="inlineStr">
        <is>
          <t>We are always looking for motivated students interested in sustainability research. If you're interested in joining our lab, please email Professor Zhao with your CV and research interests.</t>
        </is>
      </c>
      <c r="W64" s="2" t="inlineStr"/>
      <c r="X64" s="2" t="inlineStr"/>
      <c r="Y64" s="2" t="inlineStr">
        <is>
          <t>Environment friendly design and life cycle engineering Applications of bio-based materials in manufacturing Fast and low-cost detection of pathogenic microorganisms Biomass thermo-chemical upgrading for liquid and gaseous fuel</t>
        </is>
      </c>
      <c r="Z64" s="2" t="inlineStr">
        <is>
          <t>Thermodynamics Design &amp; Manufacturing</t>
        </is>
      </c>
      <c r="AA64" s="2" t="inlineStr">
        <is>
          <t>Thermodynamics Design &amp; Manufacturing</t>
        </is>
      </c>
      <c r="AB64" s="2" t="inlineStr">
        <is>
          <t>B.S. Tsinghua University, '93 M.E. Tsinghua University, '96 M.S. University of Michigan, '01 Ph.D. University of Michigan, '05</t>
        </is>
      </c>
      <c r="AC64" s="2" t="inlineStr">
        <is>
          <t>Personal Homepage</t>
        </is>
      </c>
      <c r="AD64" s="3">
        <f>HYPERLINK("https://engineering.purdue.edu/~fzhao/", "https://engineering.purdue.edu/~fzhao/")</f>
        <v/>
      </c>
      <c r="AE64" s="2" t="inlineStr">
        <is>
          <t>We are always looking for motivated students interested in sustainability research. If you're interested in joining our lab, please email Professor Zhao with your CV and research interests.</t>
        </is>
      </c>
      <c r="AF64" s="2" t="inlineStr"/>
      <c r="AG64" s="2" t="inlineStr"/>
      <c r="AH64" s="2" t="inlineStr">
        <is>
          <t>DOE</t>
        </is>
      </c>
      <c r="AI64" s="2" t="inlineStr"/>
      <c r="AJ64" s="2" t="inlineStr"/>
      <c r="AK64" s="2" t="inlineStr">
        <is>
          <t>ME 2194</t>
        </is>
      </c>
      <c r="AL64" s="2" t="b">
        <v>1</v>
      </c>
      <c r="AM64" s="3">
        <f>HYPERLINK("https://engineering.purdue.edu/ME/People/ptFaculty", "https://engineering.purdue.edu/ME/People/ptFaculty")</f>
        <v/>
      </c>
    </row>
    <row r="65">
      <c r="A65" s="2" t="inlineStr">
        <is>
          <t>Heather Liddell</t>
        </is>
      </c>
      <c r="B65" s="2" t="inlineStr">
        <is>
          <t>Purdue University</t>
        </is>
      </c>
      <c r="C65" s="3">
        <f>HYPERLINK("https://engineering.purdue.edu/ME/People/ptProfile?resource_id=286292", "https://engineering.purdue.edu/ME/People/ptProfile?resource_id=286292")</f>
        <v/>
      </c>
      <c r="D65" s="3">
        <f>HYPERLINK("https://scholar.google.com/citations?user=JmlZjPgAAAAJ&amp;hl=en", "Scholar (JmlZjPgAAAAJ)")</f>
        <v/>
      </c>
      <c r="E65" s="2" t="inlineStr">
        <is>
          <t>Assistant Professor of Mechanical Engineering, and Sustainability Engineering &amp; Environmental Engineering</t>
        </is>
      </c>
      <c r="F65" s="2" t="inlineStr">
        <is>
          <t>Mechanical Engineering</t>
        </is>
      </c>
      <c r="G65" s="2" t="inlineStr">
        <is>
          <t>JmlZjPgAAAAJ</t>
        </is>
      </c>
      <c r="H65" s="3">
        <f>HYPERLINK("mailto:liddellh@purdue.edu", "liddellh@purdue.edu")</f>
        <v/>
      </c>
      <c r="I65" s="2" t="n">
        <v>3</v>
      </c>
      <c r="J65" s="2" t="inlineStr">
        <is>
          <t>🟠 Tier 3: Structures / Materials / Manufacturing</t>
        </is>
      </c>
      <c r="K65" s="2" t="n">
        <v>2</v>
      </c>
      <c r="L65" s="2" t="inlineStr">
        <is>
          <t>materials, solid mechanics</t>
        </is>
      </c>
      <c r="M65" s="2" t="inlineStr"/>
      <c r="N65" s="2" t="inlineStr"/>
      <c r="O65" s="2" t="inlineStr"/>
      <c r="P65" s="2" t="inlineStr"/>
      <c r="Q65" s="2" t="inlineStr"/>
      <c r="R65" s="2" t="inlineStr"/>
      <c r="S65" s="2" t="inlineStr"/>
      <c r="T65" s="2" t="inlineStr"/>
      <c r="U65" s="2" t="inlineStr">
        <is>
          <t>Outstanding Mechanical Engineers Distinguished Engineering Alumni Honorary Doctorates Staff Awards Student Awards Distinguished...</t>
        </is>
      </c>
      <c r="V65" s="2" t="inlineStr"/>
      <c r="W65" s="2" t="inlineStr"/>
      <c r="X65" s="2" t="inlineStr"/>
      <c r="Y65" s="2" t="inlineStr">
        <is>
          <t>Sustainable manufacturing Environmental life cycle assessment Mechanics of multilayered systems Adhesion in paints and coatings Lightweighting strategies for transportation</t>
        </is>
      </c>
      <c r="Z65" s="2" t="inlineStr">
        <is>
          <t>Design &amp; Manufacturing Solid Mechanics</t>
        </is>
      </c>
      <c r="AA65" s="2" t="inlineStr">
        <is>
          <t>Design &amp; Manufacturing Solid Mechanics</t>
        </is>
      </c>
      <c r="AB65" s="2" t="inlineStr">
        <is>
          <t>Postdoctoral Research Fellow, U.S. Naval Research Laboratory, 2017-2020 Ph.D., Materials Science, University of Rochester, 2014 M.S., Mechanical Engineering, University of Rochester, 2010 B.S., Mechanical Engineering, University of Rochester, 2008</t>
        </is>
      </c>
      <c r="AC65" s="2" t="inlineStr">
        <is>
          <t>Personal Website</t>
        </is>
      </c>
      <c r="AD65" s="3">
        <f>HYPERLINK("https://hpliddell.github.io/", "https://hpliddell.github.io/")</f>
        <v/>
      </c>
      <c r="AE65" s="2" t="inlineStr"/>
      <c r="AF65" s="2" t="inlineStr"/>
      <c r="AG65" s="2" t="inlineStr"/>
      <c r="AH65" s="2" t="inlineStr"/>
      <c r="AI65" s="3">
        <f>HYPERLINK("https://github.com/alshedivat/al-folio", "https://github.com/alshedivat/al-folio, https://pages.github.com")</f>
        <v/>
      </c>
      <c r="AJ65" s="2" t="inlineStr"/>
      <c r="AK65" s="2" t="inlineStr">
        <is>
          <t>POTR 322C</t>
        </is>
      </c>
      <c r="AL65" s="2" t="b">
        <v>1</v>
      </c>
      <c r="AM65" s="3">
        <f>HYPERLINK("https://engineering.purdue.edu/ME/People/ptFaculty", "https://engineering.purdue.edu/ME/People/ptFaculty")</f>
        <v/>
      </c>
    </row>
    <row r="66">
      <c r="A66" s="2" t="inlineStr">
        <is>
          <t>Luz Sotelo</t>
        </is>
      </c>
      <c r="B66" s="2" t="inlineStr">
        <is>
          <t>Purdue University</t>
        </is>
      </c>
      <c r="C66" s="3">
        <f>HYPERLINK("https://engineering.purdue.edu/ME/People/ptProfile?resource_id=277732", "https://engineering.purdue.edu/ME/People/ptProfile?resource_id=277732")</f>
        <v/>
      </c>
      <c r="D66" s="3">
        <f>HYPERLINK("https://scholar.google.com/citations?user=sUD9j0EAAAAJ", "Scholar (sUD9j0EAAAAJ)")</f>
        <v/>
      </c>
      <c r="E66" s="2" t="inlineStr">
        <is>
          <t>Assistant Professor of Mechanical Engineering</t>
        </is>
      </c>
      <c r="F66" s="2" t="inlineStr">
        <is>
          <t>Mechanical Engineering</t>
        </is>
      </c>
      <c r="G66" s="2" t="inlineStr">
        <is>
          <t>sUD9j0EAAAAJ</t>
        </is>
      </c>
      <c r="H66" s="3">
        <f>HYPERLINK("mailto:lsotelo@purdue.edu", "lsotelo@purdue.edu")</f>
        <v/>
      </c>
      <c r="I66" s="2" t="n">
        <v>3</v>
      </c>
      <c r="J66" s="2" t="inlineStr">
        <is>
          <t>🟠 Tier 3: Structures / Materials / Manufacturing</t>
        </is>
      </c>
      <c r="K66" s="2" t="n">
        <v>2</v>
      </c>
      <c r="L66" s="2" t="inlineStr">
        <is>
          <t>materials, metamaterials</t>
        </is>
      </c>
      <c r="M66" s="2" t="inlineStr"/>
      <c r="N66" s="2" t="inlineStr"/>
      <c r="O66" s="2" t="inlineStr"/>
      <c r="P66" s="2" t="inlineStr"/>
      <c r="Q66" s="2" t="inlineStr"/>
      <c r="R66" s="2" t="inlineStr"/>
      <c r="S66" s="2" t="inlineStr"/>
      <c r="T66" s="2" t="inlineStr"/>
      <c r="U66" s="2" t="inlineStr">
        <is>
          <t>Outstanding Mechanical Engineers Distinguished Engineering Alumni Honorary Doctorates Staff Awards Student Awards Distinguished...</t>
        </is>
      </c>
      <c r="V66" s="2" t="inlineStr"/>
      <c r="W66" s="2" t="inlineStr"/>
      <c r="X66" s="2" t="inlineStr"/>
      <c r="Y66" s="2" t="inlineStr">
        <is>
          <t>Multi-process/multi-material additive manufacturing Nondestructive evaluation Advanced acoustic materials and metamaterials Ultrasonics</t>
        </is>
      </c>
      <c r="Z66" s="2" t="inlineStr">
        <is>
          <t>Dynamics &amp; Vibration Design &amp; Manufacturing</t>
        </is>
      </c>
      <c r="AA66" s="2" t="inlineStr">
        <is>
          <t>Dynamics &amp; Vibration Design &amp; Manufacturing</t>
        </is>
      </c>
      <c r="AB66" s="2" t="inlineStr">
        <is>
          <t>Ph.D. University of Nebraska-Lincoln B.S. University of Texas Rio Grande Valley</t>
        </is>
      </c>
      <c r="AC66" s="2" t="inlineStr">
        <is>
          <t>Google Scholar</t>
        </is>
      </c>
      <c r="AD66" s="3">
        <f>HYPERLINK("https://scholar.google.com/citations?user=sUD9j0EAAAAJ", "https://scholar.google.com/citations?user=sUD9j0EAAAAJ")</f>
        <v/>
      </c>
      <c r="AE66" s="2" t="inlineStr"/>
      <c r="AF66" s="2" t="inlineStr"/>
      <c r="AG66" s="2" t="inlineStr"/>
      <c r="AH66" s="2" t="inlineStr"/>
      <c r="AI66" s="2" t="inlineStr"/>
      <c r="AJ66" s="2" t="inlineStr"/>
      <c r="AK66" s="2" t="inlineStr">
        <is>
          <t>MMRL 1900D, ME 3003F</t>
        </is>
      </c>
      <c r="AL66" s="2" t="b">
        <v>1</v>
      </c>
      <c r="AM66" s="3">
        <f>HYPERLINK("https://engineering.purdue.edu/ME/People/ptFaculty", "https://engineering.purdue.edu/ME/People/ptFaculty")</f>
        <v/>
      </c>
    </row>
    <row r="67">
      <c r="A67" s="2" t="inlineStr">
        <is>
          <t>Marcial Gonzalez</t>
        </is>
      </c>
      <c r="B67" s="2" t="inlineStr">
        <is>
          <t>Purdue University</t>
        </is>
      </c>
      <c r="C67" s="3">
        <f>HYPERLINK("https://engineering.purdue.edu/ME/People/ptProfile?resource_id=106137", "https://engineering.purdue.edu/ME/People/ptProfile?resource_id=106137")</f>
        <v/>
      </c>
      <c r="D67" s="3">
        <f>HYPERLINK("https://scholar.google.com/citations?view_op=search_authors&amp;mauthors=Marcial%20Gonzalez%20Purdue%20University", "Google Scholar Search")</f>
        <v/>
      </c>
      <c r="E67" s="2" t="inlineStr">
        <is>
          <t>Professor of Mechanical Engineering</t>
        </is>
      </c>
      <c r="F67" s="2" t="inlineStr">
        <is>
          <t>Mechanical Engineering</t>
        </is>
      </c>
      <c r="G67" s="2" t="inlineStr"/>
      <c r="H67" s="3">
        <f>HYPERLINK("mailto:marcial-gonzalez@purdue.edu", "marcial-gonzalez@purdue.edu")</f>
        <v/>
      </c>
      <c r="I67" s="2" t="n">
        <v>3</v>
      </c>
      <c r="J67" s="2" t="inlineStr">
        <is>
          <t>🟠 Tier 3: Structures / Materials / Manufacturing</t>
        </is>
      </c>
      <c r="K67" s="2" t="n">
        <v>2</v>
      </c>
      <c r="L67" s="2" t="inlineStr">
        <is>
          <t>materials, solid mechanics</t>
        </is>
      </c>
      <c r="M67" s="2" t="inlineStr"/>
      <c r="N67" s="2" t="inlineStr"/>
      <c r="O67" s="2" t="inlineStr"/>
      <c r="P67" s="2" t="inlineStr"/>
      <c r="Q67" s="2" t="inlineStr"/>
      <c r="R67" s="2" t="inlineStr"/>
      <c r="S67" s="2" t="inlineStr"/>
      <c r="T67" s="2" t="inlineStr"/>
      <c r="U67" s="2" t="inlineStr">
        <is>
          <t>Outstanding Mechanical Engineers Distinguished Engineering Alumni Honorary Doctorates Staff Awards Student Awards Distinguished...</t>
        </is>
      </c>
      <c r="V67" s="2" t="inlineStr"/>
      <c r="W67" s="2" t="inlineStr"/>
      <c r="X67" s="2" t="inlineStr"/>
      <c r="Y67" s="2" t="inlineStr">
        <is>
          <t>Predictive, multi-scale modeling and simulation of microstructure evolution in confined granular systems, with an emphasis in manufacturing processes and the relationship between product fabrication and performance. Application areas of interest include: (i) particulate products and processes (e.g., flow, mixing, segregation, consolidation, and compaction of powders), (ii) continuous manufacturing (e.g., Quality by Design, model predictive control, and reduced order models), and (iii) performance of pharmaceutical solid products (e.g., tensile strength, stiffness, swelling and disintegration), biomaterials (e.g., transport and feeding of corn stover) and energetic materials (e.g., deformation and heat generation under quasi-static, near-resonant and impact conditions, and formation and growth of hot spots) materials.</t>
        </is>
      </c>
      <c r="Z67" s="2" t="inlineStr">
        <is>
          <t>Dynamics &amp; Vibration Solid Mechanics</t>
        </is>
      </c>
      <c r="AA67" s="2" t="inlineStr">
        <is>
          <t>Dynamics &amp; Vibration Solid Mechanics</t>
        </is>
      </c>
      <c r="AB67" s="2" t="inlineStr">
        <is>
          <t>Mechanical Engineer, University of Buenos Aires, '02 Ms.Sc., Aeronautics, California Institute of Technology, '06 Ph.D., Aeronautics (Minor in Materials Science), California Institute of Technology, '11</t>
        </is>
      </c>
      <c r="AC67" s="2" t="inlineStr">
        <is>
          <t>Gonzalez Research Group</t>
        </is>
      </c>
      <c r="AD67" s="3">
        <f>HYPERLINK("http://www.marcialgonzalez.net", "http://www.marcialgonzalez.net")</f>
        <v/>
      </c>
      <c r="AE67" s="2" t="inlineStr"/>
      <c r="AF67" s="2" t="inlineStr"/>
      <c r="AG67" s="2" t="inlineStr"/>
      <c r="AH67" s="2" t="inlineStr"/>
      <c r="AI67" s="2" t="inlineStr"/>
      <c r="AJ67" s="2" t="inlineStr"/>
      <c r="AK67" s="2" t="inlineStr">
        <is>
          <t>ME 3003D</t>
        </is>
      </c>
      <c r="AL67" s="2" t="b">
        <v>1</v>
      </c>
      <c r="AM67" s="3">
        <f>HYPERLINK("https://engineering.purdue.edu/ME/People/ptFaculty", "https://engineering.purdue.edu/ME/People/ptFaculty")</f>
        <v/>
      </c>
    </row>
    <row r="68">
      <c r="A68" s="2" t="inlineStr">
        <is>
          <t>Pavlos Vlachos</t>
        </is>
      </c>
      <c r="B68" s="2" t="inlineStr">
        <is>
          <t>Purdue University</t>
        </is>
      </c>
      <c r="C68" s="3">
        <f>HYPERLINK("https://engineering.purdue.edu/ME/People/ptProfile?resource_id=90129", "https://engineering.purdue.edu/ME/People/ptProfile?resource_id=90129")</f>
        <v/>
      </c>
      <c r="D68" s="3">
        <f>HYPERLINK("https://scholar.google.com/citations?view_op=search_authors&amp;mauthors=Pavlos%20Vlachos%20Purdue%20University", "Google Scholar Search")</f>
        <v/>
      </c>
      <c r="E68" s="2" t="inlineStr">
        <is>
          <t>St. Vincent Health Professor of Healthcare Engineering; Director of the Regenstrief Center for Healthcare Engineering</t>
        </is>
      </c>
      <c r="F68" s="2" t="inlineStr">
        <is>
          <t>Mechanical Engineering</t>
        </is>
      </c>
      <c r="G68" s="2" t="inlineStr"/>
      <c r="H68" s="3">
        <f>HYPERLINK("mailto:pvlachos@purdue.edu", "pvlachos@purdue.edu")</f>
        <v/>
      </c>
      <c r="I68" s="2" t="n">
        <v>3</v>
      </c>
      <c r="J68" s="2" t="inlineStr">
        <is>
          <t>🟠 Tier 3: Structures / Materials / Manufacturing</t>
        </is>
      </c>
      <c r="K68" s="2" t="n">
        <v>2</v>
      </c>
      <c r="L68" s="2" t="inlineStr">
        <is>
          <t>biofluid, fluid mechanics</t>
        </is>
      </c>
      <c r="M68" s="2" t="inlineStr"/>
      <c r="N68" s="2" t="inlineStr"/>
      <c r="O68" s="2" t="inlineStr"/>
      <c r="P68" s="2" t="inlineStr"/>
      <c r="Q68" s="2" t="inlineStr"/>
      <c r="R68" s="2" t="inlineStr"/>
      <c r="S68" s="2" t="inlineStr"/>
      <c r="T68" s="2" t="inlineStr"/>
      <c r="U68" s="2" t="inlineStr">
        <is>
          <t>Outstanding Mechanical Engineers Distinguished Engineering Alumni Honorary Doctorates Staff Awards Student Awards Distinguished...</t>
        </is>
      </c>
      <c r="V68" s="2" t="inlineStr"/>
      <c r="W68" s="2" t="inlineStr"/>
      <c r="X68" s="2" t="inlineStr"/>
      <c r="Y68" s="2" t="inlineStr">
        <is>
          <t>Measurement science and instrumentation Particle image velocimetry Quantification of uncertainty Multi-phase flows Flow induced vibrations and hydro-kinetic energy Biological flows Biofluid mechanics Biomedical cardiovascular devices Heart failure and diastolic dysfunction</t>
        </is>
      </c>
      <c r="Z68" s="2" t="inlineStr">
        <is>
          <t>Fluid Mechanics</t>
        </is>
      </c>
      <c r="AA68" s="2" t="inlineStr">
        <is>
          <t>Fluid Mechanics</t>
        </is>
      </c>
      <c r="AB68" s="2" t="inlineStr">
        <is>
          <t>Diploma, Mechanical Engineering, National Technical University of Athens (NTUA), Greece, '95 M.S. Engineering Science and Mechanics, Virginia Tech, '98 Ph.D., Engineering Science and Mechanics, Virginia Tech, '00</t>
        </is>
      </c>
      <c r="AC68" s="2" t="inlineStr">
        <is>
          <t>Personal Homepage</t>
        </is>
      </c>
      <c r="AD68" s="3">
        <f>HYPERLINK("https://vlachosresearch.org/", "https://vlachosresearch.org/")</f>
        <v/>
      </c>
      <c r="AE68" s="2" t="inlineStr"/>
      <c r="AF68" s="2" t="inlineStr"/>
      <c r="AG68" s="2" t="inlineStr">
        <is>
          <t>PIV, Particle Image Velocimetry, Schlieren</t>
        </is>
      </c>
      <c r="AH68" s="2" t="inlineStr"/>
      <c r="AI68" s="2" t="inlineStr"/>
      <c r="AJ68" s="2" t="inlineStr"/>
      <c r="AK68" s="2" t="inlineStr"/>
      <c r="AL68" s="2" t="b">
        <v>1</v>
      </c>
      <c r="AM68" s="3">
        <f>HYPERLINK("https://engineering.purdue.edu/ME/People/ptFaculty", "https://engineering.purdue.edu/ME/People/ptFaculty")</f>
        <v/>
      </c>
    </row>
    <row r="69">
      <c r="A69" s="2" t="inlineStr">
        <is>
          <t>R Byron Pipes</t>
        </is>
      </c>
      <c r="B69" s="2" t="inlineStr">
        <is>
          <t>Purdue University</t>
        </is>
      </c>
      <c r="C69" s="3">
        <f>HYPERLINK("https://engineering.purdue.edu/AAE/people/ptProfile?resource_id=1436", "https://engineering.purdue.edu/AAE/people/ptProfile?resource_id=1436")</f>
        <v/>
      </c>
      <c r="D69" s="3">
        <f>HYPERLINK("https://scholar.google.com/citations?view_op=search_authors&amp;mauthors=R%20Byron%20Pipes%20Purdue%20University", "Google Scholar Search")</f>
        <v/>
      </c>
      <c r="E69" s="2" t="inlineStr">
        <is>
          <t>John L. Bray Distinguished Professor of Engineering</t>
        </is>
      </c>
      <c r="F69" s="2" t="inlineStr">
        <is>
          <t>Aeronautics and Astronautics</t>
        </is>
      </c>
      <c r="G69" s="2" t="inlineStr"/>
      <c r="H69" s="2" t="inlineStr"/>
      <c r="I69" s="2" t="n">
        <v>3</v>
      </c>
      <c r="J69" s="2" t="inlineStr">
        <is>
          <t>🟠 Tier 3: Structures / Materials / Manufacturing</t>
        </is>
      </c>
      <c r="K69" s="2" t="n">
        <v>2</v>
      </c>
      <c r="L69" s="2" t="inlineStr">
        <is>
          <t>aerospace, materials</t>
        </is>
      </c>
      <c r="M69" s="2" t="inlineStr"/>
      <c r="N69" s="2" t="inlineStr"/>
      <c r="O69" s="2" t="inlineStr"/>
      <c r="P69" s="2" t="inlineStr"/>
      <c r="Q69" s="2" t="inlineStr"/>
      <c r="R69" s="2" t="inlineStr"/>
      <c r="S69" s="2" t="inlineStr"/>
      <c r="T69" s="2" t="inlineStr"/>
      <c r="U69" s="2" t="inlineStr"/>
      <c r="V69" s="2" t="inlineStr"/>
      <c r="W69" s="2" t="inlineStr"/>
      <c r="X69" s="2" t="inlineStr"/>
      <c r="Y69" s="2" t="inlineStr"/>
      <c r="Z69" s="2" t="inlineStr"/>
      <c r="AA69" s="2" t="inlineStr"/>
      <c r="AB69" s="2" t="inlineStr"/>
      <c r="AC69" s="2" t="inlineStr"/>
      <c r="AD69" s="2" t="inlineStr"/>
      <c r="AE69" s="2" t="inlineStr"/>
      <c r="AF69" s="2" t="inlineStr"/>
      <c r="AG69" s="2" t="inlineStr"/>
      <c r="AH69" s="2" t="inlineStr"/>
      <c r="AI69" s="2" t="inlineStr"/>
      <c r="AJ69" s="2" t="inlineStr"/>
      <c r="AK69" s="2" t="inlineStr"/>
      <c r="AL69" s="2" t="b">
        <v>1</v>
      </c>
      <c r="AM69" s="3">
        <f>HYPERLINK("https://engineering.purdue.edu/AAE/people/Faculty", "https://engineering.purdue.edu/AAE/people/Faculty")</f>
        <v/>
      </c>
    </row>
    <row r="70">
      <c r="A70" s="2" t="inlineStr">
        <is>
          <t>Thomas Siegmund</t>
        </is>
      </c>
      <c r="B70" s="2" t="inlineStr">
        <is>
          <t>Purdue University</t>
        </is>
      </c>
      <c r="C70" s="3">
        <f>HYPERLINK("https://engineering.purdue.edu/ME/People/ptProfile?resource_id=12303", "https://engineering.purdue.edu/ME/People/ptProfile?resource_id=12303")</f>
        <v/>
      </c>
      <c r="D70" s="3">
        <f>HYPERLINK("https://scholar.google.com/citations?hl=en&amp;user=axgXCjEAAAAJ", "Scholar (axgXCjEAAAAJ)")</f>
        <v/>
      </c>
      <c r="E70" s="2" t="inlineStr">
        <is>
          <t>Professor of Mechanical Engineering</t>
        </is>
      </c>
      <c r="F70" s="2" t="inlineStr">
        <is>
          <t>Mechanical Engineering</t>
        </is>
      </c>
      <c r="G70" s="2" t="inlineStr">
        <is>
          <t>axgXCjEAAAAJ</t>
        </is>
      </c>
      <c r="H70" s="3">
        <f>HYPERLINK("mailto:siegmund@purdue.edu", "siegmund@purdue.edu")</f>
        <v/>
      </c>
      <c r="I70" s="2" t="n">
        <v>3</v>
      </c>
      <c r="J70" s="2" t="inlineStr">
        <is>
          <t>🟠 Tier 3: Structures / Materials / Manufacturing</t>
        </is>
      </c>
      <c r="K70" s="2" t="n">
        <v>2</v>
      </c>
      <c r="L70" s="2" t="inlineStr">
        <is>
          <t>materials, solid mechanics</t>
        </is>
      </c>
      <c r="M70" s="2" t="inlineStr"/>
      <c r="N70" s="2" t="inlineStr"/>
      <c r="O70" s="2" t="inlineStr"/>
      <c r="P70" s="2" t="inlineStr"/>
      <c r="Q70" s="2" t="inlineStr"/>
      <c r="R70" s="2" t="inlineStr"/>
      <c r="S70" s="2" t="inlineStr"/>
      <c r="T70" s="2" t="inlineStr"/>
      <c r="U70" s="2" t="inlineStr">
        <is>
          <t>Outstanding Mechanical Engineers Distinguished Engineering Alumni Honorary Doctorates Staff Awards Student Awards Distinguished...</t>
        </is>
      </c>
      <c r="V70" s="2" t="inlineStr">
        <is>
          <t>Contact Purdue Engineering MarCom regarding any accessibility issues | Accessibility Resources | Contact Us | Email webmaster-eng@purdue.edu to report a problem</t>
        </is>
      </c>
      <c r="W70" s="2" t="inlineStr"/>
      <c r="X70" s="2" t="inlineStr"/>
      <c r="Y70" s="2" t="inlineStr">
        <is>
          <t>Solid mechanics, multiscale and multiphysics modeling. Design of engineering material systems. Fracture and fatigue. Microarchitectured materials. Biomechanics of soft and hard tissues.</t>
        </is>
      </c>
      <c r="Z70" s="2" t="inlineStr">
        <is>
          <t>Solid Mechanics</t>
        </is>
      </c>
      <c r="AA70" s="2" t="inlineStr">
        <is>
          <t>Solid Mechanics</t>
        </is>
      </c>
      <c r="AB70" s="2" t="inlineStr">
        <is>
          <t>Diplom Ingenieur University of Leoben, Austria, '90 Ph.D. University of Leoben, Austria, '94</t>
        </is>
      </c>
      <c r="AC70" s="2" t="inlineStr">
        <is>
          <t>Lab Website</t>
        </is>
      </c>
      <c r="AD70" s="3">
        <f>HYPERLINK("https://engineering.purdue.edu/MYMECH", "https://engineering.purdue.edu/MYMECH")</f>
        <v/>
      </c>
      <c r="AE70" s="2" t="inlineStr"/>
      <c r="AF70" s="2" t="inlineStr"/>
      <c r="AG70" s="2" t="inlineStr"/>
      <c r="AH70" s="2" t="inlineStr">
        <is>
          <t>DOE</t>
        </is>
      </c>
      <c r="AI70" s="2" t="inlineStr"/>
      <c r="AJ70" s="2" t="inlineStr"/>
      <c r="AK70" s="2" t="inlineStr">
        <is>
          <t>ME 3001</t>
        </is>
      </c>
      <c r="AL70" s="2" t="b">
        <v>1</v>
      </c>
      <c r="AM70" s="3">
        <f>HYPERLINK("https://engineering.purdue.edu/ME/People/ptFaculty", "https://engineering.purdue.edu/ME/People/ptFaculty")</f>
        <v/>
      </c>
    </row>
    <row r="71">
      <c r="A71" s="2" t="inlineStr">
        <is>
          <t>Wenbin Yu</t>
        </is>
      </c>
      <c r="B71" s="2" t="inlineStr">
        <is>
          <t>Purdue University</t>
        </is>
      </c>
      <c r="C71" s="3">
        <f>HYPERLINK("https://engineering.purdue.edu/AAE/people/ptProfile?resource_id=93761", "https://engineering.purdue.edu/AAE/people/ptProfile?resource_id=93761")</f>
        <v/>
      </c>
      <c r="D71" s="3">
        <f>HYPERLINK("https://scholar.google.com/citations?view_op=search_authors&amp;mauthors=Wenbin%20Yu%20Purdue%20University", "Google Scholar Search")</f>
        <v/>
      </c>
      <c r="E71" s="2" t="inlineStr">
        <is>
          <t>Milton Clauser Professor of Aeronautics and Astronautics</t>
        </is>
      </c>
      <c r="F71" s="2" t="inlineStr">
        <is>
          <t>Aeronautics and Astronautics</t>
        </is>
      </c>
      <c r="G71" s="2" t="inlineStr"/>
      <c r="H71" s="3">
        <f>HYPERLINK("mailto:wenbinyu@purdue.edu", "wenbinyu@purdue.edu")</f>
        <v/>
      </c>
      <c r="I71" s="2" t="n">
        <v>3</v>
      </c>
      <c r="J71" s="2" t="inlineStr">
        <is>
          <t>🟠 Tier 3: Structures / Materials / Manufacturing</t>
        </is>
      </c>
      <c r="K71" s="2" t="n">
        <v>2</v>
      </c>
      <c r="L71" s="2" t="inlineStr">
        <is>
          <t>aerospace, materials</t>
        </is>
      </c>
      <c r="M71" s="2" t="inlineStr"/>
      <c r="N71" s="2" t="inlineStr"/>
      <c r="O71" s="2" t="inlineStr"/>
      <c r="P71" s="2" t="inlineStr"/>
      <c r="Q71" s="2" t="inlineStr"/>
      <c r="R71" s="2" t="inlineStr"/>
      <c r="S71" s="2" t="inlineStr"/>
      <c r="T71" s="2" t="inlineStr"/>
      <c r="U71" s="2" t="inlineStr">
        <is>
          <t>Editorial board, Journal of Mechanics of Materials and Structures, 2025- ASC Award in Composites, ASC, 2025 Distinguished Senio...</t>
        </is>
      </c>
      <c r="V71" s="2" t="inlineStr"/>
      <c r="W71" s="2" t="inlineStr"/>
      <c r="X71" s="2" t="inlineStr"/>
      <c r="Y71" s="2" t="inlineStr">
        <is>
          <t>Multiscale Modeling Structural Mechanics Micromechanics Computational Mechanics Multiphysics Modeling Advanced Materials/Structures</t>
        </is>
      </c>
      <c r="Z71" s="2" t="inlineStr"/>
      <c r="AA71" s="2" t="inlineStr">
        <is>
          <t>Multiscale Modeling Structural Mechanics Micromechanics Computational Mechanics Multiphysics Modeling Advanced Materials/Structures</t>
        </is>
      </c>
      <c r="AB71" s="2" t="inlineStr">
        <is>
          <t>Georgia Tech, Aerospace Engineering, MS, 2000; PhD, 2002 Tsinghua University, China, Engineering Mechanics, MS, 1998 North China University of Water Conservancy and Hydroelectric Power, China, Hydraulic Engineering, BS, 1995</t>
        </is>
      </c>
      <c r="AC71" s="2" t="inlineStr">
        <is>
          <t>Indiana Space Grant Consortium</t>
        </is>
      </c>
      <c r="AD71" s="3">
        <f>HYPERLINK("https://insgc.spacegrant.org/", "https://insgc.spacegrant.org/")</f>
        <v/>
      </c>
      <c r="AE71" s="2" t="inlineStr">
        <is>
          <t>Academic INSGC Internships</t>
        </is>
      </c>
      <c r="AF71" s="2" t="inlineStr"/>
      <c r="AG71" s="2" t="inlineStr"/>
      <c r="AH71" s="2" t="inlineStr">
        <is>
          <t>NASA</t>
        </is>
      </c>
      <c r="AI71" s="2" t="inlineStr"/>
      <c r="AJ71" s="2" t="inlineStr"/>
      <c r="AK71" s="2" t="inlineStr">
        <is>
          <t>ARMS 3321</t>
        </is>
      </c>
      <c r="AL71" s="2" t="b">
        <v>1</v>
      </c>
      <c r="AM71" s="3">
        <f>HYPERLINK("https://engineering.purdue.edu/AAE/people/Faculty", "https://engineering.purdue.edu/AAE/people/Faculty")</f>
        <v/>
      </c>
    </row>
    <row r="72">
      <c r="A72" s="2" t="inlineStr">
        <is>
          <t>Ajay Malshe</t>
        </is>
      </c>
      <c r="B72" s="2" t="inlineStr">
        <is>
          <t>Purdue University</t>
        </is>
      </c>
      <c r="C72" s="3">
        <f>HYPERLINK("https://engineering.purdue.edu/ME/People/ptProfile?resource_id=232598", "https://engineering.purdue.edu/ME/People/ptProfile?resource_id=232598")</f>
        <v/>
      </c>
      <c r="D72" s="3">
        <f>HYPERLINK("https://scholar.google.com/citations?view_op=search_authors&amp;mauthors=Ajay%20Malshe%20Purdue%20University", "Google Scholar Search")</f>
        <v/>
      </c>
      <c r="E72" s="2" t="inlineStr">
        <is>
          <t>R. Eugene and Susie E. Goodson Distinguished Professor of Mechanical Engineering; President’s Fellow; Director, Manufacturing and Materials Research Laboratories (MMRL); Co-Director, eXcellence in Manufacturing and Operations (XMO)</t>
        </is>
      </c>
      <c r="F72" s="2" t="inlineStr">
        <is>
          <t>Mechanical Engineering</t>
        </is>
      </c>
      <c r="G72" s="2" t="inlineStr"/>
      <c r="H72" s="3">
        <f>HYPERLINK("mailto:amalshe@purdue.edu", "amalshe@purdue.edu")</f>
        <v/>
      </c>
      <c r="I72" s="2" t="n">
        <v>3</v>
      </c>
      <c r="J72" s="2" t="inlineStr">
        <is>
          <t>🟠 Tier 3: Structures / Materials / Manufacturing</t>
        </is>
      </c>
      <c r="K72" s="2" t="n">
        <v>1</v>
      </c>
      <c r="L72" s="2" t="inlineStr">
        <is>
          <t>materials</t>
        </is>
      </c>
      <c r="M72" s="2" t="inlineStr"/>
      <c r="N72" s="2" t="inlineStr"/>
      <c r="O72" s="2" t="inlineStr"/>
      <c r="P72" s="2" t="inlineStr"/>
      <c r="Q72" s="2" t="inlineStr"/>
      <c r="R72" s="2" t="inlineStr"/>
      <c r="S72" s="2" t="inlineStr"/>
      <c r="T72" s="2" t="inlineStr"/>
      <c r="U72" s="2" t="inlineStr">
        <is>
          <t>Outstanding Mechanical Engineers Distinguished Engineering Alumni Honorary Doctorates Staff Awards Student Awards Distinguished...</t>
        </is>
      </c>
      <c r="V72" s="2" t="inlineStr"/>
      <c r="W72" s="2" t="inlineStr"/>
      <c r="X72" s="2" t="inlineStr"/>
      <c r="Y72" s="2" t="inlineStr">
        <is>
          <t>Bio-inspired designs Surface engineering and multifunctional materials Convergent Manufacturing for Industry 5.0: hybrid manufacturing processes, heterogeneous materials, and bio-inspired designs Systems integration, productization, and production Heavy-duty machines: machining, lubrication, and corrosion Heterogeneous and hierarchical integration (mechanical-electrical-optical and nano-micro-meso-macro) Precision agricultural and food: cellular agriculture, vertical farming, micro-production, and resilience Frugal engineering, social innovations, and social equity Manufacturing in space</t>
        </is>
      </c>
      <c r="Z72" s="2" t="inlineStr">
        <is>
          <t>Design &amp; Manufacturing</t>
        </is>
      </c>
      <c r="AA72" s="2" t="inlineStr">
        <is>
          <t>Design &amp; Manufacturing</t>
        </is>
      </c>
      <c r="AB72" s="2" t="inlineStr"/>
      <c r="AC72" s="2" t="inlineStr">
        <is>
          <t>LinkedIn</t>
        </is>
      </c>
      <c r="AD72" s="3">
        <f>HYPERLINK("https://www.linkedin.com/in/ajay-malshe/", "https://www.linkedin.com/in/ajay-malshe/")</f>
        <v/>
      </c>
      <c r="AE72" s="2" t="inlineStr"/>
      <c r="AF72" s="2" t="inlineStr"/>
      <c r="AG72" s="2" t="inlineStr"/>
      <c r="AH72" s="2" t="inlineStr"/>
      <c r="AI72" s="2" t="inlineStr"/>
      <c r="AJ72" s="2" t="inlineStr"/>
      <c r="AK72" s="2" t="inlineStr">
        <is>
          <t>ME 3003G</t>
        </is>
      </c>
      <c r="AL72" s="2" t="b">
        <v>1</v>
      </c>
      <c r="AM72" s="3">
        <f>HYPERLINK("https://engineering.purdue.edu/ME/People/ptFaculty", "https://engineering.purdue.edu/ME/People/ptFaculty")</f>
        <v/>
      </c>
    </row>
    <row r="73">
      <c r="A73" s="2" t="inlineStr">
        <is>
          <t>Alex Chortos</t>
        </is>
      </c>
      <c r="B73" s="2" t="inlineStr">
        <is>
          <t>Purdue University</t>
        </is>
      </c>
      <c r="C73" s="3">
        <f>HYPERLINK("https://engineering.purdue.edu/ME/People/ptProfile?resource_id=243743", "https://engineering.purdue.edu/ME/People/ptProfile?resource_id=243743")</f>
        <v/>
      </c>
      <c r="D73" s="3">
        <f>HYPERLINK("https://scholar.google.com/citations?view_op=search_authors&amp;mauthors=Alex%20Chortos%20Purdue%20University", "Google Scholar Search")</f>
        <v/>
      </c>
      <c r="E73" s="2" t="inlineStr">
        <is>
          <t>Assistant Professor of Mechanical Engineering</t>
        </is>
      </c>
      <c r="F73" s="2" t="inlineStr">
        <is>
          <t>Mechanical Engineering</t>
        </is>
      </c>
      <c r="G73" s="2" t="inlineStr"/>
      <c r="H73" s="3">
        <f>HYPERLINK("mailto:achortos@purdue.edu", "achortos@purdue.edu")</f>
        <v/>
      </c>
      <c r="I73" s="2" t="n">
        <v>3</v>
      </c>
      <c r="J73" s="2" t="inlineStr">
        <is>
          <t>🟠 Tier 3: Structures / Materials / Manufacturing</t>
        </is>
      </c>
      <c r="K73" s="2" t="n">
        <v>1</v>
      </c>
      <c r="L73" s="2" t="inlineStr">
        <is>
          <t>solid mechanics</t>
        </is>
      </c>
      <c r="M73" s="2" t="inlineStr"/>
      <c r="N73" s="2" t="inlineStr"/>
      <c r="O73" s="2" t="inlineStr"/>
      <c r="P73" s="2" t="inlineStr"/>
      <c r="Q73" s="2" t="inlineStr"/>
      <c r="R73" s="2" t="inlineStr"/>
      <c r="S73" s="2" t="inlineStr"/>
      <c r="T73" s="2" t="inlineStr"/>
      <c r="U73" s="2" t="inlineStr">
        <is>
          <t>Outstanding Mechanical Engineers Distinguished Engineering Alumni Honorary Doctorates Staff Awards Student Awards Distinguished...</t>
        </is>
      </c>
      <c r="V73" s="2" t="inlineStr"/>
      <c r="W73" s="2" t="inlineStr"/>
      <c r="X73" s="2" t="inlineStr"/>
      <c r="Y73" s="2" t="inlineStr">
        <is>
          <t>Bio-inspired and mechanically adaptive electronics Multimaterial additive fabrication Soft actuators (artificial muscles) Wearable actuators (haptics) Polymer design and polymer physics Deformation sensors and transistors</t>
        </is>
      </c>
      <c r="Z73" s="2" t="inlineStr">
        <is>
          <t>Design &amp; Manufacturing Solid Mechanics</t>
        </is>
      </c>
      <c r="AA73" s="2" t="inlineStr">
        <is>
          <t>Design &amp; Manufacturing Solid Mechanics</t>
        </is>
      </c>
      <c r="AB73" s="2" t="inlineStr">
        <is>
          <t>Postdoctoral Fellow, Harvard University, 2020 Ph.D., Stanford University, 2017 B.A.Sc., University of Waterloo, 2011</t>
        </is>
      </c>
      <c r="AC73" s="2" t="inlineStr">
        <is>
          <t>Bionic Interfaces Prototyping Lab</t>
        </is>
      </c>
      <c r="AD73" s="3">
        <f>HYPERLINK("https://www.alexchortos.com/", "https://www.alexchortos.com/")</f>
        <v/>
      </c>
      <c r="AE73" s="2" t="inlineStr"/>
      <c r="AF73" s="2" t="inlineStr"/>
      <c r="AG73" s="2" t="inlineStr"/>
      <c r="AH73" s="2" t="inlineStr"/>
      <c r="AI73" s="2" t="inlineStr"/>
      <c r="AJ73" s="2" t="inlineStr"/>
      <c r="AK73" s="2" t="inlineStr">
        <is>
          <t>ME 3003A</t>
        </is>
      </c>
      <c r="AL73" s="2" t="b">
        <v>1</v>
      </c>
      <c r="AM73" s="3">
        <f>HYPERLINK("https://engineering.purdue.edu/ME/People/ptFaculty", "https://engineering.purdue.edu/ME/People/ptFaculty")</f>
        <v/>
      </c>
    </row>
    <row r="74">
      <c r="A74" s="2" t="inlineStr">
        <is>
          <t>Anil K. Bajaj</t>
        </is>
      </c>
      <c r="B74" s="2" t="inlineStr">
        <is>
          <t>Purdue University</t>
        </is>
      </c>
      <c r="C74" s="3">
        <f>HYPERLINK("https://engineering.purdue.edu/ME/People/ptProfile?resource_id=11316", "https://engineering.purdue.edu/ME/People/ptProfile?resource_id=11316")</f>
        <v/>
      </c>
      <c r="D74" s="3">
        <f>HYPERLINK("https://scholar.google.com/citations?view_op=search_authors&amp;mauthors=Anil%20K.%20Bajaj%20Purdue%20University", "Google Scholar Search")</f>
        <v/>
      </c>
      <c r="E74" s="2" t="inlineStr">
        <is>
          <t>Alpha P. Jamison Professor of Mechanical Engineering</t>
        </is>
      </c>
      <c r="F74" s="2" t="inlineStr">
        <is>
          <t>Mechanical Engineering</t>
        </is>
      </c>
      <c r="G74" s="2" t="inlineStr"/>
      <c r="H74" s="3">
        <f>HYPERLINK("mailto:bajaj@purdue.edu", "bajaj@purdue.edu")</f>
        <v/>
      </c>
      <c r="I74" s="2" t="n">
        <v>3</v>
      </c>
      <c r="J74" s="2" t="inlineStr">
        <is>
          <t>🟠 Tier 3: Structures / Materials / Manufacturing</t>
        </is>
      </c>
      <c r="K74" s="2" t="n">
        <v>1</v>
      </c>
      <c r="L74" s="2" t="inlineStr">
        <is>
          <t>solid mechanics</t>
        </is>
      </c>
      <c r="M74" s="2" t="inlineStr"/>
      <c r="N74" s="2" t="inlineStr"/>
      <c r="O74" s="2" t="inlineStr"/>
      <c r="P74" s="2" t="inlineStr"/>
      <c r="Q74" s="2" t="inlineStr"/>
      <c r="R74" s="2" t="inlineStr"/>
      <c r="S74" s="2" t="inlineStr"/>
      <c r="T74" s="2" t="inlineStr"/>
      <c r="U74" s="2" t="inlineStr">
        <is>
          <t>Outstanding Mechanical Engineers Distinguished Engineering Alumni Honorary Doctorates Staff Awards Student Awards Distinguished...</t>
        </is>
      </c>
      <c r="V74" s="2" t="inlineStr"/>
      <c r="W74" s="2" t="inlineStr"/>
      <c r="X74" s="2" t="inlineStr"/>
      <c r="Y74" s="2" t="inlineStr">
        <is>
          <t>Modeling of nonlinear systems Structural dynamics and localization Flow-induced vibrations Impacting systems Bifurcations and chaos</t>
        </is>
      </c>
      <c r="Z74" s="2" t="inlineStr">
        <is>
          <t>Dynamics &amp; Vibration Systems, Measurements &amp; Controls Solid Mechanics</t>
        </is>
      </c>
      <c r="AA74" s="2" t="inlineStr">
        <is>
          <t>Dynamics &amp; Vibration Systems, Measurements &amp; Controls Solid Mechanics</t>
        </is>
      </c>
      <c r="AB74" s="2" t="inlineStr">
        <is>
          <t>B.Tech. Indian Institute of Technology, Kharagpur, '73 M.S. Indian Institute of Technology, Kanpur, '76 Ph.D. Minnesota, '81</t>
        </is>
      </c>
      <c r="AC74" s="2" t="inlineStr">
        <is>
          <t>Indiana Space Grant Consortium</t>
        </is>
      </c>
      <c r="AD74" s="3">
        <f>HYPERLINK("https://insgc.spacegrant.org/", "https://insgc.spacegrant.org/")</f>
        <v/>
      </c>
      <c r="AE74" s="2" t="inlineStr">
        <is>
          <t>Academic INSGC Internships</t>
        </is>
      </c>
      <c r="AF74" s="2" t="inlineStr"/>
      <c r="AG74" s="2" t="inlineStr"/>
      <c r="AH74" s="2" t="inlineStr">
        <is>
          <t>NASA</t>
        </is>
      </c>
      <c r="AI74" s="2" t="inlineStr"/>
      <c r="AJ74" s="2" t="inlineStr"/>
      <c r="AK74" s="2" t="inlineStr">
        <is>
          <t>ME 3180</t>
        </is>
      </c>
      <c r="AL74" s="2" t="b">
        <v>1</v>
      </c>
      <c r="AM74" s="3">
        <f>HYPERLINK("https://engineering.purdue.edu/ME/People/ptFaculty", "https://engineering.purdue.edu/ME/People/ptFaculty")</f>
        <v/>
      </c>
    </row>
    <row r="75">
      <c r="A75" s="2" t="inlineStr">
        <is>
          <t>Babak Anasori</t>
        </is>
      </c>
      <c r="B75" s="2" t="inlineStr">
        <is>
          <t>Purdue University</t>
        </is>
      </c>
      <c r="C75" s="3">
        <f>HYPERLINK("https://engineering.purdue.edu/ME/People/ptProfile?resource_id=250301", "https://engineering.purdue.edu/ME/People/ptProfile?resource_id=250301")</f>
        <v/>
      </c>
      <c r="D75" s="3">
        <f>HYPERLINK("https://scholar.google.com/citations?view_op=search_authors&amp;mauthors=Babak%20Anasori%20Purdue%20University", "Google Scholar Search")</f>
        <v/>
      </c>
      <c r="E75" s="2" t="inlineStr">
        <is>
          <t>Reilly Rising Star Associate Professor of Materials and Mechanical Engineering</t>
        </is>
      </c>
      <c r="F75" s="2" t="inlineStr">
        <is>
          <t>Mechanical Engineering</t>
        </is>
      </c>
      <c r="G75" s="2" t="inlineStr"/>
      <c r="H75" s="3">
        <f>HYPERLINK("mailto:banasori@purdue.edu", "banasori@purdue.edu")</f>
        <v/>
      </c>
      <c r="I75" s="2" t="n">
        <v>3</v>
      </c>
      <c r="J75" s="2" t="inlineStr">
        <is>
          <t>🟠 Tier 3: Structures / Materials / Manufacturing</t>
        </is>
      </c>
      <c r="K75" s="2" t="n">
        <v>1</v>
      </c>
      <c r="L75" s="2" t="inlineStr">
        <is>
          <t>materials</t>
        </is>
      </c>
      <c r="M75" s="2" t="inlineStr"/>
      <c r="N75" s="2" t="inlineStr"/>
      <c r="O75" s="2" t="inlineStr"/>
      <c r="P75" s="2" t="inlineStr"/>
      <c r="Q75" s="2" t="inlineStr"/>
      <c r="R75" s="2" t="inlineStr"/>
      <c r="S75" s="2" t="inlineStr"/>
      <c r="T75" s="2" t="inlineStr"/>
      <c r="U75" s="2" t="inlineStr">
        <is>
          <t>Outstanding Mechanical Engineers Distinguished Engineering Alumni Honorary Doctorates Staff Awards Student Awards Distinguished...</t>
        </is>
      </c>
      <c r="V75" s="2" t="inlineStr"/>
      <c r="W75" s="2" t="inlineStr"/>
      <c r="X75" s="2" t="inlineStr"/>
      <c r="Y75" s="2" t="inlineStr">
        <is>
          <t>Two-dimensional (2D) transition metal carbides and nitrides, MXenes</t>
        </is>
      </c>
      <c r="Z75" s="2" t="inlineStr"/>
      <c r="AA75" s="2" t="inlineStr">
        <is>
          <t>Two-dimensional (2D) transition metal carbides and nitrides, MXenes</t>
        </is>
      </c>
      <c r="AB75" s="2" t="inlineStr"/>
      <c r="AC75" s="2" t="inlineStr">
        <is>
          <t>Layered Materials and Structures Lab (LMSL)</t>
        </is>
      </c>
      <c r="AD75" s="3">
        <f>HYPERLINK("https://www.babakanasori.com/", "https://www.babakanasori.com/")</f>
        <v/>
      </c>
      <c r="AE75" s="2" t="inlineStr"/>
      <c r="AF75" s="2" t="inlineStr"/>
      <c r="AG75" s="2" t="inlineStr">
        <is>
          <t>SEM</t>
        </is>
      </c>
      <c r="AH75" s="2" t="inlineStr"/>
      <c r="AI75" s="2" t="inlineStr"/>
      <c r="AJ75" s="2" t="inlineStr"/>
      <c r="AK75" s="2" t="inlineStr">
        <is>
          <t>SL260M (Indy) / ARMS2209 (WL)</t>
        </is>
      </c>
      <c r="AL75" s="2" t="b">
        <v>1</v>
      </c>
      <c r="AM75" s="3">
        <f>HYPERLINK("https://engineering.purdue.edu/ME/People/ptFaculty", "https://engineering.purdue.edu/ME/People/ptFaculty")</f>
        <v/>
      </c>
    </row>
    <row r="76">
      <c r="A76" s="2" t="inlineStr">
        <is>
          <t>Beth Holloway</t>
        </is>
      </c>
      <c r="B76" s="2" t="inlineStr">
        <is>
          <t>Purdue University</t>
        </is>
      </c>
      <c r="C76" s="3">
        <f>HYPERLINK("https://engineering.purdue.edu/Engr/People/ptProfile?resource_id=4110", "https://engineering.purdue.edu/Engr/People/ptProfile?resource_id=4110")</f>
        <v/>
      </c>
      <c r="D76" s="3">
        <f>HYPERLINK("https://scholar.google.com/citations?view_op=search_authors&amp;mauthors=Beth%20Holloway%20Purdue%20University", "Google Scholar Search")</f>
        <v/>
      </c>
      <c r="E76" s="2" t="inlineStr">
        <is>
          <t>Senior Assistant Dean for Student Access and Success; Leah H. Jamieson Director of the Women In Engineering Program, College of Engineering; Professor of Engineering Practice</t>
        </is>
      </c>
      <c r="F76" s="2" t="inlineStr">
        <is>
          <t>Mechanical Engineering</t>
        </is>
      </c>
      <c r="G76" s="2" t="inlineStr"/>
      <c r="H76" s="3">
        <f>HYPERLINK("mailto:holloway@purdue.edu", "holloway@purdue.edu")</f>
        <v/>
      </c>
      <c r="I76" s="2" t="n">
        <v>3</v>
      </c>
      <c r="J76" s="2" t="inlineStr">
        <is>
          <t>🟠 Tier 3: Structures / Materials / Manufacturing</t>
        </is>
      </c>
      <c r="K76" s="2" t="n">
        <v>1</v>
      </c>
      <c r="L76" s="2" t="inlineStr">
        <is>
          <t>materials</t>
        </is>
      </c>
      <c r="M76" s="2" t="inlineStr"/>
      <c r="N76" s="2" t="inlineStr"/>
      <c r="O76" s="2" t="inlineStr"/>
      <c r="P76" s="2" t="inlineStr"/>
      <c r="Q76" s="2" t="inlineStr"/>
      <c r="R76" s="2" t="inlineStr"/>
      <c r="S76" s="2" t="inlineStr"/>
      <c r="T76" s="2" t="inlineStr"/>
      <c r="U76" s="2" t="inlineStr"/>
      <c r="V76" s="2" t="inlineStr"/>
      <c r="W76" s="2" t="inlineStr"/>
      <c r="X76" s="2" t="inlineStr"/>
      <c r="Y76" s="2" t="inlineStr"/>
      <c r="Z76" s="2" t="inlineStr"/>
      <c r="AA76" s="2" t="inlineStr"/>
      <c r="AB76" s="2" t="inlineStr">
        <is>
          <t>Undergraduate Engineering Degree Maps First Year Engineering Aeronautical &amp; Astronautical Engineering (Undergraduate) Agricultural &amp; Biological Engineering (Undergraduate) Biomedical Engineering (Undergraduate) Chemical Engineering (Undergraduate) Civil &amp; Construction Engineering (Undergraduate) Electrical &amp; Computer Engineering (Undergraduate) Industrial Engineering (Undergraduate) Interdisciplinary Engineering (Undergraduate) Materials Engineering (Undergraduate) Mechanical Engineering (Undergraduate) Multidisciplinary Engineering (Undergraduate) Nuclear Engineering (Undergraduate) Sustainability Engineering &amp; Environmental Engineering (Undergraduate)</t>
        </is>
      </c>
      <c r="AC76" s="2" t="inlineStr">
        <is>
          <t>Indiana Space Grant Consortium</t>
        </is>
      </c>
      <c r="AD76" s="3">
        <f>HYPERLINK("https://insgc.spacegrant.org/", "https://insgc.spacegrant.org/")</f>
        <v/>
      </c>
      <c r="AE76" s="2" t="inlineStr">
        <is>
          <t>Academic INSGC Internships</t>
        </is>
      </c>
      <c r="AF76" s="2" t="inlineStr"/>
      <c r="AG76" s="2" t="inlineStr"/>
      <c r="AH76" s="2" t="inlineStr">
        <is>
          <t>NASA</t>
        </is>
      </c>
      <c r="AI76" s="2" t="inlineStr"/>
      <c r="AJ76" s="2" t="inlineStr"/>
      <c r="AK76" s="2" t="inlineStr"/>
      <c r="AL76" s="2" t="b">
        <v>1</v>
      </c>
      <c r="AM76" s="3">
        <f>HYPERLINK("https://engineering.purdue.edu/ME/People/ptFaculty", "https://engineering.purdue.edu/ME/People/ptFaculty")</f>
        <v/>
      </c>
    </row>
    <row r="77">
      <c r="A77" s="2" t="inlineStr">
        <is>
          <t>Eduardo Barocio Vaca</t>
        </is>
      </c>
      <c r="B77" s="2" t="inlineStr">
        <is>
          <t>Purdue University</t>
        </is>
      </c>
      <c r="C77" s="3">
        <f>HYPERLINK("https://engineering.purdue.edu/ME/People/ptProfile?resource_id=120407", "https://engineering.purdue.edu/ME/People/ptProfile?resource_id=120407")</f>
        <v/>
      </c>
      <c r="D77" s="3">
        <f>HYPERLINK("https://scholar.google.com/citations?view_op=search_authors&amp;mauthors=Eduardo%20Barocio%20Vaca%20Purdue%20University", "Google Scholar Search")</f>
        <v/>
      </c>
      <c r="E77" s="2" t="inlineStr">
        <is>
          <t>Assistant Professor of Mechanical Engineering</t>
        </is>
      </c>
      <c r="F77" s="2" t="inlineStr">
        <is>
          <t>Mechanical Engineering</t>
        </is>
      </c>
      <c r="G77" s="2" t="inlineStr"/>
      <c r="H77" s="3">
        <f>HYPERLINK("mailto:ebarocio@purdue.edu", "ebarocio@purdue.edu")</f>
        <v/>
      </c>
      <c r="I77" s="2" t="n">
        <v>3</v>
      </c>
      <c r="J77" s="2" t="inlineStr">
        <is>
          <t>🟠 Tier 3: Structures / Materials / Manufacturing</t>
        </is>
      </c>
      <c r="K77" s="2" t="n">
        <v>1</v>
      </c>
      <c r="L77" s="2" t="inlineStr">
        <is>
          <t>solid mechanics</t>
        </is>
      </c>
      <c r="M77" s="2" t="inlineStr"/>
      <c r="N77" s="2" t="inlineStr"/>
      <c r="O77" s="2" t="inlineStr"/>
      <c r="P77" s="2" t="inlineStr"/>
      <c r="Q77" s="2" t="inlineStr"/>
      <c r="R77" s="2" t="inlineStr"/>
      <c r="S77" s="2" t="inlineStr"/>
      <c r="T77" s="2" t="inlineStr"/>
      <c r="U77" s="2" t="inlineStr">
        <is>
          <t>Outstanding Mechanical Engineers Distinguished Engineering Alumni Honorary Doctorates Staff Awards Student Awards Distinguished...</t>
        </is>
      </c>
      <c r="V77" s="2" t="inlineStr"/>
      <c r="W77" s="2" t="inlineStr"/>
      <c r="X77" s="2" t="inlineStr"/>
      <c r="Y77" s="2" t="inlineStr"/>
      <c r="Z77" s="2" t="inlineStr">
        <is>
          <t>Design &amp; Manufacturing Solid Mechanics</t>
        </is>
      </c>
      <c r="AA77" s="2" t="inlineStr">
        <is>
          <t>Design &amp; Manufacturing Solid Mechanics</t>
        </is>
      </c>
      <c r="AB77" s="2" t="inlineStr"/>
      <c r="AC77" s="2" t="inlineStr">
        <is>
          <t>Indiana Space Grant Consortium</t>
        </is>
      </c>
      <c r="AD77" s="3">
        <f>HYPERLINK("https://insgc.spacegrant.org/", "https://insgc.spacegrant.org/")</f>
        <v/>
      </c>
      <c r="AE77" s="2" t="inlineStr">
        <is>
          <t>Academic INSGC Internships</t>
        </is>
      </c>
      <c r="AF77" s="2" t="inlineStr"/>
      <c r="AG77" s="2" t="inlineStr"/>
      <c r="AH77" s="2" t="inlineStr">
        <is>
          <t>NASA</t>
        </is>
      </c>
      <c r="AI77" s="2" t="inlineStr"/>
      <c r="AJ77" s="2" t="inlineStr"/>
      <c r="AK77" s="2" t="inlineStr"/>
      <c r="AL77" s="2" t="b">
        <v>1</v>
      </c>
      <c r="AM77" s="3">
        <f>HYPERLINK("https://engineering.purdue.edu/ME/People/ptFaculty", "https://engineering.purdue.edu/ME/People/ptFaculty")</f>
        <v/>
      </c>
    </row>
    <row r="78">
      <c r="A78" s="2" t="inlineStr">
        <is>
          <t>Farshid Sadeghi</t>
        </is>
      </c>
      <c r="B78" s="2" t="inlineStr">
        <is>
          <t>Purdue University</t>
        </is>
      </c>
      <c r="C78" s="3">
        <f>HYPERLINK("https://engineering.purdue.edu/ME/People/ptProfile?resource_id=23987", "https://engineering.purdue.edu/ME/People/ptProfile?resource_id=23987")</f>
        <v/>
      </c>
      <c r="D78" s="3">
        <f>HYPERLINK("https://scholar.google.com/citations?view_op=search_authors&amp;mauthors=Farshid%20Sadeghi%20Purdue%20University", "Google Scholar Search")</f>
        <v/>
      </c>
      <c r="E78" s="2" t="inlineStr">
        <is>
          <t>Cummins Distinguished Professor of Mechanical Engineering</t>
        </is>
      </c>
      <c r="F78" s="2" t="inlineStr">
        <is>
          <t>Mechanical Engineering</t>
        </is>
      </c>
      <c r="G78" s="2" t="inlineStr"/>
      <c r="H78" s="3">
        <f>HYPERLINK("mailto:sadeghi@purdue.edu", "sadeghi@purdue.edu")</f>
        <v/>
      </c>
      <c r="I78" s="2" t="n">
        <v>3</v>
      </c>
      <c r="J78" s="2" t="inlineStr">
        <is>
          <t>🟠 Tier 3: Structures / Materials / Manufacturing</t>
        </is>
      </c>
      <c r="K78" s="2" t="n">
        <v>1</v>
      </c>
      <c r="L78" s="2" t="inlineStr">
        <is>
          <t>solid mechanics</t>
        </is>
      </c>
      <c r="M78" s="2" t="inlineStr"/>
      <c r="N78" s="2" t="inlineStr"/>
      <c r="O78" s="2" t="inlineStr"/>
      <c r="P78" s="2" t="inlineStr"/>
      <c r="Q78" s="2" t="inlineStr"/>
      <c r="R78" s="2" t="inlineStr"/>
      <c r="S78" s="2" t="inlineStr"/>
      <c r="T78" s="2" t="inlineStr"/>
      <c r="U78" s="2" t="inlineStr">
        <is>
          <t>Outstanding Mechanical Engineers Distinguished Engineering Alumni Honorary Doctorates Staff Awards Student Awards Distinguished...</t>
        </is>
      </c>
      <c r="V78" s="2" t="inlineStr">
        <is>
          <t>METL is frequently looking to hire graduate research assistants. If you are interested in a research position at the Mechanical Engineering Tribology Lab, please email your application to Professor Sadeghi. (sadeghi@purdue.edu) It is suggested that you include the following: Curriculum vitae or Resume Indicate desired role (i.e. Direct Ph.D, Ph.D, Masters, etc.) Clearly indicate previous experience or academic background</t>
        </is>
      </c>
      <c r="W78" s="2" t="inlineStr"/>
      <c r="X78" s="2" t="inlineStr"/>
      <c r="Y78" s="2" t="inlineStr">
        <is>
          <t>Contact mechanics Stresses, fatigue and friction of rolling/sliding Micro-mechanics of boundary and mixed lubrication regimes Spall initiation and propagation Surface science and damage Dynamics of ball and rolling element bearings and rotating systems Friction induced vibration and squeal in dry contacts Friction and wear of dry and lubricated contacts Virtual tribology Dry and lubricated fretting wear MEMS for in-situ monitoring of tribological contacts Discrete element modeling Design</t>
        </is>
      </c>
      <c r="Z78" s="2" t="inlineStr">
        <is>
          <t>Design &amp; Manufacturing Solid Mechanics</t>
        </is>
      </c>
      <c r="AA78" s="2" t="inlineStr">
        <is>
          <t>Design &amp; Manufacturing Solid Mechanics</t>
        </is>
      </c>
      <c r="AB78" s="2" t="inlineStr">
        <is>
          <t>B.S. University of Tennessee, '79 M.S. University of Tennessee, '81 Ph.D. North Carolina State University, '85</t>
        </is>
      </c>
      <c r="AC78" s="2" t="inlineStr">
        <is>
          <t>Mechanical Engineering Tribology Laboratory (METL)</t>
        </is>
      </c>
      <c r="AD78" s="3">
        <f>HYPERLINK("https://engineering.purdue.edu/METL", "https://engineering.purdue.edu/METL")</f>
        <v/>
      </c>
      <c r="AE78" s="2" t="inlineStr"/>
      <c r="AF78" s="2" t="inlineStr"/>
      <c r="AG78" s="2" t="inlineStr"/>
      <c r="AH78" s="2" t="inlineStr"/>
      <c r="AI78" s="2" t="inlineStr"/>
      <c r="AJ78" s="2" t="inlineStr"/>
      <c r="AK78" s="2" t="inlineStr"/>
      <c r="AL78" s="2" t="b">
        <v>1</v>
      </c>
      <c r="AM78" s="3">
        <f>HYPERLINK("https://engineering.purdue.edu/ME/People/ptFaculty", "https://engineering.purdue.edu/ME/People/ptFaculty")</f>
        <v/>
      </c>
    </row>
    <row r="79">
      <c r="A79" s="2" t="inlineStr">
        <is>
          <t>Ilias Bilionis</t>
        </is>
      </c>
      <c r="B79" s="2" t="inlineStr">
        <is>
          <t>Purdue University</t>
        </is>
      </c>
      <c r="C79" s="3">
        <f>HYPERLINK("https://engineering.purdue.edu/ME/People/ptProfile?resource_id=113500", "https://engineering.purdue.edu/ME/People/ptProfile?resource_id=113500")</f>
        <v/>
      </c>
      <c r="D79" s="3">
        <f>HYPERLINK("https://scholar.google.com/citations?view_op=search_authors&amp;mauthors=Ilias%20Bilionis%20Purdue%20University", "Google Scholar Search")</f>
        <v/>
      </c>
      <c r="E79" s="2" t="inlineStr">
        <is>
          <t>Professor of Mechanical Engineering</t>
        </is>
      </c>
      <c r="F79" s="2" t="inlineStr">
        <is>
          <t>Mechanical Engineering</t>
        </is>
      </c>
      <c r="G79" s="2" t="inlineStr"/>
      <c r="H79" s="3">
        <f>HYPERLINK("mailto:ibilion@purdue.edu", "ibilion@purdue.edu")</f>
        <v/>
      </c>
      <c r="I79" s="2" t="n">
        <v>3</v>
      </c>
      <c r="J79" s="2" t="inlineStr">
        <is>
          <t>🟠 Tier 3: Structures / Materials / Manufacturing</t>
        </is>
      </c>
      <c r="K79" s="2" t="n">
        <v>1</v>
      </c>
      <c r="L79" s="2" t="inlineStr">
        <is>
          <t>materials</t>
        </is>
      </c>
      <c r="M79" s="2" t="inlineStr"/>
      <c r="N79" s="2" t="inlineStr"/>
      <c r="O79" s="2" t="inlineStr"/>
      <c r="P79" s="2" t="inlineStr"/>
      <c r="Q79" s="2" t="inlineStr"/>
      <c r="R79" s="2" t="inlineStr"/>
      <c r="S79" s="2" t="inlineStr"/>
      <c r="T79" s="2" t="inlineStr"/>
      <c r="U79" s="2" t="inlineStr">
        <is>
          <t>Outstanding Mechanical Engineers Distinguished Engineering Alumni Honorary Doctorates Staff Awards Student Awards Distinguished...</t>
        </is>
      </c>
      <c r="V79" s="2" t="inlineStr"/>
      <c r="W79" s="2" t="inlineStr"/>
      <c r="X79" s="2" t="inlineStr"/>
      <c r="Y79" s="2" t="inlineStr">
        <is>
          <t>Uncertainty propagation Inverse problems Propagation of information across scales Optimal learning Materials by design</t>
        </is>
      </c>
      <c r="Z79" s="2" t="inlineStr">
        <is>
          <t>Dynamics &amp; Vibration Design &amp; Manufacturing Systems, Measurements &amp; Controls</t>
        </is>
      </c>
      <c r="AA79" s="2" t="inlineStr">
        <is>
          <t>Dynamics &amp; Vibration Design &amp; Manufacturing Systems, Measurements &amp; Controls</t>
        </is>
      </c>
      <c r="AB79" s="2" t="inlineStr"/>
      <c r="AC79" s="2" t="inlineStr">
        <is>
          <t>Predictive Science Lab</t>
        </is>
      </c>
      <c r="AD79" s="3">
        <f>HYPERLINK("https://www.predictivesciencelab.org/", "https://www.predictivesciencelab.org/")</f>
        <v/>
      </c>
      <c r="AE79" s="2" t="inlineStr"/>
      <c r="AF79" s="2" t="inlineStr"/>
      <c r="AG79" s="2" t="inlineStr"/>
      <c r="AH79" s="2" t="inlineStr"/>
      <c r="AI79" s="3">
        <f>HYPERLINK("https://github.com/PredictiveScienceLab", "https://github.com/PredictiveScienceLab")</f>
        <v/>
      </c>
      <c r="AJ79" s="2" t="inlineStr"/>
      <c r="AK79" s="2" t="inlineStr">
        <is>
          <t>FLEX 3081C</t>
        </is>
      </c>
      <c r="AL79" s="2" t="b">
        <v>1</v>
      </c>
      <c r="AM79" s="3">
        <f>HYPERLINK("https://engineering.purdue.edu/ME/People/ptFaculty", "https://engineering.purdue.edu/ME/People/ptFaculty")</f>
        <v/>
      </c>
    </row>
    <row r="80">
      <c r="A80" s="2" t="inlineStr">
        <is>
          <t>James Gibert</t>
        </is>
      </c>
      <c r="B80" s="2" t="inlineStr">
        <is>
          <t>Purdue University</t>
        </is>
      </c>
      <c r="C80" s="3">
        <f>HYPERLINK("https://engineering.purdue.edu/ME/People/ptProfile?resource_id=127242", "https://engineering.purdue.edu/ME/People/ptProfile?resource_id=127242")</f>
        <v/>
      </c>
      <c r="D80" s="3">
        <f>HYPERLINK("https://scholar.google.com/citations?view_op=search_authors&amp;mauthors=James%20Gibert%20Purdue%20University", "Google Scholar Search")</f>
        <v/>
      </c>
      <c r="E80" s="2" t="inlineStr">
        <is>
          <t>Professor of Mechanical Engineering</t>
        </is>
      </c>
      <c r="F80" s="2" t="inlineStr">
        <is>
          <t>Mechanical Engineering</t>
        </is>
      </c>
      <c r="G80" s="2" t="inlineStr"/>
      <c r="H80" s="3">
        <f>HYPERLINK("mailto:jgibert@purdue.edu", "jgibert@purdue.edu")</f>
        <v/>
      </c>
      <c r="I80" s="2" t="n">
        <v>3</v>
      </c>
      <c r="J80" s="2" t="inlineStr">
        <is>
          <t>🟠 Tier 3: Structures / Materials / Manufacturing</t>
        </is>
      </c>
      <c r="K80" s="2" t="n">
        <v>1</v>
      </c>
      <c r="L80" s="2" t="inlineStr">
        <is>
          <t>solid mechanics</t>
        </is>
      </c>
      <c r="M80" s="2" t="inlineStr"/>
      <c r="N80" s="2" t="inlineStr"/>
      <c r="O80" s="2" t="inlineStr"/>
      <c r="P80" s="2" t="inlineStr"/>
      <c r="Q80" s="2" t="inlineStr"/>
      <c r="R80" s="2" t="inlineStr"/>
      <c r="S80" s="2" t="inlineStr"/>
      <c r="T80" s="2" t="inlineStr"/>
      <c r="U80" s="2" t="inlineStr">
        <is>
          <t>Outstanding Mechanical Engineers Distinguished Engineering Alumni Honorary Doctorates Staff Awards Student Awards Distinguished...</t>
        </is>
      </c>
      <c r="V80" s="2" t="inlineStr"/>
      <c r="W80" s="2" t="inlineStr"/>
      <c r="X80" s="2" t="inlineStr"/>
      <c r="Y80" s="2" t="inlineStr">
        <is>
          <t>Vibrations and nonlinear dynamics Smart material systems Non-pneumatic tires Optimization of mechanical systems Additive manufacturing</t>
        </is>
      </c>
      <c r="Z80" s="2" t="inlineStr">
        <is>
          <t>Dynamics &amp; Vibration Solid Mechanics</t>
        </is>
      </c>
      <c r="AA80" s="2" t="inlineStr">
        <is>
          <t>Dynamics &amp; Vibration Solid Mechanics</t>
        </is>
      </c>
      <c r="AB80" s="2" t="inlineStr">
        <is>
          <t>B.S., Clemson University,   ‘02 M.S., Clemson University,   ‘04 Ph.D., Clemson University,   ‘09</t>
        </is>
      </c>
      <c r="AC80" s="2" t="inlineStr">
        <is>
          <t>Indiana Space Grant Consortium</t>
        </is>
      </c>
      <c r="AD80" s="3">
        <f>HYPERLINK("https://insgc.spacegrant.org/", "https://insgc.spacegrant.org/")</f>
        <v/>
      </c>
      <c r="AE80" s="2" t="inlineStr">
        <is>
          <t>Academic INSGC Internships</t>
        </is>
      </c>
      <c r="AF80" s="2" t="inlineStr"/>
      <c r="AG80" s="2" t="inlineStr"/>
      <c r="AH80" s="2" t="inlineStr">
        <is>
          <t>NASA</t>
        </is>
      </c>
      <c r="AI80" s="2" t="inlineStr"/>
      <c r="AJ80" s="2" t="inlineStr"/>
      <c r="AK80" s="2" t="inlineStr"/>
      <c r="AL80" s="2" t="b">
        <v>1</v>
      </c>
      <c r="AM80" s="3">
        <f>HYPERLINK("https://engineering.purdue.edu/ME/People/ptFaculty", "https://engineering.purdue.edu/ME/People/ptFaculty")</f>
        <v/>
      </c>
    </row>
    <row r="81">
      <c r="A81" s="2" t="inlineStr">
        <is>
          <t>Jitesh H. Panchal</t>
        </is>
      </c>
      <c r="B81" s="2" t="inlineStr">
        <is>
          <t>Purdue University</t>
        </is>
      </c>
      <c r="C81" s="3">
        <f>HYPERLINK("https://engineering.purdue.edu/ME/People/ptProfile?resource_id=80194", "https://engineering.purdue.edu/ME/People/ptProfile?resource_id=80194")</f>
        <v/>
      </c>
      <c r="D81" s="3">
        <f>HYPERLINK("https://scholar.google.com/citations?view_op=search_authors&amp;mauthors=Jitesh%20H.%20Panchal%20Purdue%20University", "Google Scholar Search")</f>
        <v/>
      </c>
      <c r="E81" s="2" t="inlineStr">
        <is>
          <t>Professor of Mechanical Engineering and Associate Head of Undergraduate Programs</t>
        </is>
      </c>
      <c r="F81" s="2" t="inlineStr">
        <is>
          <t>Mechanical Engineering</t>
        </is>
      </c>
      <c r="G81" s="2" t="inlineStr"/>
      <c r="H81" s="3">
        <f>HYPERLINK("mailto:panchal@purdue.edu", "panchal@purdue.edu")</f>
        <v/>
      </c>
      <c r="I81" s="2" t="n">
        <v>3</v>
      </c>
      <c r="J81" s="2" t="inlineStr">
        <is>
          <t>🟠 Tier 3: Structures / Materials / Manufacturing</t>
        </is>
      </c>
      <c r="K81" s="2" t="n">
        <v>1</v>
      </c>
      <c r="L81" s="2" t="inlineStr">
        <is>
          <t>materials</t>
        </is>
      </c>
      <c r="M81" s="2" t="inlineStr"/>
      <c r="N81" s="2" t="inlineStr"/>
      <c r="O81" s="2" t="inlineStr"/>
      <c r="P81" s="2" t="inlineStr"/>
      <c r="Q81" s="2" t="inlineStr"/>
      <c r="R81" s="2" t="inlineStr"/>
      <c r="S81" s="2" t="inlineStr"/>
      <c r="T81" s="2" t="inlineStr"/>
      <c r="U81" s="2" t="inlineStr">
        <is>
          <t>Outstanding Mechanical Engineers Distinguished Engineering Alumni Honorary Doctorates Staff Awards Student Awards Distinguished...</t>
        </is>
      </c>
      <c r="V81" s="2" t="inlineStr">
        <is>
          <t>Contact Purdue Engineering MarCom regarding any accessibility issues | Accessibility Resources | Contact Us | Email webmaster-eng@purdue.edu to report a problem</t>
        </is>
      </c>
      <c r="W81" s="2" t="inlineStr"/>
      <c r="X81" s="2" t="inlineStr"/>
      <c r="Y81" s="2" t="inlineStr">
        <is>
          <t>Computational Design of Socio-Technical Systems Secure Design and Manufacturing Engineering Design by Self-Organized Virtual Communities Integrated Products and Materials Design</t>
        </is>
      </c>
      <c r="Z81" s="2" t="inlineStr">
        <is>
          <t>Design &amp; Manufacturing</t>
        </is>
      </c>
      <c r="AA81" s="2" t="inlineStr">
        <is>
          <t>Design &amp; Manufacturing</t>
        </is>
      </c>
      <c r="AB81" s="2" t="inlineStr">
        <is>
          <t>Ph.D. (ME), Georgia Institute of Technology, '05 M.S. (ME), Georgia Institute of Technology, '03 B.Tech. (ME), Indian Institute of Technology, Guwahati, '00</t>
        </is>
      </c>
      <c r="AC81" s="2" t="inlineStr">
        <is>
          <t>Design Engineering Lab at Purdue (DELP)</t>
        </is>
      </c>
      <c r="AD81" s="3">
        <f>HYPERLINK("https://engineering.purdue.edu/DELP/", "https://engineering.purdue.edu/DELP/")</f>
        <v/>
      </c>
      <c r="AE81" s="2" t="inlineStr"/>
      <c r="AF81" s="2" t="inlineStr"/>
      <c r="AG81" s="2" t="inlineStr"/>
      <c r="AH81" s="2" t="inlineStr">
        <is>
          <t>DOE</t>
        </is>
      </c>
      <c r="AI81" s="2" t="inlineStr"/>
      <c r="AJ81" s="2" t="inlineStr"/>
      <c r="AK81" s="2" t="inlineStr">
        <is>
          <t>ME 2200</t>
        </is>
      </c>
      <c r="AL81" s="2" t="b">
        <v>1</v>
      </c>
      <c r="AM81" s="3">
        <f>HYPERLINK("https://engineering.purdue.edu/ME/People/ptFaculty", "https://engineering.purdue.edu/ME/People/ptFaculty")</f>
        <v/>
      </c>
    </row>
    <row r="82">
      <c r="A82" s="2" t="inlineStr">
        <is>
          <t>Martin Byung-Guk Jun</t>
        </is>
      </c>
      <c r="B82" s="2" t="inlineStr">
        <is>
          <t>Purdue University</t>
        </is>
      </c>
      <c r="C82" s="3">
        <f>HYPERLINK("https://engineering.purdue.edu/ME/People/ptProfile?resource_id=156378", "https://engineering.purdue.edu/ME/People/ptProfile?resource_id=156378")</f>
        <v/>
      </c>
      <c r="D82" s="3">
        <f>HYPERLINK("https://scholar.google.com/citations?view_op=search_authors&amp;mauthors=Martin%20Byung-Guk%20Jun%20Purdue%20University", "Google Scholar Search")</f>
        <v/>
      </c>
      <c r="E82" s="2" t="inlineStr">
        <is>
          <t>Professor of Mechanical Engineering</t>
        </is>
      </c>
      <c r="F82" s="2" t="inlineStr">
        <is>
          <t>Mechanical Engineering</t>
        </is>
      </c>
      <c r="G82" s="2" t="inlineStr"/>
      <c r="H82" s="3">
        <f>HYPERLINK("mailto:mbgjun@purdue.edu", "mbgjun@purdue.edu")</f>
        <v/>
      </c>
      <c r="I82" s="2" t="n">
        <v>3</v>
      </c>
      <c r="J82" s="2" t="inlineStr">
        <is>
          <t>🟠 Tier 3: Structures / Materials / Manufacturing</t>
        </is>
      </c>
      <c r="K82" s="2" t="n">
        <v>1</v>
      </c>
      <c r="L82" s="2" t="inlineStr">
        <is>
          <t>composites</t>
        </is>
      </c>
      <c r="M82" s="2" t="inlineStr"/>
      <c r="N82" s="2" t="inlineStr"/>
      <c r="O82" s="2" t="inlineStr"/>
      <c r="P82" s="2" t="inlineStr"/>
      <c r="Q82" s="2" t="inlineStr"/>
      <c r="R82" s="2" t="inlineStr"/>
      <c r="S82" s="2" t="inlineStr"/>
      <c r="T82" s="2" t="inlineStr"/>
      <c r="U82" s="2" t="inlineStr">
        <is>
          <t>Outstanding Mechanical Engineers Distinguished Engineering Alumni Honorary Doctorates Staff Awards Student Awards Distinguished...</t>
        </is>
      </c>
      <c r="V82" s="2" t="inlineStr"/>
      <c r="W82" s="2" t="inlineStr"/>
      <c r="X82" s="2" t="inlineStr"/>
      <c r="Y82" s="2" t="inlineStr">
        <is>
          <t>Advanced multi-scale manufacturing Ultrafast laser machining and processing Fiber optic sensors and environmental monitoring Spray-based nanoparticle coating and additive manufacturing Machining of carbon fiber reinforced polymer (CFRP) composites</t>
        </is>
      </c>
      <c r="Z82" s="2" t="inlineStr">
        <is>
          <t>Systems, Measurements &amp; Controls</t>
        </is>
      </c>
      <c r="AA82" s="2" t="inlineStr">
        <is>
          <t>Systems, Measurements &amp; Controls</t>
        </is>
      </c>
      <c r="AB82" s="2" t="inlineStr">
        <is>
          <t>B.A.Sc, University of British Columbia, 1998 M.A.Sc, University of British Columbia, 2000 Ph.D., University of Illinois - Urbana-Champaign, 2005</t>
        </is>
      </c>
      <c r="AC82" s="2" t="inlineStr">
        <is>
          <t>Jun Laboratory</t>
        </is>
      </c>
      <c r="AD82" s="3">
        <f>HYPERLINK("http://web.ics.purdue.edu/~jun25/", "http://web.ics.purdue.edu/~jun25/")</f>
        <v/>
      </c>
      <c r="AE82" s="2" t="inlineStr"/>
      <c r="AF82" s="2" t="inlineStr"/>
      <c r="AG82" s="2" t="inlineStr"/>
      <c r="AH82" s="2" t="inlineStr"/>
      <c r="AI82" s="2" t="inlineStr"/>
      <c r="AJ82" s="2" t="inlineStr"/>
      <c r="AK82" s="2" t="inlineStr">
        <is>
          <t>ME 1071</t>
        </is>
      </c>
      <c r="AL82" s="2" t="b">
        <v>1</v>
      </c>
      <c r="AM82" s="3">
        <f>HYPERLINK("https://engineering.purdue.edu/ME/People/ptFaculty", "https://engineering.purdue.edu/ME/People/ptFaculty")</f>
        <v/>
      </c>
    </row>
    <row r="83">
      <c r="A83" s="2" t="inlineStr">
        <is>
          <t>Mukerrem Cakmak</t>
        </is>
      </c>
      <c r="B83" s="2" t="inlineStr">
        <is>
          <t>Purdue University</t>
        </is>
      </c>
      <c r="C83" s="3">
        <f>HYPERLINK("https://engineering.purdue.edu/ME/People/ptProfile?resource_id=144060", "https://engineering.purdue.edu/ME/People/ptProfile?resource_id=144060")</f>
        <v/>
      </c>
      <c r="D83" s="3">
        <f>HYPERLINK("https://scholar.google.com/citations?view_op=search_authors&amp;mauthors=Mukerrem%20Cakmak%20Purdue%20University", "Google Scholar Search")</f>
        <v/>
      </c>
      <c r="E83" s="2" t="inlineStr">
        <is>
          <t>Reilly Professor of Materials Engineering and Mechanical Engineering</t>
        </is>
      </c>
      <c r="F83" s="2" t="inlineStr">
        <is>
          <t>Mechanical Engineering</t>
        </is>
      </c>
      <c r="G83" s="2" t="inlineStr"/>
      <c r="H83" s="3">
        <f>HYPERLINK("mailto:cakmak@purdue.edu", "cakmak@purdue.edu")</f>
        <v/>
      </c>
      <c r="I83" s="2" t="n">
        <v>3</v>
      </c>
      <c r="J83" s="2" t="inlineStr">
        <is>
          <t>🟠 Tier 3: Structures / Materials / Manufacturing</t>
        </is>
      </c>
      <c r="K83" s="2" t="n">
        <v>1</v>
      </c>
      <c r="L83" s="2" t="inlineStr">
        <is>
          <t>materials</t>
        </is>
      </c>
      <c r="M83" s="2" t="inlineStr"/>
      <c r="N83" s="2" t="inlineStr"/>
      <c r="O83" s="2" t="inlineStr"/>
      <c r="P83" s="2" t="inlineStr"/>
      <c r="Q83" s="2" t="inlineStr"/>
      <c r="R83" s="2" t="inlineStr"/>
      <c r="S83" s="2" t="inlineStr"/>
      <c r="T83" s="2" t="inlineStr"/>
      <c r="U83" s="2" t="inlineStr">
        <is>
          <t>Outstanding Mechanical Engineers Distinguished Engineering Alumni Honorary Doctorates Staff Awards Student Awards Distinguished...</t>
        </is>
      </c>
      <c r="V83" s="2" t="inlineStr"/>
      <c r="W83" s="2" t="inlineStr"/>
      <c r="X83" s="2" t="inlineStr"/>
      <c r="Y83" s="2" t="inlineStr">
        <is>
          <t>Modeling and experimental studies on processing Structure property relationships in polymer films and moldings and polymer/metal/ceramic hybrid systems</t>
        </is>
      </c>
      <c r="Z83" s="2" t="inlineStr">
        <is>
          <t>Design &amp; Manufacturing</t>
        </is>
      </c>
      <c r="AA83" s="2" t="inlineStr">
        <is>
          <t>Design &amp; Manufacturing</t>
        </is>
      </c>
      <c r="AB83" s="2" t="inlineStr">
        <is>
          <t>BS, Chemical Engineering, Technical University of Istanbul MS, Polymer Engineering, University of Tennessee PhD, Polymer Engineering, University of Tennessee</t>
        </is>
      </c>
      <c r="AC83" s="2" t="inlineStr">
        <is>
          <t>Indiana Space Grant Consortium</t>
        </is>
      </c>
      <c r="AD83" s="3">
        <f>HYPERLINK("https://insgc.spacegrant.org/", "https://insgc.spacegrant.org/")</f>
        <v/>
      </c>
      <c r="AE83" s="2" t="inlineStr">
        <is>
          <t>Academic INSGC Internships</t>
        </is>
      </c>
      <c r="AF83" s="2" t="inlineStr"/>
      <c r="AG83" s="2" t="inlineStr"/>
      <c r="AH83" s="2" t="inlineStr">
        <is>
          <t>NASA</t>
        </is>
      </c>
      <c r="AI83" s="2" t="inlineStr"/>
      <c r="AJ83" s="2" t="inlineStr"/>
      <c r="AK83" s="2" t="inlineStr"/>
      <c r="AL83" s="2" t="b">
        <v>1</v>
      </c>
      <c r="AM83" s="3">
        <f>HYPERLINK("https://engineering.purdue.edu/ME/People/ptFaculty", "https://engineering.purdue.edu/ME/People/ptFaculty")</f>
        <v/>
      </c>
    </row>
    <row r="84">
      <c r="A84" s="2" t="inlineStr">
        <is>
          <t>Ryan Wagner</t>
        </is>
      </c>
      <c r="B84" s="2" t="inlineStr">
        <is>
          <t>Purdue University</t>
        </is>
      </c>
      <c r="C84" s="3">
        <f>HYPERLINK("https://engineering.purdue.edu/ME/People/ptProfile?resource_id=236680", "https://engineering.purdue.edu/ME/People/ptProfile?resource_id=236680")</f>
        <v/>
      </c>
      <c r="D84" s="3">
        <f>HYPERLINK("https://scholar.google.com/citations?view_op=search_authors&amp;mauthors=Ryan%20Wagner%20Purdue%20University", "Google Scholar Search")</f>
        <v/>
      </c>
      <c r="E84" s="2" t="inlineStr">
        <is>
          <t>Research Assistant Professor</t>
        </is>
      </c>
      <c r="F84" s="2" t="inlineStr">
        <is>
          <t>Mechanical Engineering</t>
        </is>
      </c>
      <c r="G84" s="2" t="inlineStr"/>
      <c r="H84" s="3">
        <f>HYPERLINK("mailto:rbwagner@purdue.edu", "rbwagner@purdue.edu")</f>
        <v/>
      </c>
      <c r="I84" s="2" t="n">
        <v>3</v>
      </c>
      <c r="J84" s="2" t="inlineStr">
        <is>
          <t>🟠 Tier 3: Structures / Materials / Manufacturing</t>
        </is>
      </c>
      <c r="K84" s="2" t="n">
        <v>1</v>
      </c>
      <c r="L84" s="2" t="inlineStr">
        <is>
          <t>solid mechanics</t>
        </is>
      </c>
      <c r="M84" s="2" t="inlineStr"/>
      <c r="N84" s="2" t="inlineStr"/>
      <c r="O84" s="2" t="inlineStr"/>
      <c r="P84" s="2" t="inlineStr"/>
      <c r="Q84" s="2" t="inlineStr"/>
      <c r="R84" s="2" t="inlineStr"/>
      <c r="S84" s="2" t="inlineStr"/>
      <c r="T84" s="2" t="inlineStr"/>
      <c r="U84" s="2" t="inlineStr">
        <is>
          <t>Outstanding Mechanical Engineers Distinguished Engineering Alumni Honorary Doctorates Staff Awards Student Awards Distinguished...</t>
        </is>
      </c>
      <c r="V84" s="2" t="inlineStr">
        <is>
          <t>As a Research Professor in Mechanical Engineering I supervise graduate students, perform research actives, and engage in grant writing. The goal of my lab is to apply a core expertise in vibrations and dynamics to solve multiphysics problems as a part of interdisciplinary research collaborations.</t>
        </is>
      </c>
      <c r="W84" s="2" t="inlineStr"/>
      <c r="X84" s="2" t="inlineStr"/>
      <c r="Y84" s="2" t="inlineStr">
        <is>
          <t>Scanning Probe Microscopy Metrology Optomechanics Mass spectrometry Contact mechanics</t>
        </is>
      </c>
      <c r="Z84" s="2" t="inlineStr">
        <is>
          <t>Dynamics &amp; Vibration Systems, Measurements &amp; Controls Solid Mechanics</t>
        </is>
      </c>
      <c r="AA84" s="2" t="inlineStr">
        <is>
          <t>Dynamics &amp; Vibration Systems, Measurements &amp; Controls Solid Mechanics</t>
        </is>
      </c>
      <c r="AB84" s="2" t="inlineStr">
        <is>
          <t>Ph.D.  Purdue University, 2014 B.S. Purdue University, 2008</t>
        </is>
      </c>
      <c r="AC84" s="2" t="inlineStr">
        <is>
          <t>Ryan Wagner's Website</t>
        </is>
      </c>
      <c r="AD84" s="3">
        <f>HYPERLINK("https://engineering.purdue.edu/~rbwagner/", "https://engineering.purdue.edu/~rbwagner/")</f>
        <v/>
      </c>
      <c r="AE84" s="2" t="inlineStr"/>
      <c r="AF84" s="2" t="inlineStr"/>
      <c r="AG84" s="2" t="inlineStr"/>
      <c r="AH84" s="2" t="inlineStr"/>
      <c r="AI84" s="3">
        <f>HYPERLINK("https://github.com/rbwagner147", "https://github.com/rbwagner147")</f>
        <v/>
      </c>
      <c r="AJ84" s="2" t="inlineStr"/>
      <c r="AK84" s="2" t="inlineStr">
        <is>
          <t>ME 3061F</t>
        </is>
      </c>
      <c r="AL84" s="2" t="b">
        <v>1</v>
      </c>
      <c r="AM84" s="3">
        <f>HYPERLINK("https://engineering.purdue.edu/ME/People/ptFaculty", "https://engineering.purdue.edu/ME/People/ptFaculty")</f>
        <v/>
      </c>
    </row>
    <row r="85">
      <c r="A85" s="2" t="inlineStr">
        <is>
          <t>Tyler Tallman</t>
        </is>
      </c>
      <c r="B85" s="2" t="inlineStr">
        <is>
          <t>Purdue University</t>
        </is>
      </c>
      <c r="C85" s="3">
        <f>HYPERLINK("https://engineering.purdue.edu/AAE/people/ptProfile?resource_id=127158", "https://engineering.purdue.edu/AAE/people/ptProfile?resource_id=127158")</f>
        <v/>
      </c>
      <c r="D85" s="3">
        <f>HYPERLINK("https://scholar.google.com/citations?view_op=search_authors&amp;mauthors=Tyler%20Tallman%20Purdue%20University", "Google Scholar Search")</f>
        <v/>
      </c>
      <c r="E85" s="2" t="inlineStr">
        <is>
          <t>Ervin O. Stitz Associate Professor of Aeronautics and Astronautics</t>
        </is>
      </c>
      <c r="F85" s="2" t="inlineStr">
        <is>
          <t>Aeronautics and Astronautics</t>
        </is>
      </c>
      <c r="G85" s="2" t="inlineStr"/>
      <c r="H85" s="3">
        <f>HYPERLINK("mailto:ttallman@purdue.edu", "ttallman@purdue.edu")</f>
        <v/>
      </c>
      <c r="I85" s="2" t="n">
        <v>3</v>
      </c>
      <c r="J85" s="2" t="inlineStr">
        <is>
          <t>🟠 Tier 3: Structures / Materials / Manufacturing</t>
        </is>
      </c>
      <c r="K85" s="2" t="n">
        <v>1</v>
      </c>
      <c r="L85" s="2" t="inlineStr">
        <is>
          <t>materials</t>
        </is>
      </c>
      <c r="M85" s="2" t="inlineStr"/>
      <c r="N85" s="2" t="inlineStr"/>
      <c r="O85" s="2" t="inlineStr"/>
      <c r="P85" s="2" t="inlineStr"/>
      <c r="Q85" s="2" t="inlineStr"/>
      <c r="R85" s="2" t="inlineStr"/>
      <c r="S85" s="2" t="inlineStr"/>
      <c r="T85" s="2" t="inlineStr"/>
      <c r="U85" s="2" t="inlineStr">
        <is>
          <t>Elmer F. Bruhn Teaching Award, 2016 ASME SMASIS Best Journal Paper in Mechanics and Materials, 2018 ASME SMASIS Best Journal Pa...</t>
        </is>
      </c>
      <c r="V85" s="2" t="inlineStr"/>
      <c r="W85" s="2" t="inlineStr"/>
      <c r="X85" s="2" t="inlineStr"/>
      <c r="Y85" s="2" t="inlineStr">
        <is>
          <t>Multifunctional Materials Embedded Sensing Inverse Problems Smart Structures Nondestructive Evaluation</t>
        </is>
      </c>
      <c r="Z85" s="2" t="inlineStr"/>
      <c r="AA85" s="2" t="inlineStr">
        <is>
          <t>Multifunctional Materials Embedded Sensing Inverse Problems Smart Structures Nondestructive Evaluation</t>
        </is>
      </c>
      <c r="AB85" s="2" t="inlineStr">
        <is>
          <t>BS, Physics and Mathematics, University of Wisconsin-Eau Claire, 2010 BS, Engineering Mechanics, University of Wisconsin-Madison, 2010 MS, Mechanical Engineering, University of Michigan, 2012 PhD, Mechanical Engineering, University of Michigan, 2015</t>
        </is>
      </c>
      <c r="AC85" s="2" t="inlineStr">
        <is>
          <t>Indiana Space Grant Consortium</t>
        </is>
      </c>
      <c r="AD85" s="3">
        <f>HYPERLINK("https://insgc.spacegrant.org/", "https://insgc.spacegrant.org/")</f>
        <v/>
      </c>
      <c r="AE85" s="2" t="inlineStr">
        <is>
          <t>Academic INSGC Internships</t>
        </is>
      </c>
      <c r="AF85" s="2" t="inlineStr"/>
      <c r="AG85" s="2" t="inlineStr"/>
      <c r="AH85" s="2" t="inlineStr">
        <is>
          <t>NASA</t>
        </is>
      </c>
      <c r="AI85" s="2" t="inlineStr"/>
      <c r="AJ85" s="2" t="inlineStr"/>
      <c r="AK85" s="2" t="inlineStr">
        <is>
          <t>ARMS 3325</t>
        </is>
      </c>
      <c r="AL85" s="2" t="b">
        <v>1</v>
      </c>
      <c r="AM85" s="3">
        <f>HYPERLINK("https://engineering.purdue.edu/AAE/people/Faculty", "https://engineering.purdue.edu/AAE/people/Faculty")</f>
        <v/>
      </c>
    </row>
    <row r="86">
      <c r="A86" s="2" t="inlineStr">
        <is>
          <t>Beth Hess</t>
        </is>
      </c>
      <c r="B86" s="2" t="inlineStr">
        <is>
          <t>Purdue University</t>
        </is>
      </c>
      <c r="C86" s="3">
        <f>HYPERLINK("https://engineering.purdue.edu/ME/People/ptProfile?resource_id=159504", "https://engineering.purdue.edu/ME/People/ptProfile?resource_id=159504")</f>
        <v/>
      </c>
      <c r="D86" s="3">
        <f>HYPERLINK("https://scholar.google.com/citations?view_op=search_authors&amp;mauthors=Beth%20Hess%20Purdue%20University", "Google Scholar Search")</f>
        <v/>
      </c>
      <c r="E86" s="2" t="inlineStr">
        <is>
          <t>Associate Professor of Engineering Practice; Associate Head for Experiential Learning and Director of Senior Design</t>
        </is>
      </c>
      <c r="F86" s="2" t="inlineStr">
        <is>
          <t>Mechanical Engineering</t>
        </is>
      </c>
      <c r="G86" s="2" t="inlineStr"/>
      <c r="H86" s="3">
        <f>HYPERLINK("mailto:bethhess@purdue.edu", "bethhess@purdue.edu")</f>
        <v/>
      </c>
      <c r="I86" s="2" t="n">
        <v>3</v>
      </c>
      <c r="J86" s="2" t="inlineStr">
        <is>
          <t>🟠 Tier 3: Structures / Materials / Manufacturing</t>
        </is>
      </c>
      <c r="K86" s="2" t="n">
        <v>0</v>
      </c>
      <c r="L86" s="2" t="inlineStr"/>
      <c r="M86" s="2" t="inlineStr"/>
      <c r="N86" s="2" t="inlineStr"/>
      <c r="O86" s="2" t="inlineStr"/>
      <c r="P86" s="2" t="inlineStr"/>
      <c r="Q86" s="2" t="inlineStr"/>
      <c r="R86" s="2" t="inlineStr"/>
      <c r="S86" s="2" t="inlineStr"/>
      <c r="T86" s="2" t="inlineStr"/>
      <c r="U86" s="2" t="inlineStr">
        <is>
          <t>Outstanding Mechanical Engineers Distinguished Engineering Alumni Honorary Doctorates Staff Awards Student Awards Distinguished...</t>
        </is>
      </c>
      <c r="V86" s="2" t="inlineStr"/>
      <c r="W86" s="2" t="inlineStr"/>
      <c r="X86" s="2" t="inlineStr"/>
      <c r="Y86" s="2" t="inlineStr"/>
      <c r="Z86" s="2" t="inlineStr">
        <is>
          <t>Dynamics &amp; Vibration Design &amp; Manufacturing</t>
        </is>
      </c>
      <c r="AA86" s="2" t="inlineStr">
        <is>
          <t>Dynamics &amp; Vibration Design &amp; Manufacturing</t>
        </is>
      </c>
      <c r="AB86" s="2" t="inlineStr"/>
      <c r="AC86" s="2" t="inlineStr">
        <is>
          <t>Indiana Space Grant Consortium</t>
        </is>
      </c>
      <c r="AD86" s="3">
        <f>HYPERLINK("https://insgc.spacegrant.org/", "https://insgc.spacegrant.org/")</f>
        <v/>
      </c>
      <c r="AE86" s="2" t="inlineStr">
        <is>
          <t>Academic INSGC Internships</t>
        </is>
      </c>
      <c r="AF86" s="2" t="inlineStr"/>
      <c r="AG86" s="2" t="inlineStr"/>
      <c r="AH86" s="2" t="inlineStr">
        <is>
          <t>NASA</t>
        </is>
      </c>
      <c r="AI86" s="2" t="inlineStr"/>
      <c r="AJ86" s="2" t="inlineStr"/>
      <c r="AK86" s="2" t="inlineStr">
        <is>
          <t>ME 2204</t>
        </is>
      </c>
      <c r="AL86" s="2" t="b">
        <v>0</v>
      </c>
      <c r="AM86" s="3">
        <f>HYPERLINK("https://engineering.purdue.edu/ME/People/ptFaculty", "https://engineering.purdue.edu/ME/People/ptFaculty")</f>
        <v/>
      </c>
    </row>
    <row r="87">
      <c r="A87" s="2" t="inlineStr">
        <is>
          <t>Charles M. Krousgrill</t>
        </is>
      </c>
      <c r="B87" s="2" t="inlineStr">
        <is>
          <t>Purdue University</t>
        </is>
      </c>
      <c r="C87" s="3">
        <f>HYPERLINK("https://engineering.purdue.edu/ME/People/ptProfile?resource_id=11333", "https://engineering.purdue.edu/ME/People/ptProfile?resource_id=11333")</f>
        <v/>
      </c>
      <c r="D87" s="3">
        <f>HYPERLINK("https://scholar.google.com/citations?view_op=search_authors&amp;mauthors=Charles%20M.%20Krousgrill%20Purdue%20University", "Google Scholar Search")</f>
        <v/>
      </c>
      <c r="E87" s="2" t="inlineStr">
        <is>
          <t>Tebbe Family 150th Anniversary Professor of Mechanical Engineering</t>
        </is>
      </c>
      <c r="F87" s="2" t="inlineStr">
        <is>
          <t>Mechanical Engineering</t>
        </is>
      </c>
      <c r="G87" s="2" t="inlineStr"/>
      <c r="H87" s="3">
        <f>HYPERLINK("mailto:krousgri@purdue.edu", "krousgri@purdue.edu")</f>
        <v/>
      </c>
      <c r="I87" s="2" t="n">
        <v>3</v>
      </c>
      <c r="J87" s="2" t="inlineStr">
        <is>
          <t>🟠 Tier 3: Structures / Materials / Manufacturing</t>
        </is>
      </c>
      <c r="K87" s="2" t="n">
        <v>0</v>
      </c>
      <c r="L87" s="2" t="inlineStr"/>
      <c r="M87" s="2" t="inlineStr"/>
      <c r="N87" s="2" t="inlineStr"/>
      <c r="O87" s="2" t="inlineStr"/>
      <c r="P87" s="2" t="inlineStr"/>
      <c r="Q87" s="2" t="inlineStr"/>
      <c r="R87" s="2" t="inlineStr"/>
      <c r="S87" s="2" t="inlineStr"/>
      <c r="T87" s="2" t="inlineStr"/>
      <c r="U87" s="2" t="inlineStr">
        <is>
          <t>Outstanding Mechanical Engineers Distinguished Engineering Alumni Honorary Doctorates Staff Awards Student Awards Distinguished...</t>
        </is>
      </c>
      <c r="V87" s="2" t="inlineStr">
        <is>
          <t>Contact Purdue Engineering MarCom regarding any accessibility issues | Accessibility Resources | Contact Us | Email webmaster-me@ecn.purdue.edu to report a problem</t>
        </is>
      </c>
      <c r="W87" s="2" t="inlineStr"/>
      <c r="X87" s="2" t="inlineStr"/>
      <c r="Y87" s="2" t="inlineStr">
        <is>
          <t>Dynamics Nonlinear vibration of continuous systems Stability analysis</t>
        </is>
      </c>
      <c r="Z87" s="2" t="inlineStr">
        <is>
          <t>Dynamics &amp; Vibration</t>
        </is>
      </c>
      <c r="AA87" s="2" t="inlineStr">
        <is>
          <t>Dynamics &amp; Vibration</t>
        </is>
      </c>
      <c r="AB87" s="2" t="inlineStr">
        <is>
          <t>B.S. Purdue, '75 M.S. Cal. Tech., '76 Ph.D. Cal. Tech., '80</t>
        </is>
      </c>
      <c r="AC87" s="2" t="inlineStr">
        <is>
          <t>Faculty Research Presentation</t>
        </is>
      </c>
      <c r="AD87" s="3">
        <f>HYPERLINK("https://engineering.purdue.edu/ME/Research/Presentations/KrousgrillME%20Research.pdf", "https://engineering.purdue.edu/ME/Research/Presentations/KrousgrillME%20Research.pdf")</f>
        <v/>
      </c>
      <c r="AE87" s="2" t="inlineStr">
        <is>
          <t>RESEARCH (Undergraduate Research) | INDUSTRY (Internships &amp; Co-Ops)</t>
        </is>
      </c>
      <c r="AF87" s="2" t="inlineStr"/>
      <c r="AG87" s="2" t="inlineStr">
        <is>
          <t>Cleanroom</t>
        </is>
      </c>
      <c r="AH87" s="2" t="inlineStr">
        <is>
          <t>DOE</t>
        </is>
      </c>
      <c r="AI87" s="2" t="inlineStr"/>
      <c r="AJ87" s="2" t="inlineStr"/>
      <c r="AK87" s="2" t="inlineStr">
        <is>
          <t>ME 3061G</t>
        </is>
      </c>
      <c r="AL87" s="2" t="b">
        <v>0</v>
      </c>
      <c r="AM87" s="3">
        <f>HYPERLINK("https://engineering.purdue.edu/ME/People/ptFaculty", "https://engineering.purdue.edu/ME/People/ptFaculty")</f>
        <v/>
      </c>
    </row>
    <row r="88">
      <c r="A88" s="2" t="inlineStr">
        <is>
          <t>Greg Jensen</t>
        </is>
      </c>
      <c r="B88" s="2" t="inlineStr">
        <is>
          <t>Purdue University</t>
        </is>
      </c>
      <c r="C88" s="3">
        <f>HYPERLINK("https://engineering.purdue.edu/ME/People/ptProfile?resource_id=196738", "https://engineering.purdue.edu/ME/People/ptProfile?resource_id=196738")</f>
        <v/>
      </c>
      <c r="D88" s="3">
        <f>HYPERLINK("https://scholar.google.com/citations?view_op=search_authors&amp;mauthors=Greg%20Jensen%20Purdue%20University", "Google Scholar Search")</f>
        <v/>
      </c>
      <c r="E88" s="2" t="inlineStr">
        <is>
          <t>Professor of Engineering Practice</t>
        </is>
      </c>
      <c r="F88" s="2" t="inlineStr">
        <is>
          <t>Mechanical Engineering</t>
        </is>
      </c>
      <c r="G88" s="2" t="inlineStr"/>
      <c r="H88" s="3">
        <f>HYPERLINK("mailto:jensen23@purdue.edu", "jensen23@purdue.edu")</f>
        <v/>
      </c>
      <c r="I88" s="2" t="n">
        <v>3</v>
      </c>
      <c r="J88" s="2" t="inlineStr">
        <is>
          <t>🟠 Tier 3: Structures / Materials / Manufacturing</t>
        </is>
      </c>
      <c r="K88" s="2" t="n">
        <v>0</v>
      </c>
      <c r="L88" s="2" t="inlineStr"/>
      <c r="M88" s="2" t="inlineStr"/>
      <c r="N88" s="2" t="inlineStr"/>
      <c r="O88" s="2" t="inlineStr"/>
      <c r="P88" s="2" t="inlineStr"/>
      <c r="Q88" s="2" t="inlineStr"/>
      <c r="R88" s="2" t="inlineStr"/>
      <c r="S88" s="2" t="inlineStr"/>
      <c r="T88" s="2" t="inlineStr"/>
      <c r="U88" s="2" t="inlineStr">
        <is>
          <t>Outstanding Mechanical Engineers Distinguished Engineering Alumni Honorary Doctorates Staff Awards Student Awards Distinguished...</t>
        </is>
      </c>
      <c r="V88" s="2" t="inlineStr"/>
      <c r="W88" s="2" t="inlineStr"/>
      <c r="X88" s="2" t="inlineStr"/>
      <c r="Y88" s="2" t="inlineStr"/>
      <c r="Z88" s="2" t="inlineStr">
        <is>
          <t>Design &amp; Manufacturing</t>
        </is>
      </c>
      <c r="AA88" s="2" t="inlineStr">
        <is>
          <t>Design &amp; Manufacturing</t>
        </is>
      </c>
      <c r="AB88" s="2" t="inlineStr"/>
      <c r="AC88" s="2" t="inlineStr">
        <is>
          <t>Indiana Space Grant Consortium</t>
        </is>
      </c>
      <c r="AD88" s="3">
        <f>HYPERLINK("https://insgc.spacegrant.org/", "https://insgc.spacegrant.org/")</f>
        <v/>
      </c>
      <c r="AE88" s="2" t="inlineStr">
        <is>
          <t>Academic INSGC Internships</t>
        </is>
      </c>
      <c r="AF88" s="2" t="inlineStr"/>
      <c r="AG88" s="2" t="inlineStr"/>
      <c r="AH88" s="2" t="inlineStr">
        <is>
          <t>NASA</t>
        </is>
      </c>
      <c r="AI88" s="2" t="inlineStr"/>
      <c r="AJ88" s="2" t="inlineStr"/>
      <c r="AK88" s="2" t="inlineStr"/>
      <c r="AL88" s="2" t="b">
        <v>0</v>
      </c>
      <c r="AM88" s="3">
        <f>HYPERLINK("https://engineering.purdue.edu/ME/People/ptFaculty", "https://engineering.purdue.edu/ME/People/ptFaculty")</f>
        <v/>
      </c>
    </row>
    <row r="89">
      <c r="A89" s="2" t="inlineStr">
        <is>
          <t>Liang Pan</t>
        </is>
      </c>
      <c r="B89" s="2" t="inlineStr">
        <is>
          <t>Purdue University</t>
        </is>
      </c>
      <c r="C89" s="3">
        <f>HYPERLINK("https://engineering.purdue.edu/ME/People/ptProfile?resource_id=80190", "https://engineering.purdue.edu/ME/People/ptProfile?resource_id=80190")</f>
        <v/>
      </c>
      <c r="D89" s="3">
        <f>HYPERLINK("https://scholar.google.com/citations?view_op=search_authors&amp;mauthors=Liang%20Pan%20Purdue%20University", "Google Scholar Search")</f>
        <v/>
      </c>
      <c r="E89" s="2" t="inlineStr">
        <is>
          <t>Professor of Mechanical Engineering</t>
        </is>
      </c>
      <c r="F89" s="2" t="inlineStr">
        <is>
          <t>Mechanical Engineering</t>
        </is>
      </c>
      <c r="G89" s="2" t="inlineStr"/>
      <c r="H89" s="3">
        <f>HYPERLINK("mailto:liangpan@purdue.edu", "liangpan@purdue.edu")</f>
        <v/>
      </c>
      <c r="I89" s="2" t="n">
        <v>3</v>
      </c>
      <c r="J89" s="2" t="inlineStr">
        <is>
          <t>🟠 Tier 3: Structures / Materials / Manufacturing</t>
        </is>
      </c>
      <c r="K89" s="2" t="n">
        <v>0</v>
      </c>
      <c r="L89" s="2" t="inlineStr"/>
      <c r="M89" s="2" t="inlineStr"/>
      <c r="N89" s="2" t="inlineStr"/>
      <c r="O89" s="2" t="inlineStr"/>
      <c r="P89" s="2" t="inlineStr"/>
      <c r="Q89" s="2" t="inlineStr"/>
      <c r="R89" s="2" t="inlineStr"/>
      <c r="S89" s="2" t="inlineStr"/>
      <c r="T89" s="2" t="inlineStr"/>
      <c r="U89" s="2" t="inlineStr">
        <is>
          <t>Outstanding Mechanical Engineers Distinguished Engineering Alumni Honorary Doctorates Staff Awards Student Awards Distinguished...</t>
        </is>
      </c>
      <c r="V89" s="2" t="inlineStr"/>
      <c r="W89" s="2" t="inlineStr"/>
      <c r="X89" s="2" t="inlineStr"/>
      <c r="Y89" s="2" t="inlineStr">
        <is>
          <t>Scalable nanomanufacturing: lithography and imaging Optical and magnetic data storage Nanoscale energy conversion, transfer and storage for alternative energy</t>
        </is>
      </c>
      <c r="Z89" s="2" t="inlineStr">
        <is>
          <t>Dynamics &amp; Vibration Heat &amp; Mass Transfer</t>
        </is>
      </c>
      <c r="AA89" s="2" t="inlineStr">
        <is>
          <t>Dynamics &amp; Vibration Heat &amp; Mass Transfer</t>
        </is>
      </c>
      <c r="AB89" s="2" t="inlineStr">
        <is>
          <t>B.S. University of Science and Technology of China, '01 M.E. University of Science and Technology of China, '04 M.S. University of California, Berkeley, '09 Ph.D. University of California, Berkeley, '10</t>
        </is>
      </c>
      <c r="AC89" s="2" t="inlineStr">
        <is>
          <t>Personal Homepage</t>
        </is>
      </c>
      <c r="AD89" s="3">
        <f>HYPERLINK("http://sites.google.com/site/panliang/", "http://sites.google.com/site/panliang/")</f>
        <v/>
      </c>
      <c r="AE89" s="2" t="inlineStr">
        <is>
          <t>We have multiple openings for Ph.D. students from the following disciplines: applied physics, heat transfer, manufacturing, and materials science, and with interests in one of the following areas: micro/nano-fabrication, heat transfer, and optics.</t>
        </is>
      </c>
      <c r="AF89" s="2" t="inlineStr"/>
      <c r="AG89" s="2" t="inlineStr"/>
      <c r="AH89" s="2" t="inlineStr"/>
      <c r="AI89" s="2" t="inlineStr"/>
      <c r="AJ89" s="2" t="inlineStr"/>
      <c r="AK89" s="2" t="inlineStr">
        <is>
          <t>ME 2192</t>
        </is>
      </c>
      <c r="AL89" s="2" t="b">
        <v>0</v>
      </c>
      <c r="AM89" s="3">
        <f>HYPERLINK("https://engineering.purdue.edu/ME/People/ptFaculty", "https://engineering.purdue.edu/ME/People/ptFaculty")</f>
        <v/>
      </c>
    </row>
    <row r="90">
      <c r="A90" s="2" t="inlineStr">
        <is>
          <t>Shirley J Dyke</t>
        </is>
      </c>
      <c r="B90" s="2" t="inlineStr">
        <is>
          <t>Purdue University</t>
        </is>
      </c>
      <c r="C90" s="3">
        <f>HYPERLINK("https://engineering.purdue.edu/ME/People/ptProfile?resource_id=57291", "https://engineering.purdue.edu/ME/People/ptProfile?resource_id=57291")</f>
        <v/>
      </c>
      <c r="D90" s="3">
        <f>HYPERLINK("https://scholar.google.com/citations?view_op=search_authors&amp;mauthors=Shirley%20J%20Dyke%20Purdue%20University", "Google Scholar Search")</f>
        <v/>
      </c>
      <c r="E90" s="2" t="inlineStr">
        <is>
          <t>Donald A. and Patricia A. Coates Professor of Innovation in Mechanical Engineering</t>
        </is>
      </c>
      <c r="F90" s="2" t="inlineStr">
        <is>
          <t>Mechanical Engineering</t>
        </is>
      </c>
      <c r="G90" s="2" t="inlineStr"/>
      <c r="H90" s="3">
        <f>HYPERLINK("mailto:sdyke@purdue.edu", "sdyke@purdue.edu")</f>
        <v/>
      </c>
      <c r="I90" s="2" t="n">
        <v>3</v>
      </c>
      <c r="J90" s="2" t="inlineStr">
        <is>
          <t>🟠 Tier 3: Structures / Materials / Manufacturing</t>
        </is>
      </c>
      <c r="K90" s="2" t="n">
        <v>0</v>
      </c>
      <c r="L90" s="2" t="inlineStr"/>
      <c r="M90" s="2" t="inlineStr"/>
      <c r="N90" s="2" t="inlineStr"/>
      <c r="O90" s="2" t="inlineStr"/>
      <c r="P90" s="2" t="inlineStr"/>
      <c r="Q90" s="2" t="inlineStr"/>
      <c r="R90" s="2" t="inlineStr"/>
      <c r="S90" s="2" t="inlineStr"/>
      <c r="T90" s="2" t="inlineStr"/>
      <c r="U90" s="2" t="inlineStr">
        <is>
          <t>Outstanding Mechanical Engineers Distinguished Engineering Alumni Honorary Doctorates Staff Awards Student Awards Distinguished...</t>
        </is>
      </c>
      <c r="V90" s="2" t="inlineStr"/>
      <c r="W90" s="2" t="inlineStr"/>
      <c r="X90" s="2" t="inlineStr"/>
      <c r="Y90" s="2" t="inlineStr">
        <is>
          <t>Structural Dynamics and Control Cyber-physical Systems Machine Vision Real-time Hybrid Simulation Damage Detection and Structural Condition Monitoring Cyberinfrastructure Development</t>
        </is>
      </c>
      <c r="Z90" s="2" t="inlineStr">
        <is>
          <t>Dynamics &amp; Vibration Systems, Measurements &amp; Controls</t>
        </is>
      </c>
      <c r="AA90" s="2" t="inlineStr">
        <is>
          <t>Dynamics &amp; Vibration Systems, Measurements &amp; Controls</t>
        </is>
      </c>
      <c r="AB90" s="2" t="inlineStr">
        <is>
          <t>Ph.D. Civil Engineering, University of Notre Dame B.S. Aeronautical and Astronautical Engineering, University of Illinois</t>
        </is>
      </c>
      <c r="AC90" s="2" t="inlineStr">
        <is>
          <t>Resilient Extra Terrestrial Habitats Institute</t>
        </is>
      </c>
      <c r="AD90" s="3">
        <f>HYPERLINK("https://purdue.edu/rethi/", "https://purdue.edu/rethi/")</f>
        <v/>
      </c>
      <c r="AE90" s="2" t="inlineStr"/>
      <c r="AF90" s="2" t="inlineStr"/>
      <c r="AG90" s="2" t="inlineStr"/>
      <c r="AH90" s="2" t="inlineStr">
        <is>
          <t>NASA</t>
        </is>
      </c>
      <c r="AI90" s="2" t="inlineStr"/>
      <c r="AJ90" s="2" t="inlineStr"/>
      <c r="AK90" s="2" t="inlineStr"/>
      <c r="AL90" s="2" t="b">
        <v>0</v>
      </c>
      <c r="AM90" s="3">
        <f>HYPERLINK("https://engineering.purdue.edu/ME/People/ptFaculty", "https://engineering.purdue.edu/ME/People/ptFaculty")</f>
        <v/>
      </c>
    </row>
    <row r="91">
      <c r="A91" s="2" t="inlineStr">
        <is>
          <t>Song Zhang</t>
        </is>
      </c>
      <c r="B91" s="2" t="inlineStr">
        <is>
          <t>Purdue University</t>
        </is>
      </c>
      <c r="C91" s="3">
        <f>HYPERLINK("https://engineering.purdue.edu/ME/People/ptProfile?resource_id=117610", "https://engineering.purdue.edu/ME/People/ptProfile?resource_id=117610")</f>
        <v/>
      </c>
      <c r="D91" s="3">
        <f>HYPERLINK("https://scholar.google.com/citations?view_op=search_authors&amp;mauthors=Song%20Zhang%20Purdue%20University", "Google Scholar Search")</f>
        <v/>
      </c>
      <c r="E91" s="2" t="inlineStr">
        <is>
          <t>Professor of Mechanical Engineering</t>
        </is>
      </c>
      <c r="F91" s="2" t="inlineStr">
        <is>
          <t>Mechanical Engineering</t>
        </is>
      </c>
      <c r="G91" s="2" t="inlineStr"/>
      <c r="H91" s="3">
        <f>HYPERLINK("mailto:szhang15@purdue.edu", "szhang15@purdue.edu")</f>
        <v/>
      </c>
      <c r="I91" s="2" t="n">
        <v>3</v>
      </c>
      <c r="J91" s="2" t="inlineStr">
        <is>
          <t>🟠 Tier 3: Structures / Materials / Manufacturing</t>
        </is>
      </c>
      <c r="K91" s="2" t="n">
        <v>0</v>
      </c>
      <c r="L91" s="2" t="inlineStr"/>
      <c r="M91" s="2" t="inlineStr"/>
      <c r="N91" s="2" t="inlineStr"/>
      <c r="O91" s="2" t="inlineStr"/>
      <c r="P91" s="2" t="inlineStr"/>
      <c r="Q91" s="2" t="inlineStr"/>
      <c r="R91" s="2" t="inlineStr"/>
      <c r="S91" s="2" t="inlineStr"/>
      <c r="T91" s="2" t="inlineStr"/>
      <c r="U91" s="2" t="inlineStr">
        <is>
          <t>Outstanding Mechanical Engineers Distinguished Engineering Alumni Honorary Doctorates Staff Awards Student Awards Distinguished...</t>
        </is>
      </c>
      <c r="V91" s="2" t="inlineStr"/>
      <c r="W91" s="2" t="inlineStr"/>
      <c r="X91" s="2" t="inlineStr"/>
      <c r="Y91" s="2" t="inlineStr">
        <is>
          <t>Multiscale superfast 3D optical sensing Biophotonic imaging Optical metrology Machine/computer vision 3D video telepresence 3D video processing Virtual reality Human computer interaction</t>
        </is>
      </c>
      <c r="Z91" s="2" t="inlineStr">
        <is>
          <t>Design &amp; Manufacturing Systems, Measurements &amp; Controls</t>
        </is>
      </c>
      <c r="AA91" s="2" t="inlineStr">
        <is>
          <t>Design &amp; Manufacturing Systems, Measurements &amp; Controls</t>
        </is>
      </c>
      <c r="AB91" s="2" t="inlineStr">
        <is>
          <t>Ph.D., Mechanical Engineering, Stony Brook University, 2005 M.S., Mechanical Engineering, Stony Brook University, 2003 B.S., Mechanical Engineering, University of Science and Technology of China, 2000</t>
        </is>
      </c>
      <c r="AC91" s="2" t="inlineStr">
        <is>
          <t>XYZT Lab</t>
        </is>
      </c>
      <c r="AD91" s="3">
        <f>HYPERLINK("http://www.xyztlab.com", "http://www.xyztlab.com")</f>
        <v/>
      </c>
      <c r="AE91" s="2" t="inlineStr"/>
      <c r="AF91" s="2" t="inlineStr"/>
      <c r="AG91" s="2" t="inlineStr"/>
      <c r="AH91" s="2" t="inlineStr"/>
      <c r="AI91" s="2" t="inlineStr"/>
      <c r="AJ91" s="2" t="inlineStr"/>
      <c r="AK91" s="2" t="inlineStr">
        <is>
          <t>ME 3061H, FLEX 2081D</t>
        </is>
      </c>
      <c r="AL91" s="2" t="b">
        <v>0</v>
      </c>
      <c r="AM91" s="3">
        <f>HYPERLINK("https://engineering.purdue.edu/ME/People/ptFaculty", "https://engineering.purdue.edu/ME/People/ptFaculty")</f>
        <v/>
      </c>
    </row>
    <row r="92">
      <c r="A92" s="2" t="inlineStr">
        <is>
          <t>Yung C. Shin</t>
        </is>
      </c>
      <c r="B92" s="2" t="inlineStr">
        <is>
          <t>Purdue University</t>
        </is>
      </c>
      <c r="C92" s="3">
        <f>HYPERLINK("https://engineering.purdue.edu/ME/People/ptProfile?resource_id=12309", "https://engineering.purdue.edu/ME/People/ptProfile?resource_id=12309")</f>
        <v/>
      </c>
      <c r="D92" s="3">
        <f>HYPERLINK("https://scholar.google.com/citations?view_op=search_authors&amp;mauthors=Yung%20C.%20Shin%20Purdue%20University", "Google Scholar Search")</f>
        <v/>
      </c>
      <c r="E92" s="2" t="inlineStr">
        <is>
          <t>Donald A. and Nancy G. Roach Distinguished Professor of Advanced Manufacturing</t>
        </is>
      </c>
      <c r="F92" s="2" t="inlineStr">
        <is>
          <t>Mechanical Engineering</t>
        </is>
      </c>
      <c r="G92" s="2" t="inlineStr"/>
      <c r="H92" s="3">
        <f>HYPERLINK("mailto:shin@purdue.edu", "shin@purdue.edu")</f>
        <v/>
      </c>
      <c r="I92" s="2" t="n">
        <v>3</v>
      </c>
      <c r="J92" s="2" t="inlineStr">
        <is>
          <t>🟠 Tier 3: Structures / Materials / Manufacturing</t>
        </is>
      </c>
      <c r="K92" s="2" t="n">
        <v>0</v>
      </c>
      <c r="L92" s="2" t="inlineStr"/>
      <c r="M92" s="2" t="inlineStr"/>
      <c r="N92" s="2" t="inlineStr"/>
      <c r="O92" s="2" t="inlineStr"/>
      <c r="P92" s="2" t="inlineStr"/>
      <c r="Q92" s="2" t="inlineStr"/>
      <c r="R92" s="2" t="inlineStr"/>
      <c r="S92" s="2" t="inlineStr"/>
      <c r="T92" s="2" t="inlineStr"/>
      <c r="U92" s="2" t="inlineStr">
        <is>
          <t>Outstanding Mechanical Engineers Distinguished Engineering Alumni Honorary Doctorates Staff Awards Student Awards Distinguished...</t>
        </is>
      </c>
      <c r="V92" s="2" t="inlineStr"/>
      <c r="W92" s="2" t="inlineStr"/>
      <c r="X92" s="2" t="inlineStr"/>
      <c r="Y92" s="2" t="inlineStr">
        <is>
          <t>Laser additive manufacturing Ultrafast laser matter interaction Laser welding Laser assisted machining Laser shock peening Multi-physics, multi-scale modeling Micro-nano manufacturing</t>
        </is>
      </c>
      <c r="Z92" s="2" t="inlineStr">
        <is>
          <t>Design &amp; Manufacturing Systems, Measurements &amp; Controls</t>
        </is>
      </c>
      <c r="AA92" s="2" t="inlineStr">
        <is>
          <t>Design &amp; Manufacturing Systems, Measurements &amp; Controls</t>
        </is>
      </c>
      <c r="AB92" s="2" t="inlineStr">
        <is>
          <t>B.S. Seoul National, '76 M.S. KAIST, '78 Ph.D. Wisconsin, '84</t>
        </is>
      </c>
      <c r="AC92" s="2" t="inlineStr">
        <is>
          <t>Manufacturing Laboratories</t>
        </is>
      </c>
      <c r="AD92" s="3">
        <f>HYPERLINK("http://engineering.purdue.edu/ManLab/", "http://engineering.purdue.edu/ManLab/")</f>
        <v/>
      </c>
      <c r="AE92" s="2" t="inlineStr"/>
      <c r="AF92" s="2" t="inlineStr"/>
      <c r="AG92" s="2" t="inlineStr"/>
      <c r="AH92" s="2" t="inlineStr"/>
      <c r="AI92" s="2" t="inlineStr"/>
      <c r="AJ92" s="2" t="inlineStr"/>
      <c r="AK92" s="2" t="inlineStr">
        <is>
          <t>POTR 222</t>
        </is>
      </c>
      <c r="AL92" s="2" t="b">
        <v>0</v>
      </c>
      <c r="AM92" s="3">
        <f>HYPERLINK("https://engineering.purdue.edu/ME/People/ptFaculty", "https://engineering.purdue.edu/ME/People/ptFaculty")</f>
        <v/>
      </c>
    </row>
    <row r="93">
      <c r="A93" s="2" t="inlineStr">
        <is>
          <t>Inseok Hwang</t>
        </is>
      </c>
      <c r="B93" s="2" t="inlineStr">
        <is>
          <t>Purdue University</t>
        </is>
      </c>
      <c r="C93" s="3">
        <f>HYPERLINK("https://engineering.purdue.edu/AAE/people/ptProfile?resource_id=1403", "https://engineering.purdue.edu/AAE/people/ptProfile?resource_id=1403")</f>
        <v/>
      </c>
      <c r="D93" s="3">
        <f>HYPERLINK("https://scholar.google.com/citations?view_op=search_authors&amp;mauthors=Inseok%20Hwang%20Purdue%20University", "Google Scholar Search")</f>
        <v/>
      </c>
      <c r="E93" s="2" t="inlineStr">
        <is>
          <t>Paul Stanley Professor of Aeronautics and Astronautics</t>
        </is>
      </c>
      <c r="F93" s="2" t="inlineStr">
        <is>
          <t>Aeronautics and Astronautics</t>
        </is>
      </c>
      <c r="G93" s="2" t="inlineStr"/>
      <c r="H93" s="3">
        <f>HYPERLINK("mailto:ihwang@purdue.edu", "ihwang@purdue.edu")</f>
        <v/>
      </c>
      <c r="I93" s="2" t="n">
        <v>4</v>
      </c>
      <c r="J93" s="2" t="inlineStr">
        <is>
          <t>🔴 Tier 4: Robotics / Controls / Autonomy</t>
        </is>
      </c>
      <c r="K93" s="2" t="n">
        <v>8</v>
      </c>
      <c r="L93" s="2" t="inlineStr">
        <is>
          <t>aerospace, control theory, estimation, guidance, navigation, path planning, robot, spacecraft</t>
        </is>
      </c>
      <c r="M93" s="2" t="inlineStr"/>
      <c r="N93" s="2" t="inlineStr"/>
      <c r="O93" s="2" t="inlineStr"/>
      <c r="P93" s="2" t="inlineStr"/>
      <c r="Q93" s="2" t="inlineStr"/>
      <c r="R93" s="2" t="inlineStr"/>
      <c r="S93" s="2" t="inlineStr"/>
      <c r="T93" s="2" t="inlineStr"/>
      <c r="U93" s="2" t="inlineStr">
        <is>
          <t>AIAA Associate Fellow - 2012 Selected as one of the nation’s 82 brightest young engineers by the National Academy of Engineerin...</t>
        </is>
      </c>
      <c r="V93" s="2" t="inlineStr"/>
      <c r="W93" s="2" t="inlineStr"/>
      <c r="X93" s="2" t="inlineStr"/>
      <c r="Y93" s="2" t="inlineStr">
        <is>
          <t>Hybrid Systems/Nonlinear Systems: Analysis: stability and control of hybrid systems; Estimation: state estimation for hybrid systems; Information Inference: system identification for hybrid systems; Unmanned Aircraft/Spacecraft Control Unmanned Aircraft Systems (UAS): Development of Guidance, Navigation, and Control (GNC) algorithms Space applications: Control of spacecraft; Space Situational Awareness (e.g. spacecraft tracking); Formation Control of Spacecraft; Low-thrust Orbit Transfer Air Traffic Control: Target tracking and identity management, and conflict detection and resolution; Safe interface design; Real-time safety verification tools for safety critical systems Other Applications: Security and Safety of Cyber-Physical Systems; Fault Detection, Isolation and Reconfiguration; Sensor networks; Decentralized estimation and control of large scale interconnected dynamical systems.</t>
        </is>
      </c>
      <c r="Z93" s="2" t="inlineStr">
        <is>
          <t>Dr. Hwang's research has been strongly motivated by difficult and interesting practical problems such as controlling multiple-vehicle systems.  Controlling multiple-vehicle systems is one of the most important and challenging aspects of modern system theory and practice. Control of such systems involves the analysis of multiple dynamical systems which have inherently decentralized structures. The motions of vehicles have to be coordinated in such a way that the vehicles achieve their goals without conflicts between them. This requires path planning (computing optimal trajectories of vehicles from starting positions to destinations) and conflict detection and resolution. Path planning and conflict detection and resolution require information about individual vehicles, and therefore communication between vehicles for sharing this information is important.  Multiple-vehicle systems encompass a variety of applications, including groups of mobile robots (e.g., UAS), ad-hoc sensor networks, and air traffic control.  In addition, Dr. Hwang's research interests include control theory for hybrid and nonlinear systems, Unmanned Aircraft Systems, safety and security of Cyber-Physical Systems (e.g., aircraft, spacecraft, Air Traffic Control systems, and UAS), and space applications.</t>
        </is>
      </c>
      <c r="AA93" s="2" t="inlineStr">
        <is>
          <t>Dr. Hwang's research has been strongly motivated by difficult and interesting practical problems such as controlling multiple-vehicle systems.  Controlling multiple-vehicle systems is one of the most important and challenging aspects of modern system theory and practice. Control of such systems involves the analysis of multiple dynamical systems which have inherently decentralized structures. T...</t>
        </is>
      </c>
      <c r="AB93" s="2" t="inlineStr">
        <is>
          <t>B.S., Seoul National University, Aerospace Engineering, 1992 M.S., Korea Advanced Institute of Science and Technology, Aerospace Engineering, 1994 Ph.D., Stanford University, Aeronautics and Astronautics, 2004</t>
        </is>
      </c>
      <c r="AC93" s="2" t="inlineStr">
        <is>
          <t>Indiana Space Grant Consortium</t>
        </is>
      </c>
      <c r="AD93" s="3">
        <f>HYPERLINK("https://insgc.spacegrant.org/", "https://insgc.spacegrant.org/")</f>
        <v/>
      </c>
      <c r="AE93" s="2" t="inlineStr">
        <is>
          <t>Academic INSGC Internships</t>
        </is>
      </c>
      <c r="AF93" s="2" t="inlineStr"/>
      <c r="AG93" s="2" t="inlineStr"/>
      <c r="AH93" s="2" t="inlineStr">
        <is>
          <t>NASA</t>
        </is>
      </c>
      <c r="AI93" s="2" t="inlineStr"/>
      <c r="AJ93" s="2" t="inlineStr"/>
      <c r="AK93" s="2" t="inlineStr">
        <is>
          <t>ARMS 3323</t>
        </is>
      </c>
      <c r="AL93" s="2" t="b">
        <v>1</v>
      </c>
      <c r="AM93" s="3">
        <f>HYPERLINK("https://engineering.purdue.edu/AAE/people/Faculty", "https://engineering.purdue.edu/AAE/people/Faculty")</f>
        <v/>
      </c>
    </row>
    <row r="94">
      <c r="A94" s="2" t="inlineStr">
        <is>
          <t>Keith Le Grand</t>
        </is>
      </c>
      <c r="B94" s="2" t="inlineStr">
        <is>
          <t>Purdue University</t>
        </is>
      </c>
      <c r="C94" s="3">
        <f>HYPERLINK("https://engineering.purdue.edu/AAE/people/ptProfile?resource_id=272261", "https://engineering.purdue.edu/AAE/people/ptProfile?resource_id=272261")</f>
        <v/>
      </c>
      <c r="D94" s="3">
        <f>HYPERLINK("https://scholar.google.com/citations?hl=en&amp;user=fVJDLrYAAAAJ&amp;view_op=list_works&amp;sortby=pubdate", "Scholar (fVJDLrYAAAAJ)")</f>
        <v/>
      </c>
      <c r="E94" s="2" t="inlineStr">
        <is>
          <t>Assistant Professor</t>
        </is>
      </c>
      <c r="F94" s="2" t="inlineStr">
        <is>
          <t>Aeronautics and Astronautics</t>
        </is>
      </c>
      <c r="G94" s="2" t="inlineStr">
        <is>
          <t>fVJDLrYAAAAJ</t>
        </is>
      </c>
      <c r="H94" s="3">
        <f>HYPERLINK("mailto:klegrand@purdue.edu", "klegrand@purdue.edu")</f>
        <v/>
      </c>
      <c r="I94" s="2" t="n">
        <v>4</v>
      </c>
      <c r="J94" s="2" t="inlineStr">
        <is>
          <t>🔴 Tier 4: Robotics / Controls / Autonomy</t>
        </is>
      </c>
      <c r="K94" s="2" t="n">
        <v>5</v>
      </c>
      <c r="L94" s="2" t="inlineStr">
        <is>
          <t>aerospace, autonomous, estimation, navigation, spacecraft</t>
        </is>
      </c>
      <c r="M94" s="2" t="inlineStr"/>
      <c r="N94" s="2" t="inlineStr"/>
      <c r="O94" s="2" t="inlineStr"/>
      <c r="P94" s="2" t="inlineStr"/>
      <c r="Q94" s="2" t="inlineStr"/>
      <c r="R94" s="2" t="inlineStr"/>
      <c r="S94" s="2" t="inlineStr"/>
      <c r="T94" s="2" t="inlineStr"/>
      <c r="U94" s="2" t="inlineStr">
        <is>
          <t>(2025) Air Force Office of Scientific Research (AFOSR) Young Investigator Program Award (2025) International Society of Informa...</t>
        </is>
      </c>
      <c r="V94" s="2" t="inlineStr"/>
      <c r="W94" s="2" t="inlineStr"/>
      <c r="X94" s="2" t="inlineStr"/>
      <c r="Y94" s="2" t="inlineStr">
        <is>
          <t>space domain awareness; multi-sensor multi-object tracking; nonlinear estimation; spacecraft navigation; spacecraft autonomy</t>
        </is>
      </c>
      <c r="Z94" s="2" t="inlineStr">
        <is>
          <t>Keith LeGrand’s research explores the intersection of probabilistic estimation, autonomy, and space systems, with a focus on enabling intelligent sensing and decision-making in complex orbital environments. His work develops advanced Bayesian filtering, random finite set (RFS) theory, and information-driven sensor management methods to estimate, track, and characterize objects in dynamic, uncertain regimes such as cislunar space. Applications include angles-only orbit determination, multi-sensor data fusion, and autonomous tasking of ground and space-based networks for space domain awareness. By uniting theory with computational implementation, LeGrand’s research aims to advance the autonomy and resilience of future spaceflight systems for future missions in the Earth–Moon system and beyond.</t>
        </is>
      </c>
      <c r="AA94" s="2" t="inlineStr">
        <is>
          <t>Keith LeGrand’s research explores the intersection of probabilistic estimation, autonomy, and space systems, with a focus on enabling intelligent sensing and decision-making in complex orbital environments. His work develops advanced Bayesian filtering, random finite set (RFS) theory, and information-driven sensor management methods to estimate, track, and characterize objects in dynamic, uncer...</t>
        </is>
      </c>
      <c r="AB94" s="2" t="inlineStr">
        <is>
          <t>Ph.D. Cornell University, Aerospace Engineering, 2022 M.S. Missouri University of Science and Technology, Aerospace Engineering, 2015 B.S. Missouri University of Science and Technology, Aerospace Engineering, 2014</t>
        </is>
      </c>
      <c r="AC94" s="2" t="inlineStr">
        <is>
          <t>Indiana Space Grant Consortium</t>
        </is>
      </c>
      <c r="AD94" s="3">
        <f>HYPERLINK("https://insgc.spacegrant.org/", "https://insgc.spacegrant.org/")</f>
        <v/>
      </c>
      <c r="AE94" s="2" t="inlineStr">
        <is>
          <t>Academic INSGC Internships</t>
        </is>
      </c>
      <c r="AF94" s="2" t="inlineStr"/>
      <c r="AG94" s="2" t="inlineStr"/>
      <c r="AH94" s="2" t="inlineStr">
        <is>
          <t>NASA</t>
        </is>
      </c>
      <c r="AI94" s="2" t="inlineStr"/>
      <c r="AJ94" s="2" t="inlineStr"/>
      <c r="AK94" s="2" t="inlineStr">
        <is>
          <t>ARMS 3213</t>
        </is>
      </c>
      <c r="AL94" s="2" t="b">
        <v>1</v>
      </c>
      <c r="AM94" s="3">
        <f>HYPERLINK("https://engineering.purdue.edu/AAE/people/Faculty", "https://engineering.purdue.edu/AAE/people/Faculty")</f>
        <v/>
      </c>
    </row>
    <row r="95">
      <c r="A95" s="2" t="inlineStr">
        <is>
          <t>Daniel DeLaurentis</t>
        </is>
      </c>
      <c r="B95" s="2" t="inlineStr">
        <is>
          <t>Purdue University</t>
        </is>
      </c>
      <c r="C95" s="3">
        <f>HYPERLINK("https://engineering.purdue.edu/AAE/people/ptProfile?resource_id=1429", "https://engineering.purdue.edu/AAE/people/ptProfile?resource_id=1429")</f>
        <v/>
      </c>
      <c r="D95" s="3">
        <f>HYPERLINK("https://scholar.google.com/citations?view_op=search_authors&amp;mauthors=Daniel%20DeLaurentis%20Purdue%20University", "Google Scholar Search")</f>
        <v/>
      </c>
      <c r="E95" s="2" t="inlineStr">
        <is>
          <t>Bruce Reese Professor of Aeronautics and Astronautics</t>
        </is>
      </c>
      <c r="F95" s="2" t="inlineStr">
        <is>
          <t>Aeronautics and Astronautics</t>
        </is>
      </c>
      <c r="G95" s="2" t="inlineStr"/>
      <c r="H95" s="3">
        <f>HYPERLINK("mailto:ddelaure@purdue.edu", "ddelaure@purdue.edu")</f>
        <v/>
      </c>
      <c r="I95" s="2" t="n">
        <v>4</v>
      </c>
      <c r="J95" s="2" t="inlineStr">
        <is>
          <t>🔴 Tier 4: Robotics / Controls / Autonomy</t>
        </is>
      </c>
      <c r="K95" s="2" t="n">
        <v>4</v>
      </c>
      <c r="L95" s="2" t="inlineStr">
        <is>
          <t>aerospace, autonomous, estimation, system dynamics</t>
        </is>
      </c>
      <c r="M95" s="2" t="inlineStr"/>
      <c r="N95" s="2" t="inlineStr"/>
      <c r="O95" s="2" t="inlineStr"/>
      <c r="P95" s="2" t="inlineStr"/>
      <c r="Q95" s="2" t="inlineStr"/>
      <c r="R95" s="2" t="inlineStr"/>
      <c r="S95" s="2" t="inlineStr"/>
      <c r="T95" s="2" t="inlineStr"/>
      <c r="U95" s="2" t="inlineStr">
        <is>
          <t>FELLOW of the American Institute of Aeronautics and Astronautics (AIAA), 2023 FELLOW of the International Council on Systems En...</t>
        </is>
      </c>
      <c r="V95" s="2" t="inlineStr"/>
      <c r="W95" s="2" t="inlineStr"/>
      <c r="X95" s="2" t="inlineStr"/>
      <c r="Y95" s="2" t="inlineStr">
        <is>
          <t>Design Methods: Mathematical modeling and decision-support frameworks for the design of system-of systems, especially those for which air vehicles are a main element; approaches for robust design of autonomous systems and collectives/swarms Aerospace Systems and Flight Vehicles: sizing/synthesis algorithms for design &amp; performance estimation of revolutionary flight vehicles; exploration of advanced aerial mobility (AAM) designs and concept of operations; aircraft flight stability and control, especially as an integral part of conceptual design</t>
        </is>
      </c>
      <c r="Z95" s="2" t="inlineStr">
        <is>
          <t>Dr. DeLaurentis' doctoral research was motivated by the emerging paradigm of Integrated Product and Process Development (IPPD), which sought to bring historically process-based statistical approaches to product design. His work focused upon the characterization, representation, and quantification of the impact of uncertainty on aerospace design problems. Unique techniques were developed to accomplish this, including the use of Design of Experiments combined with probability theory to obtain rapid estimates of the cumulative distribution functions (CDFs) of key system metrics and objectives. Subsequently, a more direct adoption of robust feedback control concepts has been applied resulting in a new formulation for the design problem to include technology impact assessments and requirement exploration. In addition to methodological advances, the type of problems being faced by the community is changing significantly. Aerospace problems are increasingly becoming recognized as of the "system-of-systems" type, consisting of multiple interacting complex systems of differing type and function. The air transportation system is one example, as are associated issues such as personal air transportation and airborne delivery logistics architectures. Such challenges will require more than just "vehicle synthesis"; they will require "system-of-systems synthesis". Thus, Dr. DeLaurentis has embarked on two projects exploring the use of system dynamics, agent-based modeling, and other approaches to address these multi-disciplinary, multi-system problems. In addition, the areas of network theory and complexity are being explored, to better account for interconnections as well as nodes (i.e. systems) in designing future system-of-systems. The ultimate goal is to better define individual system requirements by understanding the context in which they will operate and to ensure that such operation will be robust over a wide range of plausible futures.</t>
        </is>
      </c>
      <c r="AA95" s="2" t="inlineStr">
        <is>
          <t>Dr. DeLaurentis' doctoral research was motivated by the emerging paradigm of Integrated Product and Process Development (IPPD), which sought to bring historically process-based statistical approaches to product design. His work focused upon the characterization, representation, and quantification of the impact of uncertainty on aerospace design problems. Unique techniques were developed to acco...</t>
        </is>
      </c>
      <c r="AB95" s="2" t="inlineStr">
        <is>
          <t>B.S., Florida Institute of Technology, Aerospace Engineering, 1992 M.S., Georgia Institute of Technology, Aerospace Engineering, 1993 Ph.D., Georgia Institute of Technology, Aerospace Engineering, 1998</t>
        </is>
      </c>
      <c r="AC95" s="2" t="inlineStr">
        <is>
          <t>Indiana Space Grant Consortium</t>
        </is>
      </c>
      <c r="AD95" s="3">
        <f>HYPERLINK("https://insgc.spacegrant.org/", "https://insgc.spacegrant.org/")</f>
        <v/>
      </c>
      <c r="AE95" s="2" t="inlineStr">
        <is>
          <t>Academic INSGC Internships</t>
        </is>
      </c>
      <c r="AF95" s="2" t="inlineStr"/>
      <c r="AG95" s="2" t="inlineStr"/>
      <c r="AH95" s="2" t="inlineStr">
        <is>
          <t>NASA</t>
        </is>
      </c>
      <c r="AI95" s="2" t="inlineStr"/>
      <c r="AJ95" s="2" t="inlineStr"/>
      <c r="AK95" s="2" t="inlineStr"/>
      <c r="AL95" s="2" t="b">
        <v>1</v>
      </c>
      <c r="AM95" s="3">
        <f>HYPERLINK("https://engineering.purdue.edu/AAE/people/Faculty", "https://engineering.purdue.edu/AAE/people/Faculty")</f>
        <v/>
      </c>
    </row>
    <row r="96">
      <c r="A96" s="2" t="inlineStr">
        <is>
          <t>Dengfeng Sun</t>
        </is>
      </c>
      <c r="B96" s="2" t="inlineStr">
        <is>
          <t>Purdue University</t>
        </is>
      </c>
      <c r="C96" s="3">
        <f>HYPERLINK("https://engineering.purdue.edu/AAE/people/ptProfile?resource_id=50922", "https://engineering.purdue.edu/AAE/people/ptProfile?resource_id=50922")</f>
        <v/>
      </c>
      <c r="D96" s="3">
        <f>HYPERLINK("https://scholar.google.com/citations?view_op=search_authors&amp;mauthors=Dengfeng%20Sun%20Purdue%20University", "Google Scholar Search")</f>
        <v/>
      </c>
      <c r="E96" s="2" t="inlineStr">
        <is>
          <t>Professor, Associate Head of Gambaro Graduate Program of Aeronautics and Astronautics</t>
        </is>
      </c>
      <c r="F96" s="2" t="inlineStr">
        <is>
          <t>Aeronautics and Astronautics</t>
        </is>
      </c>
      <c r="G96" s="2" t="inlineStr"/>
      <c r="H96" s="3">
        <f>HYPERLINK("mailto:dsun@purdue.edu", "dsun@purdue.edu")</f>
        <v/>
      </c>
      <c r="I96" s="2" t="n">
        <v>4</v>
      </c>
      <c r="J96" s="2" t="inlineStr">
        <is>
          <t>🔴 Tier 4: Robotics / Controls / Autonomy</t>
        </is>
      </c>
      <c r="K96" s="2" t="n">
        <v>4</v>
      </c>
      <c r="L96" s="2" t="inlineStr">
        <is>
          <t>aerospace, drone, robot, robotics</t>
        </is>
      </c>
      <c r="M96" s="2" t="inlineStr"/>
      <c r="N96" s="2" t="inlineStr"/>
      <c r="O96" s="2" t="inlineStr"/>
      <c r="P96" s="2" t="inlineStr"/>
      <c r="Q96" s="2" t="inlineStr"/>
      <c r="R96" s="2" t="inlineStr"/>
      <c r="S96" s="2" t="inlineStr"/>
      <c r="T96" s="2" t="inlineStr"/>
      <c r="U96" s="2" t="inlineStr"/>
      <c r="V96" s="2" t="inlineStr"/>
      <c r="W96" s="2" t="inlineStr"/>
      <c r="X96" s="2" t="inlineStr"/>
      <c r="Y96" s="2" t="inlineStr">
        <is>
          <t>Distributed control, optimization and autonomy Resilient network control and optimization Optimal resource management in large-scale infrastructure systems Robotics, drone technology and smart infrastructure systems Advanced air mobility, air traffic control and management, air transportation and intelligent transportation system</t>
        </is>
      </c>
      <c r="Z96" s="2" t="inlineStr">
        <is>
          <t>Autonomy and Control Aerospace Systems</t>
        </is>
      </c>
      <c r="AA96" s="2" t="inlineStr">
        <is>
          <t>Autonomy and Control Aerospace Systems</t>
        </is>
      </c>
      <c r="AB96" s="2" t="inlineStr">
        <is>
          <t>B.Eng., Tsinghua University, Precision Instruments and Mechanology, 2000 M.S., The Ohio State University, Industrial and Systems Engineering, 2002 Ph.D., University of California at Berkeley, Civil and Environmental Engineering, 2008</t>
        </is>
      </c>
      <c r="AC96" s="2" t="inlineStr">
        <is>
          <t>Indiana Space Grant Consortium</t>
        </is>
      </c>
      <c r="AD96" s="3">
        <f>HYPERLINK("https://insgc.spacegrant.org/", "https://insgc.spacegrant.org/")</f>
        <v/>
      </c>
      <c r="AE96" s="2" t="inlineStr">
        <is>
          <t>Academic INSGC Internships</t>
        </is>
      </c>
      <c r="AF96" s="2" t="inlineStr"/>
      <c r="AG96" s="2" t="inlineStr"/>
      <c r="AH96" s="2" t="inlineStr">
        <is>
          <t>NASA</t>
        </is>
      </c>
      <c r="AI96" s="2" t="inlineStr"/>
      <c r="AJ96" s="2" t="inlineStr"/>
      <c r="AK96" s="2" t="inlineStr">
        <is>
          <t>ARMS 2031</t>
        </is>
      </c>
      <c r="AL96" s="2" t="b">
        <v>1</v>
      </c>
      <c r="AM96" s="3">
        <f>HYPERLINK("https://engineering.purdue.edu/AAE/people/Faculty", "https://engineering.purdue.edu/AAE/people/Faculty")</f>
        <v/>
      </c>
    </row>
    <row r="97">
      <c r="A97" s="2" t="inlineStr">
        <is>
          <t>Bin Yao</t>
        </is>
      </c>
      <c r="B97" s="2" t="inlineStr">
        <is>
          <t>Purdue University</t>
        </is>
      </c>
      <c r="C97" s="3">
        <f>HYPERLINK("https://engineering.purdue.edu/ME/People/ptProfile?resource_id=11271", "https://engineering.purdue.edu/ME/People/ptProfile?resource_id=11271")</f>
        <v/>
      </c>
      <c r="D97" s="3">
        <f>HYPERLINK("https://scholar.google.com/citations?view_op=search_authors&amp;mauthors=Bin%20Yao%20Purdue%20University", "Google Scholar Search")</f>
        <v/>
      </c>
      <c r="E97" s="2" t="inlineStr">
        <is>
          <t>Professor of Mechanical Engineering</t>
        </is>
      </c>
      <c r="F97" s="2" t="inlineStr">
        <is>
          <t>Mechanical Engineering</t>
        </is>
      </c>
      <c r="G97" s="2" t="inlineStr"/>
      <c r="H97" s="3">
        <f>HYPERLINK("mailto:byao@purdue.edu", "byao@purdue.edu")</f>
        <v/>
      </c>
      <c r="I97" s="2" t="n">
        <v>4</v>
      </c>
      <c r="J97" s="2" t="inlineStr">
        <is>
          <t>🔴 Tier 4: Robotics / Controls / Autonomy</t>
        </is>
      </c>
      <c r="K97" s="2" t="n">
        <v>3</v>
      </c>
      <c r="L97" s="2" t="inlineStr">
        <is>
          <t>nonlinear control, robot, robotics</t>
        </is>
      </c>
      <c r="M97" s="2" t="inlineStr"/>
      <c r="N97" s="2" t="inlineStr"/>
      <c r="O97" s="2" t="inlineStr"/>
      <c r="P97" s="2" t="inlineStr"/>
      <c r="Q97" s="2" t="inlineStr"/>
      <c r="R97" s="2" t="inlineStr"/>
      <c r="S97" s="2" t="inlineStr"/>
      <c r="T97" s="2" t="inlineStr"/>
      <c r="U97" s="2" t="inlineStr">
        <is>
          <t>Outstanding Mechanical Engineers Distinguished Engineering Alumni Honorary Doctorates Staff Awards Student Awards Distinguished...</t>
        </is>
      </c>
      <c r="V97" s="2" t="inlineStr"/>
      <c r="W97" s="2" t="inlineStr"/>
      <c r="X97" s="2" t="inlineStr"/>
      <c r="Y97" s="2" t="inlineStr">
        <is>
          <t>Adaptive and robust control Nonlinear control Precision control of mechanical systems Vehicle control Robotics</t>
        </is>
      </c>
      <c r="Z97" s="2" t="inlineStr">
        <is>
          <t>Systems, Measurements &amp; Controls</t>
        </is>
      </c>
      <c r="AA97" s="2" t="inlineStr">
        <is>
          <t>Systems, Measurements &amp; Controls</t>
        </is>
      </c>
      <c r="AB97" s="2" t="inlineStr">
        <is>
          <t>B.Eng. Beijing Univ. of Aeronautics &amp; Astronautics, '87 M.Eng. Nanyang Technological University, '92 Ph.D. California-Berkeley, '96</t>
        </is>
      </c>
      <c r="AC97" s="2" t="inlineStr">
        <is>
          <t>Personal Homepage</t>
        </is>
      </c>
      <c r="AD97" s="3">
        <f>HYPERLINK("http://engineering.purdue.edu/~byao/", "http://engineering.purdue.edu/~byao/")</f>
        <v/>
      </c>
      <c r="AE97" s="2" t="inlineStr"/>
      <c r="AF97" s="2" t="inlineStr"/>
      <c r="AG97" s="2" t="inlineStr"/>
      <c r="AH97" s="2" t="inlineStr"/>
      <c r="AI97" s="2" t="inlineStr"/>
      <c r="AJ97" s="2" t="inlineStr"/>
      <c r="AK97" s="2" t="inlineStr">
        <is>
          <t>ME 1077</t>
        </is>
      </c>
      <c r="AL97" s="2" t="b">
        <v>1</v>
      </c>
      <c r="AM97" s="3">
        <f>HYPERLINK("https://engineering.purdue.edu/ME/People/ptFaculty", "https://engineering.purdue.edu/ME/People/ptFaculty")</f>
        <v/>
      </c>
    </row>
    <row r="98">
      <c r="A98" s="2" t="inlineStr">
        <is>
          <t>Nina Mahmoudian</t>
        </is>
      </c>
      <c r="B98" s="2" t="inlineStr">
        <is>
          <t>Purdue University</t>
        </is>
      </c>
      <c r="C98" s="3">
        <f>HYPERLINK("https://engineering.purdue.edu/ME/People/ptProfile?resource_id=211078", "https://engineering.purdue.edu/ME/People/ptProfile?resource_id=211078")</f>
        <v/>
      </c>
      <c r="D98" s="3">
        <f>HYPERLINK("https://scholar.google.com/citations?view_op=search_authors&amp;mauthors=Nina%20Mahmoudian%20Purdue%20University", "Google Scholar Search")</f>
        <v/>
      </c>
      <c r="E98" s="2" t="inlineStr">
        <is>
          <t>Professor of Mechanical Engineering</t>
        </is>
      </c>
      <c r="F98" s="2" t="inlineStr">
        <is>
          <t>Mechanical Engineering</t>
        </is>
      </c>
      <c r="G98" s="2" t="inlineStr"/>
      <c r="H98" s="3">
        <f>HYPERLINK("mailto:ninam@purdue.edu", "ninam@purdue.edu")</f>
        <v/>
      </c>
      <c r="I98" s="2" t="n">
        <v>4</v>
      </c>
      <c r="J98" s="2" t="inlineStr">
        <is>
          <t>🔴 Tier 4: Robotics / Controls / Autonomy</t>
        </is>
      </c>
      <c r="K98" s="2" t="n">
        <v>3</v>
      </c>
      <c r="L98" s="2" t="inlineStr">
        <is>
          <t>aerospace, robot, robotics</t>
        </is>
      </c>
      <c r="M98" s="2" t="inlineStr"/>
      <c r="N98" s="2" t="inlineStr"/>
      <c r="O98" s="2" t="inlineStr"/>
      <c r="P98" s="2" t="inlineStr"/>
      <c r="Q98" s="2" t="inlineStr"/>
      <c r="R98" s="2" t="inlineStr"/>
      <c r="S98" s="2" t="inlineStr"/>
      <c r="T98" s="2" t="inlineStr"/>
      <c r="U98" s="2" t="inlineStr">
        <is>
          <t>Outstanding Mechanical Engineers Distinguished Engineering Alumni Honorary Doctorates Staff Awards Student Awards Distinguished...</t>
        </is>
      </c>
      <c r="V98" s="2" t="inlineStr"/>
      <c r="W98" s="2" t="inlineStr"/>
      <c r="X98" s="2" t="inlineStr"/>
      <c r="Y98" s="2" t="inlineStr">
        <is>
          <t>Robotics Marine Robotics Unmanned Systems Energy Autonomy Systems Design Coordination and Controls</t>
        </is>
      </c>
      <c r="Z98" s="2" t="inlineStr">
        <is>
          <t>Design &amp; Manufacturing Systems, Measurements &amp; Controls</t>
        </is>
      </c>
      <c r="AA98" s="2" t="inlineStr">
        <is>
          <t>Design &amp; Manufacturing Systems, Measurements &amp; Controls</t>
        </is>
      </c>
      <c r="AB98" s="2" t="inlineStr">
        <is>
          <t>Postdoctoral Associate, Aerospace Engineering, University of Maryland, 2010 Ph.D.  Aerospace Engineering, Virginia Tech, 2009 B.S.   Aerospace Engineering, Tehran Polytechnic, 1999</t>
        </is>
      </c>
      <c r="AC98" s="2" t="inlineStr">
        <is>
          <t>Mahmoudian Lab</t>
        </is>
      </c>
      <c r="AD98" s="3">
        <f>HYPERLINK("https://engineering.purdue.edu/mahmoudian", "https://engineering.purdue.edu/mahmoudian")</f>
        <v/>
      </c>
      <c r="AE98" s="2" t="inlineStr"/>
      <c r="AF98" s="2" t="inlineStr"/>
      <c r="AG98" s="2" t="inlineStr"/>
      <c r="AH98" s="2" t="inlineStr"/>
      <c r="AI98" s="2" t="inlineStr"/>
      <c r="AJ98" s="2" t="inlineStr"/>
      <c r="AK98" s="2" t="inlineStr">
        <is>
          <t>ME 1072B and KEPNER</t>
        </is>
      </c>
      <c r="AL98" s="2" t="b">
        <v>1</v>
      </c>
      <c r="AM98" s="3">
        <f>HYPERLINK("https://engineering.purdue.edu/ME/People/ptFaculty", "https://engineering.purdue.edu/ME/People/ptFaculty")</f>
        <v/>
      </c>
    </row>
    <row r="99">
      <c r="A99" s="2" t="inlineStr">
        <is>
          <t>Ran Dai</t>
        </is>
      </c>
      <c r="B99" s="2" t="inlineStr">
        <is>
          <t>Purdue University</t>
        </is>
      </c>
      <c r="C99" s="3">
        <f>HYPERLINK("https://engineering.purdue.edu/AAE/people/ptProfile?resource_id=243160", "https://engineering.purdue.edu/AAE/people/ptProfile?resource_id=243160")</f>
        <v/>
      </c>
      <c r="D99" s="3">
        <f>HYPERLINK("https://scholar.google.com/citations?view_op=search_authors&amp;mauthors=Ran%20Dai%20Purdue%20University", "Google Scholar Search")</f>
        <v/>
      </c>
      <c r="E99" s="2" t="inlineStr">
        <is>
          <t>Professor</t>
        </is>
      </c>
      <c r="F99" s="2" t="inlineStr">
        <is>
          <t>Aeronautics and Astronautics</t>
        </is>
      </c>
      <c r="G99" s="2" t="inlineStr"/>
      <c r="H99" s="3">
        <f>HYPERLINK("mailto:randai@purdue.edu", "randai@purdue.edu")</f>
        <v/>
      </c>
      <c r="I99" s="2" t="n">
        <v>4</v>
      </c>
      <c r="J99" s="2" t="inlineStr">
        <is>
          <t>🔴 Tier 4: Robotics / Controls / Autonomy</t>
        </is>
      </c>
      <c r="K99" s="2" t="n">
        <v>3</v>
      </c>
      <c r="L99" s="2" t="inlineStr">
        <is>
          <t>autonomous, optimal control, path planning</t>
        </is>
      </c>
      <c r="M99" s="2" t="inlineStr"/>
      <c r="N99" s="2" t="inlineStr"/>
      <c r="O99" s="2" t="inlineStr"/>
      <c r="P99" s="2" t="inlineStr"/>
      <c r="Q99" s="2" t="inlineStr"/>
      <c r="R99" s="2" t="inlineStr"/>
      <c r="S99" s="2" t="inlineStr"/>
      <c r="T99" s="2" t="inlineStr"/>
      <c r="U99" s="2" t="inlineStr"/>
      <c r="V99" s="2" t="inlineStr"/>
      <c r="W99" s="2" t="inlineStr"/>
      <c r="X99" s="2" t="inlineStr"/>
      <c r="Y99" s="2" t="inlineStr"/>
      <c r="Z99" s="2" t="inlineStr">
        <is>
          <t>Dai's research focuses on control of autonomous systems, numerical optimization and networked dynamical systems. Her group has developed real-time optimal control algorithms for decision making and path planning of autonomous systems, especially for unmanned aerial and space vehicles. Edit var myPronunciation=document.getElementById("pronunciation");
    function play() {
    myPronunciation.play();
    }
    function pause() {
    myPronunciation.pause();
    }</t>
        </is>
      </c>
      <c r="AA99" s="2" t="inlineStr">
        <is>
          <t>Dai's research focuses on control of autonomous systems, numerical optimization and networked dynamical systems. Her group has developed real-time optimal control algorithms for decision making and path planning of autonomous systems, especially for unmanned aerial and space vehicles. Edit var myPronunciation=document.getElementById("pronunciation");
    function play() {
    myPronunciati...</t>
        </is>
      </c>
      <c r="AB99" s="2" t="inlineStr"/>
      <c r="AC99" s="2" t="inlineStr">
        <is>
          <t>Indiana Space Grant Consortium</t>
        </is>
      </c>
      <c r="AD99" s="3">
        <f>HYPERLINK("https://insgc.spacegrant.org/", "https://insgc.spacegrant.org/")</f>
        <v/>
      </c>
      <c r="AE99" s="2" t="inlineStr">
        <is>
          <t>Academic INSGC Internships</t>
        </is>
      </c>
      <c r="AF99" s="2" t="inlineStr"/>
      <c r="AG99" s="2" t="inlineStr"/>
      <c r="AH99" s="2" t="inlineStr">
        <is>
          <t>NASA</t>
        </is>
      </c>
      <c r="AI99" s="2" t="inlineStr"/>
      <c r="AJ99" s="2" t="inlineStr"/>
      <c r="AK99" s="2" t="inlineStr">
        <is>
          <t>ARMS 3227</t>
        </is>
      </c>
      <c r="AL99" s="2" t="b">
        <v>1</v>
      </c>
      <c r="AM99" s="3">
        <f>HYPERLINK("https://engineering.purdue.edu/AAE/people/Faculty", "https://engineering.purdue.edu/AAE/people/Faculty")</f>
        <v/>
      </c>
    </row>
    <row r="100">
      <c r="A100" s="2" t="inlineStr">
        <is>
          <t>Xinyan Deng</t>
        </is>
      </c>
      <c r="B100" s="2" t="inlineStr">
        <is>
          <t>Purdue University</t>
        </is>
      </c>
      <c r="C100" s="3">
        <f>HYPERLINK("https://engineering.purdue.edu/ME/People/ptProfile?resource_id=57378", "https://engineering.purdue.edu/ME/People/ptProfile?resource_id=57378")</f>
        <v/>
      </c>
      <c r="D100" s="3">
        <f>HYPERLINK("https://scholar.google.com/citations?view_op=search_authors&amp;mauthors=Xinyan%20Deng%20Purdue%20University", "Google Scholar Search")</f>
        <v/>
      </c>
      <c r="E100" s="2" t="inlineStr">
        <is>
          <t>Associate Professor of Mechanical Engineering</t>
        </is>
      </c>
      <c r="F100" s="2" t="inlineStr">
        <is>
          <t>Mechanical Engineering</t>
        </is>
      </c>
      <c r="G100" s="2" t="inlineStr"/>
      <c r="H100" s="3">
        <f>HYPERLINK("mailto:xdeng@purdue.edu", "xdeng@purdue.edu")</f>
        <v/>
      </c>
      <c r="I100" s="2" t="n">
        <v>4</v>
      </c>
      <c r="J100" s="2" t="inlineStr">
        <is>
          <t>🔴 Tier 4: Robotics / Controls / Autonomy</t>
        </is>
      </c>
      <c r="K100" s="2" t="n">
        <v>3</v>
      </c>
      <c r="L100" s="2" t="inlineStr">
        <is>
          <t>fluid mechanics, robot, robotics</t>
        </is>
      </c>
      <c r="M100" s="2" t="inlineStr"/>
      <c r="N100" s="2" t="inlineStr"/>
      <c r="O100" s="2" t="inlineStr"/>
      <c r="P100" s="2" t="inlineStr"/>
      <c r="Q100" s="2" t="inlineStr"/>
      <c r="R100" s="2" t="inlineStr"/>
      <c r="S100" s="2" t="inlineStr"/>
      <c r="T100" s="2" t="inlineStr"/>
      <c r="U100" s="2" t="inlineStr">
        <is>
          <t>Outstanding Mechanical Engineers Distinguished Engineering Alumni Honorary Doctorates Staff Awards Student Awards Distinguished...</t>
        </is>
      </c>
      <c r="V100" s="2" t="inlineStr"/>
      <c r="W100" s="2" t="inlineStr"/>
      <c r="X100" s="2" t="inlineStr"/>
      <c r="Y100" s="2" t="inlineStr">
        <is>
          <t>Principles of aerial and aquatic locomotion in animals Experimental fluid mechanics Dynamics Control Bio-inspired robotics Biologically inspired micro aerial vehicles and underwater robots Bio-sensing and sensor fusion algorithms</t>
        </is>
      </c>
      <c r="Z100" s="2" t="inlineStr">
        <is>
          <t>Systems, Measurements &amp; Controls</t>
        </is>
      </c>
      <c r="AA100" s="2" t="inlineStr">
        <is>
          <t>Systems, Measurements &amp; Controls</t>
        </is>
      </c>
      <c r="AB100" s="2" t="inlineStr">
        <is>
          <t>Ph.D., University of California at Berkeley, '04 B.S., Tianjin University, China, '95</t>
        </is>
      </c>
      <c r="AC100" s="2" t="inlineStr">
        <is>
          <t>Bio-Robotics Lab</t>
        </is>
      </c>
      <c r="AD100" s="3">
        <f>HYPERLINK("http://engineering.purdue.edu/~xdeng/", "http://engineering.purdue.edu/~xdeng/")</f>
        <v/>
      </c>
      <c r="AE100" s="2" t="inlineStr"/>
      <c r="AF100" s="2" t="inlineStr"/>
      <c r="AG100" s="2" t="inlineStr">
        <is>
          <t>Wind Tunnel, PIV, Particle Image Velocimetry</t>
        </is>
      </c>
      <c r="AH100" s="2" t="inlineStr"/>
      <c r="AI100" s="2" t="inlineStr"/>
      <c r="AJ100" s="2" t="inlineStr"/>
      <c r="AK100" s="2" t="inlineStr">
        <is>
          <t>ME 1069</t>
        </is>
      </c>
      <c r="AL100" s="2" t="b">
        <v>1</v>
      </c>
      <c r="AM100" s="3">
        <f>HYPERLINK("https://engineering.purdue.edu/ME/People/ptFaculty", "https://engineering.purdue.edu/ME/People/ptFaculty")</f>
        <v/>
      </c>
    </row>
    <row r="101">
      <c r="A101" s="2" t="inlineStr">
        <is>
          <t>Yan Gu</t>
        </is>
      </c>
      <c r="B101" s="2" t="inlineStr">
        <is>
          <t>Purdue University</t>
        </is>
      </c>
      <c r="C101" s="3">
        <f>HYPERLINK("https://engineering.purdue.edu/ME/People/ptProfile?resource_id=273141", "https://engineering.purdue.edu/ME/People/ptProfile?resource_id=273141")</f>
        <v/>
      </c>
      <c r="D101" s="3">
        <f>HYPERLINK("https://scholar.google.com/citations?view_op=search_authors&amp;mauthors=Yan%20Gu%20Purdue%20University", "Google Scholar Search")</f>
        <v/>
      </c>
      <c r="E101" s="2" t="inlineStr">
        <is>
          <t>Associate Professor Of Mechanical Engineering</t>
        </is>
      </c>
      <c r="F101" s="2" t="inlineStr">
        <is>
          <t>Mechanical Engineering</t>
        </is>
      </c>
      <c r="G101" s="2" t="inlineStr"/>
      <c r="H101" s="3">
        <f>HYPERLINK("mailto:yangu@purdue.edu", "yangu@purdue.edu")</f>
        <v/>
      </c>
      <c r="I101" s="2" t="n">
        <v>4</v>
      </c>
      <c r="J101" s="2" t="inlineStr">
        <is>
          <t>🔴 Tier 4: Robotics / Controls / Autonomy</t>
        </is>
      </c>
      <c r="K101" s="2" t="n">
        <v>3</v>
      </c>
      <c r="L101" s="2" t="inlineStr">
        <is>
          <t>estimation, robot, robotics</t>
        </is>
      </c>
      <c r="M101" s="2" t="inlineStr"/>
      <c r="N101" s="2" t="inlineStr"/>
      <c r="O101" s="2" t="inlineStr"/>
      <c r="P101" s="2" t="inlineStr"/>
      <c r="Q101" s="2" t="inlineStr"/>
      <c r="R101" s="2" t="inlineStr"/>
      <c r="S101" s="2" t="inlineStr"/>
      <c r="T101" s="2" t="inlineStr"/>
      <c r="U101" s="2" t="inlineStr">
        <is>
          <t>Outstanding Mechanical Engineers Distinguished Engineering Alumni Honorary Doctorates Staff Awards Student Awards Distinguished...</t>
        </is>
      </c>
      <c r="V101" s="2" t="inlineStr"/>
      <c r="W101" s="2" t="inlineStr"/>
      <c r="X101" s="2" t="inlineStr"/>
      <c r="Y101" s="2" t="inlineStr">
        <is>
          <t>Legged locomotion Humanoid and quadrupedal robots Wearable robotics Hybrid dynamical systems Control State estimation Dynamics</t>
        </is>
      </c>
      <c r="Z101" s="2" t="inlineStr">
        <is>
          <t>Systems, Measurements &amp; Controls</t>
        </is>
      </c>
      <c r="AA101" s="2" t="inlineStr">
        <is>
          <t>Systems, Measurements &amp; Controls</t>
        </is>
      </c>
      <c r="AB101" s="2" t="inlineStr">
        <is>
          <t>Ph.D., Purdue, '17 B.S., Zhejiang University, China, '11</t>
        </is>
      </c>
      <c r="AC101" s="2" t="inlineStr">
        <is>
          <t>TRACE Lab</t>
        </is>
      </c>
      <c r="AD101" s="3">
        <f>HYPERLINK("https://www.thetracelab.com/", "https://www.thetracelab.com/")</f>
        <v/>
      </c>
      <c r="AE101" s="2" t="inlineStr">
        <is>
          <t>Actively recruiting / Openings mentioned on lab site</t>
        </is>
      </c>
      <c r="AF101" s="2" t="inlineStr"/>
      <c r="AG101" s="2" t="inlineStr"/>
      <c r="AH101" s="2" t="inlineStr">
        <is>
          <t>NSF, ONR</t>
        </is>
      </c>
      <c r="AI101" s="2" t="inlineStr"/>
      <c r="AJ101" s="2" t="inlineStr"/>
      <c r="AK101" s="2" t="inlineStr">
        <is>
          <t>ME 1065</t>
        </is>
      </c>
      <c r="AL101" s="2" t="b">
        <v>1</v>
      </c>
      <c r="AM101" s="3">
        <f>HYPERLINK("https://engineering.purdue.edu/ME/People/ptFaculty", "https://engineering.purdue.edu/ME/People/ptFaculty")</f>
        <v/>
      </c>
    </row>
    <row r="102">
      <c r="A102" s="2" t="inlineStr">
        <is>
          <t>David Cappelleri</t>
        </is>
      </c>
      <c r="B102" s="2" t="inlineStr">
        <is>
          <t>Purdue University</t>
        </is>
      </c>
      <c r="C102" s="3">
        <f>HYPERLINK("https://engineering.purdue.edu/ME/People/ptProfile?resource_id=92669", "https://engineering.purdue.edu/ME/People/ptProfile?resource_id=92669")</f>
        <v/>
      </c>
      <c r="D102" s="3">
        <f>HYPERLINK("https://scholar.google.com/citations?view_op=search_authors&amp;mauthors=David%20Cappelleri%20Purdue%20University", "Google Scholar Search")</f>
        <v/>
      </c>
      <c r="E102" s="2" t="inlineStr">
        <is>
          <t>Professor of Mechanical Engineering; Assistant Vice President for Research Innovation</t>
        </is>
      </c>
      <c r="F102" s="2" t="inlineStr">
        <is>
          <t>Mechanical Engineering</t>
        </is>
      </c>
      <c r="G102" s="2" t="inlineStr"/>
      <c r="H102" s="3">
        <f>HYPERLINK("mailto:dcappell@purdue.edu", "dcappell@purdue.edu")</f>
        <v/>
      </c>
      <c r="I102" s="2" t="n">
        <v>4</v>
      </c>
      <c r="J102" s="2" t="inlineStr">
        <is>
          <t>🔴 Tier 4: Robotics / Controls / Autonomy</t>
        </is>
      </c>
      <c r="K102" s="2" t="n">
        <v>2</v>
      </c>
      <c r="L102" s="2" t="inlineStr">
        <is>
          <t>robot, robotics</t>
        </is>
      </c>
      <c r="M102" s="2" t="inlineStr"/>
      <c r="N102" s="2" t="inlineStr"/>
      <c r="O102" s="2" t="inlineStr"/>
      <c r="P102" s="2" t="inlineStr"/>
      <c r="Q102" s="2" t="inlineStr"/>
      <c r="R102" s="2" t="inlineStr"/>
      <c r="S102" s="2" t="inlineStr"/>
      <c r="T102" s="2" t="inlineStr"/>
      <c r="U102" s="2" t="inlineStr">
        <is>
          <t>Outstanding Mechanical Engineers Distinguished Engineering Alumni Honorary Doctorates Staff Awards Student Awards Distinguished...</t>
        </is>
      </c>
      <c r="V102" s="2" t="inlineStr"/>
      <c r="W102" s="2" t="inlineStr"/>
      <c r="X102" s="2" t="inlineStr"/>
      <c r="Y102" s="2" t="inlineStr">
        <is>
          <t>Multi-scale robotic manipulation and assembly Mobile micro/nano robotics Micro/nano aerial vehicles Micro-Bio robotics Mechatronics MEMS/NEMS Automation for the life sciences</t>
        </is>
      </c>
      <c r="Z102" s="2" t="inlineStr">
        <is>
          <t>Dynamics &amp; Vibration Design &amp; Manufacturing Systems, Measurements &amp; Controls</t>
        </is>
      </c>
      <c r="AA102" s="2" t="inlineStr">
        <is>
          <t>Dynamics &amp; Vibration Design &amp; Manufacturing Systems, Measurements &amp; Controls</t>
        </is>
      </c>
      <c r="AB102" s="2" t="inlineStr">
        <is>
          <t>B.S., Mechanical Engineering, Villanova University, '98 M.S., Mechanical Engineering, The Pennsylvania State University, ‘00 Ph.D., Mechanical Engineering &amp; Applied Mechanics, University of Pennsylvania, '08</t>
        </is>
      </c>
      <c r="AC102" s="2" t="inlineStr">
        <is>
          <t>Multi-Scale Robotics &amp; Automation Lab</t>
        </is>
      </c>
      <c r="AD102" s="3">
        <f>HYPERLINK("http://www.multiscalerobotics.org/", "http://www.multiscalerobotics.org/")</f>
        <v/>
      </c>
      <c r="AE102" s="2" t="inlineStr"/>
      <c r="AF102" s="2" t="inlineStr"/>
      <c r="AG102" s="2" t="inlineStr"/>
      <c r="AH102" s="2" t="inlineStr"/>
      <c r="AI102" s="2" t="inlineStr"/>
      <c r="AJ102" s="2" t="inlineStr"/>
      <c r="AK102" s="2" t="inlineStr">
        <is>
          <t>FLEX 2021C</t>
        </is>
      </c>
      <c r="AL102" s="2" t="b">
        <v>1</v>
      </c>
      <c r="AM102" s="3">
        <f>HYPERLINK("https://engineering.purdue.edu/ME/People/ptFaculty", "https://engineering.purdue.edu/ME/People/ptFaculty")</f>
        <v/>
      </c>
    </row>
    <row r="103">
      <c r="A103" s="2" t="inlineStr">
        <is>
          <t>Husheng Li</t>
        </is>
      </c>
      <c r="B103" s="2" t="inlineStr">
        <is>
          <t>Purdue University</t>
        </is>
      </c>
      <c r="C103" s="3">
        <f>HYPERLINK("https://engineering.purdue.edu/AAE/people/ptProfile?resource_id=270776", "https://engineering.purdue.edu/AAE/people/ptProfile?resource_id=270776")</f>
        <v/>
      </c>
      <c r="D103" s="3">
        <f>HYPERLINK("https://scholar.google.com/citations?view_op=search_authors&amp;mauthors=Husheng%20Li%20Purdue%20University", "Google Scholar Search")</f>
        <v/>
      </c>
      <c r="E103" s="2" t="inlineStr">
        <is>
          <t>Professor Of Aero And Astro Engineering</t>
        </is>
      </c>
      <c r="F103" s="2" t="inlineStr">
        <is>
          <t>Aeronautics and Astronautics</t>
        </is>
      </c>
      <c r="G103" s="2" t="inlineStr"/>
      <c r="H103" s="3">
        <f>HYPERLINK("mailto:husheng@purdue.edu", "husheng@purdue.edu")</f>
        <v/>
      </c>
      <c r="I103" s="2" t="n">
        <v>4</v>
      </c>
      <c r="J103" s="2" t="inlineStr">
        <is>
          <t>🔴 Tier 4: Robotics / Controls / Autonomy</t>
        </is>
      </c>
      <c r="K103" s="2" t="n">
        <v>2</v>
      </c>
      <c r="L103" s="2" t="inlineStr">
        <is>
          <t>autonomous, uav</t>
        </is>
      </c>
      <c r="M103" s="2" t="inlineStr"/>
      <c r="N103" s="2" t="inlineStr"/>
      <c r="O103" s="2" t="inlineStr"/>
      <c r="P103" s="2" t="inlineStr"/>
      <c r="Q103" s="2" t="inlineStr"/>
      <c r="R103" s="2" t="inlineStr"/>
      <c r="S103" s="2" t="inlineStr"/>
      <c r="T103" s="2" t="inlineStr"/>
      <c r="U103" s="2" t="inlineStr"/>
      <c r="V103" s="2" t="inlineStr"/>
      <c r="W103" s="2" t="inlineStr"/>
      <c r="X103" s="2" t="inlineStr"/>
      <c r="Y103" s="2" t="inlineStr"/>
      <c r="Z103" s="2" t="inlineStr">
        <is>
          <t>Dr. Li has previously researched cyber physical systems, statistical signal processing, wireless communications, and information theory. His current work is in autonomous and connected systems, UAV sensing and communications, and joint design of control and communication systems. Edit var myPronunciation=document.getElementById("pronunciation");
    function play() {
    myPronunciation.play();
    }
    function pause() {
    myPronunciation.pause();
    }</t>
        </is>
      </c>
      <c r="AA103" s="2" t="inlineStr">
        <is>
          <t>Dr. Li has previously researched cyber physical systems, statistical signal processing, wireless communications, and information theory. His current work is in autonomous and connected systems, UAV sensing and communications, and joint design of control and communication systems. Edit var myPronunciation=document.getElementById("pronunciation");
    function play() {
    myPronunciation.pl...</t>
        </is>
      </c>
      <c r="AB103" s="2" t="inlineStr">
        <is>
          <t>PhD in Electrical Engineering, Princeton University BS and MS in Electronic Engineering, Tsinghua University</t>
        </is>
      </c>
      <c r="AC103" s="2" t="inlineStr">
        <is>
          <t>Indiana Space Grant Consortium</t>
        </is>
      </c>
      <c r="AD103" s="3">
        <f>HYPERLINK("https://insgc.spacegrant.org/", "https://insgc.spacegrant.org/")</f>
        <v/>
      </c>
      <c r="AE103" s="2" t="inlineStr">
        <is>
          <t>Academic INSGC Internships</t>
        </is>
      </c>
      <c r="AF103" s="2" t="inlineStr"/>
      <c r="AG103" s="2" t="inlineStr"/>
      <c r="AH103" s="2" t="inlineStr">
        <is>
          <t>NASA</t>
        </is>
      </c>
      <c r="AI103" s="2" t="inlineStr"/>
      <c r="AJ103" s="2" t="inlineStr"/>
      <c r="AK103" s="2" t="inlineStr">
        <is>
          <t>ARMS 3215</t>
        </is>
      </c>
      <c r="AL103" s="2" t="b">
        <v>1</v>
      </c>
      <c r="AM103" s="3">
        <f>HYPERLINK("https://engineering.purdue.edu/AAE/people/Faculty", "https://engineering.purdue.edu/AAE/people/Faculty")</f>
        <v/>
      </c>
    </row>
    <row r="104">
      <c r="A104" s="2" t="inlineStr">
        <is>
          <t>Karen Marais</t>
        </is>
      </c>
      <c r="B104" s="2" t="inlineStr">
        <is>
          <t>Purdue University</t>
        </is>
      </c>
      <c r="C104" s="3">
        <f>HYPERLINK("https://engineering.purdue.edu/AAE/people/ptProfile?resource_id=50933", "https://engineering.purdue.edu/AAE/people/ptProfile?resource_id=50933")</f>
        <v/>
      </c>
      <c r="D104" s="3">
        <f>HYPERLINK("https://scholar.google.com/citations?view_op=search_authors&amp;mauthors=Karen%20Marais%20Purdue%20University", "Google Scholar Search")</f>
        <v/>
      </c>
      <c r="E104" s="2" t="inlineStr">
        <is>
          <t>Professor; Associate Head for Undergraduate Education</t>
        </is>
      </c>
      <c r="F104" s="2" t="inlineStr">
        <is>
          <t>Aeronautics and Astronautics</t>
        </is>
      </c>
      <c r="G104" s="2" t="inlineStr"/>
      <c r="H104" s="3">
        <f>HYPERLINK("mailto:kmarais@purdue.edu", "kmarais@purdue.edu")</f>
        <v/>
      </c>
      <c r="I104" s="2" t="n">
        <v>4</v>
      </c>
      <c r="J104" s="2" t="inlineStr">
        <is>
          <t>🔴 Tier 4: Robotics / Controls / Autonomy</t>
        </is>
      </c>
      <c r="K104" s="2" t="n">
        <v>2</v>
      </c>
      <c r="L104" s="2" t="inlineStr">
        <is>
          <t>aerospace, control theory</t>
        </is>
      </c>
      <c r="M104" s="2" t="inlineStr"/>
      <c r="N104" s="2" t="inlineStr"/>
      <c r="O104" s="2" t="inlineStr"/>
      <c r="P104" s="2" t="inlineStr"/>
      <c r="Q104" s="2" t="inlineStr"/>
      <c r="R104" s="2" t="inlineStr"/>
      <c r="S104" s="2" t="inlineStr"/>
      <c r="T104" s="2" t="inlineStr"/>
      <c r="U104" s="2" t="inlineStr"/>
      <c r="V104" s="2" t="inlineStr"/>
      <c r="W104" s="2" t="inlineStr"/>
      <c r="X104" s="2" t="inlineStr"/>
      <c r="Y104" s="2" t="inlineStr">
        <is>
          <t>Safety and Risk Analysis Systems Engineering Education Financial Modeling of Engineering Systems Environmental Impacts of Technology</t>
        </is>
      </c>
      <c r="Z104" s="2" t="inlineStr">
        <is>
          <t>My research is multi-disciplinary in nature, spanning traditional engineering disciplines such as reliability, maintainability, and risk analysis, and extending to engineering economics (e.g., environmental impact of aviation and policy choices and implications) and organizational behavior (in particular in regard to system safety). The fundamental aim of my research is to guide better engineering decisions in system design and operation. To that end I perform research in three general areas: System Safety and Risk Analysis In this work, I investigate new ways of addressing the safety and risk challenges posed by complex systems. I am currently investigating the application of techniques from control theory and digital signal processing to risk analysis. Value-Centric System Design and Operation In this work, I investigate system design and operation from the perspective of design impact on value. For example, recently my co-authors and I investigated the impact of reliability on system value and used our analysis to develop a method to identify optimal reliability levels that maximize system value delivery over time. I am now extending this perspective to system maintenance (an area with significant growth potential) and adapting this work to the civil aviation industry. Civil Aviation Policy In this work, I investigate various aspects of civil aviation policy. I focus on two areas. First, technology is seen as one of the primary enablers of increased air traffic over the next two decades. However, airlines and general aviation users are often reluctant to adopt new technologies. Using a value-centric approach I developed a framework that can be used to identify and address the causes of adoption reluctance and so increase the likelihood of successful technology transitions. Second, the impact of aviation on the environment is receiving increasing attention. However, aviation environmental policies are usually evaluated in isolation or on a cost-effectiveness basis. Such evaluations do not take into account the complex interdependencies between aviation environmental effects (e.g., quieter engines may be heavier and therefore increase fuel consumption). Here, again, a value-centric perspective that takes into account both the benefits and costs of aviation can allow better policy decisions.</t>
        </is>
      </c>
      <c r="AA104" s="2" t="inlineStr">
        <is>
          <t>My research is multi-disciplinary in nature, spanning traditional engineering disciplines such as reliability, maintainability, and risk analysis, and extending to engineering economics (e.g., environmental impact of aviation and policy choices and implications) and organizational behavior (in particular in regard to system safety). The fundamental aim of my research is to guide better engineer...</t>
        </is>
      </c>
      <c r="AB104" s="2" t="inlineStr">
        <is>
          <t>B.Eng. University of Stellenbosch, Electrical and Electronic Engineering, 1994 B.Sc. University of South Africa, Mathematics, 1997 S.M. Massachusetts Institute of Technology, Aerospace Engineering, 2001 Ph.D. Massachusetts Institute of Technology, Aerospace Engineering, 2005</t>
        </is>
      </c>
      <c r="AC104" s="2" t="inlineStr">
        <is>
          <t>Indiana Space Grant Consortium</t>
        </is>
      </c>
      <c r="AD104" s="3">
        <f>HYPERLINK("https://insgc.spacegrant.org/", "https://insgc.spacegrant.org/")</f>
        <v/>
      </c>
      <c r="AE104" s="2" t="inlineStr">
        <is>
          <t>Academic INSGC Internships</t>
        </is>
      </c>
      <c r="AF104" s="2" t="inlineStr"/>
      <c r="AG104" s="2" t="inlineStr"/>
      <c r="AH104" s="2" t="inlineStr">
        <is>
          <t>NASA</t>
        </is>
      </c>
      <c r="AI104" s="2" t="inlineStr"/>
      <c r="AJ104" s="2" t="inlineStr"/>
      <c r="AK104" s="2" t="inlineStr">
        <is>
          <t>ARMS 2041</t>
        </is>
      </c>
      <c r="AL104" s="2" t="b">
        <v>1</v>
      </c>
      <c r="AM104" s="3">
        <f>HYPERLINK("https://engineering.purdue.edu/AAE/people/Faculty", "https://engineering.purdue.edu/AAE/people/Faculty")</f>
        <v/>
      </c>
    </row>
    <row r="105">
      <c r="A105" s="2" t="inlineStr">
        <is>
          <t>Laura Blumenschein</t>
        </is>
      </c>
      <c r="B105" s="2" t="inlineStr">
        <is>
          <t>Purdue University</t>
        </is>
      </c>
      <c r="C105" s="3">
        <f>HYPERLINK("https://engineering.purdue.edu/ME/People/ptProfile?resource_id=241064", "https://engineering.purdue.edu/ME/People/ptProfile?resource_id=241064")</f>
        <v/>
      </c>
      <c r="D105" s="3">
        <f>HYPERLINK("https://scholar.google.com/citations?view_op=search_authors&amp;mauthors=Laura%20Blumenschein%20Purdue%20University", "Google Scholar Search")</f>
        <v/>
      </c>
      <c r="E105" s="2" t="inlineStr">
        <is>
          <t>Assistant Professor of Mechanical Engineering</t>
        </is>
      </c>
      <c r="F105" s="2" t="inlineStr">
        <is>
          <t>Mechanical Engineering</t>
        </is>
      </c>
      <c r="G105" s="2" t="inlineStr"/>
      <c r="H105" s="3">
        <f>HYPERLINK("mailto:lhblumen@purdue.edu", "lhblumen@purdue.edu")</f>
        <v/>
      </c>
      <c r="I105" s="2" t="n">
        <v>4</v>
      </c>
      <c r="J105" s="2" t="inlineStr">
        <is>
          <t>🔴 Tier 4: Robotics / Controls / Autonomy</t>
        </is>
      </c>
      <c r="K105" s="2" t="n">
        <v>2</v>
      </c>
      <c r="L105" s="2" t="inlineStr">
        <is>
          <t>robot, robotics</t>
        </is>
      </c>
      <c r="M105" s="2" t="inlineStr"/>
      <c r="N105" s="2" t="inlineStr"/>
      <c r="O105" s="2" t="inlineStr"/>
      <c r="P105" s="2" t="inlineStr"/>
      <c r="Q105" s="2" t="inlineStr"/>
      <c r="R105" s="2" t="inlineStr"/>
      <c r="S105" s="2" t="inlineStr"/>
      <c r="T105" s="2" t="inlineStr"/>
      <c r="U105" s="2" t="inlineStr">
        <is>
          <t>Outstanding Mechanical Engineers Distinguished Engineering Alumni Honorary Doctorates Staff Awards Student Awards Distinguished...</t>
        </is>
      </c>
      <c r="V105" s="2" t="inlineStr"/>
      <c r="W105" s="2" t="inlineStr"/>
      <c r="X105" s="2" t="inlineStr"/>
      <c r="Y105" s="2" t="inlineStr">
        <is>
          <t>Growing robots Soft robotics Bioinspired systems Wearable robots Haptics Soft matter</t>
        </is>
      </c>
      <c r="Z105" s="2" t="inlineStr">
        <is>
          <t>Design &amp; Manufacturing Systems, Measurements &amp; Controls</t>
        </is>
      </c>
      <c r="AA105" s="2" t="inlineStr">
        <is>
          <t>Design &amp; Manufacturing Systems, Measurements &amp; Controls</t>
        </is>
      </c>
      <c r="AB105" s="2" t="inlineStr">
        <is>
          <t>Ph.D., Stanford University '19 M.S., Rice University '16 B.S., Rice University '15</t>
        </is>
      </c>
      <c r="AC105" s="2" t="inlineStr">
        <is>
          <t>RAAD Lab</t>
        </is>
      </c>
      <c r="AD105" s="3">
        <f>HYPERLINK("https://lhblumen.wixsite.com/website-1", "https://lhblumen.wixsite.com/website-1")</f>
        <v/>
      </c>
      <c r="AE105" s="2" t="inlineStr">
        <is>
          <t>Actively recruiting / Openings mentioned on lab site</t>
        </is>
      </c>
      <c r="AF105" s="2" t="inlineStr"/>
      <c r="AG105" s="2" t="inlineStr"/>
      <c r="AH105" s="2" t="inlineStr">
        <is>
          <t>NSF</t>
        </is>
      </c>
      <c r="AI105" s="2" t="inlineStr"/>
      <c r="AJ105" s="2" t="inlineStr"/>
      <c r="AK105" s="2" t="inlineStr">
        <is>
          <t>ME 1075</t>
        </is>
      </c>
      <c r="AL105" s="2" t="b">
        <v>1</v>
      </c>
      <c r="AM105" s="3">
        <f>HYPERLINK("https://engineering.purdue.edu/ME/People/ptFaculty", "https://engineering.purdue.edu/ME/People/ptFaculty")</f>
        <v/>
      </c>
    </row>
    <row r="106">
      <c r="A106" s="2" t="inlineStr">
        <is>
          <t>Andrea Vacca</t>
        </is>
      </c>
      <c r="B106" s="2" t="inlineStr">
        <is>
          <t>Purdue University</t>
        </is>
      </c>
      <c r="C106" s="3">
        <f>HYPERLINK("https://engineering.purdue.edu/ME/People/ptProfile?resource_id=61666", "https://engineering.purdue.edu/ME/People/ptProfile?resource_id=61666")</f>
        <v/>
      </c>
      <c r="D106" s="3">
        <f>HYPERLINK("https://scholar.google.com/citations?view_op=search_authors&amp;mauthors=Andrea%20Vacca%20Purdue%20University", "Google Scholar Search")</f>
        <v/>
      </c>
      <c r="E106" s="2" t="inlineStr">
        <is>
          <t>Maha Fluid Power Faculty Chair, Professor of Mechanical Engineering, joint with Agricultural and Biological Engineering</t>
        </is>
      </c>
      <c r="F106" s="2" t="inlineStr">
        <is>
          <t>Mechanical Engineering</t>
        </is>
      </c>
      <c r="G106" s="2" t="inlineStr"/>
      <c r="H106" s="3">
        <f>HYPERLINK("mailto:avacca@purdue.edu", "avacca@purdue.edu")</f>
        <v/>
      </c>
      <c r="I106" s="2" t="n">
        <v>4</v>
      </c>
      <c r="J106" s="2" t="inlineStr">
        <is>
          <t>🔴 Tier 4: Robotics / Controls / Autonomy</t>
        </is>
      </c>
      <c r="K106" s="2" t="n">
        <v>1</v>
      </c>
      <c r="L106" s="2" t="inlineStr">
        <is>
          <t>fluid mechanics</t>
        </is>
      </c>
      <c r="M106" s="2" t="inlineStr"/>
      <c r="N106" s="2" t="inlineStr"/>
      <c r="O106" s="2" t="inlineStr"/>
      <c r="P106" s="2" t="inlineStr"/>
      <c r="Q106" s="2" t="inlineStr"/>
      <c r="R106" s="2" t="inlineStr"/>
      <c r="S106" s="2" t="inlineStr"/>
      <c r="T106" s="2" t="inlineStr"/>
      <c r="U106" s="2" t="inlineStr">
        <is>
          <t>Outstanding Mechanical Engineers Distinguished Engineering Alumni Honorary Doctorates Staff Awards Student Awards Distinguished...</t>
        </is>
      </c>
      <c r="V106" s="2" t="inlineStr">
        <is>
          <t>Contact us today to learn about the advantages of becoming a member at Maha Labs! Email Andrea Vacca: avacca@purdue.edu | If you are interested in a research position at the Maha Fluid Power Research Center, please email your application to Dr. Vacca ( avacca@purdue.edu ) or Dr. Shang ( shangl@purdue.edu ).</t>
        </is>
      </c>
      <c r="W106" s="2" t="inlineStr"/>
      <c r="X106" s="2" t="inlineStr"/>
      <c r="Y106" s="2" t="inlineStr">
        <is>
          <t>Modeling and simulation of hydraulic systems Modeling and testing of pumps and motors for fluid power applications Hydraulic valves modeling and testing Reduction of noise emissions in fluid power systems</t>
        </is>
      </c>
      <c r="Z106" s="2" t="inlineStr">
        <is>
          <t>Fluid Mechanics Heat &amp; Mass Transfer</t>
        </is>
      </c>
      <c r="AA106" s="2" t="inlineStr">
        <is>
          <t>Fluid Mechanics Heat &amp; Mass Transfer</t>
        </is>
      </c>
      <c r="AB106" s="2" t="inlineStr">
        <is>
          <t>M.S., University of Parma (Italy), '99 Ph.D., University of Florence (Italy), '05</t>
        </is>
      </c>
      <c r="AC106" s="2" t="inlineStr">
        <is>
          <t>Maha Fluid Power Research Center</t>
        </is>
      </c>
      <c r="AD106" s="3">
        <f>HYPERLINK("https://engineering.purdue.edu/Maha", "https://engineering.purdue.edu/Maha")</f>
        <v/>
      </c>
      <c r="AE106" s="2" t="inlineStr">
        <is>
          <t>Receive biannual updates on “Maha recommended” Purdue students looking for job opportunities Participate in a recruiting session during the annual Maha Fluid Power Conference Organize a private recruiting event at the Maha Fluid Power Research Center* | Receive biannual updates on “Maha recommended” Purdue students looking for job opportunities</t>
        </is>
      </c>
      <c r="AF106" s="2" t="inlineStr"/>
      <c r="AG106" s="2" t="inlineStr">
        <is>
          <t>Cluster</t>
        </is>
      </c>
      <c r="AH106" s="2" t="inlineStr"/>
      <c r="AI106" s="2" t="inlineStr"/>
      <c r="AJ106" s="2" t="inlineStr"/>
      <c r="AK106" s="2" t="inlineStr"/>
      <c r="AL106" s="2" t="b">
        <v>1</v>
      </c>
      <c r="AM106" s="3">
        <f>HYPERLINK("https://engineering.purdue.edu/ME/People/ptFaculty", "https://engineering.purdue.edu/ME/People/ptFaculty")</f>
        <v/>
      </c>
    </row>
    <row r="107">
      <c r="A107" s="2" t="inlineStr">
        <is>
          <t>Arthur E. Frazho</t>
        </is>
      </c>
      <c r="B107" s="2" t="inlineStr">
        <is>
          <t>Purdue University</t>
        </is>
      </c>
      <c r="C107" s="3">
        <f>HYPERLINK("https://engineering.purdue.edu/AAE/people/ptProfile?resource_id=1339", "https://engineering.purdue.edu/AAE/people/ptProfile?resource_id=1339")</f>
        <v/>
      </c>
      <c r="D107" s="3">
        <f>HYPERLINK("https://scholar.google.com/citations?view_op=search_authors&amp;mauthors=Arthur%20E.%20Frazho%20Purdue%20University", "Google Scholar Search")</f>
        <v/>
      </c>
      <c r="E107" s="2" t="inlineStr">
        <is>
          <t>Professor</t>
        </is>
      </c>
      <c r="F107" s="2" t="inlineStr">
        <is>
          <t>Aeronautics and Astronautics</t>
        </is>
      </c>
      <c r="G107" s="2" t="inlineStr"/>
      <c r="H107" s="3">
        <f>HYPERLINK("mailto:frazho@purdue.edu", "frazho@purdue.edu")</f>
        <v/>
      </c>
      <c r="I107" s="2" t="n">
        <v>4</v>
      </c>
      <c r="J107" s="2" t="inlineStr">
        <is>
          <t>🔴 Tier 4: Robotics / Controls / Autonomy</t>
        </is>
      </c>
      <c r="K107" s="2" t="n">
        <v>1</v>
      </c>
      <c r="L107" s="2" t="inlineStr">
        <is>
          <t>nonlinear control</t>
        </is>
      </c>
      <c r="M107" s="2" t="inlineStr"/>
      <c r="N107" s="2" t="inlineStr"/>
      <c r="O107" s="2" t="inlineStr"/>
      <c r="P107" s="2" t="inlineStr"/>
      <c r="Q107" s="2" t="inlineStr"/>
      <c r="R107" s="2" t="inlineStr"/>
      <c r="S107" s="2" t="inlineStr"/>
      <c r="T107" s="2" t="inlineStr"/>
      <c r="U107" s="2" t="inlineStr">
        <is>
          <t>2006 - The W. A. Gustafson Award (teaching award)</t>
        </is>
      </c>
      <c r="V107" s="2" t="inlineStr"/>
      <c r="W107" s="2" t="inlineStr"/>
      <c r="X107" s="2" t="inlineStr"/>
      <c r="Y107" s="2" t="inlineStr">
        <is>
          <t>Control systems</t>
        </is>
      </c>
      <c r="Z107" s="2" t="inlineStr">
        <is>
          <t>This research develops and applies operator theory to problems in deterministic and stochastic control systems. These techniques are used to design models for both linear and nonlinear control systems. We also obtain fast recursive algorithms for computing reduced order models. This also yields a theory of Hinfinity controller reduction and pole placement with applications to large space structure control. Finally, these techniques are used to solve problems in signal processing and inverse scattering theory.</t>
        </is>
      </c>
      <c r="AA107" s="2" t="inlineStr">
        <is>
          <t>This research develops and applies operator theory to problems in deterministic and stochastic control systems. These techniques are used to design models for both linear and nonlinear control systems. We also obtain fast recursive algorithms for computing reduced order models. This also yields a theory of Hinfinity controller reduction and pole placement with applications to large space struct...</t>
        </is>
      </c>
      <c r="AB107" s="2" t="inlineStr">
        <is>
          <t>B.S.E., The University of Michigan, Ann Arbor, Computer Engineering, 1973 M.S.E., The University of Michigan, Ann Arbor, Computer Information and Control Engineering, 1974 Ph.D., The University of Michigan, Ann Arbor, Computer Information and Control Engineering, 1977</t>
        </is>
      </c>
      <c r="AC107" s="2" t="inlineStr">
        <is>
          <t>Indiana Space Grant Consortium</t>
        </is>
      </c>
      <c r="AD107" s="3">
        <f>HYPERLINK("https://insgc.spacegrant.org/", "https://insgc.spacegrant.org/")</f>
        <v/>
      </c>
      <c r="AE107" s="2" t="inlineStr">
        <is>
          <t>Academic INSGC Internships</t>
        </is>
      </c>
      <c r="AF107" s="2" t="inlineStr"/>
      <c r="AG107" s="2" t="inlineStr"/>
      <c r="AH107" s="2" t="inlineStr">
        <is>
          <t>NASA</t>
        </is>
      </c>
      <c r="AI107" s="2" t="inlineStr"/>
      <c r="AJ107" s="2" t="inlineStr"/>
      <c r="AK107" s="2" t="inlineStr">
        <is>
          <t>ARMS 3333</t>
        </is>
      </c>
      <c r="AL107" s="2" t="b">
        <v>1</v>
      </c>
      <c r="AM107" s="3">
        <f>HYPERLINK("https://engineering.purdue.edu/AAE/people/Faculty", "https://engineering.purdue.edu/AAE/people/Faculty")</f>
        <v/>
      </c>
    </row>
    <row r="108">
      <c r="A108" s="2" t="inlineStr">
        <is>
          <t>Brandon Chynoweth</t>
        </is>
      </c>
      <c r="B108" s="2" t="inlineStr">
        <is>
          <t>Purdue University</t>
        </is>
      </c>
      <c r="C108" s="3">
        <f>HYPERLINK("https://engineering.purdue.edu/AAE/people/ptProfile?resource_id=132802", "https://engineering.purdue.edu/AAE/people/ptProfile?resource_id=132802")</f>
        <v/>
      </c>
      <c r="D108" s="3">
        <f>HYPERLINK("https://scholar.google.com/citations?view_op=search_authors&amp;mauthors=Brandon%20Chynoweth%20Purdue%20University", "Google Scholar Search")</f>
        <v/>
      </c>
      <c r="E108" s="2" t="inlineStr">
        <is>
          <t>Research Associate Professor</t>
        </is>
      </c>
      <c r="F108" s="2" t="inlineStr">
        <is>
          <t>Aeronautics and Astronautics</t>
        </is>
      </c>
      <c r="G108" s="2" t="inlineStr"/>
      <c r="H108" s="3">
        <f>HYPERLINK("mailto:bchynowe@purdue.edu", "bchynowe@purdue.edu")</f>
        <v/>
      </c>
      <c r="I108" s="2" t="n">
        <v>4</v>
      </c>
      <c r="J108" s="2" t="inlineStr">
        <is>
          <t>🔴 Tier 4: Robotics / Controls / Autonomy</t>
        </is>
      </c>
      <c r="K108" s="2" t="n">
        <v>1</v>
      </c>
      <c r="L108" s="2" t="inlineStr">
        <is>
          <t>aerospace</t>
        </is>
      </c>
      <c r="M108" s="2" t="inlineStr"/>
      <c r="N108" s="2" t="inlineStr"/>
      <c r="O108" s="2" t="inlineStr"/>
      <c r="P108" s="2" t="inlineStr"/>
      <c r="Q108" s="2" t="inlineStr"/>
      <c r="R108" s="2" t="inlineStr"/>
      <c r="S108" s="2" t="inlineStr"/>
      <c r="T108" s="2" t="inlineStr"/>
      <c r="U108" s="2" t="inlineStr"/>
      <c r="V108" s="2" t="inlineStr"/>
      <c r="W108" s="2" t="inlineStr"/>
      <c r="X108" s="2" t="inlineStr"/>
      <c r="Y108" s="2" t="inlineStr"/>
      <c r="Z108" s="2" t="inlineStr"/>
      <c r="AA108" s="2" t="inlineStr"/>
      <c r="AB108" s="2" t="inlineStr">
        <is>
          <t>Ph.D. Purdue University, Aeronautics and Astronautics, 2018 M.S. Purdue University, Aeronautics and Astronautics, 2015</t>
        </is>
      </c>
      <c r="AC108" s="2" t="inlineStr">
        <is>
          <t>Indiana Space Grant Consortium</t>
        </is>
      </c>
      <c r="AD108" s="3">
        <f>HYPERLINK("https://insgc.spacegrant.org/", "https://insgc.spacegrant.org/")</f>
        <v/>
      </c>
      <c r="AE108" s="2" t="inlineStr">
        <is>
          <t>Academic INSGC Internships</t>
        </is>
      </c>
      <c r="AF108" s="2" t="inlineStr"/>
      <c r="AG108" s="2" t="inlineStr"/>
      <c r="AH108" s="2" t="inlineStr">
        <is>
          <t>NASA</t>
        </is>
      </c>
      <c r="AI108" s="2" t="inlineStr"/>
      <c r="AJ108" s="2" t="inlineStr"/>
      <c r="AK108" s="2" t="inlineStr"/>
      <c r="AL108" s="2" t="b">
        <v>1</v>
      </c>
      <c r="AM108" s="3">
        <f>HYPERLINK("https://engineering.purdue.edu/AAE/people/Faculty", "https://engineering.purdue.edu/AAE/people/Faculty")</f>
        <v/>
      </c>
    </row>
    <row r="109">
      <c r="A109" s="2" t="inlineStr">
        <is>
          <t>Daniel Williams</t>
        </is>
      </c>
      <c r="B109" s="2" t="inlineStr">
        <is>
          <t>Purdue University</t>
        </is>
      </c>
      <c r="C109" s="3">
        <f>HYPERLINK("https://engineering.purdue.edu/ME/People/ptProfile?resource_id=293356", "https://engineering.purdue.edu/ME/People/ptProfile?resource_id=293356")</f>
        <v/>
      </c>
      <c r="D109" s="3">
        <f>HYPERLINK("https://scholar.google.com/citations?view_op=search_authors&amp;mauthors=Daniel%20Williams%20Purdue%20University", "Google Scholar Search")</f>
        <v/>
      </c>
      <c r="E109" s="2" t="inlineStr">
        <is>
          <t>Professor Of Engineering Practice</t>
        </is>
      </c>
      <c r="F109" s="2" t="inlineStr">
        <is>
          <t>Mechanical Engineering</t>
        </is>
      </c>
      <c r="G109" s="2" t="inlineStr"/>
      <c r="H109" s="3">
        <f>HYPERLINK("mailto:dewillia@purdue.edu", "dewillia@purdue.edu")</f>
        <v/>
      </c>
      <c r="I109" s="2" t="n">
        <v>4</v>
      </c>
      <c r="J109" s="2" t="inlineStr">
        <is>
          <t>🔴 Tier 4: Robotics / Controls / Autonomy</t>
        </is>
      </c>
      <c r="K109" s="2" t="n">
        <v>1</v>
      </c>
      <c r="L109" s="2" t="inlineStr">
        <is>
          <t>autonomous</t>
        </is>
      </c>
      <c r="M109" s="2" t="inlineStr"/>
      <c r="N109" s="2" t="inlineStr"/>
      <c r="O109" s="2" t="inlineStr"/>
      <c r="P109" s="2" t="inlineStr"/>
      <c r="Q109" s="2" t="inlineStr"/>
      <c r="R109" s="2" t="inlineStr"/>
      <c r="S109" s="2" t="inlineStr"/>
      <c r="T109" s="2" t="inlineStr"/>
      <c r="U109" s="2" t="inlineStr">
        <is>
          <t>Outstanding Mechanical Engineers Distinguished Engineering Alumni Honorary Doctorates Staff Awards Student Awards Distinguished...</t>
        </is>
      </c>
      <c r="V109" s="2" t="inlineStr"/>
      <c r="W109" s="2" t="inlineStr"/>
      <c r="X109" s="2" t="inlineStr"/>
      <c r="Y109" s="2" t="inlineStr">
        <is>
          <t>Vehicle Chassis Control Systems Vehicle Dynamics Autonomous Vehicles Human Driver Dynamics</t>
        </is>
      </c>
      <c r="Z109" s="2" t="inlineStr">
        <is>
          <t>Dynamics &amp; Vibration Systems, Measurements &amp; Controls Motorsports</t>
        </is>
      </c>
      <c r="AA109" s="2" t="inlineStr">
        <is>
          <t>Dynamics &amp; Vibration Systems, Measurements &amp; Controls Motorsports</t>
        </is>
      </c>
      <c r="AB109" s="2" t="inlineStr">
        <is>
          <t>Ph.D. Mechanical Engineering, Florida Institute of Technology, 1995 M.S. General Engineering, University of Illinois, 1987 B.S. Agricultural Engineering, University of Illinois, 1985 MBA Florida Institute of Technology, 1990 M.A. History, Purdue University, 2008</t>
        </is>
      </c>
      <c r="AC109" s="2" t="inlineStr">
        <is>
          <t>Indiana Space Grant Consortium</t>
        </is>
      </c>
      <c r="AD109" s="3">
        <f>HYPERLINK("https://insgc.spacegrant.org/", "https://insgc.spacegrant.org/")</f>
        <v/>
      </c>
      <c r="AE109" s="2" t="inlineStr">
        <is>
          <t>Academic INSGC Internships</t>
        </is>
      </c>
      <c r="AF109" s="2" t="inlineStr"/>
      <c r="AG109" s="2" t="inlineStr"/>
      <c r="AH109" s="2" t="inlineStr">
        <is>
          <t>NASA</t>
        </is>
      </c>
      <c r="AI109" s="2" t="inlineStr"/>
      <c r="AJ109" s="2" t="inlineStr"/>
      <c r="AK109" s="2" t="inlineStr"/>
      <c r="AL109" s="2" t="b">
        <v>1</v>
      </c>
      <c r="AM109" s="3">
        <f>HYPERLINK("https://engineering.purdue.edu/ME/People/ptFaculty", "https://engineering.purdue.edu/ME/People/ptFaculty")</f>
        <v/>
      </c>
    </row>
    <row r="110">
      <c r="A110" s="2" t="inlineStr">
        <is>
          <t>John Eric Goff</t>
        </is>
      </c>
      <c r="B110" s="2" t="inlineStr">
        <is>
          <t>Purdue University</t>
        </is>
      </c>
      <c r="C110" s="3">
        <f>HYPERLINK("https://engineering.purdue.edu/ME/People/ptProfile?resource_id=340479", "https://engineering.purdue.edu/ME/People/ptProfile?resource_id=340479")</f>
        <v/>
      </c>
      <c r="D110" s="3">
        <f>HYPERLINK("https://scholar.google.com/citations?view_op=search_authors&amp;mauthors=John%20Eric%20Goff%20Purdue%20University", "Google Scholar Search")</f>
        <v/>
      </c>
      <c r="E110" s="2" t="inlineStr">
        <is>
          <t>Professor of Engineering Practice In Biomedical Engineering and Mechanical Engineering</t>
        </is>
      </c>
      <c r="F110" s="2" t="inlineStr">
        <is>
          <t>Mechanical Engineering</t>
        </is>
      </c>
      <c r="G110" s="2" t="inlineStr"/>
      <c r="H110" s="3">
        <f>HYPERLINK("mailto:goffje@purdue.edu", "goffje@purdue.edu")</f>
        <v/>
      </c>
      <c r="I110" s="2" t="n">
        <v>4</v>
      </c>
      <c r="J110" s="2" t="inlineStr">
        <is>
          <t>🔴 Tier 4: Robotics / Controls / Autonomy</t>
        </is>
      </c>
      <c r="K110" s="2" t="n">
        <v>1</v>
      </c>
      <c r="L110" s="2" t="inlineStr">
        <is>
          <t>fluid mechanics</t>
        </is>
      </c>
      <c r="M110" s="2" t="inlineStr"/>
      <c r="N110" s="2" t="inlineStr"/>
      <c r="O110" s="2" t="inlineStr"/>
      <c r="P110" s="2" t="inlineStr"/>
      <c r="Q110" s="2" t="inlineStr"/>
      <c r="R110" s="2" t="inlineStr"/>
      <c r="S110" s="2" t="inlineStr"/>
      <c r="T110" s="2" t="inlineStr"/>
      <c r="U110" s="2" t="inlineStr">
        <is>
          <t>Outstanding Mechanical Engineers Distinguished Engineering Alumni Honorary Doctorates Staff Awards Student Awards Distinguished...</t>
        </is>
      </c>
      <c r="V110" s="2" t="inlineStr"/>
      <c r="W110" s="2" t="inlineStr"/>
      <c r="X110" s="2" t="inlineStr"/>
      <c r="Y110" s="2" t="inlineStr">
        <is>
          <t>Sports engineering (equipment, soccer balls, shoes, etc.) Biomedical engineering (athletic performance, safety) Physics</t>
        </is>
      </c>
      <c r="Z110" s="2" t="inlineStr">
        <is>
          <t>Fluid Mechanics</t>
        </is>
      </c>
      <c r="AA110" s="2" t="inlineStr">
        <is>
          <t>Fluid Mechanics</t>
        </is>
      </c>
      <c r="AB110" s="2" t="inlineStr"/>
      <c r="AC110" s="2" t="inlineStr">
        <is>
          <t>Indiana Space Grant Consortium</t>
        </is>
      </c>
      <c r="AD110" s="3">
        <f>HYPERLINK("https://insgc.spacegrant.org/", "https://insgc.spacegrant.org/")</f>
        <v/>
      </c>
      <c r="AE110" s="2" t="inlineStr">
        <is>
          <t>Academic INSGC Internships</t>
        </is>
      </c>
      <c r="AF110" s="2" t="inlineStr"/>
      <c r="AG110" s="2" t="inlineStr"/>
      <c r="AH110" s="2" t="inlineStr">
        <is>
          <t>NASA</t>
        </is>
      </c>
      <c r="AI110" s="2" t="inlineStr"/>
      <c r="AJ110" s="2" t="inlineStr"/>
      <c r="AK110" s="2" t="inlineStr"/>
      <c r="AL110" s="2" t="b">
        <v>1</v>
      </c>
      <c r="AM110" s="3">
        <f>HYPERLINK("https://engineering.purdue.edu/ME/People/ptFaculty", "https://engineering.purdue.edu/ME/People/ptFaculty")</f>
        <v/>
      </c>
    </row>
    <row r="111">
      <c r="A111" s="2" t="inlineStr">
        <is>
          <t>Kevin Parsons</t>
        </is>
      </c>
      <c r="B111" s="2" t="inlineStr">
        <is>
          <t>Purdue University</t>
        </is>
      </c>
      <c r="C111" s="3">
        <f>HYPERLINK("https://engineering.purdue.edu/AAE/people/ptProfile?resource_id=316433", "https://engineering.purdue.edu/AAE/people/ptProfile?resource_id=316433")</f>
        <v/>
      </c>
      <c r="D111" s="3">
        <f>HYPERLINK("https://scholar.google.com/citations?view_op=search_authors&amp;mauthors=Kevin%20Parsons%20Purdue%20University", "Google Scholar Search")</f>
        <v/>
      </c>
      <c r="E111" s="2" t="inlineStr">
        <is>
          <t>Associate Professor Of Engineering Practice</t>
        </is>
      </c>
      <c r="F111" s="2" t="inlineStr">
        <is>
          <t>Aeronautics and Astronautics</t>
        </is>
      </c>
      <c r="G111" s="2" t="inlineStr"/>
      <c r="H111" s="3">
        <f>HYPERLINK("mailto:kkparson@purdue.edu", "kkparson@purdue.edu")</f>
        <v/>
      </c>
      <c r="I111" s="2" t="n">
        <v>4</v>
      </c>
      <c r="J111" s="2" t="inlineStr">
        <is>
          <t>🔴 Tier 4: Robotics / Controls / Autonomy</t>
        </is>
      </c>
      <c r="K111" s="2" t="n">
        <v>1</v>
      </c>
      <c r="L111" s="2" t="inlineStr">
        <is>
          <t>aerospace</t>
        </is>
      </c>
      <c r="M111" s="2" t="inlineStr"/>
      <c r="N111" s="2" t="inlineStr"/>
      <c r="O111" s="2" t="inlineStr"/>
      <c r="P111" s="2" t="inlineStr"/>
      <c r="Q111" s="2" t="inlineStr"/>
      <c r="R111" s="2" t="inlineStr"/>
      <c r="S111" s="2" t="inlineStr"/>
      <c r="T111" s="2" t="inlineStr"/>
      <c r="U111" s="2" t="inlineStr"/>
      <c r="V111" s="2" t="inlineStr"/>
      <c r="W111" s="2" t="inlineStr"/>
      <c r="X111" s="2" t="inlineStr"/>
      <c r="Y111" s="2" t="inlineStr">
        <is>
          <t>system-of-systems architecting, systems engineering, program management, innovation, organizational effectiveness &amp; transformation Edit var myPronunciation=document.getElementById("pronunciation");
    function play() {
    myPronunciation.play();
    }
    function pause() {
    myPronunciation.pause();
    }</t>
        </is>
      </c>
      <c r="Z111" s="2" t="inlineStr"/>
      <c r="AA111" s="2" t="inlineStr">
        <is>
          <t>system-of-systems architecting, systems engineering, program management, innovation, organizational effectiveness &amp; transformation Edit var myPronunciation=document.getElementById("pronunciation");
    function play() {
    myPronunciation.play();
    }
    function pause() {
    myPronunciation.pause();
    }</t>
        </is>
      </c>
      <c r="AB111" s="2" t="inlineStr">
        <is>
          <t>BS AAE, Purdue University (1996) MS AAE, Massachusetts Institute of Technology (1997) Professional Certificate, Design Thinking for Strategic Innovation, Stanford University (2015)</t>
        </is>
      </c>
      <c r="AC111" s="2" t="inlineStr">
        <is>
          <t>Indiana Space Grant Consortium</t>
        </is>
      </c>
      <c r="AD111" s="3">
        <f>HYPERLINK("https://insgc.spacegrant.org/", "https://insgc.spacegrant.org/")</f>
        <v/>
      </c>
      <c r="AE111" s="2" t="inlineStr">
        <is>
          <t>Academic INSGC Internships</t>
        </is>
      </c>
      <c r="AF111" s="2" t="inlineStr"/>
      <c r="AG111" s="2" t="inlineStr"/>
      <c r="AH111" s="2" t="inlineStr">
        <is>
          <t>NASA</t>
        </is>
      </c>
      <c r="AI111" s="2" t="inlineStr"/>
      <c r="AJ111" s="2" t="inlineStr"/>
      <c r="AK111" s="2" t="inlineStr">
        <is>
          <t>ARMS 3205</t>
        </is>
      </c>
      <c r="AL111" s="2" t="b">
        <v>1</v>
      </c>
      <c r="AM111" s="3">
        <f>HYPERLINK("https://engineering.purdue.edu/AAE/people/Faculty", "https://engineering.purdue.edu/AAE/people/Faculty")</f>
        <v/>
      </c>
    </row>
    <row r="112">
      <c r="A112" s="2" t="inlineStr">
        <is>
          <t>Lizhi Shang</t>
        </is>
      </c>
      <c r="B112" s="2" t="inlineStr">
        <is>
          <t>Purdue University</t>
        </is>
      </c>
      <c r="C112" s="3">
        <f>HYPERLINK("https://engineering.purdue.edu/ME/People/ptProfile?resource_id=84937", "https://engineering.purdue.edu/ME/People/ptProfile?resource_id=84937")</f>
        <v/>
      </c>
      <c r="D112" s="3">
        <f>HYPERLINK("https://scholar.google.com/citations?view_op=search_authors&amp;mauthors=Lizhi%20Shang%20Purdue%20University", "Google Scholar Search")</f>
        <v/>
      </c>
      <c r="E112" s="2" t="inlineStr">
        <is>
          <t>Associate Professor of Agricultural and Biological Engineering, and Mechanical Engineering</t>
        </is>
      </c>
      <c r="F112" s="2" t="inlineStr">
        <is>
          <t>Mechanical Engineering</t>
        </is>
      </c>
      <c r="G112" s="2" t="inlineStr"/>
      <c r="H112" s="3">
        <f>HYPERLINK("mailto:shangl@purdue.edu", "shangl@purdue.edu")</f>
        <v/>
      </c>
      <c r="I112" s="2" t="n">
        <v>4</v>
      </c>
      <c r="J112" s="2" t="inlineStr">
        <is>
          <t>🔴 Tier 4: Robotics / Controls / Autonomy</t>
        </is>
      </c>
      <c r="K112" s="2" t="n">
        <v>1</v>
      </c>
      <c r="L112" s="2" t="inlineStr">
        <is>
          <t>fluid mechanics</t>
        </is>
      </c>
      <c r="M112" s="2" t="inlineStr"/>
      <c r="N112" s="2" t="inlineStr"/>
      <c r="O112" s="2" t="inlineStr"/>
      <c r="P112" s="2" t="inlineStr"/>
      <c r="Q112" s="2" t="inlineStr"/>
      <c r="R112" s="2" t="inlineStr"/>
      <c r="S112" s="2" t="inlineStr"/>
      <c r="T112" s="2" t="inlineStr"/>
      <c r="U112" s="2" t="inlineStr">
        <is>
          <t>Outstanding Mechanical Engineers Distinguished Engineering Alumni Honorary Doctorates Staff Awards Student Awards Distinguished...</t>
        </is>
      </c>
      <c r="V112" s="2" t="inlineStr">
        <is>
          <t>Contact us today to learn about the advantages of becoming a member at Maha Labs! Email Andrea Vacca: avacca@purdue.edu | If you are interested in a research position at the Maha Fluid Power Research Center, please email your application to Dr. Vacca ( avacca@purdue.edu ) or Dr. Shang ( shangl@purdue.edu ).</t>
        </is>
      </c>
      <c r="W112" s="2" t="inlineStr"/>
      <c r="X112" s="2" t="inlineStr"/>
      <c r="Y112" s="2" t="inlineStr">
        <is>
          <t>Designing and modeling hydrostatic pumps and motors Hydrodynamic pumps and turbines Fluid power systems Advanced computational and experimental tribological analysis</t>
        </is>
      </c>
      <c r="Z112" s="2" t="inlineStr">
        <is>
          <t>Fluid Mechanics</t>
        </is>
      </c>
      <c r="AA112" s="2" t="inlineStr">
        <is>
          <t>Fluid Mechanics</t>
        </is>
      </c>
      <c r="AB112" s="2" t="inlineStr"/>
      <c r="AC112" s="2" t="inlineStr">
        <is>
          <t>Maha Fluid Power Research Center</t>
        </is>
      </c>
      <c r="AD112" s="3">
        <f>HYPERLINK("https://engineering.purdue.edu/Maha", "https://engineering.purdue.edu/Maha")</f>
        <v/>
      </c>
      <c r="AE112" s="2" t="inlineStr">
        <is>
          <t>Receive biannual updates on “Maha recommended” Purdue students looking for job opportunities Participate in a recruiting session during the annual Maha Fluid Power Conference Organize a private recruiting event at the Maha Fluid Power Research Center* | Receive biannual updates on “Maha recommended” Purdue students looking for job opportunities</t>
        </is>
      </c>
      <c r="AF112" s="2" t="inlineStr"/>
      <c r="AG112" s="2" t="inlineStr">
        <is>
          <t>Cluster</t>
        </is>
      </c>
      <c r="AH112" s="2" t="inlineStr"/>
      <c r="AI112" s="2" t="inlineStr"/>
      <c r="AJ112" s="2" t="inlineStr"/>
      <c r="AK112" s="2" t="inlineStr"/>
      <c r="AL112" s="2" t="b">
        <v>1</v>
      </c>
      <c r="AM112" s="3">
        <f>HYPERLINK("https://engineering.purdue.edu/ME/People/ptFaculty", "https://engineering.purdue.edu/ME/People/ptFaculty")</f>
        <v/>
      </c>
    </row>
    <row r="113">
      <c r="A113" s="2" t="inlineStr">
        <is>
          <t>Mina Karimi</t>
        </is>
      </c>
      <c r="B113" s="2" t="inlineStr">
        <is>
          <t>Purdue University</t>
        </is>
      </c>
      <c r="C113" s="3">
        <f>HYPERLINK("https://engineering.purdue.edu/ME/People/ptProfile?resource_id=324781", "https://engineering.purdue.edu/ME/People/ptProfile?resource_id=324781")</f>
        <v/>
      </c>
      <c r="D113" s="3">
        <f>HYPERLINK("https://scholar.google.com/citations?view_op=search_authors&amp;mauthors=Mina%20Karimi%20Purdue%20University", "Google Scholar Search")</f>
        <v/>
      </c>
      <c r="E113" s="2" t="inlineStr">
        <is>
          <t>Assistant Professor of Mechanical Engineering</t>
        </is>
      </c>
      <c r="F113" s="2" t="inlineStr">
        <is>
          <t>Mechanical Engineering</t>
        </is>
      </c>
      <c r="G113" s="2" t="inlineStr"/>
      <c r="H113" s="3">
        <f>HYPERLINK("mailto:karimi2@purdue.edu", "karimi2@purdue.edu")</f>
        <v/>
      </c>
      <c r="I113" s="2" t="n">
        <v>4</v>
      </c>
      <c r="J113" s="2" t="inlineStr">
        <is>
          <t>🔴 Tier 4: Robotics / Controls / Autonomy</t>
        </is>
      </c>
      <c r="K113" s="2" t="n">
        <v>1</v>
      </c>
      <c r="L113" s="2" t="inlineStr">
        <is>
          <t>fluid mechanics</t>
        </is>
      </c>
      <c r="M113" s="2" t="inlineStr"/>
      <c r="N113" s="2" t="inlineStr"/>
      <c r="O113" s="2" t="inlineStr"/>
      <c r="P113" s="2" t="inlineStr"/>
      <c r="Q113" s="2" t="inlineStr"/>
      <c r="R113" s="2" t="inlineStr"/>
      <c r="S113" s="2" t="inlineStr"/>
      <c r="T113" s="2" t="inlineStr"/>
      <c r="U113" s="2" t="inlineStr">
        <is>
          <t>Outstanding Mechanical Engineers Distinguished Engineering Alumni Honorary Doctorates Staff Awards Student Awards Distinguished...</t>
        </is>
      </c>
      <c r="V113" s="2" t="inlineStr">
        <is>
          <t>Phone: +1 (765) 494-3975 Email: future-engineers@purdue.edu | Phone: +1 (765) 494-4873 Email: EngrGrad@purdue.edu</t>
        </is>
      </c>
      <c r="W113" s="2" t="inlineStr"/>
      <c r="X113" s="2" t="inlineStr"/>
      <c r="Y113" s="2" t="inlineStr">
        <is>
          <t>Mechanics and physics of porous media Multiscale modeling Inverse problems Scientific machine learning Uncertainty quantification</t>
        </is>
      </c>
      <c r="Z113" s="2" t="inlineStr">
        <is>
          <t>Fluid Mechanics</t>
        </is>
      </c>
      <c r="AA113" s="2" t="inlineStr">
        <is>
          <t>Fluid Mechanics</t>
        </is>
      </c>
      <c r="AB113" s="2" t="inlineStr">
        <is>
          <t>Postdoctoral researcher, California Institute of Technology, '25 Ph.D., Carnegie Mellon University, '22 M.S., University of Tehran, '18 B.S., University of Tehran, '15</t>
        </is>
      </c>
      <c r="AC113" s="2" t="inlineStr">
        <is>
          <t>Karimi Lab Website</t>
        </is>
      </c>
      <c r="AD113" s="3">
        <f>HYPERLINK("https://engineering.purdue.edu/karimi", "https://engineering.purdue.edu/karimi")</f>
        <v/>
      </c>
      <c r="AE113" s="2" t="inlineStr">
        <is>
          <t>For You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 | Students Future Undergraduate Students Future Graduate Students Current Undergraduate Students Current Graduate Students International Students CARES Hub Faculty Faculty &amp; Staff Prospective Faculty Alumni Engineering Alumni Association Purdue Engineering 38 by 38 Parents Parent Plug-in Partners Research &amp; Partnerships Media Postdoctoral Scholars Future Postdoctoral Scholars</t>
        </is>
      </c>
      <c r="AF113" s="2" t="inlineStr"/>
      <c r="AG113" s="2" t="inlineStr"/>
      <c r="AH113" s="2" t="inlineStr">
        <is>
          <t>DOE</t>
        </is>
      </c>
      <c r="AI113" s="2" t="inlineStr"/>
      <c r="AJ113" s="2" t="inlineStr"/>
      <c r="AK113" s="2" t="inlineStr">
        <is>
          <t>FLEX 1041C</t>
        </is>
      </c>
      <c r="AL113" s="2" t="b">
        <v>1</v>
      </c>
      <c r="AM113" s="3">
        <f>HYPERLINK("https://engineering.purdue.edu/ME/People/ptFaculty", "https://engineering.purdue.edu/ME/People/ptFaculty")</f>
        <v/>
      </c>
    </row>
    <row r="114">
      <c r="A114" s="2" t="inlineStr">
        <is>
          <t>Takashi Tanaka</t>
        </is>
      </c>
      <c r="B114" s="2" t="inlineStr">
        <is>
          <t>Purdue University</t>
        </is>
      </c>
      <c r="C114" s="3">
        <f>HYPERLINK("https://engineering.purdue.edu/AAE/people/ptProfile?resource_id=308322", "https://engineering.purdue.edu/AAE/people/ptProfile?resource_id=308322")</f>
        <v/>
      </c>
      <c r="D114" s="3">
        <f>HYPERLINK("https://scholar.google.com/citations?view_op=search_authors&amp;mauthors=Takashi%20Tanaka%20Purdue%20University", "Google Scholar Search")</f>
        <v/>
      </c>
      <c r="E114" s="2" t="inlineStr">
        <is>
          <t>Associate Professor of Aeronautics and Astronautics, and of Electrical and Computer Engineering</t>
        </is>
      </c>
      <c r="F114" s="2" t="inlineStr">
        <is>
          <t>Aeronautics and Astronautics</t>
        </is>
      </c>
      <c r="G114" s="2" t="inlineStr"/>
      <c r="H114" s="3">
        <f>HYPERLINK("mailto:webmaster-eng@purdue.edu", "webmaster-eng@purdue.edu")</f>
        <v/>
      </c>
      <c r="I114" s="2" t="n">
        <v>4</v>
      </c>
      <c r="J114" s="2" t="inlineStr">
        <is>
          <t>🔴 Tier 4: Robotics / Controls / Autonomy</t>
        </is>
      </c>
      <c r="K114" s="2" t="n">
        <v>1</v>
      </c>
      <c r="L114" s="2" t="inlineStr">
        <is>
          <t>optimal control</t>
        </is>
      </c>
      <c r="M114" s="2" t="inlineStr"/>
      <c r="N114" s="2" t="inlineStr"/>
      <c r="O114" s="2" t="inlineStr"/>
      <c r="P114" s="2" t="inlineStr"/>
      <c r="Q114" s="2" t="inlineStr"/>
      <c r="R114" s="2" t="inlineStr"/>
      <c r="S114" s="2" t="inlineStr"/>
      <c r="T114" s="2" t="inlineStr"/>
      <c r="U114" s="2" t="inlineStr"/>
      <c r="V114" s="2" t="inlineStr"/>
      <c r="W114" s="2" t="inlineStr"/>
      <c r="X114" s="2" t="inlineStr"/>
      <c r="Y114" s="2" t="inlineStr">
        <is>
          <t>Information theory in control, security and privacy in networked control systems, robust and stochastic optimal control, dynamic market design, neuromorphic sensing. Edit var myPronunciation=document.getElementById("pronunciation");
    function play() {
    myPronunciation.play();
    }
    function pause() {
    myPronunciation.pause();
    }</t>
        </is>
      </c>
      <c r="Z114" s="2" t="inlineStr"/>
      <c r="AA114" s="2" t="inlineStr">
        <is>
          <t>Information theory in control, security and privacy in networked control systems, robust and stochastic optimal control, dynamic market design, neuromorphic sensing. Edit var myPronunciation=document.getElementById("pronunciation");
    function play() {
    myPronunciation.play();
    }
    function pause() {
    myPronunciation.pause();
    }</t>
        </is>
      </c>
      <c r="AB114" s="2" t="inlineStr">
        <is>
          <t>BS, University of Tokyo, 2006 MS, University of Illinois at Urbana-Champaign, 2009 PhD, University of Illinois at Urbana-Champaign, 2012</t>
        </is>
      </c>
      <c r="AC114" s="2" t="inlineStr">
        <is>
          <t>Indiana Space Grant Consortium</t>
        </is>
      </c>
      <c r="AD114" s="3">
        <f>HYPERLINK("https://insgc.spacegrant.org/", "https://insgc.spacegrant.org/")</f>
        <v/>
      </c>
      <c r="AE114" s="2" t="inlineStr">
        <is>
          <t>Academic INSGC Internships</t>
        </is>
      </c>
      <c r="AF114" s="2" t="inlineStr"/>
      <c r="AG114" s="2" t="inlineStr"/>
      <c r="AH114" s="2" t="inlineStr">
        <is>
          <t>NASA</t>
        </is>
      </c>
      <c r="AI114" s="2" t="inlineStr"/>
      <c r="AJ114" s="2" t="inlineStr"/>
      <c r="AK114" s="2" t="inlineStr">
        <is>
          <t>ARMS 3327</t>
        </is>
      </c>
      <c r="AL114" s="2" t="b">
        <v>1</v>
      </c>
      <c r="AM114" s="3">
        <f>HYPERLINK("https://engineering.purdue.edu/AAE/people/Faculty", "https://engineering.purdue.edu/AAE/people/Faculty")</f>
        <v/>
      </c>
    </row>
    <row r="115">
      <c r="A115" s="2" t="inlineStr">
        <is>
          <t>William Crossley</t>
        </is>
      </c>
      <c r="B115" s="2" t="inlineStr">
        <is>
          <t>Purdue University</t>
        </is>
      </c>
      <c r="C115" s="3">
        <f>HYPERLINK("https://engineering.purdue.edu/AAE/people/ptProfile?resource_id=1305", "https://engineering.purdue.edu/AAE/people/ptProfile?resource_id=1305")</f>
        <v/>
      </c>
      <c r="D115" s="3">
        <f>HYPERLINK("https://scholar.google.com/citations?view_op=search_authors&amp;mauthors=William%20Crossley%20Purdue%20University", "Google Scholar Search")</f>
        <v/>
      </c>
      <c r="E115" s="2" t="inlineStr">
        <is>
          <t>Professor; Ph.D., Arizona State, 1995. Optimization and design methods for aerospace systems, systems of systems, design under uncertainty, environmental impact of aviation.</t>
        </is>
      </c>
      <c r="F115" s="2" t="inlineStr">
        <is>
          <t>Aeronautics and Astronautics</t>
        </is>
      </c>
      <c r="G115" s="2" t="inlineStr"/>
      <c r="H115" s="3">
        <f>HYPERLINK("mailto:asherwo@purdue.edu", "asherwo@purdue.edu")</f>
        <v/>
      </c>
      <c r="I115" s="2" t="n">
        <v>4</v>
      </c>
      <c r="J115" s="2" t="inlineStr">
        <is>
          <t>🔴 Tier 4: Robotics / Controls / Autonomy</t>
        </is>
      </c>
      <c r="K115" s="2" t="n">
        <v>1</v>
      </c>
      <c r="L115" s="2" t="inlineStr">
        <is>
          <t>aerospace</t>
        </is>
      </c>
      <c r="M115" s="2" t="inlineStr"/>
      <c r="N115" s="2" t="inlineStr"/>
      <c r="O115" s="2" t="inlineStr"/>
      <c r="P115" s="2" t="inlineStr"/>
      <c r="Q115" s="2" t="inlineStr"/>
      <c r="R115" s="2" t="inlineStr"/>
      <c r="S115" s="2" t="inlineStr"/>
      <c r="T115" s="2" t="inlineStr"/>
      <c r="U115" s="2" t="inlineStr">
        <is>
          <t>Awards Purdue Book of Great Teachers, 2013 AAE Elmer Bruhn Teaching Award, 2012 AAE Elmer Bruhn Teaching Award, 2009 Purdue Uni...</t>
        </is>
      </c>
      <c r="V115" s="2" t="inlineStr"/>
      <c r="W115" s="2" t="inlineStr"/>
      <c r="X115" s="2" t="inlineStr"/>
      <c r="Y115" s="2" t="inlineStr">
        <is>
          <t>Optimization and design methods for aerospace systems Systems of systems Design under uncertainty Environmental impact of aviation</t>
        </is>
      </c>
      <c r="Z115" s="2" t="inlineStr">
        <is>
          <t>Professor Crossley's current research interests are in the area of design methodologies and multidisciplinary design optimization, with emphasis for aerospace engineering systems design problems.</t>
        </is>
      </c>
      <c r="AA115" s="2" t="inlineStr">
        <is>
          <t>Professor Crossley's current research interests are in the area of design methodologies and multidisciplinary design optimization, with emphasis for aerospace engineering systems design problems.</t>
        </is>
      </c>
      <c r="AB115" s="2" t="inlineStr">
        <is>
          <t>B.S.E. University of Michigan, Aerospace Engineering, 1990 M. S. Arizona State University, Aerospace Engineering, 1992 Ph.D. Arizona State University, Aerospace Engineering, 1995</t>
        </is>
      </c>
      <c r="AC115" s="2" t="inlineStr">
        <is>
          <t>Indiana Space Grant Consortium</t>
        </is>
      </c>
      <c r="AD115" s="3">
        <f>HYPERLINK("https://insgc.spacegrant.org/", "https://insgc.spacegrant.org/")</f>
        <v/>
      </c>
      <c r="AE115" s="2" t="inlineStr">
        <is>
          <t>Academic INSGC Internships</t>
        </is>
      </c>
      <c r="AF115" s="2" t="inlineStr"/>
      <c r="AG115" s="2" t="inlineStr"/>
      <c r="AH115" s="2" t="inlineStr">
        <is>
          <t>NASA</t>
        </is>
      </c>
      <c r="AI115" s="2" t="inlineStr"/>
      <c r="AJ115" s="2" t="inlineStr"/>
      <c r="AK115" s="2" t="inlineStr">
        <is>
          <t>ARMS 2023</t>
        </is>
      </c>
      <c r="AL115" s="2" t="b">
        <v>1</v>
      </c>
      <c r="AM115" s="3">
        <f>HYPERLINK("https://engineering.purdue.edu/AAE/people/Faculty", "https://engineering.purdue.edu/AAE/people/Faculty")</f>
        <v/>
      </c>
    </row>
    <row r="116">
      <c r="A116" s="2" t="inlineStr">
        <is>
          <t>Andrea Capannolo</t>
        </is>
      </c>
      <c r="B116" s="2" t="inlineStr">
        <is>
          <t>Purdue University</t>
        </is>
      </c>
      <c r="C116" s="3">
        <f>HYPERLINK("https://engineering.purdue.edu/AAE/people/ptProfile?resource_id=288723", "https://engineering.purdue.edu/AAE/people/ptProfile?resource_id=288723")</f>
        <v/>
      </c>
      <c r="D116" s="3">
        <f>HYPERLINK("https://scholar.google.com/citations?view_op=search_authors&amp;mauthors=Andrea%20Capannolo%20Purdue%20University", "Google Scholar Search")</f>
        <v/>
      </c>
      <c r="E116" s="2" t="inlineStr">
        <is>
          <t>Assistant Professor of Aeronautics and Astronautics</t>
        </is>
      </c>
      <c r="F116" s="2" t="inlineStr">
        <is>
          <t>Aeronautics and Astronautics</t>
        </is>
      </c>
      <c r="G116" s="2" t="inlineStr"/>
      <c r="H116" s="3">
        <f>HYPERLINK("mailto:acapa@purdue.edu", "acapa@purdue.edu")</f>
        <v/>
      </c>
      <c r="I116" s="2" t="n">
        <v>4</v>
      </c>
      <c r="J116" s="2" t="inlineStr">
        <is>
          <t>🔴 Tier 4: Robotics / Controls / Autonomy</t>
        </is>
      </c>
      <c r="K116" s="2" t="n">
        <v>0</v>
      </c>
      <c r="L116" s="2" t="inlineStr"/>
      <c r="M116" s="2" t="inlineStr"/>
      <c r="N116" s="2" t="inlineStr"/>
      <c r="O116" s="2" t="inlineStr"/>
      <c r="P116" s="2" t="inlineStr"/>
      <c r="Q116" s="2" t="inlineStr"/>
      <c r="R116" s="2" t="inlineStr"/>
      <c r="S116" s="2" t="inlineStr"/>
      <c r="T116" s="2" t="inlineStr"/>
      <c r="U116" s="2" t="inlineStr"/>
      <c r="V116" s="2" t="inlineStr"/>
      <c r="W116" s="2" t="inlineStr"/>
      <c r="X116" s="2" t="inlineStr"/>
      <c r="Y116" s="2" t="inlineStr"/>
      <c r="Z116" s="2" t="inlineStr"/>
      <c r="AA116" s="2" t="inlineStr"/>
      <c r="AB116" s="2" t="inlineStr"/>
      <c r="AC116" s="2" t="inlineStr">
        <is>
          <t>Indiana Space Grant Consortium</t>
        </is>
      </c>
      <c r="AD116" s="3">
        <f>HYPERLINK("https://insgc.spacegrant.org/", "https://insgc.spacegrant.org/")</f>
        <v/>
      </c>
      <c r="AE116" s="2" t="inlineStr">
        <is>
          <t>Academic INSGC Internships</t>
        </is>
      </c>
      <c r="AF116" s="2" t="inlineStr"/>
      <c r="AG116" s="2" t="inlineStr"/>
      <c r="AH116" s="2" t="inlineStr">
        <is>
          <t>NASA</t>
        </is>
      </c>
      <c r="AI116" s="2" t="inlineStr"/>
      <c r="AJ116" s="2" t="inlineStr"/>
      <c r="AK116" s="2" t="inlineStr">
        <is>
          <t>ARMS 3207</t>
        </is>
      </c>
      <c r="AL116" s="2" t="b">
        <v>0</v>
      </c>
      <c r="AM116" s="3">
        <f>HYPERLINK("https://engineering.purdue.edu/AAE/people/Faculty", "https://engineering.purdue.edu/AAE/people/Faculty")</f>
        <v/>
      </c>
    </row>
    <row r="117">
      <c r="A117" s="2" t="inlineStr">
        <is>
          <t>Bairav Sabarish Vishnugopi</t>
        </is>
      </c>
      <c r="B117" s="2" t="inlineStr">
        <is>
          <t>Purdue University</t>
        </is>
      </c>
      <c r="C117" s="3">
        <f>HYPERLINK("https://engineering.purdue.edu/ME/People/ptProfile?resource_id=282232", "https://engineering.purdue.edu/ME/People/ptProfile?resource_id=282232")</f>
        <v/>
      </c>
      <c r="D117" s="3">
        <f>HYPERLINK("https://scholar.google.com/citations?view_op=search_authors&amp;mauthors=Bairav%20Sabarish%20Vishnugopi%20Purdue%20University", "Google Scholar Search")</f>
        <v/>
      </c>
      <c r="E117" s="2" t="inlineStr">
        <is>
          <t>Research Assistant Professor</t>
        </is>
      </c>
      <c r="F117" s="2" t="inlineStr">
        <is>
          <t>Mechanical Engineering</t>
        </is>
      </c>
      <c r="G117" s="2" t="inlineStr"/>
      <c r="H117" s="3">
        <f>HYPERLINK("mailto:bvishnug@purdue.edu", "bvishnug@purdue.edu")</f>
        <v/>
      </c>
      <c r="I117" s="2" t="n">
        <v>4</v>
      </c>
      <c r="J117" s="2" t="inlineStr">
        <is>
          <t>🔴 Tier 4: Robotics / Controls / Autonomy</t>
        </is>
      </c>
      <c r="K117" s="2" t="n">
        <v>0</v>
      </c>
      <c r="L117" s="2" t="inlineStr"/>
      <c r="M117" s="2" t="inlineStr"/>
      <c r="N117" s="2" t="inlineStr"/>
      <c r="O117" s="2" t="inlineStr"/>
      <c r="P117" s="2" t="inlineStr"/>
      <c r="Q117" s="2" t="inlineStr"/>
      <c r="R117" s="2" t="inlineStr"/>
      <c r="S117" s="2" t="inlineStr"/>
      <c r="T117" s="2" t="inlineStr"/>
      <c r="U117" s="2" t="inlineStr">
        <is>
          <t>Outstanding Mechanical Engineers Distinguished Engineering Alumni Honorary Doctorates Staff Awards Student Awards Distinguished...</t>
        </is>
      </c>
      <c r="V117" s="2" t="inlineStr"/>
      <c r="W117" s="2" t="inlineStr"/>
      <c r="X117" s="2" t="inlineStr"/>
      <c r="Y117" s="2" t="inlineStr"/>
      <c r="Z117" s="2" t="inlineStr"/>
      <c r="AA117" s="2" t="inlineStr"/>
      <c r="AB117" s="2" t="inlineStr"/>
      <c r="AC117" s="2" t="inlineStr">
        <is>
          <t>Indiana Space Grant Consortium</t>
        </is>
      </c>
      <c r="AD117" s="3">
        <f>HYPERLINK("https://insgc.spacegrant.org/", "https://insgc.spacegrant.org/")</f>
        <v/>
      </c>
      <c r="AE117" s="2" t="inlineStr">
        <is>
          <t>Academic INSGC Internships</t>
        </is>
      </c>
      <c r="AF117" s="2" t="inlineStr"/>
      <c r="AG117" s="2" t="inlineStr"/>
      <c r="AH117" s="2" t="inlineStr">
        <is>
          <t>NASA</t>
        </is>
      </c>
      <c r="AI117" s="2" t="inlineStr"/>
      <c r="AJ117" s="2" t="inlineStr"/>
      <c r="AK117" s="2" t="inlineStr"/>
      <c r="AL117" s="2" t="b">
        <v>0</v>
      </c>
      <c r="AM117" s="3">
        <f>HYPERLINK("https://engineering.purdue.edu/ME/People/ptFaculty", "https://engineering.purdue.edu/ME/People/ptFaculty")</f>
        <v/>
      </c>
    </row>
    <row r="118">
      <c r="A118" s="2" t="inlineStr">
        <is>
          <t>Barrett Caldwell</t>
        </is>
      </c>
      <c r="B118" s="2" t="inlineStr">
        <is>
          <t>Purdue University</t>
        </is>
      </c>
      <c r="C118" s="3">
        <f>HYPERLINK("https://engineering.purdue.edu/IE/people/ptProfile?resource_id=5732", "https://engineering.purdue.edu/IE/people/ptProfile?resource_id=5732")</f>
        <v/>
      </c>
      <c r="D118" s="3">
        <f>HYPERLINK("https://scholar.google.com/citations?view_op=search_authors&amp;mauthors=Barrett%20Caldwell%20Purdue%20University", "Google Scholar Search")</f>
        <v/>
      </c>
      <c r="E118" s="2" t="inlineStr">
        <is>
          <t>Professor of Industrial Engineering &amp; Aeronautics and Astronautics</t>
        </is>
      </c>
      <c r="F118" s="2" t="inlineStr">
        <is>
          <t>Aeronautics and Astronautics</t>
        </is>
      </c>
      <c r="G118" s="2" t="inlineStr"/>
      <c r="H118" s="3">
        <f>HYPERLINK("mailto:bscaldwell@purdue.edu", "bscaldwell@purdue.edu")</f>
        <v/>
      </c>
      <c r="I118" s="2" t="n">
        <v>4</v>
      </c>
      <c r="J118" s="2" t="inlineStr">
        <is>
          <t>🔴 Tier 4: Robotics / Controls / Autonomy</t>
        </is>
      </c>
      <c r="K118" s="2" t="n">
        <v>0</v>
      </c>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c r="Y118" s="2" t="inlineStr"/>
      <c r="Z118" s="2" t="inlineStr"/>
      <c r="AA118" s="2" t="inlineStr"/>
      <c r="AB118" s="2" t="inlineStr"/>
      <c r="AC118" s="2" t="inlineStr">
        <is>
          <t>Indiana Space Grant Consortium</t>
        </is>
      </c>
      <c r="AD118" s="3">
        <f>HYPERLINK("https://insgc.spacegrant.org/", "https://insgc.spacegrant.org/")</f>
        <v/>
      </c>
      <c r="AE118" s="2" t="inlineStr">
        <is>
          <t>Academic INSGC Internships</t>
        </is>
      </c>
      <c r="AF118" s="2" t="inlineStr"/>
      <c r="AG118" s="2" t="inlineStr"/>
      <c r="AH118" s="2" t="inlineStr">
        <is>
          <t>NASA</t>
        </is>
      </c>
      <c r="AI118" s="2" t="inlineStr"/>
      <c r="AJ118" s="2" t="inlineStr"/>
      <c r="AK118" s="2" t="inlineStr">
        <is>
          <t>335</t>
        </is>
      </c>
      <c r="AL118" s="2" t="b">
        <v>0</v>
      </c>
      <c r="AM118" s="3">
        <f>HYPERLINK("https://engineering.purdue.edu/AAE/people/Faculty", "https://engineering.purdue.edu/AAE/people/Faculty")</f>
        <v/>
      </c>
    </row>
    <row r="119">
      <c r="A119" s="2" t="inlineStr">
        <is>
          <t>Beth Moses</t>
        </is>
      </c>
      <c r="B119" s="2" t="inlineStr">
        <is>
          <t>Purdue University</t>
        </is>
      </c>
      <c r="C119" s="3">
        <f>HYPERLINK("https://engineering.purdue.edu/AAE/people/ptProfile?resource_id=27430", "https://engineering.purdue.edu/AAE/people/ptProfile?resource_id=27430")</f>
        <v/>
      </c>
      <c r="D119" s="3">
        <f>HYPERLINK("https://scholar.google.com/citations?view_op=search_authors&amp;mauthors=Beth%20Moses%20Purdue%20University", "Google Scholar Search")</f>
        <v/>
      </c>
      <c r="E119" s="2" t="inlineStr">
        <is>
          <t>Associate Professor Of Engineering Practice</t>
        </is>
      </c>
      <c r="F119" s="2" t="inlineStr">
        <is>
          <t>Aeronautics and Astronautics</t>
        </is>
      </c>
      <c r="G119" s="2" t="inlineStr"/>
      <c r="H119" s="3">
        <f>HYPERLINK("mailto:stubbing@purdue.edu", "stubbing@purdue.edu")</f>
        <v/>
      </c>
      <c r="I119" s="2" t="n">
        <v>4</v>
      </c>
      <c r="J119" s="2" t="inlineStr">
        <is>
          <t>🔴 Tier 4: Robotics / Controls / Autonomy</t>
        </is>
      </c>
      <c r="K119" s="2" t="n">
        <v>0</v>
      </c>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c r="Y119" s="2" t="inlineStr"/>
      <c r="Z119" s="2" t="inlineStr"/>
      <c r="AA119" s="2" t="inlineStr"/>
      <c r="AB119" s="2" t="inlineStr"/>
      <c r="AC119" s="2" t="inlineStr">
        <is>
          <t>Indiana Space Grant Consortium</t>
        </is>
      </c>
      <c r="AD119" s="3">
        <f>HYPERLINK("https://insgc.spacegrant.org/", "https://insgc.spacegrant.org/")</f>
        <v/>
      </c>
      <c r="AE119" s="2" t="inlineStr">
        <is>
          <t>Academic INSGC Internships</t>
        </is>
      </c>
      <c r="AF119" s="2" t="inlineStr"/>
      <c r="AG119" s="2" t="inlineStr"/>
      <c r="AH119" s="2" t="inlineStr">
        <is>
          <t>NASA</t>
        </is>
      </c>
      <c r="AI119" s="2" t="inlineStr"/>
      <c r="AJ119" s="2" t="inlineStr"/>
      <c r="AK119" s="2" t="inlineStr"/>
      <c r="AL119" s="2" t="b">
        <v>0</v>
      </c>
      <c r="AM119" s="3">
        <f>HYPERLINK("https://engineering.purdue.edu/AAE/people/Faculty", "https://engineering.purdue.edu/AAE/people/Faculty")</f>
        <v/>
      </c>
    </row>
    <row r="120">
      <c r="A120" s="2" t="inlineStr">
        <is>
          <t>Bradley Geswein</t>
        </is>
      </c>
      <c r="B120" s="2" t="inlineStr">
        <is>
          <t>Purdue University</t>
        </is>
      </c>
      <c r="C120" s="3">
        <f>HYPERLINK("https://engineering.purdue.edu/ME/People/ptProfile?resource_id=319733", "https://engineering.purdue.edu/ME/People/ptProfile?resource_id=319733")</f>
        <v/>
      </c>
      <c r="D120" s="3">
        <f>HYPERLINK("https://scholar.google.com/citations?view_op=search_authors&amp;mauthors=Bradley%20Geswein%20Purdue%20University", "Google Scholar Search")</f>
        <v/>
      </c>
      <c r="E120" s="2" t="inlineStr">
        <is>
          <t>Associate Professor of Engineering Practice</t>
        </is>
      </c>
      <c r="F120" s="2" t="inlineStr">
        <is>
          <t>Mechanical Engineering</t>
        </is>
      </c>
      <c r="G120" s="2" t="inlineStr"/>
      <c r="H120" s="3">
        <f>HYPERLINK("mailto:webmaster-eng@purdue.edu", "webmaster-eng@purdue.edu")</f>
        <v/>
      </c>
      <c r="I120" s="2" t="n">
        <v>4</v>
      </c>
      <c r="J120" s="2" t="inlineStr">
        <is>
          <t>🔴 Tier 4: Robotics / Controls / Autonomy</t>
        </is>
      </c>
      <c r="K120" s="2" t="n">
        <v>0</v>
      </c>
      <c r="L120" s="2" t="inlineStr"/>
      <c r="M120" s="2" t="inlineStr"/>
      <c r="N120" s="2" t="inlineStr"/>
      <c r="O120" s="2" t="inlineStr"/>
      <c r="P120" s="2" t="inlineStr"/>
      <c r="Q120" s="2" t="inlineStr"/>
      <c r="R120" s="2" t="inlineStr"/>
      <c r="S120" s="2" t="inlineStr"/>
      <c r="T120" s="2" t="inlineStr"/>
      <c r="U120" s="2" t="inlineStr">
        <is>
          <t>Outstanding Mechanical Engineers Distinguished Engineering Alumni Honorary Doctorates Staff Awards Student Awards Distinguished...</t>
        </is>
      </c>
      <c r="V120" s="2" t="inlineStr"/>
      <c r="W120" s="2" t="inlineStr"/>
      <c r="X120" s="2" t="inlineStr"/>
      <c r="Y120" s="2" t="inlineStr"/>
      <c r="Z120" s="2" t="inlineStr"/>
      <c r="AA120" s="2" t="inlineStr"/>
      <c r="AB120" s="2" t="inlineStr"/>
      <c r="AC120" s="2" t="inlineStr">
        <is>
          <t>Indiana Space Grant Consortium</t>
        </is>
      </c>
      <c r="AD120" s="3">
        <f>HYPERLINK("https://insgc.spacegrant.org/", "https://insgc.spacegrant.org/")</f>
        <v/>
      </c>
      <c r="AE120" s="2" t="inlineStr">
        <is>
          <t>Academic INSGC Internships</t>
        </is>
      </c>
      <c r="AF120" s="2" t="inlineStr"/>
      <c r="AG120" s="2" t="inlineStr"/>
      <c r="AH120" s="2" t="inlineStr">
        <is>
          <t>NASA</t>
        </is>
      </c>
      <c r="AI120" s="2" t="inlineStr"/>
      <c r="AJ120" s="2" t="inlineStr"/>
      <c r="AK120" s="2" t="inlineStr"/>
      <c r="AL120" s="2" t="b">
        <v>0</v>
      </c>
      <c r="AM120" s="3">
        <f>HYPERLINK("https://engineering.purdue.edu/ME/People/ptFaculty", "https://engineering.purdue.edu/ME/People/ptFaculty")</f>
        <v/>
      </c>
    </row>
    <row r="121">
      <c r="A121" s="2" t="inlineStr">
        <is>
          <t>Christopher Finch</t>
        </is>
      </c>
      <c r="B121" s="2" t="inlineStr">
        <is>
          <t>Purdue University</t>
        </is>
      </c>
      <c r="C121" s="3">
        <f>HYPERLINK("https://engineering.purdue.edu/ME/People/ptProfile?resource_id=294643", "https://engineering.purdue.edu/ME/People/ptProfile?resource_id=294643")</f>
        <v/>
      </c>
      <c r="D121" s="3">
        <f>HYPERLINK("https://scholar.google.com/citations?view_op=search_authors&amp;mauthors=Christopher%20Finch%20Purdue%20University", "Google Scholar Search")</f>
        <v/>
      </c>
      <c r="E121" s="2" t="inlineStr">
        <is>
          <t>Professor of Engineering Practice</t>
        </is>
      </c>
      <c r="F121" s="2" t="inlineStr">
        <is>
          <t>Mechanical Engineering</t>
        </is>
      </c>
      <c r="G121" s="2" t="inlineStr"/>
      <c r="H121" s="3">
        <f>HYPERLINK("mailto:finch21@purdue.edu", "finch21@purdue.edu")</f>
        <v/>
      </c>
      <c r="I121" s="2" t="n">
        <v>4</v>
      </c>
      <c r="J121" s="2" t="inlineStr">
        <is>
          <t>🔴 Tier 4: Robotics / Controls / Autonomy</t>
        </is>
      </c>
      <c r="K121" s="2" t="n">
        <v>0</v>
      </c>
      <c r="L121" s="2" t="inlineStr"/>
      <c r="M121" s="2" t="inlineStr"/>
      <c r="N121" s="2" t="inlineStr"/>
      <c r="O121" s="2" t="inlineStr"/>
      <c r="P121" s="2" t="inlineStr"/>
      <c r="Q121" s="2" t="inlineStr"/>
      <c r="R121" s="2" t="inlineStr"/>
      <c r="S121" s="2" t="inlineStr"/>
      <c r="T121" s="2" t="inlineStr"/>
      <c r="U121" s="2" t="inlineStr">
        <is>
          <t>Outstanding Mechanical Engineers Distinguished Engineering Alumni Honorary Doctorates Staff Awards Student Awards Distinguished...</t>
        </is>
      </c>
      <c r="V121" s="2" t="inlineStr"/>
      <c r="W121" s="2" t="inlineStr"/>
      <c r="X121" s="2" t="inlineStr"/>
      <c r="Y121" s="2" t="inlineStr">
        <is>
          <t>Motorsports Engineering Vehicle Dynamics Design</t>
        </is>
      </c>
      <c r="Z121" s="2" t="inlineStr">
        <is>
          <t>Motorsports</t>
        </is>
      </c>
      <c r="AA121" s="2" t="inlineStr">
        <is>
          <t>Motorsports</t>
        </is>
      </c>
      <c r="AB121" s="2" t="inlineStr">
        <is>
          <t>MA/MS Mechanical Engineering, Purdue University, 12/1994 BA/BS Mechanical Engineering, Purdue University, 05/1989</t>
        </is>
      </c>
      <c r="AC121" s="2" t="inlineStr">
        <is>
          <t>Indiana Space Grant Consortium</t>
        </is>
      </c>
      <c r="AD121" s="3">
        <f>HYPERLINK("https://insgc.spacegrant.org/", "https://insgc.spacegrant.org/")</f>
        <v/>
      </c>
      <c r="AE121" s="2" t="inlineStr">
        <is>
          <t>Academic INSGC Internships</t>
        </is>
      </c>
      <c r="AF121" s="2" t="inlineStr"/>
      <c r="AG121" s="2" t="inlineStr"/>
      <c r="AH121" s="2" t="inlineStr">
        <is>
          <t>NASA</t>
        </is>
      </c>
      <c r="AI121" s="2" t="inlineStr"/>
      <c r="AJ121" s="2" t="inlineStr"/>
      <c r="AK121" s="2" t="inlineStr"/>
      <c r="AL121" s="2" t="b">
        <v>0</v>
      </c>
      <c r="AM121" s="3">
        <f>HYPERLINK("https://engineering.purdue.edu/ME/People/ptFaculty", "https://engineering.purdue.edu/ME/People/ptFaculty")</f>
        <v/>
      </c>
    </row>
    <row r="122">
      <c r="A122" s="2" t="inlineStr">
        <is>
          <t>Daniel Dumbacher</t>
        </is>
      </c>
      <c r="B122" s="2" t="inlineStr">
        <is>
          <t>Purdue University</t>
        </is>
      </c>
      <c r="C122" s="3">
        <f>HYPERLINK("https://engineering.purdue.edu/AAE/people/ptProfile?resource_id=109597", "https://engineering.purdue.edu/AAE/people/ptProfile?resource_id=109597")</f>
        <v/>
      </c>
      <c r="D122" s="3">
        <f>HYPERLINK("https://scholar.google.com/citations?view_op=search_authors&amp;mauthors=Daniel%20Dumbacher%20Purdue%20University", "Google Scholar Search")</f>
        <v/>
      </c>
      <c r="E122" s="2" t="inlineStr">
        <is>
          <t>Professor of Engineering Practice</t>
        </is>
      </c>
      <c r="F122" s="2" t="inlineStr">
        <is>
          <t>Aeronautics and Astronautics</t>
        </is>
      </c>
      <c r="G122" s="2" t="inlineStr"/>
      <c r="H122" s="3">
        <f>HYPERLINK("mailto:dan-dumbacher@purdue.edu", "dan-dumbacher@purdue.edu")</f>
        <v/>
      </c>
      <c r="I122" s="2" t="n">
        <v>4</v>
      </c>
      <c r="J122" s="2" t="inlineStr">
        <is>
          <t>🔴 Tier 4: Robotics / Controls / Autonomy</t>
        </is>
      </c>
      <c r="K122" s="2" t="n">
        <v>0</v>
      </c>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c r="Y122" s="2" t="inlineStr"/>
      <c r="Z122" s="2" t="inlineStr"/>
      <c r="AA122" s="2" t="inlineStr"/>
      <c r="AB122" s="2" t="inlineStr"/>
      <c r="AC122" s="2" t="inlineStr">
        <is>
          <t>Indiana Space Grant Consortium</t>
        </is>
      </c>
      <c r="AD122" s="3">
        <f>HYPERLINK("https://insgc.spacegrant.org/", "https://insgc.spacegrant.org/")</f>
        <v/>
      </c>
      <c r="AE122" s="2" t="inlineStr">
        <is>
          <t>Academic INSGC Internships</t>
        </is>
      </c>
      <c r="AF122" s="2" t="inlineStr"/>
      <c r="AG122" s="2" t="inlineStr"/>
      <c r="AH122" s="2" t="inlineStr">
        <is>
          <t>NASA</t>
        </is>
      </c>
      <c r="AI122" s="2" t="inlineStr"/>
      <c r="AJ122" s="2" t="inlineStr"/>
      <c r="AK122" s="2" t="inlineStr"/>
      <c r="AL122" s="2" t="b">
        <v>0</v>
      </c>
      <c r="AM122" s="3">
        <f>HYPERLINK("https://engineering.purdue.edu/AAE/people/Faculty", "https://engineering.purdue.edu/AAE/people/Faculty")</f>
        <v/>
      </c>
    </row>
    <row r="123">
      <c r="A123" s="2" t="inlineStr">
        <is>
          <t>E. Daniel Hirleman</t>
        </is>
      </c>
      <c r="B123" s="2" t="inlineStr">
        <is>
          <t>Purdue University</t>
        </is>
      </c>
      <c r="C123" s="3">
        <f>HYPERLINK("https://engineering.purdue.edu/ME/People/ptProfile?resource_id=2976", "https://engineering.purdue.edu/ME/People/ptProfile?resource_id=2976")</f>
        <v/>
      </c>
      <c r="D123" s="3">
        <f>HYPERLINK("https://scholar.google.com/citations?view_op=search_authors&amp;mauthors=E.%20Daniel%20Hirleman%20Purdue%20University", "Google Scholar Search")</f>
        <v/>
      </c>
      <c r="E123" s="2" t="inlineStr">
        <is>
          <t>Professor of Mechanical Engineering; Director, Data Mine of the Rockies</t>
        </is>
      </c>
      <c r="F123" s="2" t="inlineStr">
        <is>
          <t>Mechanical Engineering</t>
        </is>
      </c>
      <c r="G123" s="2" t="inlineStr"/>
      <c r="H123" s="3">
        <f>HYPERLINK("mailto:hirleman@purdue.edu", "hirleman@purdue.edu")</f>
        <v/>
      </c>
      <c r="I123" s="2" t="n">
        <v>4</v>
      </c>
      <c r="J123" s="2" t="inlineStr">
        <is>
          <t>🔴 Tier 4: Robotics / Controls / Autonomy</t>
        </is>
      </c>
      <c r="K123" s="2" t="n">
        <v>0</v>
      </c>
      <c r="L123" s="2" t="inlineStr"/>
      <c r="M123" s="2" t="inlineStr"/>
      <c r="N123" s="2" t="inlineStr"/>
      <c r="O123" s="2" t="inlineStr"/>
      <c r="P123" s="2" t="inlineStr"/>
      <c r="Q123" s="2" t="inlineStr"/>
      <c r="R123" s="2" t="inlineStr"/>
      <c r="S123" s="2" t="inlineStr"/>
      <c r="T123" s="2" t="inlineStr"/>
      <c r="U123" s="2" t="inlineStr">
        <is>
          <t>Outstanding Mechanical Engineers Distinguished Engineering Alumni Honorary Doctorates Staff Awards Student Awards Distinguished...</t>
        </is>
      </c>
      <c r="V123" s="2" t="inlineStr"/>
      <c r="W123" s="2" t="inlineStr"/>
      <c r="X123" s="2" t="inlineStr"/>
      <c r="Y123" s="2" t="inlineStr"/>
      <c r="Z123" s="2" t="inlineStr"/>
      <c r="AA123" s="2" t="inlineStr"/>
      <c r="AB123" s="2" t="inlineStr"/>
      <c r="AC123" s="2" t="inlineStr">
        <is>
          <t>Indiana Space Grant Consortium</t>
        </is>
      </c>
      <c r="AD123" s="3">
        <f>HYPERLINK("https://insgc.spacegrant.org/", "https://insgc.spacegrant.org/")</f>
        <v/>
      </c>
      <c r="AE123" s="2" t="inlineStr">
        <is>
          <t>Academic INSGC Internships</t>
        </is>
      </c>
      <c r="AF123" s="2" t="inlineStr"/>
      <c r="AG123" s="2" t="inlineStr"/>
      <c r="AH123" s="2" t="inlineStr">
        <is>
          <t>NASA</t>
        </is>
      </c>
      <c r="AI123" s="2" t="inlineStr"/>
      <c r="AJ123" s="2" t="inlineStr"/>
      <c r="AK123" s="2" t="inlineStr"/>
      <c r="AL123" s="2" t="b">
        <v>0</v>
      </c>
      <c r="AM123" s="3">
        <f>HYPERLINK("https://engineering.purdue.edu/ME/People/ptFaculty", "https://engineering.purdue.edu/ME/People/ptFaculty")</f>
        <v/>
      </c>
    </row>
    <row r="124">
      <c r="A124" s="2" t="inlineStr">
        <is>
          <t>Ibrahim Gunduz</t>
        </is>
      </c>
      <c r="B124" s="2" t="inlineStr">
        <is>
          <t>Purdue University</t>
        </is>
      </c>
      <c r="C124" s="3">
        <f>HYPERLINK("https://engineering.purdue.edu/ME/People/ptProfile?resource_id=114677", "https://engineering.purdue.edu/ME/People/ptProfile?resource_id=114677")</f>
        <v/>
      </c>
      <c r="D124" s="3">
        <f>HYPERLINK("https://scholar.google.com/citations?view_op=search_authors&amp;mauthors=Ibrahim%20Gunduz%20Purdue%20University", "Google Scholar Search")</f>
        <v/>
      </c>
      <c r="E124" s="2" t="inlineStr">
        <is>
          <t>Associate Professor, Naval Postgraduate School</t>
        </is>
      </c>
      <c r="F124" s="2" t="inlineStr">
        <is>
          <t>Mechanical Engineering</t>
        </is>
      </c>
      <c r="G124" s="2" t="inlineStr"/>
      <c r="H124" s="3">
        <f>HYPERLINK("mailto:igunduz@purdue.edu", "igunduz@purdue.edu")</f>
        <v/>
      </c>
      <c r="I124" s="2" t="n">
        <v>4</v>
      </c>
      <c r="J124" s="2" t="inlineStr">
        <is>
          <t>🔴 Tier 4: Robotics / Controls / Autonomy</t>
        </is>
      </c>
      <c r="K124" s="2" t="n">
        <v>0</v>
      </c>
      <c r="L124" s="2" t="inlineStr"/>
      <c r="M124" s="2" t="inlineStr"/>
      <c r="N124" s="2" t="inlineStr"/>
      <c r="O124" s="2" t="inlineStr"/>
      <c r="P124" s="2" t="inlineStr"/>
      <c r="Q124" s="2" t="inlineStr"/>
      <c r="R124" s="2" t="inlineStr"/>
      <c r="S124" s="2" t="inlineStr"/>
      <c r="T124" s="2" t="inlineStr"/>
      <c r="U124" s="2" t="inlineStr">
        <is>
          <t>Outstanding Mechanical Engineers Distinguished Engineering Alumni Honorary Doctorates Staff Awards Student Awards Distinguished...</t>
        </is>
      </c>
      <c r="V124" s="2" t="inlineStr"/>
      <c r="W124" s="2" t="inlineStr"/>
      <c r="X124" s="2" t="inlineStr"/>
      <c r="Y124" s="2" t="inlineStr"/>
      <c r="Z124" s="2" t="inlineStr"/>
      <c r="AA124" s="2" t="inlineStr"/>
      <c r="AB124" s="2" t="inlineStr"/>
      <c r="AC124" s="2" t="inlineStr">
        <is>
          <t>Indiana Space Grant Consortium</t>
        </is>
      </c>
      <c r="AD124" s="3">
        <f>HYPERLINK("https://insgc.spacegrant.org/", "https://insgc.spacegrant.org/")</f>
        <v/>
      </c>
      <c r="AE124" s="2" t="inlineStr">
        <is>
          <t>Academic INSGC Internships</t>
        </is>
      </c>
      <c r="AF124" s="2" t="inlineStr"/>
      <c r="AG124" s="2" t="inlineStr"/>
      <c r="AH124" s="2" t="inlineStr">
        <is>
          <t>NASA</t>
        </is>
      </c>
      <c r="AI124" s="2" t="inlineStr"/>
      <c r="AJ124" s="2" t="inlineStr"/>
      <c r="AK124" s="2" t="inlineStr"/>
      <c r="AL124" s="2" t="b">
        <v>0</v>
      </c>
      <c r="AM124" s="3">
        <f>HYPERLINK("https://engineering.purdue.edu/ME/People/ptFaculty", "https://engineering.purdue.edu/ME/People/ptFaculty")</f>
        <v/>
      </c>
    </row>
    <row r="125">
      <c r="A125" s="2" t="inlineStr">
        <is>
          <t>Issam Mudawar</t>
        </is>
      </c>
      <c r="B125" s="2" t="inlineStr">
        <is>
          <t>Purdue University</t>
        </is>
      </c>
      <c r="C125" s="3">
        <f>HYPERLINK("https://engineering.purdue.edu/ME/People/ptProfile?resource_id=29296", "https://engineering.purdue.edu/ME/People/ptProfile?resource_id=29296")</f>
        <v/>
      </c>
      <c r="D125" s="3">
        <f>HYPERLINK("https://scholar.google.com/citations?view_op=search_authors&amp;mauthors=Issam%20Mudawar%20Purdue%20University", "Google Scholar Search")</f>
        <v/>
      </c>
      <c r="E125" s="2" t="inlineStr">
        <is>
          <t>Betty Ruth &amp; Milton B. Hollander Family Professor of Mechanical Engineering</t>
        </is>
      </c>
      <c r="F125" s="2" t="inlineStr">
        <is>
          <t>Mechanical Engineering</t>
        </is>
      </c>
      <c r="G125" s="2" t="inlineStr"/>
      <c r="H125" s="2" t="inlineStr"/>
      <c r="I125" s="2" t="n">
        <v>4</v>
      </c>
      <c r="J125" s="2" t="inlineStr">
        <is>
          <t>🔴 Tier 4: Robotics / Controls / Autonomy</t>
        </is>
      </c>
      <c r="K125" s="2" t="n">
        <v>0</v>
      </c>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c r="Y125" s="2" t="inlineStr"/>
      <c r="Z125" s="2" t="inlineStr"/>
      <c r="AA125" s="2" t="inlineStr"/>
      <c r="AB125" s="2" t="inlineStr"/>
      <c r="AC125" s="2" t="inlineStr"/>
      <c r="AD125" s="2" t="inlineStr"/>
      <c r="AE125" s="2" t="inlineStr"/>
      <c r="AF125" s="2" t="inlineStr"/>
      <c r="AG125" s="2" t="inlineStr"/>
      <c r="AH125" s="2" t="inlineStr"/>
      <c r="AI125" s="2" t="inlineStr"/>
      <c r="AJ125" s="2" t="inlineStr"/>
      <c r="AK125" s="2" t="inlineStr"/>
      <c r="AL125" s="2" t="b">
        <v>0</v>
      </c>
      <c r="AM125" s="3">
        <f>HYPERLINK("https://engineering.purdue.edu/ME/People/ptFaculty", "https://engineering.purdue.edu/ME/People/ptFaculty")</f>
        <v/>
      </c>
    </row>
    <row r="126">
      <c r="A126" s="2" t="inlineStr">
        <is>
          <t>James Goppert</t>
        </is>
      </c>
      <c r="B126" s="2" t="inlineStr">
        <is>
          <t>Purdue University</t>
        </is>
      </c>
      <c r="C126" s="3">
        <f>HYPERLINK("https://engineering.purdue.edu/AAE/people/ptProfile?resource_id=37293", "https://engineering.purdue.edu/AAE/people/ptProfile?resource_id=37293")</f>
        <v/>
      </c>
      <c r="D126" s="3">
        <f>HYPERLINK("https://scholar.google.com/citations?view_op=search_authors&amp;mauthors=James%20Goppert%20Purdue%20University", "Google Scholar Search")</f>
        <v/>
      </c>
      <c r="E126" s="2" t="inlineStr">
        <is>
          <t>Research Assistant Professor</t>
        </is>
      </c>
      <c r="F126" s="2" t="inlineStr">
        <is>
          <t>Aeronautics and Astronautics</t>
        </is>
      </c>
      <c r="G126" s="2" t="inlineStr"/>
      <c r="H126" s="3">
        <f>HYPERLINK("mailto:jgoppert@purdue.edu", "jgoppert@purdue.edu")</f>
        <v/>
      </c>
      <c r="I126" s="2" t="n">
        <v>4</v>
      </c>
      <c r="J126" s="2" t="inlineStr">
        <is>
          <t>🔴 Tier 4: Robotics / Controls / Autonomy</t>
        </is>
      </c>
      <c r="K126" s="2" t="n">
        <v>0</v>
      </c>
      <c r="L126" s="2" t="inlineStr"/>
      <c r="M126" s="2" t="inlineStr"/>
      <c r="N126" s="2" t="inlineStr"/>
      <c r="O126" s="2" t="inlineStr"/>
      <c r="P126" s="2" t="inlineStr"/>
      <c r="Q126" s="2" t="inlineStr"/>
      <c r="R126" s="2" t="inlineStr"/>
      <c r="S126" s="2" t="inlineStr"/>
      <c r="T126" s="2" t="inlineStr"/>
      <c r="U126" s="2" t="inlineStr"/>
      <c r="V126" s="2" t="inlineStr"/>
      <c r="W126" s="2" t="inlineStr"/>
      <c r="X126" s="2" t="inlineStr"/>
      <c r="Y126" s="2" t="inlineStr"/>
      <c r="Z126" s="2" t="inlineStr"/>
      <c r="AA126" s="2" t="inlineStr"/>
      <c r="AB126" s="2" t="inlineStr">
        <is>
          <t>Ph.D., Purdue University, Aeronautics and Astronautics, 2018 M.S., Purdue University, Aeronautics and Astronautics, 2011 B.S., Purdue University, Aeronautics and Astronautics, 2007</t>
        </is>
      </c>
      <c r="AC126" s="2" t="inlineStr">
        <is>
          <t>Indiana Space Grant Consortium</t>
        </is>
      </c>
      <c r="AD126" s="3">
        <f>HYPERLINK("https://insgc.spacegrant.org/", "https://insgc.spacegrant.org/")</f>
        <v/>
      </c>
      <c r="AE126" s="2" t="inlineStr">
        <is>
          <t>Academic INSGC Internships</t>
        </is>
      </c>
      <c r="AF126" s="2" t="inlineStr"/>
      <c r="AG126" s="2" t="inlineStr"/>
      <c r="AH126" s="2" t="inlineStr">
        <is>
          <t>NASA</t>
        </is>
      </c>
      <c r="AI126" s="2" t="inlineStr"/>
      <c r="AJ126" s="2" t="inlineStr"/>
      <c r="AK126" s="2" t="inlineStr">
        <is>
          <t>ARMS 3214</t>
        </is>
      </c>
      <c r="AL126" s="2" t="b">
        <v>0</v>
      </c>
      <c r="AM126" s="3">
        <f>HYPERLINK("https://engineering.purdue.edu/AAE/people/Faculty", "https://engineering.purdue.edu/AAE/people/Faculty")</f>
        <v/>
      </c>
    </row>
    <row r="127">
      <c r="A127" s="2" t="inlineStr">
        <is>
          <t>Martin Corless</t>
        </is>
      </c>
      <c r="B127" s="2" t="inlineStr">
        <is>
          <t>Purdue University</t>
        </is>
      </c>
      <c r="C127" s="3">
        <f>HYPERLINK("https://engineering.purdue.edu/AAE/people/ptProfile?resource_id=1410", "https://engineering.purdue.edu/AAE/people/ptProfile?resource_id=1410")</f>
        <v/>
      </c>
      <c r="D127" s="3">
        <f>HYPERLINK("https://scholar.google.com/citations?view_op=search_authors&amp;mauthors=Martin%20Corless%20Purdue%20University", "Google Scholar Search")</f>
        <v/>
      </c>
      <c r="E127" s="2" t="inlineStr">
        <is>
          <t>Professor</t>
        </is>
      </c>
      <c r="F127" s="2" t="inlineStr">
        <is>
          <t>Aeronautics and Astronautics</t>
        </is>
      </c>
      <c r="G127" s="2" t="inlineStr"/>
      <c r="H127" s="2" t="inlineStr"/>
      <c r="I127" s="2" t="n">
        <v>4</v>
      </c>
      <c r="J127" s="2" t="inlineStr">
        <is>
          <t>🔴 Tier 4: Robotics / Controls / Autonomy</t>
        </is>
      </c>
      <c r="K127" s="2" t="n">
        <v>0</v>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c r="Y127" s="2" t="inlineStr"/>
      <c r="Z127" s="2" t="inlineStr"/>
      <c r="AA127" s="2" t="inlineStr"/>
      <c r="AB127" s="2" t="inlineStr"/>
      <c r="AC127" s="2" t="inlineStr"/>
      <c r="AD127" s="2" t="inlineStr"/>
      <c r="AE127" s="2" t="inlineStr"/>
      <c r="AF127" s="2" t="inlineStr"/>
      <c r="AG127" s="2" t="inlineStr"/>
      <c r="AH127" s="2" t="inlineStr"/>
      <c r="AI127" s="2" t="inlineStr"/>
      <c r="AJ127" s="2" t="inlineStr"/>
      <c r="AK127" s="2" t="inlineStr"/>
      <c r="AL127" s="2" t="b">
        <v>0</v>
      </c>
      <c r="AM127" s="3">
        <f>HYPERLINK("https://engineering.purdue.edu/AAE/people/Faculty", "https://engineering.purdue.edu/AAE/people/Faculty")</f>
        <v/>
      </c>
    </row>
    <row r="128">
      <c r="A128" s="2" t="inlineStr">
        <is>
          <t>Metin Ornek</t>
        </is>
      </c>
      <c r="B128" s="2" t="inlineStr">
        <is>
          <t>Purdue University</t>
        </is>
      </c>
      <c r="C128" s="3">
        <f>HYPERLINK("https://engineering.purdue.edu/ME/People/ptProfile?resource_id=224646", "https://engineering.purdue.edu/ME/People/ptProfile?resource_id=224646")</f>
        <v/>
      </c>
      <c r="D128" s="3">
        <f>HYPERLINK("https://scholar.google.com/citations?view_op=search_authors&amp;mauthors=Metin%20Ornek%20Purdue%20University", "Google Scholar Search")</f>
        <v/>
      </c>
      <c r="E128" s="2" t="inlineStr">
        <is>
          <t>Research Assistant Professor</t>
        </is>
      </c>
      <c r="F128" s="2" t="inlineStr">
        <is>
          <t>Mechanical Engineering</t>
        </is>
      </c>
      <c r="G128" s="2" t="inlineStr"/>
      <c r="H128" s="3">
        <f>HYPERLINK("mailto:mornek@purdue.edu", "mornek@purdue.edu")</f>
        <v/>
      </c>
      <c r="I128" s="2" t="n">
        <v>4</v>
      </c>
      <c r="J128" s="2" t="inlineStr">
        <is>
          <t>🔴 Tier 4: Robotics / Controls / Autonomy</t>
        </is>
      </c>
      <c r="K128" s="2" t="n">
        <v>0</v>
      </c>
      <c r="L128" s="2" t="inlineStr"/>
      <c r="M128" s="2" t="inlineStr"/>
      <c r="N128" s="2" t="inlineStr"/>
      <c r="O128" s="2" t="inlineStr"/>
      <c r="P128" s="2" t="inlineStr"/>
      <c r="Q128" s="2" t="inlineStr"/>
      <c r="R128" s="2" t="inlineStr"/>
      <c r="S128" s="2" t="inlineStr"/>
      <c r="T128" s="2" t="inlineStr"/>
      <c r="U128" s="2" t="inlineStr">
        <is>
          <t>Outstanding Mechanical Engineers Distinguished Engineering Alumni Honorary Doctorates Staff Awards Student Awards Distinguished...</t>
        </is>
      </c>
      <c r="V128" s="2" t="inlineStr"/>
      <c r="W128" s="2" t="inlineStr"/>
      <c r="X128" s="2" t="inlineStr"/>
      <c r="Y128" s="2" t="inlineStr"/>
      <c r="Z128" s="2" t="inlineStr"/>
      <c r="AA128" s="2" t="inlineStr"/>
      <c r="AB128" s="2" t="inlineStr"/>
      <c r="AC128" s="2" t="inlineStr">
        <is>
          <t>Indiana Space Grant Consortium</t>
        </is>
      </c>
      <c r="AD128" s="3">
        <f>HYPERLINK("https://insgc.spacegrant.org/", "https://insgc.spacegrant.org/")</f>
        <v/>
      </c>
      <c r="AE128" s="2" t="inlineStr">
        <is>
          <t>Academic INSGC Internships</t>
        </is>
      </c>
      <c r="AF128" s="2" t="inlineStr"/>
      <c r="AG128" s="2" t="inlineStr"/>
      <c r="AH128" s="2" t="inlineStr">
        <is>
          <t>NASA</t>
        </is>
      </c>
      <c r="AI128" s="2" t="inlineStr"/>
      <c r="AJ128" s="2" t="inlineStr"/>
      <c r="AK128" s="2" t="inlineStr"/>
      <c r="AL128" s="2" t="b">
        <v>0</v>
      </c>
      <c r="AM128" s="3">
        <f>HYPERLINK("https://engineering.purdue.edu/ME/People/ptFaculty", "https://engineering.purdue.edu/ME/People/ptFaculty")</f>
        <v/>
      </c>
    </row>
    <row r="129">
      <c r="A129" s="2" t="inlineStr">
        <is>
          <t>Michael Sealy</t>
        </is>
      </c>
      <c r="B129" s="2" t="inlineStr">
        <is>
          <t>Purdue University</t>
        </is>
      </c>
      <c r="C129" s="3">
        <f>HYPERLINK("https://engineering.purdue.edu/ME/People/ptProfile?resource_id=256663", "https://engineering.purdue.edu/ME/People/ptProfile?resource_id=256663")</f>
        <v/>
      </c>
      <c r="D129" s="3">
        <f>HYPERLINK("https://scholar.google.com/citations?view_op=search_authors&amp;mauthors=Michael%20Sealy%20Purdue%20University", "Google Scholar Search")</f>
        <v/>
      </c>
      <c r="E129" s="2" t="inlineStr">
        <is>
          <t>Associate Professor Of Mechanical Engineering</t>
        </is>
      </c>
      <c r="F129" s="2" t="inlineStr">
        <is>
          <t>Mechanical Engineering</t>
        </is>
      </c>
      <c r="G129" s="2" t="inlineStr"/>
      <c r="H129" s="3">
        <f>HYPERLINK("mailto:msealy@purdue.edu", "msealy@purdue.edu")</f>
        <v/>
      </c>
      <c r="I129" s="2" t="n">
        <v>4</v>
      </c>
      <c r="J129" s="2" t="inlineStr">
        <is>
          <t>🔴 Tier 4: Robotics / Controls / Autonomy</t>
        </is>
      </c>
      <c r="K129" s="2" t="n">
        <v>0</v>
      </c>
      <c r="L129" s="2" t="inlineStr"/>
      <c r="M129" s="2" t="inlineStr"/>
      <c r="N129" s="2" t="inlineStr"/>
      <c r="O129" s="2" t="inlineStr"/>
      <c r="P129" s="2" t="inlineStr"/>
      <c r="Q129" s="2" t="inlineStr"/>
      <c r="R129" s="2" t="inlineStr"/>
      <c r="S129" s="2" t="inlineStr"/>
      <c r="T129" s="2" t="inlineStr"/>
      <c r="U129" s="2" t="inlineStr">
        <is>
          <t>Outstanding Mechanical Engineers Distinguished Engineering Alumni Honorary Doctorates Staff Awards Student Awards Distinguished...</t>
        </is>
      </c>
      <c r="V129" s="2" t="inlineStr">
        <is>
          <t>GPA : The minimum recommended GPA to apply is 3.2 out of 4.0. | 5. Three Letters of Recommendation . Recommenders will receive a link via email to upload letters. Applicants can submit application without recommendation letters being uploaded.</t>
        </is>
      </c>
      <c r="W129" s="2" t="inlineStr"/>
      <c r="X129" s="2" t="inlineStr"/>
      <c r="Y129" s="2" t="inlineStr"/>
      <c r="Z129" s="2" t="inlineStr"/>
      <c r="AA129" s="2" t="inlineStr"/>
      <c r="AB129" s="2" t="inlineStr"/>
      <c r="AC129" s="2" t="inlineStr">
        <is>
          <t>Purdue Additive Research and Technology (PART)</t>
        </is>
      </c>
      <c r="AD129" s="3">
        <f>HYPERLINK("https://engineering.purdue.edu/PART", "https://engineering.purdue.edu/PART")</f>
        <v/>
      </c>
      <c r="AE129" s="2" t="inlineStr">
        <is>
          <t>RESEARCH (Undergraduate Research) | INDUSTRY (Internships &amp; Co-Ops)</t>
        </is>
      </c>
      <c r="AF129" s="2" t="inlineStr"/>
      <c r="AG129" s="2" t="inlineStr"/>
      <c r="AH129" s="2" t="inlineStr">
        <is>
          <t>DOE</t>
        </is>
      </c>
      <c r="AI129" s="2" t="inlineStr"/>
      <c r="AJ129" s="2" t="inlineStr"/>
      <c r="AK129" s="2" t="inlineStr">
        <is>
          <t>ME G084 &amp; MMRL</t>
        </is>
      </c>
      <c r="AL129" s="2" t="b">
        <v>0</v>
      </c>
      <c r="AM129" s="3">
        <f>HYPERLINK("https://engineering.purdue.edu/ME/People/ptFaculty", "https://engineering.purdue.edu/ME/People/ptFaculty")</f>
        <v/>
      </c>
    </row>
    <row r="130">
      <c r="A130" s="2" t="inlineStr">
        <is>
          <t>Mikhail Slipchenko</t>
        </is>
      </c>
      <c r="B130" s="2" t="inlineStr">
        <is>
          <t>Purdue University</t>
        </is>
      </c>
      <c r="C130" s="3">
        <f>HYPERLINK("https://engineering.purdue.edu/ME/People/ptProfile?resource_id=133408", "https://engineering.purdue.edu/ME/People/ptProfile?resource_id=133408")</f>
        <v/>
      </c>
      <c r="D130" s="3">
        <f>HYPERLINK("https://scholar.google.com/citations?view_op=search_authors&amp;mauthors=Mikhail%20Slipchenko%20Purdue%20University", "Google Scholar Search")</f>
        <v/>
      </c>
      <c r="E130" s="2" t="inlineStr">
        <is>
          <t>Research Professor</t>
        </is>
      </c>
      <c r="F130" s="2" t="inlineStr">
        <is>
          <t>Mechanical Engineering</t>
        </is>
      </c>
      <c r="G130" s="2" t="inlineStr"/>
      <c r="H130" s="3">
        <f>HYPERLINK("mailto:mslipche@purdue.edu", "mslipche@purdue.edu")</f>
        <v/>
      </c>
      <c r="I130" s="2" t="n">
        <v>4</v>
      </c>
      <c r="J130" s="2" t="inlineStr">
        <is>
          <t>🔴 Tier 4: Robotics / Controls / Autonomy</t>
        </is>
      </c>
      <c r="K130" s="2" t="n">
        <v>0</v>
      </c>
      <c r="L130" s="2" t="inlineStr"/>
      <c r="M130" s="2" t="inlineStr"/>
      <c r="N130" s="2" t="inlineStr"/>
      <c r="O130" s="2" t="inlineStr"/>
      <c r="P130" s="2" t="inlineStr"/>
      <c r="Q130" s="2" t="inlineStr"/>
      <c r="R130" s="2" t="inlineStr"/>
      <c r="S130" s="2" t="inlineStr"/>
      <c r="T130" s="2" t="inlineStr"/>
      <c r="U130" s="2" t="inlineStr">
        <is>
          <t>Outstanding Mechanical Engineers Distinguished Engineering Alumni Honorary Doctorates Staff Awards Student Awards Distinguished...</t>
        </is>
      </c>
      <c r="V130" s="2" t="inlineStr"/>
      <c r="W130" s="2" t="inlineStr"/>
      <c r="X130" s="2" t="inlineStr"/>
      <c r="Y130" s="2" t="inlineStr"/>
      <c r="Z130" s="2" t="inlineStr"/>
      <c r="AA130" s="2" t="inlineStr"/>
      <c r="AB130" s="2" t="inlineStr"/>
      <c r="AC130" s="2" t="inlineStr">
        <is>
          <t>Indiana Space Grant Consortium</t>
        </is>
      </c>
      <c r="AD130" s="3">
        <f>HYPERLINK("https://insgc.spacegrant.org/", "https://insgc.spacegrant.org/")</f>
        <v/>
      </c>
      <c r="AE130" s="2" t="inlineStr">
        <is>
          <t>Academic INSGC Internships</t>
        </is>
      </c>
      <c r="AF130" s="2" t="inlineStr"/>
      <c r="AG130" s="2" t="inlineStr"/>
      <c r="AH130" s="2" t="inlineStr">
        <is>
          <t>NASA</t>
        </is>
      </c>
      <c r="AI130" s="2" t="inlineStr"/>
      <c r="AJ130" s="2" t="inlineStr"/>
      <c r="AK130" s="2" t="inlineStr"/>
      <c r="AL130" s="2" t="b">
        <v>0</v>
      </c>
      <c r="AM130" s="3">
        <f>HYPERLINK("https://engineering.purdue.edu/ME/People/ptFaculty", "https://engineering.purdue.edu/ME/People/ptFaculty")</f>
        <v/>
      </c>
    </row>
    <row r="131">
      <c r="A131" s="2" t="inlineStr">
        <is>
          <t>R. Bruce Alstrom</t>
        </is>
      </c>
      <c r="B131" s="2" t="inlineStr">
        <is>
          <t>Purdue University</t>
        </is>
      </c>
      <c r="C131" s="3">
        <f>HYPERLINK("https://engineering.purdue.edu/AAE/people/ptProfile?resource_id=310087", "https://engineering.purdue.edu/AAE/people/ptProfile?resource_id=310087")</f>
        <v/>
      </c>
      <c r="D131" s="3">
        <f>HYPERLINK("https://scholar.google.com/citations?view_op=search_authors&amp;mauthors=R.%20Bruce%20Alstrom%20Purdue%20University", "Google Scholar Search")</f>
        <v/>
      </c>
      <c r="E131" s="2" t="inlineStr">
        <is>
          <t>Assistant Professor Of Engineering Practice</t>
        </is>
      </c>
      <c r="F131" s="2" t="inlineStr">
        <is>
          <t>Aeronautics and Astronautics</t>
        </is>
      </c>
      <c r="G131" s="2" t="inlineStr"/>
      <c r="H131" s="3">
        <f>HYPERLINK("mailto:webmaster-eng@purdue.edu", "webmaster-eng@purdue.edu")</f>
        <v/>
      </c>
      <c r="I131" s="2" t="n">
        <v>4</v>
      </c>
      <c r="J131" s="2" t="inlineStr">
        <is>
          <t>🔴 Tier 4: Robotics / Controls / Autonomy</t>
        </is>
      </c>
      <c r="K131" s="2" t="n">
        <v>0</v>
      </c>
      <c r="L131" s="2" t="inlineStr"/>
      <c r="M131" s="2" t="inlineStr"/>
      <c r="N131" s="2" t="inlineStr"/>
      <c r="O131" s="2" t="inlineStr"/>
      <c r="P131" s="2" t="inlineStr"/>
      <c r="Q131" s="2" t="inlineStr"/>
      <c r="R131" s="2" t="inlineStr"/>
      <c r="S131" s="2" t="inlineStr"/>
      <c r="T131" s="2" t="inlineStr"/>
      <c r="U131" s="2" t="inlineStr"/>
      <c r="V131" s="2" t="inlineStr"/>
      <c r="W131" s="2" t="inlineStr"/>
      <c r="X131" s="2" t="inlineStr"/>
      <c r="Y131" s="2" t="inlineStr"/>
      <c r="Z131" s="2" t="inlineStr"/>
      <c r="AA131" s="2" t="inlineStr"/>
      <c r="AB131" s="2" t="inlineStr"/>
      <c r="AC131" s="2" t="inlineStr">
        <is>
          <t>Indiana Space Grant Consortium</t>
        </is>
      </c>
      <c r="AD131" s="3">
        <f>HYPERLINK("https://insgc.spacegrant.org/", "https://insgc.spacegrant.org/")</f>
        <v/>
      </c>
      <c r="AE131" s="2" t="inlineStr">
        <is>
          <t>Academic INSGC Internships</t>
        </is>
      </c>
      <c r="AF131" s="2" t="inlineStr"/>
      <c r="AG131" s="2" t="inlineStr"/>
      <c r="AH131" s="2" t="inlineStr">
        <is>
          <t>NASA</t>
        </is>
      </c>
      <c r="AI131" s="2" t="inlineStr"/>
      <c r="AJ131" s="2" t="inlineStr"/>
      <c r="AK131" s="2" t="inlineStr">
        <is>
          <t>ARMS 3217</t>
        </is>
      </c>
      <c r="AL131" s="2" t="b">
        <v>0</v>
      </c>
      <c r="AM131" s="3">
        <f>HYPERLINK("https://engineering.purdue.edu/AAE/people/Faculty", "https://engineering.purdue.edu/AAE/people/Faculty")</f>
        <v/>
      </c>
    </row>
    <row r="132">
      <c r="A132" s="2" t="inlineStr">
        <is>
          <t>Richard Buckius</t>
        </is>
      </c>
      <c r="B132" s="2" t="inlineStr">
        <is>
          <t>Purdue University</t>
        </is>
      </c>
      <c r="C132" s="3">
        <f>HYPERLINK("https://engineering.purdue.edu/ME/People/ptProfile?resource_id=51789", "https://engineering.purdue.edu/ME/People/ptProfile?resource_id=51789")</f>
        <v/>
      </c>
      <c r="D132" s="3">
        <f>HYPERLINK("https://scholar.google.com/citations?view_op=search_authors&amp;mauthors=Richard%20Buckius%20Purdue%20University", "Google Scholar Search")</f>
        <v/>
      </c>
      <c r="E132" s="2" t="inlineStr">
        <is>
          <t>Professor of Mechanical Engineering</t>
        </is>
      </c>
      <c r="F132" s="2" t="inlineStr">
        <is>
          <t>Mechanical Engineering</t>
        </is>
      </c>
      <c r="G132" s="2" t="inlineStr"/>
      <c r="H132" s="3">
        <f>HYPERLINK("mailto:rbuckius@purdue.edu", "rbuckius@purdue.edu")</f>
        <v/>
      </c>
      <c r="I132" s="2" t="n">
        <v>4</v>
      </c>
      <c r="J132" s="2" t="inlineStr">
        <is>
          <t>🔴 Tier 4: Robotics / Controls / Autonomy</t>
        </is>
      </c>
      <c r="K132" s="2" t="n">
        <v>0</v>
      </c>
      <c r="L132" s="2" t="inlineStr"/>
      <c r="M132" s="2" t="inlineStr"/>
      <c r="N132" s="2" t="inlineStr"/>
      <c r="O132" s="2" t="inlineStr"/>
      <c r="P132" s="2" t="inlineStr"/>
      <c r="Q132" s="2" t="inlineStr"/>
      <c r="R132" s="2" t="inlineStr"/>
      <c r="S132" s="2" t="inlineStr"/>
      <c r="T132" s="2" t="inlineStr"/>
      <c r="U132" s="2" t="inlineStr">
        <is>
          <t>Outstanding Mechanical Engineers Distinguished Engineering Alumni Honorary Doctorates Staff Awards Student Awards Distinguished...</t>
        </is>
      </c>
      <c r="V132" s="2" t="inlineStr"/>
      <c r="W132" s="2" t="inlineStr"/>
      <c r="X132" s="2" t="inlineStr"/>
      <c r="Y132" s="2" t="inlineStr"/>
      <c r="Z132" s="2" t="inlineStr"/>
      <c r="AA132" s="2" t="inlineStr"/>
      <c r="AB132" s="2" t="inlineStr"/>
      <c r="AC132" s="2" t="inlineStr">
        <is>
          <t>Indiana Space Grant Consortium</t>
        </is>
      </c>
      <c r="AD132" s="3">
        <f>HYPERLINK("https://insgc.spacegrant.org/", "https://insgc.spacegrant.org/")</f>
        <v/>
      </c>
      <c r="AE132" s="2" t="inlineStr">
        <is>
          <t>Academic INSGC Internships</t>
        </is>
      </c>
      <c r="AF132" s="2" t="inlineStr"/>
      <c r="AG132" s="2" t="inlineStr"/>
      <c r="AH132" s="2" t="inlineStr">
        <is>
          <t>NASA</t>
        </is>
      </c>
      <c r="AI132" s="2" t="inlineStr"/>
      <c r="AJ132" s="2" t="inlineStr"/>
      <c r="AK132" s="2" t="inlineStr">
        <is>
          <t>WANG 4052</t>
        </is>
      </c>
      <c r="AL132" s="2" t="b">
        <v>0</v>
      </c>
      <c r="AM132" s="3">
        <f>HYPERLINK("https://engineering.purdue.edu/ME/People/ptFaculty", "https://engineering.purdue.edu/ME/People/ptFaculty")</f>
        <v/>
      </c>
    </row>
    <row r="133">
      <c r="A133" s="2" t="inlineStr">
        <is>
          <t>Ryan Houim</t>
        </is>
      </c>
      <c r="B133" s="2" t="inlineStr">
        <is>
          <t>Purdue University</t>
        </is>
      </c>
      <c r="C133" s="3">
        <f>HYPERLINK("https://engineering.purdue.edu/AAE/people/ptProfile?resource_id=323130", "https://engineering.purdue.edu/AAE/people/ptProfile?resource_id=323130")</f>
        <v/>
      </c>
      <c r="D133" s="3">
        <f>HYPERLINK("https://scholar.google.com/citations?view_op=search_authors&amp;mauthors=Ryan%20Houim%20Purdue%20University", "Google Scholar Search")</f>
        <v/>
      </c>
      <c r="E133" s="2" t="inlineStr">
        <is>
          <t>Associate Professor</t>
        </is>
      </c>
      <c r="F133" s="2" t="inlineStr">
        <is>
          <t>Aeronautics and Astronautics</t>
        </is>
      </c>
      <c r="G133" s="2" t="inlineStr"/>
      <c r="H133" s="3">
        <f>HYPERLINK("mailto:webmaster-eng@purdue.edu", "webmaster-eng@purdue.edu")</f>
        <v/>
      </c>
      <c r="I133" s="2" t="n">
        <v>4</v>
      </c>
      <c r="J133" s="2" t="inlineStr">
        <is>
          <t>🔴 Tier 4: Robotics / Controls / Autonomy</t>
        </is>
      </c>
      <c r="K133" s="2" t="n">
        <v>0</v>
      </c>
      <c r="L133" s="2" t="inlineStr"/>
      <c r="M133" s="2" t="inlineStr"/>
      <c r="N133" s="2" t="inlineStr"/>
      <c r="O133" s="2" t="inlineStr"/>
      <c r="P133" s="2" t="inlineStr"/>
      <c r="Q133" s="2" t="inlineStr"/>
      <c r="R133" s="2" t="inlineStr"/>
      <c r="S133" s="2" t="inlineStr"/>
      <c r="T133" s="2" t="inlineStr"/>
      <c r="U133" s="2" t="inlineStr"/>
      <c r="V133" s="2" t="inlineStr"/>
      <c r="W133" s="2" t="inlineStr"/>
      <c r="X133" s="2" t="inlineStr"/>
      <c r="Y133" s="2" t="inlineStr"/>
      <c r="Z133" s="2" t="inlineStr"/>
      <c r="AA133" s="2" t="inlineStr"/>
      <c r="AB133" s="2" t="inlineStr"/>
      <c r="AC133" s="2" t="inlineStr">
        <is>
          <t>Indiana Space Grant Consortium</t>
        </is>
      </c>
      <c r="AD133" s="3">
        <f>HYPERLINK("https://insgc.spacegrant.org/", "https://insgc.spacegrant.org/")</f>
        <v/>
      </c>
      <c r="AE133" s="2" t="inlineStr">
        <is>
          <t>Academic INSGC Internships</t>
        </is>
      </c>
      <c r="AF133" s="2" t="inlineStr"/>
      <c r="AG133" s="2" t="inlineStr"/>
      <c r="AH133" s="2" t="inlineStr">
        <is>
          <t>NASA</t>
        </is>
      </c>
      <c r="AI133" s="2" t="inlineStr"/>
      <c r="AJ133" s="2" t="inlineStr"/>
      <c r="AK133" s="2" t="inlineStr"/>
      <c r="AL133" s="2" t="b">
        <v>0</v>
      </c>
      <c r="AM133" s="3">
        <f>HYPERLINK("https://engineering.purdue.edu/AAE/people/Faculty", "https://engineering.purdue.edu/AAE/people/Faculty")</f>
        <v/>
      </c>
    </row>
    <row r="134">
      <c r="A134" s="2" t="inlineStr">
        <is>
          <t>Salil Bapat</t>
        </is>
      </c>
      <c r="B134" s="2" t="inlineStr">
        <is>
          <t>Purdue University</t>
        </is>
      </c>
      <c r="C134" s="3">
        <f>HYPERLINK("https://engineering.purdue.edu/ME/People/ptProfile?resource_id=263773", "https://engineering.purdue.edu/ME/People/ptProfile?resource_id=263773")</f>
        <v/>
      </c>
      <c r="D134" s="3">
        <f>HYPERLINK("https://scholar.google.com/citations?view_op=search_authors&amp;mauthors=Salil%20Bapat%20Purdue%20University", "Google Scholar Search")</f>
        <v/>
      </c>
      <c r="E134" s="2" t="inlineStr">
        <is>
          <t>Research Assistant Professor</t>
        </is>
      </c>
      <c r="F134" s="2" t="inlineStr">
        <is>
          <t>Mechanical Engineering</t>
        </is>
      </c>
      <c r="G134" s="2" t="inlineStr"/>
      <c r="H134" s="3">
        <f>HYPERLINK("mailto:bapat0@purdue.edu", "bapat0@purdue.edu")</f>
        <v/>
      </c>
      <c r="I134" s="2" t="n">
        <v>4</v>
      </c>
      <c r="J134" s="2" t="inlineStr">
        <is>
          <t>🔴 Tier 4: Robotics / Controls / Autonomy</t>
        </is>
      </c>
      <c r="K134" s="2" t="n">
        <v>0</v>
      </c>
      <c r="L134" s="2" t="inlineStr"/>
      <c r="M134" s="2" t="inlineStr"/>
      <c r="N134" s="2" t="inlineStr"/>
      <c r="O134" s="2" t="inlineStr"/>
      <c r="P134" s="2" t="inlineStr"/>
      <c r="Q134" s="2" t="inlineStr"/>
      <c r="R134" s="2" t="inlineStr"/>
      <c r="S134" s="2" t="inlineStr"/>
      <c r="T134" s="2" t="inlineStr"/>
      <c r="U134" s="2" t="inlineStr">
        <is>
          <t>Outstanding Mechanical Engineers Distinguished Engineering Alumni Honorary Doctorates Staff Awards Student Awards Distinguished...</t>
        </is>
      </c>
      <c r="V134" s="2" t="inlineStr"/>
      <c r="W134" s="2" t="inlineStr"/>
      <c r="X134" s="2" t="inlineStr"/>
      <c r="Y134" s="2" t="inlineStr"/>
      <c r="Z134" s="2" t="inlineStr"/>
      <c r="AA134" s="2" t="inlineStr"/>
      <c r="AB134" s="2" t="inlineStr"/>
      <c r="AC134" s="2" t="inlineStr">
        <is>
          <t>Indiana Space Grant Consortium</t>
        </is>
      </c>
      <c r="AD134" s="3">
        <f>HYPERLINK("https://insgc.spacegrant.org/", "https://insgc.spacegrant.org/")</f>
        <v/>
      </c>
      <c r="AE134" s="2" t="inlineStr">
        <is>
          <t>Academic INSGC Internships</t>
        </is>
      </c>
      <c r="AF134" s="2" t="inlineStr"/>
      <c r="AG134" s="2" t="inlineStr"/>
      <c r="AH134" s="2" t="inlineStr">
        <is>
          <t>NASA</t>
        </is>
      </c>
      <c r="AI134" s="2" t="inlineStr"/>
      <c r="AJ134" s="2" t="inlineStr"/>
      <c r="AK134" s="2" t="inlineStr"/>
      <c r="AL134" s="2" t="b">
        <v>0</v>
      </c>
      <c r="AM134" s="3">
        <f>HYPERLINK("https://engineering.purdue.edu/ME/People/ptFaculty", "https://engineering.purdue.edu/ME/People/ptFaculty")</f>
        <v/>
      </c>
    </row>
    <row r="135">
      <c r="A135" s="2" t="inlineStr">
        <is>
          <t>Scott Michaels</t>
        </is>
      </c>
      <c r="B135" s="2" t="inlineStr">
        <is>
          <t>Purdue University</t>
        </is>
      </c>
      <c r="C135" s="3">
        <f>HYPERLINK("https://engineering.purdue.edu/ME/People/ptProfile?resource_id=340763", "https://engineering.purdue.edu/ME/People/ptProfile?resource_id=340763")</f>
        <v/>
      </c>
      <c r="D135" s="3">
        <f>HYPERLINK("https://scholar.google.com/citations?view_op=search_authors&amp;mauthors=Scott%20Michaels%20Purdue%20University", "Google Scholar Search")</f>
        <v/>
      </c>
      <c r="E135" s="2" t="inlineStr">
        <is>
          <t>Assistant Professor of Engineering Practice</t>
        </is>
      </c>
      <c r="F135" s="2" t="inlineStr">
        <is>
          <t>Mechanical Engineering</t>
        </is>
      </c>
      <c r="G135" s="2" t="inlineStr"/>
      <c r="H135" s="3">
        <f>HYPERLINK("mailto:micha172@purdue.edu", "micha172@purdue.edu")</f>
        <v/>
      </c>
      <c r="I135" s="2" t="n">
        <v>4</v>
      </c>
      <c r="J135" s="2" t="inlineStr">
        <is>
          <t>🔴 Tier 4: Robotics / Controls / Autonomy</t>
        </is>
      </c>
      <c r="K135" s="2" t="n">
        <v>0</v>
      </c>
      <c r="L135" s="2" t="inlineStr"/>
      <c r="M135" s="2" t="inlineStr"/>
      <c r="N135" s="2" t="inlineStr"/>
      <c r="O135" s="2" t="inlineStr"/>
      <c r="P135" s="2" t="inlineStr"/>
      <c r="Q135" s="2" t="inlineStr"/>
      <c r="R135" s="2" t="inlineStr"/>
      <c r="S135" s="2" t="inlineStr"/>
      <c r="T135" s="2" t="inlineStr"/>
      <c r="U135" s="2" t="inlineStr">
        <is>
          <t>Outstanding Mechanical Engineers Distinguished Engineering Alumni Honorary Doctorates Staff Awards Student Awards Distinguished...</t>
        </is>
      </c>
      <c r="V135" s="2" t="inlineStr"/>
      <c r="W135" s="2" t="inlineStr"/>
      <c r="X135" s="2" t="inlineStr"/>
      <c r="Y135" s="2" t="inlineStr"/>
      <c r="Z135" s="2" t="inlineStr"/>
      <c r="AA135" s="2" t="inlineStr"/>
      <c r="AB135" s="2" t="inlineStr"/>
      <c r="AC135" s="2" t="inlineStr">
        <is>
          <t>Indiana Space Grant Consortium</t>
        </is>
      </c>
      <c r="AD135" s="3">
        <f>HYPERLINK("https://insgc.spacegrant.org/", "https://insgc.spacegrant.org/")</f>
        <v/>
      </c>
      <c r="AE135" s="2" t="inlineStr">
        <is>
          <t>Academic INSGC Internships</t>
        </is>
      </c>
      <c r="AF135" s="2" t="inlineStr"/>
      <c r="AG135" s="2" t="inlineStr"/>
      <c r="AH135" s="2" t="inlineStr">
        <is>
          <t>NASA</t>
        </is>
      </c>
      <c r="AI135" s="2" t="inlineStr"/>
      <c r="AJ135" s="2" t="inlineStr"/>
      <c r="AK135" s="2" t="inlineStr"/>
      <c r="AL135" s="2" t="b">
        <v>0</v>
      </c>
      <c r="AM135" s="3">
        <f>HYPERLINK("https://engineering.purdue.edu/ME/People/ptFaculty", "https://engineering.purdue.edu/ME/People/ptFaculty")</f>
        <v/>
      </c>
    </row>
    <row r="136">
      <c r="A136" s="2" t="inlineStr">
        <is>
          <t>Thanos (Athanasios) Tzempelikos</t>
        </is>
      </c>
      <c r="B136" s="2" t="inlineStr">
        <is>
          <t>Purdue University</t>
        </is>
      </c>
      <c r="C136" s="3">
        <f>HYPERLINK("https://engineering.purdue.edu/CE/People/ptProfile?resource_id=46102", "https://engineering.purdue.edu/CE/People/ptProfile?resource_id=46102")</f>
        <v/>
      </c>
      <c r="D136" s="3">
        <f>HYPERLINK("https://scholar.google.com/citations?user=GhghoIEAAAAJ&amp;hl=en", "Scholar (GhghoIEAAAAJ)")</f>
        <v/>
      </c>
      <c r="E136" s="2" t="inlineStr">
        <is>
          <t>Professor of Civil Engineering</t>
        </is>
      </c>
      <c r="F136" s="2" t="inlineStr">
        <is>
          <t>Mechanical Engineering</t>
        </is>
      </c>
      <c r="G136" s="2" t="inlineStr">
        <is>
          <t>GhghoIEAAAAJ</t>
        </is>
      </c>
      <c r="H136" s="3">
        <f>HYPERLINK("mailto:ttzempel@purdue.edu", "ttzempel@purdue.edu")</f>
        <v/>
      </c>
      <c r="I136" s="2" t="n">
        <v>4</v>
      </c>
      <c r="J136" s="2" t="inlineStr">
        <is>
          <t>🔴 Tier 4: Robotics / Controls / Autonomy</t>
        </is>
      </c>
      <c r="K136" s="2" t="n">
        <v>0</v>
      </c>
      <c r="L136" s="2" t="inlineStr"/>
      <c r="M136" s="2" t="inlineStr"/>
      <c r="N136" s="2" t="inlineStr"/>
      <c r="O136" s="2" t="inlineStr"/>
      <c r="P136" s="2" t="inlineStr"/>
      <c r="Q136" s="2" t="inlineStr"/>
      <c r="R136" s="2" t="inlineStr"/>
      <c r="S136" s="2" t="inlineStr"/>
      <c r="T136" s="2" t="inlineStr"/>
      <c r="U136" s="2" t="inlineStr"/>
      <c r="V136" s="2" t="inlineStr"/>
      <c r="W136" s="2" t="inlineStr"/>
      <c r="X136" s="2" t="inlineStr"/>
      <c r="Y136" s="2" t="inlineStr"/>
      <c r="Z136" s="2" t="inlineStr"/>
      <c r="AA136" s="2" t="inlineStr"/>
      <c r="AB136" s="2" t="inlineStr"/>
      <c r="AC136" s="2" t="inlineStr">
        <is>
          <t>Indiana Space Grant Consortium</t>
        </is>
      </c>
      <c r="AD136" s="3">
        <f>HYPERLINK("https://insgc.spacegrant.org/", "https://insgc.spacegrant.org/")</f>
        <v/>
      </c>
      <c r="AE136" s="2" t="inlineStr">
        <is>
          <t>Academic INSGC Internships</t>
        </is>
      </c>
      <c r="AF136" s="2" t="inlineStr"/>
      <c r="AG136" s="2" t="inlineStr"/>
      <c r="AH136" s="2" t="inlineStr">
        <is>
          <t>NASA</t>
        </is>
      </c>
      <c r="AI136" s="2" t="inlineStr"/>
      <c r="AJ136" s="2" t="inlineStr"/>
      <c r="AK136" s="2" t="inlineStr"/>
      <c r="AL136" s="2" t="b">
        <v>0</v>
      </c>
      <c r="AM136" s="3">
        <f>HYPERLINK("https://engineering.purdue.edu/ME/People/ptFaculty", "https://engineering.purdue.edu/ME/People/ptFaculty")</f>
        <v/>
      </c>
    </row>
    <row r="137">
      <c r="A137" s="2" t="inlineStr">
        <is>
          <t>Thiago Augusto Machado Guimaraes</t>
        </is>
      </c>
      <c r="B137" s="2" t="inlineStr">
        <is>
          <t>Purdue University</t>
        </is>
      </c>
      <c r="C137" s="3">
        <f>HYPERLINK("https://engineering.purdue.edu/AAE/people/ptProfile?resource_id=292476", "https://engineering.purdue.edu/AAE/people/ptProfile?resource_id=292476")</f>
        <v/>
      </c>
      <c r="D137" s="3">
        <f>HYPERLINK("https://scholar.google.com/citations?view_op=search_authors&amp;mauthors=Thiago%20Augusto%20Machado%20Guimaraes%20Purdue%20University", "Google Scholar Search")</f>
        <v/>
      </c>
      <c r="E137" s="2" t="inlineStr">
        <is>
          <t>Associate Professor of Engineering Practice</t>
        </is>
      </c>
      <c r="F137" s="2" t="inlineStr">
        <is>
          <t>Aeronautics and Astronautics</t>
        </is>
      </c>
      <c r="G137" s="2" t="inlineStr"/>
      <c r="H137" s="3">
        <f>HYPERLINK("mailto:tguimara@purdue.edu", "tguimara@purdue.edu")</f>
        <v/>
      </c>
      <c r="I137" s="2" t="n">
        <v>4</v>
      </c>
      <c r="J137" s="2" t="inlineStr">
        <is>
          <t>🔴 Tier 4: Robotics / Controls / Autonomy</t>
        </is>
      </c>
      <c r="K137" s="2" t="n">
        <v>0</v>
      </c>
      <c r="L137" s="2" t="inlineStr"/>
      <c r="M137" s="2" t="inlineStr"/>
      <c r="N137" s="2" t="inlineStr"/>
      <c r="O137" s="2" t="inlineStr"/>
      <c r="P137" s="2" t="inlineStr"/>
      <c r="Q137" s="2" t="inlineStr"/>
      <c r="R137" s="2" t="inlineStr"/>
      <c r="S137" s="2" t="inlineStr"/>
      <c r="T137" s="2" t="inlineStr"/>
      <c r="U137" s="2" t="inlineStr"/>
      <c r="V137" s="2" t="inlineStr"/>
      <c r="W137" s="2" t="inlineStr"/>
      <c r="X137" s="2" t="inlineStr"/>
      <c r="Y137" s="2" t="inlineStr"/>
      <c r="Z137" s="2" t="inlineStr"/>
      <c r="AA137" s="2" t="inlineStr"/>
      <c r="AB137" s="2" t="inlineStr"/>
      <c r="AC137" s="2" t="inlineStr">
        <is>
          <t>Indiana Space Grant Consortium</t>
        </is>
      </c>
      <c r="AD137" s="3">
        <f>HYPERLINK("https://insgc.spacegrant.org/", "https://insgc.spacegrant.org/")</f>
        <v/>
      </c>
      <c r="AE137" s="2" t="inlineStr">
        <is>
          <t>Academic INSGC Internships</t>
        </is>
      </c>
      <c r="AF137" s="2" t="inlineStr"/>
      <c r="AG137" s="2" t="inlineStr"/>
      <c r="AH137" s="2" t="inlineStr">
        <is>
          <t>NASA</t>
        </is>
      </c>
      <c r="AI137" s="2" t="inlineStr"/>
      <c r="AJ137" s="2" t="inlineStr"/>
      <c r="AK137" s="2" t="inlineStr">
        <is>
          <t>ARMS 3203</t>
        </is>
      </c>
      <c r="AL137" s="2" t="b">
        <v>0</v>
      </c>
      <c r="AM137" s="3">
        <f>HYPERLINK("https://engineering.purdue.edu/AAE/people/Faculty", "https://engineering.purdue.edu/AAE/people/Faculty")</f>
        <v/>
      </c>
    </row>
    <row r="138">
      <c r="A138" s="2" t="inlineStr">
        <is>
          <t>William Travis Horton</t>
        </is>
      </c>
      <c r="B138" s="2" t="inlineStr">
        <is>
          <t>Purdue University</t>
        </is>
      </c>
      <c r="C138" s="3">
        <f>HYPERLINK("https://engineering.purdue.edu/CE/People/ptProfile?resource_id=51282", "https://engineering.purdue.edu/CE/People/ptProfile?resource_id=51282")</f>
        <v/>
      </c>
      <c r="D138" s="3">
        <f>HYPERLINK("https://scholar.google.com/citations?view_op=search_authors&amp;mauthors=William%20Travis%20Horton%20Purdue%20University", "Google Scholar Search")</f>
        <v/>
      </c>
      <c r="E138" s="2" t="inlineStr">
        <is>
          <t>Associate Professor of Civil Engineering</t>
        </is>
      </c>
      <c r="F138" s="2" t="inlineStr">
        <is>
          <t>Mechanical Engineering</t>
        </is>
      </c>
      <c r="G138" s="2" t="inlineStr"/>
      <c r="H138" s="3">
        <f>HYPERLINK("mailto:wthorton@purdue.edu", "wthorton@purdue.edu")</f>
        <v/>
      </c>
      <c r="I138" s="2" t="n">
        <v>4</v>
      </c>
      <c r="J138" s="2" t="inlineStr">
        <is>
          <t>🔴 Tier 4: Robotics / Controls / Autonomy</t>
        </is>
      </c>
      <c r="K138" s="2" t="n">
        <v>0</v>
      </c>
      <c r="L138" s="2" t="inlineStr"/>
      <c r="M138" s="2" t="inlineStr"/>
      <c r="N138" s="2" t="inlineStr"/>
      <c r="O138" s="2" t="inlineStr"/>
      <c r="P138" s="2" t="inlineStr"/>
      <c r="Q138" s="2" t="inlineStr"/>
      <c r="R138" s="2" t="inlineStr"/>
      <c r="S138" s="2" t="inlineStr"/>
      <c r="T138" s="2" t="inlineStr"/>
      <c r="U138" s="2" t="inlineStr"/>
      <c r="V138" s="2" t="inlineStr"/>
      <c r="W138" s="2" t="inlineStr"/>
      <c r="X138" s="2" t="inlineStr"/>
      <c r="Y138" s="2" t="inlineStr"/>
      <c r="Z138" s="2" t="inlineStr"/>
      <c r="AA138" s="2" t="inlineStr"/>
      <c r="AB138" s="2" t="inlineStr"/>
      <c r="AC138" s="2" t="inlineStr">
        <is>
          <t>Indiana Space Grant Consortium</t>
        </is>
      </c>
      <c r="AD138" s="3">
        <f>HYPERLINK("https://insgc.spacegrant.org/", "https://insgc.spacegrant.org/")</f>
        <v/>
      </c>
      <c r="AE138" s="2" t="inlineStr">
        <is>
          <t>Academic INSGC Internships</t>
        </is>
      </c>
      <c r="AF138" s="2" t="inlineStr"/>
      <c r="AG138" s="2" t="inlineStr"/>
      <c r="AH138" s="2" t="inlineStr">
        <is>
          <t>NASA</t>
        </is>
      </c>
      <c r="AI138" s="2" t="inlineStr"/>
      <c r="AJ138" s="2" t="inlineStr"/>
      <c r="AK138" s="2" t="inlineStr"/>
      <c r="AL138" s="2" t="b">
        <v>0</v>
      </c>
      <c r="AM138" s="3">
        <f>HYPERLINK("https://engineering.purdue.edu/ME/People/ptFaculty", "https://engineering.purdue.edu/ME/People/ptFaculty")</f>
        <v/>
      </c>
    </row>
    <row r="139">
      <c r="A139" s="2" t="inlineStr">
        <is>
          <t>Xiaoping Du</t>
        </is>
      </c>
      <c r="B139" s="2" t="inlineStr">
        <is>
          <t>Purdue University</t>
        </is>
      </c>
      <c r="C139" s="3">
        <f>HYPERLINK("https://engineering.purdue.edu/ME/People/ptProfile?resource_id=297462", "https://engineering.purdue.edu/ME/People/ptProfile?resource_id=297462")</f>
        <v/>
      </c>
      <c r="D139" s="3">
        <f>HYPERLINK("https://scholar.google.com/citations?view_op=search_authors&amp;mauthors=Xiaoping%20Du%20Purdue%20University", "Google Scholar Search")</f>
        <v/>
      </c>
      <c r="E139" s="2" t="inlineStr">
        <is>
          <t>Professor of Mechanical Engineering</t>
        </is>
      </c>
      <c r="F139" s="2" t="inlineStr">
        <is>
          <t>Mechanical Engineering</t>
        </is>
      </c>
      <c r="G139" s="2" t="inlineStr"/>
      <c r="H139" s="3">
        <f>HYPERLINK("mailto:duxp@purdue.edu", "duxp@purdue.edu")</f>
        <v/>
      </c>
      <c r="I139" s="2" t="n">
        <v>4</v>
      </c>
      <c r="J139" s="2" t="inlineStr">
        <is>
          <t>🔴 Tier 4: Robotics / Controls / Autonomy</t>
        </is>
      </c>
      <c r="K139" s="2" t="n">
        <v>0</v>
      </c>
      <c r="L139" s="2" t="inlineStr"/>
      <c r="M139" s="2" t="inlineStr"/>
      <c r="N139" s="2" t="inlineStr"/>
      <c r="O139" s="2" t="inlineStr"/>
      <c r="P139" s="2" t="inlineStr"/>
      <c r="Q139" s="2" t="inlineStr"/>
      <c r="R139" s="2" t="inlineStr"/>
      <c r="S139" s="2" t="inlineStr"/>
      <c r="T139" s="2" t="inlineStr"/>
      <c r="U139" s="2" t="inlineStr">
        <is>
          <t>Outstanding Mechanical Engineers Distinguished Engineering Alumni Honorary Doctorates Staff Awards Student Awards Distinguished...</t>
        </is>
      </c>
      <c r="V139" s="2" t="inlineStr"/>
      <c r="W139" s="2" t="inlineStr"/>
      <c r="X139" s="2" t="inlineStr"/>
      <c r="Y139" s="2" t="inlineStr">
        <is>
          <t>Design optimization Probabilistic and statistical methods Reliability-based and robust design Uncertainty quantification for machine learning</t>
        </is>
      </c>
      <c r="Z139" s="2" t="inlineStr">
        <is>
          <t>Design &amp; Manufacturing</t>
        </is>
      </c>
      <c r="AA139" s="2" t="inlineStr">
        <is>
          <t>Design &amp; Manufacturing</t>
        </is>
      </c>
      <c r="AB139" s="2" t="inlineStr">
        <is>
          <t>Ph.D. Mechanical Engineering, University of Illinois at Chicago, 04/2002</t>
        </is>
      </c>
      <c r="AC139" s="2" t="inlineStr">
        <is>
          <t>Xiaoping Du's GitHub</t>
        </is>
      </c>
      <c r="AD139" s="3">
        <f>HYPERLINK("https://duxxiaoping-coder.github.io/xiaoping-du-website", "https://duxxiaoping-coder.github.io/xiaoping-du-website")</f>
        <v/>
      </c>
      <c r="AE139" s="2" t="inlineStr"/>
      <c r="AF139" s="2" t="inlineStr"/>
      <c r="AG139" s="2" t="inlineStr"/>
      <c r="AH139" s="2" t="inlineStr"/>
      <c r="AI139" s="2" t="inlineStr"/>
      <c r="AJ139" s="2" t="inlineStr"/>
      <c r="AK139" s="2" t="inlineStr">
        <is>
          <t>SL 260G</t>
        </is>
      </c>
      <c r="AL139" s="2" t="b">
        <v>0</v>
      </c>
      <c r="AM139" s="3">
        <f>HYPERLINK("https://engineering.purdue.edu/ME/People/ptFaculty", "https://engineering.purdue.edu/ME/People/ptFaculty")</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AD2" r:id="rId4"/>
    <hyperlink xmlns:r="http://schemas.openxmlformats.org/officeDocument/2006/relationships" ref="AM2" r:id="rId5"/>
    <hyperlink xmlns:r="http://schemas.openxmlformats.org/officeDocument/2006/relationships" ref="C3" r:id="rId6"/>
    <hyperlink xmlns:r="http://schemas.openxmlformats.org/officeDocument/2006/relationships" ref="D3" r:id="rId7"/>
    <hyperlink xmlns:r="http://schemas.openxmlformats.org/officeDocument/2006/relationships" ref="H3" r:id="rId8"/>
    <hyperlink xmlns:r="http://schemas.openxmlformats.org/officeDocument/2006/relationships" ref="AD3" r:id="rId9"/>
    <hyperlink xmlns:r="http://schemas.openxmlformats.org/officeDocument/2006/relationships" ref="AM3" r:id="rId10"/>
    <hyperlink xmlns:r="http://schemas.openxmlformats.org/officeDocument/2006/relationships" ref="C4" r:id="rId11"/>
    <hyperlink xmlns:r="http://schemas.openxmlformats.org/officeDocument/2006/relationships" ref="D4" r:id="rId12"/>
    <hyperlink xmlns:r="http://schemas.openxmlformats.org/officeDocument/2006/relationships" ref="H4" r:id="rId13"/>
    <hyperlink xmlns:r="http://schemas.openxmlformats.org/officeDocument/2006/relationships" ref="AD4" r:id="rId14"/>
    <hyperlink xmlns:r="http://schemas.openxmlformats.org/officeDocument/2006/relationships" ref="AM4" r:id="rId15"/>
    <hyperlink xmlns:r="http://schemas.openxmlformats.org/officeDocument/2006/relationships" ref="C5" r:id="rId16"/>
    <hyperlink xmlns:r="http://schemas.openxmlformats.org/officeDocument/2006/relationships" ref="D5" r:id="rId17"/>
    <hyperlink xmlns:r="http://schemas.openxmlformats.org/officeDocument/2006/relationships" ref="H5" r:id="rId18"/>
    <hyperlink xmlns:r="http://schemas.openxmlformats.org/officeDocument/2006/relationships" ref="AD5" r:id="rId19"/>
    <hyperlink xmlns:r="http://schemas.openxmlformats.org/officeDocument/2006/relationships" ref="AM5" r:id="rId20"/>
    <hyperlink xmlns:r="http://schemas.openxmlformats.org/officeDocument/2006/relationships" ref="C6" r:id="rId21"/>
    <hyperlink xmlns:r="http://schemas.openxmlformats.org/officeDocument/2006/relationships" ref="D6" r:id="rId22"/>
    <hyperlink xmlns:r="http://schemas.openxmlformats.org/officeDocument/2006/relationships" ref="H6" r:id="rId23"/>
    <hyperlink xmlns:r="http://schemas.openxmlformats.org/officeDocument/2006/relationships" ref="AD6" r:id="rId24"/>
    <hyperlink xmlns:r="http://schemas.openxmlformats.org/officeDocument/2006/relationships" ref="AM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D7" r:id="rId29"/>
    <hyperlink xmlns:r="http://schemas.openxmlformats.org/officeDocument/2006/relationships" ref="AM7" r:id="rId30"/>
    <hyperlink xmlns:r="http://schemas.openxmlformats.org/officeDocument/2006/relationships" ref="C8" r:id="rId31"/>
    <hyperlink xmlns:r="http://schemas.openxmlformats.org/officeDocument/2006/relationships" ref="D8" r:id="rId32"/>
    <hyperlink xmlns:r="http://schemas.openxmlformats.org/officeDocument/2006/relationships" ref="H8" r:id="rId33"/>
    <hyperlink xmlns:r="http://schemas.openxmlformats.org/officeDocument/2006/relationships" ref="AD8" r:id="rId34"/>
    <hyperlink xmlns:r="http://schemas.openxmlformats.org/officeDocument/2006/relationships" ref="AM8" r:id="rId35"/>
    <hyperlink xmlns:r="http://schemas.openxmlformats.org/officeDocument/2006/relationships" ref="C9" r:id="rId36"/>
    <hyperlink xmlns:r="http://schemas.openxmlformats.org/officeDocument/2006/relationships" ref="D9" r:id="rId37"/>
    <hyperlink xmlns:r="http://schemas.openxmlformats.org/officeDocument/2006/relationships" ref="H9" r:id="rId38"/>
    <hyperlink xmlns:r="http://schemas.openxmlformats.org/officeDocument/2006/relationships" ref="AD9" r:id="rId39"/>
    <hyperlink xmlns:r="http://schemas.openxmlformats.org/officeDocument/2006/relationships" ref="AM9" r:id="rId40"/>
    <hyperlink xmlns:r="http://schemas.openxmlformats.org/officeDocument/2006/relationships" ref="C10" r:id="rId41"/>
    <hyperlink xmlns:r="http://schemas.openxmlformats.org/officeDocument/2006/relationships" ref="D10" r:id="rId42"/>
    <hyperlink xmlns:r="http://schemas.openxmlformats.org/officeDocument/2006/relationships" ref="H10" r:id="rId43"/>
    <hyperlink xmlns:r="http://schemas.openxmlformats.org/officeDocument/2006/relationships" ref="AD10" r:id="rId44"/>
    <hyperlink xmlns:r="http://schemas.openxmlformats.org/officeDocument/2006/relationships" ref="AM10" r:id="rId45"/>
    <hyperlink xmlns:r="http://schemas.openxmlformats.org/officeDocument/2006/relationships" ref="C11" r:id="rId46"/>
    <hyperlink xmlns:r="http://schemas.openxmlformats.org/officeDocument/2006/relationships" ref="D11" r:id="rId47"/>
    <hyperlink xmlns:r="http://schemas.openxmlformats.org/officeDocument/2006/relationships" ref="H11" r:id="rId48"/>
    <hyperlink xmlns:r="http://schemas.openxmlformats.org/officeDocument/2006/relationships" ref="AD11" r:id="rId49"/>
    <hyperlink xmlns:r="http://schemas.openxmlformats.org/officeDocument/2006/relationships" ref="AM11" r:id="rId50"/>
    <hyperlink xmlns:r="http://schemas.openxmlformats.org/officeDocument/2006/relationships" ref="C12" r:id="rId51"/>
    <hyperlink xmlns:r="http://schemas.openxmlformats.org/officeDocument/2006/relationships" ref="D12" r:id="rId52"/>
    <hyperlink xmlns:r="http://schemas.openxmlformats.org/officeDocument/2006/relationships" ref="H12" r:id="rId53"/>
    <hyperlink xmlns:r="http://schemas.openxmlformats.org/officeDocument/2006/relationships" ref="AD12" r:id="rId54"/>
    <hyperlink xmlns:r="http://schemas.openxmlformats.org/officeDocument/2006/relationships" ref="AM12" r:id="rId55"/>
    <hyperlink xmlns:r="http://schemas.openxmlformats.org/officeDocument/2006/relationships" ref="C13" r:id="rId56"/>
    <hyperlink xmlns:r="http://schemas.openxmlformats.org/officeDocument/2006/relationships" ref="D13" r:id="rId57"/>
    <hyperlink xmlns:r="http://schemas.openxmlformats.org/officeDocument/2006/relationships" ref="H13" r:id="rId58"/>
    <hyperlink xmlns:r="http://schemas.openxmlformats.org/officeDocument/2006/relationships" ref="AD13" r:id="rId59"/>
    <hyperlink xmlns:r="http://schemas.openxmlformats.org/officeDocument/2006/relationships" ref="AM13" r:id="rId60"/>
    <hyperlink xmlns:r="http://schemas.openxmlformats.org/officeDocument/2006/relationships" ref="C14" r:id="rId61"/>
    <hyperlink xmlns:r="http://schemas.openxmlformats.org/officeDocument/2006/relationships" ref="D14" r:id="rId62"/>
    <hyperlink xmlns:r="http://schemas.openxmlformats.org/officeDocument/2006/relationships" ref="H14" r:id="rId63"/>
    <hyperlink xmlns:r="http://schemas.openxmlformats.org/officeDocument/2006/relationships" ref="AD14" r:id="rId64"/>
    <hyperlink xmlns:r="http://schemas.openxmlformats.org/officeDocument/2006/relationships" ref="AM14" r:id="rId65"/>
    <hyperlink xmlns:r="http://schemas.openxmlformats.org/officeDocument/2006/relationships" ref="C15" r:id="rId66"/>
    <hyperlink xmlns:r="http://schemas.openxmlformats.org/officeDocument/2006/relationships" ref="D15" r:id="rId67"/>
    <hyperlink xmlns:r="http://schemas.openxmlformats.org/officeDocument/2006/relationships" ref="H15" r:id="rId68"/>
    <hyperlink xmlns:r="http://schemas.openxmlformats.org/officeDocument/2006/relationships" ref="AD15" r:id="rId69"/>
    <hyperlink xmlns:r="http://schemas.openxmlformats.org/officeDocument/2006/relationships" ref="AM15" r:id="rId70"/>
    <hyperlink xmlns:r="http://schemas.openxmlformats.org/officeDocument/2006/relationships" ref="C16" r:id="rId71"/>
    <hyperlink xmlns:r="http://schemas.openxmlformats.org/officeDocument/2006/relationships" ref="D16" r:id="rId72"/>
    <hyperlink xmlns:r="http://schemas.openxmlformats.org/officeDocument/2006/relationships" ref="H16" r:id="rId73"/>
    <hyperlink xmlns:r="http://schemas.openxmlformats.org/officeDocument/2006/relationships" ref="AD16" r:id="rId74"/>
    <hyperlink xmlns:r="http://schemas.openxmlformats.org/officeDocument/2006/relationships" ref="AM16" r:id="rId75"/>
    <hyperlink xmlns:r="http://schemas.openxmlformats.org/officeDocument/2006/relationships" ref="C17" r:id="rId76"/>
    <hyperlink xmlns:r="http://schemas.openxmlformats.org/officeDocument/2006/relationships" ref="D17" r:id="rId77"/>
    <hyperlink xmlns:r="http://schemas.openxmlformats.org/officeDocument/2006/relationships" ref="H17" r:id="rId78"/>
    <hyperlink xmlns:r="http://schemas.openxmlformats.org/officeDocument/2006/relationships" ref="AD17" r:id="rId79"/>
    <hyperlink xmlns:r="http://schemas.openxmlformats.org/officeDocument/2006/relationships" ref="AM17" r:id="rId80"/>
    <hyperlink xmlns:r="http://schemas.openxmlformats.org/officeDocument/2006/relationships" ref="C18" r:id="rId81"/>
    <hyperlink xmlns:r="http://schemas.openxmlformats.org/officeDocument/2006/relationships" ref="D18" r:id="rId82"/>
    <hyperlink xmlns:r="http://schemas.openxmlformats.org/officeDocument/2006/relationships" ref="H18" r:id="rId83"/>
    <hyperlink xmlns:r="http://schemas.openxmlformats.org/officeDocument/2006/relationships" ref="AD18" r:id="rId84"/>
    <hyperlink xmlns:r="http://schemas.openxmlformats.org/officeDocument/2006/relationships" ref="AM18" r:id="rId85"/>
    <hyperlink xmlns:r="http://schemas.openxmlformats.org/officeDocument/2006/relationships" ref="C19" r:id="rId86"/>
    <hyperlink xmlns:r="http://schemas.openxmlformats.org/officeDocument/2006/relationships" ref="D19" r:id="rId87"/>
    <hyperlink xmlns:r="http://schemas.openxmlformats.org/officeDocument/2006/relationships" ref="H19" r:id="rId88"/>
    <hyperlink xmlns:r="http://schemas.openxmlformats.org/officeDocument/2006/relationships" ref="AD19" r:id="rId89"/>
    <hyperlink xmlns:r="http://schemas.openxmlformats.org/officeDocument/2006/relationships" ref="AM19" r:id="rId90"/>
    <hyperlink xmlns:r="http://schemas.openxmlformats.org/officeDocument/2006/relationships" ref="C20" r:id="rId91"/>
    <hyperlink xmlns:r="http://schemas.openxmlformats.org/officeDocument/2006/relationships" ref="D20" r:id="rId92"/>
    <hyperlink xmlns:r="http://schemas.openxmlformats.org/officeDocument/2006/relationships" ref="H20" r:id="rId93"/>
    <hyperlink xmlns:r="http://schemas.openxmlformats.org/officeDocument/2006/relationships" ref="AD20" r:id="rId94"/>
    <hyperlink xmlns:r="http://schemas.openxmlformats.org/officeDocument/2006/relationships" ref="AM20" r:id="rId95"/>
    <hyperlink xmlns:r="http://schemas.openxmlformats.org/officeDocument/2006/relationships" ref="C21" r:id="rId96"/>
    <hyperlink xmlns:r="http://schemas.openxmlformats.org/officeDocument/2006/relationships" ref="D21" r:id="rId97"/>
    <hyperlink xmlns:r="http://schemas.openxmlformats.org/officeDocument/2006/relationships" ref="H21" r:id="rId98"/>
    <hyperlink xmlns:r="http://schemas.openxmlformats.org/officeDocument/2006/relationships" ref="AD21" r:id="rId99"/>
    <hyperlink xmlns:r="http://schemas.openxmlformats.org/officeDocument/2006/relationships" ref="AM21" r:id="rId100"/>
    <hyperlink xmlns:r="http://schemas.openxmlformats.org/officeDocument/2006/relationships" ref="C22" r:id="rId101"/>
    <hyperlink xmlns:r="http://schemas.openxmlformats.org/officeDocument/2006/relationships" ref="D22" r:id="rId102"/>
    <hyperlink xmlns:r="http://schemas.openxmlformats.org/officeDocument/2006/relationships" ref="H22" r:id="rId103"/>
    <hyperlink xmlns:r="http://schemas.openxmlformats.org/officeDocument/2006/relationships" ref="AD22" r:id="rId104"/>
    <hyperlink xmlns:r="http://schemas.openxmlformats.org/officeDocument/2006/relationships" ref="AM22" r:id="rId105"/>
    <hyperlink xmlns:r="http://schemas.openxmlformats.org/officeDocument/2006/relationships" ref="C23" r:id="rId106"/>
    <hyperlink xmlns:r="http://schemas.openxmlformats.org/officeDocument/2006/relationships" ref="D23" r:id="rId107"/>
    <hyperlink xmlns:r="http://schemas.openxmlformats.org/officeDocument/2006/relationships" ref="H23" r:id="rId108"/>
    <hyperlink xmlns:r="http://schemas.openxmlformats.org/officeDocument/2006/relationships" ref="AD23" r:id="rId109"/>
    <hyperlink xmlns:r="http://schemas.openxmlformats.org/officeDocument/2006/relationships" ref="AM23" r:id="rId110"/>
    <hyperlink xmlns:r="http://schemas.openxmlformats.org/officeDocument/2006/relationships" ref="C24" r:id="rId111"/>
    <hyperlink xmlns:r="http://schemas.openxmlformats.org/officeDocument/2006/relationships" ref="D24" r:id="rId112"/>
    <hyperlink xmlns:r="http://schemas.openxmlformats.org/officeDocument/2006/relationships" ref="H24" r:id="rId113"/>
    <hyperlink xmlns:r="http://schemas.openxmlformats.org/officeDocument/2006/relationships" ref="AD24" r:id="rId114"/>
    <hyperlink xmlns:r="http://schemas.openxmlformats.org/officeDocument/2006/relationships" ref="AM24" r:id="rId115"/>
    <hyperlink xmlns:r="http://schemas.openxmlformats.org/officeDocument/2006/relationships" ref="C25" r:id="rId116"/>
    <hyperlink xmlns:r="http://schemas.openxmlformats.org/officeDocument/2006/relationships" ref="D25" r:id="rId117"/>
    <hyperlink xmlns:r="http://schemas.openxmlformats.org/officeDocument/2006/relationships" ref="H25" r:id="rId118"/>
    <hyperlink xmlns:r="http://schemas.openxmlformats.org/officeDocument/2006/relationships" ref="AD25" r:id="rId119"/>
    <hyperlink xmlns:r="http://schemas.openxmlformats.org/officeDocument/2006/relationships" ref="AM25" r:id="rId120"/>
    <hyperlink xmlns:r="http://schemas.openxmlformats.org/officeDocument/2006/relationships" ref="C26" r:id="rId121"/>
    <hyperlink xmlns:r="http://schemas.openxmlformats.org/officeDocument/2006/relationships" ref="D26" r:id="rId122"/>
    <hyperlink xmlns:r="http://schemas.openxmlformats.org/officeDocument/2006/relationships" ref="H26" r:id="rId123"/>
    <hyperlink xmlns:r="http://schemas.openxmlformats.org/officeDocument/2006/relationships" ref="AD26" r:id="rId124"/>
    <hyperlink xmlns:r="http://schemas.openxmlformats.org/officeDocument/2006/relationships" ref="AM26" r:id="rId125"/>
    <hyperlink xmlns:r="http://schemas.openxmlformats.org/officeDocument/2006/relationships" ref="C27" r:id="rId126"/>
    <hyperlink xmlns:r="http://schemas.openxmlformats.org/officeDocument/2006/relationships" ref="D27" r:id="rId127"/>
    <hyperlink xmlns:r="http://schemas.openxmlformats.org/officeDocument/2006/relationships" ref="H27" r:id="rId128"/>
    <hyperlink xmlns:r="http://schemas.openxmlformats.org/officeDocument/2006/relationships" ref="AD27" r:id="rId129"/>
    <hyperlink xmlns:r="http://schemas.openxmlformats.org/officeDocument/2006/relationships" ref="AM27" r:id="rId130"/>
    <hyperlink xmlns:r="http://schemas.openxmlformats.org/officeDocument/2006/relationships" ref="C28" r:id="rId131"/>
    <hyperlink xmlns:r="http://schemas.openxmlformats.org/officeDocument/2006/relationships" ref="D28" r:id="rId132"/>
    <hyperlink xmlns:r="http://schemas.openxmlformats.org/officeDocument/2006/relationships" ref="H28" r:id="rId133"/>
    <hyperlink xmlns:r="http://schemas.openxmlformats.org/officeDocument/2006/relationships" ref="AD28" r:id="rId134"/>
    <hyperlink xmlns:r="http://schemas.openxmlformats.org/officeDocument/2006/relationships" ref="AM28" r:id="rId135"/>
    <hyperlink xmlns:r="http://schemas.openxmlformats.org/officeDocument/2006/relationships" ref="C29" r:id="rId136"/>
    <hyperlink xmlns:r="http://schemas.openxmlformats.org/officeDocument/2006/relationships" ref="D29" r:id="rId137"/>
    <hyperlink xmlns:r="http://schemas.openxmlformats.org/officeDocument/2006/relationships" ref="H29" r:id="rId138"/>
    <hyperlink xmlns:r="http://schemas.openxmlformats.org/officeDocument/2006/relationships" ref="AD29" r:id="rId139"/>
    <hyperlink xmlns:r="http://schemas.openxmlformats.org/officeDocument/2006/relationships" ref="AI29" r:id="rId140"/>
    <hyperlink xmlns:r="http://schemas.openxmlformats.org/officeDocument/2006/relationships" ref="AM29" r:id="rId141"/>
    <hyperlink xmlns:r="http://schemas.openxmlformats.org/officeDocument/2006/relationships" ref="C30" r:id="rId142"/>
    <hyperlink xmlns:r="http://schemas.openxmlformats.org/officeDocument/2006/relationships" ref="D30" r:id="rId143"/>
    <hyperlink xmlns:r="http://schemas.openxmlformats.org/officeDocument/2006/relationships" ref="H30" r:id="rId144"/>
    <hyperlink xmlns:r="http://schemas.openxmlformats.org/officeDocument/2006/relationships" ref="AD30" r:id="rId145"/>
    <hyperlink xmlns:r="http://schemas.openxmlformats.org/officeDocument/2006/relationships" ref="AM30" r:id="rId146"/>
    <hyperlink xmlns:r="http://schemas.openxmlformats.org/officeDocument/2006/relationships" ref="C31" r:id="rId147"/>
    <hyperlink xmlns:r="http://schemas.openxmlformats.org/officeDocument/2006/relationships" ref="D31" r:id="rId148"/>
    <hyperlink xmlns:r="http://schemas.openxmlformats.org/officeDocument/2006/relationships" ref="H31" r:id="rId149"/>
    <hyperlink xmlns:r="http://schemas.openxmlformats.org/officeDocument/2006/relationships" ref="AD31" r:id="rId150"/>
    <hyperlink xmlns:r="http://schemas.openxmlformats.org/officeDocument/2006/relationships" ref="AM31" r:id="rId151"/>
    <hyperlink xmlns:r="http://schemas.openxmlformats.org/officeDocument/2006/relationships" ref="C32" r:id="rId152"/>
    <hyperlink xmlns:r="http://schemas.openxmlformats.org/officeDocument/2006/relationships" ref="D32" r:id="rId153"/>
    <hyperlink xmlns:r="http://schemas.openxmlformats.org/officeDocument/2006/relationships" ref="AM32" r:id="rId154"/>
    <hyperlink xmlns:r="http://schemas.openxmlformats.org/officeDocument/2006/relationships" ref="C33" r:id="rId155"/>
    <hyperlink xmlns:r="http://schemas.openxmlformats.org/officeDocument/2006/relationships" ref="D33" r:id="rId156"/>
    <hyperlink xmlns:r="http://schemas.openxmlformats.org/officeDocument/2006/relationships" ref="H33" r:id="rId157"/>
    <hyperlink xmlns:r="http://schemas.openxmlformats.org/officeDocument/2006/relationships" ref="AD33" r:id="rId158"/>
    <hyperlink xmlns:r="http://schemas.openxmlformats.org/officeDocument/2006/relationships" ref="AM33" r:id="rId159"/>
    <hyperlink xmlns:r="http://schemas.openxmlformats.org/officeDocument/2006/relationships" ref="C34" r:id="rId160"/>
    <hyperlink xmlns:r="http://schemas.openxmlformats.org/officeDocument/2006/relationships" ref="D34" r:id="rId161"/>
    <hyperlink xmlns:r="http://schemas.openxmlformats.org/officeDocument/2006/relationships" ref="H34" r:id="rId162"/>
    <hyperlink xmlns:r="http://schemas.openxmlformats.org/officeDocument/2006/relationships" ref="AD34" r:id="rId163"/>
    <hyperlink xmlns:r="http://schemas.openxmlformats.org/officeDocument/2006/relationships" ref="AM34" r:id="rId164"/>
    <hyperlink xmlns:r="http://schemas.openxmlformats.org/officeDocument/2006/relationships" ref="C35" r:id="rId165"/>
    <hyperlink xmlns:r="http://schemas.openxmlformats.org/officeDocument/2006/relationships" ref="D35" r:id="rId166"/>
    <hyperlink xmlns:r="http://schemas.openxmlformats.org/officeDocument/2006/relationships" ref="H35" r:id="rId167"/>
    <hyperlink xmlns:r="http://schemas.openxmlformats.org/officeDocument/2006/relationships" ref="AD35" r:id="rId168"/>
    <hyperlink xmlns:r="http://schemas.openxmlformats.org/officeDocument/2006/relationships" ref="AM35" r:id="rId169"/>
    <hyperlink xmlns:r="http://schemas.openxmlformats.org/officeDocument/2006/relationships" ref="C36" r:id="rId170"/>
    <hyperlink xmlns:r="http://schemas.openxmlformats.org/officeDocument/2006/relationships" ref="D36" r:id="rId171"/>
    <hyperlink xmlns:r="http://schemas.openxmlformats.org/officeDocument/2006/relationships" ref="H36" r:id="rId172"/>
    <hyperlink xmlns:r="http://schemas.openxmlformats.org/officeDocument/2006/relationships" ref="AD36" r:id="rId173"/>
    <hyperlink xmlns:r="http://schemas.openxmlformats.org/officeDocument/2006/relationships" ref="AM36" r:id="rId174"/>
    <hyperlink xmlns:r="http://schemas.openxmlformats.org/officeDocument/2006/relationships" ref="C37" r:id="rId175"/>
    <hyperlink xmlns:r="http://schemas.openxmlformats.org/officeDocument/2006/relationships" ref="D37" r:id="rId176"/>
    <hyperlink xmlns:r="http://schemas.openxmlformats.org/officeDocument/2006/relationships" ref="H37" r:id="rId177"/>
    <hyperlink xmlns:r="http://schemas.openxmlformats.org/officeDocument/2006/relationships" ref="AD37" r:id="rId178"/>
    <hyperlink xmlns:r="http://schemas.openxmlformats.org/officeDocument/2006/relationships" ref="AM37" r:id="rId179"/>
    <hyperlink xmlns:r="http://schemas.openxmlformats.org/officeDocument/2006/relationships" ref="C38" r:id="rId180"/>
    <hyperlink xmlns:r="http://schemas.openxmlformats.org/officeDocument/2006/relationships" ref="D38" r:id="rId181"/>
    <hyperlink xmlns:r="http://schemas.openxmlformats.org/officeDocument/2006/relationships" ref="H38" r:id="rId182"/>
    <hyperlink xmlns:r="http://schemas.openxmlformats.org/officeDocument/2006/relationships" ref="AD38" r:id="rId183"/>
    <hyperlink xmlns:r="http://schemas.openxmlformats.org/officeDocument/2006/relationships" ref="AM38" r:id="rId184"/>
    <hyperlink xmlns:r="http://schemas.openxmlformats.org/officeDocument/2006/relationships" ref="C39" r:id="rId185"/>
    <hyperlink xmlns:r="http://schemas.openxmlformats.org/officeDocument/2006/relationships" ref="D39" r:id="rId186"/>
    <hyperlink xmlns:r="http://schemas.openxmlformats.org/officeDocument/2006/relationships" ref="H39" r:id="rId187"/>
    <hyperlink xmlns:r="http://schemas.openxmlformats.org/officeDocument/2006/relationships" ref="AD39" r:id="rId188"/>
    <hyperlink xmlns:r="http://schemas.openxmlformats.org/officeDocument/2006/relationships" ref="AM39" r:id="rId189"/>
    <hyperlink xmlns:r="http://schemas.openxmlformats.org/officeDocument/2006/relationships" ref="C40" r:id="rId190"/>
    <hyperlink xmlns:r="http://schemas.openxmlformats.org/officeDocument/2006/relationships" ref="D40" r:id="rId191"/>
    <hyperlink xmlns:r="http://schemas.openxmlformats.org/officeDocument/2006/relationships" ref="H40" r:id="rId192"/>
    <hyperlink xmlns:r="http://schemas.openxmlformats.org/officeDocument/2006/relationships" ref="AD40" r:id="rId193"/>
    <hyperlink xmlns:r="http://schemas.openxmlformats.org/officeDocument/2006/relationships" ref="AM40" r:id="rId194"/>
    <hyperlink xmlns:r="http://schemas.openxmlformats.org/officeDocument/2006/relationships" ref="C41" r:id="rId195"/>
    <hyperlink xmlns:r="http://schemas.openxmlformats.org/officeDocument/2006/relationships" ref="D41" r:id="rId196"/>
    <hyperlink xmlns:r="http://schemas.openxmlformats.org/officeDocument/2006/relationships" ref="H41" r:id="rId197"/>
    <hyperlink xmlns:r="http://schemas.openxmlformats.org/officeDocument/2006/relationships" ref="AD41" r:id="rId198"/>
    <hyperlink xmlns:r="http://schemas.openxmlformats.org/officeDocument/2006/relationships" ref="AI41" r:id="rId199"/>
    <hyperlink xmlns:r="http://schemas.openxmlformats.org/officeDocument/2006/relationships" ref="AM41" r:id="rId200"/>
    <hyperlink xmlns:r="http://schemas.openxmlformats.org/officeDocument/2006/relationships" ref="C42" r:id="rId201"/>
    <hyperlink xmlns:r="http://schemas.openxmlformats.org/officeDocument/2006/relationships" ref="D42" r:id="rId202"/>
    <hyperlink xmlns:r="http://schemas.openxmlformats.org/officeDocument/2006/relationships" ref="H42" r:id="rId203"/>
    <hyperlink xmlns:r="http://schemas.openxmlformats.org/officeDocument/2006/relationships" ref="AD42" r:id="rId204"/>
    <hyperlink xmlns:r="http://schemas.openxmlformats.org/officeDocument/2006/relationships" ref="AM42" r:id="rId205"/>
    <hyperlink xmlns:r="http://schemas.openxmlformats.org/officeDocument/2006/relationships" ref="C43" r:id="rId206"/>
    <hyperlink xmlns:r="http://schemas.openxmlformats.org/officeDocument/2006/relationships" ref="D43" r:id="rId207"/>
    <hyperlink xmlns:r="http://schemas.openxmlformats.org/officeDocument/2006/relationships" ref="H43" r:id="rId208"/>
    <hyperlink xmlns:r="http://schemas.openxmlformats.org/officeDocument/2006/relationships" ref="AD43" r:id="rId209"/>
    <hyperlink xmlns:r="http://schemas.openxmlformats.org/officeDocument/2006/relationships" ref="AM43" r:id="rId210"/>
    <hyperlink xmlns:r="http://schemas.openxmlformats.org/officeDocument/2006/relationships" ref="C44" r:id="rId211"/>
    <hyperlink xmlns:r="http://schemas.openxmlformats.org/officeDocument/2006/relationships" ref="D44" r:id="rId212"/>
    <hyperlink xmlns:r="http://schemas.openxmlformats.org/officeDocument/2006/relationships" ref="H44" r:id="rId213"/>
    <hyperlink xmlns:r="http://schemas.openxmlformats.org/officeDocument/2006/relationships" ref="AD44" r:id="rId214"/>
    <hyperlink xmlns:r="http://schemas.openxmlformats.org/officeDocument/2006/relationships" ref="AM44" r:id="rId215"/>
    <hyperlink xmlns:r="http://schemas.openxmlformats.org/officeDocument/2006/relationships" ref="C45" r:id="rId216"/>
    <hyperlink xmlns:r="http://schemas.openxmlformats.org/officeDocument/2006/relationships" ref="D45" r:id="rId217"/>
    <hyperlink xmlns:r="http://schemas.openxmlformats.org/officeDocument/2006/relationships" ref="H45" r:id="rId218"/>
    <hyperlink xmlns:r="http://schemas.openxmlformats.org/officeDocument/2006/relationships" ref="AD45" r:id="rId219"/>
    <hyperlink xmlns:r="http://schemas.openxmlformats.org/officeDocument/2006/relationships" ref="AM45" r:id="rId220"/>
    <hyperlink xmlns:r="http://schemas.openxmlformats.org/officeDocument/2006/relationships" ref="C46" r:id="rId221"/>
    <hyperlink xmlns:r="http://schemas.openxmlformats.org/officeDocument/2006/relationships" ref="D46" r:id="rId222"/>
    <hyperlink xmlns:r="http://schemas.openxmlformats.org/officeDocument/2006/relationships" ref="H46" r:id="rId223"/>
    <hyperlink xmlns:r="http://schemas.openxmlformats.org/officeDocument/2006/relationships" ref="AD46" r:id="rId224"/>
    <hyperlink xmlns:r="http://schemas.openxmlformats.org/officeDocument/2006/relationships" ref="AM46" r:id="rId225"/>
    <hyperlink xmlns:r="http://schemas.openxmlformats.org/officeDocument/2006/relationships" ref="C47" r:id="rId226"/>
    <hyperlink xmlns:r="http://schemas.openxmlformats.org/officeDocument/2006/relationships" ref="D47" r:id="rId227"/>
    <hyperlink xmlns:r="http://schemas.openxmlformats.org/officeDocument/2006/relationships" ref="H47" r:id="rId228"/>
    <hyperlink xmlns:r="http://schemas.openxmlformats.org/officeDocument/2006/relationships" ref="AD47" r:id="rId229"/>
    <hyperlink xmlns:r="http://schemas.openxmlformats.org/officeDocument/2006/relationships" ref="AM47" r:id="rId230"/>
    <hyperlink xmlns:r="http://schemas.openxmlformats.org/officeDocument/2006/relationships" ref="C48" r:id="rId231"/>
    <hyperlink xmlns:r="http://schemas.openxmlformats.org/officeDocument/2006/relationships" ref="D48" r:id="rId232"/>
    <hyperlink xmlns:r="http://schemas.openxmlformats.org/officeDocument/2006/relationships" ref="H48" r:id="rId233"/>
    <hyperlink xmlns:r="http://schemas.openxmlformats.org/officeDocument/2006/relationships" ref="AD48" r:id="rId234"/>
    <hyperlink xmlns:r="http://schemas.openxmlformats.org/officeDocument/2006/relationships" ref="AM48" r:id="rId235"/>
    <hyperlink xmlns:r="http://schemas.openxmlformats.org/officeDocument/2006/relationships" ref="C49" r:id="rId236"/>
    <hyperlink xmlns:r="http://schemas.openxmlformats.org/officeDocument/2006/relationships" ref="D49" r:id="rId237"/>
    <hyperlink xmlns:r="http://schemas.openxmlformats.org/officeDocument/2006/relationships" ref="H49" r:id="rId238"/>
    <hyperlink xmlns:r="http://schemas.openxmlformats.org/officeDocument/2006/relationships" ref="AD49" r:id="rId239"/>
    <hyperlink xmlns:r="http://schemas.openxmlformats.org/officeDocument/2006/relationships" ref="AM49" r:id="rId240"/>
    <hyperlink xmlns:r="http://schemas.openxmlformats.org/officeDocument/2006/relationships" ref="C50" r:id="rId241"/>
    <hyperlink xmlns:r="http://schemas.openxmlformats.org/officeDocument/2006/relationships" ref="D50" r:id="rId242"/>
    <hyperlink xmlns:r="http://schemas.openxmlformats.org/officeDocument/2006/relationships" ref="H50" r:id="rId243"/>
    <hyperlink xmlns:r="http://schemas.openxmlformats.org/officeDocument/2006/relationships" ref="AD50" r:id="rId244"/>
    <hyperlink xmlns:r="http://schemas.openxmlformats.org/officeDocument/2006/relationships" ref="AM50" r:id="rId245"/>
    <hyperlink xmlns:r="http://schemas.openxmlformats.org/officeDocument/2006/relationships" ref="C51" r:id="rId246"/>
    <hyperlink xmlns:r="http://schemas.openxmlformats.org/officeDocument/2006/relationships" ref="D51" r:id="rId247"/>
    <hyperlink xmlns:r="http://schemas.openxmlformats.org/officeDocument/2006/relationships" ref="H51" r:id="rId248"/>
    <hyperlink xmlns:r="http://schemas.openxmlformats.org/officeDocument/2006/relationships" ref="AD51" r:id="rId249"/>
    <hyperlink xmlns:r="http://schemas.openxmlformats.org/officeDocument/2006/relationships" ref="AM51" r:id="rId250"/>
    <hyperlink xmlns:r="http://schemas.openxmlformats.org/officeDocument/2006/relationships" ref="C52" r:id="rId251"/>
    <hyperlink xmlns:r="http://schemas.openxmlformats.org/officeDocument/2006/relationships" ref="D52" r:id="rId252"/>
    <hyperlink xmlns:r="http://schemas.openxmlformats.org/officeDocument/2006/relationships" ref="H52" r:id="rId253"/>
    <hyperlink xmlns:r="http://schemas.openxmlformats.org/officeDocument/2006/relationships" ref="AD52" r:id="rId254"/>
    <hyperlink xmlns:r="http://schemas.openxmlformats.org/officeDocument/2006/relationships" ref="AM52" r:id="rId255"/>
    <hyperlink xmlns:r="http://schemas.openxmlformats.org/officeDocument/2006/relationships" ref="C53" r:id="rId256"/>
    <hyperlink xmlns:r="http://schemas.openxmlformats.org/officeDocument/2006/relationships" ref="D53" r:id="rId257"/>
    <hyperlink xmlns:r="http://schemas.openxmlformats.org/officeDocument/2006/relationships" ref="H53" r:id="rId258"/>
    <hyperlink xmlns:r="http://schemas.openxmlformats.org/officeDocument/2006/relationships" ref="AD53" r:id="rId259"/>
    <hyperlink xmlns:r="http://schemas.openxmlformats.org/officeDocument/2006/relationships" ref="AM53" r:id="rId260"/>
    <hyperlink xmlns:r="http://schemas.openxmlformats.org/officeDocument/2006/relationships" ref="C54" r:id="rId261"/>
    <hyperlink xmlns:r="http://schemas.openxmlformats.org/officeDocument/2006/relationships" ref="D54" r:id="rId262"/>
    <hyperlink xmlns:r="http://schemas.openxmlformats.org/officeDocument/2006/relationships" ref="H54" r:id="rId263"/>
    <hyperlink xmlns:r="http://schemas.openxmlformats.org/officeDocument/2006/relationships" ref="AD54" r:id="rId264"/>
    <hyperlink xmlns:r="http://schemas.openxmlformats.org/officeDocument/2006/relationships" ref="AM54" r:id="rId265"/>
    <hyperlink xmlns:r="http://schemas.openxmlformats.org/officeDocument/2006/relationships" ref="C55" r:id="rId266"/>
    <hyperlink xmlns:r="http://schemas.openxmlformats.org/officeDocument/2006/relationships" ref="D55" r:id="rId267"/>
    <hyperlink xmlns:r="http://schemas.openxmlformats.org/officeDocument/2006/relationships" ref="H55" r:id="rId268"/>
    <hyperlink xmlns:r="http://schemas.openxmlformats.org/officeDocument/2006/relationships" ref="AD55" r:id="rId269"/>
    <hyperlink xmlns:r="http://schemas.openxmlformats.org/officeDocument/2006/relationships" ref="AM55" r:id="rId270"/>
    <hyperlink xmlns:r="http://schemas.openxmlformats.org/officeDocument/2006/relationships" ref="C56" r:id="rId271"/>
    <hyperlink xmlns:r="http://schemas.openxmlformats.org/officeDocument/2006/relationships" ref="D56" r:id="rId272"/>
    <hyperlink xmlns:r="http://schemas.openxmlformats.org/officeDocument/2006/relationships" ref="H56" r:id="rId273"/>
    <hyperlink xmlns:r="http://schemas.openxmlformats.org/officeDocument/2006/relationships" ref="AD56" r:id="rId274"/>
    <hyperlink xmlns:r="http://schemas.openxmlformats.org/officeDocument/2006/relationships" ref="AM56" r:id="rId275"/>
    <hyperlink xmlns:r="http://schemas.openxmlformats.org/officeDocument/2006/relationships" ref="C57" r:id="rId276"/>
    <hyperlink xmlns:r="http://schemas.openxmlformats.org/officeDocument/2006/relationships" ref="D57" r:id="rId277"/>
    <hyperlink xmlns:r="http://schemas.openxmlformats.org/officeDocument/2006/relationships" ref="H57" r:id="rId278"/>
    <hyperlink xmlns:r="http://schemas.openxmlformats.org/officeDocument/2006/relationships" ref="AD57" r:id="rId279"/>
    <hyperlink xmlns:r="http://schemas.openxmlformats.org/officeDocument/2006/relationships" ref="AM57" r:id="rId280"/>
    <hyperlink xmlns:r="http://schemas.openxmlformats.org/officeDocument/2006/relationships" ref="C58" r:id="rId281"/>
    <hyperlink xmlns:r="http://schemas.openxmlformats.org/officeDocument/2006/relationships" ref="D58" r:id="rId282"/>
    <hyperlink xmlns:r="http://schemas.openxmlformats.org/officeDocument/2006/relationships" ref="H58" r:id="rId283"/>
    <hyperlink xmlns:r="http://schemas.openxmlformats.org/officeDocument/2006/relationships" ref="AD58" r:id="rId284"/>
    <hyperlink xmlns:r="http://schemas.openxmlformats.org/officeDocument/2006/relationships" ref="AM58" r:id="rId285"/>
    <hyperlink xmlns:r="http://schemas.openxmlformats.org/officeDocument/2006/relationships" ref="C59" r:id="rId286"/>
    <hyperlink xmlns:r="http://schemas.openxmlformats.org/officeDocument/2006/relationships" ref="D59" r:id="rId287"/>
    <hyperlink xmlns:r="http://schemas.openxmlformats.org/officeDocument/2006/relationships" ref="H59" r:id="rId288"/>
    <hyperlink xmlns:r="http://schemas.openxmlformats.org/officeDocument/2006/relationships" ref="AD59" r:id="rId289"/>
    <hyperlink xmlns:r="http://schemas.openxmlformats.org/officeDocument/2006/relationships" ref="AM59" r:id="rId290"/>
    <hyperlink xmlns:r="http://schemas.openxmlformats.org/officeDocument/2006/relationships" ref="C60" r:id="rId291"/>
    <hyperlink xmlns:r="http://schemas.openxmlformats.org/officeDocument/2006/relationships" ref="D60" r:id="rId292"/>
    <hyperlink xmlns:r="http://schemas.openxmlformats.org/officeDocument/2006/relationships" ref="H60" r:id="rId293"/>
    <hyperlink xmlns:r="http://schemas.openxmlformats.org/officeDocument/2006/relationships" ref="AD60" r:id="rId294"/>
    <hyperlink xmlns:r="http://schemas.openxmlformats.org/officeDocument/2006/relationships" ref="AM60" r:id="rId295"/>
    <hyperlink xmlns:r="http://schemas.openxmlformats.org/officeDocument/2006/relationships" ref="C61" r:id="rId296"/>
    <hyperlink xmlns:r="http://schemas.openxmlformats.org/officeDocument/2006/relationships" ref="D61" r:id="rId297"/>
    <hyperlink xmlns:r="http://schemas.openxmlformats.org/officeDocument/2006/relationships" ref="H61" r:id="rId298"/>
    <hyperlink xmlns:r="http://schemas.openxmlformats.org/officeDocument/2006/relationships" ref="AD61" r:id="rId299"/>
    <hyperlink xmlns:r="http://schemas.openxmlformats.org/officeDocument/2006/relationships" ref="AM61" r:id="rId300"/>
    <hyperlink xmlns:r="http://schemas.openxmlformats.org/officeDocument/2006/relationships" ref="C62" r:id="rId301"/>
    <hyperlink xmlns:r="http://schemas.openxmlformats.org/officeDocument/2006/relationships" ref="D62" r:id="rId302"/>
    <hyperlink xmlns:r="http://schemas.openxmlformats.org/officeDocument/2006/relationships" ref="H62" r:id="rId303"/>
    <hyperlink xmlns:r="http://schemas.openxmlformats.org/officeDocument/2006/relationships" ref="AD62" r:id="rId304"/>
    <hyperlink xmlns:r="http://schemas.openxmlformats.org/officeDocument/2006/relationships" ref="AM62" r:id="rId305"/>
    <hyperlink xmlns:r="http://schemas.openxmlformats.org/officeDocument/2006/relationships" ref="C63" r:id="rId306"/>
    <hyperlink xmlns:r="http://schemas.openxmlformats.org/officeDocument/2006/relationships" ref="D63" r:id="rId307"/>
    <hyperlink xmlns:r="http://schemas.openxmlformats.org/officeDocument/2006/relationships" ref="H63" r:id="rId308"/>
    <hyperlink xmlns:r="http://schemas.openxmlformats.org/officeDocument/2006/relationships" ref="AD63" r:id="rId309"/>
    <hyperlink xmlns:r="http://schemas.openxmlformats.org/officeDocument/2006/relationships" ref="AM63" r:id="rId310"/>
    <hyperlink xmlns:r="http://schemas.openxmlformats.org/officeDocument/2006/relationships" ref="C64" r:id="rId311"/>
    <hyperlink xmlns:r="http://schemas.openxmlformats.org/officeDocument/2006/relationships" ref="D64" r:id="rId312"/>
    <hyperlink xmlns:r="http://schemas.openxmlformats.org/officeDocument/2006/relationships" ref="H64" r:id="rId313"/>
    <hyperlink xmlns:r="http://schemas.openxmlformats.org/officeDocument/2006/relationships" ref="AD64" r:id="rId314"/>
    <hyperlink xmlns:r="http://schemas.openxmlformats.org/officeDocument/2006/relationships" ref="AM64" r:id="rId315"/>
    <hyperlink xmlns:r="http://schemas.openxmlformats.org/officeDocument/2006/relationships" ref="C65" r:id="rId316"/>
    <hyperlink xmlns:r="http://schemas.openxmlformats.org/officeDocument/2006/relationships" ref="D65" r:id="rId317"/>
    <hyperlink xmlns:r="http://schemas.openxmlformats.org/officeDocument/2006/relationships" ref="H65" r:id="rId318"/>
    <hyperlink xmlns:r="http://schemas.openxmlformats.org/officeDocument/2006/relationships" ref="AD65" r:id="rId319"/>
    <hyperlink xmlns:r="http://schemas.openxmlformats.org/officeDocument/2006/relationships" ref="AI65" r:id="rId320"/>
    <hyperlink xmlns:r="http://schemas.openxmlformats.org/officeDocument/2006/relationships" ref="AM65" r:id="rId321"/>
    <hyperlink xmlns:r="http://schemas.openxmlformats.org/officeDocument/2006/relationships" ref="C66" r:id="rId322"/>
    <hyperlink xmlns:r="http://schemas.openxmlformats.org/officeDocument/2006/relationships" ref="D66" r:id="rId323"/>
    <hyperlink xmlns:r="http://schemas.openxmlformats.org/officeDocument/2006/relationships" ref="H66" r:id="rId324"/>
    <hyperlink xmlns:r="http://schemas.openxmlformats.org/officeDocument/2006/relationships" ref="AD66" r:id="rId325"/>
    <hyperlink xmlns:r="http://schemas.openxmlformats.org/officeDocument/2006/relationships" ref="AM66" r:id="rId326"/>
    <hyperlink xmlns:r="http://schemas.openxmlformats.org/officeDocument/2006/relationships" ref="C67" r:id="rId327"/>
    <hyperlink xmlns:r="http://schemas.openxmlformats.org/officeDocument/2006/relationships" ref="D67" r:id="rId328"/>
    <hyperlink xmlns:r="http://schemas.openxmlformats.org/officeDocument/2006/relationships" ref="H67" r:id="rId329"/>
    <hyperlink xmlns:r="http://schemas.openxmlformats.org/officeDocument/2006/relationships" ref="AD67" r:id="rId330"/>
    <hyperlink xmlns:r="http://schemas.openxmlformats.org/officeDocument/2006/relationships" ref="AM67" r:id="rId331"/>
    <hyperlink xmlns:r="http://schemas.openxmlformats.org/officeDocument/2006/relationships" ref="C68" r:id="rId332"/>
    <hyperlink xmlns:r="http://schemas.openxmlformats.org/officeDocument/2006/relationships" ref="D68" r:id="rId333"/>
    <hyperlink xmlns:r="http://schemas.openxmlformats.org/officeDocument/2006/relationships" ref="H68" r:id="rId334"/>
    <hyperlink xmlns:r="http://schemas.openxmlformats.org/officeDocument/2006/relationships" ref="AD68" r:id="rId335"/>
    <hyperlink xmlns:r="http://schemas.openxmlformats.org/officeDocument/2006/relationships" ref="AM68" r:id="rId336"/>
    <hyperlink xmlns:r="http://schemas.openxmlformats.org/officeDocument/2006/relationships" ref="C69" r:id="rId337"/>
    <hyperlink xmlns:r="http://schemas.openxmlformats.org/officeDocument/2006/relationships" ref="D69" r:id="rId338"/>
    <hyperlink xmlns:r="http://schemas.openxmlformats.org/officeDocument/2006/relationships" ref="AM69" r:id="rId339"/>
    <hyperlink xmlns:r="http://schemas.openxmlformats.org/officeDocument/2006/relationships" ref="C70" r:id="rId340"/>
    <hyperlink xmlns:r="http://schemas.openxmlformats.org/officeDocument/2006/relationships" ref="D70" r:id="rId341"/>
    <hyperlink xmlns:r="http://schemas.openxmlformats.org/officeDocument/2006/relationships" ref="H70" r:id="rId342"/>
    <hyperlink xmlns:r="http://schemas.openxmlformats.org/officeDocument/2006/relationships" ref="AD70" r:id="rId343"/>
    <hyperlink xmlns:r="http://schemas.openxmlformats.org/officeDocument/2006/relationships" ref="AM70" r:id="rId344"/>
    <hyperlink xmlns:r="http://schemas.openxmlformats.org/officeDocument/2006/relationships" ref="C71" r:id="rId345"/>
    <hyperlink xmlns:r="http://schemas.openxmlformats.org/officeDocument/2006/relationships" ref="D71" r:id="rId346"/>
    <hyperlink xmlns:r="http://schemas.openxmlformats.org/officeDocument/2006/relationships" ref="H71" r:id="rId347"/>
    <hyperlink xmlns:r="http://schemas.openxmlformats.org/officeDocument/2006/relationships" ref="AD71" r:id="rId348"/>
    <hyperlink xmlns:r="http://schemas.openxmlformats.org/officeDocument/2006/relationships" ref="AM71" r:id="rId349"/>
    <hyperlink xmlns:r="http://schemas.openxmlformats.org/officeDocument/2006/relationships" ref="C72" r:id="rId350"/>
    <hyperlink xmlns:r="http://schemas.openxmlformats.org/officeDocument/2006/relationships" ref="D72" r:id="rId351"/>
    <hyperlink xmlns:r="http://schemas.openxmlformats.org/officeDocument/2006/relationships" ref="H72" r:id="rId352"/>
    <hyperlink xmlns:r="http://schemas.openxmlformats.org/officeDocument/2006/relationships" ref="AD72" r:id="rId353"/>
    <hyperlink xmlns:r="http://schemas.openxmlformats.org/officeDocument/2006/relationships" ref="AM72" r:id="rId354"/>
    <hyperlink xmlns:r="http://schemas.openxmlformats.org/officeDocument/2006/relationships" ref="C73" r:id="rId355"/>
    <hyperlink xmlns:r="http://schemas.openxmlformats.org/officeDocument/2006/relationships" ref="D73" r:id="rId356"/>
    <hyperlink xmlns:r="http://schemas.openxmlformats.org/officeDocument/2006/relationships" ref="H73" r:id="rId357"/>
    <hyperlink xmlns:r="http://schemas.openxmlformats.org/officeDocument/2006/relationships" ref="AD73" r:id="rId358"/>
    <hyperlink xmlns:r="http://schemas.openxmlformats.org/officeDocument/2006/relationships" ref="AM73" r:id="rId359"/>
    <hyperlink xmlns:r="http://schemas.openxmlformats.org/officeDocument/2006/relationships" ref="C74" r:id="rId360"/>
    <hyperlink xmlns:r="http://schemas.openxmlformats.org/officeDocument/2006/relationships" ref="D74" r:id="rId361"/>
    <hyperlink xmlns:r="http://schemas.openxmlformats.org/officeDocument/2006/relationships" ref="H74" r:id="rId362"/>
    <hyperlink xmlns:r="http://schemas.openxmlformats.org/officeDocument/2006/relationships" ref="AD74" r:id="rId363"/>
    <hyperlink xmlns:r="http://schemas.openxmlformats.org/officeDocument/2006/relationships" ref="AM74" r:id="rId364"/>
    <hyperlink xmlns:r="http://schemas.openxmlformats.org/officeDocument/2006/relationships" ref="C75" r:id="rId365"/>
    <hyperlink xmlns:r="http://schemas.openxmlformats.org/officeDocument/2006/relationships" ref="D75" r:id="rId366"/>
    <hyperlink xmlns:r="http://schemas.openxmlformats.org/officeDocument/2006/relationships" ref="H75" r:id="rId367"/>
    <hyperlink xmlns:r="http://schemas.openxmlformats.org/officeDocument/2006/relationships" ref="AD75" r:id="rId368"/>
    <hyperlink xmlns:r="http://schemas.openxmlformats.org/officeDocument/2006/relationships" ref="AM75" r:id="rId369"/>
    <hyperlink xmlns:r="http://schemas.openxmlformats.org/officeDocument/2006/relationships" ref="C76" r:id="rId370"/>
    <hyperlink xmlns:r="http://schemas.openxmlformats.org/officeDocument/2006/relationships" ref="D76" r:id="rId371"/>
    <hyperlink xmlns:r="http://schemas.openxmlformats.org/officeDocument/2006/relationships" ref="H76" r:id="rId372"/>
    <hyperlink xmlns:r="http://schemas.openxmlformats.org/officeDocument/2006/relationships" ref="AD76" r:id="rId373"/>
    <hyperlink xmlns:r="http://schemas.openxmlformats.org/officeDocument/2006/relationships" ref="AM76" r:id="rId374"/>
    <hyperlink xmlns:r="http://schemas.openxmlformats.org/officeDocument/2006/relationships" ref="C77" r:id="rId375"/>
    <hyperlink xmlns:r="http://schemas.openxmlformats.org/officeDocument/2006/relationships" ref="D77" r:id="rId376"/>
    <hyperlink xmlns:r="http://schemas.openxmlformats.org/officeDocument/2006/relationships" ref="H77" r:id="rId377"/>
    <hyperlink xmlns:r="http://schemas.openxmlformats.org/officeDocument/2006/relationships" ref="AD77" r:id="rId378"/>
    <hyperlink xmlns:r="http://schemas.openxmlformats.org/officeDocument/2006/relationships" ref="AM77" r:id="rId379"/>
    <hyperlink xmlns:r="http://schemas.openxmlformats.org/officeDocument/2006/relationships" ref="C78" r:id="rId380"/>
    <hyperlink xmlns:r="http://schemas.openxmlformats.org/officeDocument/2006/relationships" ref="D78" r:id="rId381"/>
    <hyperlink xmlns:r="http://schemas.openxmlformats.org/officeDocument/2006/relationships" ref="H78" r:id="rId382"/>
    <hyperlink xmlns:r="http://schemas.openxmlformats.org/officeDocument/2006/relationships" ref="AD78" r:id="rId383"/>
    <hyperlink xmlns:r="http://schemas.openxmlformats.org/officeDocument/2006/relationships" ref="AM78" r:id="rId384"/>
    <hyperlink xmlns:r="http://schemas.openxmlformats.org/officeDocument/2006/relationships" ref="C79" r:id="rId385"/>
    <hyperlink xmlns:r="http://schemas.openxmlformats.org/officeDocument/2006/relationships" ref="D79" r:id="rId386"/>
    <hyperlink xmlns:r="http://schemas.openxmlformats.org/officeDocument/2006/relationships" ref="H79" r:id="rId387"/>
    <hyperlink xmlns:r="http://schemas.openxmlformats.org/officeDocument/2006/relationships" ref="AD79" r:id="rId388"/>
    <hyperlink xmlns:r="http://schemas.openxmlformats.org/officeDocument/2006/relationships" ref="AI79" r:id="rId389"/>
    <hyperlink xmlns:r="http://schemas.openxmlformats.org/officeDocument/2006/relationships" ref="AM79" r:id="rId390"/>
    <hyperlink xmlns:r="http://schemas.openxmlformats.org/officeDocument/2006/relationships" ref="C80" r:id="rId391"/>
    <hyperlink xmlns:r="http://schemas.openxmlformats.org/officeDocument/2006/relationships" ref="D80" r:id="rId392"/>
    <hyperlink xmlns:r="http://schemas.openxmlformats.org/officeDocument/2006/relationships" ref="H80" r:id="rId393"/>
    <hyperlink xmlns:r="http://schemas.openxmlformats.org/officeDocument/2006/relationships" ref="AD80" r:id="rId394"/>
    <hyperlink xmlns:r="http://schemas.openxmlformats.org/officeDocument/2006/relationships" ref="AM80" r:id="rId395"/>
    <hyperlink xmlns:r="http://schemas.openxmlformats.org/officeDocument/2006/relationships" ref="C81" r:id="rId396"/>
    <hyperlink xmlns:r="http://schemas.openxmlformats.org/officeDocument/2006/relationships" ref="D81" r:id="rId397"/>
    <hyperlink xmlns:r="http://schemas.openxmlformats.org/officeDocument/2006/relationships" ref="H81" r:id="rId398"/>
    <hyperlink xmlns:r="http://schemas.openxmlformats.org/officeDocument/2006/relationships" ref="AD81" r:id="rId399"/>
    <hyperlink xmlns:r="http://schemas.openxmlformats.org/officeDocument/2006/relationships" ref="AM81" r:id="rId400"/>
    <hyperlink xmlns:r="http://schemas.openxmlformats.org/officeDocument/2006/relationships" ref="C82" r:id="rId401"/>
    <hyperlink xmlns:r="http://schemas.openxmlformats.org/officeDocument/2006/relationships" ref="D82" r:id="rId402"/>
    <hyperlink xmlns:r="http://schemas.openxmlformats.org/officeDocument/2006/relationships" ref="H82" r:id="rId403"/>
    <hyperlink xmlns:r="http://schemas.openxmlformats.org/officeDocument/2006/relationships" ref="AD82" r:id="rId404"/>
    <hyperlink xmlns:r="http://schemas.openxmlformats.org/officeDocument/2006/relationships" ref="AM82" r:id="rId405"/>
    <hyperlink xmlns:r="http://schemas.openxmlformats.org/officeDocument/2006/relationships" ref="C83" r:id="rId406"/>
    <hyperlink xmlns:r="http://schemas.openxmlformats.org/officeDocument/2006/relationships" ref="D83" r:id="rId407"/>
    <hyperlink xmlns:r="http://schemas.openxmlformats.org/officeDocument/2006/relationships" ref="H83" r:id="rId408"/>
    <hyperlink xmlns:r="http://schemas.openxmlformats.org/officeDocument/2006/relationships" ref="AD83" r:id="rId409"/>
    <hyperlink xmlns:r="http://schemas.openxmlformats.org/officeDocument/2006/relationships" ref="AM83" r:id="rId410"/>
    <hyperlink xmlns:r="http://schemas.openxmlformats.org/officeDocument/2006/relationships" ref="C84" r:id="rId411"/>
    <hyperlink xmlns:r="http://schemas.openxmlformats.org/officeDocument/2006/relationships" ref="D84" r:id="rId412"/>
    <hyperlink xmlns:r="http://schemas.openxmlformats.org/officeDocument/2006/relationships" ref="H84" r:id="rId413"/>
    <hyperlink xmlns:r="http://schemas.openxmlformats.org/officeDocument/2006/relationships" ref="AD84" r:id="rId414"/>
    <hyperlink xmlns:r="http://schemas.openxmlformats.org/officeDocument/2006/relationships" ref="AI84" r:id="rId415"/>
    <hyperlink xmlns:r="http://schemas.openxmlformats.org/officeDocument/2006/relationships" ref="AM84" r:id="rId416"/>
    <hyperlink xmlns:r="http://schemas.openxmlformats.org/officeDocument/2006/relationships" ref="C85" r:id="rId417"/>
    <hyperlink xmlns:r="http://schemas.openxmlformats.org/officeDocument/2006/relationships" ref="D85" r:id="rId418"/>
    <hyperlink xmlns:r="http://schemas.openxmlformats.org/officeDocument/2006/relationships" ref="H85" r:id="rId419"/>
    <hyperlink xmlns:r="http://schemas.openxmlformats.org/officeDocument/2006/relationships" ref="AD85" r:id="rId420"/>
    <hyperlink xmlns:r="http://schemas.openxmlformats.org/officeDocument/2006/relationships" ref="AM85" r:id="rId421"/>
    <hyperlink xmlns:r="http://schemas.openxmlformats.org/officeDocument/2006/relationships" ref="C86" r:id="rId422"/>
    <hyperlink xmlns:r="http://schemas.openxmlformats.org/officeDocument/2006/relationships" ref="D86" r:id="rId423"/>
    <hyperlink xmlns:r="http://schemas.openxmlformats.org/officeDocument/2006/relationships" ref="H86" r:id="rId424"/>
    <hyperlink xmlns:r="http://schemas.openxmlformats.org/officeDocument/2006/relationships" ref="AD86" r:id="rId425"/>
    <hyperlink xmlns:r="http://schemas.openxmlformats.org/officeDocument/2006/relationships" ref="AM86" r:id="rId426"/>
    <hyperlink xmlns:r="http://schemas.openxmlformats.org/officeDocument/2006/relationships" ref="C87" r:id="rId427"/>
    <hyperlink xmlns:r="http://schemas.openxmlformats.org/officeDocument/2006/relationships" ref="D87" r:id="rId428"/>
    <hyperlink xmlns:r="http://schemas.openxmlformats.org/officeDocument/2006/relationships" ref="H87" r:id="rId429"/>
    <hyperlink xmlns:r="http://schemas.openxmlformats.org/officeDocument/2006/relationships" ref="AD87" r:id="rId430"/>
    <hyperlink xmlns:r="http://schemas.openxmlformats.org/officeDocument/2006/relationships" ref="AM87" r:id="rId431"/>
    <hyperlink xmlns:r="http://schemas.openxmlformats.org/officeDocument/2006/relationships" ref="C88" r:id="rId432"/>
    <hyperlink xmlns:r="http://schemas.openxmlformats.org/officeDocument/2006/relationships" ref="D88" r:id="rId433"/>
    <hyperlink xmlns:r="http://schemas.openxmlformats.org/officeDocument/2006/relationships" ref="H88" r:id="rId434"/>
    <hyperlink xmlns:r="http://schemas.openxmlformats.org/officeDocument/2006/relationships" ref="AD88" r:id="rId435"/>
    <hyperlink xmlns:r="http://schemas.openxmlformats.org/officeDocument/2006/relationships" ref="AM88" r:id="rId436"/>
    <hyperlink xmlns:r="http://schemas.openxmlformats.org/officeDocument/2006/relationships" ref="C89" r:id="rId437"/>
    <hyperlink xmlns:r="http://schemas.openxmlformats.org/officeDocument/2006/relationships" ref="D89" r:id="rId438"/>
    <hyperlink xmlns:r="http://schemas.openxmlformats.org/officeDocument/2006/relationships" ref="H89" r:id="rId439"/>
    <hyperlink xmlns:r="http://schemas.openxmlformats.org/officeDocument/2006/relationships" ref="AD89" r:id="rId440"/>
    <hyperlink xmlns:r="http://schemas.openxmlformats.org/officeDocument/2006/relationships" ref="AM89" r:id="rId441"/>
    <hyperlink xmlns:r="http://schemas.openxmlformats.org/officeDocument/2006/relationships" ref="C90" r:id="rId442"/>
    <hyperlink xmlns:r="http://schemas.openxmlformats.org/officeDocument/2006/relationships" ref="D90" r:id="rId443"/>
    <hyperlink xmlns:r="http://schemas.openxmlformats.org/officeDocument/2006/relationships" ref="H90" r:id="rId444"/>
    <hyperlink xmlns:r="http://schemas.openxmlformats.org/officeDocument/2006/relationships" ref="AD90" r:id="rId445"/>
    <hyperlink xmlns:r="http://schemas.openxmlformats.org/officeDocument/2006/relationships" ref="AM90" r:id="rId446"/>
    <hyperlink xmlns:r="http://schemas.openxmlformats.org/officeDocument/2006/relationships" ref="C91" r:id="rId447"/>
    <hyperlink xmlns:r="http://schemas.openxmlformats.org/officeDocument/2006/relationships" ref="D91" r:id="rId448"/>
    <hyperlink xmlns:r="http://schemas.openxmlformats.org/officeDocument/2006/relationships" ref="H91" r:id="rId449"/>
    <hyperlink xmlns:r="http://schemas.openxmlformats.org/officeDocument/2006/relationships" ref="AD91" r:id="rId450"/>
    <hyperlink xmlns:r="http://schemas.openxmlformats.org/officeDocument/2006/relationships" ref="AM91" r:id="rId451"/>
    <hyperlink xmlns:r="http://schemas.openxmlformats.org/officeDocument/2006/relationships" ref="C92" r:id="rId452"/>
    <hyperlink xmlns:r="http://schemas.openxmlformats.org/officeDocument/2006/relationships" ref="D92" r:id="rId453"/>
    <hyperlink xmlns:r="http://schemas.openxmlformats.org/officeDocument/2006/relationships" ref="H92" r:id="rId454"/>
    <hyperlink xmlns:r="http://schemas.openxmlformats.org/officeDocument/2006/relationships" ref="AD92" r:id="rId455"/>
    <hyperlink xmlns:r="http://schemas.openxmlformats.org/officeDocument/2006/relationships" ref="AM92" r:id="rId456"/>
    <hyperlink xmlns:r="http://schemas.openxmlformats.org/officeDocument/2006/relationships" ref="C93" r:id="rId457"/>
    <hyperlink xmlns:r="http://schemas.openxmlformats.org/officeDocument/2006/relationships" ref="D93" r:id="rId458"/>
    <hyperlink xmlns:r="http://schemas.openxmlformats.org/officeDocument/2006/relationships" ref="H93" r:id="rId459"/>
    <hyperlink xmlns:r="http://schemas.openxmlformats.org/officeDocument/2006/relationships" ref="AD93" r:id="rId460"/>
    <hyperlink xmlns:r="http://schemas.openxmlformats.org/officeDocument/2006/relationships" ref="AM93" r:id="rId461"/>
    <hyperlink xmlns:r="http://schemas.openxmlformats.org/officeDocument/2006/relationships" ref="C94" r:id="rId462"/>
    <hyperlink xmlns:r="http://schemas.openxmlformats.org/officeDocument/2006/relationships" ref="D94" r:id="rId463"/>
    <hyperlink xmlns:r="http://schemas.openxmlformats.org/officeDocument/2006/relationships" ref="H94" r:id="rId464"/>
    <hyperlink xmlns:r="http://schemas.openxmlformats.org/officeDocument/2006/relationships" ref="AD94" r:id="rId465"/>
    <hyperlink xmlns:r="http://schemas.openxmlformats.org/officeDocument/2006/relationships" ref="AM94" r:id="rId466"/>
    <hyperlink xmlns:r="http://schemas.openxmlformats.org/officeDocument/2006/relationships" ref="C95" r:id="rId467"/>
    <hyperlink xmlns:r="http://schemas.openxmlformats.org/officeDocument/2006/relationships" ref="D95" r:id="rId468"/>
    <hyperlink xmlns:r="http://schemas.openxmlformats.org/officeDocument/2006/relationships" ref="H95" r:id="rId469"/>
    <hyperlink xmlns:r="http://schemas.openxmlformats.org/officeDocument/2006/relationships" ref="AD95" r:id="rId470"/>
    <hyperlink xmlns:r="http://schemas.openxmlformats.org/officeDocument/2006/relationships" ref="AM95" r:id="rId471"/>
    <hyperlink xmlns:r="http://schemas.openxmlformats.org/officeDocument/2006/relationships" ref="C96" r:id="rId472"/>
    <hyperlink xmlns:r="http://schemas.openxmlformats.org/officeDocument/2006/relationships" ref="D96" r:id="rId473"/>
    <hyperlink xmlns:r="http://schemas.openxmlformats.org/officeDocument/2006/relationships" ref="H96" r:id="rId474"/>
    <hyperlink xmlns:r="http://schemas.openxmlformats.org/officeDocument/2006/relationships" ref="AD96" r:id="rId475"/>
    <hyperlink xmlns:r="http://schemas.openxmlformats.org/officeDocument/2006/relationships" ref="AM96" r:id="rId476"/>
    <hyperlink xmlns:r="http://schemas.openxmlformats.org/officeDocument/2006/relationships" ref="C97" r:id="rId477"/>
    <hyperlink xmlns:r="http://schemas.openxmlformats.org/officeDocument/2006/relationships" ref="D97" r:id="rId478"/>
    <hyperlink xmlns:r="http://schemas.openxmlformats.org/officeDocument/2006/relationships" ref="H97" r:id="rId479"/>
    <hyperlink xmlns:r="http://schemas.openxmlformats.org/officeDocument/2006/relationships" ref="AD97" r:id="rId480"/>
    <hyperlink xmlns:r="http://schemas.openxmlformats.org/officeDocument/2006/relationships" ref="AM97" r:id="rId481"/>
    <hyperlink xmlns:r="http://schemas.openxmlformats.org/officeDocument/2006/relationships" ref="C98" r:id="rId482"/>
    <hyperlink xmlns:r="http://schemas.openxmlformats.org/officeDocument/2006/relationships" ref="D98" r:id="rId483"/>
    <hyperlink xmlns:r="http://schemas.openxmlformats.org/officeDocument/2006/relationships" ref="H98" r:id="rId484"/>
    <hyperlink xmlns:r="http://schemas.openxmlformats.org/officeDocument/2006/relationships" ref="AD98" r:id="rId485"/>
    <hyperlink xmlns:r="http://schemas.openxmlformats.org/officeDocument/2006/relationships" ref="AM98" r:id="rId486"/>
    <hyperlink xmlns:r="http://schemas.openxmlformats.org/officeDocument/2006/relationships" ref="C99" r:id="rId487"/>
    <hyperlink xmlns:r="http://schemas.openxmlformats.org/officeDocument/2006/relationships" ref="D99" r:id="rId488"/>
    <hyperlink xmlns:r="http://schemas.openxmlformats.org/officeDocument/2006/relationships" ref="H99" r:id="rId489"/>
    <hyperlink xmlns:r="http://schemas.openxmlformats.org/officeDocument/2006/relationships" ref="AD99" r:id="rId490"/>
    <hyperlink xmlns:r="http://schemas.openxmlformats.org/officeDocument/2006/relationships" ref="AM99" r:id="rId491"/>
    <hyperlink xmlns:r="http://schemas.openxmlformats.org/officeDocument/2006/relationships" ref="C100" r:id="rId492"/>
    <hyperlink xmlns:r="http://schemas.openxmlformats.org/officeDocument/2006/relationships" ref="D100" r:id="rId493"/>
    <hyperlink xmlns:r="http://schemas.openxmlformats.org/officeDocument/2006/relationships" ref="H100" r:id="rId494"/>
    <hyperlink xmlns:r="http://schemas.openxmlformats.org/officeDocument/2006/relationships" ref="AD100" r:id="rId495"/>
    <hyperlink xmlns:r="http://schemas.openxmlformats.org/officeDocument/2006/relationships" ref="AM100" r:id="rId496"/>
    <hyperlink xmlns:r="http://schemas.openxmlformats.org/officeDocument/2006/relationships" ref="C101" r:id="rId497"/>
    <hyperlink xmlns:r="http://schemas.openxmlformats.org/officeDocument/2006/relationships" ref="D101" r:id="rId498"/>
    <hyperlink xmlns:r="http://schemas.openxmlformats.org/officeDocument/2006/relationships" ref="H101" r:id="rId499"/>
    <hyperlink xmlns:r="http://schemas.openxmlformats.org/officeDocument/2006/relationships" ref="AD101" r:id="rId500"/>
    <hyperlink xmlns:r="http://schemas.openxmlformats.org/officeDocument/2006/relationships" ref="AM101" r:id="rId501"/>
    <hyperlink xmlns:r="http://schemas.openxmlformats.org/officeDocument/2006/relationships" ref="C102" r:id="rId502"/>
    <hyperlink xmlns:r="http://schemas.openxmlformats.org/officeDocument/2006/relationships" ref="D102" r:id="rId503"/>
    <hyperlink xmlns:r="http://schemas.openxmlformats.org/officeDocument/2006/relationships" ref="H102" r:id="rId504"/>
    <hyperlink xmlns:r="http://schemas.openxmlformats.org/officeDocument/2006/relationships" ref="AD102" r:id="rId505"/>
    <hyperlink xmlns:r="http://schemas.openxmlformats.org/officeDocument/2006/relationships" ref="AM102" r:id="rId506"/>
    <hyperlink xmlns:r="http://schemas.openxmlformats.org/officeDocument/2006/relationships" ref="C103" r:id="rId507"/>
    <hyperlink xmlns:r="http://schemas.openxmlformats.org/officeDocument/2006/relationships" ref="D103" r:id="rId508"/>
    <hyperlink xmlns:r="http://schemas.openxmlformats.org/officeDocument/2006/relationships" ref="H103" r:id="rId509"/>
    <hyperlink xmlns:r="http://schemas.openxmlformats.org/officeDocument/2006/relationships" ref="AD103" r:id="rId510"/>
    <hyperlink xmlns:r="http://schemas.openxmlformats.org/officeDocument/2006/relationships" ref="AM103" r:id="rId511"/>
    <hyperlink xmlns:r="http://schemas.openxmlformats.org/officeDocument/2006/relationships" ref="C104" r:id="rId512"/>
    <hyperlink xmlns:r="http://schemas.openxmlformats.org/officeDocument/2006/relationships" ref="D104" r:id="rId513"/>
    <hyperlink xmlns:r="http://schemas.openxmlformats.org/officeDocument/2006/relationships" ref="H104" r:id="rId514"/>
    <hyperlink xmlns:r="http://schemas.openxmlformats.org/officeDocument/2006/relationships" ref="AD104" r:id="rId515"/>
    <hyperlink xmlns:r="http://schemas.openxmlformats.org/officeDocument/2006/relationships" ref="AM104" r:id="rId516"/>
    <hyperlink xmlns:r="http://schemas.openxmlformats.org/officeDocument/2006/relationships" ref="C105" r:id="rId517"/>
    <hyperlink xmlns:r="http://schemas.openxmlformats.org/officeDocument/2006/relationships" ref="D105" r:id="rId518"/>
    <hyperlink xmlns:r="http://schemas.openxmlformats.org/officeDocument/2006/relationships" ref="H105" r:id="rId519"/>
    <hyperlink xmlns:r="http://schemas.openxmlformats.org/officeDocument/2006/relationships" ref="AD105" r:id="rId520"/>
    <hyperlink xmlns:r="http://schemas.openxmlformats.org/officeDocument/2006/relationships" ref="AM105" r:id="rId521"/>
    <hyperlink xmlns:r="http://schemas.openxmlformats.org/officeDocument/2006/relationships" ref="C106" r:id="rId522"/>
    <hyperlink xmlns:r="http://schemas.openxmlformats.org/officeDocument/2006/relationships" ref="D106" r:id="rId523"/>
    <hyperlink xmlns:r="http://schemas.openxmlformats.org/officeDocument/2006/relationships" ref="H106" r:id="rId524"/>
    <hyperlink xmlns:r="http://schemas.openxmlformats.org/officeDocument/2006/relationships" ref="AD106" r:id="rId525"/>
    <hyperlink xmlns:r="http://schemas.openxmlformats.org/officeDocument/2006/relationships" ref="AM106" r:id="rId526"/>
    <hyperlink xmlns:r="http://schemas.openxmlformats.org/officeDocument/2006/relationships" ref="C107" r:id="rId527"/>
    <hyperlink xmlns:r="http://schemas.openxmlformats.org/officeDocument/2006/relationships" ref="D107" r:id="rId528"/>
    <hyperlink xmlns:r="http://schemas.openxmlformats.org/officeDocument/2006/relationships" ref="H107" r:id="rId529"/>
    <hyperlink xmlns:r="http://schemas.openxmlformats.org/officeDocument/2006/relationships" ref="AD107" r:id="rId530"/>
    <hyperlink xmlns:r="http://schemas.openxmlformats.org/officeDocument/2006/relationships" ref="AM107" r:id="rId531"/>
    <hyperlink xmlns:r="http://schemas.openxmlformats.org/officeDocument/2006/relationships" ref="C108" r:id="rId532"/>
    <hyperlink xmlns:r="http://schemas.openxmlformats.org/officeDocument/2006/relationships" ref="D108" r:id="rId533"/>
    <hyperlink xmlns:r="http://schemas.openxmlformats.org/officeDocument/2006/relationships" ref="H108" r:id="rId534"/>
    <hyperlink xmlns:r="http://schemas.openxmlformats.org/officeDocument/2006/relationships" ref="AD108" r:id="rId535"/>
    <hyperlink xmlns:r="http://schemas.openxmlformats.org/officeDocument/2006/relationships" ref="AM108" r:id="rId536"/>
    <hyperlink xmlns:r="http://schemas.openxmlformats.org/officeDocument/2006/relationships" ref="C109" r:id="rId537"/>
    <hyperlink xmlns:r="http://schemas.openxmlformats.org/officeDocument/2006/relationships" ref="D109" r:id="rId538"/>
    <hyperlink xmlns:r="http://schemas.openxmlformats.org/officeDocument/2006/relationships" ref="H109" r:id="rId539"/>
    <hyperlink xmlns:r="http://schemas.openxmlformats.org/officeDocument/2006/relationships" ref="AD109" r:id="rId540"/>
    <hyperlink xmlns:r="http://schemas.openxmlformats.org/officeDocument/2006/relationships" ref="AM109" r:id="rId541"/>
    <hyperlink xmlns:r="http://schemas.openxmlformats.org/officeDocument/2006/relationships" ref="C110" r:id="rId542"/>
    <hyperlink xmlns:r="http://schemas.openxmlformats.org/officeDocument/2006/relationships" ref="D110" r:id="rId543"/>
    <hyperlink xmlns:r="http://schemas.openxmlformats.org/officeDocument/2006/relationships" ref="H110" r:id="rId544"/>
    <hyperlink xmlns:r="http://schemas.openxmlformats.org/officeDocument/2006/relationships" ref="AD110" r:id="rId545"/>
    <hyperlink xmlns:r="http://schemas.openxmlformats.org/officeDocument/2006/relationships" ref="AM110" r:id="rId546"/>
    <hyperlink xmlns:r="http://schemas.openxmlformats.org/officeDocument/2006/relationships" ref="C111" r:id="rId547"/>
    <hyperlink xmlns:r="http://schemas.openxmlformats.org/officeDocument/2006/relationships" ref="D111" r:id="rId548"/>
    <hyperlink xmlns:r="http://schemas.openxmlformats.org/officeDocument/2006/relationships" ref="H111" r:id="rId549"/>
    <hyperlink xmlns:r="http://schemas.openxmlformats.org/officeDocument/2006/relationships" ref="AD111" r:id="rId550"/>
    <hyperlink xmlns:r="http://schemas.openxmlformats.org/officeDocument/2006/relationships" ref="AM111" r:id="rId551"/>
    <hyperlink xmlns:r="http://schemas.openxmlformats.org/officeDocument/2006/relationships" ref="C112" r:id="rId552"/>
    <hyperlink xmlns:r="http://schemas.openxmlformats.org/officeDocument/2006/relationships" ref="D112" r:id="rId553"/>
    <hyperlink xmlns:r="http://schemas.openxmlformats.org/officeDocument/2006/relationships" ref="H112" r:id="rId554"/>
    <hyperlink xmlns:r="http://schemas.openxmlformats.org/officeDocument/2006/relationships" ref="AD112" r:id="rId555"/>
    <hyperlink xmlns:r="http://schemas.openxmlformats.org/officeDocument/2006/relationships" ref="AM112" r:id="rId556"/>
    <hyperlink xmlns:r="http://schemas.openxmlformats.org/officeDocument/2006/relationships" ref="C113" r:id="rId557"/>
    <hyperlink xmlns:r="http://schemas.openxmlformats.org/officeDocument/2006/relationships" ref="D113" r:id="rId558"/>
    <hyperlink xmlns:r="http://schemas.openxmlformats.org/officeDocument/2006/relationships" ref="H113" r:id="rId559"/>
    <hyperlink xmlns:r="http://schemas.openxmlformats.org/officeDocument/2006/relationships" ref="AD113" r:id="rId560"/>
    <hyperlink xmlns:r="http://schemas.openxmlformats.org/officeDocument/2006/relationships" ref="AM113" r:id="rId561"/>
    <hyperlink xmlns:r="http://schemas.openxmlformats.org/officeDocument/2006/relationships" ref="C114" r:id="rId562"/>
    <hyperlink xmlns:r="http://schemas.openxmlformats.org/officeDocument/2006/relationships" ref="D114" r:id="rId563"/>
    <hyperlink xmlns:r="http://schemas.openxmlformats.org/officeDocument/2006/relationships" ref="H114" r:id="rId564"/>
    <hyperlink xmlns:r="http://schemas.openxmlformats.org/officeDocument/2006/relationships" ref="AD114" r:id="rId565"/>
    <hyperlink xmlns:r="http://schemas.openxmlformats.org/officeDocument/2006/relationships" ref="AM114" r:id="rId566"/>
    <hyperlink xmlns:r="http://schemas.openxmlformats.org/officeDocument/2006/relationships" ref="C115" r:id="rId567"/>
    <hyperlink xmlns:r="http://schemas.openxmlformats.org/officeDocument/2006/relationships" ref="D115" r:id="rId568"/>
    <hyperlink xmlns:r="http://schemas.openxmlformats.org/officeDocument/2006/relationships" ref="H115" r:id="rId569"/>
    <hyperlink xmlns:r="http://schemas.openxmlformats.org/officeDocument/2006/relationships" ref="AD115" r:id="rId570"/>
    <hyperlink xmlns:r="http://schemas.openxmlformats.org/officeDocument/2006/relationships" ref="AM115" r:id="rId571"/>
    <hyperlink xmlns:r="http://schemas.openxmlformats.org/officeDocument/2006/relationships" ref="C116" r:id="rId572"/>
    <hyperlink xmlns:r="http://schemas.openxmlformats.org/officeDocument/2006/relationships" ref="D116" r:id="rId573"/>
    <hyperlink xmlns:r="http://schemas.openxmlformats.org/officeDocument/2006/relationships" ref="H116" r:id="rId574"/>
    <hyperlink xmlns:r="http://schemas.openxmlformats.org/officeDocument/2006/relationships" ref="AD116" r:id="rId575"/>
    <hyperlink xmlns:r="http://schemas.openxmlformats.org/officeDocument/2006/relationships" ref="AM116" r:id="rId576"/>
    <hyperlink xmlns:r="http://schemas.openxmlformats.org/officeDocument/2006/relationships" ref="C117" r:id="rId577"/>
    <hyperlink xmlns:r="http://schemas.openxmlformats.org/officeDocument/2006/relationships" ref="D117" r:id="rId578"/>
    <hyperlink xmlns:r="http://schemas.openxmlformats.org/officeDocument/2006/relationships" ref="H117" r:id="rId579"/>
    <hyperlink xmlns:r="http://schemas.openxmlformats.org/officeDocument/2006/relationships" ref="AD117" r:id="rId580"/>
    <hyperlink xmlns:r="http://schemas.openxmlformats.org/officeDocument/2006/relationships" ref="AM117" r:id="rId581"/>
    <hyperlink xmlns:r="http://schemas.openxmlformats.org/officeDocument/2006/relationships" ref="C118" r:id="rId582"/>
    <hyperlink xmlns:r="http://schemas.openxmlformats.org/officeDocument/2006/relationships" ref="D118" r:id="rId583"/>
    <hyperlink xmlns:r="http://schemas.openxmlformats.org/officeDocument/2006/relationships" ref="H118" r:id="rId584"/>
    <hyperlink xmlns:r="http://schemas.openxmlformats.org/officeDocument/2006/relationships" ref="AD118" r:id="rId585"/>
    <hyperlink xmlns:r="http://schemas.openxmlformats.org/officeDocument/2006/relationships" ref="AM118" r:id="rId586"/>
    <hyperlink xmlns:r="http://schemas.openxmlformats.org/officeDocument/2006/relationships" ref="C119" r:id="rId587"/>
    <hyperlink xmlns:r="http://schemas.openxmlformats.org/officeDocument/2006/relationships" ref="D119" r:id="rId588"/>
    <hyperlink xmlns:r="http://schemas.openxmlformats.org/officeDocument/2006/relationships" ref="H119" r:id="rId589"/>
    <hyperlink xmlns:r="http://schemas.openxmlformats.org/officeDocument/2006/relationships" ref="AD119" r:id="rId590"/>
    <hyperlink xmlns:r="http://schemas.openxmlformats.org/officeDocument/2006/relationships" ref="AM119" r:id="rId591"/>
    <hyperlink xmlns:r="http://schemas.openxmlformats.org/officeDocument/2006/relationships" ref="C120" r:id="rId592"/>
    <hyperlink xmlns:r="http://schemas.openxmlformats.org/officeDocument/2006/relationships" ref="D120" r:id="rId593"/>
    <hyperlink xmlns:r="http://schemas.openxmlformats.org/officeDocument/2006/relationships" ref="H120" r:id="rId594"/>
    <hyperlink xmlns:r="http://schemas.openxmlformats.org/officeDocument/2006/relationships" ref="AD120" r:id="rId595"/>
    <hyperlink xmlns:r="http://schemas.openxmlformats.org/officeDocument/2006/relationships" ref="AM120" r:id="rId596"/>
    <hyperlink xmlns:r="http://schemas.openxmlformats.org/officeDocument/2006/relationships" ref="C121" r:id="rId597"/>
    <hyperlink xmlns:r="http://schemas.openxmlformats.org/officeDocument/2006/relationships" ref="D121" r:id="rId598"/>
    <hyperlink xmlns:r="http://schemas.openxmlformats.org/officeDocument/2006/relationships" ref="H121" r:id="rId599"/>
    <hyperlink xmlns:r="http://schemas.openxmlformats.org/officeDocument/2006/relationships" ref="AD121" r:id="rId600"/>
    <hyperlink xmlns:r="http://schemas.openxmlformats.org/officeDocument/2006/relationships" ref="AM121" r:id="rId601"/>
    <hyperlink xmlns:r="http://schemas.openxmlformats.org/officeDocument/2006/relationships" ref="C122" r:id="rId602"/>
    <hyperlink xmlns:r="http://schemas.openxmlformats.org/officeDocument/2006/relationships" ref="D122" r:id="rId603"/>
    <hyperlink xmlns:r="http://schemas.openxmlformats.org/officeDocument/2006/relationships" ref="H122" r:id="rId604"/>
    <hyperlink xmlns:r="http://schemas.openxmlformats.org/officeDocument/2006/relationships" ref="AD122" r:id="rId605"/>
    <hyperlink xmlns:r="http://schemas.openxmlformats.org/officeDocument/2006/relationships" ref="AM122" r:id="rId606"/>
    <hyperlink xmlns:r="http://schemas.openxmlformats.org/officeDocument/2006/relationships" ref="C123" r:id="rId607"/>
    <hyperlink xmlns:r="http://schemas.openxmlformats.org/officeDocument/2006/relationships" ref="D123" r:id="rId608"/>
    <hyperlink xmlns:r="http://schemas.openxmlformats.org/officeDocument/2006/relationships" ref="H123" r:id="rId609"/>
    <hyperlink xmlns:r="http://schemas.openxmlformats.org/officeDocument/2006/relationships" ref="AD123" r:id="rId610"/>
    <hyperlink xmlns:r="http://schemas.openxmlformats.org/officeDocument/2006/relationships" ref="AM123" r:id="rId611"/>
    <hyperlink xmlns:r="http://schemas.openxmlformats.org/officeDocument/2006/relationships" ref="C124" r:id="rId612"/>
    <hyperlink xmlns:r="http://schemas.openxmlformats.org/officeDocument/2006/relationships" ref="D124" r:id="rId613"/>
    <hyperlink xmlns:r="http://schemas.openxmlformats.org/officeDocument/2006/relationships" ref="H124" r:id="rId614"/>
    <hyperlink xmlns:r="http://schemas.openxmlformats.org/officeDocument/2006/relationships" ref="AD124" r:id="rId615"/>
    <hyperlink xmlns:r="http://schemas.openxmlformats.org/officeDocument/2006/relationships" ref="AM124" r:id="rId616"/>
    <hyperlink xmlns:r="http://schemas.openxmlformats.org/officeDocument/2006/relationships" ref="C125" r:id="rId617"/>
    <hyperlink xmlns:r="http://schemas.openxmlformats.org/officeDocument/2006/relationships" ref="D125" r:id="rId618"/>
    <hyperlink xmlns:r="http://schemas.openxmlformats.org/officeDocument/2006/relationships" ref="AM125" r:id="rId619"/>
    <hyperlink xmlns:r="http://schemas.openxmlformats.org/officeDocument/2006/relationships" ref="C126" r:id="rId620"/>
    <hyperlink xmlns:r="http://schemas.openxmlformats.org/officeDocument/2006/relationships" ref="D126" r:id="rId621"/>
    <hyperlink xmlns:r="http://schemas.openxmlformats.org/officeDocument/2006/relationships" ref="H126" r:id="rId622"/>
    <hyperlink xmlns:r="http://schemas.openxmlformats.org/officeDocument/2006/relationships" ref="AD126" r:id="rId623"/>
    <hyperlink xmlns:r="http://schemas.openxmlformats.org/officeDocument/2006/relationships" ref="AM126" r:id="rId624"/>
    <hyperlink xmlns:r="http://schemas.openxmlformats.org/officeDocument/2006/relationships" ref="C127" r:id="rId625"/>
    <hyperlink xmlns:r="http://schemas.openxmlformats.org/officeDocument/2006/relationships" ref="D127" r:id="rId626"/>
    <hyperlink xmlns:r="http://schemas.openxmlformats.org/officeDocument/2006/relationships" ref="AM127" r:id="rId627"/>
    <hyperlink xmlns:r="http://schemas.openxmlformats.org/officeDocument/2006/relationships" ref="C128" r:id="rId628"/>
    <hyperlink xmlns:r="http://schemas.openxmlformats.org/officeDocument/2006/relationships" ref="D128" r:id="rId629"/>
    <hyperlink xmlns:r="http://schemas.openxmlformats.org/officeDocument/2006/relationships" ref="H128" r:id="rId630"/>
    <hyperlink xmlns:r="http://schemas.openxmlformats.org/officeDocument/2006/relationships" ref="AD128" r:id="rId631"/>
    <hyperlink xmlns:r="http://schemas.openxmlformats.org/officeDocument/2006/relationships" ref="AM128" r:id="rId632"/>
    <hyperlink xmlns:r="http://schemas.openxmlformats.org/officeDocument/2006/relationships" ref="C129" r:id="rId633"/>
    <hyperlink xmlns:r="http://schemas.openxmlformats.org/officeDocument/2006/relationships" ref="D129" r:id="rId634"/>
    <hyperlink xmlns:r="http://schemas.openxmlformats.org/officeDocument/2006/relationships" ref="H129" r:id="rId635"/>
    <hyperlink xmlns:r="http://schemas.openxmlformats.org/officeDocument/2006/relationships" ref="AD129" r:id="rId636"/>
    <hyperlink xmlns:r="http://schemas.openxmlformats.org/officeDocument/2006/relationships" ref="AM129" r:id="rId637"/>
    <hyperlink xmlns:r="http://schemas.openxmlformats.org/officeDocument/2006/relationships" ref="C130" r:id="rId638"/>
    <hyperlink xmlns:r="http://schemas.openxmlformats.org/officeDocument/2006/relationships" ref="D130" r:id="rId639"/>
    <hyperlink xmlns:r="http://schemas.openxmlformats.org/officeDocument/2006/relationships" ref="H130" r:id="rId640"/>
    <hyperlink xmlns:r="http://schemas.openxmlformats.org/officeDocument/2006/relationships" ref="AD130" r:id="rId641"/>
    <hyperlink xmlns:r="http://schemas.openxmlformats.org/officeDocument/2006/relationships" ref="AM130" r:id="rId642"/>
    <hyperlink xmlns:r="http://schemas.openxmlformats.org/officeDocument/2006/relationships" ref="C131" r:id="rId643"/>
    <hyperlink xmlns:r="http://schemas.openxmlformats.org/officeDocument/2006/relationships" ref="D131" r:id="rId644"/>
    <hyperlink xmlns:r="http://schemas.openxmlformats.org/officeDocument/2006/relationships" ref="H131" r:id="rId645"/>
    <hyperlink xmlns:r="http://schemas.openxmlformats.org/officeDocument/2006/relationships" ref="AD131" r:id="rId646"/>
    <hyperlink xmlns:r="http://schemas.openxmlformats.org/officeDocument/2006/relationships" ref="AM131" r:id="rId647"/>
    <hyperlink xmlns:r="http://schemas.openxmlformats.org/officeDocument/2006/relationships" ref="C132" r:id="rId648"/>
    <hyperlink xmlns:r="http://schemas.openxmlformats.org/officeDocument/2006/relationships" ref="D132" r:id="rId649"/>
    <hyperlink xmlns:r="http://schemas.openxmlformats.org/officeDocument/2006/relationships" ref="H132" r:id="rId650"/>
    <hyperlink xmlns:r="http://schemas.openxmlformats.org/officeDocument/2006/relationships" ref="AD132" r:id="rId651"/>
    <hyperlink xmlns:r="http://schemas.openxmlformats.org/officeDocument/2006/relationships" ref="AM132" r:id="rId652"/>
    <hyperlink xmlns:r="http://schemas.openxmlformats.org/officeDocument/2006/relationships" ref="C133" r:id="rId653"/>
    <hyperlink xmlns:r="http://schemas.openxmlformats.org/officeDocument/2006/relationships" ref="D133" r:id="rId654"/>
    <hyperlink xmlns:r="http://schemas.openxmlformats.org/officeDocument/2006/relationships" ref="H133" r:id="rId655"/>
    <hyperlink xmlns:r="http://schemas.openxmlformats.org/officeDocument/2006/relationships" ref="AD133" r:id="rId656"/>
    <hyperlink xmlns:r="http://schemas.openxmlformats.org/officeDocument/2006/relationships" ref="AM133" r:id="rId657"/>
    <hyperlink xmlns:r="http://schemas.openxmlformats.org/officeDocument/2006/relationships" ref="C134" r:id="rId658"/>
    <hyperlink xmlns:r="http://schemas.openxmlformats.org/officeDocument/2006/relationships" ref="D134" r:id="rId659"/>
    <hyperlink xmlns:r="http://schemas.openxmlformats.org/officeDocument/2006/relationships" ref="H134" r:id="rId660"/>
    <hyperlink xmlns:r="http://schemas.openxmlformats.org/officeDocument/2006/relationships" ref="AD134" r:id="rId661"/>
    <hyperlink xmlns:r="http://schemas.openxmlformats.org/officeDocument/2006/relationships" ref="AM134" r:id="rId662"/>
    <hyperlink xmlns:r="http://schemas.openxmlformats.org/officeDocument/2006/relationships" ref="C135" r:id="rId663"/>
    <hyperlink xmlns:r="http://schemas.openxmlformats.org/officeDocument/2006/relationships" ref="D135" r:id="rId664"/>
    <hyperlink xmlns:r="http://schemas.openxmlformats.org/officeDocument/2006/relationships" ref="H135" r:id="rId665"/>
    <hyperlink xmlns:r="http://schemas.openxmlformats.org/officeDocument/2006/relationships" ref="AD135" r:id="rId666"/>
    <hyperlink xmlns:r="http://schemas.openxmlformats.org/officeDocument/2006/relationships" ref="AM135" r:id="rId667"/>
    <hyperlink xmlns:r="http://schemas.openxmlformats.org/officeDocument/2006/relationships" ref="C136" r:id="rId668"/>
    <hyperlink xmlns:r="http://schemas.openxmlformats.org/officeDocument/2006/relationships" ref="D136" r:id="rId669"/>
    <hyperlink xmlns:r="http://schemas.openxmlformats.org/officeDocument/2006/relationships" ref="H136" r:id="rId670"/>
    <hyperlink xmlns:r="http://schemas.openxmlformats.org/officeDocument/2006/relationships" ref="AD136" r:id="rId671"/>
    <hyperlink xmlns:r="http://schemas.openxmlformats.org/officeDocument/2006/relationships" ref="AM136" r:id="rId672"/>
    <hyperlink xmlns:r="http://schemas.openxmlformats.org/officeDocument/2006/relationships" ref="C137" r:id="rId673"/>
    <hyperlink xmlns:r="http://schemas.openxmlformats.org/officeDocument/2006/relationships" ref="D137" r:id="rId674"/>
    <hyperlink xmlns:r="http://schemas.openxmlformats.org/officeDocument/2006/relationships" ref="H137" r:id="rId675"/>
    <hyperlink xmlns:r="http://schemas.openxmlformats.org/officeDocument/2006/relationships" ref="AD137" r:id="rId676"/>
    <hyperlink xmlns:r="http://schemas.openxmlformats.org/officeDocument/2006/relationships" ref="AM137" r:id="rId677"/>
    <hyperlink xmlns:r="http://schemas.openxmlformats.org/officeDocument/2006/relationships" ref="C138" r:id="rId678"/>
    <hyperlink xmlns:r="http://schemas.openxmlformats.org/officeDocument/2006/relationships" ref="D138" r:id="rId679"/>
    <hyperlink xmlns:r="http://schemas.openxmlformats.org/officeDocument/2006/relationships" ref="H138" r:id="rId680"/>
    <hyperlink xmlns:r="http://schemas.openxmlformats.org/officeDocument/2006/relationships" ref="AD138" r:id="rId681"/>
    <hyperlink xmlns:r="http://schemas.openxmlformats.org/officeDocument/2006/relationships" ref="AM138" r:id="rId682"/>
    <hyperlink xmlns:r="http://schemas.openxmlformats.org/officeDocument/2006/relationships" ref="C139" r:id="rId683"/>
    <hyperlink xmlns:r="http://schemas.openxmlformats.org/officeDocument/2006/relationships" ref="D139" r:id="rId684"/>
    <hyperlink xmlns:r="http://schemas.openxmlformats.org/officeDocument/2006/relationships" ref="H139" r:id="rId685"/>
    <hyperlink xmlns:r="http://schemas.openxmlformats.org/officeDocument/2006/relationships" ref="AD139" r:id="rId686"/>
    <hyperlink xmlns:r="http://schemas.openxmlformats.org/officeDocument/2006/relationships" ref="AM139" r:id="rId68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2026-09-18T17:45:40Z</dcterms:created>
  <dcterms:modified xmlns:dcterms="http://purl.org/dc/terms/" xmlns:xsi="http://www.w3.org/2001/XMLSchema-instance" xsi:type="dcterms:W3CDTF">2026-09-18T17:45:41Z</dcterms:modified>
</cp:coreProperties>
</file>