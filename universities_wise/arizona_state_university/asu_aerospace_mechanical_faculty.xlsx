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eld Matched Faculty (A-Z)" sheetId="1" state="visible" r:id="rId1"/>
    <sheet xmlns:r="http://schemas.openxmlformats.org/officeDocument/2006/relationships" name="All Active Faculty (A-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563C1"/>
      <sz val="11"/>
      <u val="single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aditi@asu.edu" TargetMode="External" Id="rId1"/><Relationship Type="http://schemas.openxmlformats.org/officeDocument/2006/relationships/hyperlink" Target="https://search.asu.edu/profile/chattopa" TargetMode="External" Id="rId2"/><Relationship Type="http://schemas.openxmlformats.org/officeDocument/2006/relationships/hyperlink" Target="https://scholar.google.com/citations?view_op=search_authors&amp;mauthors=Aditi%20Chattopadhyay%20Arizona%20State%20University" TargetMode="External" Id="rId3"/><Relationship Type="http://schemas.openxmlformats.org/officeDocument/2006/relationships/hyperlink" Target="mailto:Alberto.Scotti@asu.edu" TargetMode="External" Id="rId4"/><Relationship Type="http://schemas.openxmlformats.org/officeDocument/2006/relationships/hyperlink" Target="https://search.asu.edu/profile/adscotti" TargetMode="External" Id="rId5"/><Relationship Type="http://schemas.openxmlformats.org/officeDocument/2006/relationships/hyperlink" Target="https://scholar.google.com/citations?view_op=search_authors&amp;mauthors=Alberto%20Scotti%20Arizona%20State%20University" TargetMode="External" Id="rId6"/><Relationship Type="http://schemas.openxmlformats.org/officeDocument/2006/relationships/hyperlink" Target="mailto:kwon@asu.edu" TargetMode="External" Id="rId7"/><Relationship Type="http://schemas.openxmlformats.org/officeDocument/2006/relationships/hyperlink" Target="https://search.asu.edu/profile/bkwon2" TargetMode="External" Id="rId8"/><Relationship Type="http://schemas.openxmlformats.org/officeDocument/2006/relationships/hyperlink" Target="https://scholar.google.com/citations?view_op=search_authors&amp;mauthors=Beomjin%20Kwon%20Arizona%20State%20University" TargetMode="External" Id="rId9"/><Relationship Type="http://schemas.openxmlformats.org/officeDocument/2006/relationships/hyperlink" Target="mailto:Gokul.Pathikonda@asu.edu" TargetMode="External" Id="rId10"/><Relationship Type="http://schemas.openxmlformats.org/officeDocument/2006/relationships/hyperlink" Target="https://search.asu.edu/profile/gpathiko" TargetMode="External" Id="rId11"/><Relationship Type="http://schemas.openxmlformats.org/officeDocument/2006/relationships/hyperlink" Target="https://scholar.google.com/citations?view_op=search_authors&amp;mauthors=Gokul%20Pathikonda%20Arizona%20State%20University" TargetMode="External" Id="rId12"/><Relationship Type="http://schemas.openxmlformats.org/officeDocument/2006/relationships/hyperlink" Target="mailto:zhuanghl@asu.edu" TargetMode="External" Id="rId13"/><Relationship Type="http://schemas.openxmlformats.org/officeDocument/2006/relationships/hyperlink" Target="https://search.asu.edu/profile/hzhuang7" TargetMode="External" Id="rId14"/><Relationship Type="http://schemas.openxmlformats.org/officeDocument/2006/relationships/hyperlink" Target="https://scholar.google.com/citations?view_op=search_authors&amp;mauthors=Houlong%20Zhuang%20Arizona%20State%20University" TargetMode="External" Id="rId15"/><Relationship Type="http://schemas.openxmlformats.org/officeDocument/2006/relationships/hyperlink" Target="mailto:huanwu@asu.edu" TargetMode="External" Id="rId16"/><Relationship Type="http://schemas.openxmlformats.org/officeDocument/2006/relationships/hyperlink" Target="https://search.asu.edu/profile/huanwu" TargetMode="External" Id="rId17"/><Relationship Type="http://schemas.openxmlformats.org/officeDocument/2006/relationships/hyperlink" Target="https://scholar.google.com/citations?view_op=search_authors&amp;mauthors=Huan%20Wu%20Arizona%20State%20University" TargetMode="External" Id="rId18"/><Relationship Type="http://schemas.openxmlformats.org/officeDocument/2006/relationships/hyperlink" Target="mailto:Huei-Ping.Huang@asu.edu" TargetMode="External" Id="rId19"/><Relationship Type="http://schemas.openxmlformats.org/officeDocument/2006/relationships/hyperlink" Target="https://search.asu.edu/profile/hhuang38" TargetMode="External" Id="rId20"/><Relationship Type="http://schemas.openxmlformats.org/officeDocument/2006/relationships/hyperlink" Target="https://scholar.google.com/citations?view_op=search_authors&amp;mauthors=Huei-Ping%20Huang%20Arizona%20State%20University" TargetMode="External" Id="rId21"/><Relationship Type="http://schemas.openxmlformats.org/officeDocument/2006/relationships/hyperlink" Target="mailto:Jagannathan.Rajagopalan@asu.edu" TargetMode="External" Id="rId22"/><Relationship Type="http://schemas.openxmlformats.org/officeDocument/2006/relationships/hyperlink" Target="https://search.asu.edu/profile/jrajago1" TargetMode="External" Id="rId23"/><Relationship Type="http://schemas.openxmlformats.org/officeDocument/2006/relationships/hyperlink" Target="https://scholar.google.com/citations?view_op=search_authors&amp;mauthors=Jagannathan%20Rajagopalan%20Arizona%20State%20University" TargetMode="External" Id="rId24"/><Relationship Type="http://schemas.openxmlformats.org/officeDocument/2006/relationships/hyperlink" Target="mailto:joswald1@asu.edu" TargetMode="External" Id="rId25"/><Relationship Type="http://schemas.openxmlformats.org/officeDocument/2006/relationships/hyperlink" Target="https://search.asu.edu/profile/joswald1" TargetMode="External" Id="rId26"/><Relationship Type="http://schemas.openxmlformats.org/officeDocument/2006/relationships/hyperlink" Target="https://scholar.google.com/citations?view_op=search_authors&amp;mauthors=Jay%20Oswald%20Arizona%20State%20University" TargetMode="External" Id="rId27"/><Relationship Type="http://schemas.openxmlformats.org/officeDocument/2006/relationships/hyperlink" Target="mailto:jeokim@asu.edu" TargetMode="External" Id="rId28"/><Relationship Type="http://schemas.openxmlformats.org/officeDocument/2006/relationships/hyperlink" Target="https://search.asu.edu/profile/jkim520" TargetMode="External" Id="rId29"/><Relationship Type="http://schemas.openxmlformats.org/officeDocument/2006/relationships/hyperlink" Target="https://scholar.google.com/citations?view_op=search_authors&amp;mauthors=Jeonglae%20Kim%20Arizona%20State%20University" TargetMode="External" Id="rId30"/><Relationship Type="http://schemas.openxmlformats.org/officeDocument/2006/relationships/hyperlink" Target="mailto:k.p.chen@asu.edu" TargetMode="External" Id="rId31"/><Relationship Type="http://schemas.openxmlformats.org/officeDocument/2006/relationships/hyperlink" Target="https://search.asu.edu/profile/asuchen" TargetMode="External" Id="rId32"/><Relationship Type="http://schemas.openxmlformats.org/officeDocument/2006/relationships/hyperlink" Target="https://scholar.google.com/citations?view_op=search_authors&amp;mauthors=Kangping%20Chen%20Arizona%20State%20University" TargetMode="External" Id="rId33"/><Relationship Type="http://schemas.openxmlformats.org/officeDocument/2006/relationships/hyperlink" Target="mailto:Kiran.Ramesh@asu.edu" TargetMode="External" Id="rId34"/><Relationship Type="http://schemas.openxmlformats.org/officeDocument/2006/relationships/hyperlink" Target="https://search.asu.edu/profile/kramesh2" TargetMode="External" Id="rId35"/><Relationship Type="http://schemas.openxmlformats.org/officeDocument/2006/relationships/hyperlink" Target="https://scholar.google.com/citations?view_op=search_authors&amp;mauthors=Kiran%20Ramesh%20Arizona%20State%20University" TargetMode="External" Id="rId36"/><Relationship Type="http://schemas.openxmlformats.org/officeDocument/2006/relationships/hyperlink" Target="mailto:kgarg24@asu.edu" TargetMode="External" Id="rId37"/><Relationship Type="http://schemas.openxmlformats.org/officeDocument/2006/relationships/hyperlink" Target="https://search.asu.edu/profile/kgarg24" TargetMode="External" Id="rId38"/><Relationship Type="http://schemas.openxmlformats.org/officeDocument/2006/relationships/hyperlink" Target="https://scholar.google.com/citations?view_op=search_authors&amp;mauthors=Kunal%20Garg%20Arizona%20State%20University" TargetMode="External" Id="rId39"/><Relationship Type="http://schemas.openxmlformats.org/officeDocument/2006/relationships/hyperlink" Target="mailto:Leixin.Ma@asu.edu" TargetMode="External" Id="rId40"/><Relationship Type="http://schemas.openxmlformats.org/officeDocument/2006/relationships/hyperlink" Target="https://search.asu.edu/profile/leixinma" TargetMode="External" Id="rId41"/><Relationship Type="http://schemas.openxmlformats.org/officeDocument/2006/relationships/hyperlink" Target="https://scholar.google.com/citations?view_op=search_authors&amp;mauthors=Leixin%20Ma%20Arizona%20State%20University" TargetMode="External" Id="rId42"/><Relationship Type="http://schemas.openxmlformats.org/officeDocument/2006/relationships/hyperlink" Target="mailto:Liping.Wang@asu.edu" TargetMode="External" Id="rId43"/><Relationship Type="http://schemas.openxmlformats.org/officeDocument/2006/relationships/hyperlink" Target="https://search.asu.edu/profile/lwang78" TargetMode="External" Id="rId44"/><Relationship Type="http://schemas.openxmlformats.org/officeDocument/2006/relationships/hyperlink" Target="https://scholar.google.com/citations?view_op=search_authors&amp;mauthors=Liping%20Wang%20Arizona%20State%20University" TargetMode="External" Id="rId45"/><Relationship Type="http://schemas.openxmlformats.org/officeDocument/2006/relationships/hyperlink" Target="mailto:Marcus.Herrmann@asu.edu" TargetMode="External" Id="rId46"/><Relationship Type="http://schemas.openxmlformats.org/officeDocument/2006/relationships/hyperlink" Target="https://search.asu.edu/profile/mherrma1" TargetMode="External" Id="rId47"/><Relationship Type="http://schemas.openxmlformats.org/officeDocument/2006/relationships/hyperlink" Target="https://scholar.google.com/citations?view_op=search_authors&amp;mauthors=Marcus%20Herrmann%20Arizona%20State%20University" TargetMode="External" Id="rId48"/><Relationship Type="http://schemas.openxmlformats.org/officeDocument/2006/relationships/hyperlink" Target="mailto:mpeet@asu.edu" TargetMode="External" Id="rId49"/><Relationship Type="http://schemas.openxmlformats.org/officeDocument/2006/relationships/hyperlink" Target="https://search.asu.edu/profile/mpeet" TargetMode="External" Id="rId50"/><Relationship Type="http://schemas.openxmlformats.org/officeDocument/2006/relationships/hyperlink" Target="https://scholar.google.com/citations?view_op=search_authors&amp;mauthors=Matthew%20Peet%20Arizona%20State%20University" TargetMode="External" Id="rId51"/><Relationship Type="http://schemas.openxmlformats.org/officeDocument/2006/relationships/hyperlink" Target="mailto:minglei.qu@asu.edu" TargetMode="External" Id="rId52"/><Relationship Type="http://schemas.openxmlformats.org/officeDocument/2006/relationships/hyperlink" Target="https://search.asu.edu/profile/mingleiq" TargetMode="External" Id="rId53"/><Relationship Type="http://schemas.openxmlformats.org/officeDocument/2006/relationships/hyperlink" Target="https://scholar.google.com/citations?view_op=search_authors&amp;mauthors=Minglei%20Qu%20Arizona%20State%20University" TargetMode="External" Id="rId54"/><Relationship Type="http://schemas.openxmlformats.org/officeDocument/2006/relationships/hyperlink" Target="mailto:houssem.kasbaoui@asu.edu" TargetMode="External" Id="rId55"/><Relationship Type="http://schemas.openxmlformats.org/officeDocument/2006/relationships/hyperlink" Target="https://search.asu.edu/profile/mkasbaou" TargetMode="External" Id="rId56"/><Relationship Type="http://schemas.openxmlformats.org/officeDocument/2006/relationships/hyperlink" Target="https://scholar.google.com/citations?view_op=search_authors&amp;mauthors=Mohamed%20Houssem%20Kasbaoui%20Arizona%20State%20University" TargetMode="External" Id="rId57"/><Relationship Type="http://schemas.openxmlformats.org/officeDocument/2006/relationships/hyperlink" Target="mailto:rnmurthy@asu.edu" TargetMode="External" Id="rId58"/><Relationship Type="http://schemas.openxmlformats.org/officeDocument/2006/relationships/hyperlink" Target="https://search.asu.edu/profile/rnmurthy" TargetMode="External" Id="rId59"/><Relationship Type="http://schemas.openxmlformats.org/officeDocument/2006/relationships/hyperlink" Target="https://scholar.google.com/citations?view_op=search_authors&amp;mauthors=Raghavendra%20Murthy%20Arizona%20State%20University" TargetMode="External" Id="rId60"/><Relationship Type="http://schemas.openxmlformats.org/officeDocument/2006/relationships/hyperlink" Target="mailto:rywang@asu.edu" TargetMode="External" Id="rId61"/><Relationship Type="http://schemas.openxmlformats.org/officeDocument/2006/relationships/hyperlink" Target="https://search.asu.edu/profile/rywang" TargetMode="External" Id="rId62"/><Relationship Type="http://schemas.openxmlformats.org/officeDocument/2006/relationships/hyperlink" Target="https://scholar.google.com/citations?view_op=search_authors&amp;mauthors=Robert%20Wang%20Arizona%20State%20University" TargetMode="External" Id="rId63"/><Relationship Type="http://schemas.openxmlformats.org/officeDocument/2006/relationships/hyperlink" Target="mailto:Ronald.Calhoun@asu.edu" TargetMode="External" Id="rId64"/><Relationship Type="http://schemas.openxmlformats.org/officeDocument/2006/relationships/hyperlink" Target="https://search.asu.edu/profile/rcalhou" TargetMode="External" Id="rId65"/><Relationship Type="http://schemas.openxmlformats.org/officeDocument/2006/relationships/hyperlink" Target="https://scholar.google.com/citations?view_op=search_authors&amp;mauthors=Ronald%20Calhoun%20Arizona%20State%20University" TargetMode="External" Id="rId66"/><Relationship Type="http://schemas.openxmlformats.org/officeDocument/2006/relationships/hyperlink" Target="mailto:Ryan.Milcarek@asu.edu" TargetMode="External" Id="rId67"/><Relationship Type="http://schemas.openxmlformats.org/officeDocument/2006/relationships/hyperlink" Target="https://search.asu.edu/profile/rjmilcar" TargetMode="External" Id="rId68"/><Relationship Type="http://schemas.openxmlformats.org/officeDocument/2006/relationships/hyperlink" Target="https://scholar.google.com/citations?view_op=search_authors&amp;mauthors=Ryan%20Milcarek%20Arizona%20State%20University" TargetMode="External" Id="rId69"/><Relationship Type="http://schemas.openxmlformats.org/officeDocument/2006/relationships/hyperlink" Target="mailto:Spring.Berman@asu.edu" TargetMode="External" Id="rId70"/><Relationship Type="http://schemas.openxmlformats.org/officeDocument/2006/relationships/hyperlink" Target="https://search.asu.edu/profile/smberma2" TargetMode="External" Id="rId71"/><Relationship Type="http://schemas.openxmlformats.org/officeDocument/2006/relationships/hyperlink" Target="https://scholar.google.com/citations?view_op=search_authors&amp;mauthors=Spring%20Berman%20Arizona%20State%20University" TargetMode="External" Id="rId72"/><Relationship Type="http://schemas.openxmlformats.org/officeDocument/2006/relationships/hyperlink" Target="mailto:ATTWL@asu.edu" TargetMode="External" Id="rId73"/><Relationship Type="http://schemas.openxmlformats.org/officeDocument/2006/relationships/hyperlink" Target="https://search.asu.edu/profile/attwl" TargetMode="External" Id="rId74"/><Relationship Type="http://schemas.openxmlformats.org/officeDocument/2006/relationships/hyperlink" Target="https://scholar.google.com/citations?view_op=search_authors&amp;mauthors=T.-W.%20Lee%20Arizona%20State%20University" TargetMode="External" Id="rId75"/><Relationship Type="http://schemas.openxmlformats.org/officeDocument/2006/relationships/hyperlink" Target="mailto:Tianyu.Yang@asu.edu" TargetMode="External" Id="rId76"/><Relationship Type="http://schemas.openxmlformats.org/officeDocument/2006/relationships/hyperlink" Target="https://search.asu.edu/profile/tyang123" TargetMode="External" Id="rId77"/><Relationship Type="http://schemas.openxmlformats.org/officeDocument/2006/relationships/hyperlink" Target="https://scholar.google.com/citations?view_op=search_authors&amp;mauthors=Tianyu%20Yang%20Arizona%20State%20University" TargetMode="External" Id="rId78"/><Relationship Type="http://schemas.openxmlformats.org/officeDocument/2006/relationships/hyperlink" Target="mailto:Werner.Dahm@asu.edu" TargetMode="External" Id="rId79"/><Relationship Type="http://schemas.openxmlformats.org/officeDocument/2006/relationships/hyperlink" Target="https://search.asu.edu/profile/wdahm" TargetMode="External" Id="rId80"/><Relationship Type="http://schemas.openxmlformats.org/officeDocument/2006/relationships/hyperlink" Target="https://scholar.google.com/citations?view_op=search_authors&amp;mauthors=Werner%20Dahm%20Arizona%20State%20University" TargetMode="External" Id="rId81"/><Relationship Type="http://schemas.openxmlformats.org/officeDocument/2006/relationships/hyperlink" Target="mailto:yiren@asu.edu" TargetMode="External" Id="rId82"/><Relationship Type="http://schemas.openxmlformats.org/officeDocument/2006/relationships/hyperlink" Target="https://search.asu.edu/profile/yren32" TargetMode="External" Id="rId83"/><Relationship Type="http://schemas.openxmlformats.org/officeDocument/2006/relationships/hyperlink" Target="https://scholar.google.com/citations?view_op=search_authors&amp;mauthors=Yi%20Ren%20Arizona%20State%20University" TargetMode="External" Id="rId84"/><Relationship Type="http://schemas.openxmlformats.org/officeDocument/2006/relationships/hyperlink" Target="mailto:Yongming.Liu@asu.edu" TargetMode="External" Id="rId85"/><Relationship Type="http://schemas.openxmlformats.org/officeDocument/2006/relationships/hyperlink" Target="https://search.asu.edu/profile/yliu35" TargetMode="External" Id="rId86"/><Relationship Type="http://schemas.openxmlformats.org/officeDocument/2006/relationships/hyperlink" Target="https://scholar.google.com/citations?view_op=search_authors&amp;mauthors=Yongming%20Liu%20Arizona%20State%20University" TargetMode="External" Id="rId87"/><Relationship Type="http://schemas.openxmlformats.org/officeDocument/2006/relationships/hyperlink" Target="mailto:ypeet@asu.edu" TargetMode="External" Id="rId88"/><Relationship Type="http://schemas.openxmlformats.org/officeDocument/2006/relationships/hyperlink" Target="https://search.asu.edu/profile/ypeet" TargetMode="External" Id="rId89"/><Relationship Type="http://schemas.openxmlformats.org/officeDocument/2006/relationships/hyperlink" Target="https://scholar.google.com/citations?view_op=search_authors&amp;mauthors=Yulia%20Peet%20Arizona%20State%20University" TargetMode="External" Id="rId90"/></Relationships>
</file>

<file path=xl/worksheets/_rels/sheet2.xml.rels><Relationships xmlns="http://schemas.openxmlformats.org/package/2006/relationships"><Relationship Type="http://schemas.openxmlformats.org/officeDocument/2006/relationships/hyperlink" Target="mailto:aditi@asu.edu" TargetMode="External" Id="rId1"/><Relationship Type="http://schemas.openxmlformats.org/officeDocument/2006/relationships/hyperlink" Target="https://search.asu.edu/profile/chattopa" TargetMode="External" Id="rId2"/><Relationship Type="http://schemas.openxmlformats.org/officeDocument/2006/relationships/hyperlink" Target="https://scholar.google.com/citations?view_op=search_authors&amp;mauthors=Aditi%20Chattopadhyay%20Arizona%20State%20University" TargetMode="External" Id="rId3"/><Relationship Type="http://schemas.openxmlformats.org/officeDocument/2006/relationships/hyperlink" Target="mailto:astefan9@asu.edu" TargetMode="External" Id="rId4"/><Relationship Type="http://schemas.openxmlformats.org/officeDocument/2006/relationships/hyperlink" Target="https://search.asu.edu/profile/astefan9" TargetMode="External" Id="rId5"/><Relationship Type="http://schemas.openxmlformats.org/officeDocument/2006/relationships/hyperlink" Target="https://scholar.google.com/citations?view_op=search_authors&amp;mauthors=Aikaterini%20Stefanaki%20Arizona%20State%20University" TargetMode="External" Id="rId6"/><Relationship Type="http://schemas.openxmlformats.org/officeDocument/2006/relationships/hyperlink" Target="mailto:Alberto.Scotti@asu.edu" TargetMode="External" Id="rId7"/><Relationship Type="http://schemas.openxmlformats.org/officeDocument/2006/relationships/hyperlink" Target="https://search.asu.edu/profile/adscotti" TargetMode="External" Id="rId8"/><Relationship Type="http://schemas.openxmlformats.org/officeDocument/2006/relationships/hyperlink" Target="https://scholar.google.com/citations?view_op=search_authors&amp;mauthors=Alberto%20Scotti%20Arizona%20State%20University" TargetMode="External" Id="rId9"/><Relationship Type="http://schemas.openxmlformats.org/officeDocument/2006/relationships/hyperlink" Target="mailto:kwon@asu.edu" TargetMode="External" Id="rId10"/><Relationship Type="http://schemas.openxmlformats.org/officeDocument/2006/relationships/hyperlink" Target="https://search.asu.edu/profile/bkwon2" TargetMode="External" Id="rId11"/><Relationship Type="http://schemas.openxmlformats.org/officeDocument/2006/relationships/hyperlink" Target="https://scholar.google.com/citations?view_op=search_authors&amp;mauthors=Beomjin%20Kwon%20Arizona%20State%20University" TargetMode="External" Id="rId12"/><Relationship Type="http://schemas.openxmlformats.org/officeDocument/2006/relationships/hyperlink" Target="mailto:xiangjia.li@asu.edu" TargetMode="External" Id="rId13"/><Relationship Type="http://schemas.openxmlformats.org/officeDocument/2006/relationships/hyperlink" Target="https://search.asu.edu/profile/xiangji5" TargetMode="External" Id="rId14"/><Relationship Type="http://schemas.openxmlformats.org/officeDocument/2006/relationships/hyperlink" Target="https://scholar.google.com/citations?view_op=search_authors&amp;mauthors=Cindy%20%28Xiangjia%29%20Li%20Arizona%20State%20University" TargetMode="External" Id="rId15"/><Relationship Type="http://schemas.openxmlformats.org/officeDocument/2006/relationships/hyperlink" Target="mailto:Derrick.Speaks@asu.edu" TargetMode="External" Id="rId16"/><Relationship Type="http://schemas.openxmlformats.org/officeDocument/2006/relationships/hyperlink" Target="https://search.asu.edu/profile/dspeaks2" TargetMode="External" Id="rId17"/><Relationship Type="http://schemas.openxmlformats.org/officeDocument/2006/relationships/hyperlink" Target="https://scholar.google.com/citations?view_op=search_authors&amp;mauthors=Derrick%20Speaks%20Arizona%20State%20University" TargetMode="External" Id="rId18"/><Relationship Type="http://schemas.openxmlformats.org/officeDocument/2006/relationships/hyperlink" Target="mailto:Erik.J.Andersen@asu.edu" TargetMode="External" Id="rId19"/><Relationship Type="http://schemas.openxmlformats.org/officeDocument/2006/relationships/hyperlink" Target="https://search.asu.edu/profile/ejande22" TargetMode="External" Id="rId20"/><Relationship Type="http://schemas.openxmlformats.org/officeDocument/2006/relationships/hyperlink" Target="https://scholar.google.com/citations?view_op=search_authors&amp;mauthors=Erik%20Andersen%20Arizona%20State%20University" TargetMode="External" Id="rId21"/><Relationship Type="http://schemas.openxmlformats.org/officeDocument/2006/relationships/hyperlink" Target="mailto:Gokul.Pathikonda@asu.edu" TargetMode="External" Id="rId22"/><Relationship Type="http://schemas.openxmlformats.org/officeDocument/2006/relationships/hyperlink" Target="https://search.asu.edu/profile/gpathiko" TargetMode="External" Id="rId23"/><Relationship Type="http://schemas.openxmlformats.org/officeDocument/2006/relationships/hyperlink" Target="https://scholar.google.com/citations?view_op=search_authors&amp;mauthors=Gokul%20Pathikonda%20Arizona%20State%20University" TargetMode="External" Id="rId24"/><Relationship Type="http://schemas.openxmlformats.org/officeDocument/2006/relationships/hyperlink" Target="mailto:hmarvi@asu.edu" TargetMode="External" Id="rId25"/><Relationship Type="http://schemas.openxmlformats.org/officeDocument/2006/relationships/hyperlink" Target="https://search.asu.edu/profile/hmarvi" TargetMode="External" Id="rId26"/><Relationship Type="http://schemas.openxmlformats.org/officeDocument/2006/relationships/hyperlink" Target="https://scholar.google.com/citations?view_op=search_authors&amp;mauthors=Hamidreza%20Marvi%20Arizona%20State%20University" TargetMode="External" Id="rId27"/><Relationship Type="http://schemas.openxmlformats.org/officeDocument/2006/relationships/hyperlink" Target="mailto:zhuanghl@asu.edu" TargetMode="External" Id="rId28"/><Relationship Type="http://schemas.openxmlformats.org/officeDocument/2006/relationships/hyperlink" Target="https://search.asu.edu/profile/hzhuang7" TargetMode="External" Id="rId29"/><Relationship Type="http://schemas.openxmlformats.org/officeDocument/2006/relationships/hyperlink" Target="https://scholar.google.com/citations?view_op=search_authors&amp;mauthors=Houlong%20Zhuang%20Arizona%20State%20University" TargetMode="External" Id="rId30"/><Relationship Type="http://schemas.openxmlformats.org/officeDocument/2006/relationships/hyperlink" Target="mailto:huanwu@asu.edu" TargetMode="External" Id="rId31"/><Relationship Type="http://schemas.openxmlformats.org/officeDocument/2006/relationships/hyperlink" Target="https://search.asu.edu/profile/huanwu" TargetMode="External" Id="rId32"/><Relationship Type="http://schemas.openxmlformats.org/officeDocument/2006/relationships/hyperlink" Target="https://scholar.google.com/citations?view_op=search_authors&amp;mauthors=Huan%20Wu%20Arizona%20State%20University" TargetMode="External" Id="rId33"/><Relationship Type="http://schemas.openxmlformats.org/officeDocument/2006/relationships/hyperlink" Target="mailto:Huei-Ping.Huang@asu.edu" TargetMode="External" Id="rId34"/><Relationship Type="http://schemas.openxmlformats.org/officeDocument/2006/relationships/hyperlink" Target="https://search.asu.edu/profile/hhuang38" TargetMode="External" Id="rId35"/><Relationship Type="http://schemas.openxmlformats.org/officeDocument/2006/relationships/hyperlink" Target="https://scholar.google.com/citations?view_op=search_authors&amp;mauthors=Huei-Ping%20Huang%20Arizona%20State%20University" TargetMode="External" Id="rId36"/><Relationship Type="http://schemas.openxmlformats.org/officeDocument/2006/relationships/hyperlink" Target="mailto:Hyunglae.Lee@asu.edu" TargetMode="External" Id="rId37"/><Relationship Type="http://schemas.openxmlformats.org/officeDocument/2006/relationships/hyperlink" Target="https://search.asu.edu/profile/hlee234" TargetMode="External" Id="rId38"/><Relationship Type="http://schemas.openxmlformats.org/officeDocument/2006/relationships/hyperlink" Target="https://scholar.google.com/citations?view_op=search_authors&amp;mauthors=Hyunglae%20Lee%20Arizona%20State%20University" TargetMode="External" Id="rId39"/><Relationship Type="http://schemas.openxmlformats.org/officeDocument/2006/relationships/hyperlink" Target="mailto:Ivy.Chang@asu.edu" TargetMode="External" Id="rId40"/><Relationship Type="http://schemas.openxmlformats.org/officeDocument/2006/relationships/hyperlink" Target="https://search.asu.edu/profile/iychang" TargetMode="External" Id="rId41"/><Relationship Type="http://schemas.openxmlformats.org/officeDocument/2006/relationships/hyperlink" Target="https://scholar.google.com/citations?view_op=search_authors&amp;mauthors=Ivy%20Chang%20Arizona%20State%20University" TargetMode="External" Id="rId42"/><Relationship Type="http://schemas.openxmlformats.org/officeDocument/2006/relationships/hyperlink" Target="mailto:Jagannathan.Rajagopalan@asu.edu" TargetMode="External" Id="rId43"/><Relationship Type="http://schemas.openxmlformats.org/officeDocument/2006/relationships/hyperlink" Target="https://search.asu.edu/profile/jrajago1" TargetMode="External" Id="rId44"/><Relationship Type="http://schemas.openxmlformats.org/officeDocument/2006/relationships/hyperlink" Target="https://scholar.google.com/citations?view_op=search_authors&amp;mauthors=Jagannathan%20Rajagopalan%20Arizona%20State%20University" TargetMode="External" Id="rId45"/><Relationship Type="http://schemas.openxmlformats.org/officeDocument/2006/relationships/hyperlink" Target="mailto:jimbo@asu.edu" TargetMode="External" Id="rId46"/><Relationship Type="http://schemas.openxmlformats.org/officeDocument/2006/relationships/hyperlink" Target="https://search.asu.edu/profile/jimbo" TargetMode="External" Id="rId47"/><Relationship Type="http://schemas.openxmlformats.org/officeDocument/2006/relationships/hyperlink" Target="https://scholar.google.com/citations?view_op=search_authors&amp;mauthors=James%20Middleton%20Arizona%20State%20University" TargetMode="External" Id="rId48"/><Relationship Type="http://schemas.openxmlformats.org/officeDocument/2006/relationships/hyperlink" Target="mailto:joswald1@asu.edu" TargetMode="External" Id="rId49"/><Relationship Type="http://schemas.openxmlformats.org/officeDocument/2006/relationships/hyperlink" Target="https://search.asu.edu/profile/joswald1" TargetMode="External" Id="rId50"/><Relationship Type="http://schemas.openxmlformats.org/officeDocument/2006/relationships/hyperlink" Target="https://scholar.google.com/citations?view_op=search_authors&amp;mauthors=Jay%20Oswald%20Arizona%20State%20University" TargetMode="External" Id="rId51"/><Relationship Type="http://schemas.openxmlformats.org/officeDocument/2006/relationships/hyperlink" Target="mailto:jeokim@asu.edu" TargetMode="External" Id="rId52"/><Relationship Type="http://schemas.openxmlformats.org/officeDocument/2006/relationships/hyperlink" Target="https://search.asu.edu/profile/jkim520" TargetMode="External" Id="rId53"/><Relationship Type="http://schemas.openxmlformats.org/officeDocument/2006/relationships/hyperlink" Target="https://scholar.google.com/citations?view_op=search_authors&amp;mauthors=Jeonglae%20Kim%20Arizona%20State%20University" TargetMode="External" Id="rId54"/><Relationship Type="http://schemas.openxmlformats.org/officeDocument/2006/relationships/hyperlink" Target="mailto:Jiefeng.Sun@asu.edu" TargetMode="External" Id="rId55"/><Relationship Type="http://schemas.openxmlformats.org/officeDocument/2006/relationships/hyperlink" Target="https://search.asu.edu/profile/jsun165" TargetMode="External" Id="rId56"/><Relationship Type="http://schemas.openxmlformats.org/officeDocument/2006/relationships/hyperlink" Target="https://scholar.google.com/citations?view_op=search_authors&amp;mauthors=Jiefeng%20Sun%20Arizona%20State%20University" TargetMode="External" Id="rId57"/><Relationship Type="http://schemas.openxmlformats.org/officeDocument/2006/relationships/hyperlink" Target="mailto:Joshua.Wilbur@asu.edu" TargetMode="External" Id="rId58"/><Relationship Type="http://schemas.openxmlformats.org/officeDocument/2006/relationships/hyperlink" Target="https://search.asu.edu/profile/jdwilbu1" TargetMode="External" Id="rId59"/><Relationship Type="http://schemas.openxmlformats.org/officeDocument/2006/relationships/hyperlink" Target="https://scholar.google.com/citations?view_op=search_authors&amp;mauthors=Joshua%20Wilbur%20Arizona%20State%20University" TargetMode="External" Id="rId60"/><Relationship Type="http://schemas.openxmlformats.org/officeDocument/2006/relationships/hyperlink" Target="mailto:k.p.chen@asu.edu" TargetMode="External" Id="rId61"/><Relationship Type="http://schemas.openxmlformats.org/officeDocument/2006/relationships/hyperlink" Target="https://search.asu.edu/profile/asuchen" TargetMode="External" Id="rId62"/><Relationship Type="http://schemas.openxmlformats.org/officeDocument/2006/relationships/hyperlink" Target="https://scholar.google.com/citations?view_op=search_authors&amp;mauthors=Kangping%20Chen%20Arizona%20State%20University" TargetMode="External" Id="rId63"/><Relationship Type="http://schemas.openxmlformats.org/officeDocument/2006/relationships/hyperlink" Target="mailto:Kiran.Ramesh@asu.edu" TargetMode="External" Id="rId64"/><Relationship Type="http://schemas.openxmlformats.org/officeDocument/2006/relationships/hyperlink" Target="https://search.asu.edu/profile/kramesh2" TargetMode="External" Id="rId65"/><Relationship Type="http://schemas.openxmlformats.org/officeDocument/2006/relationships/hyperlink" Target="https://scholar.google.com/citations?view_op=search_authors&amp;mauthors=Kiran%20Ramesh%20Arizona%20State%20University" TargetMode="External" Id="rId66"/><Relationship Type="http://schemas.openxmlformats.org/officeDocument/2006/relationships/hyperlink" Target="mailto:konradr@asu.edu" TargetMode="External" Id="rId67"/><Relationship Type="http://schemas.openxmlformats.org/officeDocument/2006/relationships/hyperlink" Target="https://search.asu.edu/profile/krykacze" TargetMode="External" Id="rId68"/><Relationship Type="http://schemas.openxmlformats.org/officeDocument/2006/relationships/hyperlink" Target="https://scholar.google.com/citations?view_op=search_authors&amp;mauthors=Konrad%20Rykaczewski%20Arizona%20State%20University" TargetMode="External" Id="rId69"/><Relationship Type="http://schemas.openxmlformats.org/officeDocument/2006/relationships/hyperlink" Target="mailto:kgarg24@asu.edu" TargetMode="External" Id="rId70"/><Relationship Type="http://schemas.openxmlformats.org/officeDocument/2006/relationships/hyperlink" Target="https://search.asu.edu/profile/kgarg24" TargetMode="External" Id="rId71"/><Relationship Type="http://schemas.openxmlformats.org/officeDocument/2006/relationships/hyperlink" Target="https://scholar.google.com/citations?view_op=search_authors&amp;mauthors=Kunal%20Garg%20Arizona%20State%20University" TargetMode="External" Id="rId72"/><Relationship Type="http://schemas.openxmlformats.org/officeDocument/2006/relationships/hyperlink" Target="mailto:ladani@asu.edu" TargetMode="External" Id="rId73"/><Relationship Type="http://schemas.openxmlformats.org/officeDocument/2006/relationships/hyperlink" Target="https://search.asu.edu/profile/ljannesa" TargetMode="External" Id="rId74"/><Relationship Type="http://schemas.openxmlformats.org/officeDocument/2006/relationships/hyperlink" Target="https://scholar.google.com/citations?view_op=search_authors&amp;mauthors=Leila%20Ladani%20Arizona%20State%20University" TargetMode="External" Id="rId75"/><Relationship Type="http://schemas.openxmlformats.org/officeDocument/2006/relationships/hyperlink" Target="mailto:Leixin.Ma@asu.edu" TargetMode="External" Id="rId76"/><Relationship Type="http://schemas.openxmlformats.org/officeDocument/2006/relationships/hyperlink" Target="https://search.asu.edu/profile/leixinma" TargetMode="External" Id="rId77"/><Relationship Type="http://schemas.openxmlformats.org/officeDocument/2006/relationships/hyperlink" Target="https://scholar.google.com/citations?view_op=search_authors&amp;mauthors=Leixin%20Ma%20Arizona%20State%20University" TargetMode="External" Id="rId78"/><Relationship Type="http://schemas.openxmlformats.org/officeDocument/2006/relationships/hyperlink" Target="mailto:Lin.Li.10@asu.edu" TargetMode="External" Id="rId79"/><Relationship Type="http://schemas.openxmlformats.org/officeDocument/2006/relationships/hyperlink" Target="https://search.asu.edu/profile/linli25" TargetMode="External" Id="rId80"/><Relationship Type="http://schemas.openxmlformats.org/officeDocument/2006/relationships/hyperlink" Target="https://scholar.google.com/citations?view_op=search_authors&amp;mauthors=Lin%20Li%20Arizona%20State%20University" TargetMode="External" Id="rId81"/><Relationship Type="http://schemas.openxmlformats.org/officeDocument/2006/relationships/hyperlink" Target="mailto:Liping.Wang@asu.edu" TargetMode="External" Id="rId82"/><Relationship Type="http://schemas.openxmlformats.org/officeDocument/2006/relationships/hyperlink" Target="https://search.asu.edu/profile/lwang78" TargetMode="External" Id="rId83"/><Relationship Type="http://schemas.openxmlformats.org/officeDocument/2006/relationships/hyperlink" Target="https://scholar.google.com/citations?view_op=search_authors&amp;mauthors=Liping%20Wang%20Arizona%20State%20University" TargetMode="External" Id="rId84"/><Relationship Type="http://schemas.openxmlformats.org/officeDocument/2006/relationships/hyperlink" Target="mailto:marc.mignolet@asu.edu" TargetMode="External" Id="rId85"/><Relationship Type="http://schemas.openxmlformats.org/officeDocument/2006/relationships/hyperlink" Target="https://search.asu.edu/profile/marc03" TargetMode="External" Id="rId86"/><Relationship Type="http://schemas.openxmlformats.org/officeDocument/2006/relationships/hyperlink" Target="https://scholar.google.com/citations?view_op=search_authors&amp;mauthors=Marc%20Mignolet%20Arizona%20State%20University" TargetMode="External" Id="rId87"/><Relationship Type="http://schemas.openxmlformats.org/officeDocument/2006/relationships/hyperlink" Target="mailto:Marcus.Herrmann@asu.edu" TargetMode="External" Id="rId88"/><Relationship Type="http://schemas.openxmlformats.org/officeDocument/2006/relationships/hyperlink" Target="https://search.asu.edu/profile/mherrma1" TargetMode="External" Id="rId89"/><Relationship Type="http://schemas.openxmlformats.org/officeDocument/2006/relationships/hyperlink" Target="https://scholar.google.com/citations?view_op=search_authors&amp;mauthors=Marcus%20Herrmann%20Arizona%20State%20University" TargetMode="External" Id="rId90"/><Relationship Type="http://schemas.openxmlformats.org/officeDocument/2006/relationships/hyperlink" Target="mailto:mpeet@asu.edu" TargetMode="External" Id="rId91"/><Relationship Type="http://schemas.openxmlformats.org/officeDocument/2006/relationships/hyperlink" Target="https://search.asu.edu/profile/mpeet" TargetMode="External" Id="rId92"/><Relationship Type="http://schemas.openxmlformats.org/officeDocument/2006/relationships/hyperlink" Target="https://scholar.google.com/citations?view_op=search_authors&amp;mauthors=Matthew%20Peet%20Arizona%20State%20University" TargetMode="External" Id="rId93"/><Relationship Type="http://schemas.openxmlformats.org/officeDocument/2006/relationships/hyperlink" Target="mailto:minglei.qu@asu.edu" TargetMode="External" Id="rId94"/><Relationship Type="http://schemas.openxmlformats.org/officeDocument/2006/relationships/hyperlink" Target="https://search.asu.edu/profile/mingleiq" TargetMode="External" Id="rId95"/><Relationship Type="http://schemas.openxmlformats.org/officeDocument/2006/relationships/hyperlink" Target="https://scholar.google.com/citations?view_op=search_authors&amp;mauthors=Minglei%20Qu%20Arizona%20State%20University" TargetMode="External" Id="rId96"/><Relationship Type="http://schemas.openxmlformats.org/officeDocument/2006/relationships/hyperlink" Target="mailto:houssem.kasbaoui@asu.edu" TargetMode="External" Id="rId97"/><Relationship Type="http://schemas.openxmlformats.org/officeDocument/2006/relationships/hyperlink" Target="https://search.asu.edu/profile/mkasbaou" TargetMode="External" Id="rId98"/><Relationship Type="http://schemas.openxmlformats.org/officeDocument/2006/relationships/hyperlink" Target="https://scholar.google.com/citations?view_op=search_authors&amp;mauthors=Mohamed%20Houssem%20Kasbaoui%20Arizona%20State%20University" TargetMode="External" Id="rId99"/><Relationship Type="http://schemas.openxmlformats.org/officeDocument/2006/relationships/hyperlink" Target="mailto:phelan@asu.edu" TargetMode="External" Id="rId100"/><Relationship Type="http://schemas.openxmlformats.org/officeDocument/2006/relationships/hyperlink" Target="https://search.asu.edu/profile/pphelan" TargetMode="External" Id="rId101"/><Relationship Type="http://schemas.openxmlformats.org/officeDocument/2006/relationships/hyperlink" Target="https://scholar.google.com/citations?view_op=search_authors&amp;mauthors=Patrick%20Phelan%20Arizona%20State%20University" TargetMode="External" Id="rId102"/><Relationship Type="http://schemas.openxmlformats.org/officeDocument/2006/relationships/hyperlink" Target="mailto:pperalta@asu.edu" TargetMode="External" Id="rId103"/><Relationship Type="http://schemas.openxmlformats.org/officeDocument/2006/relationships/hyperlink" Target="https://search.asu.edu/profile/pperalta" TargetMode="External" Id="rId104"/><Relationship Type="http://schemas.openxmlformats.org/officeDocument/2006/relationships/hyperlink" Target="https://scholar.google.com/citations?view_op=search_authors&amp;mauthors=Pedro%20Peralta%20Arizona%20State%20University" TargetMode="External" Id="rId105"/><Relationship Type="http://schemas.openxmlformats.org/officeDocument/2006/relationships/hyperlink" Target="mailto:Qiong.Nian@asu.edu" TargetMode="External" Id="rId106"/><Relationship Type="http://schemas.openxmlformats.org/officeDocument/2006/relationships/hyperlink" Target="https://search.asu.edu/profile/qnian" TargetMode="External" Id="rId107"/><Relationship Type="http://schemas.openxmlformats.org/officeDocument/2006/relationships/hyperlink" Target="https://scholar.google.com/citations?view_op=search_authors&amp;mauthors=Qiong%20Nian%20Arizona%20State%20University" TargetMode="External" Id="rId108"/><Relationship Type="http://schemas.openxmlformats.org/officeDocument/2006/relationships/hyperlink" Target="mailto:rnmurthy@asu.edu" TargetMode="External" Id="rId109"/><Relationship Type="http://schemas.openxmlformats.org/officeDocument/2006/relationships/hyperlink" Target="https://search.asu.edu/profile/rnmurthy" TargetMode="External" Id="rId110"/><Relationship Type="http://schemas.openxmlformats.org/officeDocument/2006/relationships/hyperlink" Target="https://scholar.google.com/citations?view_op=search_authors&amp;mauthors=Raghavendra%20Murthy%20Arizona%20State%20University" TargetMode="External" Id="rId111"/><Relationship Type="http://schemas.openxmlformats.org/officeDocument/2006/relationships/hyperlink" Target="mailto:Ricardo.Cruz.Lozano@asu.edu" TargetMode="External" Id="rId112"/><Relationship Type="http://schemas.openxmlformats.org/officeDocument/2006/relationships/hyperlink" Target="https://search.asu.edu/profile/rcruzloz" TargetMode="External" Id="rId113"/><Relationship Type="http://schemas.openxmlformats.org/officeDocument/2006/relationships/hyperlink" Target="https://scholar.google.com/citations?view_op=search_authors&amp;mauthors=Ricardo%20Cruz%20Lozano%20Arizona%20State%20University" TargetMode="External" Id="rId114"/><Relationship Type="http://schemas.openxmlformats.org/officeDocument/2006/relationships/hyperlink" Target="mailto:rywang@asu.edu" TargetMode="External" Id="rId115"/><Relationship Type="http://schemas.openxmlformats.org/officeDocument/2006/relationships/hyperlink" Target="https://search.asu.edu/profile/rywang" TargetMode="External" Id="rId116"/><Relationship Type="http://schemas.openxmlformats.org/officeDocument/2006/relationships/hyperlink" Target="https://scholar.google.com/citations?view_op=search_authors&amp;mauthors=Robert%20Wang%20Arizona%20State%20University" TargetMode="External" Id="rId117"/><Relationship Type="http://schemas.openxmlformats.org/officeDocument/2006/relationships/hyperlink" Target="mailto:Ronald.Calhoun@asu.edu" TargetMode="External" Id="rId118"/><Relationship Type="http://schemas.openxmlformats.org/officeDocument/2006/relationships/hyperlink" Target="https://search.asu.edu/profile/rcalhou" TargetMode="External" Id="rId119"/><Relationship Type="http://schemas.openxmlformats.org/officeDocument/2006/relationships/hyperlink" Target="https://scholar.google.com/citations?view_op=search_authors&amp;mauthors=Ronald%20Calhoun%20Arizona%20State%20University" TargetMode="External" Id="rId120"/><Relationship Type="http://schemas.openxmlformats.org/officeDocument/2006/relationships/hyperlink" Target="mailto:Ryan.Milcarek@asu.edu" TargetMode="External" Id="rId121"/><Relationship Type="http://schemas.openxmlformats.org/officeDocument/2006/relationships/hyperlink" Target="https://search.asu.edu/profile/rjmilcar" TargetMode="External" Id="rId122"/><Relationship Type="http://schemas.openxmlformats.org/officeDocument/2006/relationships/hyperlink" Target="https://scholar.google.com/citations?view_op=search_authors&amp;mauthors=Ryan%20Milcarek%20Arizona%20State%20University" TargetMode="External" Id="rId123"/><Relationship Type="http://schemas.openxmlformats.org/officeDocument/2006/relationships/hyperlink" Target="mailto:Spring.Berman@asu.edu" TargetMode="External" Id="rId124"/><Relationship Type="http://schemas.openxmlformats.org/officeDocument/2006/relationships/hyperlink" Target="https://search.asu.edu/profile/smberma2" TargetMode="External" Id="rId125"/><Relationship Type="http://schemas.openxmlformats.org/officeDocument/2006/relationships/hyperlink" Target="https://scholar.google.com/citations?view_op=search_authors&amp;mauthors=Spring%20Berman%20Arizona%20State%20University" TargetMode="External" Id="rId126"/><Relationship Type="http://schemas.openxmlformats.org/officeDocument/2006/relationships/hyperlink" Target="mailto:seetharaman@asu.edu" TargetMode="External" Id="rId127"/><Relationship Type="http://schemas.openxmlformats.org/officeDocument/2006/relationships/hyperlink" Target="https://search.asu.edu/profile/sseeth11" TargetMode="External" Id="rId128"/><Relationship Type="http://schemas.openxmlformats.org/officeDocument/2006/relationships/hyperlink" Target="https://scholar.google.com/citations?view_op=search_authors&amp;mauthors=Sridhar%20Seetharaman%20Arizona%20State%20University" TargetMode="External" Id="rId129"/><Relationship Type="http://schemas.openxmlformats.org/officeDocument/2006/relationships/hyperlink" Target="mailto:Srinivas.Kosaraju@asu.edu" TargetMode="External" Id="rId130"/><Relationship Type="http://schemas.openxmlformats.org/officeDocument/2006/relationships/hyperlink" Target="https://search.asu.edu/profile/skosara2" TargetMode="External" Id="rId131"/><Relationship Type="http://schemas.openxmlformats.org/officeDocument/2006/relationships/hyperlink" Target="https://scholar.google.com/citations?view_op=search_authors&amp;mauthors=Srinivas%20Chakravarthi%20Kosaraju%20Arizona%20State%20University" TargetMode="External" Id="rId132"/><Relationship Type="http://schemas.openxmlformats.org/officeDocument/2006/relationships/hyperlink" Target="mailto:ATTWL@asu.edu" TargetMode="External" Id="rId133"/><Relationship Type="http://schemas.openxmlformats.org/officeDocument/2006/relationships/hyperlink" Target="https://search.asu.edu/profile/attwl" TargetMode="External" Id="rId134"/><Relationship Type="http://schemas.openxmlformats.org/officeDocument/2006/relationships/hyperlink" Target="https://scholar.google.com/citations?view_op=search_authors&amp;mauthors=T.-W.%20Lee%20Arizona%20State%20University" TargetMode="External" Id="rId135"/><Relationship Type="http://schemas.openxmlformats.org/officeDocument/2006/relationships/hyperlink" Target="mailto:Tianyu.Yang@asu.edu" TargetMode="External" Id="rId136"/><Relationship Type="http://schemas.openxmlformats.org/officeDocument/2006/relationships/hyperlink" Target="https://search.asu.edu/profile/tyang123" TargetMode="External" Id="rId137"/><Relationship Type="http://schemas.openxmlformats.org/officeDocument/2006/relationships/hyperlink" Target="https://scholar.google.com/citations?view_op=search_authors&amp;mauthors=Tianyu%20Yang%20Arizona%20State%20University" TargetMode="External" Id="rId138"/><Relationship Type="http://schemas.openxmlformats.org/officeDocument/2006/relationships/hyperlink" Target="mailto:wjin@asu.edu" TargetMode="External" Id="rId139"/><Relationship Type="http://schemas.openxmlformats.org/officeDocument/2006/relationships/hyperlink" Target="https://search.asu.edu/profile/wjin34" TargetMode="External" Id="rId140"/><Relationship Type="http://schemas.openxmlformats.org/officeDocument/2006/relationships/hyperlink" Target="https://scholar.google.com/citations?view_op=search_authors&amp;mauthors=Wanxin%20Jin%20Arizona%20State%20University" TargetMode="External" Id="rId141"/><Relationship Type="http://schemas.openxmlformats.org/officeDocument/2006/relationships/hyperlink" Target="mailto:Werner.Dahm@asu.edu" TargetMode="External" Id="rId142"/><Relationship Type="http://schemas.openxmlformats.org/officeDocument/2006/relationships/hyperlink" Target="https://search.asu.edu/profile/wdahm" TargetMode="External" Id="rId143"/><Relationship Type="http://schemas.openxmlformats.org/officeDocument/2006/relationships/hyperlink" Target="https://scholar.google.com/citations?view_op=search_authors&amp;mauthors=Werner%20Dahm%20Arizona%20State%20University" TargetMode="External" Id="rId144"/><Relationship Type="http://schemas.openxmlformats.org/officeDocument/2006/relationships/hyperlink" Target="mailto:Wonmo.Kang@asu.edu" TargetMode="External" Id="rId145"/><Relationship Type="http://schemas.openxmlformats.org/officeDocument/2006/relationships/hyperlink" Target="https://search.asu.edu/profile/wkang16" TargetMode="External" Id="rId146"/><Relationship Type="http://schemas.openxmlformats.org/officeDocument/2006/relationships/hyperlink" Target="https://scholar.google.com/citations?view_op=search_authors&amp;mauthors=Wonmo%20Kang%20Arizona%20State%20University" TargetMode="External" Id="rId147"/><Relationship Type="http://schemas.openxmlformats.org/officeDocument/2006/relationships/hyperlink" Target="mailto:yiren@asu.edu" TargetMode="External" Id="rId148"/><Relationship Type="http://schemas.openxmlformats.org/officeDocument/2006/relationships/hyperlink" Target="https://search.asu.edu/profile/yren32" TargetMode="External" Id="rId149"/><Relationship Type="http://schemas.openxmlformats.org/officeDocument/2006/relationships/hyperlink" Target="https://scholar.google.com/citations?view_op=search_authors&amp;mauthors=Yi%20Ren%20Arizona%20State%20University" TargetMode="External" Id="rId150"/><Relationship Type="http://schemas.openxmlformats.org/officeDocument/2006/relationships/hyperlink" Target="mailto:Yongming.Liu@asu.edu" TargetMode="External" Id="rId151"/><Relationship Type="http://schemas.openxmlformats.org/officeDocument/2006/relationships/hyperlink" Target="https://search.asu.edu/profile/yliu35" TargetMode="External" Id="rId152"/><Relationship Type="http://schemas.openxmlformats.org/officeDocument/2006/relationships/hyperlink" Target="https://scholar.google.com/citations?view_op=search_authors&amp;mauthors=Yongming%20Liu%20Arizona%20State%20University" TargetMode="External" Id="rId153"/><Relationship Type="http://schemas.openxmlformats.org/officeDocument/2006/relationships/hyperlink" Target="mailto:ypeet@asu.edu" TargetMode="External" Id="rId154"/><Relationship Type="http://schemas.openxmlformats.org/officeDocument/2006/relationships/hyperlink" Target="https://search.asu.edu/profile/ypeet" TargetMode="External" Id="rId155"/><Relationship Type="http://schemas.openxmlformats.org/officeDocument/2006/relationships/hyperlink" Target="https://scholar.google.com/citations?view_op=search_authors&amp;mauthors=Yulia%20Peet%20Arizona%20State%20University" TargetMode="External" Id="rId156"/><Relationship Type="http://schemas.openxmlformats.org/officeDocument/2006/relationships/hyperlink" Target="mailto:xzhe1@asu.edu" TargetMode="External" Id="rId157"/><Relationship Type="http://schemas.openxmlformats.org/officeDocument/2006/relationships/hyperlink" Target="https://search.asu.edu/profile/xzhe1" TargetMode="External" Id="rId158"/><Relationship Type="http://schemas.openxmlformats.org/officeDocument/2006/relationships/hyperlink" Target="https://scholar.google.com/citations?view_op=search_authors&amp;mauthors=Zhe%20Xu%20Arizona%20State%20University" TargetMode="External" Id="rId1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38" customWidth="1" min="3" max="3"/>
    <col width="28" customWidth="1" min="4" max="4"/>
    <col width="44" customWidth="1" min="5" max="5"/>
    <col width="65" customWidth="1" min="6" max="6"/>
    <col width="18" customWidth="1" min="7" max="7"/>
    <col width="44" customWidth="1" min="8" max="8"/>
    <col width="29" customWidth="1" min="9" max="9"/>
  </cols>
  <sheetData>
    <row r="1">
      <c r="A1" s="1" t="inlineStr">
        <is>
          <t>Name</t>
        </is>
      </c>
      <c r="B1" s="1" t="inlineStr">
        <is>
          <t>Job Title</t>
        </is>
      </c>
      <c r="C1" s="1" t="inlineStr">
        <is>
          <t>Department</t>
        </is>
      </c>
      <c r="D1" s="1" t="inlineStr">
        <is>
          <t>University</t>
        </is>
      </c>
      <c r="E1" s="1" t="inlineStr">
        <is>
          <t>Email</t>
        </is>
      </c>
      <c r="F1" s="1" t="inlineStr">
        <is>
          <t>Matched Fields</t>
        </is>
      </c>
      <c r="G1" s="1" t="inlineStr">
        <is>
          <t>Is Field Match</t>
        </is>
      </c>
      <c r="H1" s="1" t="inlineStr">
        <is>
          <t>Profile URL</t>
        </is>
      </c>
      <c r="I1" s="1" t="inlineStr">
        <is>
          <t>Google Scholar URL</t>
        </is>
      </c>
    </row>
    <row r="2">
      <c r="A2" s="2" t="inlineStr">
        <is>
          <t>Aditi Chattopadhyay</t>
        </is>
      </c>
      <c r="B2" s="2" t="inlineStr">
        <is>
          <t>Regents Professor</t>
        </is>
      </c>
      <c r="C2" s="2" t="inlineStr">
        <is>
          <t>Aerospace &amp; Mechanical Engineering</t>
        </is>
      </c>
      <c r="D2" s="2" t="inlineStr">
        <is>
          <t>Arizona State University</t>
        </is>
      </c>
      <c r="E2" s="3">
        <f>HYPERLINK("mailto:aditi@asu.edu", "aditi@asu.edu")</f>
        <v/>
      </c>
      <c r="F2" s="2" t="inlineStr">
        <is>
          <t>inverse problems, multiscale modeling, optimization, transition</t>
        </is>
      </c>
      <c r="G2" s="2" t="b">
        <v>1</v>
      </c>
      <c r="H2" s="3">
        <f>HYPERLINK("https://search.asu.edu/profile/chattopa", "https://search.asu.edu/profile/chattopa")</f>
        <v/>
      </c>
      <c r="I2" s="3">
        <f>HYPERLINK("https://scholar.google.com/citations?view_op=search_authors&amp;mauthors=Aditi%20Chattopadhyay%20Arizona%20State%20University", "Google Scholar Profile")</f>
        <v/>
      </c>
    </row>
    <row r="3">
      <c r="A3" s="2" t="inlineStr">
        <is>
          <t>Alberto Scotti</t>
        </is>
      </c>
      <c r="B3" s="2" t="inlineStr">
        <is>
          <t>Professor</t>
        </is>
      </c>
      <c r="C3" s="2" t="inlineStr">
        <is>
          <t>Aerospace &amp; Mechanical Engineering</t>
        </is>
      </c>
      <c r="D3" s="2" t="inlineStr">
        <is>
          <t>Arizona State University</t>
        </is>
      </c>
      <c r="E3" s="3">
        <f>HYPERLINK("mailto:Alberto.Scotti@asu.edu", "Alberto.Scotti@asu.edu")</f>
        <v/>
      </c>
      <c r="F3" s="2" t="inlineStr">
        <is>
          <t>applied mathematics, fluid mechanics, turbulent mixing</t>
        </is>
      </c>
      <c r="G3" s="2" t="b">
        <v>1</v>
      </c>
      <c r="H3" s="3">
        <f>HYPERLINK("https://search.asu.edu/profile/adscotti", "https://search.asu.edu/profile/adscotti")</f>
        <v/>
      </c>
      <c r="I3" s="3">
        <f>HYPERLINK("https://scholar.google.com/citations?view_op=search_authors&amp;mauthors=Alberto%20Scotti%20Arizona%20State%20University", "Google Scholar Profile")</f>
        <v/>
      </c>
    </row>
    <row r="4">
      <c r="A4" s="2" t="inlineStr">
        <is>
          <t>Beomjin Kwon</t>
        </is>
      </c>
      <c r="B4" s="2" t="inlineStr">
        <is>
          <t>Associate Professor</t>
        </is>
      </c>
      <c r="C4" s="2" t="inlineStr">
        <is>
          <t>Aerospace &amp; Mechanical Engineering</t>
        </is>
      </c>
      <c r="D4" s="2" t="inlineStr">
        <is>
          <t>Arizona State University</t>
        </is>
      </c>
      <c r="E4" s="3">
        <f>HYPERLINK("mailto:kwon@asu.edu", "kwon@asu.edu")</f>
        <v/>
      </c>
      <c r="F4" s="2" t="inlineStr">
        <is>
          <t>data-driven modeling, heat transfer, transport phenomena</t>
        </is>
      </c>
      <c r="G4" s="2" t="b">
        <v>1</v>
      </c>
      <c r="H4" s="3">
        <f>HYPERLINK("https://search.asu.edu/profile/bkwon2", "https://search.asu.edu/profile/bkwon2")</f>
        <v/>
      </c>
      <c r="I4" s="3">
        <f>HYPERLINK("https://scholar.google.com/citations?view_op=search_authors&amp;mauthors=Beomjin%20Kwon%20Arizona%20State%20University", "Google Scholar Profile")</f>
        <v/>
      </c>
    </row>
    <row r="5">
      <c r="A5" s="2" t="inlineStr">
        <is>
          <t>Gokul Pathikonda</t>
        </is>
      </c>
      <c r="B5" s="2" t="inlineStr">
        <is>
          <t>Assistant Professor</t>
        </is>
      </c>
      <c r="C5" s="2" t="inlineStr">
        <is>
          <t>Aerospace &amp; Mechanical Engineering</t>
        </is>
      </c>
      <c r="D5" s="2" t="inlineStr">
        <is>
          <t>Arizona State University</t>
        </is>
      </c>
      <c r="E5" s="3">
        <f>HYPERLINK("mailto:Gokul.Pathikonda@asu.edu", "Gokul.Pathikonda@asu.edu")</f>
        <v/>
      </c>
      <c r="F5" s="2" t="inlineStr">
        <is>
          <t>aerodynamics, reacting flows, turbulence, turbulent mixing</t>
        </is>
      </c>
      <c r="G5" s="2" t="b">
        <v>1</v>
      </c>
      <c r="H5" s="3">
        <f>HYPERLINK("https://search.asu.edu/profile/gpathiko", "https://search.asu.edu/profile/gpathiko")</f>
        <v/>
      </c>
      <c r="I5" s="3">
        <f>HYPERLINK("https://scholar.google.com/citations?view_op=search_authors&amp;mauthors=Gokul%20Pathikonda%20Arizona%20State%20University", "Google Scholar Profile")</f>
        <v/>
      </c>
    </row>
    <row r="6">
      <c r="A6" s="2" t="inlineStr">
        <is>
          <t>Houlong Zhuang</t>
        </is>
      </c>
      <c r="B6" s="2" t="inlineStr">
        <is>
          <t>Associate Professor</t>
        </is>
      </c>
      <c r="C6" s="2" t="inlineStr">
        <is>
          <t>Aerospace &amp; Mechanical Engineering</t>
        </is>
      </c>
      <c r="D6" s="2" t="inlineStr">
        <is>
          <t>Arizona State University</t>
        </is>
      </c>
      <c r="E6" s="3">
        <f>HYPERLINK("mailto:zhuanghl@asu.edu", "zhuanghl@asu.edu")</f>
        <v/>
      </c>
      <c r="F6" s="2" t="inlineStr">
        <is>
          <t>computational physics</t>
        </is>
      </c>
      <c r="G6" s="2" t="b">
        <v>1</v>
      </c>
      <c r="H6" s="3">
        <f>HYPERLINK("https://search.asu.edu/profile/hzhuang7", "https://search.asu.edu/profile/hzhuang7")</f>
        <v/>
      </c>
      <c r="I6" s="3">
        <f>HYPERLINK("https://scholar.google.com/citations?view_op=search_authors&amp;mauthors=Houlong%20Zhuang%20Arizona%20State%20University", "Google Scholar Profile")</f>
        <v/>
      </c>
    </row>
    <row r="7">
      <c r="A7" s="2" t="inlineStr">
        <is>
          <t>Huan Wu</t>
        </is>
      </c>
      <c r="B7" s="2" t="inlineStr">
        <is>
          <t>Faculty</t>
        </is>
      </c>
      <c r="C7" s="2" t="inlineStr">
        <is>
          <t>Aerospace &amp; Mechanical Engineering</t>
        </is>
      </c>
      <c r="D7" s="2" t="inlineStr">
        <is>
          <t>Arizona State University</t>
        </is>
      </c>
      <c r="E7" s="3">
        <f>HYPERLINK("mailto:huanwu@asu.edu", "huanwu@asu.edu")</f>
        <v/>
      </c>
      <c r="F7" s="2" t="inlineStr">
        <is>
          <t>computational physics</t>
        </is>
      </c>
      <c r="G7" s="2" t="b">
        <v>1</v>
      </c>
      <c r="H7" s="3">
        <f>HYPERLINK("https://search.asu.edu/profile/huanwu", "https://search.asu.edu/profile/huanwu")</f>
        <v/>
      </c>
      <c r="I7" s="3">
        <f>HYPERLINK("https://scholar.google.com/citations?view_op=search_authors&amp;mauthors=Huan%20Wu%20Arizona%20State%20University", "Google Scholar Profile")</f>
        <v/>
      </c>
    </row>
    <row r="8">
      <c r="A8" s="2" t="inlineStr">
        <is>
          <t>Huei-Ping Huang</t>
        </is>
      </c>
      <c r="B8" s="2" t="inlineStr">
        <is>
          <t>Associate Professor</t>
        </is>
      </c>
      <c r="C8" s="2" t="inlineStr">
        <is>
          <t>Aerospace &amp; Mechanical Engineering</t>
        </is>
      </c>
      <c r="D8" s="2" t="inlineStr">
        <is>
          <t>Arizona State University</t>
        </is>
      </c>
      <c r="E8" s="3">
        <f>HYPERLINK("mailto:Huei-Ping.Huang@asu.edu", "Huei-Ping.Huang@asu.edu")</f>
        <v/>
      </c>
      <c r="F8" s="2" t="inlineStr">
        <is>
          <t>fluid dynamics, numerical simulation</t>
        </is>
      </c>
      <c r="G8" s="2" t="b">
        <v>1</v>
      </c>
      <c r="H8" s="3">
        <f>HYPERLINK("https://search.asu.edu/profile/hhuang38", "https://search.asu.edu/profile/hhuang38")</f>
        <v/>
      </c>
      <c r="I8" s="3">
        <f>HYPERLINK("https://scholar.google.com/citations?view_op=search_authors&amp;mauthors=Huei-Ping%20Huang%20Arizona%20State%20University", "Google Scholar Profile")</f>
        <v/>
      </c>
    </row>
    <row r="9">
      <c r="A9" s="2" t="inlineStr">
        <is>
          <t>Jagannathan Rajagopalan</t>
        </is>
      </c>
      <c r="B9" s="2" t="inlineStr">
        <is>
          <t>Associate Professor</t>
        </is>
      </c>
      <c r="C9" s="2" t="inlineStr">
        <is>
          <t>Aerospace &amp; Mechanical Engineering</t>
        </is>
      </c>
      <c r="D9" s="2" t="inlineStr">
        <is>
          <t>Arizona State University</t>
        </is>
      </c>
      <c r="E9" s="3">
        <f>HYPERLINK("mailto:Jagannathan.Rajagopalan@asu.edu", "Jagannathan.Rajagopalan@asu.edu")</f>
        <v/>
      </c>
      <c r="F9" s="2" t="inlineStr">
        <is>
          <t>optimization</t>
        </is>
      </c>
      <c r="G9" s="2" t="b">
        <v>1</v>
      </c>
      <c r="H9" s="3">
        <f>HYPERLINK("https://search.asu.edu/profile/jrajago1", "https://search.asu.edu/profile/jrajago1")</f>
        <v/>
      </c>
      <c r="I9" s="3">
        <f>HYPERLINK("https://scholar.google.com/citations?view_op=search_authors&amp;mauthors=Jagannathan%20Rajagopalan%20Arizona%20State%20University", "Google Scholar Profile")</f>
        <v/>
      </c>
    </row>
    <row r="10">
      <c r="A10" s="2" t="inlineStr">
        <is>
          <t>Jay Oswald</t>
        </is>
      </c>
      <c r="B10" s="2" t="inlineStr">
        <is>
          <t>Associate Professor</t>
        </is>
      </c>
      <c r="C10" s="2" t="inlineStr">
        <is>
          <t>Aerospace &amp; Mechanical Engineering</t>
        </is>
      </c>
      <c r="D10" s="2" t="inlineStr">
        <is>
          <t>Arizona State University</t>
        </is>
      </c>
      <c r="E10" s="3">
        <f>HYPERLINK("mailto:joswald1@asu.edu", "joswald1@asu.edu")</f>
        <v/>
      </c>
      <c r="F10" s="2" t="inlineStr">
        <is>
          <t>finite element</t>
        </is>
      </c>
      <c r="G10" s="2" t="b">
        <v>1</v>
      </c>
      <c r="H10" s="3">
        <f>HYPERLINK("https://search.asu.edu/profile/joswald1", "https://search.asu.edu/profile/joswald1")</f>
        <v/>
      </c>
      <c r="I10" s="3">
        <f>HYPERLINK("https://scholar.google.com/citations?view_op=search_authors&amp;mauthors=Jay%20Oswald%20Arizona%20State%20University", "Google Scholar Profile")</f>
        <v/>
      </c>
    </row>
    <row r="11">
      <c r="A11" s="2" t="inlineStr">
        <is>
          <t>Jeonglae Kim</t>
        </is>
      </c>
      <c r="B11" s="2" t="inlineStr">
        <is>
          <t>Assistant Professor</t>
        </is>
      </c>
      <c r="C11" s="2" t="inlineStr">
        <is>
          <t>Aerospace &amp; Mechanical Engineering</t>
        </is>
      </c>
      <c r="D11" s="2" t="inlineStr">
        <is>
          <t>Arizona State University</t>
        </is>
      </c>
      <c r="E11" s="3">
        <f>HYPERLINK("mailto:jeokim@asu.edu", "jeokim@asu.edu")</f>
        <v/>
      </c>
      <c r="F11" s="2" t="inlineStr">
        <is>
          <t>aeroacoustics, flow control, optimization, turbulence, turbulent flows</t>
        </is>
      </c>
      <c r="G11" s="2" t="b">
        <v>1</v>
      </c>
      <c r="H11" s="3">
        <f>HYPERLINK("https://search.asu.edu/profile/jkim520", "https://search.asu.edu/profile/jkim520")</f>
        <v/>
      </c>
      <c r="I11" s="3">
        <f>HYPERLINK("https://scholar.google.com/citations?view_op=search_authors&amp;mauthors=Jeonglae%20Kim%20Arizona%20State%20University", "Google Scholar Profile")</f>
        <v/>
      </c>
    </row>
    <row r="12">
      <c r="A12" s="2" t="inlineStr">
        <is>
          <t>Kangping Chen</t>
        </is>
      </c>
      <c r="B12" s="2" t="inlineStr">
        <is>
          <t>Associate Professor</t>
        </is>
      </c>
      <c r="C12" s="2" t="inlineStr">
        <is>
          <t>Aerospace &amp; Mechanical Engineering</t>
        </is>
      </c>
      <c r="D12" s="2" t="inlineStr">
        <is>
          <t>Arizona State University</t>
        </is>
      </c>
      <c r="E12" s="3">
        <f>HYPERLINK("mailto:k.p.chen@asu.edu", "k.p.chen@asu.edu")</f>
        <v/>
      </c>
      <c r="F12" s="2" t="inlineStr">
        <is>
          <t>computational fluid dynamics, drag reduction, fluid dynamics, fluid mechanics, multiphase flow</t>
        </is>
      </c>
      <c r="G12" s="2" t="b">
        <v>1</v>
      </c>
      <c r="H12" s="3">
        <f>HYPERLINK("https://search.asu.edu/profile/asuchen", "https://search.asu.edu/profile/asuchen")</f>
        <v/>
      </c>
      <c r="I12" s="3">
        <f>HYPERLINK("https://scholar.google.com/citations?view_op=search_authors&amp;mauthors=Kangping%20Chen%20Arizona%20State%20University", "Google Scholar Profile")</f>
        <v/>
      </c>
    </row>
    <row r="13">
      <c r="A13" s="2" t="inlineStr">
        <is>
          <t>Kiran Ramesh</t>
        </is>
      </c>
      <c r="B13" s="2" t="inlineStr">
        <is>
          <t>Associate Professor</t>
        </is>
      </c>
      <c r="C13" s="2" t="inlineStr">
        <is>
          <t>Aerospace &amp; Mechanical Engineering</t>
        </is>
      </c>
      <c r="D13" s="2" t="inlineStr">
        <is>
          <t>Arizona State University</t>
        </is>
      </c>
      <c r="E13" s="3">
        <f>HYPERLINK("mailto:Kiran.Ramesh@asu.edu", "Kiran.Ramesh@asu.edu")</f>
        <v/>
      </c>
      <c r="F13" s="2" t="inlineStr">
        <is>
          <t>aerodynamics, flow control, fluid dynamics, turbulence, vortex dynamics</t>
        </is>
      </c>
      <c r="G13" s="2" t="b">
        <v>1</v>
      </c>
      <c r="H13" s="3">
        <f>HYPERLINK("https://search.asu.edu/profile/kramesh2", "https://search.asu.edu/profile/kramesh2")</f>
        <v/>
      </c>
      <c r="I13" s="3">
        <f>HYPERLINK("https://scholar.google.com/citations?view_op=search_authors&amp;mauthors=Kiran%20Ramesh%20Arizona%20State%20University", "Google Scholar Profile")</f>
        <v/>
      </c>
    </row>
    <row r="14">
      <c r="A14" s="2" t="inlineStr">
        <is>
          <t>Kunal Garg</t>
        </is>
      </c>
      <c r="B14" s="2" t="inlineStr">
        <is>
          <t>Assistant Professor</t>
        </is>
      </c>
      <c r="C14" s="2" t="inlineStr">
        <is>
          <t>Aerospace &amp; Mechanical Engineering</t>
        </is>
      </c>
      <c r="D14" s="2" t="inlineStr">
        <is>
          <t>Arizona State University</t>
        </is>
      </c>
      <c r="E14" s="3">
        <f>HYPERLINK("mailto:kgarg24@asu.edu", "kgarg24@asu.edu")</f>
        <v/>
      </c>
      <c r="F14" s="2" t="inlineStr">
        <is>
          <t>optimization</t>
        </is>
      </c>
      <c r="G14" s="2" t="b">
        <v>1</v>
      </c>
      <c r="H14" s="3">
        <f>HYPERLINK("https://search.asu.edu/profile/kgarg24", "https://search.asu.edu/profile/kgarg24")</f>
        <v/>
      </c>
      <c r="I14" s="3">
        <f>HYPERLINK("https://scholar.google.com/citations?view_op=search_authors&amp;mauthors=Kunal%20Garg%20Arizona%20State%20University", "Google Scholar Profile")</f>
        <v/>
      </c>
    </row>
    <row r="15">
      <c r="A15" s="2" t="inlineStr">
        <is>
          <t>Leixin Ma</t>
        </is>
      </c>
      <c r="B15" s="2" t="inlineStr">
        <is>
          <t>Assistant Professor</t>
        </is>
      </c>
      <c r="C15" s="2" t="inlineStr">
        <is>
          <t>Aerospace &amp; Mechanical Engineering</t>
        </is>
      </c>
      <c r="D15" s="2" t="inlineStr">
        <is>
          <t>Arizona State University</t>
        </is>
      </c>
      <c r="E15" s="3">
        <f>HYPERLINK("mailto:Leixin.Ma@asu.edu", "Leixin.Ma@asu.edu")</f>
        <v/>
      </c>
      <c r="F15" s="2" t="inlineStr">
        <is>
          <t>aerodynamics, fluid-structure interaction, physics-informed machine learning</t>
        </is>
      </c>
      <c r="G15" s="2" t="b">
        <v>1</v>
      </c>
      <c r="H15" s="3">
        <f>HYPERLINK("https://search.asu.edu/profile/leixinma", "https://search.asu.edu/profile/leixinma")</f>
        <v/>
      </c>
      <c r="I15" s="3">
        <f>HYPERLINK("https://scholar.google.com/citations?view_op=search_authors&amp;mauthors=Leixin%20Ma%20Arizona%20State%20University", "Google Scholar Profile")</f>
        <v/>
      </c>
    </row>
    <row r="16">
      <c r="A16" s="2" t="inlineStr">
        <is>
          <t>Liping Wang</t>
        </is>
      </c>
      <c r="B16" s="2" t="inlineStr">
        <is>
          <t>Associate Professor</t>
        </is>
      </c>
      <c r="C16" s="2" t="inlineStr">
        <is>
          <t>Aerospace &amp; Mechanical Engineering</t>
        </is>
      </c>
      <c r="D16" s="2" t="inlineStr">
        <is>
          <t>Arizona State University</t>
        </is>
      </c>
      <c r="E16" s="3">
        <f>HYPERLINK("mailto:Liping.Wang@asu.edu", "Liping.Wang@asu.edu")</f>
        <v/>
      </c>
      <c r="F16" s="2" t="inlineStr">
        <is>
          <t>heat transfer</t>
        </is>
      </c>
      <c r="G16" s="2" t="b">
        <v>1</v>
      </c>
      <c r="H16" s="3">
        <f>HYPERLINK("https://search.asu.edu/profile/lwang78", "https://search.asu.edu/profile/lwang78")</f>
        <v/>
      </c>
      <c r="I16" s="3">
        <f>HYPERLINK("https://scholar.google.com/citations?view_op=search_authors&amp;mauthors=Liping%20Wang%20Arizona%20State%20University", "Google Scholar Profile")</f>
        <v/>
      </c>
    </row>
    <row r="17">
      <c r="A17" s="2" t="inlineStr">
        <is>
          <t>Marcus Herrmann</t>
        </is>
      </c>
      <c r="B17" s="2" t="inlineStr">
        <is>
          <t>Professor</t>
        </is>
      </c>
      <c r="C17" s="2" t="inlineStr">
        <is>
          <t>Aerospace &amp; Mechanical Engineering</t>
        </is>
      </c>
      <c r="D17" s="2" t="inlineStr">
        <is>
          <t>Arizona State University</t>
        </is>
      </c>
      <c r="E17" s="3">
        <f>HYPERLINK("mailto:Marcus.Herrmann@asu.edu", "Marcus.Herrmann@asu.edu")</f>
        <v/>
      </c>
      <c r="F17" s="2" t="inlineStr">
        <is>
          <t>fluid mechanics, multiphase flow, numerical simulation, turbulence</t>
        </is>
      </c>
      <c r="G17" s="2" t="b">
        <v>1</v>
      </c>
      <c r="H17" s="3">
        <f>HYPERLINK("https://search.asu.edu/profile/mherrma1", "https://search.asu.edu/profile/mherrma1")</f>
        <v/>
      </c>
      <c r="I17" s="3">
        <f>HYPERLINK("https://scholar.google.com/citations?view_op=search_authors&amp;mauthors=Marcus%20Herrmann%20Arizona%20State%20University", "Google Scholar Profile")</f>
        <v/>
      </c>
    </row>
    <row r="18">
      <c r="A18" s="2" t="inlineStr">
        <is>
          <t>Matthew Peet</t>
        </is>
      </c>
      <c r="B18" s="2" t="inlineStr">
        <is>
          <t>Associate Professor</t>
        </is>
      </c>
      <c r="C18" s="2" t="inlineStr">
        <is>
          <t>Aerospace &amp; Mechanical Engineering</t>
        </is>
      </c>
      <c r="D18" s="2" t="inlineStr">
        <is>
          <t>Arizona State University</t>
        </is>
      </c>
      <c r="E18" s="3">
        <f>HYPERLINK("mailto:mpeet@asu.edu", "mpeet@asu.edu")</f>
        <v/>
      </c>
      <c r="F18" s="2" t="inlineStr">
        <is>
          <t>optimization</t>
        </is>
      </c>
      <c r="G18" s="2" t="b">
        <v>1</v>
      </c>
      <c r="H18" s="3">
        <f>HYPERLINK("https://search.asu.edu/profile/mpeet", "https://search.asu.edu/profile/mpeet")</f>
        <v/>
      </c>
      <c r="I18" s="3">
        <f>HYPERLINK("https://scholar.google.com/citations?view_op=search_authors&amp;mauthors=Matthew%20Peet%20Arizona%20State%20University", "Google Scholar Profile")</f>
        <v/>
      </c>
    </row>
    <row r="19">
      <c r="A19" s="2" t="inlineStr">
        <is>
          <t>Minglei Qu</t>
        </is>
      </c>
      <c r="B19" s="2" t="inlineStr">
        <is>
          <t>Assistant Professor</t>
        </is>
      </c>
      <c r="C19" s="2" t="inlineStr">
        <is>
          <t>Aerospace &amp; Mechanical Engineering</t>
        </is>
      </c>
      <c r="D19" s="2" t="inlineStr">
        <is>
          <t>Arizona State University</t>
        </is>
      </c>
      <c r="E19" s="3">
        <f>HYPERLINK("mailto:minglei.qu@asu.edu", "minglei.qu@asu.edu")</f>
        <v/>
      </c>
      <c r="F19" s="2" t="inlineStr">
        <is>
          <t>instability</t>
        </is>
      </c>
      <c r="G19" s="2" t="b">
        <v>1</v>
      </c>
      <c r="H19" s="3">
        <f>HYPERLINK("https://search.asu.edu/profile/mingleiq", "https://search.asu.edu/profile/mingleiq")</f>
        <v/>
      </c>
      <c r="I19" s="3">
        <f>HYPERLINK("https://scholar.google.com/citations?view_op=search_authors&amp;mauthors=Minglei%20Qu%20Arizona%20State%20University", "Google Scholar Profile")</f>
        <v/>
      </c>
    </row>
    <row r="20">
      <c r="A20" s="2" t="inlineStr">
        <is>
          <t>Mohamed Houssem Kasbaoui</t>
        </is>
      </c>
      <c r="B20" s="2" t="inlineStr">
        <is>
          <t>Associate Professor</t>
        </is>
      </c>
      <c r="C20" s="2" t="inlineStr">
        <is>
          <t>Aerospace &amp; Mechanical Engineering</t>
        </is>
      </c>
      <c r="D20" s="2" t="inlineStr">
        <is>
          <t>Arizona State University</t>
        </is>
      </c>
      <c r="E20" s="3">
        <f>HYPERLINK("mailto:houssem.kasbaoui@asu.edu", "houssem.kasbaoui@asu.edu")</f>
        <v/>
      </c>
      <c r="F20" s="2" t="inlineStr">
        <is>
          <t>cfd, computational fluid dynamics, dns, fluid dynamics, multiphase flow</t>
        </is>
      </c>
      <c r="G20" s="2" t="b">
        <v>1</v>
      </c>
      <c r="H20" s="3">
        <f>HYPERLINK("https://search.asu.edu/profile/mkasbaou", "https://search.asu.edu/profile/mkasbaou")</f>
        <v/>
      </c>
      <c r="I20" s="3">
        <f>HYPERLINK("https://scholar.google.com/citations?view_op=search_authors&amp;mauthors=Mohamed%20Houssem%20Kasbaoui%20Arizona%20State%20University", "Google Scholar Profile")</f>
        <v/>
      </c>
    </row>
    <row r="21">
      <c r="A21" s="2" t="inlineStr">
        <is>
          <t>Raghavendra Murthy</t>
        </is>
      </c>
      <c r="B21" s="2" t="inlineStr">
        <is>
          <t>Associate Teaching Professor</t>
        </is>
      </c>
      <c r="C21" s="2" t="inlineStr">
        <is>
          <t>Aerospace &amp; Mechanical Engineering</t>
        </is>
      </c>
      <c r="D21" s="2" t="inlineStr">
        <is>
          <t>Arizona State University</t>
        </is>
      </c>
      <c r="E21" s="3">
        <f>HYPERLINK("mailto:rnmurthy@asu.edu", "rnmurthy@asu.edu")</f>
        <v/>
      </c>
      <c r="F21" s="2" t="inlineStr">
        <is>
          <t>optimization, reduced-order modeling</t>
        </is>
      </c>
      <c r="G21" s="2" t="b">
        <v>1</v>
      </c>
      <c r="H21" s="3">
        <f>HYPERLINK("https://search.asu.edu/profile/rnmurthy", "https://search.asu.edu/profile/rnmurthy")</f>
        <v/>
      </c>
      <c r="I21" s="3">
        <f>HYPERLINK("https://scholar.google.com/citations?view_op=search_authors&amp;mauthors=Raghavendra%20Murthy%20Arizona%20State%20University", "Google Scholar Profile")</f>
        <v/>
      </c>
    </row>
    <row r="22">
      <c r="A22" s="2" t="inlineStr">
        <is>
          <t>Robert Wang</t>
        </is>
      </c>
      <c r="B22" s="2" t="inlineStr">
        <is>
          <t>Associate Professor</t>
        </is>
      </c>
      <c r="C22" s="2" t="inlineStr">
        <is>
          <t>Aerospace &amp; Mechanical Engineering</t>
        </is>
      </c>
      <c r="D22" s="2" t="inlineStr">
        <is>
          <t>Arizona State University</t>
        </is>
      </c>
      <c r="E22" s="3">
        <f>HYPERLINK("mailto:rywang@asu.edu", "rywang@asu.edu")</f>
        <v/>
      </c>
      <c r="F22" s="2" t="inlineStr">
        <is>
          <t>heat transfer</t>
        </is>
      </c>
      <c r="G22" s="2" t="b">
        <v>1</v>
      </c>
      <c r="H22" s="3">
        <f>HYPERLINK("https://search.asu.edu/profile/rywang", "https://search.asu.edu/profile/rywang")</f>
        <v/>
      </c>
      <c r="I22" s="3">
        <f>HYPERLINK("https://scholar.google.com/citations?view_op=search_authors&amp;mauthors=Robert%20Wang%20Arizona%20State%20University", "Google Scholar Profile")</f>
        <v/>
      </c>
    </row>
    <row r="23">
      <c r="A23" s="2" t="inlineStr">
        <is>
          <t>Ronald Calhoun</t>
        </is>
      </c>
      <c r="B23" s="2" t="inlineStr">
        <is>
          <t>Associate Professor</t>
        </is>
      </c>
      <c r="C23" s="2" t="inlineStr">
        <is>
          <t>Aerospace &amp; Mechanical Engineering</t>
        </is>
      </c>
      <c r="D23" s="2" t="inlineStr">
        <is>
          <t>Arizona State University</t>
        </is>
      </c>
      <c r="E23" s="3">
        <f>HYPERLINK("mailto:Ronald.Calhoun@asu.edu", "Ronald.Calhoun@asu.edu")</f>
        <v/>
      </c>
      <c r="F23" s="2" t="inlineStr">
        <is>
          <t>fluid dynamics</t>
        </is>
      </c>
      <c r="G23" s="2" t="b">
        <v>1</v>
      </c>
      <c r="H23" s="3">
        <f>HYPERLINK("https://search.asu.edu/profile/rcalhou", "https://search.asu.edu/profile/rcalhou")</f>
        <v/>
      </c>
      <c r="I23" s="3">
        <f>HYPERLINK("https://scholar.google.com/citations?view_op=search_authors&amp;mauthors=Ronald%20Calhoun%20Arizona%20State%20University", "Google Scholar Profile")</f>
        <v/>
      </c>
    </row>
    <row r="24">
      <c r="A24" s="2" t="inlineStr">
        <is>
          <t>Ryan Milcarek</t>
        </is>
      </c>
      <c r="B24" s="2" t="inlineStr">
        <is>
          <t>Associate Professor</t>
        </is>
      </c>
      <c r="C24" s="2" t="inlineStr">
        <is>
          <t>Aerospace &amp; Mechanical Engineering</t>
        </is>
      </c>
      <c r="D24" s="2" t="inlineStr">
        <is>
          <t>Arizona State University</t>
        </is>
      </c>
      <c r="E24" s="3">
        <f>HYPERLINK("mailto:Ryan.Milcarek@asu.edu", "Ryan.Milcarek@asu.edu")</f>
        <v/>
      </c>
      <c r="F24" s="2" t="inlineStr">
        <is>
          <t>combustion, transition</t>
        </is>
      </c>
      <c r="G24" s="2" t="b">
        <v>1</v>
      </c>
      <c r="H24" s="3">
        <f>HYPERLINK("https://search.asu.edu/profile/rjmilcar", "https://search.asu.edu/profile/rjmilcar")</f>
        <v/>
      </c>
      <c r="I24" s="3">
        <f>HYPERLINK("https://scholar.google.com/citations?view_op=search_authors&amp;mauthors=Ryan%20Milcarek%20Arizona%20State%20University", "Google Scholar Profile")</f>
        <v/>
      </c>
    </row>
    <row r="25">
      <c r="A25" s="2" t="inlineStr">
        <is>
          <t>Spring Berman</t>
        </is>
      </c>
      <c r="B25" s="2" t="inlineStr">
        <is>
          <t>Professor</t>
        </is>
      </c>
      <c r="C25" s="2" t="inlineStr">
        <is>
          <t>Aerospace &amp; Mechanical Engineering</t>
        </is>
      </c>
      <c r="D25" s="2" t="inlineStr">
        <is>
          <t>Arizona State University</t>
        </is>
      </c>
      <c r="E25" s="3">
        <f>HYPERLINK("mailto:Spring.Berman@asu.edu", "Spring.Berman@asu.edu")</f>
        <v/>
      </c>
      <c r="F25" s="2" t="inlineStr">
        <is>
          <t>optimization</t>
        </is>
      </c>
      <c r="G25" s="2" t="b">
        <v>1</v>
      </c>
      <c r="H25" s="3">
        <f>HYPERLINK("https://search.asu.edu/profile/smberma2", "https://search.asu.edu/profile/smberma2")</f>
        <v/>
      </c>
      <c r="I25" s="3">
        <f>HYPERLINK("https://scholar.google.com/citations?view_op=search_authors&amp;mauthors=Spring%20Berman%20Arizona%20State%20University", "Google Scholar Profile")</f>
        <v/>
      </c>
    </row>
    <row r="26">
      <c r="A26" s="2" t="inlineStr">
        <is>
          <t>T.-W. Lee</t>
        </is>
      </c>
      <c r="B26" s="2" t="inlineStr">
        <is>
          <t>Associate Professor</t>
        </is>
      </c>
      <c r="C26" s="2" t="inlineStr">
        <is>
          <t>Aerospace &amp; Mechanical Engineering</t>
        </is>
      </c>
      <c r="D26" s="2" t="inlineStr">
        <is>
          <t>Arizona State University</t>
        </is>
      </c>
      <c r="E26" s="3">
        <f>HYPERLINK("mailto:ATTWL@asu.edu", "ATTWL@asu.edu")</f>
        <v/>
      </c>
      <c r="F26" s="2" t="inlineStr">
        <is>
          <t>aerospace propulsion, propulsion</t>
        </is>
      </c>
      <c r="G26" s="2" t="b">
        <v>1</v>
      </c>
      <c r="H26" s="3">
        <f>HYPERLINK("https://search.asu.edu/profile/attwl", "https://search.asu.edu/profile/attwl")</f>
        <v/>
      </c>
      <c r="I26" s="3">
        <f>HYPERLINK("https://scholar.google.com/citations?view_op=search_authors&amp;mauthors=T.-W.%20Lee%20Arizona%20State%20University", "Google Scholar Profile")</f>
        <v/>
      </c>
    </row>
    <row r="27">
      <c r="A27" s="2" t="inlineStr">
        <is>
          <t>Tianyu Yang</t>
        </is>
      </c>
      <c r="B27" s="2" t="inlineStr">
        <is>
          <t>Assistant Professor</t>
        </is>
      </c>
      <c r="C27" s="2" t="inlineStr">
        <is>
          <t>Aerospace &amp; Mechanical Engineering</t>
        </is>
      </c>
      <c r="D27" s="2" t="inlineStr">
        <is>
          <t>Arizona State University</t>
        </is>
      </c>
      <c r="E27" s="3">
        <f>HYPERLINK("mailto:Tianyu.Yang@asu.edu", "Tianyu.Yang@asu.edu")</f>
        <v/>
      </c>
      <c r="F27" s="2" t="inlineStr">
        <is>
          <t>heat transfer</t>
        </is>
      </c>
      <c r="G27" s="2" t="b">
        <v>1</v>
      </c>
      <c r="H27" s="3">
        <f>HYPERLINK("https://search.asu.edu/profile/tyang123", "https://search.asu.edu/profile/tyang123")</f>
        <v/>
      </c>
      <c r="I27" s="3">
        <f>HYPERLINK("https://scholar.google.com/citations?view_op=search_authors&amp;mauthors=Tianyu%20Yang%20Arizona%20State%20University", "Google Scholar Profile")</f>
        <v/>
      </c>
    </row>
    <row r="28">
      <c r="A28" s="2" t="inlineStr">
        <is>
          <t>Werner Dahm</t>
        </is>
      </c>
      <c r="B28" s="2" t="inlineStr">
        <is>
          <t>SUM/WTR Faculty Research</t>
        </is>
      </c>
      <c r="C28" s="2" t="inlineStr">
        <is>
          <t>Aerospace &amp; Mechanical Engineering</t>
        </is>
      </c>
      <c r="D28" s="2" t="inlineStr">
        <is>
          <t>Arizona State University</t>
        </is>
      </c>
      <c r="E28" s="3">
        <f>HYPERLINK("mailto:Werner.Dahm@asu.edu", "Werner.Dahm@asu.edu")</f>
        <v/>
      </c>
      <c r="F28" s="2" t="inlineStr">
        <is>
          <t>combustion, computational physics, fluid dynamics, heat transfer, propulsion, turbulence</t>
        </is>
      </c>
      <c r="G28" s="2" t="b">
        <v>1</v>
      </c>
      <c r="H28" s="3">
        <f>HYPERLINK("https://search.asu.edu/profile/wdahm", "https://search.asu.edu/profile/wdahm")</f>
        <v/>
      </c>
      <c r="I28" s="3">
        <f>HYPERLINK("https://scholar.google.com/citations?view_op=search_authors&amp;mauthors=Werner%20Dahm%20Arizona%20State%20University", "Google Scholar Profile")</f>
        <v/>
      </c>
    </row>
    <row r="29">
      <c r="A29" s="2" t="inlineStr">
        <is>
          <t>Yi Ren</t>
        </is>
      </c>
      <c r="B29" s="2" t="inlineStr">
        <is>
          <t>Associate Professor</t>
        </is>
      </c>
      <c r="C29" s="2" t="inlineStr">
        <is>
          <t>Aerospace &amp; Mechanical Engineering</t>
        </is>
      </c>
      <c r="D29" s="2" t="inlineStr">
        <is>
          <t>Arizona State University</t>
        </is>
      </c>
      <c r="E29" s="3">
        <f>HYPERLINK("mailto:yiren@asu.edu", "yiren@asu.edu")</f>
        <v/>
      </c>
      <c r="F29" s="2" t="inlineStr">
        <is>
          <t>optimization</t>
        </is>
      </c>
      <c r="G29" s="2" t="b">
        <v>1</v>
      </c>
      <c r="H29" s="3">
        <f>HYPERLINK("https://search.asu.edu/profile/yren32", "https://search.asu.edu/profile/yren32")</f>
        <v/>
      </c>
      <c r="I29" s="3">
        <f>HYPERLINK("https://scholar.google.com/citations?view_op=search_authors&amp;mauthors=Yi%20Ren%20Arizona%20State%20University", "Google Scholar Profile")</f>
        <v/>
      </c>
    </row>
    <row r="30">
      <c r="A30" s="2" t="inlineStr">
        <is>
          <t>Yongming Liu</t>
        </is>
      </c>
      <c r="B30" s="2" t="inlineStr">
        <is>
          <t>Professor</t>
        </is>
      </c>
      <c r="C30" s="2" t="inlineStr">
        <is>
          <t>Aerospace &amp; Mechanical Engineering</t>
        </is>
      </c>
      <c r="D30" s="2" t="inlineStr">
        <is>
          <t>Arizona State University</t>
        </is>
      </c>
      <c r="E30" s="3">
        <f>HYPERLINK("mailto:Yongming.Liu@asu.edu", "Yongming.Liu@asu.edu")</f>
        <v/>
      </c>
      <c r="F30" s="2" t="inlineStr">
        <is>
          <t>uncertainty quantification</t>
        </is>
      </c>
      <c r="G30" s="2" t="b">
        <v>1</v>
      </c>
      <c r="H30" s="3">
        <f>HYPERLINK("https://search.asu.edu/profile/yliu35", "https://search.asu.edu/profile/yliu35")</f>
        <v/>
      </c>
      <c r="I30" s="3">
        <f>HYPERLINK("https://scholar.google.com/citations?view_op=search_authors&amp;mauthors=Yongming%20Liu%20Arizona%20State%20University", "Google Scholar Profile")</f>
        <v/>
      </c>
    </row>
    <row r="31">
      <c r="A31" s="2" t="inlineStr">
        <is>
          <t>Yulia Peet</t>
        </is>
      </c>
      <c r="B31" s="2" t="inlineStr">
        <is>
          <t>Professor</t>
        </is>
      </c>
      <c r="C31" s="2" t="inlineStr">
        <is>
          <t>Aerospace &amp; Mechanical Engineering</t>
        </is>
      </c>
      <c r="D31" s="2" t="inlineStr">
        <is>
          <t>Arizona State University</t>
        </is>
      </c>
      <c r="E31" s="3">
        <f>HYPERLINK("mailto:ypeet@asu.edu", "ypeet@asu.edu")</f>
        <v/>
      </c>
      <c r="F31" s="2" t="inlineStr">
        <is>
          <t>fluid mechanics, high-performance computing, turbulence</t>
        </is>
      </c>
      <c r="G31" s="2" t="b">
        <v>1</v>
      </c>
      <c r="H31" s="3">
        <f>HYPERLINK("https://search.asu.edu/profile/ypeet", "https://search.asu.edu/profile/ypeet")</f>
        <v/>
      </c>
      <c r="I31" s="3">
        <f>HYPERLINK("https://scholar.google.com/citations?view_op=search_authors&amp;mauthors=Yulia%20Peet%20Arizona%20State%20University", "Google Scholar Profile")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E3" r:id="rId4"/>
    <hyperlink xmlns:r="http://schemas.openxmlformats.org/officeDocument/2006/relationships" ref="H3" r:id="rId5"/>
    <hyperlink xmlns:r="http://schemas.openxmlformats.org/officeDocument/2006/relationships" ref="I3" r:id="rId6"/>
    <hyperlink xmlns:r="http://schemas.openxmlformats.org/officeDocument/2006/relationships" ref="E4" r:id="rId7"/>
    <hyperlink xmlns:r="http://schemas.openxmlformats.org/officeDocument/2006/relationships" ref="H4" r:id="rId8"/>
    <hyperlink xmlns:r="http://schemas.openxmlformats.org/officeDocument/2006/relationships" ref="I4" r:id="rId9"/>
    <hyperlink xmlns:r="http://schemas.openxmlformats.org/officeDocument/2006/relationships" ref="E5" r:id="rId10"/>
    <hyperlink xmlns:r="http://schemas.openxmlformats.org/officeDocument/2006/relationships" ref="H5" r:id="rId11"/>
    <hyperlink xmlns:r="http://schemas.openxmlformats.org/officeDocument/2006/relationships" ref="I5" r:id="rId12"/>
    <hyperlink xmlns:r="http://schemas.openxmlformats.org/officeDocument/2006/relationships" ref="E6" r:id="rId13"/>
    <hyperlink xmlns:r="http://schemas.openxmlformats.org/officeDocument/2006/relationships" ref="H6" r:id="rId14"/>
    <hyperlink xmlns:r="http://schemas.openxmlformats.org/officeDocument/2006/relationships" ref="I6" r:id="rId15"/>
    <hyperlink xmlns:r="http://schemas.openxmlformats.org/officeDocument/2006/relationships" ref="E7" r:id="rId16"/>
    <hyperlink xmlns:r="http://schemas.openxmlformats.org/officeDocument/2006/relationships" ref="H7" r:id="rId17"/>
    <hyperlink xmlns:r="http://schemas.openxmlformats.org/officeDocument/2006/relationships" ref="I7" r:id="rId18"/>
    <hyperlink xmlns:r="http://schemas.openxmlformats.org/officeDocument/2006/relationships" ref="E8" r:id="rId19"/>
    <hyperlink xmlns:r="http://schemas.openxmlformats.org/officeDocument/2006/relationships" ref="H8" r:id="rId20"/>
    <hyperlink xmlns:r="http://schemas.openxmlformats.org/officeDocument/2006/relationships" ref="I8" r:id="rId21"/>
    <hyperlink xmlns:r="http://schemas.openxmlformats.org/officeDocument/2006/relationships" ref="E9" r:id="rId22"/>
    <hyperlink xmlns:r="http://schemas.openxmlformats.org/officeDocument/2006/relationships" ref="H9" r:id="rId23"/>
    <hyperlink xmlns:r="http://schemas.openxmlformats.org/officeDocument/2006/relationships" ref="I9" r:id="rId24"/>
    <hyperlink xmlns:r="http://schemas.openxmlformats.org/officeDocument/2006/relationships" ref="E10" r:id="rId25"/>
    <hyperlink xmlns:r="http://schemas.openxmlformats.org/officeDocument/2006/relationships" ref="H10" r:id="rId26"/>
    <hyperlink xmlns:r="http://schemas.openxmlformats.org/officeDocument/2006/relationships" ref="I10" r:id="rId27"/>
    <hyperlink xmlns:r="http://schemas.openxmlformats.org/officeDocument/2006/relationships" ref="E11" r:id="rId28"/>
    <hyperlink xmlns:r="http://schemas.openxmlformats.org/officeDocument/2006/relationships" ref="H11" r:id="rId29"/>
    <hyperlink xmlns:r="http://schemas.openxmlformats.org/officeDocument/2006/relationships" ref="I11" r:id="rId30"/>
    <hyperlink xmlns:r="http://schemas.openxmlformats.org/officeDocument/2006/relationships" ref="E12" r:id="rId31"/>
    <hyperlink xmlns:r="http://schemas.openxmlformats.org/officeDocument/2006/relationships" ref="H12" r:id="rId32"/>
    <hyperlink xmlns:r="http://schemas.openxmlformats.org/officeDocument/2006/relationships" ref="I12" r:id="rId33"/>
    <hyperlink xmlns:r="http://schemas.openxmlformats.org/officeDocument/2006/relationships" ref="E13" r:id="rId34"/>
    <hyperlink xmlns:r="http://schemas.openxmlformats.org/officeDocument/2006/relationships" ref="H13" r:id="rId35"/>
    <hyperlink xmlns:r="http://schemas.openxmlformats.org/officeDocument/2006/relationships" ref="I13" r:id="rId36"/>
    <hyperlink xmlns:r="http://schemas.openxmlformats.org/officeDocument/2006/relationships" ref="E14" r:id="rId37"/>
    <hyperlink xmlns:r="http://schemas.openxmlformats.org/officeDocument/2006/relationships" ref="H14" r:id="rId38"/>
    <hyperlink xmlns:r="http://schemas.openxmlformats.org/officeDocument/2006/relationships" ref="I14" r:id="rId39"/>
    <hyperlink xmlns:r="http://schemas.openxmlformats.org/officeDocument/2006/relationships" ref="E15" r:id="rId40"/>
    <hyperlink xmlns:r="http://schemas.openxmlformats.org/officeDocument/2006/relationships" ref="H15" r:id="rId41"/>
    <hyperlink xmlns:r="http://schemas.openxmlformats.org/officeDocument/2006/relationships" ref="I15" r:id="rId42"/>
    <hyperlink xmlns:r="http://schemas.openxmlformats.org/officeDocument/2006/relationships" ref="E16" r:id="rId43"/>
    <hyperlink xmlns:r="http://schemas.openxmlformats.org/officeDocument/2006/relationships" ref="H16" r:id="rId44"/>
    <hyperlink xmlns:r="http://schemas.openxmlformats.org/officeDocument/2006/relationships" ref="I16" r:id="rId45"/>
    <hyperlink xmlns:r="http://schemas.openxmlformats.org/officeDocument/2006/relationships" ref="E17" r:id="rId46"/>
    <hyperlink xmlns:r="http://schemas.openxmlformats.org/officeDocument/2006/relationships" ref="H17" r:id="rId47"/>
    <hyperlink xmlns:r="http://schemas.openxmlformats.org/officeDocument/2006/relationships" ref="I17" r:id="rId48"/>
    <hyperlink xmlns:r="http://schemas.openxmlformats.org/officeDocument/2006/relationships" ref="E18" r:id="rId49"/>
    <hyperlink xmlns:r="http://schemas.openxmlformats.org/officeDocument/2006/relationships" ref="H18" r:id="rId50"/>
    <hyperlink xmlns:r="http://schemas.openxmlformats.org/officeDocument/2006/relationships" ref="I18" r:id="rId51"/>
    <hyperlink xmlns:r="http://schemas.openxmlformats.org/officeDocument/2006/relationships" ref="E19" r:id="rId52"/>
    <hyperlink xmlns:r="http://schemas.openxmlformats.org/officeDocument/2006/relationships" ref="H19" r:id="rId53"/>
    <hyperlink xmlns:r="http://schemas.openxmlformats.org/officeDocument/2006/relationships" ref="I19" r:id="rId54"/>
    <hyperlink xmlns:r="http://schemas.openxmlformats.org/officeDocument/2006/relationships" ref="E20" r:id="rId55"/>
    <hyperlink xmlns:r="http://schemas.openxmlformats.org/officeDocument/2006/relationships" ref="H20" r:id="rId56"/>
    <hyperlink xmlns:r="http://schemas.openxmlformats.org/officeDocument/2006/relationships" ref="I20" r:id="rId57"/>
    <hyperlink xmlns:r="http://schemas.openxmlformats.org/officeDocument/2006/relationships" ref="E21" r:id="rId58"/>
    <hyperlink xmlns:r="http://schemas.openxmlformats.org/officeDocument/2006/relationships" ref="H21" r:id="rId59"/>
    <hyperlink xmlns:r="http://schemas.openxmlformats.org/officeDocument/2006/relationships" ref="I21" r:id="rId60"/>
    <hyperlink xmlns:r="http://schemas.openxmlformats.org/officeDocument/2006/relationships" ref="E22" r:id="rId61"/>
    <hyperlink xmlns:r="http://schemas.openxmlformats.org/officeDocument/2006/relationships" ref="H22" r:id="rId62"/>
    <hyperlink xmlns:r="http://schemas.openxmlformats.org/officeDocument/2006/relationships" ref="I22" r:id="rId63"/>
    <hyperlink xmlns:r="http://schemas.openxmlformats.org/officeDocument/2006/relationships" ref="E23" r:id="rId64"/>
    <hyperlink xmlns:r="http://schemas.openxmlformats.org/officeDocument/2006/relationships" ref="H23" r:id="rId65"/>
    <hyperlink xmlns:r="http://schemas.openxmlformats.org/officeDocument/2006/relationships" ref="I23" r:id="rId66"/>
    <hyperlink xmlns:r="http://schemas.openxmlformats.org/officeDocument/2006/relationships" ref="E24" r:id="rId67"/>
    <hyperlink xmlns:r="http://schemas.openxmlformats.org/officeDocument/2006/relationships" ref="H24" r:id="rId68"/>
    <hyperlink xmlns:r="http://schemas.openxmlformats.org/officeDocument/2006/relationships" ref="I24" r:id="rId69"/>
    <hyperlink xmlns:r="http://schemas.openxmlformats.org/officeDocument/2006/relationships" ref="E25" r:id="rId70"/>
    <hyperlink xmlns:r="http://schemas.openxmlformats.org/officeDocument/2006/relationships" ref="H25" r:id="rId71"/>
    <hyperlink xmlns:r="http://schemas.openxmlformats.org/officeDocument/2006/relationships" ref="I25" r:id="rId72"/>
    <hyperlink xmlns:r="http://schemas.openxmlformats.org/officeDocument/2006/relationships" ref="E26" r:id="rId73"/>
    <hyperlink xmlns:r="http://schemas.openxmlformats.org/officeDocument/2006/relationships" ref="H26" r:id="rId74"/>
    <hyperlink xmlns:r="http://schemas.openxmlformats.org/officeDocument/2006/relationships" ref="I26" r:id="rId75"/>
    <hyperlink xmlns:r="http://schemas.openxmlformats.org/officeDocument/2006/relationships" ref="E27" r:id="rId76"/>
    <hyperlink xmlns:r="http://schemas.openxmlformats.org/officeDocument/2006/relationships" ref="H27" r:id="rId77"/>
    <hyperlink xmlns:r="http://schemas.openxmlformats.org/officeDocument/2006/relationships" ref="I27" r:id="rId78"/>
    <hyperlink xmlns:r="http://schemas.openxmlformats.org/officeDocument/2006/relationships" ref="E28" r:id="rId79"/>
    <hyperlink xmlns:r="http://schemas.openxmlformats.org/officeDocument/2006/relationships" ref="H28" r:id="rId80"/>
    <hyperlink xmlns:r="http://schemas.openxmlformats.org/officeDocument/2006/relationships" ref="I28" r:id="rId81"/>
    <hyperlink xmlns:r="http://schemas.openxmlformats.org/officeDocument/2006/relationships" ref="E29" r:id="rId82"/>
    <hyperlink xmlns:r="http://schemas.openxmlformats.org/officeDocument/2006/relationships" ref="H29" r:id="rId83"/>
    <hyperlink xmlns:r="http://schemas.openxmlformats.org/officeDocument/2006/relationships" ref="I29" r:id="rId84"/>
    <hyperlink xmlns:r="http://schemas.openxmlformats.org/officeDocument/2006/relationships" ref="E30" r:id="rId85"/>
    <hyperlink xmlns:r="http://schemas.openxmlformats.org/officeDocument/2006/relationships" ref="H30" r:id="rId86"/>
    <hyperlink xmlns:r="http://schemas.openxmlformats.org/officeDocument/2006/relationships" ref="I30" r:id="rId87"/>
    <hyperlink xmlns:r="http://schemas.openxmlformats.org/officeDocument/2006/relationships" ref="E31" r:id="rId88"/>
    <hyperlink xmlns:r="http://schemas.openxmlformats.org/officeDocument/2006/relationships" ref="H31" r:id="rId89"/>
    <hyperlink xmlns:r="http://schemas.openxmlformats.org/officeDocument/2006/relationships" ref="I31" r:id="rId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38" customWidth="1" min="3" max="3"/>
    <col width="28" customWidth="1" min="4" max="4"/>
    <col width="44" customWidth="1" min="5" max="5"/>
    <col width="65" customWidth="1" min="6" max="6"/>
    <col width="18" customWidth="1" min="7" max="7"/>
    <col width="44" customWidth="1" min="8" max="8"/>
    <col width="29" customWidth="1" min="9" max="9"/>
  </cols>
  <sheetData>
    <row r="1">
      <c r="A1" s="1" t="inlineStr">
        <is>
          <t>Name</t>
        </is>
      </c>
      <c r="B1" s="1" t="inlineStr">
        <is>
          <t>Job Title</t>
        </is>
      </c>
      <c r="C1" s="1" t="inlineStr">
        <is>
          <t>Department</t>
        </is>
      </c>
      <c r="D1" s="1" t="inlineStr">
        <is>
          <t>University</t>
        </is>
      </c>
      <c r="E1" s="1" t="inlineStr">
        <is>
          <t>Email</t>
        </is>
      </c>
      <c r="F1" s="1" t="inlineStr">
        <is>
          <t>Matched Fields</t>
        </is>
      </c>
      <c r="G1" s="1" t="inlineStr">
        <is>
          <t>Is Field Match</t>
        </is>
      </c>
      <c r="H1" s="1" t="inlineStr">
        <is>
          <t>Profile URL</t>
        </is>
      </c>
      <c r="I1" s="1" t="inlineStr">
        <is>
          <t>Google Scholar URL</t>
        </is>
      </c>
    </row>
    <row r="2">
      <c r="A2" s="2" t="inlineStr">
        <is>
          <t>Aditi Chattopadhyay</t>
        </is>
      </c>
      <c r="B2" s="2" t="inlineStr">
        <is>
          <t>Regents Professor</t>
        </is>
      </c>
      <c r="C2" s="2" t="inlineStr">
        <is>
          <t>Aerospace &amp; Mechanical Engineering</t>
        </is>
      </c>
      <c r="D2" s="2" t="inlineStr">
        <is>
          <t>Arizona State University</t>
        </is>
      </c>
      <c r="E2" s="3">
        <f>HYPERLINK("mailto:aditi@asu.edu", "aditi@asu.edu")</f>
        <v/>
      </c>
      <c r="F2" s="2" t="inlineStr">
        <is>
          <t>inverse problems, multiscale modeling, optimization, transition</t>
        </is>
      </c>
      <c r="G2" s="2" t="b">
        <v>1</v>
      </c>
      <c r="H2" s="3">
        <f>HYPERLINK("https://search.asu.edu/profile/chattopa", "https://search.asu.edu/profile/chattopa")</f>
        <v/>
      </c>
      <c r="I2" s="3">
        <f>HYPERLINK("https://scholar.google.com/citations?view_op=search_authors&amp;mauthors=Aditi%20Chattopadhyay%20Arizona%20State%20University", "Google Scholar Profile")</f>
        <v/>
      </c>
    </row>
    <row r="3">
      <c r="A3" s="2" t="inlineStr">
        <is>
          <t>Aikaterini Stefanaki</t>
        </is>
      </c>
      <c r="B3" s="2" t="inlineStr">
        <is>
          <t>Associate Teaching Professor</t>
        </is>
      </c>
      <c r="C3" s="2" t="inlineStr">
        <is>
          <t>Aerospace &amp; Mechanical Engineering</t>
        </is>
      </c>
      <c r="D3" s="2" t="inlineStr">
        <is>
          <t>Arizona State University</t>
        </is>
      </c>
      <c r="E3" s="3">
        <f>HYPERLINK("mailto:astefan9@asu.edu", "astefan9@asu.edu")</f>
        <v/>
      </c>
      <c r="F3" s="2" t="inlineStr"/>
      <c r="G3" s="2" t="b">
        <v>0</v>
      </c>
      <c r="H3" s="3">
        <f>HYPERLINK("https://search.asu.edu/profile/astefan9", "https://search.asu.edu/profile/astefan9")</f>
        <v/>
      </c>
      <c r="I3" s="3">
        <f>HYPERLINK("https://scholar.google.com/citations?view_op=search_authors&amp;mauthors=Aikaterini%20Stefanaki%20Arizona%20State%20University", "Google Scholar Profile")</f>
        <v/>
      </c>
    </row>
    <row r="4">
      <c r="A4" s="2" t="inlineStr">
        <is>
          <t>Alberto Scotti</t>
        </is>
      </c>
      <c r="B4" s="2" t="inlineStr">
        <is>
          <t>Professor</t>
        </is>
      </c>
      <c r="C4" s="2" t="inlineStr">
        <is>
          <t>Aerospace &amp; Mechanical Engineering</t>
        </is>
      </c>
      <c r="D4" s="2" t="inlineStr">
        <is>
          <t>Arizona State University</t>
        </is>
      </c>
      <c r="E4" s="3">
        <f>HYPERLINK("mailto:Alberto.Scotti@asu.edu", "Alberto.Scotti@asu.edu")</f>
        <v/>
      </c>
      <c r="F4" s="2" t="inlineStr">
        <is>
          <t>applied mathematics, fluid mechanics, turbulent mixing</t>
        </is>
      </c>
      <c r="G4" s="2" t="b">
        <v>1</v>
      </c>
      <c r="H4" s="3">
        <f>HYPERLINK("https://search.asu.edu/profile/adscotti", "https://search.asu.edu/profile/adscotti")</f>
        <v/>
      </c>
      <c r="I4" s="3">
        <f>HYPERLINK("https://scholar.google.com/citations?view_op=search_authors&amp;mauthors=Alberto%20Scotti%20Arizona%20State%20University", "Google Scholar Profile")</f>
        <v/>
      </c>
    </row>
    <row r="5">
      <c r="A5" s="2" t="inlineStr">
        <is>
          <t>Beomjin Kwon</t>
        </is>
      </c>
      <c r="B5" s="2" t="inlineStr">
        <is>
          <t>Associate Professor</t>
        </is>
      </c>
      <c r="C5" s="2" t="inlineStr">
        <is>
          <t>Aerospace &amp; Mechanical Engineering</t>
        </is>
      </c>
      <c r="D5" s="2" t="inlineStr">
        <is>
          <t>Arizona State University</t>
        </is>
      </c>
      <c r="E5" s="3">
        <f>HYPERLINK("mailto:kwon@asu.edu", "kwon@asu.edu")</f>
        <v/>
      </c>
      <c r="F5" s="2" t="inlineStr">
        <is>
          <t>data-driven modeling, heat transfer, transport phenomena</t>
        </is>
      </c>
      <c r="G5" s="2" t="b">
        <v>1</v>
      </c>
      <c r="H5" s="3">
        <f>HYPERLINK("https://search.asu.edu/profile/bkwon2", "https://search.asu.edu/profile/bkwon2")</f>
        <v/>
      </c>
      <c r="I5" s="3">
        <f>HYPERLINK("https://scholar.google.com/citations?view_op=search_authors&amp;mauthors=Beomjin%20Kwon%20Arizona%20State%20University", "Google Scholar Profile")</f>
        <v/>
      </c>
    </row>
    <row r="6">
      <c r="A6" s="2" t="inlineStr">
        <is>
          <t>Cindy (Xiangjia) Li</t>
        </is>
      </c>
      <c r="B6" s="2" t="inlineStr">
        <is>
          <t>Associate Professor</t>
        </is>
      </c>
      <c r="C6" s="2" t="inlineStr">
        <is>
          <t>Aerospace &amp; Mechanical Engineering</t>
        </is>
      </c>
      <c r="D6" s="2" t="inlineStr">
        <is>
          <t>Arizona State University</t>
        </is>
      </c>
      <c r="E6" s="3">
        <f>HYPERLINK("mailto:xiangjia.li@asu.edu", "xiangjia.li@asu.edu")</f>
        <v/>
      </c>
      <c r="F6" s="2" t="inlineStr"/>
      <c r="G6" s="2" t="b">
        <v>0</v>
      </c>
      <c r="H6" s="3">
        <f>HYPERLINK("https://search.asu.edu/profile/xiangji5", "https://search.asu.edu/profile/xiangji5")</f>
        <v/>
      </c>
      <c r="I6" s="3">
        <f>HYPERLINK("https://scholar.google.com/citations?view_op=search_authors&amp;mauthors=Cindy%20%28Xiangjia%29%20Li%20Arizona%20State%20University", "Google Scholar Profile")</f>
        <v/>
      </c>
    </row>
    <row r="7">
      <c r="A7" s="2" t="inlineStr">
        <is>
          <t>Derrick Speaks</t>
        </is>
      </c>
      <c r="B7" s="2" t="inlineStr">
        <is>
          <t>Assistant Teaching Professor</t>
        </is>
      </c>
      <c r="C7" s="2" t="inlineStr">
        <is>
          <t>Aerospace &amp; Mechanical Engineering</t>
        </is>
      </c>
      <c r="D7" s="2" t="inlineStr">
        <is>
          <t>Arizona State University</t>
        </is>
      </c>
      <c r="E7" s="3">
        <f>HYPERLINK("mailto:Derrick.Speaks@asu.edu", "Derrick.Speaks@asu.edu")</f>
        <v/>
      </c>
      <c r="F7" s="2" t="inlineStr"/>
      <c r="G7" s="2" t="b">
        <v>0</v>
      </c>
      <c r="H7" s="3">
        <f>HYPERLINK("https://search.asu.edu/profile/dspeaks2", "https://search.asu.edu/profile/dspeaks2")</f>
        <v/>
      </c>
      <c r="I7" s="3">
        <f>HYPERLINK("https://scholar.google.com/citations?view_op=search_authors&amp;mauthors=Derrick%20Speaks%20Arizona%20State%20University", "Google Scholar Profile")</f>
        <v/>
      </c>
    </row>
    <row r="8">
      <c r="A8" s="2" t="inlineStr">
        <is>
          <t>Erik Andersen</t>
        </is>
      </c>
      <c r="B8" s="2" t="inlineStr">
        <is>
          <t>Faculty Associate</t>
        </is>
      </c>
      <c r="C8" s="2" t="inlineStr">
        <is>
          <t>Aerospace &amp; Mechanical Engineering</t>
        </is>
      </c>
      <c r="D8" s="2" t="inlineStr">
        <is>
          <t>Arizona State University</t>
        </is>
      </c>
      <c r="E8" s="3">
        <f>HYPERLINK("mailto:Erik.J.Andersen@asu.edu", "Erik.J.Andersen@asu.edu")</f>
        <v/>
      </c>
      <c r="F8" s="2" t="inlineStr"/>
      <c r="G8" s="2" t="b">
        <v>0</v>
      </c>
      <c r="H8" s="3">
        <f>HYPERLINK("https://search.asu.edu/profile/ejande22", "https://search.asu.edu/profile/ejande22")</f>
        <v/>
      </c>
      <c r="I8" s="3">
        <f>HYPERLINK("https://scholar.google.com/citations?view_op=search_authors&amp;mauthors=Erik%20Andersen%20Arizona%20State%20University", "Google Scholar Profile")</f>
        <v/>
      </c>
    </row>
    <row r="9">
      <c r="A9" s="2" t="inlineStr">
        <is>
          <t>Gokul Pathikonda</t>
        </is>
      </c>
      <c r="B9" s="2" t="inlineStr">
        <is>
          <t>Assistant Professor</t>
        </is>
      </c>
      <c r="C9" s="2" t="inlineStr">
        <is>
          <t>Aerospace &amp; Mechanical Engineering</t>
        </is>
      </c>
      <c r="D9" s="2" t="inlineStr">
        <is>
          <t>Arizona State University</t>
        </is>
      </c>
      <c r="E9" s="3">
        <f>HYPERLINK("mailto:Gokul.Pathikonda@asu.edu", "Gokul.Pathikonda@asu.edu")</f>
        <v/>
      </c>
      <c r="F9" s="2" t="inlineStr">
        <is>
          <t>aerodynamics, reacting flows, turbulence, turbulent mixing</t>
        </is>
      </c>
      <c r="G9" s="2" t="b">
        <v>1</v>
      </c>
      <c r="H9" s="3">
        <f>HYPERLINK("https://search.asu.edu/profile/gpathiko", "https://search.asu.edu/profile/gpathiko")</f>
        <v/>
      </c>
      <c r="I9" s="3">
        <f>HYPERLINK("https://scholar.google.com/citations?view_op=search_authors&amp;mauthors=Gokul%20Pathikonda%20Arizona%20State%20University", "Google Scholar Profile")</f>
        <v/>
      </c>
    </row>
    <row r="10">
      <c r="A10" s="2" t="inlineStr">
        <is>
          <t>Hamidreza Marvi</t>
        </is>
      </c>
      <c r="B10" s="2" t="inlineStr">
        <is>
          <t>Associate Professor</t>
        </is>
      </c>
      <c r="C10" s="2" t="inlineStr">
        <is>
          <t>Aerospace &amp; Mechanical Engineering</t>
        </is>
      </c>
      <c r="D10" s="2" t="inlineStr">
        <is>
          <t>Arizona State University</t>
        </is>
      </c>
      <c r="E10" s="3">
        <f>HYPERLINK("mailto:hmarvi@asu.edu", "hmarvi@asu.edu")</f>
        <v/>
      </c>
      <c r="F10" s="2" t="inlineStr"/>
      <c r="G10" s="2" t="b">
        <v>0</v>
      </c>
      <c r="H10" s="3">
        <f>HYPERLINK("https://search.asu.edu/profile/hmarvi", "https://search.asu.edu/profile/hmarvi")</f>
        <v/>
      </c>
      <c r="I10" s="3">
        <f>HYPERLINK("https://scholar.google.com/citations?view_op=search_authors&amp;mauthors=Hamidreza%20Marvi%20Arizona%20State%20University", "Google Scholar Profile")</f>
        <v/>
      </c>
    </row>
    <row r="11">
      <c r="A11" s="2" t="inlineStr">
        <is>
          <t>Houlong Zhuang</t>
        </is>
      </c>
      <c r="B11" s="2" t="inlineStr">
        <is>
          <t>Associate Professor</t>
        </is>
      </c>
      <c r="C11" s="2" t="inlineStr">
        <is>
          <t>Aerospace &amp; Mechanical Engineering</t>
        </is>
      </c>
      <c r="D11" s="2" t="inlineStr">
        <is>
          <t>Arizona State University</t>
        </is>
      </c>
      <c r="E11" s="3">
        <f>HYPERLINK("mailto:zhuanghl@asu.edu", "zhuanghl@asu.edu")</f>
        <v/>
      </c>
      <c r="F11" s="2" t="inlineStr">
        <is>
          <t>computational physics</t>
        </is>
      </c>
      <c r="G11" s="2" t="b">
        <v>1</v>
      </c>
      <c r="H11" s="3">
        <f>HYPERLINK("https://search.asu.edu/profile/hzhuang7", "https://search.asu.edu/profile/hzhuang7")</f>
        <v/>
      </c>
      <c r="I11" s="3">
        <f>HYPERLINK("https://scholar.google.com/citations?view_op=search_authors&amp;mauthors=Houlong%20Zhuang%20Arizona%20State%20University", "Google Scholar Profile")</f>
        <v/>
      </c>
    </row>
    <row r="12">
      <c r="A12" s="2" t="inlineStr">
        <is>
          <t>Huan Wu</t>
        </is>
      </c>
      <c r="B12" s="2" t="inlineStr">
        <is>
          <t>Faculty</t>
        </is>
      </c>
      <c r="C12" s="2" t="inlineStr">
        <is>
          <t>Aerospace &amp; Mechanical Engineering</t>
        </is>
      </c>
      <c r="D12" s="2" t="inlineStr">
        <is>
          <t>Arizona State University</t>
        </is>
      </c>
      <c r="E12" s="3">
        <f>HYPERLINK("mailto:huanwu@asu.edu", "huanwu@asu.edu")</f>
        <v/>
      </c>
      <c r="F12" s="2" t="inlineStr">
        <is>
          <t>computational physics</t>
        </is>
      </c>
      <c r="G12" s="2" t="b">
        <v>1</v>
      </c>
      <c r="H12" s="3">
        <f>HYPERLINK("https://search.asu.edu/profile/huanwu", "https://search.asu.edu/profile/huanwu")</f>
        <v/>
      </c>
      <c r="I12" s="3">
        <f>HYPERLINK("https://scholar.google.com/citations?view_op=search_authors&amp;mauthors=Huan%20Wu%20Arizona%20State%20University", "Google Scholar Profile")</f>
        <v/>
      </c>
    </row>
    <row r="13">
      <c r="A13" s="2" t="inlineStr">
        <is>
          <t>Huei-Ping Huang</t>
        </is>
      </c>
      <c r="B13" s="2" t="inlineStr">
        <is>
          <t>Associate Professor</t>
        </is>
      </c>
      <c r="C13" s="2" t="inlineStr">
        <is>
          <t>Aerospace &amp; Mechanical Engineering</t>
        </is>
      </c>
      <c r="D13" s="2" t="inlineStr">
        <is>
          <t>Arizona State University</t>
        </is>
      </c>
      <c r="E13" s="3">
        <f>HYPERLINK("mailto:Huei-Ping.Huang@asu.edu", "Huei-Ping.Huang@asu.edu")</f>
        <v/>
      </c>
      <c r="F13" s="2" t="inlineStr">
        <is>
          <t>fluid dynamics, numerical simulation</t>
        </is>
      </c>
      <c r="G13" s="2" t="b">
        <v>1</v>
      </c>
      <c r="H13" s="3">
        <f>HYPERLINK("https://search.asu.edu/profile/hhuang38", "https://search.asu.edu/profile/hhuang38")</f>
        <v/>
      </c>
      <c r="I13" s="3">
        <f>HYPERLINK("https://scholar.google.com/citations?view_op=search_authors&amp;mauthors=Huei-Ping%20Huang%20Arizona%20State%20University", "Google Scholar Profile")</f>
        <v/>
      </c>
    </row>
    <row r="14">
      <c r="A14" s="2" t="inlineStr">
        <is>
          <t>Hyunglae Lee</t>
        </is>
      </c>
      <c r="B14" s="2" t="inlineStr">
        <is>
          <t>Associate Professor</t>
        </is>
      </c>
      <c r="C14" s="2" t="inlineStr">
        <is>
          <t>Aerospace &amp; Mechanical Engineering</t>
        </is>
      </c>
      <c r="D14" s="2" t="inlineStr">
        <is>
          <t>Arizona State University</t>
        </is>
      </c>
      <c r="E14" s="3">
        <f>HYPERLINK("mailto:Hyunglae.Lee@asu.edu", "Hyunglae.Lee@asu.edu")</f>
        <v/>
      </c>
      <c r="F14" s="2" t="inlineStr"/>
      <c r="G14" s="2" t="b">
        <v>0</v>
      </c>
      <c r="H14" s="3">
        <f>HYPERLINK("https://search.asu.edu/profile/hlee234", "https://search.asu.edu/profile/hlee234")</f>
        <v/>
      </c>
      <c r="I14" s="3">
        <f>HYPERLINK("https://scholar.google.com/citations?view_op=search_authors&amp;mauthors=Hyunglae%20Lee%20Arizona%20State%20University", "Google Scholar Profile")</f>
        <v/>
      </c>
    </row>
    <row r="15">
      <c r="A15" s="2" t="inlineStr">
        <is>
          <t>Ivy Chang</t>
        </is>
      </c>
      <c r="B15" s="2" t="inlineStr">
        <is>
          <t>Assistant Teaching Professor</t>
        </is>
      </c>
      <c r="C15" s="2" t="inlineStr">
        <is>
          <t>Aerospace &amp; Mechanical Engineering</t>
        </is>
      </c>
      <c r="D15" s="2" t="inlineStr">
        <is>
          <t>Arizona State University</t>
        </is>
      </c>
      <c r="E15" s="3">
        <f>HYPERLINK("mailto:Ivy.Chang@asu.edu", "Ivy.Chang@asu.edu")</f>
        <v/>
      </c>
      <c r="F15" s="2" t="inlineStr"/>
      <c r="G15" s="2" t="b">
        <v>0</v>
      </c>
      <c r="H15" s="3">
        <f>HYPERLINK("https://search.asu.edu/profile/iychang", "https://search.asu.edu/profile/iychang")</f>
        <v/>
      </c>
      <c r="I15" s="3">
        <f>HYPERLINK("https://scholar.google.com/citations?view_op=search_authors&amp;mauthors=Ivy%20Chang%20Arizona%20State%20University", "Google Scholar Profile")</f>
        <v/>
      </c>
    </row>
    <row r="16">
      <c r="A16" s="2" t="inlineStr">
        <is>
          <t>Jagannathan Rajagopalan</t>
        </is>
      </c>
      <c r="B16" s="2" t="inlineStr">
        <is>
          <t>Associate Professor</t>
        </is>
      </c>
      <c r="C16" s="2" t="inlineStr">
        <is>
          <t>Aerospace &amp; Mechanical Engineering</t>
        </is>
      </c>
      <c r="D16" s="2" t="inlineStr">
        <is>
          <t>Arizona State University</t>
        </is>
      </c>
      <c r="E16" s="3">
        <f>HYPERLINK("mailto:Jagannathan.Rajagopalan@asu.edu", "Jagannathan.Rajagopalan@asu.edu")</f>
        <v/>
      </c>
      <c r="F16" s="2" t="inlineStr">
        <is>
          <t>optimization</t>
        </is>
      </c>
      <c r="G16" s="2" t="b">
        <v>1</v>
      </c>
      <c r="H16" s="3">
        <f>HYPERLINK("https://search.asu.edu/profile/jrajago1", "https://search.asu.edu/profile/jrajago1")</f>
        <v/>
      </c>
      <c r="I16" s="3">
        <f>HYPERLINK("https://scholar.google.com/citations?view_op=search_authors&amp;mauthors=Jagannathan%20Rajagopalan%20Arizona%20State%20University", "Google Scholar Profile")</f>
        <v/>
      </c>
    </row>
    <row r="17">
      <c r="A17" s="2" t="inlineStr">
        <is>
          <t>James Middleton</t>
        </is>
      </c>
      <c r="B17" s="2" t="inlineStr">
        <is>
          <t>Professor</t>
        </is>
      </c>
      <c r="C17" s="2" t="inlineStr">
        <is>
          <t>Aerospace &amp; Mechanical Engineering</t>
        </is>
      </c>
      <c r="D17" s="2" t="inlineStr">
        <is>
          <t>Arizona State University</t>
        </is>
      </c>
      <c r="E17" s="3">
        <f>HYPERLINK("mailto:jimbo@asu.edu", "jimbo@asu.edu")</f>
        <v/>
      </c>
      <c r="F17" s="2" t="inlineStr"/>
      <c r="G17" s="2" t="b">
        <v>0</v>
      </c>
      <c r="H17" s="3">
        <f>HYPERLINK("https://search.asu.edu/profile/jimbo", "https://search.asu.edu/profile/jimbo")</f>
        <v/>
      </c>
      <c r="I17" s="3">
        <f>HYPERLINK("https://scholar.google.com/citations?view_op=search_authors&amp;mauthors=James%20Middleton%20Arizona%20State%20University", "Google Scholar Profile")</f>
        <v/>
      </c>
    </row>
    <row r="18">
      <c r="A18" s="2" t="inlineStr">
        <is>
          <t>Jay Oswald</t>
        </is>
      </c>
      <c r="B18" s="2" t="inlineStr">
        <is>
          <t>Associate Professor</t>
        </is>
      </c>
      <c r="C18" s="2" t="inlineStr">
        <is>
          <t>Aerospace &amp; Mechanical Engineering</t>
        </is>
      </c>
      <c r="D18" s="2" t="inlineStr">
        <is>
          <t>Arizona State University</t>
        </is>
      </c>
      <c r="E18" s="3">
        <f>HYPERLINK("mailto:joswald1@asu.edu", "joswald1@asu.edu")</f>
        <v/>
      </c>
      <c r="F18" s="2" t="inlineStr">
        <is>
          <t>finite element</t>
        </is>
      </c>
      <c r="G18" s="2" t="b">
        <v>1</v>
      </c>
      <c r="H18" s="3">
        <f>HYPERLINK("https://search.asu.edu/profile/joswald1", "https://search.asu.edu/profile/joswald1")</f>
        <v/>
      </c>
      <c r="I18" s="3">
        <f>HYPERLINK("https://scholar.google.com/citations?view_op=search_authors&amp;mauthors=Jay%20Oswald%20Arizona%20State%20University", "Google Scholar Profile")</f>
        <v/>
      </c>
    </row>
    <row r="19">
      <c r="A19" s="2" t="inlineStr">
        <is>
          <t>Jeonglae Kim</t>
        </is>
      </c>
      <c r="B19" s="2" t="inlineStr">
        <is>
          <t>Assistant Professor</t>
        </is>
      </c>
      <c r="C19" s="2" t="inlineStr">
        <is>
          <t>Aerospace &amp; Mechanical Engineering</t>
        </is>
      </c>
      <c r="D19" s="2" t="inlineStr">
        <is>
          <t>Arizona State University</t>
        </is>
      </c>
      <c r="E19" s="3">
        <f>HYPERLINK("mailto:jeokim@asu.edu", "jeokim@asu.edu")</f>
        <v/>
      </c>
      <c r="F19" s="2" t="inlineStr">
        <is>
          <t>aeroacoustics, flow control, optimization, turbulence, turbulent flows</t>
        </is>
      </c>
      <c r="G19" s="2" t="b">
        <v>1</v>
      </c>
      <c r="H19" s="3">
        <f>HYPERLINK("https://search.asu.edu/profile/jkim520", "https://search.asu.edu/profile/jkim520")</f>
        <v/>
      </c>
      <c r="I19" s="3">
        <f>HYPERLINK("https://scholar.google.com/citations?view_op=search_authors&amp;mauthors=Jeonglae%20Kim%20Arizona%20State%20University", "Google Scholar Profile")</f>
        <v/>
      </c>
    </row>
    <row r="20">
      <c r="A20" s="2" t="inlineStr">
        <is>
          <t>Jiefeng Sun</t>
        </is>
      </c>
      <c r="B20" s="2" t="inlineStr">
        <is>
          <t>Assistant Professor</t>
        </is>
      </c>
      <c r="C20" s="2" t="inlineStr">
        <is>
          <t>Aerospace &amp; Mechanical Engineering</t>
        </is>
      </c>
      <c r="D20" s="2" t="inlineStr">
        <is>
          <t>Arizona State University</t>
        </is>
      </c>
      <c r="E20" s="3">
        <f>HYPERLINK("mailto:Jiefeng.Sun@asu.edu", "Jiefeng.Sun@asu.edu")</f>
        <v/>
      </c>
      <c r="F20" s="2" t="inlineStr"/>
      <c r="G20" s="2" t="b">
        <v>0</v>
      </c>
      <c r="H20" s="3">
        <f>HYPERLINK("https://search.asu.edu/profile/jsun165", "https://search.asu.edu/profile/jsun165")</f>
        <v/>
      </c>
      <c r="I20" s="3">
        <f>HYPERLINK("https://scholar.google.com/citations?view_op=search_authors&amp;mauthors=Jiefeng%20Sun%20Arizona%20State%20University", "Google Scholar Profile")</f>
        <v/>
      </c>
    </row>
    <row r="21">
      <c r="A21" s="2" t="inlineStr">
        <is>
          <t>Joshua Wilbur</t>
        </is>
      </c>
      <c r="B21" s="2" t="inlineStr">
        <is>
          <t>Associate Teaching Professor</t>
        </is>
      </c>
      <c r="C21" s="2" t="inlineStr">
        <is>
          <t>Aerospace &amp; Mechanical Engineering</t>
        </is>
      </c>
      <c r="D21" s="2" t="inlineStr">
        <is>
          <t>Arizona State University</t>
        </is>
      </c>
      <c r="E21" s="3">
        <f>HYPERLINK("mailto:Joshua.Wilbur@asu.edu", "Joshua.Wilbur@asu.edu")</f>
        <v/>
      </c>
      <c r="F21" s="2" t="inlineStr"/>
      <c r="G21" s="2" t="b">
        <v>0</v>
      </c>
      <c r="H21" s="3">
        <f>HYPERLINK("https://search.asu.edu/profile/jdwilbu1", "https://search.asu.edu/profile/jdwilbu1")</f>
        <v/>
      </c>
      <c r="I21" s="3">
        <f>HYPERLINK("https://scholar.google.com/citations?view_op=search_authors&amp;mauthors=Joshua%20Wilbur%20Arizona%20State%20University", "Google Scholar Profile")</f>
        <v/>
      </c>
    </row>
    <row r="22">
      <c r="A22" s="2" t="inlineStr">
        <is>
          <t>Kangping Chen</t>
        </is>
      </c>
      <c r="B22" s="2" t="inlineStr">
        <is>
          <t>Associate Professor</t>
        </is>
      </c>
      <c r="C22" s="2" t="inlineStr">
        <is>
          <t>Aerospace &amp; Mechanical Engineering</t>
        </is>
      </c>
      <c r="D22" s="2" t="inlineStr">
        <is>
          <t>Arizona State University</t>
        </is>
      </c>
      <c r="E22" s="3">
        <f>HYPERLINK("mailto:k.p.chen@asu.edu", "k.p.chen@asu.edu")</f>
        <v/>
      </c>
      <c r="F22" s="2" t="inlineStr">
        <is>
          <t>computational fluid dynamics, drag reduction, fluid dynamics, fluid mechanics, multiphase flow</t>
        </is>
      </c>
      <c r="G22" s="2" t="b">
        <v>1</v>
      </c>
      <c r="H22" s="3">
        <f>HYPERLINK("https://search.asu.edu/profile/asuchen", "https://search.asu.edu/profile/asuchen")</f>
        <v/>
      </c>
      <c r="I22" s="3">
        <f>HYPERLINK("https://scholar.google.com/citations?view_op=search_authors&amp;mauthors=Kangping%20Chen%20Arizona%20State%20University", "Google Scholar Profile")</f>
        <v/>
      </c>
    </row>
    <row r="23">
      <c r="A23" s="2" t="inlineStr">
        <is>
          <t>Kiran Ramesh</t>
        </is>
      </c>
      <c r="B23" s="2" t="inlineStr">
        <is>
          <t>Associate Professor</t>
        </is>
      </c>
      <c r="C23" s="2" t="inlineStr">
        <is>
          <t>Aerospace &amp; Mechanical Engineering</t>
        </is>
      </c>
      <c r="D23" s="2" t="inlineStr">
        <is>
          <t>Arizona State University</t>
        </is>
      </c>
      <c r="E23" s="3">
        <f>HYPERLINK("mailto:Kiran.Ramesh@asu.edu", "Kiran.Ramesh@asu.edu")</f>
        <v/>
      </c>
      <c r="F23" s="2" t="inlineStr">
        <is>
          <t>aerodynamics, flow control, fluid dynamics, turbulence, vortex dynamics</t>
        </is>
      </c>
      <c r="G23" s="2" t="b">
        <v>1</v>
      </c>
      <c r="H23" s="3">
        <f>HYPERLINK("https://search.asu.edu/profile/kramesh2", "https://search.asu.edu/profile/kramesh2")</f>
        <v/>
      </c>
      <c r="I23" s="3">
        <f>HYPERLINK("https://scholar.google.com/citations?view_op=search_authors&amp;mauthors=Kiran%20Ramesh%20Arizona%20State%20University", "Google Scholar Profile")</f>
        <v/>
      </c>
    </row>
    <row r="24">
      <c r="A24" s="2" t="inlineStr">
        <is>
          <t>Konrad Rykaczewski</t>
        </is>
      </c>
      <c r="B24" s="2" t="inlineStr">
        <is>
          <t>Associate Professor</t>
        </is>
      </c>
      <c r="C24" s="2" t="inlineStr">
        <is>
          <t>Aerospace &amp; Mechanical Engineering</t>
        </is>
      </c>
      <c r="D24" s="2" t="inlineStr">
        <is>
          <t>Arizona State University</t>
        </is>
      </c>
      <c r="E24" s="3">
        <f>HYPERLINK("mailto:konradr@asu.edu", "konradr@asu.edu")</f>
        <v/>
      </c>
      <c r="F24" s="2" t="inlineStr"/>
      <c r="G24" s="2" t="b">
        <v>0</v>
      </c>
      <c r="H24" s="3">
        <f>HYPERLINK("https://search.asu.edu/profile/krykacze", "https://search.asu.edu/profile/krykacze")</f>
        <v/>
      </c>
      <c r="I24" s="3">
        <f>HYPERLINK("https://scholar.google.com/citations?view_op=search_authors&amp;mauthors=Konrad%20Rykaczewski%20Arizona%20State%20University", "Google Scholar Profile")</f>
        <v/>
      </c>
    </row>
    <row r="25">
      <c r="A25" s="2" t="inlineStr">
        <is>
          <t>Kunal Garg</t>
        </is>
      </c>
      <c r="B25" s="2" t="inlineStr">
        <is>
          <t>Assistant Professor</t>
        </is>
      </c>
      <c r="C25" s="2" t="inlineStr">
        <is>
          <t>Aerospace &amp; Mechanical Engineering</t>
        </is>
      </c>
      <c r="D25" s="2" t="inlineStr">
        <is>
          <t>Arizona State University</t>
        </is>
      </c>
      <c r="E25" s="3">
        <f>HYPERLINK("mailto:kgarg24@asu.edu", "kgarg24@asu.edu")</f>
        <v/>
      </c>
      <c r="F25" s="2" t="inlineStr">
        <is>
          <t>optimization</t>
        </is>
      </c>
      <c r="G25" s="2" t="b">
        <v>1</v>
      </c>
      <c r="H25" s="3">
        <f>HYPERLINK("https://search.asu.edu/profile/kgarg24", "https://search.asu.edu/profile/kgarg24")</f>
        <v/>
      </c>
      <c r="I25" s="3">
        <f>HYPERLINK("https://scholar.google.com/citations?view_op=search_authors&amp;mauthors=Kunal%20Garg%20Arizona%20State%20University", "Google Scholar Profile")</f>
        <v/>
      </c>
    </row>
    <row r="26">
      <c r="A26" s="2" t="inlineStr">
        <is>
          <t>Leila Ladani</t>
        </is>
      </c>
      <c r="B26" s="2" t="inlineStr">
        <is>
          <t>Professor</t>
        </is>
      </c>
      <c r="C26" s="2" t="inlineStr">
        <is>
          <t>Aerospace &amp; Mechanical Engineering</t>
        </is>
      </c>
      <c r="D26" s="2" t="inlineStr">
        <is>
          <t>Arizona State University</t>
        </is>
      </c>
      <c r="E26" s="3">
        <f>HYPERLINK("mailto:ladani@asu.edu", "ladani@asu.edu")</f>
        <v/>
      </c>
      <c r="F26" s="2" t="inlineStr"/>
      <c r="G26" s="2" t="b">
        <v>0</v>
      </c>
      <c r="H26" s="3">
        <f>HYPERLINK("https://search.asu.edu/profile/ljannesa", "https://search.asu.edu/profile/ljannesa")</f>
        <v/>
      </c>
      <c r="I26" s="3">
        <f>HYPERLINK("https://scholar.google.com/citations?view_op=search_authors&amp;mauthors=Leila%20Ladani%20Arizona%20State%20University", "Google Scholar Profile")</f>
        <v/>
      </c>
    </row>
    <row r="27">
      <c r="A27" s="2" t="inlineStr">
        <is>
          <t>Leixin Ma</t>
        </is>
      </c>
      <c r="B27" s="2" t="inlineStr">
        <is>
          <t>Assistant Professor</t>
        </is>
      </c>
      <c r="C27" s="2" t="inlineStr">
        <is>
          <t>Aerospace &amp; Mechanical Engineering</t>
        </is>
      </c>
      <c r="D27" s="2" t="inlineStr">
        <is>
          <t>Arizona State University</t>
        </is>
      </c>
      <c r="E27" s="3">
        <f>HYPERLINK("mailto:Leixin.Ma@asu.edu", "Leixin.Ma@asu.edu")</f>
        <v/>
      </c>
      <c r="F27" s="2" t="inlineStr">
        <is>
          <t>aerodynamics, fluid-structure interaction, physics-informed machine learning</t>
        </is>
      </c>
      <c r="G27" s="2" t="b">
        <v>1</v>
      </c>
      <c r="H27" s="3">
        <f>HYPERLINK("https://search.asu.edu/profile/leixinma", "https://search.asu.edu/profile/leixinma")</f>
        <v/>
      </c>
      <c r="I27" s="3">
        <f>HYPERLINK("https://scholar.google.com/citations?view_op=search_authors&amp;mauthors=Leixin%20Ma%20Arizona%20State%20University", "Google Scholar Profile")</f>
        <v/>
      </c>
    </row>
    <row r="28">
      <c r="A28" s="2" t="inlineStr">
        <is>
          <t>Lin Li</t>
        </is>
      </c>
      <c r="B28" s="2" t="inlineStr">
        <is>
          <t>Associate Professor</t>
        </is>
      </c>
      <c r="C28" s="2" t="inlineStr">
        <is>
          <t>Aerospace &amp; Mechanical Engineering</t>
        </is>
      </c>
      <c r="D28" s="2" t="inlineStr">
        <is>
          <t>Arizona State University</t>
        </is>
      </c>
      <c r="E28" s="3">
        <f>HYPERLINK("mailto:Lin.Li.10@asu.edu", "Lin.Li.10@asu.edu")</f>
        <v/>
      </c>
      <c r="F28" s="2" t="inlineStr"/>
      <c r="G28" s="2" t="b">
        <v>0</v>
      </c>
      <c r="H28" s="3">
        <f>HYPERLINK("https://search.asu.edu/profile/linli25", "https://search.asu.edu/profile/linli25")</f>
        <v/>
      </c>
      <c r="I28" s="3">
        <f>HYPERLINK("https://scholar.google.com/citations?view_op=search_authors&amp;mauthors=Lin%20Li%20Arizona%20State%20University", "Google Scholar Profile")</f>
        <v/>
      </c>
    </row>
    <row r="29">
      <c r="A29" s="2" t="inlineStr">
        <is>
          <t>Liping Wang</t>
        </is>
      </c>
      <c r="B29" s="2" t="inlineStr">
        <is>
          <t>Associate Professor</t>
        </is>
      </c>
      <c r="C29" s="2" t="inlineStr">
        <is>
          <t>Aerospace &amp; Mechanical Engineering</t>
        </is>
      </c>
      <c r="D29" s="2" t="inlineStr">
        <is>
          <t>Arizona State University</t>
        </is>
      </c>
      <c r="E29" s="3">
        <f>HYPERLINK("mailto:Liping.Wang@asu.edu", "Liping.Wang@asu.edu")</f>
        <v/>
      </c>
      <c r="F29" s="2" t="inlineStr">
        <is>
          <t>heat transfer</t>
        </is>
      </c>
      <c r="G29" s="2" t="b">
        <v>1</v>
      </c>
      <c r="H29" s="3">
        <f>HYPERLINK("https://search.asu.edu/profile/lwang78", "https://search.asu.edu/profile/lwang78")</f>
        <v/>
      </c>
      <c r="I29" s="3">
        <f>HYPERLINK("https://scholar.google.com/citations?view_op=search_authors&amp;mauthors=Liping%20Wang%20Arizona%20State%20University", "Google Scholar Profile")</f>
        <v/>
      </c>
    </row>
    <row r="30">
      <c r="A30" s="2" t="inlineStr">
        <is>
          <t>Marc Mignolet</t>
        </is>
      </c>
      <c r="B30" s="2" t="inlineStr">
        <is>
          <t>Professor</t>
        </is>
      </c>
      <c r="C30" s="2" t="inlineStr">
        <is>
          <t>Aerospace &amp; Mechanical Engineering</t>
        </is>
      </c>
      <c r="D30" s="2" t="inlineStr">
        <is>
          <t>Arizona State University</t>
        </is>
      </c>
      <c r="E30" s="3">
        <f>HYPERLINK("mailto:marc.mignolet@asu.edu", "marc.mignolet@asu.edu")</f>
        <v/>
      </c>
      <c r="F30" s="2" t="inlineStr"/>
      <c r="G30" s="2" t="b">
        <v>0</v>
      </c>
      <c r="H30" s="3">
        <f>HYPERLINK("https://search.asu.edu/profile/marc03", "https://search.asu.edu/profile/marc03")</f>
        <v/>
      </c>
      <c r="I30" s="3">
        <f>HYPERLINK("https://scholar.google.com/citations?view_op=search_authors&amp;mauthors=Marc%20Mignolet%20Arizona%20State%20University", "Google Scholar Profile")</f>
        <v/>
      </c>
    </row>
    <row r="31">
      <c r="A31" s="2" t="inlineStr">
        <is>
          <t>Marcus Herrmann</t>
        </is>
      </c>
      <c r="B31" s="2" t="inlineStr">
        <is>
          <t>Professor</t>
        </is>
      </c>
      <c r="C31" s="2" t="inlineStr">
        <is>
          <t>Aerospace &amp; Mechanical Engineering</t>
        </is>
      </c>
      <c r="D31" s="2" t="inlineStr">
        <is>
          <t>Arizona State University</t>
        </is>
      </c>
      <c r="E31" s="3">
        <f>HYPERLINK("mailto:Marcus.Herrmann@asu.edu", "Marcus.Herrmann@asu.edu")</f>
        <v/>
      </c>
      <c r="F31" s="2" t="inlineStr">
        <is>
          <t>fluid mechanics, multiphase flow, numerical simulation, turbulence</t>
        </is>
      </c>
      <c r="G31" s="2" t="b">
        <v>1</v>
      </c>
      <c r="H31" s="3">
        <f>HYPERLINK("https://search.asu.edu/profile/mherrma1", "https://search.asu.edu/profile/mherrma1")</f>
        <v/>
      </c>
      <c r="I31" s="3">
        <f>HYPERLINK("https://scholar.google.com/citations?view_op=search_authors&amp;mauthors=Marcus%20Herrmann%20Arizona%20State%20University", "Google Scholar Profile")</f>
        <v/>
      </c>
    </row>
    <row r="32">
      <c r="A32" s="2" t="inlineStr">
        <is>
          <t>Matthew Peet</t>
        </is>
      </c>
      <c r="B32" s="2" t="inlineStr">
        <is>
          <t>Associate Professor</t>
        </is>
      </c>
      <c r="C32" s="2" t="inlineStr">
        <is>
          <t>Aerospace &amp; Mechanical Engineering</t>
        </is>
      </c>
      <c r="D32" s="2" t="inlineStr">
        <is>
          <t>Arizona State University</t>
        </is>
      </c>
      <c r="E32" s="3">
        <f>HYPERLINK("mailto:mpeet@asu.edu", "mpeet@asu.edu")</f>
        <v/>
      </c>
      <c r="F32" s="2" t="inlineStr">
        <is>
          <t>optimization</t>
        </is>
      </c>
      <c r="G32" s="2" t="b">
        <v>1</v>
      </c>
      <c r="H32" s="3">
        <f>HYPERLINK("https://search.asu.edu/profile/mpeet", "https://search.asu.edu/profile/mpeet")</f>
        <v/>
      </c>
      <c r="I32" s="3">
        <f>HYPERLINK("https://scholar.google.com/citations?view_op=search_authors&amp;mauthors=Matthew%20Peet%20Arizona%20State%20University", "Google Scholar Profile")</f>
        <v/>
      </c>
    </row>
    <row r="33">
      <c r="A33" s="2" t="inlineStr">
        <is>
          <t>Minglei Qu</t>
        </is>
      </c>
      <c r="B33" s="2" t="inlineStr">
        <is>
          <t>Assistant Professor</t>
        </is>
      </c>
      <c r="C33" s="2" t="inlineStr">
        <is>
          <t>Aerospace &amp; Mechanical Engineering</t>
        </is>
      </c>
      <c r="D33" s="2" t="inlineStr">
        <is>
          <t>Arizona State University</t>
        </is>
      </c>
      <c r="E33" s="3">
        <f>HYPERLINK("mailto:minglei.qu@asu.edu", "minglei.qu@asu.edu")</f>
        <v/>
      </c>
      <c r="F33" s="2" t="inlineStr">
        <is>
          <t>instability</t>
        </is>
      </c>
      <c r="G33" s="2" t="b">
        <v>1</v>
      </c>
      <c r="H33" s="3">
        <f>HYPERLINK("https://search.asu.edu/profile/mingleiq", "https://search.asu.edu/profile/mingleiq")</f>
        <v/>
      </c>
      <c r="I33" s="3">
        <f>HYPERLINK("https://scholar.google.com/citations?view_op=search_authors&amp;mauthors=Minglei%20Qu%20Arizona%20State%20University", "Google Scholar Profile")</f>
        <v/>
      </c>
    </row>
    <row r="34">
      <c r="A34" s="2" t="inlineStr">
        <is>
          <t>Mohamed Houssem Kasbaoui</t>
        </is>
      </c>
      <c r="B34" s="2" t="inlineStr">
        <is>
          <t>Associate Professor</t>
        </is>
      </c>
      <c r="C34" s="2" t="inlineStr">
        <is>
          <t>Aerospace &amp; Mechanical Engineering</t>
        </is>
      </c>
      <c r="D34" s="2" t="inlineStr">
        <is>
          <t>Arizona State University</t>
        </is>
      </c>
      <c r="E34" s="3">
        <f>HYPERLINK("mailto:houssem.kasbaoui@asu.edu", "houssem.kasbaoui@asu.edu")</f>
        <v/>
      </c>
      <c r="F34" s="2" t="inlineStr">
        <is>
          <t>cfd, computational fluid dynamics, dns, fluid dynamics, multiphase flow</t>
        </is>
      </c>
      <c r="G34" s="2" t="b">
        <v>1</v>
      </c>
      <c r="H34" s="3">
        <f>HYPERLINK("https://search.asu.edu/profile/mkasbaou", "https://search.asu.edu/profile/mkasbaou")</f>
        <v/>
      </c>
      <c r="I34" s="3">
        <f>HYPERLINK("https://scholar.google.com/citations?view_op=search_authors&amp;mauthors=Mohamed%20Houssem%20Kasbaoui%20Arizona%20State%20University", "Google Scholar Profile")</f>
        <v/>
      </c>
    </row>
    <row r="35">
      <c r="A35" s="2" t="inlineStr">
        <is>
          <t>Patrick Phelan</t>
        </is>
      </c>
      <c r="B35" s="2" t="inlineStr">
        <is>
          <t>Professor</t>
        </is>
      </c>
      <c r="C35" s="2" t="inlineStr">
        <is>
          <t>Aerospace &amp; Mechanical Engineering</t>
        </is>
      </c>
      <c r="D35" s="2" t="inlineStr">
        <is>
          <t>Arizona State University</t>
        </is>
      </c>
      <c r="E35" s="3">
        <f>HYPERLINK("mailto:phelan@asu.edu", "phelan@asu.edu")</f>
        <v/>
      </c>
      <c r="F35" s="2" t="inlineStr"/>
      <c r="G35" s="2" t="b">
        <v>0</v>
      </c>
      <c r="H35" s="3">
        <f>HYPERLINK("https://search.asu.edu/profile/pphelan", "https://search.asu.edu/profile/pphelan")</f>
        <v/>
      </c>
      <c r="I35" s="3">
        <f>HYPERLINK("https://scholar.google.com/citations?view_op=search_authors&amp;mauthors=Patrick%20Phelan%20Arizona%20State%20University", "Google Scholar Profile")</f>
        <v/>
      </c>
    </row>
    <row r="36">
      <c r="A36" s="2" t="inlineStr">
        <is>
          <t>Pedro Peralta</t>
        </is>
      </c>
      <c r="B36" s="2" t="inlineStr">
        <is>
          <t>Professor</t>
        </is>
      </c>
      <c r="C36" s="2" t="inlineStr">
        <is>
          <t>Aerospace &amp; Mechanical Engineering</t>
        </is>
      </c>
      <c r="D36" s="2" t="inlineStr">
        <is>
          <t>Arizona State University</t>
        </is>
      </c>
      <c r="E36" s="3">
        <f>HYPERLINK("mailto:pperalta@asu.edu", "pperalta@asu.edu")</f>
        <v/>
      </c>
      <c r="F36" s="2" t="inlineStr"/>
      <c r="G36" s="2" t="b">
        <v>0</v>
      </c>
      <c r="H36" s="3">
        <f>HYPERLINK("https://search.asu.edu/profile/pperalta", "https://search.asu.edu/profile/pperalta")</f>
        <v/>
      </c>
      <c r="I36" s="3">
        <f>HYPERLINK("https://scholar.google.com/citations?view_op=search_authors&amp;mauthors=Pedro%20Peralta%20Arizona%20State%20University", "Google Scholar Profile")</f>
        <v/>
      </c>
    </row>
    <row r="37">
      <c r="A37" s="2" t="inlineStr">
        <is>
          <t>Qiong Nian</t>
        </is>
      </c>
      <c r="B37" s="2" t="inlineStr">
        <is>
          <t>Associate Professor</t>
        </is>
      </c>
      <c r="C37" s="2" t="inlineStr">
        <is>
          <t>Aerospace &amp; Mechanical Engineering</t>
        </is>
      </c>
      <c r="D37" s="2" t="inlineStr">
        <is>
          <t>Arizona State University</t>
        </is>
      </c>
      <c r="E37" s="3">
        <f>HYPERLINK("mailto:Qiong.Nian@asu.edu", "Qiong.Nian@asu.edu")</f>
        <v/>
      </c>
      <c r="F37" s="2" t="inlineStr"/>
      <c r="G37" s="2" t="b">
        <v>0</v>
      </c>
      <c r="H37" s="3">
        <f>HYPERLINK("https://search.asu.edu/profile/qnian", "https://search.asu.edu/profile/qnian")</f>
        <v/>
      </c>
      <c r="I37" s="3">
        <f>HYPERLINK("https://scholar.google.com/citations?view_op=search_authors&amp;mauthors=Qiong%20Nian%20Arizona%20State%20University", "Google Scholar Profile")</f>
        <v/>
      </c>
    </row>
    <row r="38">
      <c r="A38" s="2" t="inlineStr">
        <is>
          <t>Raghavendra Murthy</t>
        </is>
      </c>
      <c r="B38" s="2" t="inlineStr">
        <is>
          <t>Associate Teaching Professor</t>
        </is>
      </c>
      <c r="C38" s="2" t="inlineStr">
        <is>
          <t>Aerospace &amp; Mechanical Engineering</t>
        </is>
      </c>
      <c r="D38" s="2" t="inlineStr">
        <is>
          <t>Arizona State University</t>
        </is>
      </c>
      <c r="E38" s="3">
        <f>HYPERLINK("mailto:rnmurthy@asu.edu", "rnmurthy@asu.edu")</f>
        <v/>
      </c>
      <c r="F38" s="2" t="inlineStr">
        <is>
          <t>optimization, reduced-order modeling</t>
        </is>
      </c>
      <c r="G38" s="2" t="b">
        <v>1</v>
      </c>
      <c r="H38" s="3">
        <f>HYPERLINK("https://search.asu.edu/profile/rnmurthy", "https://search.asu.edu/profile/rnmurthy")</f>
        <v/>
      </c>
      <c r="I38" s="3">
        <f>HYPERLINK("https://scholar.google.com/citations?view_op=search_authors&amp;mauthors=Raghavendra%20Murthy%20Arizona%20State%20University", "Google Scholar Profile")</f>
        <v/>
      </c>
    </row>
    <row r="39">
      <c r="A39" s="2" t="inlineStr">
        <is>
          <t>Ricardo Cruz Lozano</t>
        </is>
      </c>
      <c r="B39" s="2" t="inlineStr">
        <is>
          <t>Assistant Teaching Professor</t>
        </is>
      </c>
      <c r="C39" s="2" t="inlineStr">
        <is>
          <t>Aerospace &amp; Mechanical Engineering</t>
        </is>
      </c>
      <c r="D39" s="2" t="inlineStr">
        <is>
          <t>Arizona State University</t>
        </is>
      </c>
      <c r="E39" s="3">
        <f>HYPERLINK("mailto:Ricardo.Cruz.Lozano@asu.edu", "Ricardo.Cruz.Lozano@asu.edu")</f>
        <v/>
      </c>
      <c r="F39" s="2" t="inlineStr"/>
      <c r="G39" s="2" t="b">
        <v>0</v>
      </c>
      <c r="H39" s="3">
        <f>HYPERLINK("https://search.asu.edu/profile/rcruzloz", "https://search.asu.edu/profile/rcruzloz")</f>
        <v/>
      </c>
      <c r="I39" s="3">
        <f>HYPERLINK("https://scholar.google.com/citations?view_op=search_authors&amp;mauthors=Ricardo%20Cruz%20Lozano%20Arizona%20State%20University", "Google Scholar Profile")</f>
        <v/>
      </c>
    </row>
    <row r="40">
      <c r="A40" s="2" t="inlineStr">
        <is>
          <t>Robert Wang</t>
        </is>
      </c>
      <c r="B40" s="2" t="inlineStr">
        <is>
          <t>Associate Professor</t>
        </is>
      </c>
      <c r="C40" s="2" t="inlineStr">
        <is>
          <t>Aerospace &amp; Mechanical Engineering</t>
        </is>
      </c>
      <c r="D40" s="2" t="inlineStr">
        <is>
          <t>Arizona State University</t>
        </is>
      </c>
      <c r="E40" s="3">
        <f>HYPERLINK("mailto:rywang@asu.edu", "rywang@asu.edu")</f>
        <v/>
      </c>
      <c r="F40" s="2" t="inlineStr">
        <is>
          <t>heat transfer</t>
        </is>
      </c>
      <c r="G40" s="2" t="b">
        <v>1</v>
      </c>
      <c r="H40" s="3">
        <f>HYPERLINK("https://search.asu.edu/profile/rywang", "https://search.asu.edu/profile/rywang")</f>
        <v/>
      </c>
      <c r="I40" s="3">
        <f>HYPERLINK("https://scholar.google.com/citations?view_op=search_authors&amp;mauthors=Robert%20Wang%20Arizona%20State%20University", "Google Scholar Profile")</f>
        <v/>
      </c>
    </row>
    <row r="41">
      <c r="A41" s="2" t="inlineStr">
        <is>
          <t>Ronald Calhoun</t>
        </is>
      </c>
      <c r="B41" s="2" t="inlineStr">
        <is>
          <t>Associate Professor</t>
        </is>
      </c>
      <c r="C41" s="2" t="inlineStr">
        <is>
          <t>Aerospace &amp; Mechanical Engineering</t>
        </is>
      </c>
      <c r="D41" s="2" t="inlineStr">
        <is>
          <t>Arizona State University</t>
        </is>
      </c>
      <c r="E41" s="3">
        <f>HYPERLINK("mailto:Ronald.Calhoun@asu.edu", "Ronald.Calhoun@asu.edu")</f>
        <v/>
      </c>
      <c r="F41" s="2" t="inlineStr">
        <is>
          <t>fluid dynamics</t>
        </is>
      </c>
      <c r="G41" s="2" t="b">
        <v>1</v>
      </c>
      <c r="H41" s="3">
        <f>HYPERLINK("https://search.asu.edu/profile/rcalhou", "https://search.asu.edu/profile/rcalhou")</f>
        <v/>
      </c>
      <c r="I41" s="3">
        <f>HYPERLINK("https://scholar.google.com/citations?view_op=search_authors&amp;mauthors=Ronald%20Calhoun%20Arizona%20State%20University", "Google Scholar Profile")</f>
        <v/>
      </c>
    </row>
    <row r="42">
      <c r="A42" s="2" t="inlineStr">
        <is>
          <t>Ryan Milcarek</t>
        </is>
      </c>
      <c r="B42" s="2" t="inlineStr">
        <is>
          <t>Associate Professor</t>
        </is>
      </c>
      <c r="C42" s="2" t="inlineStr">
        <is>
          <t>Aerospace &amp; Mechanical Engineering</t>
        </is>
      </c>
      <c r="D42" s="2" t="inlineStr">
        <is>
          <t>Arizona State University</t>
        </is>
      </c>
      <c r="E42" s="3">
        <f>HYPERLINK("mailto:Ryan.Milcarek@asu.edu", "Ryan.Milcarek@asu.edu")</f>
        <v/>
      </c>
      <c r="F42" s="2" t="inlineStr">
        <is>
          <t>combustion, transition</t>
        </is>
      </c>
      <c r="G42" s="2" t="b">
        <v>1</v>
      </c>
      <c r="H42" s="3">
        <f>HYPERLINK("https://search.asu.edu/profile/rjmilcar", "https://search.asu.edu/profile/rjmilcar")</f>
        <v/>
      </c>
      <c r="I42" s="3">
        <f>HYPERLINK("https://scholar.google.com/citations?view_op=search_authors&amp;mauthors=Ryan%20Milcarek%20Arizona%20State%20University", "Google Scholar Profile")</f>
        <v/>
      </c>
    </row>
    <row r="43">
      <c r="A43" s="2" t="inlineStr">
        <is>
          <t>Spring Berman</t>
        </is>
      </c>
      <c r="B43" s="2" t="inlineStr">
        <is>
          <t>Professor</t>
        </is>
      </c>
      <c r="C43" s="2" t="inlineStr">
        <is>
          <t>Aerospace &amp; Mechanical Engineering</t>
        </is>
      </c>
      <c r="D43" s="2" t="inlineStr">
        <is>
          <t>Arizona State University</t>
        </is>
      </c>
      <c r="E43" s="3">
        <f>HYPERLINK("mailto:Spring.Berman@asu.edu", "Spring.Berman@asu.edu")</f>
        <v/>
      </c>
      <c r="F43" s="2" t="inlineStr">
        <is>
          <t>optimization</t>
        </is>
      </c>
      <c r="G43" s="2" t="b">
        <v>1</v>
      </c>
      <c r="H43" s="3">
        <f>HYPERLINK("https://search.asu.edu/profile/smberma2", "https://search.asu.edu/profile/smberma2")</f>
        <v/>
      </c>
      <c r="I43" s="3">
        <f>HYPERLINK("https://scholar.google.com/citations?view_op=search_authors&amp;mauthors=Spring%20Berman%20Arizona%20State%20University", "Google Scholar Profile")</f>
        <v/>
      </c>
    </row>
    <row r="44">
      <c r="A44" s="2" t="inlineStr">
        <is>
          <t>Sridhar Seetharaman</t>
        </is>
      </c>
      <c r="B44" s="2" t="inlineStr">
        <is>
          <t>Professor</t>
        </is>
      </c>
      <c r="C44" s="2" t="inlineStr">
        <is>
          <t>Aerospace &amp; Mechanical Engineering</t>
        </is>
      </c>
      <c r="D44" s="2" t="inlineStr">
        <is>
          <t>Arizona State University</t>
        </is>
      </c>
      <c r="E44" s="3">
        <f>HYPERLINK("mailto:seetharaman@asu.edu", "seetharaman@asu.edu")</f>
        <v/>
      </c>
      <c r="F44" s="2" t="inlineStr"/>
      <c r="G44" s="2" t="b">
        <v>0</v>
      </c>
      <c r="H44" s="3">
        <f>HYPERLINK("https://search.asu.edu/profile/sseeth11", "https://search.asu.edu/profile/sseeth11")</f>
        <v/>
      </c>
      <c r="I44" s="3">
        <f>HYPERLINK("https://scholar.google.com/citations?view_op=search_authors&amp;mauthors=Sridhar%20Seetharaman%20Arizona%20State%20University", "Google Scholar Profile")</f>
        <v/>
      </c>
    </row>
    <row r="45">
      <c r="A45" s="2" t="inlineStr">
        <is>
          <t>Srinivas Chakravarthi Kosaraju</t>
        </is>
      </c>
      <c r="B45" s="2" t="inlineStr">
        <is>
          <t>Teaching Professor</t>
        </is>
      </c>
      <c r="C45" s="2" t="inlineStr">
        <is>
          <t>Aerospace &amp; Mechanical Engineering</t>
        </is>
      </c>
      <c r="D45" s="2" t="inlineStr">
        <is>
          <t>Arizona State University</t>
        </is>
      </c>
      <c r="E45" s="3">
        <f>HYPERLINK("mailto:Srinivas.Kosaraju@asu.edu", "Srinivas.Kosaraju@asu.edu")</f>
        <v/>
      </c>
      <c r="F45" s="2" t="inlineStr"/>
      <c r="G45" s="2" t="b">
        <v>0</v>
      </c>
      <c r="H45" s="3">
        <f>HYPERLINK("https://search.asu.edu/profile/skosara2", "https://search.asu.edu/profile/skosara2")</f>
        <v/>
      </c>
      <c r="I45" s="3">
        <f>HYPERLINK("https://scholar.google.com/citations?view_op=search_authors&amp;mauthors=Srinivas%20Chakravarthi%20Kosaraju%20Arizona%20State%20University", "Google Scholar Profile")</f>
        <v/>
      </c>
    </row>
    <row r="46">
      <c r="A46" s="2" t="inlineStr">
        <is>
          <t>T.-W. Lee</t>
        </is>
      </c>
      <c r="B46" s="2" t="inlineStr">
        <is>
          <t>Associate Professor</t>
        </is>
      </c>
      <c r="C46" s="2" t="inlineStr">
        <is>
          <t>Aerospace &amp; Mechanical Engineering</t>
        </is>
      </c>
      <c r="D46" s="2" t="inlineStr">
        <is>
          <t>Arizona State University</t>
        </is>
      </c>
      <c r="E46" s="3">
        <f>HYPERLINK("mailto:ATTWL@asu.edu", "ATTWL@asu.edu")</f>
        <v/>
      </c>
      <c r="F46" s="2" t="inlineStr">
        <is>
          <t>aerospace propulsion, propulsion</t>
        </is>
      </c>
      <c r="G46" s="2" t="b">
        <v>1</v>
      </c>
      <c r="H46" s="3">
        <f>HYPERLINK("https://search.asu.edu/profile/attwl", "https://search.asu.edu/profile/attwl")</f>
        <v/>
      </c>
      <c r="I46" s="3">
        <f>HYPERLINK("https://scholar.google.com/citations?view_op=search_authors&amp;mauthors=T.-W.%20Lee%20Arizona%20State%20University", "Google Scholar Profile")</f>
        <v/>
      </c>
    </row>
    <row r="47">
      <c r="A47" s="2" t="inlineStr">
        <is>
          <t>Tianyu Yang</t>
        </is>
      </c>
      <c r="B47" s="2" t="inlineStr">
        <is>
          <t>Assistant Professor</t>
        </is>
      </c>
      <c r="C47" s="2" t="inlineStr">
        <is>
          <t>Aerospace &amp; Mechanical Engineering</t>
        </is>
      </c>
      <c r="D47" s="2" t="inlineStr">
        <is>
          <t>Arizona State University</t>
        </is>
      </c>
      <c r="E47" s="3">
        <f>HYPERLINK("mailto:Tianyu.Yang@asu.edu", "Tianyu.Yang@asu.edu")</f>
        <v/>
      </c>
      <c r="F47" s="2" t="inlineStr">
        <is>
          <t>heat transfer</t>
        </is>
      </c>
      <c r="G47" s="2" t="b">
        <v>1</v>
      </c>
      <c r="H47" s="3">
        <f>HYPERLINK("https://search.asu.edu/profile/tyang123", "https://search.asu.edu/profile/tyang123")</f>
        <v/>
      </c>
      <c r="I47" s="3">
        <f>HYPERLINK("https://scholar.google.com/citations?view_op=search_authors&amp;mauthors=Tianyu%20Yang%20Arizona%20State%20University", "Google Scholar Profile")</f>
        <v/>
      </c>
    </row>
    <row r="48">
      <c r="A48" s="2" t="inlineStr">
        <is>
          <t>Wanxin Jin</t>
        </is>
      </c>
      <c r="B48" s="2" t="inlineStr">
        <is>
          <t>Assistant Professor</t>
        </is>
      </c>
      <c r="C48" s="2" t="inlineStr">
        <is>
          <t>Aerospace &amp; Mechanical Engineering</t>
        </is>
      </c>
      <c r="D48" s="2" t="inlineStr">
        <is>
          <t>Arizona State University</t>
        </is>
      </c>
      <c r="E48" s="3">
        <f>HYPERLINK("mailto:wjin@asu.edu", "wjin@asu.edu")</f>
        <v/>
      </c>
      <c r="F48" s="2" t="inlineStr"/>
      <c r="G48" s="2" t="b">
        <v>0</v>
      </c>
      <c r="H48" s="3">
        <f>HYPERLINK("https://search.asu.edu/profile/wjin34", "https://search.asu.edu/profile/wjin34")</f>
        <v/>
      </c>
      <c r="I48" s="3">
        <f>HYPERLINK("https://scholar.google.com/citations?view_op=search_authors&amp;mauthors=Wanxin%20Jin%20Arizona%20State%20University", "Google Scholar Profile")</f>
        <v/>
      </c>
    </row>
    <row r="49">
      <c r="A49" s="2" t="inlineStr">
        <is>
          <t>Werner Dahm</t>
        </is>
      </c>
      <c r="B49" s="2" t="inlineStr">
        <is>
          <t>SUM/WTR Faculty Research</t>
        </is>
      </c>
      <c r="C49" s="2" t="inlineStr">
        <is>
          <t>Aerospace &amp; Mechanical Engineering</t>
        </is>
      </c>
      <c r="D49" s="2" t="inlineStr">
        <is>
          <t>Arizona State University</t>
        </is>
      </c>
      <c r="E49" s="3">
        <f>HYPERLINK("mailto:Werner.Dahm@asu.edu", "Werner.Dahm@asu.edu")</f>
        <v/>
      </c>
      <c r="F49" s="2" t="inlineStr">
        <is>
          <t>combustion, computational physics, fluid dynamics, heat transfer, propulsion, turbulence</t>
        </is>
      </c>
      <c r="G49" s="2" t="b">
        <v>1</v>
      </c>
      <c r="H49" s="3">
        <f>HYPERLINK("https://search.asu.edu/profile/wdahm", "https://search.asu.edu/profile/wdahm")</f>
        <v/>
      </c>
      <c r="I49" s="3">
        <f>HYPERLINK("https://scholar.google.com/citations?view_op=search_authors&amp;mauthors=Werner%20Dahm%20Arizona%20State%20University", "Google Scholar Profile")</f>
        <v/>
      </c>
    </row>
    <row r="50">
      <c r="A50" s="2" t="inlineStr">
        <is>
          <t>Wonmo Kang</t>
        </is>
      </c>
      <c r="B50" s="2" t="inlineStr">
        <is>
          <t>Associate Professor</t>
        </is>
      </c>
      <c r="C50" s="2" t="inlineStr">
        <is>
          <t>Aerospace &amp; Mechanical Engineering</t>
        </is>
      </c>
      <c r="D50" s="2" t="inlineStr">
        <is>
          <t>Arizona State University</t>
        </is>
      </c>
      <c r="E50" s="3">
        <f>HYPERLINK("mailto:Wonmo.Kang@asu.edu", "Wonmo.Kang@asu.edu")</f>
        <v/>
      </c>
      <c r="F50" s="2" t="inlineStr"/>
      <c r="G50" s="2" t="b">
        <v>0</v>
      </c>
      <c r="H50" s="3">
        <f>HYPERLINK("https://search.asu.edu/profile/wkang16", "https://search.asu.edu/profile/wkang16")</f>
        <v/>
      </c>
      <c r="I50" s="3">
        <f>HYPERLINK("https://scholar.google.com/citations?view_op=search_authors&amp;mauthors=Wonmo%20Kang%20Arizona%20State%20University", "Google Scholar Profile")</f>
        <v/>
      </c>
    </row>
    <row r="51">
      <c r="A51" s="2" t="inlineStr">
        <is>
          <t>Yi Ren</t>
        </is>
      </c>
      <c r="B51" s="2" t="inlineStr">
        <is>
          <t>Associate Professor</t>
        </is>
      </c>
      <c r="C51" s="2" t="inlineStr">
        <is>
          <t>Aerospace &amp; Mechanical Engineering</t>
        </is>
      </c>
      <c r="D51" s="2" t="inlineStr">
        <is>
          <t>Arizona State University</t>
        </is>
      </c>
      <c r="E51" s="3">
        <f>HYPERLINK("mailto:yiren@asu.edu", "yiren@asu.edu")</f>
        <v/>
      </c>
      <c r="F51" s="2" t="inlineStr">
        <is>
          <t>optimization</t>
        </is>
      </c>
      <c r="G51" s="2" t="b">
        <v>1</v>
      </c>
      <c r="H51" s="3">
        <f>HYPERLINK("https://search.asu.edu/profile/yren32", "https://search.asu.edu/profile/yren32")</f>
        <v/>
      </c>
      <c r="I51" s="3">
        <f>HYPERLINK("https://scholar.google.com/citations?view_op=search_authors&amp;mauthors=Yi%20Ren%20Arizona%20State%20University", "Google Scholar Profile")</f>
        <v/>
      </c>
    </row>
    <row r="52">
      <c r="A52" s="2" t="inlineStr">
        <is>
          <t>Yongming Liu</t>
        </is>
      </c>
      <c r="B52" s="2" t="inlineStr">
        <is>
          <t>Professor</t>
        </is>
      </c>
      <c r="C52" s="2" t="inlineStr">
        <is>
          <t>Aerospace &amp; Mechanical Engineering</t>
        </is>
      </c>
      <c r="D52" s="2" t="inlineStr">
        <is>
          <t>Arizona State University</t>
        </is>
      </c>
      <c r="E52" s="3">
        <f>HYPERLINK("mailto:Yongming.Liu@asu.edu", "Yongming.Liu@asu.edu")</f>
        <v/>
      </c>
      <c r="F52" s="2" t="inlineStr">
        <is>
          <t>uncertainty quantification</t>
        </is>
      </c>
      <c r="G52" s="2" t="b">
        <v>1</v>
      </c>
      <c r="H52" s="3">
        <f>HYPERLINK("https://search.asu.edu/profile/yliu35", "https://search.asu.edu/profile/yliu35")</f>
        <v/>
      </c>
      <c r="I52" s="3">
        <f>HYPERLINK("https://scholar.google.com/citations?view_op=search_authors&amp;mauthors=Yongming%20Liu%20Arizona%20State%20University", "Google Scholar Profile")</f>
        <v/>
      </c>
    </row>
    <row r="53">
      <c r="A53" s="2" t="inlineStr">
        <is>
          <t>Yulia Peet</t>
        </is>
      </c>
      <c r="B53" s="2" t="inlineStr">
        <is>
          <t>Professor</t>
        </is>
      </c>
      <c r="C53" s="2" t="inlineStr">
        <is>
          <t>Aerospace &amp; Mechanical Engineering</t>
        </is>
      </c>
      <c r="D53" s="2" t="inlineStr">
        <is>
          <t>Arizona State University</t>
        </is>
      </c>
      <c r="E53" s="3">
        <f>HYPERLINK("mailto:ypeet@asu.edu", "ypeet@asu.edu")</f>
        <v/>
      </c>
      <c r="F53" s="2" t="inlineStr">
        <is>
          <t>fluid mechanics, high-performance computing, turbulence</t>
        </is>
      </c>
      <c r="G53" s="2" t="b">
        <v>1</v>
      </c>
      <c r="H53" s="3">
        <f>HYPERLINK("https://search.asu.edu/profile/ypeet", "https://search.asu.edu/profile/ypeet")</f>
        <v/>
      </c>
      <c r="I53" s="3">
        <f>HYPERLINK("https://scholar.google.com/citations?view_op=search_authors&amp;mauthors=Yulia%20Peet%20Arizona%20State%20University", "Google Scholar Profile")</f>
        <v/>
      </c>
    </row>
    <row r="54">
      <c r="A54" s="2" t="inlineStr">
        <is>
          <t>Zhe Xu</t>
        </is>
      </c>
      <c r="B54" s="2" t="inlineStr">
        <is>
          <t>Assistant Professor</t>
        </is>
      </c>
      <c r="C54" s="2" t="inlineStr">
        <is>
          <t>Aerospace &amp; Mechanical Engineering</t>
        </is>
      </c>
      <c r="D54" s="2" t="inlineStr">
        <is>
          <t>Arizona State University</t>
        </is>
      </c>
      <c r="E54" s="3">
        <f>HYPERLINK("mailto:xzhe1@asu.edu", "xzhe1@asu.edu")</f>
        <v/>
      </c>
      <c r="F54" s="2" t="inlineStr"/>
      <c r="G54" s="2" t="b">
        <v>0</v>
      </c>
      <c r="H54" s="3">
        <f>HYPERLINK("https://search.asu.edu/profile/xzhe1", "https://search.asu.edu/profile/xzhe1")</f>
        <v/>
      </c>
      <c r="I54" s="3">
        <f>HYPERLINK("https://scholar.google.com/citations?view_op=search_authors&amp;mauthors=Zhe%20Xu%20Arizona%20State%20University", "Google Scholar Profile")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E3" r:id="rId4"/>
    <hyperlink xmlns:r="http://schemas.openxmlformats.org/officeDocument/2006/relationships" ref="H3" r:id="rId5"/>
    <hyperlink xmlns:r="http://schemas.openxmlformats.org/officeDocument/2006/relationships" ref="I3" r:id="rId6"/>
    <hyperlink xmlns:r="http://schemas.openxmlformats.org/officeDocument/2006/relationships" ref="E4" r:id="rId7"/>
    <hyperlink xmlns:r="http://schemas.openxmlformats.org/officeDocument/2006/relationships" ref="H4" r:id="rId8"/>
    <hyperlink xmlns:r="http://schemas.openxmlformats.org/officeDocument/2006/relationships" ref="I4" r:id="rId9"/>
    <hyperlink xmlns:r="http://schemas.openxmlformats.org/officeDocument/2006/relationships" ref="E5" r:id="rId10"/>
    <hyperlink xmlns:r="http://schemas.openxmlformats.org/officeDocument/2006/relationships" ref="H5" r:id="rId11"/>
    <hyperlink xmlns:r="http://schemas.openxmlformats.org/officeDocument/2006/relationships" ref="I5" r:id="rId12"/>
    <hyperlink xmlns:r="http://schemas.openxmlformats.org/officeDocument/2006/relationships" ref="E6" r:id="rId13"/>
    <hyperlink xmlns:r="http://schemas.openxmlformats.org/officeDocument/2006/relationships" ref="H6" r:id="rId14"/>
    <hyperlink xmlns:r="http://schemas.openxmlformats.org/officeDocument/2006/relationships" ref="I6" r:id="rId15"/>
    <hyperlink xmlns:r="http://schemas.openxmlformats.org/officeDocument/2006/relationships" ref="E7" r:id="rId16"/>
    <hyperlink xmlns:r="http://schemas.openxmlformats.org/officeDocument/2006/relationships" ref="H7" r:id="rId17"/>
    <hyperlink xmlns:r="http://schemas.openxmlformats.org/officeDocument/2006/relationships" ref="I7" r:id="rId18"/>
    <hyperlink xmlns:r="http://schemas.openxmlformats.org/officeDocument/2006/relationships" ref="E8" r:id="rId19"/>
    <hyperlink xmlns:r="http://schemas.openxmlformats.org/officeDocument/2006/relationships" ref="H8" r:id="rId20"/>
    <hyperlink xmlns:r="http://schemas.openxmlformats.org/officeDocument/2006/relationships" ref="I8" r:id="rId21"/>
    <hyperlink xmlns:r="http://schemas.openxmlformats.org/officeDocument/2006/relationships" ref="E9" r:id="rId22"/>
    <hyperlink xmlns:r="http://schemas.openxmlformats.org/officeDocument/2006/relationships" ref="H9" r:id="rId23"/>
    <hyperlink xmlns:r="http://schemas.openxmlformats.org/officeDocument/2006/relationships" ref="I9" r:id="rId24"/>
    <hyperlink xmlns:r="http://schemas.openxmlformats.org/officeDocument/2006/relationships" ref="E10" r:id="rId25"/>
    <hyperlink xmlns:r="http://schemas.openxmlformats.org/officeDocument/2006/relationships" ref="H10" r:id="rId26"/>
    <hyperlink xmlns:r="http://schemas.openxmlformats.org/officeDocument/2006/relationships" ref="I10" r:id="rId27"/>
    <hyperlink xmlns:r="http://schemas.openxmlformats.org/officeDocument/2006/relationships" ref="E11" r:id="rId28"/>
    <hyperlink xmlns:r="http://schemas.openxmlformats.org/officeDocument/2006/relationships" ref="H11" r:id="rId29"/>
    <hyperlink xmlns:r="http://schemas.openxmlformats.org/officeDocument/2006/relationships" ref="I11" r:id="rId30"/>
    <hyperlink xmlns:r="http://schemas.openxmlformats.org/officeDocument/2006/relationships" ref="E12" r:id="rId31"/>
    <hyperlink xmlns:r="http://schemas.openxmlformats.org/officeDocument/2006/relationships" ref="H12" r:id="rId32"/>
    <hyperlink xmlns:r="http://schemas.openxmlformats.org/officeDocument/2006/relationships" ref="I12" r:id="rId33"/>
    <hyperlink xmlns:r="http://schemas.openxmlformats.org/officeDocument/2006/relationships" ref="E13" r:id="rId34"/>
    <hyperlink xmlns:r="http://schemas.openxmlformats.org/officeDocument/2006/relationships" ref="H13" r:id="rId35"/>
    <hyperlink xmlns:r="http://schemas.openxmlformats.org/officeDocument/2006/relationships" ref="I13" r:id="rId36"/>
    <hyperlink xmlns:r="http://schemas.openxmlformats.org/officeDocument/2006/relationships" ref="E14" r:id="rId37"/>
    <hyperlink xmlns:r="http://schemas.openxmlformats.org/officeDocument/2006/relationships" ref="H14" r:id="rId38"/>
    <hyperlink xmlns:r="http://schemas.openxmlformats.org/officeDocument/2006/relationships" ref="I14" r:id="rId39"/>
    <hyperlink xmlns:r="http://schemas.openxmlformats.org/officeDocument/2006/relationships" ref="E15" r:id="rId40"/>
    <hyperlink xmlns:r="http://schemas.openxmlformats.org/officeDocument/2006/relationships" ref="H15" r:id="rId41"/>
    <hyperlink xmlns:r="http://schemas.openxmlformats.org/officeDocument/2006/relationships" ref="I15" r:id="rId42"/>
    <hyperlink xmlns:r="http://schemas.openxmlformats.org/officeDocument/2006/relationships" ref="E16" r:id="rId43"/>
    <hyperlink xmlns:r="http://schemas.openxmlformats.org/officeDocument/2006/relationships" ref="H16" r:id="rId44"/>
    <hyperlink xmlns:r="http://schemas.openxmlformats.org/officeDocument/2006/relationships" ref="I16" r:id="rId45"/>
    <hyperlink xmlns:r="http://schemas.openxmlformats.org/officeDocument/2006/relationships" ref="E17" r:id="rId46"/>
    <hyperlink xmlns:r="http://schemas.openxmlformats.org/officeDocument/2006/relationships" ref="H17" r:id="rId47"/>
    <hyperlink xmlns:r="http://schemas.openxmlformats.org/officeDocument/2006/relationships" ref="I17" r:id="rId48"/>
    <hyperlink xmlns:r="http://schemas.openxmlformats.org/officeDocument/2006/relationships" ref="E18" r:id="rId49"/>
    <hyperlink xmlns:r="http://schemas.openxmlformats.org/officeDocument/2006/relationships" ref="H18" r:id="rId50"/>
    <hyperlink xmlns:r="http://schemas.openxmlformats.org/officeDocument/2006/relationships" ref="I18" r:id="rId51"/>
    <hyperlink xmlns:r="http://schemas.openxmlformats.org/officeDocument/2006/relationships" ref="E19" r:id="rId52"/>
    <hyperlink xmlns:r="http://schemas.openxmlformats.org/officeDocument/2006/relationships" ref="H19" r:id="rId53"/>
    <hyperlink xmlns:r="http://schemas.openxmlformats.org/officeDocument/2006/relationships" ref="I19" r:id="rId54"/>
    <hyperlink xmlns:r="http://schemas.openxmlformats.org/officeDocument/2006/relationships" ref="E20" r:id="rId55"/>
    <hyperlink xmlns:r="http://schemas.openxmlformats.org/officeDocument/2006/relationships" ref="H20" r:id="rId56"/>
    <hyperlink xmlns:r="http://schemas.openxmlformats.org/officeDocument/2006/relationships" ref="I20" r:id="rId57"/>
    <hyperlink xmlns:r="http://schemas.openxmlformats.org/officeDocument/2006/relationships" ref="E21" r:id="rId58"/>
    <hyperlink xmlns:r="http://schemas.openxmlformats.org/officeDocument/2006/relationships" ref="H21" r:id="rId59"/>
    <hyperlink xmlns:r="http://schemas.openxmlformats.org/officeDocument/2006/relationships" ref="I21" r:id="rId60"/>
    <hyperlink xmlns:r="http://schemas.openxmlformats.org/officeDocument/2006/relationships" ref="E22" r:id="rId61"/>
    <hyperlink xmlns:r="http://schemas.openxmlformats.org/officeDocument/2006/relationships" ref="H22" r:id="rId62"/>
    <hyperlink xmlns:r="http://schemas.openxmlformats.org/officeDocument/2006/relationships" ref="I22" r:id="rId63"/>
    <hyperlink xmlns:r="http://schemas.openxmlformats.org/officeDocument/2006/relationships" ref="E23" r:id="rId64"/>
    <hyperlink xmlns:r="http://schemas.openxmlformats.org/officeDocument/2006/relationships" ref="H23" r:id="rId65"/>
    <hyperlink xmlns:r="http://schemas.openxmlformats.org/officeDocument/2006/relationships" ref="I23" r:id="rId66"/>
    <hyperlink xmlns:r="http://schemas.openxmlformats.org/officeDocument/2006/relationships" ref="E24" r:id="rId67"/>
    <hyperlink xmlns:r="http://schemas.openxmlformats.org/officeDocument/2006/relationships" ref="H24" r:id="rId68"/>
    <hyperlink xmlns:r="http://schemas.openxmlformats.org/officeDocument/2006/relationships" ref="I24" r:id="rId69"/>
    <hyperlink xmlns:r="http://schemas.openxmlformats.org/officeDocument/2006/relationships" ref="E25" r:id="rId70"/>
    <hyperlink xmlns:r="http://schemas.openxmlformats.org/officeDocument/2006/relationships" ref="H25" r:id="rId71"/>
    <hyperlink xmlns:r="http://schemas.openxmlformats.org/officeDocument/2006/relationships" ref="I25" r:id="rId72"/>
    <hyperlink xmlns:r="http://schemas.openxmlformats.org/officeDocument/2006/relationships" ref="E26" r:id="rId73"/>
    <hyperlink xmlns:r="http://schemas.openxmlformats.org/officeDocument/2006/relationships" ref="H26" r:id="rId74"/>
    <hyperlink xmlns:r="http://schemas.openxmlformats.org/officeDocument/2006/relationships" ref="I26" r:id="rId75"/>
    <hyperlink xmlns:r="http://schemas.openxmlformats.org/officeDocument/2006/relationships" ref="E27" r:id="rId76"/>
    <hyperlink xmlns:r="http://schemas.openxmlformats.org/officeDocument/2006/relationships" ref="H27" r:id="rId77"/>
    <hyperlink xmlns:r="http://schemas.openxmlformats.org/officeDocument/2006/relationships" ref="I27" r:id="rId78"/>
    <hyperlink xmlns:r="http://schemas.openxmlformats.org/officeDocument/2006/relationships" ref="E28" r:id="rId79"/>
    <hyperlink xmlns:r="http://schemas.openxmlformats.org/officeDocument/2006/relationships" ref="H28" r:id="rId80"/>
    <hyperlink xmlns:r="http://schemas.openxmlformats.org/officeDocument/2006/relationships" ref="I28" r:id="rId81"/>
    <hyperlink xmlns:r="http://schemas.openxmlformats.org/officeDocument/2006/relationships" ref="E29" r:id="rId82"/>
    <hyperlink xmlns:r="http://schemas.openxmlformats.org/officeDocument/2006/relationships" ref="H29" r:id="rId83"/>
    <hyperlink xmlns:r="http://schemas.openxmlformats.org/officeDocument/2006/relationships" ref="I29" r:id="rId84"/>
    <hyperlink xmlns:r="http://schemas.openxmlformats.org/officeDocument/2006/relationships" ref="E30" r:id="rId85"/>
    <hyperlink xmlns:r="http://schemas.openxmlformats.org/officeDocument/2006/relationships" ref="H30" r:id="rId86"/>
    <hyperlink xmlns:r="http://schemas.openxmlformats.org/officeDocument/2006/relationships" ref="I30" r:id="rId87"/>
    <hyperlink xmlns:r="http://schemas.openxmlformats.org/officeDocument/2006/relationships" ref="E31" r:id="rId88"/>
    <hyperlink xmlns:r="http://schemas.openxmlformats.org/officeDocument/2006/relationships" ref="H31" r:id="rId89"/>
    <hyperlink xmlns:r="http://schemas.openxmlformats.org/officeDocument/2006/relationships" ref="I31" r:id="rId90"/>
    <hyperlink xmlns:r="http://schemas.openxmlformats.org/officeDocument/2006/relationships" ref="E32" r:id="rId91"/>
    <hyperlink xmlns:r="http://schemas.openxmlformats.org/officeDocument/2006/relationships" ref="H32" r:id="rId92"/>
    <hyperlink xmlns:r="http://schemas.openxmlformats.org/officeDocument/2006/relationships" ref="I32" r:id="rId93"/>
    <hyperlink xmlns:r="http://schemas.openxmlformats.org/officeDocument/2006/relationships" ref="E33" r:id="rId94"/>
    <hyperlink xmlns:r="http://schemas.openxmlformats.org/officeDocument/2006/relationships" ref="H33" r:id="rId95"/>
    <hyperlink xmlns:r="http://schemas.openxmlformats.org/officeDocument/2006/relationships" ref="I33" r:id="rId96"/>
    <hyperlink xmlns:r="http://schemas.openxmlformats.org/officeDocument/2006/relationships" ref="E34" r:id="rId97"/>
    <hyperlink xmlns:r="http://schemas.openxmlformats.org/officeDocument/2006/relationships" ref="H34" r:id="rId98"/>
    <hyperlink xmlns:r="http://schemas.openxmlformats.org/officeDocument/2006/relationships" ref="I34" r:id="rId99"/>
    <hyperlink xmlns:r="http://schemas.openxmlformats.org/officeDocument/2006/relationships" ref="E35" r:id="rId100"/>
    <hyperlink xmlns:r="http://schemas.openxmlformats.org/officeDocument/2006/relationships" ref="H35" r:id="rId101"/>
    <hyperlink xmlns:r="http://schemas.openxmlformats.org/officeDocument/2006/relationships" ref="I35" r:id="rId102"/>
    <hyperlink xmlns:r="http://schemas.openxmlformats.org/officeDocument/2006/relationships" ref="E36" r:id="rId103"/>
    <hyperlink xmlns:r="http://schemas.openxmlformats.org/officeDocument/2006/relationships" ref="H36" r:id="rId104"/>
    <hyperlink xmlns:r="http://schemas.openxmlformats.org/officeDocument/2006/relationships" ref="I36" r:id="rId105"/>
    <hyperlink xmlns:r="http://schemas.openxmlformats.org/officeDocument/2006/relationships" ref="E37" r:id="rId106"/>
    <hyperlink xmlns:r="http://schemas.openxmlformats.org/officeDocument/2006/relationships" ref="H37" r:id="rId107"/>
    <hyperlink xmlns:r="http://schemas.openxmlformats.org/officeDocument/2006/relationships" ref="I37" r:id="rId108"/>
    <hyperlink xmlns:r="http://schemas.openxmlformats.org/officeDocument/2006/relationships" ref="E38" r:id="rId109"/>
    <hyperlink xmlns:r="http://schemas.openxmlformats.org/officeDocument/2006/relationships" ref="H38" r:id="rId110"/>
    <hyperlink xmlns:r="http://schemas.openxmlformats.org/officeDocument/2006/relationships" ref="I38" r:id="rId111"/>
    <hyperlink xmlns:r="http://schemas.openxmlformats.org/officeDocument/2006/relationships" ref="E39" r:id="rId112"/>
    <hyperlink xmlns:r="http://schemas.openxmlformats.org/officeDocument/2006/relationships" ref="H39" r:id="rId113"/>
    <hyperlink xmlns:r="http://schemas.openxmlformats.org/officeDocument/2006/relationships" ref="I39" r:id="rId114"/>
    <hyperlink xmlns:r="http://schemas.openxmlformats.org/officeDocument/2006/relationships" ref="E40" r:id="rId115"/>
    <hyperlink xmlns:r="http://schemas.openxmlformats.org/officeDocument/2006/relationships" ref="H40" r:id="rId116"/>
    <hyperlink xmlns:r="http://schemas.openxmlformats.org/officeDocument/2006/relationships" ref="I40" r:id="rId117"/>
    <hyperlink xmlns:r="http://schemas.openxmlformats.org/officeDocument/2006/relationships" ref="E41" r:id="rId118"/>
    <hyperlink xmlns:r="http://schemas.openxmlformats.org/officeDocument/2006/relationships" ref="H41" r:id="rId119"/>
    <hyperlink xmlns:r="http://schemas.openxmlformats.org/officeDocument/2006/relationships" ref="I41" r:id="rId120"/>
    <hyperlink xmlns:r="http://schemas.openxmlformats.org/officeDocument/2006/relationships" ref="E42" r:id="rId121"/>
    <hyperlink xmlns:r="http://schemas.openxmlformats.org/officeDocument/2006/relationships" ref="H42" r:id="rId122"/>
    <hyperlink xmlns:r="http://schemas.openxmlformats.org/officeDocument/2006/relationships" ref="I42" r:id="rId123"/>
    <hyperlink xmlns:r="http://schemas.openxmlformats.org/officeDocument/2006/relationships" ref="E43" r:id="rId124"/>
    <hyperlink xmlns:r="http://schemas.openxmlformats.org/officeDocument/2006/relationships" ref="H43" r:id="rId125"/>
    <hyperlink xmlns:r="http://schemas.openxmlformats.org/officeDocument/2006/relationships" ref="I43" r:id="rId126"/>
    <hyperlink xmlns:r="http://schemas.openxmlformats.org/officeDocument/2006/relationships" ref="E44" r:id="rId127"/>
    <hyperlink xmlns:r="http://schemas.openxmlformats.org/officeDocument/2006/relationships" ref="H44" r:id="rId128"/>
    <hyperlink xmlns:r="http://schemas.openxmlformats.org/officeDocument/2006/relationships" ref="I44" r:id="rId129"/>
    <hyperlink xmlns:r="http://schemas.openxmlformats.org/officeDocument/2006/relationships" ref="E45" r:id="rId130"/>
    <hyperlink xmlns:r="http://schemas.openxmlformats.org/officeDocument/2006/relationships" ref="H45" r:id="rId131"/>
    <hyperlink xmlns:r="http://schemas.openxmlformats.org/officeDocument/2006/relationships" ref="I45" r:id="rId132"/>
    <hyperlink xmlns:r="http://schemas.openxmlformats.org/officeDocument/2006/relationships" ref="E46" r:id="rId133"/>
    <hyperlink xmlns:r="http://schemas.openxmlformats.org/officeDocument/2006/relationships" ref="H46" r:id="rId134"/>
    <hyperlink xmlns:r="http://schemas.openxmlformats.org/officeDocument/2006/relationships" ref="I46" r:id="rId135"/>
    <hyperlink xmlns:r="http://schemas.openxmlformats.org/officeDocument/2006/relationships" ref="E47" r:id="rId136"/>
    <hyperlink xmlns:r="http://schemas.openxmlformats.org/officeDocument/2006/relationships" ref="H47" r:id="rId137"/>
    <hyperlink xmlns:r="http://schemas.openxmlformats.org/officeDocument/2006/relationships" ref="I47" r:id="rId138"/>
    <hyperlink xmlns:r="http://schemas.openxmlformats.org/officeDocument/2006/relationships" ref="E48" r:id="rId139"/>
    <hyperlink xmlns:r="http://schemas.openxmlformats.org/officeDocument/2006/relationships" ref="H48" r:id="rId140"/>
    <hyperlink xmlns:r="http://schemas.openxmlformats.org/officeDocument/2006/relationships" ref="I48" r:id="rId141"/>
    <hyperlink xmlns:r="http://schemas.openxmlformats.org/officeDocument/2006/relationships" ref="E49" r:id="rId142"/>
    <hyperlink xmlns:r="http://schemas.openxmlformats.org/officeDocument/2006/relationships" ref="H49" r:id="rId143"/>
    <hyperlink xmlns:r="http://schemas.openxmlformats.org/officeDocument/2006/relationships" ref="I49" r:id="rId144"/>
    <hyperlink xmlns:r="http://schemas.openxmlformats.org/officeDocument/2006/relationships" ref="E50" r:id="rId145"/>
    <hyperlink xmlns:r="http://schemas.openxmlformats.org/officeDocument/2006/relationships" ref="H50" r:id="rId146"/>
    <hyperlink xmlns:r="http://schemas.openxmlformats.org/officeDocument/2006/relationships" ref="I50" r:id="rId147"/>
    <hyperlink xmlns:r="http://schemas.openxmlformats.org/officeDocument/2006/relationships" ref="E51" r:id="rId148"/>
    <hyperlink xmlns:r="http://schemas.openxmlformats.org/officeDocument/2006/relationships" ref="H51" r:id="rId149"/>
    <hyperlink xmlns:r="http://schemas.openxmlformats.org/officeDocument/2006/relationships" ref="I51" r:id="rId150"/>
    <hyperlink xmlns:r="http://schemas.openxmlformats.org/officeDocument/2006/relationships" ref="E52" r:id="rId151"/>
    <hyperlink xmlns:r="http://schemas.openxmlformats.org/officeDocument/2006/relationships" ref="H52" r:id="rId152"/>
    <hyperlink xmlns:r="http://schemas.openxmlformats.org/officeDocument/2006/relationships" ref="I52" r:id="rId153"/>
    <hyperlink xmlns:r="http://schemas.openxmlformats.org/officeDocument/2006/relationships" ref="E53" r:id="rId154"/>
    <hyperlink xmlns:r="http://schemas.openxmlformats.org/officeDocument/2006/relationships" ref="H53" r:id="rId155"/>
    <hyperlink xmlns:r="http://schemas.openxmlformats.org/officeDocument/2006/relationships" ref="I53" r:id="rId156"/>
    <hyperlink xmlns:r="http://schemas.openxmlformats.org/officeDocument/2006/relationships" ref="E54" r:id="rId157"/>
    <hyperlink xmlns:r="http://schemas.openxmlformats.org/officeDocument/2006/relationships" ref="H54" r:id="rId158"/>
    <hyperlink xmlns:r="http://schemas.openxmlformats.org/officeDocument/2006/relationships" ref="I54" r:id="rId15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2026-09-18T11:07:34Z</dcterms:created>
  <dcterms:modified xmlns:dcterms="http://purl.org/dc/terms/" xmlns:xsi="http://www.w3.org/2001/XMLSchema-instance" xsi:type="dcterms:W3CDTF">2026-09-18T11:07:34Z</dcterms:modified>
</cp:coreProperties>
</file>