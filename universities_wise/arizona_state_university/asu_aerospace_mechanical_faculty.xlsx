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view_op=search_authors&amp;mauthors=Matthew%20Peet%20Arizona%20State%20University"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view_op=search_authors&amp;mauthors=Matthew%20Peet%20Arizona%20State%20University"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B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20" customWidth="1" min="23" max="23"/>
    <col width="49" customWidth="1" min="24" max="24"/>
    <col width="56" customWidth="1" min="25" max="25"/>
    <col width="54" customWidth="1" min="26" max="26"/>
    <col width="18" customWidth="1" min="27" max="27"/>
    <col width="49" customWidth="1" min="28" max="2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Funding Sponsors</t>
        </is>
      </c>
      <c r="X1" s="1" t="inlineStr">
        <is>
          <t>Software / Code Repo</t>
        </is>
      </c>
      <c r="Y1" s="1" t="inlineStr">
        <is>
          <t>Latest Project / Highlight</t>
        </is>
      </c>
      <c r="Z1" s="1" t="inlineStr">
        <is>
          <t>Office Location</t>
        </is>
      </c>
      <c r="AA1" s="1" t="inlineStr">
        <is>
          <t>Is Field Match</t>
        </is>
      </c>
      <c r="AB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MAE 242: Intro to Fluid Mechanics | MAE 574: Multiphase Flow | MAE 501: Linear Algebra in Engineering</t>
        </is>
      </c>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is>
          <t>AFOSR</t>
        </is>
      </c>
      <c r="X2" s="3">
        <f>HYPERLINK("https://bitbucket.org/krgasu/leap/downloads/leap-v0.8.2.tar.gz", "https://bitbucket.org/krgasu/leap/downloads/leap-v0.8.2.tar.gz, https://bitbucket.org/krgasu/leap/src/master")</f>
        <v/>
      </c>
      <c r="Y2" s="2" t="inlineStr">
        <is>
          <t>School for Engineering of Matter, Transport &amp; Energy</t>
        </is>
      </c>
      <c r="Z2" s="2" t="inlineStr">
        <is>
          <t>Campus: Tempe</t>
        </is>
      </c>
      <c r="AA2" s="2" t="b">
        <v>1</v>
      </c>
      <c r="AB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MAE 584: Internship | MAE 593: Applied Project | MAE 241: Intro to Thermodynamics</t>
        </is>
      </c>
      <c r="M3" s="2" t="inlineStr">
        <is>
          <t>2017         AFOSR Young Investigator (YIP) Award,  ASU | 2016         JQSRT/Elsevier Viskanta Young Scientist Award,  ASU</t>
        </is>
      </c>
      <c r="N3" s="2" t="inlineStr">
        <is>
          <t>Please send your CV to Prof</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NASA, NSF</t>
        </is>
      </c>
      <c r="X3" s="2" t="inlineStr"/>
      <c r="Y3" s="2" t="inlineStr">
        <is>
          <t>News&amp;Awards</t>
        </is>
      </c>
      <c r="Z3" s="2" t="inlineStr">
        <is>
          <t>ENGRC 327 (Tempe, AZ 85287-6106)</t>
        </is>
      </c>
      <c r="AA3" s="2" t="b">
        <v>1</v>
      </c>
      <c r="AB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is>
          <t>If you're interested in joining our group, please email</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is>
          <t>What we're looking for:</t>
        </is>
      </c>
      <c r="V4" s="2" t="inlineStr"/>
      <c r="W4" s="2" t="inlineStr"/>
      <c r="X4" s="2" t="inlineStr"/>
      <c r="Y4" s="2" t="inlineStr">
        <is>
          <t>Multiscale polymer analysis</t>
        </is>
      </c>
      <c r="Z4" s="2" t="inlineStr">
        <is>
          <t>ENGRC 353 (Tempe, AZ 85287-6106)</t>
        </is>
      </c>
      <c r="AA4" s="2" t="b">
        <v>1</v>
      </c>
      <c r="AB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MAE 547: Modeling and Control of Robots | MAE 593: Applied Project | MAE 499: Individualized Instruction</t>
        </is>
      </c>
      <c r="M5" s="2" t="inlineStr"/>
      <c r="N5" s="2" t="inlineStr">
        <is>
          <t>Additionally, they should send an email titled “Prospective Ph</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Dec 19, 2025 We have two openings for fully supported summer interns through SURI program at ASU</t>
        </is>
      </c>
      <c r="V5" s="2" t="inlineStr"/>
      <c r="W5" s="2" t="inlineStr"/>
      <c r="X5" s="2" t="inlineStr"/>
      <c r="Y5" s="2" t="inlineStr">
        <is>
          <t>Mission and Core Values</t>
        </is>
      </c>
      <c r="Z5" s="2" t="inlineStr">
        <is>
          <t>Campus: Tempe</t>
        </is>
      </c>
      <c r="AA5" s="2" t="b">
        <v>1</v>
      </c>
      <c r="AB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is>
          <t>ENGRC 361 (TEMPE, AZ 85287-6106)</t>
        </is>
      </c>
      <c r="AA6" s="2" t="b">
        <v>1</v>
      </c>
      <c r="AB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b">
        <v>1</v>
      </c>
      <c r="AB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is>
          <t>551 E Tyler Mall ERC 475 (Tempe, AZ 85281)</t>
        </is>
      </c>
      <c r="AA8" s="2" t="b">
        <v>1</v>
      </c>
      <c r="AB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MAE 499: Individualized Instruction | MAE 202: Mech.Particles/Rigid Bodies II | MAE 318: System Dynamics and Control I</t>
        </is>
      </c>
      <c r="M9" s="2" t="inlineStr"/>
      <c r="N9" s="2" t="inlineStr">
        <is>
          <t>Potential candidates with strong backgrounds in fluid-structure interaction, soft robotics , machine learning can send their CV to leixinma@asu</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Actively recruiting / Openings mentioned on lab site</t>
        </is>
      </c>
      <c r="V9" s="2" t="inlineStr"/>
      <c r="W9" s="2" t="inlineStr"/>
      <c r="X9" s="2" t="inlineStr"/>
      <c r="Y9" s="2" t="inlineStr">
        <is>
          <t>Ocean and Soft Intelligent Structure Interaction Lab</t>
        </is>
      </c>
      <c r="Z9" s="2" t="inlineStr">
        <is>
          <t>ERC 485 (Tempe, AZ 85287)</t>
        </is>
      </c>
      <c r="AA9" s="2" t="b">
        <v>1</v>
      </c>
      <c r="AB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Simultaneous velocity and density measurements of fully developed Rayleigh-Taylor turbulent mixing</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is>
          <t>Want to be part of CMAT Lab?</t>
        </is>
      </c>
      <c r="Z10" s="2" t="inlineStr">
        <is>
          <t>551 E Tyler Mall ERC 479 (Tempe, AZ 85281)</t>
        </is>
      </c>
      <c r="AA10" s="2" t="b">
        <v>1</v>
      </c>
      <c r="AB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is>
          <t>ENGRC 311 (TEMPE, AZ 85287-6106)</t>
        </is>
      </c>
      <c r="AA11" s="2" t="b">
        <v>1</v>
      </c>
      <c r="AB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MAE 318: System Dynamics and Control I | MAE 598: Special Topics | MAE 593: Applied Project</t>
        </is>
      </c>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is>
          <t>ENGRC 375 (Tempe, AZ 85287-6106)</t>
        </is>
      </c>
      <c r="AA12" s="2" t="b">
        <v>1</v>
      </c>
      <c r="AB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Selected Journal Papers Nasim Baharisangari, Kazuma Hirota, Ruixuan Yan, Agung Julius, Zhe Xu , Weighted Graph-Based Sig</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is>
          <t>Actively recruiting / Openings mentioned on lab site</t>
        </is>
      </c>
      <c r="V13" s="2" t="inlineStr"/>
      <c r="W13" s="2" t="inlineStr"/>
      <c r="X13" s="2" t="inlineStr"/>
      <c r="Y13" s="2" t="inlineStr"/>
      <c r="Z13" s="2" t="inlineStr">
        <is>
          <t>Campus: Tempe</t>
        </is>
      </c>
      <c r="AA13" s="2" t="b">
        <v>1</v>
      </c>
      <c r="AB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is>
          <t>MAE 242: Intro to Fluid Mechanics | MAE 593: Applied Project | MAE 598: Special Topics</t>
        </is>
      </c>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is>
          <t>Campus: Tempe</t>
        </is>
      </c>
      <c r="AA14" s="2" t="b">
        <v>1</v>
      </c>
      <c r="AB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HYPERLINK("https://scholar.google.com/citations?view_op=search_authors&amp;mauthors=Matthew%20Peet%20Arizona%20State%20University", "Google Scholar Search")</f>
        <v/>
      </c>
      <c r="E15" s="2" t="inlineStr">
        <is>
          <t>Associate Professor</t>
        </is>
      </c>
      <c r="F15" s="2" t="inlineStr">
        <is>
          <t>Aerospace &amp; Mechanical Engineering</t>
        </is>
      </c>
      <c r="G15" s="2" t="inlineStr"/>
      <c r="H15" s="3">
        <f>HYPERLINK("mailto:mpeet@asu.edu", "mpeet@asu.edu")</f>
        <v/>
      </c>
      <c r="I15" s="2" t="n">
        <v>4</v>
      </c>
      <c r="J15" s="2" t="inlineStr">
        <is>
          <t>aerospace, materials, spacecraft, system dynamics</t>
        </is>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c r="AA15" s="2" t="b">
        <v>1</v>
      </c>
      <c r="AB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MAE 241: Intro to Thermodynamics | MAE 593: Applied Project | MAE 588: Nanoscale Heat Transfer</t>
        </is>
      </c>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is>
          <t>ENGRC 307 (Tempe, AZ 85287-6106)</t>
        </is>
      </c>
      <c r="AA16" s="2" t="b">
        <v>1</v>
      </c>
      <c r="AB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is>
          <t>ENGRC 465 (Tempe, AZ 85287)</t>
        </is>
      </c>
      <c r="AA17" s="2" t="b">
        <v>1</v>
      </c>
      <c r="AB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is>
          <t>ENGRC 377 (TEMPE, AZ 85287-6106)</t>
        </is>
      </c>
      <c r="AA18" s="2" t="b">
        <v>1</v>
      </c>
      <c r="AB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HYPERLINK("https://scholar.google.com/citations?view_op=search_authors&amp;mauthors=Tianyu%20Yang%20Arizona%20State%20University", "Google Scholar Search")</f>
        <v/>
      </c>
      <c r="E19" s="2" t="inlineStr">
        <is>
          <t>Assistant Professor</t>
        </is>
      </c>
      <c r="F19" s="2" t="inlineStr">
        <is>
          <t>Aerospace &amp; Mechanical Engineering</t>
        </is>
      </c>
      <c r="G19" s="2" t="inlineStr"/>
      <c r="H19" s="3">
        <f>HYPERLINK("mailto:Tianyu.Yang@asu.edu", "Tianyu.Yang@asu.edu")</f>
        <v/>
      </c>
      <c r="I19" s="2" t="n">
        <v>4</v>
      </c>
      <c r="J19" s="2" t="inlineStr">
        <is>
          <t>autonomous, heat transfer, materials, thermal</t>
        </is>
      </c>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c r="AA19" s="2" t="b">
        <v>1</v>
      </c>
      <c r="AB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MAE 557: Mechanics Composite Materials | MAE 494: Special Topics | MAE 521: Structural Optimization</t>
        </is>
      </c>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is>
          <t>ENGRC 427 (TEMPE, AZ 85287-6106)</t>
        </is>
      </c>
      <c r="AA20" s="2" t="b">
        <v>1</v>
      </c>
      <c r="AB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is>
          <t>Campus: Tempe</t>
        </is>
      </c>
      <c r="AA21" s="2" t="b">
        <v>1</v>
      </c>
      <c r="AB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is>
          <t>Actively recruiting / Openings mentioned on lab site</t>
        </is>
      </c>
      <c r="V22" s="2" t="inlineStr"/>
      <c r="W22" s="2" t="inlineStr">
        <is>
          <t>NSF</t>
        </is>
      </c>
      <c r="X22" s="2" t="inlineStr"/>
      <c r="Y22" s="2" t="inlineStr">
        <is>
          <t>3D Energy Device Laboratory</t>
        </is>
      </c>
      <c r="Z22" s="2" t="inlineStr">
        <is>
          <t>551 E Tyler Mall ERC 363 (Tempe, AZ 85281)</t>
        </is>
      </c>
      <c r="AA22" s="2" t="b">
        <v>1</v>
      </c>
      <c r="AB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MAE 417: System Dynamics and Control II | MAE 598: Special Topics | MAE 547: Modeling and Control of Robots</t>
        </is>
      </c>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is>
          <t>Campus: Tempe</t>
        </is>
      </c>
      <c r="AA23" s="2" t="b">
        <v>1</v>
      </c>
      <c r="AB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is>
          <t>Campus: Tempe</t>
        </is>
      </c>
      <c r="AA24" s="2" t="b">
        <v>1</v>
      </c>
      <c r="AB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MAE 598: Special Topics | MAE 494: Special Topics | MAE 201: Mech. Particles/Rigid Bodies I</t>
        </is>
      </c>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is>
          <t>ISTB4, ROOM 379 781 S Terrace Rd (Tempe, AZ 85287)</t>
        </is>
      </c>
      <c r="AA25" s="2" t="b">
        <v>1</v>
      </c>
      <c r="AB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is>
          <t>ENGRC 463 (TEMPE, AZ 85287-6106)</t>
        </is>
      </c>
      <c r="AA26" s="2" t="b">
        <v>1</v>
      </c>
      <c r="AB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MAE 215: Intro to Programming in MATLAB | MAE 591: Seminar | MAE 593: Applied Project</t>
        </is>
      </c>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is>
          <t>ENGRC 379 (Tempe, AZ 85287-6106)</t>
        </is>
      </c>
      <c r="AA27" s="2" t="b">
        <v>1</v>
      </c>
      <c r="AB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MAE 551: Appl Machine Learn Mech Engr | MAE 451: Appl Machine Learn Mech Engr | MAE 202: Mech.Particles/Rigid Bodies II</t>
        </is>
      </c>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is>
          <t>Campus: Tempe</t>
        </is>
      </c>
      <c r="AA28" s="2" t="b">
        <v>1</v>
      </c>
      <c r="AB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MAE 502: Partial Diff Equations Engr | MAE 460: Applied Comput Fluid Dynamics | MAE 593: Applied Project</t>
        </is>
      </c>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is>
          <t>Actively recruiting / Openings mentioned on lab site</t>
        </is>
      </c>
      <c r="V29" s="2" t="inlineStr"/>
      <c r="W29" s="2" t="inlineStr"/>
      <c r="X29" s="2" t="inlineStr"/>
      <c r="Y29" s="2" t="inlineStr">
        <is>
          <t>Log in to www_public</t>
        </is>
      </c>
      <c r="Z29" s="2" t="inlineStr">
        <is>
          <t>ENGRC 359 (Tempe, AZ 85287-6106)</t>
        </is>
      </c>
      <c r="AA29" s="2" t="b">
        <v>1</v>
      </c>
      <c r="AB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is>
          <t>Nanostructured Materials</t>
        </is>
      </c>
      <c r="Z30" s="2" t="inlineStr">
        <is>
          <t>ENGRC 355 (Tempe, AZ 85287-6106)</t>
        </is>
      </c>
      <c r="AA30" s="2" t="b">
        <v>1</v>
      </c>
      <c r="AB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c r="Z31" s="2" t="inlineStr">
        <is>
          <t>ENGRC 309 (Tempe, AZ 85287)</t>
        </is>
      </c>
      <c r="AA31" s="2" t="b">
        <v>1</v>
      </c>
      <c r="AB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is>
          <t>Campus: Tempe</t>
        </is>
      </c>
      <c r="AA32" s="2" t="b">
        <v>1</v>
      </c>
      <c r="AB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is>
          <t>Campus: Tempe</t>
        </is>
      </c>
      <c r="AA33" s="2" t="b">
        <v>1</v>
      </c>
      <c r="AB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is>
          <t>Goldwater 466 (TEMPE, AZ 85287-6106)</t>
        </is>
      </c>
      <c r="AA34" s="2" t="b">
        <v>1</v>
      </c>
      <c r="AB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MAE 301: Applied Experimental Statistic | MAE 593: Applied Project | MAE 547: Modeling and Control of Robots</t>
        </is>
      </c>
      <c r="M35" s="2" t="inlineStr"/>
      <c r="N35" s="2" t="inlineStr">
        <is>
          <t>If you are interested, please email Dr</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is>
          <t>Looking for ASU Undergraduate and Master Students</t>
        </is>
      </c>
      <c r="V35" s="2" t="inlineStr"/>
      <c r="W35" s="2" t="inlineStr">
        <is>
          <t>NSF</t>
        </is>
      </c>
      <c r="X35" s="3">
        <f>HYPERLINK("https://github.com/asu-iris", "https://github.com/asu-iris")</f>
        <v/>
      </c>
      <c r="Y35" s="2" t="inlineStr">
        <is>
          <t>Recent Updates</t>
        </is>
      </c>
      <c r="Z35" s="2" t="inlineStr">
        <is>
          <t>Campus: Tempe</t>
        </is>
      </c>
      <c r="AA35" s="2" t="b">
        <v>1</v>
      </c>
      <c r="AB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is>
          <t>ENGRC 409 (Tempe, AZ 85287-6106)</t>
        </is>
      </c>
      <c r="AA36" s="2" t="b">
        <v>1</v>
      </c>
      <c r="AB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c r="M37" s="2" t="inlineStr">
        <is>
          <t>2026 The J. Orin Edson Entrepreneurship &amp; Innovation Seed Funding Award ASU 2025 1st place Skysong Startup Competition C</t>
        </is>
      </c>
      <c r="N37" s="2" t="inlineStr"/>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is>
          <t>Actively recruiting / Openings mentioned on lab site</t>
        </is>
      </c>
      <c r="V37" s="2" t="inlineStr"/>
      <c r="W37" s="2" t="inlineStr">
        <is>
          <t>NSF</t>
        </is>
      </c>
      <c r="X37" s="2" t="inlineStr"/>
      <c r="Y37" s="2" t="inlineStr">
        <is>
          <t>Manufacturing</t>
        </is>
      </c>
      <c r="Z37" s="2" t="inlineStr"/>
      <c r="AA37" s="2" t="b">
        <v>1</v>
      </c>
      <c r="AB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c r="AA38" s="2" t="b">
        <v>1</v>
      </c>
      <c r="AB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is>
          <t>Campus: Tempe</t>
        </is>
      </c>
      <c r="AA39" s="2" t="b">
        <v>1</v>
      </c>
      <c r="AB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c r="AA40" s="2" t="b">
        <v>1</v>
      </c>
      <c r="AB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MAE 213: Mechanics of Materials | MAE 593: Applied Project | MAE 520: Stress Analysis</t>
        </is>
      </c>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is>
          <t>ENGRC 352 (TEMPE, AZ 85287-6106)</t>
        </is>
      </c>
      <c r="AA41" s="2" t="b">
        <v>1</v>
      </c>
      <c r="AB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Welcome and we are looking forward to working with Dr</t>
        </is>
      </c>
      <c r="V42" s="2" t="inlineStr"/>
      <c r="W42" s="2" t="inlineStr">
        <is>
          <t>NSF, ONR</t>
        </is>
      </c>
      <c r="X42" s="2" t="inlineStr"/>
      <c r="Y42" s="2" t="inlineStr">
        <is>
          <t>Highlighted as a cover in Small</t>
        </is>
      </c>
      <c r="Z42" s="2" t="inlineStr">
        <is>
          <t>Campus: Tempe</t>
        </is>
      </c>
      <c r="AA42" s="2" t="b">
        <v>1</v>
      </c>
      <c r="AB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MAE 494: Special Topics | MAE 598: Special Topics | MAE 301: Applied Experimental Statistic</t>
        </is>
      </c>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is>
          <t>GWC 464 (Tempe, AZ 85287-6106)</t>
        </is>
      </c>
      <c r="AA43" s="2" t="b">
        <v>1</v>
      </c>
      <c r="AB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X2" r:id="rId5"/>
    <hyperlink xmlns:r="http://schemas.openxmlformats.org/officeDocument/2006/relationships" ref="AB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B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B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B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B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B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B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B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B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B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B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B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B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B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B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B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B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B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B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B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B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B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B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B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B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B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B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B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B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B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B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B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B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X35" r:id="rId160"/>
    <hyperlink xmlns:r="http://schemas.openxmlformats.org/officeDocument/2006/relationships" ref="AB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B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B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B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B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B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B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B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B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20" customWidth="1" min="23" max="23"/>
    <col width="49" customWidth="1" min="24" max="24"/>
    <col width="56" customWidth="1" min="25" max="25"/>
    <col width="54" customWidth="1" min="26" max="26"/>
    <col width="18" customWidth="1" min="27" max="27"/>
    <col width="49" customWidth="1" min="28" max="2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Funding Sponsors</t>
        </is>
      </c>
      <c r="X1" s="1" t="inlineStr">
        <is>
          <t>Software / Code Repo</t>
        </is>
      </c>
      <c r="Y1" s="1" t="inlineStr">
        <is>
          <t>Latest Project / Highlight</t>
        </is>
      </c>
      <c r="Z1" s="1" t="inlineStr">
        <is>
          <t>Office Location</t>
        </is>
      </c>
      <c r="AA1" s="1" t="inlineStr">
        <is>
          <t>Is Field Match</t>
        </is>
      </c>
      <c r="AB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MAE 242: Intro to Fluid Mechanics | MAE 574: Multiphase Flow | MAE 501: Linear Algebra in Engineering</t>
        </is>
      </c>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is>
          <t>AFOSR</t>
        </is>
      </c>
      <c r="X2" s="3">
        <f>HYPERLINK("https://bitbucket.org/krgasu/leap/downloads/leap-v0.8.2.tar.gz", "https://bitbucket.org/krgasu/leap/downloads/leap-v0.8.2.tar.gz, https://bitbucket.org/krgasu/leap/src/master")</f>
        <v/>
      </c>
      <c r="Y2" s="2" t="inlineStr">
        <is>
          <t>School for Engineering of Matter, Transport &amp; Energy</t>
        </is>
      </c>
      <c r="Z2" s="2" t="inlineStr">
        <is>
          <t>Campus: Tempe</t>
        </is>
      </c>
      <c r="AA2" s="2" t="b">
        <v>1</v>
      </c>
      <c r="AB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MAE 584: Internship | MAE 593: Applied Project | MAE 241: Intro to Thermodynamics</t>
        </is>
      </c>
      <c r="M3" s="2" t="inlineStr">
        <is>
          <t>2017         AFOSR Young Investigator (YIP) Award,  ASU | 2016         JQSRT/Elsevier Viskanta Young Scientist Award,  ASU</t>
        </is>
      </c>
      <c r="N3" s="2" t="inlineStr">
        <is>
          <t>Please send your CV to Prof</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NASA, NSF</t>
        </is>
      </c>
      <c r="X3" s="2" t="inlineStr"/>
      <c r="Y3" s="2" t="inlineStr">
        <is>
          <t>News&amp;Awards</t>
        </is>
      </c>
      <c r="Z3" s="2" t="inlineStr">
        <is>
          <t>ENGRC 327 (Tempe, AZ 85287-6106)</t>
        </is>
      </c>
      <c r="AA3" s="2" t="b">
        <v>1</v>
      </c>
      <c r="AB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is>
          <t>If you're interested in joining our group, please email</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is>
          <t>What we're looking for:</t>
        </is>
      </c>
      <c r="V4" s="2" t="inlineStr"/>
      <c r="W4" s="2" t="inlineStr"/>
      <c r="X4" s="2" t="inlineStr"/>
      <c r="Y4" s="2" t="inlineStr">
        <is>
          <t>Multiscale polymer analysis</t>
        </is>
      </c>
      <c r="Z4" s="2" t="inlineStr">
        <is>
          <t>ENGRC 353 (Tempe, AZ 85287-6106)</t>
        </is>
      </c>
      <c r="AA4" s="2" t="b">
        <v>1</v>
      </c>
      <c r="AB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MAE 547: Modeling and Control of Robots | MAE 593: Applied Project | MAE 499: Individualized Instruction</t>
        </is>
      </c>
      <c r="M5" s="2" t="inlineStr"/>
      <c r="N5" s="2" t="inlineStr">
        <is>
          <t>Additionally, they should send an email titled “Prospective Ph</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Dec 19, 2025 We have two openings for fully supported summer interns through SURI program at ASU</t>
        </is>
      </c>
      <c r="V5" s="2" t="inlineStr"/>
      <c r="W5" s="2" t="inlineStr"/>
      <c r="X5" s="2" t="inlineStr"/>
      <c r="Y5" s="2" t="inlineStr">
        <is>
          <t>Mission and Core Values</t>
        </is>
      </c>
      <c r="Z5" s="2" t="inlineStr">
        <is>
          <t>Campus: Tempe</t>
        </is>
      </c>
      <c r="AA5" s="2" t="b">
        <v>1</v>
      </c>
      <c r="AB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is>
          <t>ENGRC 361 (TEMPE, AZ 85287-6106)</t>
        </is>
      </c>
      <c r="AA6" s="2" t="b">
        <v>1</v>
      </c>
      <c r="AB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b">
        <v>1</v>
      </c>
      <c r="AB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is>
          <t>551 E Tyler Mall ERC 475 (Tempe, AZ 85281)</t>
        </is>
      </c>
      <c r="AA8" s="2" t="b">
        <v>1</v>
      </c>
      <c r="AB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MAE 499: Individualized Instruction | MAE 202: Mech.Particles/Rigid Bodies II | MAE 318: System Dynamics and Control I</t>
        </is>
      </c>
      <c r="M9" s="2" t="inlineStr"/>
      <c r="N9" s="2" t="inlineStr">
        <is>
          <t>Potential candidates with strong backgrounds in fluid-structure interaction, soft robotics , machine learning can send their CV to leixinma@asu</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Actively recruiting / Openings mentioned on lab site</t>
        </is>
      </c>
      <c r="V9" s="2" t="inlineStr"/>
      <c r="W9" s="2" t="inlineStr"/>
      <c r="X9" s="2" t="inlineStr"/>
      <c r="Y9" s="2" t="inlineStr">
        <is>
          <t>Ocean and Soft Intelligent Structure Interaction Lab</t>
        </is>
      </c>
      <c r="Z9" s="2" t="inlineStr">
        <is>
          <t>ERC 485 (Tempe, AZ 85287)</t>
        </is>
      </c>
      <c r="AA9" s="2" t="b">
        <v>1</v>
      </c>
      <c r="AB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Simultaneous velocity and density measurements of fully developed Rayleigh-Taylor turbulent mixing</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is>
          <t>Want to be part of CMAT Lab?</t>
        </is>
      </c>
      <c r="Z10" s="2" t="inlineStr">
        <is>
          <t>551 E Tyler Mall ERC 479 (Tempe, AZ 85281)</t>
        </is>
      </c>
      <c r="AA10" s="2" t="b">
        <v>1</v>
      </c>
      <c r="AB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is>
          <t>ENGRC 311 (TEMPE, AZ 85287-6106)</t>
        </is>
      </c>
      <c r="AA11" s="2" t="b">
        <v>1</v>
      </c>
      <c r="AB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MAE 318: System Dynamics and Control I | MAE 598: Special Topics | MAE 593: Applied Project</t>
        </is>
      </c>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is>
          <t>ENGRC 375 (Tempe, AZ 85287-6106)</t>
        </is>
      </c>
      <c r="AA12" s="2" t="b">
        <v>1</v>
      </c>
      <c r="AB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Selected Journal Papers Nasim Baharisangari, Kazuma Hirota, Ruixuan Yan, Agung Julius, Zhe Xu , Weighted Graph-Based Sig</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is>
          <t>Actively recruiting / Openings mentioned on lab site</t>
        </is>
      </c>
      <c r="V13" s="2" t="inlineStr"/>
      <c r="W13" s="2" t="inlineStr"/>
      <c r="X13" s="2" t="inlineStr"/>
      <c r="Y13" s="2" t="inlineStr"/>
      <c r="Z13" s="2" t="inlineStr">
        <is>
          <t>Campus: Tempe</t>
        </is>
      </c>
      <c r="AA13" s="2" t="b">
        <v>1</v>
      </c>
      <c r="AB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is>
          <t>MAE 242: Intro to Fluid Mechanics | MAE 593: Applied Project | MAE 598: Special Topics</t>
        </is>
      </c>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is>
          <t>Campus: Tempe</t>
        </is>
      </c>
      <c r="AA14" s="2" t="b">
        <v>1</v>
      </c>
      <c r="AB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HYPERLINK("https://scholar.google.com/citations?view_op=search_authors&amp;mauthors=Matthew%20Peet%20Arizona%20State%20University", "Google Scholar Search")</f>
        <v/>
      </c>
      <c r="E15" s="2" t="inlineStr">
        <is>
          <t>Associate Professor</t>
        </is>
      </c>
      <c r="F15" s="2" t="inlineStr">
        <is>
          <t>Aerospace &amp; Mechanical Engineering</t>
        </is>
      </c>
      <c r="G15" s="2" t="inlineStr"/>
      <c r="H15" s="3">
        <f>HYPERLINK("mailto:mpeet@asu.edu", "mpeet@asu.edu")</f>
        <v/>
      </c>
      <c r="I15" s="2" t="n">
        <v>4</v>
      </c>
      <c r="J15" s="2" t="inlineStr">
        <is>
          <t>aerospace, materials, spacecraft, system dynamics</t>
        </is>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c r="AA15" s="2" t="b">
        <v>1</v>
      </c>
      <c r="AB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MAE 241: Intro to Thermodynamics | MAE 593: Applied Project | MAE 588: Nanoscale Heat Transfer</t>
        </is>
      </c>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is>
          <t>ENGRC 307 (Tempe, AZ 85287-6106)</t>
        </is>
      </c>
      <c r="AA16" s="2" t="b">
        <v>1</v>
      </c>
      <c r="AB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is>
          <t>ENGRC 465 (Tempe, AZ 85287)</t>
        </is>
      </c>
      <c r="AA17" s="2" t="b">
        <v>1</v>
      </c>
      <c r="AB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is>
          <t>ENGRC 377 (TEMPE, AZ 85287-6106)</t>
        </is>
      </c>
      <c r="AA18" s="2" t="b">
        <v>1</v>
      </c>
      <c r="AB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HYPERLINK("https://scholar.google.com/citations?view_op=search_authors&amp;mauthors=Tianyu%20Yang%20Arizona%20State%20University", "Google Scholar Search")</f>
        <v/>
      </c>
      <c r="E19" s="2" t="inlineStr">
        <is>
          <t>Assistant Professor</t>
        </is>
      </c>
      <c r="F19" s="2" t="inlineStr">
        <is>
          <t>Aerospace &amp; Mechanical Engineering</t>
        </is>
      </c>
      <c r="G19" s="2" t="inlineStr"/>
      <c r="H19" s="3">
        <f>HYPERLINK("mailto:Tianyu.Yang@asu.edu", "Tianyu.Yang@asu.edu")</f>
        <v/>
      </c>
      <c r="I19" s="2" t="n">
        <v>4</v>
      </c>
      <c r="J19" s="2" t="inlineStr">
        <is>
          <t>autonomous, heat transfer, materials, thermal</t>
        </is>
      </c>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c r="AA19" s="2" t="b">
        <v>1</v>
      </c>
      <c r="AB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MAE 557: Mechanics Composite Materials | MAE 494: Special Topics | MAE 521: Structural Optimization</t>
        </is>
      </c>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is>
          <t>ENGRC 427 (TEMPE, AZ 85287-6106)</t>
        </is>
      </c>
      <c r="AA20" s="2" t="b">
        <v>1</v>
      </c>
      <c r="AB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is>
          <t>Campus: Tempe</t>
        </is>
      </c>
      <c r="AA21" s="2" t="b">
        <v>1</v>
      </c>
      <c r="AB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is>
          <t>Actively recruiting / Openings mentioned on lab site</t>
        </is>
      </c>
      <c r="V22" s="2" t="inlineStr"/>
      <c r="W22" s="2" t="inlineStr">
        <is>
          <t>NSF</t>
        </is>
      </c>
      <c r="X22" s="2" t="inlineStr"/>
      <c r="Y22" s="2" t="inlineStr">
        <is>
          <t>3D Energy Device Laboratory</t>
        </is>
      </c>
      <c r="Z22" s="2" t="inlineStr">
        <is>
          <t>551 E Tyler Mall ERC 363 (Tempe, AZ 85281)</t>
        </is>
      </c>
      <c r="AA22" s="2" t="b">
        <v>1</v>
      </c>
      <c r="AB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MAE 417: System Dynamics and Control II | MAE 598: Special Topics | MAE 547: Modeling and Control of Robots</t>
        </is>
      </c>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is>
          <t>Campus: Tempe</t>
        </is>
      </c>
      <c r="AA23" s="2" t="b">
        <v>1</v>
      </c>
      <c r="AB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is>
          <t>Campus: Tempe</t>
        </is>
      </c>
      <c r="AA24" s="2" t="b">
        <v>1</v>
      </c>
      <c r="AB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MAE 598: Special Topics | MAE 494: Special Topics | MAE 201: Mech. Particles/Rigid Bodies I</t>
        </is>
      </c>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is>
          <t>ISTB4, ROOM 379 781 S Terrace Rd (Tempe, AZ 85287)</t>
        </is>
      </c>
      <c r="AA25" s="2" t="b">
        <v>1</v>
      </c>
      <c r="AB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is>
          <t>ENGRC 463 (TEMPE, AZ 85287-6106)</t>
        </is>
      </c>
      <c r="AA26" s="2" t="b">
        <v>1</v>
      </c>
      <c r="AB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MAE 215: Intro to Programming in MATLAB | MAE 591: Seminar | MAE 593: Applied Project</t>
        </is>
      </c>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is>
          <t>ENGRC 379 (Tempe, AZ 85287-6106)</t>
        </is>
      </c>
      <c r="AA27" s="2" t="b">
        <v>1</v>
      </c>
      <c r="AB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MAE 551: Appl Machine Learn Mech Engr | MAE 451: Appl Machine Learn Mech Engr | MAE 202: Mech.Particles/Rigid Bodies II</t>
        </is>
      </c>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is>
          <t>Campus: Tempe</t>
        </is>
      </c>
      <c r="AA28" s="2" t="b">
        <v>1</v>
      </c>
      <c r="AB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MAE 502: Partial Diff Equations Engr | MAE 460: Applied Comput Fluid Dynamics | MAE 593: Applied Project</t>
        </is>
      </c>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is>
          <t>Actively recruiting / Openings mentioned on lab site</t>
        </is>
      </c>
      <c r="V29" s="2" t="inlineStr"/>
      <c r="W29" s="2" t="inlineStr"/>
      <c r="X29" s="2" t="inlineStr"/>
      <c r="Y29" s="2" t="inlineStr">
        <is>
          <t>Log in to www_public</t>
        </is>
      </c>
      <c r="Z29" s="2" t="inlineStr">
        <is>
          <t>ENGRC 359 (Tempe, AZ 85287-6106)</t>
        </is>
      </c>
      <c r="AA29" s="2" t="b">
        <v>1</v>
      </c>
      <c r="AB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is>
          <t>Nanostructured Materials</t>
        </is>
      </c>
      <c r="Z30" s="2" t="inlineStr">
        <is>
          <t>ENGRC 355 (Tempe, AZ 85287-6106)</t>
        </is>
      </c>
      <c r="AA30" s="2" t="b">
        <v>1</v>
      </c>
      <c r="AB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c r="Z31" s="2" t="inlineStr">
        <is>
          <t>ENGRC 309 (Tempe, AZ 85287)</t>
        </is>
      </c>
      <c r="AA31" s="2" t="b">
        <v>1</v>
      </c>
      <c r="AB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is>
          <t>Campus: Tempe</t>
        </is>
      </c>
      <c r="AA32" s="2" t="b">
        <v>1</v>
      </c>
      <c r="AB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is>
          <t>Campus: Tempe</t>
        </is>
      </c>
      <c r="AA33" s="2" t="b">
        <v>1</v>
      </c>
      <c r="AB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is>
          <t>Goldwater 466 (TEMPE, AZ 85287-6106)</t>
        </is>
      </c>
      <c r="AA34" s="2" t="b">
        <v>1</v>
      </c>
      <c r="AB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MAE 301: Applied Experimental Statistic | MAE 593: Applied Project | MAE 547: Modeling and Control of Robots</t>
        </is>
      </c>
      <c r="M35" s="2" t="inlineStr"/>
      <c r="N35" s="2" t="inlineStr">
        <is>
          <t>If you are interested, please email Dr</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is>
          <t>Looking for ASU Undergraduate and Master Students</t>
        </is>
      </c>
      <c r="V35" s="2" t="inlineStr"/>
      <c r="W35" s="2" t="inlineStr">
        <is>
          <t>NSF</t>
        </is>
      </c>
      <c r="X35" s="3">
        <f>HYPERLINK("https://github.com/asu-iris", "https://github.com/asu-iris")</f>
        <v/>
      </c>
      <c r="Y35" s="2" t="inlineStr">
        <is>
          <t>Recent Updates</t>
        </is>
      </c>
      <c r="Z35" s="2" t="inlineStr">
        <is>
          <t>Campus: Tempe</t>
        </is>
      </c>
      <c r="AA35" s="2" t="b">
        <v>1</v>
      </c>
      <c r="AB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is>
          <t>ENGRC 409 (Tempe, AZ 85287-6106)</t>
        </is>
      </c>
      <c r="AA36" s="2" t="b">
        <v>1</v>
      </c>
      <c r="AB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c r="M37" s="2" t="inlineStr">
        <is>
          <t>2026 The J. Orin Edson Entrepreneurship &amp; Innovation Seed Funding Award ASU 2025 1st place Skysong Startup Competition C</t>
        </is>
      </c>
      <c r="N37" s="2" t="inlineStr"/>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is>
          <t>Actively recruiting / Openings mentioned on lab site</t>
        </is>
      </c>
      <c r="V37" s="2" t="inlineStr"/>
      <c r="W37" s="2" t="inlineStr">
        <is>
          <t>NSF</t>
        </is>
      </c>
      <c r="X37" s="2" t="inlineStr"/>
      <c r="Y37" s="2" t="inlineStr">
        <is>
          <t>Manufacturing</t>
        </is>
      </c>
      <c r="Z37" s="2" t="inlineStr"/>
      <c r="AA37" s="2" t="b">
        <v>1</v>
      </c>
      <c r="AB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c r="AA38" s="2" t="b">
        <v>1</v>
      </c>
      <c r="AB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is>
          <t>Campus: Tempe</t>
        </is>
      </c>
      <c r="AA39" s="2" t="b">
        <v>1</v>
      </c>
      <c r="AB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c r="AA40" s="2" t="b">
        <v>1</v>
      </c>
      <c r="AB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MAE 213: Mechanics of Materials | MAE 593: Applied Project | MAE 520: Stress Analysis</t>
        </is>
      </c>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is>
          <t>ENGRC 352 (TEMPE, AZ 85287-6106)</t>
        </is>
      </c>
      <c r="AA41" s="2" t="b">
        <v>1</v>
      </c>
      <c r="AB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Welcome and we are looking forward to working with Dr</t>
        </is>
      </c>
      <c r="V42" s="2" t="inlineStr"/>
      <c r="W42" s="2" t="inlineStr">
        <is>
          <t>NSF, ONR</t>
        </is>
      </c>
      <c r="X42" s="2" t="inlineStr"/>
      <c r="Y42" s="2" t="inlineStr">
        <is>
          <t>Highlighted as a cover in Small</t>
        </is>
      </c>
      <c r="Z42" s="2" t="inlineStr">
        <is>
          <t>Campus: Tempe</t>
        </is>
      </c>
      <c r="AA42" s="2" t="b">
        <v>1</v>
      </c>
      <c r="AB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MAE 494: Special Topics | MAE 598: Special Topics | MAE 301: Applied Experimental Statistic</t>
        </is>
      </c>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is>
          <t>GWC 464 (Tempe, AZ 85287-6106)</t>
        </is>
      </c>
      <c r="AA43" s="2" t="b">
        <v>1</v>
      </c>
      <c r="AB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is>
          <t>MAE 242: Intro to Fluid Mechanics | MAE 301: Applied Experimental Statistic | MAE 241: Intro to Thermodynamics</t>
        </is>
      </c>
      <c r="M44" s="2" t="inlineStr"/>
      <c r="N44" s="2" t="inlineStr"/>
      <c r="O44" s="2" t="inlineStr"/>
      <c r="P44" s="2" t="inlineStr"/>
      <c r="Q44" s="2" t="inlineStr"/>
      <c r="R44" s="2" t="inlineStr"/>
      <c r="S44" s="2" t="inlineStr"/>
      <c r="T44" s="2" t="inlineStr"/>
      <c r="U44" s="2" t="inlineStr"/>
      <c r="V44" s="2" t="inlineStr"/>
      <c r="W44" s="2" t="inlineStr"/>
      <c r="X44" s="2" t="inlineStr"/>
      <c r="Y44" s="2" t="inlineStr"/>
      <c r="Z44" s="2" t="inlineStr">
        <is>
          <t>Campus: Tempe</t>
        </is>
      </c>
      <c r="AA44" s="2" t="b">
        <v>0</v>
      </c>
      <c r="AB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is>
          <t>MAE 301: Applied Experimental Statistic | MAE 202: Mech.Particles/Rigid Bodies II | MAE 417: System Dynamics and Control II</t>
        </is>
      </c>
      <c r="M45" s="2" t="inlineStr"/>
      <c r="N45" s="2" t="inlineStr"/>
      <c r="O45" s="2" t="inlineStr"/>
      <c r="P45" s="2" t="inlineStr"/>
      <c r="Q45" s="2" t="inlineStr"/>
      <c r="R45" s="2" t="inlineStr">
        <is>
          <t>Ph.D. in Mechanical Engineering 2022 - University of Utah B.S./M.S.in Mechanical Engineering 2018 - University of Utah</t>
        </is>
      </c>
      <c r="S45" s="2" t="inlineStr"/>
      <c r="T45" s="2" t="inlineStr"/>
      <c r="U45" s="2" t="inlineStr"/>
      <c r="V45" s="2" t="inlineStr"/>
      <c r="W45" s="2" t="inlineStr"/>
      <c r="X45" s="2" t="inlineStr"/>
      <c r="Y45" s="2" t="inlineStr"/>
      <c r="Z45" s="2" t="inlineStr">
        <is>
          <t>Campus: Otherus</t>
        </is>
      </c>
      <c r="AA45" s="2" t="b">
        <v>0</v>
      </c>
      <c r="AB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c r="M46" s="2" t="inlineStr"/>
      <c r="N46" s="2" t="inlineStr"/>
      <c r="O46" s="2" t="inlineStr"/>
      <c r="P46" s="2" t="inlineStr"/>
      <c r="Q46" s="2" t="inlineStr"/>
      <c r="R46" s="2" t="inlineStr"/>
      <c r="S46" s="2" t="inlineStr"/>
      <c r="T46" s="2" t="inlineStr"/>
      <c r="U46" s="2" t="inlineStr"/>
      <c r="V46" s="2" t="inlineStr"/>
      <c r="W46" s="2" t="inlineStr"/>
      <c r="X46" s="2" t="inlineStr"/>
      <c r="Y46" s="2" t="inlineStr"/>
      <c r="Z46" s="2" t="inlineStr"/>
      <c r="AA46" s="2" t="b">
        <v>0</v>
      </c>
      <c r="AB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c r="M47" s="2" t="inlineStr"/>
      <c r="N47" s="2" t="inlineStr"/>
      <c r="O47" s="2" t="inlineStr"/>
      <c r="P47" s="2" t="inlineStr"/>
      <c r="Q47" s="2" t="inlineStr"/>
      <c r="R47" s="2" t="inlineStr"/>
      <c r="S47" s="2" t="inlineStr"/>
      <c r="T47" s="2" t="inlineStr"/>
      <c r="U47" s="2" t="inlineStr"/>
      <c r="V47" s="2" t="inlineStr"/>
      <c r="W47" s="2" t="inlineStr"/>
      <c r="X47" s="2" t="inlineStr"/>
      <c r="Y47" s="2" t="inlineStr"/>
      <c r="Z47" s="2" t="inlineStr"/>
      <c r="AA47" s="2" t="b">
        <v>0</v>
      </c>
      <c r="AB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is>
          <t>MAE 201: Mech. Particles/Rigid Bodies I | MAE 214: Computer-Aided Engineering I | MAE 202: Mech.Particles/Rigid Bodies II</t>
        </is>
      </c>
      <c r="M48" s="2" t="inlineStr"/>
      <c r="N48" s="2" t="inlineStr"/>
      <c r="O48" s="2" t="inlineStr"/>
      <c r="P48" s="2" t="inlineStr"/>
      <c r="Q48" s="2" t="inlineStr"/>
      <c r="R48" s="2" t="inlineStr"/>
      <c r="S48" s="2" t="inlineStr"/>
      <c r="T48" s="2" t="inlineStr"/>
      <c r="U48" s="2" t="inlineStr"/>
      <c r="V48" s="2" t="inlineStr"/>
      <c r="W48" s="2" t="inlineStr"/>
      <c r="X48" s="2" t="inlineStr"/>
      <c r="Y48" s="2" t="inlineStr"/>
      <c r="Z48" s="2" t="inlineStr">
        <is>
          <t>Campus: Tempe</t>
        </is>
      </c>
      <c r="AA48" s="2" t="b">
        <v>0</v>
      </c>
      <c r="AB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is>
          <t>MAE 570: Intermediate Thermodynamics | MAE 400: Engineering Profession | MAE 494: Special Topics</t>
        </is>
      </c>
      <c r="M49" s="2" t="inlineStr"/>
      <c r="N49" s="2" t="inlineStr"/>
      <c r="O49" s="2" t="inlineStr"/>
      <c r="P49" s="2" t="inlineStr"/>
      <c r="Q49" s="2" t="inlineStr"/>
      <c r="R49" s="2" t="inlineStr"/>
      <c r="S49" s="2" t="inlineStr"/>
      <c r="T49" s="2" t="inlineStr"/>
      <c r="U49" s="2" t="inlineStr"/>
      <c r="V49" s="2" t="inlineStr"/>
      <c r="W49" s="2" t="inlineStr"/>
      <c r="X49" s="2" t="inlineStr"/>
      <c r="Y49" s="2" t="inlineStr"/>
      <c r="Z49" s="2" t="inlineStr">
        <is>
          <t>Campus: Tempe</t>
        </is>
      </c>
      <c r="AA49" s="2" t="b">
        <v>0</v>
      </c>
      <c r="AB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X2" r:id="rId5"/>
    <hyperlink xmlns:r="http://schemas.openxmlformats.org/officeDocument/2006/relationships" ref="AB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B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B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B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B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B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B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B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B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B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B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B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B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B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B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B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B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B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B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B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B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B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B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B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B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B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B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B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B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B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B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B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B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X35" r:id="rId160"/>
    <hyperlink xmlns:r="http://schemas.openxmlformats.org/officeDocument/2006/relationships" ref="AB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B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B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B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B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B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B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B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B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B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B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B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B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B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B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2026-09-18T13:11:27Z</dcterms:created>
  <dcterms:modified xmlns:dcterms="http://purl.org/dc/terms/" xmlns:xsi="http://www.w3.org/2001/XMLSchema-instance" xsi:type="dcterms:W3CDTF">2026-09-18T13:11:27Z</dcterms:modified>
</cp:coreProperties>
</file>