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ero Focus" sheetId="1" state="visible" r:id="rId1"/>
    <sheet xmlns:r="http://schemas.openxmlformats.org/officeDocument/2006/relationships" name="Field Matched" sheetId="2" state="visible" r:id="rId2"/>
    <sheet xmlns:r="http://schemas.openxmlformats.org/officeDocument/2006/relationships" name="All Faculty" sheetId="3" state="visible" r:id="rId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00FFFFFF"/>
      <sz val="11"/>
    </font>
    <font>
      <name val="Calibri"/>
      <color rgb="000563C1"/>
      <sz val="11"/>
      <u val="single"/>
    </font>
  </fonts>
  <fills count="3">
    <fill>
      <patternFill/>
    </fill>
    <fill>
      <patternFill patternType="gray125"/>
    </fill>
    <fill>
      <patternFill patternType="solid">
        <fgColor rgb="001F497D"/>
        <bgColor rgb="001F497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4">
    <xf numFmtId="0" fontId="0" fillId="0" borderId="0" pivotButton="0" quotePrefix="0" xfId="0"/>
    <xf numFmtId="0" fontId="1" fillId="2" borderId="0" applyAlignment="1" pivotButton="0" quotePrefix="0" xfId="0">
      <alignment horizontal="center" vertical="center" wrapText="1"/>
    </xf>
    <xf numFmtId="0" fontId="0" fillId="0" borderId="1" applyAlignment="1" pivotButton="0" quotePrefix="0" xfId="0">
      <alignment vertical="center"/>
    </xf>
    <xf numFmtId="0" fontId="2" fillId="0"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arch.asu.edu/profile/mkasbaou" TargetMode="External" Id="rId1"/><Relationship Type="http://schemas.openxmlformats.org/officeDocument/2006/relationships/hyperlink" Target="https://scholar.google.com/citations?view_op=search_authors&amp;mauthors=Mohamed%20Houssem%20Kasbaoui%20Arizona%20State%20University" TargetMode="External" Id="rId2"/><Relationship Type="http://schemas.openxmlformats.org/officeDocument/2006/relationships/hyperlink" Target="mailto:houssem.kasbaoui@asu.edu" TargetMode="External" Id="rId3"/><Relationship Type="http://schemas.openxmlformats.org/officeDocument/2006/relationships/hyperlink" Target="https://doi.org/10.1017/jfm.2018.796" TargetMode="External" Id="rId4"/><Relationship Type="http://schemas.openxmlformats.org/officeDocument/2006/relationships/hyperlink" Target="https://kasbaoui.bitbucket.io" TargetMode="External" Id="rId5"/><Relationship Type="http://schemas.openxmlformats.org/officeDocument/2006/relationships/hyperlink" Target="https://bitbucket.org/krgasu/leap/downloads/leap-v0.8.2.tar.gz" TargetMode="External" Id="rId6"/><Relationship Type="http://schemas.openxmlformats.org/officeDocument/2006/relationships/hyperlink" Target="https://faculty.engineering.asu.edu/directory/semte/aerospace-and-mechanical-engineering/" TargetMode="External" Id="rId7"/><Relationship Type="http://schemas.openxmlformats.org/officeDocument/2006/relationships/hyperlink" Target="https://search.asu.edu/profile/asuchen" TargetMode="External" Id="rId8"/><Relationship Type="http://schemas.openxmlformats.org/officeDocument/2006/relationships/hyperlink" Target="https://scholar.google.com/citations?hl=en&amp;user=xT-lX9sAAAAJ" TargetMode="External" Id="rId9"/><Relationship Type="http://schemas.openxmlformats.org/officeDocument/2006/relationships/hyperlink" Target="mailto:k.p.chen@asu.edu" TargetMode="External" Id="rId10"/><Relationship Type="http://schemas.openxmlformats.org/officeDocument/2006/relationships/hyperlink" Target="https://doi.org/10.1017/s0022112089000960" TargetMode="External" Id="rId11"/><Relationship Type="http://schemas.openxmlformats.org/officeDocument/2006/relationships/hyperlink" Target="https://faculty.engineering.asu.edu/directory/semte/aerospace-and-mechanical-engineering/" TargetMode="External" Id="rId12"/><Relationship Type="http://schemas.openxmlformats.org/officeDocument/2006/relationships/hyperlink" Target="https://search.asu.edu/profile/kramesh2" TargetMode="External" Id="rId13"/><Relationship Type="http://schemas.openxmlformats.org/officeDocument/2006/relationships/hyperlink" Target="https://scholar.google.com/citations?hl=en&amp;user=DKc-AgcAAAAJ" TargetMode="External" Id="rId14"/><Relationship Type="http://schemas.openxmlformats.org/officeDocument/2006/relationships/hyperlink" Target="mailto:Kiran.Ramesh@asu.edu" TargetMode="External" Id="rId15"/><Relationship Type="http://schemas.openxmlformats.org/officeDocument/2006/relationships/hyperlink" Target="https://doi.org/10.1017/jfm.2014.297" TargetMode="External" Id="rId16"/><Relationship Type="http://schemas.openxmlformats.org/officeDocument/2006/relationships/hyperlink" Target="https://faculty.engineering.asu.edu/directory/semte/aerospace-and-mechanical-engineering/" TargetMode="External" Id="rId17"/><Relationship Type="http://schemas.openxmlformats.org/officeDocument/2006/relationships/hyperlink" Target="https://search.asu.edu/profile/leixinma" TargetMode="External" Id="rId18"/><Relationship Type="http://schemas.openxmlformats.org/officeDocument/2006/relationships/hyperlink" Target="https://scholar.google.com/citations?hl=en&amp;user=2xQTOc0AAAAJ" TargetMode="External" Id="rId19"/><Relationship Type="http://schemas.openxmlformats.org/officeDocument/2006/relationships/hyperlink" Target="mailto:Leixin.Ma@asu.edu" TargetMode="External" Id="rId20"/><Relationship Type="http://schemas.openxmlformats.org/officeDocument/2006/relationships/hyperlink" Target="https://doi.org/10.1080/17445302.2014.962788" TargetMode="External" Id="rId21"/><Relationship Type="http://schemas.openxmlformats.org/officeDocument/2006/relationships/hyperlink" Target="https://sites.google.com/view/oasislabasu" TargetMode="External" Id="rId22"/><Relationship Type="http://schemas.openxmlformats.org/officeDocument/2006/relationships/hyperlink" Target="https://faculty.engineering.asu.edu/directory/semte/aerospace-and-mechanical-engineering/" TargetMode="External" Id="rId23"/><Relationship Type="http://schemas.openxmlformats.org/officeDocument/2006/relationships/hyperlink" Target="https://search.asu.edu/profile/gpathiko" TargetMode="External" Id="rId24"/><Relationship Type="http://schemas.openxmlformats.org/officeDocument/2006/relationships/hyperlink" Target="https://scholar.google.com/citations?view_op=search_authors&amp;mauthors=Gokul%20Pathikonda%20Arizona%20State%20University" TargetMode="External" Id="rId25"/><Relationship Type="http://schemas.openxmlformats.org/officeDocument/2006/relationships/hyperlink" Target="mailto:Gokul.Pathikonda@asu.edu" TargetMode="External" Id="rId26"/><Relationship Type="http://schemas.openxmlformats.org/officeDocument/2006/relationships/hyperlink" Target="https://doi.org/10.1017/jfm.2016.879" TargetMode="External" Id="rId27"/><Relationship Type="http://schemas.openxmlformats.org/officeDocument/2006/relationships/hyperlink" Target="https://faculty.engineering.asu.edu/cmat/" TargetMode="External" Id="rId28"/><Relationship Type="http://schemas.openxmlformats.org/officeDocument/2006/relationships/hyperlink" Target="https://faculty.engineering.asu.edu/directory/semte/aerospace-and-mechanical-engineering/" TargetMode="External" Id="rId29"/><Relationship Type="http://schemas.openxmlformats.org/officeDocument/2006/relationships/hyperlink" Target="https://search.asu.edu/profile/mherrma1" TargetMode="External" Id="rId30"/><Relationship Type="http://schemas.openxmlformats.org/officeDocument/2006/relationships/hyperlink" Target="https://scholar.google.com/citations?hl=en&amp;user=yv6aCW8AAAAJ" TargetMode="External" Id="rId31"/><Relationship Type="http://schemas.openxmlformats.org/officeDocument/2006/relationships/hyperlink" Target="mailto:Marcus.Herrmann@asu.edu" TargetMode="External" Id="rId32"/><Relationship Type="http://schemas.openxmlformats.org/officeDocument/2006/relationships/hyperlink" Target="https://doi.org/10.1115/1.4000148" TargetMode="External" Id="rId33"/><Relationship Type="http://schemas.openxmlformats.org/officeDocument/2006/relationships/hyperlink" Target="https://faculty.engineering.asu.edu/directory/semte/aerospace-and-mechanical-engineering/" TargetMode="External" Id="rId34"/><Relationship Type="http://schemas.openxmlformats.org/officeDocument/2006/relationships/hyperlink" Target="https://search.asu.edu/profile/jkim520" TargetMode="External" Id="rId35"/><Relationship Type="http://schemas.openxmlformats.org/officeDocument/2006/relationships/hyperlink" Target="https://scholar.google.com/citations?view_op=search_authors&amp;mauthors=Jeonglae%20Kim%20Arizona%20State%20University" TargetMode="External" Id="rId36"/><Relationship Type="http://schemas.openxmlformats.org/officeDocument/2006/relationships/hyperlink" Target="mailto:jeokim@asu.edu" TargetMode="External" Id="rId37"/><Relationship Type="http://schemas.openxmlformats.org/officeDocument/2006/relationships/hyperlink" Target="https://doi.org/10.1017/jfm.2013.654" TargetMode="External" Id="rId38"/><Relationship Type="http://schemas.openxmlformats.org/officeDocument/2006/relationships/hyperlink" Target="https://faculty.engineering.asu.edu/directory/semte/aerospace-and-mechanical-engineering/" TargetMode="External" Id="rId39"/><Relationship Type="http://schemas.openxmlformats.org/officeDocument/2006/relationships/hyperlink" Target="https://search.asu.edu/profile/rjmilcar" TargetMode="External" Id="rId40"/><Relationship Type="http://schemas.openxmlformats.org/officeDocument/2006/relationships/hyperlink" Target="https://scholar.google.com/citations?hl=en&amp;user=m-Pb6g2pm2UC" TargetMode="External" Id="rId41"/><Relationship Type="http://schemas.openxmlformats.org/officeDocument/2006/relationships/hyperlink" Target="mailto:Ryan.Milcarek@asu.edu" TargetMode="External" Id="rId42"/><Relationship Type="http://schemas.openxmlformats.org/officeDocument/2006/relationships/hyperlink" Target="https://doi.org/10.1016/j.ecmx.2023.100394" TargetMode="External" Id="rId43"/><Relationship Type="http://schemas.openxmlformats.org/officeDocument/2006/relationships/hyperlink" Target="http://RESEARCHGATE.net/profile/Ryan_Milcarek" TargetMode="External" Id="rId44"/><Relationship Type="http://schemas.openxmlformats.org/officeDocument/2006/relationships/hyperlink" Target="https://faculty.engineering.asu.edu/directory/semte/aerospace-and-mechanical-engineering/" TargetMode="External" Id="rId45"/><Relationship Type="http://schemas.openxmlformats.org/officeDocument/2006/relationships/hyperlink" Target="https://search.asu.edu/profile/adscotti" TargetMode="External" Id="rId46"/><Relationship Type="http://schemas.openxmlformats.org/officeDocument/2006/relationships/hyperlink" Target="https://scholar.google.com/citations?hl=en&amp;user=HRx2lJQAAAAJ" TargetMode="External" Id="rId47"/><Relationship Type="http://schemas.openxmlformats.org/officeDocument/2006/relationships/hyperlink" Target="mailto:Alberto.Scotti@asu.edu" TargetMode="External" Id="rId48"/><Relationship Type="http://schemas.openxmlformats.org/officeDocument/2006/relationships/hyperlink" Target="https://doi.org/10.1063/1.858537" TargetMode="External" Id="rId49"/><Relationship Type="http://schemas.openxmlformats.org/officeDocument/2006/relationships/hyperlink" Target="https://faculty.engineering.asu.edu/directory/semte/aerospace-and-mechanical-engineering/" TargetMode="External" Id="rId50"/><Relationship Type="http://schemas.openxmlformats.org/officeDocument/2006/relationships/hyperlink" Target="https://search.asu.edu/profile/ypeet" TargetMode="External" Id="rId51"/><Relationship Type="http://schemas.openxmlformats.org/officeDocument/2006/relationships/hyperlink" Target="https://scholar.google.com/citations?hl=en&amp;user=_6o8MrUAAAAJ" TargetMode="External" Id="rId52"/><Relationship Type="http://schemas.openxmlformats.org/officeDocument/2006/relationships/hyperlink" Target="mailto:ypeet@asu.edu" TargetMode="External" Id="rId53"/><Relationship Type="http://schemas.openxmlformats.org/officeDocument/2006/relationships/hyperlink" Target="https://doi.org/10.2514/6.2008-3745" TargetMode="External" Id="rId54"/><Relationship Type="http://schemas.openxmlformats.org/officeDocument/2006/relationships/hyperlink" Target="https://isim.asu.edu" TargetMode="External" Id="rId55"/><Relationship Type="http://schemas.openxmlformats.org/officeDocument/2006/relationships/hyperlink" Target="https://faculty.engineering.asu.edu/directory/semte/aerospace-and-mechanical-engineering/" TargetMode="External" Id="rId56"/><Relationship Type="http://schemas.openxmlformats.org/officeDocument/2006/relationships/hyperlink" Target="https://search.asu.edu/profile/rcalhou" TargetMode="External" Id="rId57"/><Relationship Type="http://schemas.openxmlformats.org/officeDocument/2006/relationships/hyperlink" Target="https://scholar.google.com/citations?view_op=search_authors&amp;mauthors=Ronald%20Calhoun%20Arizona%20State%20University" TargetMode="External" Id="rId58"/><Relationship Type="http://schemas.openxmlformats.org/officeDocument/2006/relationships/hyperlink" Target="mailto:Ronald.Calhoun@asu.edu" TargetMode="External" Id="rId59"/><Relationship Type="http://schemas.openxmlformats.org/officeDocument/2006/relationships/hyperlink" Target="https://doi.org/10.1029/2000jc900133" TargetMode="External" Id="rId60"/><Relationship Type="http://schemas.openxmlformats.org/officeDocument/2006/relationships/hyperlink" Target="https://windlab.engineering.asu.edu/ronald-calhoun/" TargetMode="External" Id="rId61"/><Relationship Type="http://schemas.openxmlformats.org/officeDocument/2006/relationships/hyperlink" Target="https://faculty.engineering.asu.edu/directory/semte/aerospace-and-mechanical-engineering/" TargetMode="External" Id="rId62"/></Relationships>
</file>

<file path=xl/worksheets/_rels/sheet2.xml.rels><Relationships xmlns="http://schemas.openxmlformats.org/package/2006/relationships"><Relationship Type="http://schemas.openxmlformats.org/officeDocument/2006/relationships/hyperlink" Target="https://search.asu.edu/profile/mkasbaou" TargetMode="External" Id="rId1"/><Relationship Type="http://schemas.openxmlformats.org/officeDocument/2006/relationships/hyperlink" Target="https://scholar.google.com/citations?view_op=search_authors&amp;mauthors=Mohamed%20Houssem%20Kasbaoui%20Arizona%20State%20University" TargetMode="External" Id="rId2"/><Relationship Type="http://schemas.openxmlformats.org/officeDocument/2006/relationships/hyperlink" Target="mailto:houssem.kasbaoui@asu.edu" TargetMode="External" Id="rId3"/><Relationship Type="http://schemas.openxmlformats.org/officeDocument/2006/relationships/hyperlink" Target="https://doi.org/10.1017/jfm.2018.796" TargetMode="External" Id="rId4"/><Relationship Type="http://schemas.openxmlformats.org/officeDocument/2006/relationships/hyperlink" Target="https://kasbaoui.bitbucket.io" TargetMode="External" Id="rId5"/><Relationship Type="http://schemas.openxmlformats.org/officeDocument/2006/relationships/hyperlink" Target="https://bitbucket.org/krgasu/leap/downloads/leap-v0.8.2.tar.gz" TargetMode="External" Id="rId6"/><Relationship Type="http://schemas.openxmlformats.org/officeDocument/2006/relationships/hyperlink" Target="https://faculty.engineering.asu.edu/directory/semte/aerospace-and-mechanical-engineering/" TargetMode="External" Id="rId7"/><Relationship Type="http://schemas.openxmlformats.org/officeDocument/2006/relationships/hyperlink" Target="https://search.asu.edu/profile/asuchen" TargetMode="External" Id="rId8"/><Relationship Type="http://schemas.openxmlformats.org/officeDocument/2006/relationships/hyperlink" Target="https://scholar.google.com/citations?hl=en&amp;user=xT-lX9sAAAAJ" TargetMode="External" Id="rId9"/><Relationship Type="http://schemas.openxmlformats.org/officeDocument/2006/relationships/hyperlink" Target="mailto:k.p.chen@asu.edu" TargetMode="External" Id="rId10"/><Relationship Type="http://schemas.openxmlformats.org/officeDocument/2006/relationships/hyperlink" Target="https://doi.org/10.1017/s0022112089000960" TargetMode="External" Id="rId11"/><Relationship Type="http://schemas.openxmlformats.org/officeDocument/2006/relationships/hyperlink" Target="https://faculty.engineering.asu.edu/directory/semte/aerospace-and-mechanical-engineering/" TargetMode="External" Id="rId12"/><Relationship Type="http://schemas.openxmlformats.org/officeDocument/2006/relationships/hyperlink" Target="https://search.asu.edu/profile/kramesh2" TargetMode="External" Id="rId13"/><Relationship Type="http://schemas.openxmlformats.org/officeDocument/2006/relationships/hyperlink" Target="https://scholar.google.com/citations?hl=en&amp;user=DKc-AgcAAAAJ" TargetMode="External" Id="rId14"/><Relationship Type="http://schemas.openxmlformats.org/officeDocument/2006/relationships/hyperlink" Target="mailto:Kiran.Ramesh@asu.edu" TargetMode="External" Id="rId15"/><Relationship Type="http://schemas.openxmlformats.org/officeDocument/2006/relationships/hyperlink" Target="https://doi.org/10.1017/jfm.2014.297" TargetMode="External" Id="rId16"/><Relationship Type="http://schemas.openxmlformats.org/officeDocument/2006/relationships/hyperlink" Target="https://faculty.engineering.asu.edu/directory/semte/aerospace-and-mechanical-engineering/" TargetMode="External" Id="rId17"/><Relationship Type="http://schemas.openxmlformats.org/officeDocument/2006/relationships/hyperlink" Target="https://search.asu.edu/profile/leixinma" TargetMode="External" Id="rId18"/><Relationship Type="http://schemas.openxmlformats.org/officeDocument/2006/relationships/hyperlink" Target="https://scholar.google.com/citations?hl=en&amp;user=2xQTOc0AAAAJ" TargetMode="External" Id="rId19"/><Relationship Type="http://schemas.openxmlformats.org/officeDocument/2006/relationships/hyperlink" Target="mailto:Leixin.Ma@asu.edu" TargetMode="External" Id="rId20"/><Relationship Type="http://schemas.openxmlformats.org/officeDocument/2006/relationships/hyperlink" Target="https://doi.org/10.1080/17445302.2014.962788" TargetMode="External" Id="rId21"/><Relationship Type="http://schemas.openxmlformats.org/officeDocument/2006/relationships/hyperlink" Target="https://sites.google.com/view/oasislabasu" TargetMode="External" Id="rId22"/><Relationship Type="http://schemas.openxmlformats.org/officeDocument/2006/relationships/hyperlink" Target="https://faculty.engineering.asu.edu/directory/semte/aerospace-and-mechanical-engineering/" TargetMode="External" Id="rId23"/><Relationship Type="http://schemas.openxmlformats.org/officeDocument/2006/relationships/hyperlink" Target="https://search.asu.edu/profile/gpathiko" TargetMode="External" Id="rId24"/><Relationship Type="http://schemas.openxmlformats.org/officeDocument/2006/relationships/hyperlink" Target="https://scholar.google.com/citations?view_op=search_authors&amp;mauthors=Gokul%20Pathikonda%20Arizona%20State%20University" TargetMode="External" Id="rId25"/><Relationship Type="http://schemas.openxmlformats.org/officeDocument/2006/relationships/hyperlink" Target="mailto:Gokul.Pathikonda@asu.edu" TargetMode="External" Id="rId26"/><Relationship Type="http://schemas.openxmlformats.org/officeDocument/2006/relationships/hyperlink" Target="https://doi.org/10.1017/jfm.2016.879" TargetMode="External" Id="rId27"/><Relationship Type="http://schemas.openxmlformats.org/officeDocument/2006/relationships/hyperlink" Target="https://faculty.engineering.asu.edu/cmat/" TargetMode="External" Id="rId28"/><Relationship Type="http://schemas.openxmlformats.org/officeDocument/2006/relationships/hyperlink" Target="https://faculty.engineering.asu.edu/directory/semte/aerospace-and-mechanical-engineering/" TargetMode="External" Id="rId29"/><Relationship Type="http://schemas.openxmlformats.org/officeDocument/2006/relationships/hyperlink" Target="https://search.asu.edu/profile/mherrma1" TargetMode="External" Id="rId30"/><Relationship Type="http://schemas.openxmlformats.org/officeDocument/2006/relationships/hyperlink" Target="https://scholar.google.com/citations?hl=en&amp;user=yv6aCW8AAAAJ" TargetMode="External" Id="rId31"/><Relationship Type="http://schemas.openxmlformats.org/officeDocument/2006/relationships/hyperlink" Target="mailto:Marcus.Herrmann@asu.edu" TargetMode="External" Id="rId32"/><Relationship Type="http://schemas.openxmlformats.org/officeDocument/2006/relationships/hyperlink" Target="https://doi.org/10.1115/1.4000148" TargetMode="External" Id="rId33"/><Relationship Type="http://schemas.openxmlformats.org/officeDocument/2006/relationships/hyperlink" Target="https://faculty.engineering.asu.edu/directory/semte/aerospace-and-mechanical-engineering/" TargetMode="External" Id="rId34"/><Relationship Type="http://schemas.openxmlformats.org/officeDocument/2006/relationships/hyperlink" Target="https://search.asu.edu/profile/jkim520" TargetMode="External" Id="rId35"/><Relationship Type="http://schemas.openxmlformats.org/officeDocument/2006/relationships/hyperlink" Target="https://scholar.google.com/citations?view_op=search_authors&amp;mauthors=Jeonglae%20Kim%20Arizona%20State%20University" TargetMode="External" Id="rId36"/><Relationship Type="http://schemas.openxmlformats.org/officeDocument/2006/relationships/hyperlink" Target="mailto:jeokim@asu.edu" TargetMode="External" Id="rId37"/><Relationship Type="http://schemas.openxmlformats.org/officeDocument/2006/relationships/hyperlink" Target="https://doi.org/10.1017/jfm.2013.654" TargetMode="External" Id="rId38"/><Relationship Type="http://schemas.openxmlformats.org/officeDocument/2006/relationships/hyperlink" Target="https://faculty.engineering.asu.edu/directory/semte/aerospace-and-mechanical-engineering/" TargetMode="External" Id="rId39"/><Relationship Type="http://schemas.openxmlformats.org/officeDocument/2006/relationships/hyperlink" Target="https://search.asu.edu/profile/rjmilcar" TargetMode="External" Id="rId40"/><Relationship Type="http://schemas.openxmlformats.org/officeDocument/2006/relationships/hyperlink" Target="https://scholar.google.com/citations?hl=en&amp;user=m-Pb6g2pm2UC" TargetMode="External" Id="rId41"/><Relationship Type="http://schemas.openxmlformats.org/officeDocument/2006/relationships/hyperlink" Target="mailto:Ryan.Milcarek@asu.edu" TargetMode="External" Id="rId42"/><Relationship Type="http://schemas.openxmlformats.org/officeDocument/2006/relationships/hyperlink" Target="https://doi.org/10.1016/j.ecmx.2023.100394" TargetMode="External" Id="rId43"/><Relationship Type="http://schemas.openxmlformats.org/officeDocument/2006/relationships/hyperlink" Target="http://RESEARCHGATE.net/profile/Ryan_Milcarek" TargetMode="External" Id="rId44"/><Relationship Type="http://schemas.openxmlformats.org/officeDocument/2006/relationships/hyperlink" Target="https://faculty.engineering.asu.edu/directory/semte/aerospace-and-mechanical-engineering/" TargetMode="External" Id="rId45"/><Relationship Type="http://schemas.openxmlformats.org/officeDocument/2006/relationships/hyperlink" Target="https://search.asu.edu/profile/adscotti" TargetMode="External" Id="rId46"/><Relationship Type="http://schemas.openxmlformats.org/officeDocument/2006/relationships/hyperlink" Target="https://scholar.google.com/citations?hl=en&amp;user=HRx2lJQAAAAJ" TargetMode="External" Id="rId47"/><Relationship Type="http://schemas.openxmlformats.org/officeDocument/2006/relationships/hyperlink" Target="mailto:Alberto.Scotti@asu.edu" TargetMode="External" Id="rId48"/><Relationship Type="http://schemas.openxmlformats.org/officeDocument/2006/relationships/hyperlink" Target="https://doi.org/10.1063/1.858537" TargetMode="External" Id="rId49"/><Relationship Type="http://schemas.openxmlformats.org/officeDocument/2006/relationships/hyperlink" Target="https://faculty.engineering.asu.edu/directory/semte/aerospace-and-mechanical-engineering/" TargetMode="External" Id="rId50"/><Relationship Type="http://schemas.openxmlformats.org/officeDocument/2006/relationships/hyperlink" Target="https://search.asu.edu/profile/ypeet" TargetMode="External" Id="rId51"/><Relationship Type="http://schemas.openxmlformats.org/officeDocument/2006/relationships/hyperlink" Target="https://scholar.google.com/citations?hl=en&amp;user=_6o8MrUAAAAJ" TargetMode="External" Id="rId52"/><Relationship Type="http://schemas.openxmlformats.org/officeDocument/2006/relationships/hyperlink" Target="mailto:ypeet@asu.edu" TargetMode="External" Id="rId53"/><Relationship Type="http://schemas.openxmlformats.org/officeDocument/2006/relationships/hyperlink" Target="https://doi.org/10.2514/6.2008-3745" TargetMode="External" Id="rId54"/><Relationship Type="http://schemas.openxmlformats.org/officeDocument/2006/relationships/hyperlink" Target="https://isim.asu.edu" TargetMode="External" Id="rId55"/><Relationship Type="http://schemas.openxmlformats.org/officeDocument/2006/relationships/hyperlink" Target="https://faculty.engineering.asu.edu/directory/semte/aerospace-and-mechanical-engineering/" TargetMode="External" Id="rId56"/><Relationship Type="http://schemas.openxmlformats.org/officeDocument/2006/relationships/hyperlink" Target="https://search.asu.edu/profile/rcalhou" TargetMode="External" Id="rId57"/><Relationship Type="http://schemas.openxmlformats.org/officeDocument/2006/relationships/hyperlink" Target="https://scholar.google.com/citations?view_op=search_authors&amp;mauthors=Ronald%20Calhoun%20Arizona%20State%20University" TargetMode="External" Id="rId58"/><Relationship Type="http://schemas.openxmlformats.org/officeDocument/2006/relationships/hyperlink" Target="mailto:Ronald.Calhoun@asu.edu" TargetMode="External" Id="rId59"/><Relationship Type="http://schemas.openxmlformats.org/officeDocument/2006/relationships/hyperlink" Target="https://doi.org/10.1029/2000jc900133" TargetMode="External" Id="rId60"/><Relationship Type="http://schemas.openxmlformats.org/officeDocument/2006/relationships/hyperlink" Target="https://windlab.engineering.asu.edu/ronald-calhoun/" TargetMode="External" Id="rId61"/><Relationship Type="http://schemas.openxmlformats.org/officeDocument/2006/relationships/hyperlink" Target="https://faculty.engineering.asu.edu/directory/semte/aerospace-and-mechanical-engineering/" TargetMode="External" Id="rId62"/><Relationship Type="http://schemas.openxmlformats.org/officeDocument/2006/relationships/hyperlink" Target="https://search.asu.edu/profile/lwang78" TargetMode="External" Id="rId63"/><Relationship Type="http://schemas.openxmlformats.org/officeDocument/2006/relationships/hyperlink" Target="https://scholar.google.com/citations?view_op=search_authors&amp;mauthors=Liping%20Wang%20Arizona%20State%20University" TargetMode="External" Id="rId64"/><Relationship Type="http://schemas.openxmlformats.org/officeDocument/2006/relationships/hyperlink" Target="mailto:Liping.Wang@asu.edu" TargetMode="External" Id="rId65"/><Relationship Type="http://schemas.openxmlformats.org/officeDocument/2006/relationships/hyperlink" Target="http://faculty.engineering.asu.edu/lpwang" TargetMode="External" Id="rId66"/><Relationship Type="http://schemas.openxmlformats.org/officeDocument/2006/relationships/hyperlink" Target="https://faculty.engineering.asu.edu/directory/semte/aerospace-and-mechanical-engineering/" TargetMode="External" Id="rId67"/><Relationship Type="http://schemas.openxmlformats.org/officeDocument/2006/relationships/hyperlink" Target="https://search.asu.edu/profile/rywang" TargetMode="External" Id="rId68"/><Relationship Type="http://schemas.openxmlformats.org/officeDocument/2006/relationships/hyperlink" Target="https://scholar.google.com/citations?hl=en&amp;user=LaUdx9gAAAAJ" TargetMode="External" Id="rId69"/><Relationship Type="http://schemas.openxmlformats.org/officeDocument/2006/relationships/hyperlink" Target="mailto:rywang@asu.edu" TargetMode="External" Id="rId70"/><Relationship Type="http://schemas.openxmlformats.org/officeDocument/2006/relationships/hyperlink" Target="http://wang.faculty.asu.edu/" TargetMode="External" Id="rId71"/><Relationship Type="http://schemas.openxmlformats.org/officeDocument/2006/relationships/hyperlink" Target="https://faculty.engineering.asu.edu/directory/semte/aerospace-and-mechanical-engineering/" TargetMode="External" Id="rId72"/><Relationship Type="http://schemas.openxmlformats.org/officeDocument/2006/relationships/hyperlink" Target="https://search.asu.edu/profile/attwl" TargetMode="External" Id="rId73"/><Relationship Type="http://schemas.openxmlformats.org/officeDocument/2006/relationships/hyperlink" Target="https://scholar.google.com/citations?view_op=search_authors&amp;mauthors=T.-W.%20Lee%20Arizona%20State%20University" TargetMode="External" Id="rId74"/><Relationship Type="http://schemas.openxmlformats.org/officeDocument/2006/relationships/hyperlink" Target="mailto:ATTWL@asu.edu" TargetMode="External" Id="rId75"/><Relationship Type="http://schemas.openxmlformats.org/officeDocument/2006/relationships/hyperlink" Target="https://faculty.engineering.asu.edu/directory/semte/aerospace-and-mechanical-engineering/" TargetMode="External" Id="rId76"/><Relationship Type="http://schemas.openxmlformats.org/officeDocument/2006/relationships/hyperlink" Target="https://search.asu.edu/profile/tyang123" TargetMode="External" Id="rId77"/><Relationship Type="http://schemas.openxmlformats.org/officeDocument/2006/relationships/hyperlink" Target="https://scholar.google.com/citations?hl=en&amp;user=OmBV67MAAAAJ" TargetMode="External" Id="rId78"/><Relationship Type="http://schemas.openxmlformats.org/officeDocument/2006/relationships/hyperlink" Target="mailto:Tianyu.Yang@asu.edu" TargetMode="External" Id="rId79"/><Relationship Type="http://schemas.openxmlformats.org/officeDocument/2006/relationships/hyperlink" Target="https://faculty.engineering.asu.edu/directory/semte/aerospace-and-mechanical-engineering/" TargetMode="External" Id="rId80"/><Relationship Type="http://schemas.openxmlformats.org/officeDocument/2006/relationships/hyperlink" Target="https://search.asu.edu/profile/bkwon2" TargetMode="External" Id="rId81"/><Relationship Type="http://schemas.openxmlformats.org/officeDocument/2006/relationships/hyperlink" Target="https://scholar.google.com/citations?hl=en&amp;user=fs2d97sAAAAJ" TargetMode="External" Id="rId82"/><Relationship Type="http://schemas.openxmlformats.org/officeDocument/2006/relationships/hyperlink" Target="mailto:kwon@asu.edu" TargetMode="External" Id="rId83"/><Relationship Type="http://schemas.openxmlformats.org/officeDocument/2006/relationships/hyperlink" Target="http://sites.google.com/view/3denergy" TargetMode="External" Id="rId84"/><Relationship Type="http://schemas.openxmlformats.org/officeDocument/2006/relationships/hyperlink" Target="https://faculty.engineering.asu.edu/directory/semte/aerospace-and-mechanical-engineering/" TargetMode="External" Id="rId85"/><Relationship Type="http://schemas.openxmlformats.org/officeDocument/2006/relationships/hyperlink" Target="https://search.asu.edu/profile/pphelan" TargetMode="External" Id="rId86"/><Relationship Type="http://schemas.openxmlformats.org/officeDocument/2006/relationships/hyperlink" Target="https://scholar.google.com/citations?view_op=search_authors&amp;mauthors=Patrick%20Phelan%20Arizona%20State%20University" TargetMode="External" Id="rId87"/><Relationship Type="http://schemas.openxmlformats.org/officeDocument/2006/relationships/hyperlink" Target="mailto:phelan@asu.edu" TargetMode="External" Id="rId88"/><Relationship Type="http://schemas.openxmlformats.org/officeDocument/2006/relationships/hyperlink" Target="https://faculty.engineering.asu.edu/directory/semte/aerospace-and-mechanical-engineering/" TargetMode="External" Id="rId89"/><Relationship Type="http://schemas.openxmlformats.org/officeDocument/2006/relationships/hyperlink" Target="https://search.asu.edu/profile/krykacze" TargetMode="External" Id="rId90"/><Relationship Type="http://schemas.openxmlformats.org/officeDocument/2006/relationships/hyperlink" Target="https://scholar.google.com/citations?hl=en&amp;user=SWeAf4UAAAAJ" TargetMode="External" Id="rId91"/><Relationship Type="http://schemas.openxmlformats.org/officeDocument/2006/relationships/hyperlink" Target="mailto:konradr@asu.edu" TargetMode="External" Id="rId92"/><Relationship Type="http://schemas.openxmlformats.org/officeDocument/2006/relationships/hyperlink" Target="http://faculty.engineering.asu.edu/konrad/" TargetMode="External" Id="rId93"/><Relationship Type="http://schemas.openxmlformats.org/officeDocument/2006/relationships/hyperlink" Target="https://faculty.engineering.asu.edu/directory/semte/aerospace-and-mechanical-engineering/" TargetMode="External" Id="rId94"/><Relationship Type="http://schemas.openxmlformats.org/officeDocument/2006/relationships/hyperlink" Target="https://search.asu.edu/profile/joswald1" TargetMode="External" Id="rId95"/><Relationship Type="http://schemas.openxmlformats.org/officeDocument/2006/relationships/hyperlink" Target="https://scholar.google.com/citations?view_op=search_authors&amp;mauthors=Jay%20Oswald%20Arizona%20State%20University" TargetMode="External" Id="rId96"/><Relationship Type="http://schemas.openxmlformats.org/officeDocument/2006/relationships/hyperlink" Target="mailto:joswald1@asu.edu" TargetMode="External" Id="rId97"/><Relationship Type="http://schemas.openxmlformats.org/officeDocument/2006/relationships/hyperlink" Target="http://sparky.fulton.asu.edu/oswald/" TargetMode="External" Id="rId98"/><Relationship Type="http://schemas.openxmlformats.org/officeDocument/2006/relationships/hyperlink" Target="https://faculty.engineering.asu.edu/directory/semte/aerospace-and-mechanical-engineering/" TargetMode="External" Id="rId99"/><Relationship Type="http://schemas.openxmlformats.org/officeDocument/2006/relationships/hyperlink" Target="https://search.asu.edu/profile/chattopa" TargetMode="External" Id="rId100"/><Relationship Type="http://schemas.openxmlformats.org/officeDocument/2006/relationships/hyperlink" Target="https://scholar.google.com/citations?hl=en&amp;user=w3fU9E0AAAAJ" TargetMode="External" Id="rId101"/><Relationship Type="http://schemas.openxmlformats.org/officeDocument/2006/relationships/hyperlink" Target="mailto:aditi@asu.edu" TargetMode="External" Id="rId102"/><Relationship Type="http://schemas.openxmlformats.org/officeDocument/2006/relationships/hyperlink" Target="https://aims.asu.edu/" TargetMode="External" Id="rId103"/><Relationship Type="http://schemas.openxmlformats.org/officeDocument/2006/relationships/hyperlink" Target="https://faculty.engineering.asu.edu/directory/semte/aerospace-and-mechanical-engineering/" TargetMode="External" Id="rId104"/><Relationship Type="http://schemas.openxmlformats.org/officeDocument/2006/relationships/hyperlink" Target="https://search.asu.edu/profile/ljannesa" TargetMode="External" Id="rId105"/><Relationship Type="http://schemas.openxmlformats.org/officeDocument/2006/relationships/hyperlink" Target="https://scholar.google.com/citations?view_op=search_authors&amp;mauthors=Leila%20Ladani%20Arizona%20State%20University" TargetMode="External" Id="rId106"/><Relationship Type="http://schemas.openxmlformats.org/officeDocument/2006/relationships/hyperlink" Target="mailto:ladani@asu.edu" TargetMode="External" Id="rId107"/><Relationship Type="http://schemas.openxmlformats.org/officeDocument/2006/relationships/hyperlink" Target="https://magic.asu.edu/" TargetMode="External" Id="rId108"/><Relationship Type="http://schemas.openxmlformats.org/officeDocument/2006/relationships/hyperlink" Target="https://faculty.engineering.asu.edu/directory/semte/aerospace-and-mechanical-engineering/" TargetMode="External" Id="rId109"/><Relationship Type="http://schemas.openxmlformats.org/officeDocument/2006/relationships/hyperlink" Target="https://search.asu.edu/profile/hzhuang7" TargetMode="External" Id="rId110"/><Relationship Type="http://schemas.openxmlformats.org/officeDocument/2006/relationships/hyperlink" Target="https://scholar.google.com/citations?hl=en&amp;user=4yYKCpUAAAAJ" TargetMode="External" Id="rId111"/><Relationship Type="http://schemas.openxmlformats.org/officeDocument/2006/relationships/hyperlink" Target="mailto:zhuanghl@asu.edu" TargetMode="External" Id="rId112"/><Relationship Type="http://schemas.openxmlformats.org/officeDocument/2006/relationships/hyperlink" Target="https://faculty.engineering.asu.edu/directory/semte/aerospace-and-mechanical-engineering/" TargetMode="External" Id="rId113"/><Relationship Type="http://schemas.openxmlformats.org/officeDocument/2006/relationships/hyperlink" Target="https://search.asu.edu/profile/jrajago1" TargetMode="External" Id="rId114"/><Relationship Type="http://schemas.openxmlformats.org/officeDocument/2006/relationships/hyperlink" Target="https://scholar.google.com/citations?hl=en&amp;user=ClqRIhIAAAAJ" TargetMode="External" Id="rId115"/><Relationship Type="http://schemas.openxmlformats.org/officeDocument/2006/relationships/hyperlink" Target="mailto:Jagannathan.Rajagopalan@asu.edu" TargetMode="External" Id="rId116"/><Relationship Type="http://schemas.openxmlformats.org/officeDocument/2006/relationships/hyperlink" Target="http://faculty.engineering.asu.edu/jagan/" TargetMode="External" Id="rId117"/><Relationship Type="http://schemas.openxmlformats.org/officeDocument/2006/relationships/hyperlink" Target="https://faculty.engineering.asu.edu/directory/semte/aerospace-and-mechanical-engineering/" TargetMode="External" Id="rId118"/><Relationship Type="http://schemas.openxmlformats.org/officeDocument/2006/relationships/hyperlink" Target="https://search.asu.edu/profile/mingleiq" TargetMode="External" Id="rId119"/><Relationship Type="http://schemas.openxmlformats.org/officeDocument/2006/relationships/hyperlink" Target="https://scholar.google.com/citations?hl=en&amp;user=9LWNC50AAAAJ" TargetMode="External" Id="rId120"/><Relationship Type="http://schemas.openxmlformats.org/officeDocument/2006/relationships/hyperlink" Target="mailto:minglei.qu@asu.edu" TargetMode="External" Id="rId121"/><Relationship Type="http://schemas.openxmlformats.org/officeDocument/2006/relationships/hyperlink" Target="https://faculty.engineering.asu.edu/directory/semte/aerospace-and-mechanical-engineering/" TargetMode="External" Id="rId122"/><Relationship Type="http://schemas.openxmlformats.org/officeDocument/2006/relationships/hyperlink" Target="https://search.asu.edu/profile/qnian" TargetMode="External" Id="rId123"/><Relationship Type="http://schemas.openxmlformats.org/officeDocument/2006/relationships/hyperlink" Target="https://scholar.google.com/citations?view_op=search_authors&amp;mauthors=Qiong%20Nian%20Arizona%20State%20University" TargetMode="External" Id="rId124"/><Relationship Type="http://schemas.openxmlformats.org/officeDocument/2006/relationships/hyperlink" Target="mailto:Qiong.Nian@asu.edu" TargetMode="External" Id="rId125"/><Relationship Type="http://schemas.openxmlformats.org/officeDocument/2006/relationships/hyperlink" Target="https://mmmplab.engineering.asu.edu/" TargetMode="External" Id="rId126"/><Relationship Type="http://schemas.openxmlformats.org/officeDocument/2006/relationships/hyperlink" Target="https://faculty.engineering.asu.edu/directory/semte/aerospace-and-mechanical-engineering/" TargetMode="External" Id="rId127"/><Relationship Type="http://schemas.openxmlformats.org/officeDocument/2006/relationships/hyperlink" Target="https://search.asu.edu/profile/yliu35" TargetMode="External" Id="rId128"/><Relationship Type="http://schemas.openxmlformats.org/officeDocument/2006/relationships/hyperlink" Target="https://scholar.google.com/citations?view_op=search_authors&amp;mauthors=Yongming%20Liu%20Arizona%20State%20University" TargetMode="External" Id="rId129"/><Relationship Type="http://schemas.openxmlformats.org/officeDocument/2006/relationships/hyperlink" Target="mailto:Yongming.Liu@asu.edu" TargetMode="External" Id="rId130"/><Relationship Type="http://schemas.openxmlformats.org/officeDocument/2006/relationships/hyperlink" Target="https://faculty.engineering.asu.edu/directory/semte/aerospace-and-mechanical-engineering/" TargetMode="External" Id="rId131"/><Relationship Type="http://schemas.openxmlformats.org/officeDocument/2006/relationships/hyperlink" Target="https://search.asu.edu/profile/xiangji5" TargetMode="External" Id="rId132"/><Relationship Type="http://schemas.openxmlformats.org/officeDocument/2006/relationships/hyperlink" Target="https://scholar.google.com/citations?hl=en&amp;user=tGQzHJIAAAAJ" TargetMode="External" Id="rId133"/><Relationship Type="http://schemas.openxmlformats.org/officeDocument/2006/relationships/hyperlink" Target="mailto:xiangjia.li@asu.edu" TargetMode="External" Id="rId134"/><Relationship Type="http://schemas.openxmlformats.org/officeDocument/2006/relationships/hyperlink" Target="https://www.cindyxjli.com/" TargetMode="External" Id="rId135"/><Relationship Type="http://schemas.openxmlformats.org/officeDocument/2006/relationships/hyperlink" Target="https://faculty.engineering.asu.edu/directory/semte/aerospace-and-mechanical-engineering/" TargetMode="External" Id="rId136"/><Relationship Type="http://schemas.openxmlformats.org/officeDocument/2006/relationships/hyperlink" Target="https://search.asu.edu/profile/linli25" TargetMode="External" Id="rId137"/><Relationship Type="http://schemas.openxmlformats.org/officeDocument/2006/relationships/hyperlink" Target="https://scholar.google.com/citations?view_op=search_authors&amp;mauthors=Lin%20Li%20Arizona%20State%20University" TargetMode="External" Id="rId138"/><Relationship Type="http://schemas.openxmlformats.org/officeDocument/2006/relationships/hyperlink" Target="mailto:Lin.Li.10@asu.edu" TargetMode="External" Id="rId139"/><Relationship Type="http://schemas.openxmlformats.org/officeDocument/2006/relationships/hyperlink" Target="https://faculty.engineering.asu.edu/directory/semte/aerospace-and-mechanical-engineering/" TargetMode="External" Id="rId140"/><Relationship Type="http://schemas.openxmlformats.org/officeDocument/2006/relationships/hyperlink" Target="https://search.asu.edu/profile/pperalta" TargetMode="External" Id="rId141"/><Relationship Type="http://schemas.openxmlformats.org/officeDocument/2006/relationships/hyperlink" Target="https://scholar.google.com/citations?view_op=search_authors&amp;mauthors=Pedro%20Peralta%20Arizona%20State%20University" TargetMode="External" Id="rId142"/><Relationship Type="http://schemas.openxmlformats.org/officeDocument/2006/relationships/hyperlink" Target="mailto:pperalta@asu.edu" TargetMode="External" Id="rId143"/><Relationship Type="http://schemas.openxmlformats.org/officeDocument/2006/relationships/hyperlink" Target="https://faculty.engineering.asu.edu/pperalta/" TargetMode="External" Id="rId144"/><Relationship Type="http://schemas.openxmlformats.org/officeDocument/2006/relationships/hyperlink" Target="https://faculty.engineering.asu.edu/directory/semte/aerospace-and-mechanical-engineering/" TargetMode="External" Id="rId145"/><Relationship Type="http://schemas.openxmlformats.org/officeDocument/2006/relationships/hyperlink" Target="https://search.asu.edu/profile/wkang16" TargetMode="External" Id="rId146"/><Relationship Type="http://schemas.openxmlformats.org/officeDocument/2006/relationships/hyperlink" Target="https://scholar.google.com/citations?hl=en&amp;user=bHyyOTAAAAAJ" TargetMode="External" Id="rId147"/><Relationship Type="http://schemas.openxmlformats.org/officeDocument/2006/relationships/hyperlink" Target="mailto:Wonmo.Kang@asu.edu" TargetMode="External" Id="rId148"/><Relationship Type="http://schemas.openxmlformats.org/officeDocument/2006/relationships/hyperlink" Target="https://wonmokang3.wixsite.com/website" TargetMode="External" Id="rId149"/><Relationship Type="http://schemas.openxmlformats.org/officeDocument/2006/relationships/hyperlink" Target="https://faculty.engineering.asu.edu/directory/semte/aerospace-and-mechanical-engineering/" TargetMode="External" Id="rId150"/><Relationship Type="http://schemas.openxmlformats.org/officeDocument/2006/relationships/hyperlink" Target="https://search.asu.edu/profile/jsun165" TargetMode="External" Id="rId151"/><Relationship Type="http://schemas.openxmlformats.org/officeDocument/2006/relationships/hyperlink" Target="https://scholar.google.com/citations?hl=en&amp;user=fjUoHOsAAAAJ" TargetMode="External" Id="rId152"/><Relationship Type="http://schemas.openxmlformats.org/officeDocument/2006/relationships/hyperlink" Target="mailto:Jiefeng.Sun@asu.edu" TargetMode="External" Id="rId153"/><Relationship Type="http://schemas.openxmlformats.org/officeDocument/2006/relationships/hyperlink" Target="https://sunroboticslab.github.io" TargetMode="External" Id="rId154"/><Relationship Type="http://schemas.openxmlformats.org/officeDocument/2006/relationships/hyperlink" Target="https://faculty.engineering.asu.edu/directory/semte/aerospace-and-mechanical-engineering/" TargetMode="External" Id="rId155"/><Relationship Type="http://schemas.openxmlformats.org/officeDocument/2006/relationships/hyperlink" Target="https://search.asu.edu/profile/kgarg24" TargetMode="External" Id="rId156"/><Relationship Type="http://schemas.openxmlformats.org/officeDocument/2006/relationships/hyperlink" Target="https://scholar.google.com/citations?hl=en&amp;user=vs3pl-8AAAAJ" TargetMode="External" Id="rId157"/><Relationship Type="http://schemas.openxmlformats.org/officeDocument/2006/relationships/hyperlink" Target="mailto:kgarg24@asu.edu" TargetMode="External" Id="rId158"/><Relationship Type="http://schemas.openxmlformats.org/officeDocument/2006/relationships/hyperlink" Target="https://sites.google.com/asu.edu/kunalgarg/" TargetMode="External" Id="rId159"/><Relationship Type="http://schemas.openxmlformats.org/officeDocument/2006/relationships/hyperlink" Target="https://faculty.engineering.asu.edu/directory/semte/aerospace-and-mechanical-engineering/" TargetMode="External" Id="rId160"/><Relationship Type="http://schemas.openxmlformats.org/officeDocument/2006/relationships/hyperlink" Target="https://search.asu.edu/profile/smberma2" TargetMode="External" Id="rId161"/><Relationship Type="http://schemas.openxmlformats.org/officeDocument/2006/relationships/hyperlink" Target="https://scholar.google.com/citations?hl=en&amp;user=KKup0OgAAAAJ" TargetMode="External" Id="rId162"/><Relationship Type="http://schemas.openxmlformats.org/officeDocument/2006/relationships/hyperlink" Target="mailto:Spring.Berman@asu.edu" TargetMode="External" Id="rId163"/><Relationship Type="http://schemas.openxmlformats.org/officeDocument/2006/relationships/hyperlink" Target="http://faculty.engineering.asu.edu/acs/" TargetMode="External" Id="rId164"/><Relationship Type="http://schemas.openxmlformats.org/officeDocument/2006/relationships/hyperlink" Target="https://faculty.engineering.asu.edu/directory/semte/aerospace-and-mechanical-engineering/" TargetMode="External" Id="rId165"/><Relationship Type="http://schemas.openxmlformats.org/officeDocument/2006/relationships/hyperlink" Target="https://search.asu.edu/profile/xzhe1" TargetMode="External" Id="rId166"/><Relationship Type="http://schemas.openxmlformats.org/officeDocument/2006/relationships/hyperlink" Target="https://scholar.google.com/citations?view_op=search_authors&amp;mauthors=Zhe%20Xu%20Arizona%20State%20University" TargetMode="External" Id="rId167"/><Relationship Type="http://schemas.openxmlformats.org/officeDocument/2006/relationships/hyperlink" Target="mailto:xzhe1@asu.edu" TargetMode="External" Id="rId168"/><Relationship Type="http://schemas.openxmlformats.org/officeDocument/2006/relationships/hyperlink" Target="https://sites.google.com/site/zhexudavid00710/research?authuser=0" TargetMode="External" Id="rId169"/><Relationship Type="http://schemas.openxmlformats.org/officeDocument/2006/relationships/hyperlink" Target="https://faculty.engineering.asu.edu/directory/semte/aerospace-and-mechanical-engineering/" TargetMode="External" Id="rId170"/><Relationship Type="http://schemas.openxmlformats.org/officeDocument/2006/relationships/hyperlink" Target="https://search.asu.edu/profile/mpeet" TargetMode="External" Id="rId171"/><Relationship Type="http://schemas.openxmlformats.org/officeDocument/2006/relationships/hyperlink" Target="https://scholar.google.com/citations?hl=en&amp;user=l7umOqMAAAAJ" TargetMode="External" Id="rId172"/><Relationship Type="http://schemas.openxmlformats.org/officeDocument/2006/relationships/hyperlink" Target="mailto:mpeet@asu.edu" TargetMode="External" Id="rId173"/><Relationship Type="http://schemas.openxmlformats.org/officeDocument/2006/relationships/hyperlink" Target="http://control.asu.edu/" TargetMode="External" Id="rId174"/><Relationship Type="http://schemas.openxmlformats.org/officeDocument/2006/relationships/hyperlink" Target="https://faculty.engineering.asu.edu/directory/semte/aerospace-and-mechanical-engineering/" TargetMode="External" Id="rId175"/><Relationship Type="http://schemas.openxmlformats.org/officeDocument/2006/relationships/hyperlink" Target="https://search.asu.edu/profile/hmarvi" TargetMode="External" Id="rId176"/><Relationship Type="http://schemas.openxmlformats.org/officeDocument/2006/relationships/hyperlink" Target="https://scholar.google.com/citations?hl=en&amp;user=00Fepb0AAAAJ" TargetMode="External" Id="rId177"/><Relationship Type="http://schemas.openxmlformats.org/officeDocument/2006/relationships/hyperlink" Target="mailto:hmarvi@asu.edu" TargetMode="External" Id="rId178"/><Relationship Type="http://schemas.openxmlformats.org/officeDocument/2006/relationships/hyperlink" Target="http://birth.asu.edu" TargetMode="External" Id="rId179"/><Relationship Type="http://schemas.openxmlformats.org/officeDocument/2006/relationships/hyperlink" Target="https://faculty.engineering.asu.edu/directory/semte/aerospace-and-mechanical-engineering/" TargetMode="External" Id="rId180"/><Relationship Type="http://schemas.openxmlformats.org/officeDocument/2006/relationships/hyperlink" Target="https://search.asu.edu/profile/hlee234" TargetMode="External" Id="rId181"/><Relationship Type="http://schemas.openxmlformats.org/officeDocument/2006/relationships/hyperlink" Target="https://scholar.google.com/citations?view_op=search_authors&amp;mauthors=Hyunglae%20Lee%20Arizona%20State%20University" TargetMode="External" Id="rId182"/><Relationship Type="http://schemas.openxmlformats.org/officeDocument/2006/relationships/hyperlink" Target="mailto:Hyunglae.Lee@asu.edu" TargetMode="External" Id="rId183"/><Relationship Type="http://schemas.openxmlformats.org/officeDocument/2006/relationships/hyperlink" Target="https://faculty.engineering.asu.edu/hlee" TargetMode="External" Id="rId184"/><Relationship Type="http://schemas.openxmlformats.org/officeDocument/2006/relationships/hyperlink" Target="https://faculty.engineering.asu.edu/directory/semte/aerospace-and-mechanical-engineering/" TargetMode="External" Id="rId185"/><Relationship Type="http://schemas.openxmlformats.org/officeDocument/2006/relationships/hyperlink" Target="https://search.asu.edu/profile/hhuang38" TargetMode="External" Id="rId186"/><Relationship Type="http://schemas.openxmlformats.org/officeDocument/2006/relationships/hyperlink" Target="https://scholar.google.com/citations?view_op=search_authors&amp;mauthors=Huei-Ping%20Huang%20Arizona%20State%20University" TargetMode="External" Id="rId187"/><Relationship Type="http://schemas.openxmlformats.org/officeDocument/2006/relationships/hyperlink" Target="mailto:Huei-Ping.Huang@asu.edu" TargetMode="External" Id="rId188"/><Relationship Type="http://schemas.openxmlformats.org/officeDocument/2006/relationships/hyperlink" Target="http://www.public.asu.edu/~hhuang38" TargetMode="External" Id="rId189"/><Relationship Type="http://schemas.openxmlformats.org/officeDocument/2006/relationships/hyperlink" Target="https://faculty.engineering.asu.edu/directory/semte/aerospace-and-mechanical-engineering/" TargetMode="External" Id="rId190"/><Relationship Type="http://schemas.openxmlformats.org/officeDocument/2006/relationships/hyperlink" Target="https://search.asu.edu/profile/wjin34" TargetMode="External" Id="rId191"/><Relationship Type="http://schemas.openxmlformats.org/officeDocument/2006/relationships/hyperlink" Target="https://scholar.google.com/citations?hl=en&amp;user=SoEC4h4AAAAJ" TargetMode="External" Id="rId192"/><Relationship Type="http://schemas.openxmlformats.org/officeDocument/2006/relationships/hyperlink" Target="mailto:wjin@asu.edu" TargetMode="External" Id="rId193"/><Relationship Type="http://schemas.openxmlformats.org/officeDocument/2006/relationships/hyperlink" Target="https://irislab.tech/" TargetMode="External" Id="rId194"/><Relationship Type="http://schemas.openxmlformats.org/officeDocument/2006/relationships/hyperlink" Target="https://github.com/asu-iris" TargetMode="External" Id="rId195"/><Relationship Type="http://schemas.openxmlformats.org/officeDocument/2006/relationships/hyperlink" Target="https://faculty.engineering.asu.edu/directory/semte/aerospace-and-mechanical-engineering/" TargetMode="External" Id="rId196"/><Relationship Type="http://schemas.openxmlformats.org/officeDocument/2006/relationships/hyperlink" Target="https://search.asu.edu/profile/jimbo" TargetMode="External" Id="rId197"/><Relationship Type="http://schemas.openxmlformats.org/officeDocument/2006/relationships/hyperlink" Target="https://scholar.google.com/citations?view_op=search_authors&amp;mauthors=James%20Middleton%20Arizona%20State%20University" TargetMode="External" Id="rId198"/><Relationship Type="http://schemas.openxmlformats.org/officeDocument/2006/relationships/hyperlink" Target="mailto:jimbo@asu.edu" TargetMode="External" Id="rId199"/><Relationship Type="http://schemas.openxmlformats.org/officeDocument/2006/relationships/hyperlink" Target="https://faculty.engineering.asu.edu/directory/semte/aerospace-and-mechanical-engineering/" TargetMode="External" Id="rId200"/><Relationship Type="http://schemas.openxmlformats.org/officeDocument/2006/relationships/hyperlink" Target="https://search.asu.edu/profile/marc03" TargetMode="External" Id="rId201"/><Relationship Type="http://schemas.openxmlformats.org/officeDocument/2006/relationships/hyperlink" Target="https://scholar.google.com/citations?view_op=search_authors&amp;mauthors=Marc%20Mignolet%20Arizona%20State%20University" TargetMode="External" Id="rId202"/><Relationship Type="http://schemas.openxmlformats.org/officeDocument/2006/relationships/hyperlink" Target="mailto:marc.mignolet@asu.edu" TargetMode="External" Id="rId203"/><Relationship Type="http://schemas.openxmlformats.org/officeDocument/2006/relationships/hyperlink" Target="https://faculty.engineering.asu.edu/directory/semte/aerospace-and-mechanical-engineering/" TargetMode="External" Id="rId204"/><Relationship Type="http://schemas.openxmlformats.org/officeDocument/2006/relationships/hyperlink" Target="https://search.asu.edu/profile/yren32" TargetMode="External" Id="rId205"/><Relationship Type="http://schemas.openxmlformats.org/officeDocument/2006/relationships/hyperlink" Target="https://scholar.google.com/citations?view_op=search_authors&amp;mauthors=Yi%20Ren%20Arizona%20State%20University" TargetMode="External" Id="rId206"/><Relationship Type="http://schemas.openxmlformats.org/officeDocument/2006/relationships/hyperlink" Target="mailto:yiren@asu.edu" TargetMode="External" Id="rId207"/><Relationship Type="http://schemas.openxmlformats.org/officeDocument/2006/relationships/hyperlink" Target="https://faculty.engineering.asu.edu/directory/semte/aerospace-and-mechanical-engineering/" TargetMode="External" Id="rId208"/></Relationships>
</file>

<file path=xl/worksheets/_rels/sheet3.xml.rels><Relationships xmlns="http://schemas.openxmlformats.org/package/2006/relationships"><Relationship Type="http://schemas.openxmlformats.org/officeDocument/2006/relationships/hyperlink" Target="https://search.asu.edu/profile/mkasbaou" TargetMode="External" Id="rId1"/><Relationship Type="http://schemas.openxmlformats.org/officeDocument/2006/relationships/hyperlink" Target="https://scholar.google.com/citations?view_op=search_authors&amp;mauthors=Mohamed%20Houssem%20Kasbaoui%20Arizona%20State%20University" TargetMode="External" Id="rId2"/><Relationship Type="http://schemas.openxmlformats.org/officeDocument/2006/relationships/hyperlink" Target="mailto:houssem.kasbaoui@asu.edu" TargetMode="External" Id="rId3"/><Relationship Type="http://schemas.openxmlformats.org/officeDocument/2006/relationships/hyperlink" Target="https://doi.org/10.1017/jfm.2018.796" TargetMode="External" Id="rId4"/><Relationship Type="http://schemas.openxmlformats.org/officeDocument/2006/relationships/hyperlink" Target="https://kasbaoui.bitbucket.io" TargetMode="External" Id="rId5"/><Relationship Type="http://schemas.openxmlformats.org/officeDocument/2006/relationships/hyperlink" Target="https://bitbucket.org/krgasu/leap/downloads/leap-v0.8.2.tar.gz" TargetMode="External" Id="rId6"/><Relationship Type="http://schemas.openxmlformats.org/officeDocument/2006/relationships/hyperlink" Target="https://faculty.engineering.asu.edu/directory/semte/aerospace-and-mechanical-engineering/" TargetMode="External" Id="rId7"/><Relationship Type="http://schemas.openxmlformats.org/officeDocument/2006/relationships/hyperlink" Target="https://search.asu.edu/profile/asuchen" TargetMode="External" Id="rId8"/><Relationship Type="http://schemas.openxmlformats.org/officeDocument/2006/relationships/hyperlink" Target="https://scholar.google.com/citations?hl=en&amp;user=xT-lX9sAAAAJ" TargetMode="External" Id="rId9"/><Relationship Type="http://schemas.openxmlformats.org/officeDocument/2006/relationships/hyperlink" Target="mailto:k.p.chen@asu.edu" TargetMode="External" Id="rId10"/><Relationship Type="http://schemas.openxmlformats.org/officeDocument/2006/relationships/hyperlink" Target="https://doi.org/10.1017/s0022112089000960" TargetMode="External" Id="rId11"/><Relationship Type="http://schemas.openxmlformats.org/officeDocument/2006/relationships/hyperlink" Target="https://faculty.engineering.asu.edu/directory/semte/aerospace-and-mechanical-engineering/" TargetMode="External" Id="rId12"/><Relationship Type="http://schemas.openxmlformats.org/officeDocument/2006/relationships/hyperlink" Target="https://search.asu.edu/profile/kramesh2" TargetMode="External" Id="rId13"/><Relationship Type="http://schemas.openxmlformats.org/officeDocument/2006/relationships/hyperlink" Target="https://scholar.google.com/citations?hl=en&amp;user=DKc-AgcAAAAJ" TargetMode="External" Id="rId14"/><Relationship Type="http://schemas.openxmlformats.org/officeDocument/2006/relationships/hyperlink" Target="mailto:Kiran.Ramesh@asu.edu" TargetMode="External" Id="rId15"/><Relationship Type="http://schemas.openxmlformats.org/officeDocument/2006/relationships/hyperlink" Target="https://doi.org/10.1017/jfm.2014.297" TargetMode="External" Id="rId16"/><Relationship Type="http://schemas.openxmlformats.org/officeDocument/2006/relationships/hyperlink" Target="https://faculty.engineering.asu.edu/directory/semte/aerospace-and-mechanical-engineering/" TargetMode="External" Id="rId17"/><Relationship Type="http://schemas.openxmlformats.org/officeDocument/2006/relationships/hyperlink" Target="https://search.asu.edu/profile/leixinma" TargetMode="External" Id="rId18"/><Relationship Type="http://schemas.openxmlformats.org/officeDocument/2006/relationships/hyperlink" Target="https://scholar.google.com/citations?hl=en&amp;user=2xQTOc0AAAAJ" TargetMode="External" Id="rId19"/><Relationship Type="http://schemas.openxmlformats.org/officeDocument/2006/relationships/hyperlink" Target="mailto:Leixin.Ma@asu.edu" TargetMode="External" Id="rId20"/><Relationship Type="http://schemas.openxmlformats.org/officeDocument/2006/relationships/hyperlink" Target="https://doi.org/10.1080/17445302.2014.962788" TargetMode="External" Id="rId21"/><Relationship Type="http://schemas.openxmlformats.org/officeDocument/2006/relationships/hyperlink" Target="https://sites.google.com/view/oasislabasu" TargetMode="External" Id="rId22"/><Relationship Type="http://schemas.openxmlformats.org/officeDocument/2006/relationships/hyperlink" Target="https://faculty.engineering.asu.edu/directory/semte/aerospace-and-mechanical-engineering/" TargetMode="External" Id="rId23"/><Relationship Type="http://schemas.openxmlformats.org/officeDocument/2006/relationships/hyperlink" Target="https://search.asu.edu/profile/gpathiko" TargetMode="External" Id="rId24"/><Relationship Type="http://schemas.openxmlformats.org/officeDocument/2006/relationships/hyperlink" Target="https://scholar.google.com/citations?view_op=search_authors&amp;mauthors=Gokul%20Pathikonda%20Arizona%20State%20University" TargetMode="External" Id="rId25"/><Relationship Type="http://schemas.openxmlformats.org/officeDocument/2006/relationships/hyperlink" Target="mailto:Gokul.Pathikonda@asu.edu" TargetMode="External" Id="rId26"/><Relationship Type="http://schemas.openxmlformats.org/officeDocument/2006/relationships/hyperlink" Target="https://doi.org/10.1017/jfm.2016.879" TargetMode="External" Id="rId27"/><Relationship Type="http://schemas.openxmlformats.org/officeDocument/2006/relationships/hyperlink" Target="https://faculty.engineering.asu.edu/cmat/" TargetMode="External" Id="rId28"/><Relationship Type="http://schemas.openxmlformats.org/officeDocument/2006/relationships/hyperlink" Target="https://faculty.engineering.asu.edu/directory/semte/aerospace-and-mechanical-engineering/" TargetMode="External" Id="rId29"/><Relationship Type="http://schemas.openxmlformats.org/officeDocument/2006/relationships/hyperlink" Target="https://search.asu.edu/profile/mherrma1" TargetMode="External" Id="rId30"/><Relationship Type="http://schemas.openxmlformats.org/officeDocument/2006/relationships/hyperlink" Target="https://scholar.google.com/citations?hl=en&amp;user=yv6aCW8AAAAJ" TargetMode="External" Id="rId31"/><Relationship Type="http://schemas.openxmlformats.org/officeDocument/2006/relationships/hyperlink" Target="mailto:Marcus.Herrmann@asu.edu" TargetMode="External" Id="rId32"/><Relationship Type="http://schemas.openxmlformats.org/officeDocument/2006/relationships/hyperlink" Target="https://doi.org/10.1115/1.4000148" TargetMode="External" Id="rId33"/><Relationship Type="http://schemas.openxmlformats.org/officeDocument/2006/relationships/hyperlink" Target="https://faculty.engineering.asu.edu/directory/semte/aerospace-and-mechanical-engineering/" TargetMode="External" Id="rId34"/><Relationship Type="http://schemas.openxmlformats.org/officeDocument/2006/relationships/hyperlink" Target="https://search.asu.edu/profile/jkim520" TargetMode="External" Id="rId35"/><Relationship Type="http://schemas.openxmlformats.org/officeDocument/2006/relationships/hyperlink" Target="https://scholar.google.com/citations?view_op=search_authors&amp;mauthors=Jeonglae%20Kim%20Arizona%20State%20University" TargetMode="External" Id="rId36"/><Relationship Type="http://schemas.openxmlformats.org/officeDocument/2006/relationships/hyperlink" Target="mailto:jeokim@asu.edu" TargetMode="External" Id="rId37"/><Relationship Type="http://schemas.openxmlformats.org/officeDocument/2006/relationships/hyperlink" Target="https://doi.org/10.1017/jfm.2013.654" TargetMode="External" Id="rId38"/><Relationship Type="http://schemas.openxmlformats.org/officeDocument/2006/relationships/hyperlink" Target="https://faculty.engineering.asu.edu/directory/semte/aerospace-and-mechanical-engineering/" TargetMode="External" Id="rId39"/><Relationship Type="http://schemas.openxmlformats.org/officeDocument/2006/relationships/hyperlink" Target="https://search.asu.edu/profile/rjmilcar" TargetMode="External" Id="rId40"/><Relationship Type="http://schemas.openxmlformats.org/officeDocument/2006/relationships/hyperlink" Target="https://scholar.google.com/citations?hl=en&amp;user=m-Pb6g2pm2UC" TargetMode="External" Id="rId41"/><Relationship Type="http://schemas.openxmlformats.org/officeDocument/2006/relationships/hyperlink" Target="mailto:Ryan.Milcarek@asu.edu" TargetMode="External" Id="rId42"/><Relationship Type="http://schemas.openxmlformats.org/officeDocument/2006/relationships/hyperlink" Target="https://doi.org/10.1016/j.ecmx.2023.100394" TargetMode="External" Id="rId43"/><Relationship Type="http://schemas.openxmlformats.org/officeDocument/2006/relationships/hyperlink" Target="http://RESEARCHGATE.net/profile/Ryan_Milcarek" TargetMode="External" Id="rId44"/><Relationship Type="http://schemas.openxmlformats.org/officeDocument/2006/relationships/hyperlink" Target="https://faculty.engineering.asu.edu/directory/semte/aerospace-and-mechanical-engineering/" TargetMode="External" Id="rId45"/><Relationship Type="http://schemas.openxmlformats.org/officeDocument/2006/relationships/hyperlink" Target="https://search.asu.edu/profile/adscotti" TargetMode="External" Id="rId46"/><Relationship Type="http://schemas.openxmlformats.org/officeDocument/2006/relationships/hyperlink" Target="https://scholar.google.com/citations?hl=en&amp;user=HRx2lJQAAAAJ" TargetMode="External" Id="rId47"/><Relationship Type="http://schemas.openxmlformats.org/officeDocument/2006/relationships/hyperlink" Target="mailto:Alberto.Scotti@asu.edu" TargetMode="External" Id="rId48"/><Relationship Type="http://schemas.openxmlformats.org/officeDocument/2006/relationships/hyperlink" Target="https://doi.org/10.1063/1.858537" TargetMode="External" Id="rId49"/><Relationship Type="http://schemas.openxmlformats.org/officeDocument/2006/relationships/hyperlink" Target="https://faculty.engineering.asu.edu/directory/semte/aerospace-and-mechanical-engineering/" TargetMode="External" Id="rId50"/><Relationship Type="http://schemas.openxmlformats.org/officeDocument/2006/relationships/hyperlink" Target="https://search.asu.edu/profile/ypeet" TargetMode="External" Id="rId51"/><Relationship Type="http://schemas.openxmlformats.org/officeDocument/2006/relationships/hyperlink" Target="https://scholar.google.com/citations?hl=en&amp;user=_6o8MrUAAAAJ" TargetMode="External" Id="rId52"/><Relationship Type="http://schemas.openxmlformats.org/officeDocument/2006/relationships/hyperlink" Target="mailto:ypeet@asu.edu" TargetMode="External" Id="rId53"/><Relationship Type="http://schemas.openxmlformats.org/officeDocument/2006/relationships/hyperlink" Target="https://doi.org/10.2514/6.2008-3745" TargetMode="External" Id="rId54"/><Relationship Type="http://schemas.openxmlformats.org/officeDocument/2006/relationships/hyperlink" Target="https://isim.asu.edu" TargetMode="External" Id="rId55"/><Relationship Type="http://schemas.openxmlformats.org/officeDocument/2006/relationships/hyperlink" Target="https://faculty.engineering.asu.edu/directory/semte/aerospace-and-mechanical-engineering/" TargetMode="External" Id="rId56"/><Relationship Type="http://schemas.openxmlformats.org/officeDocument/2006/relationships/hyperlink" Target="https://search.asu.edu/profile/rcalhou" TargetMode="External" Id="rId57"/><Relationship Type="http://schemas.openxmlformats.org/officeDocument/2006/relationships/hyperlink" Target="https://scholar.google.com/citations?view_op=search_authors&amp;mauthors=Ronald%20Calhoun%20Arizona%20State%20University" TargetMode="External" Id="rId58"/><Relationship Type="http://schemas.openxmlformats.org/officeDocument/2006/relationships/hyperlink" Target="mailto:Ronald.Calhoun@asu.edu" TargetMode="External" Id="rId59"/><Relationship Type="http://schemas.openxmlformats.org/officeDocument/2006/relationships/hyperlink" Target="https://doi.org/10.1029/2000jc900133" TargetMode="External" Id="rId60"/><Relationship Type="http://schemas.openxmlformats.org/officeDocument/2006/relationships/hyperlink" Target="https://windlab.engineering.asu.edu/ronald-calhoun/" TargetMode="External" Id="rId61"/><Relationship Type="http://schemas.openxmlformats.org/officeDocument/2006/relationships/hyperlink" Target="https://faculty.engineering.asu.edu/directory/semte/aerospace-and-mechanical-engineering/" TargetMode="External" Id="rId62"/><Relationship Type="http://schemas.openxmlformats.org/officeDocument/2006/relationships/hyperlink" Target="https://search.asu.edu/profile/lwang78" TargetMode="External" Id="rId63"/><Relationship Type="http://schemas.openxmlformats.org/officeDocument/2006/relationships/hyperlink" Target="https://scholar.google.com/citations?view_op=search_authors&amp;mauthors=Liping%20Wang%20Arizona%20State%20University" TargetMode="External" Id="rId64"/><Relationship Type="http://schemas.openxmlformats.org/officeDocument/2006/relationships/hyperlink" Target="mailto:Liping.Wang@asu.edu" TargetMode="External" Id="rId65"/><Relationship Type="http://schemas.openxmlformats.org/officeDocument/2006/relationships/hyperlink" Target="http://faculty.engineering.asu.edu/lpwang" TargetMode="External" Id="rId66"/><Relationship Type="http://schemas.openxmlformats.org/officeDocument/2006/relationships/hyperlink" Target="https://faculty.engineering.asu.edu/directory/semte/aerospace-and-mechanical-engineering/" TargetMode="External" Id="rId67"/><Relationship Type="http://schemas.openxmlformats.org/officeDocument/2006/relationships/hyperlink" Target="https://search.asu.edu/profile/rywang" TargetMode="External" Id="rId68"/><Relationship Type="http://schemas.openxmlformats.org/officeDocument/2006/relationships/hyperlink" Target="https://scholar.google.com/citations?hl=en&amp;user=LaUdx9gAAAAJ" TargetMode="External" Id="rId69"/><Relationship Type="http://schemas.openxmlformats.org/officeDocument/2006/relationships/hyperlink" Target="mailto:rywang@asu.edu" TargetMode="External" Id="rId70"/><Relationship Type="http://schemas.openxmlformats.org/officeDocument/2006/relationships/hyperlink" Target="http://wang.faculty.asu.edu/" TargetMode="External" Id="rId71"/><Relationship Type="http://schemas.openxmlformats.org/officeDocument/2006/relationships/hyperlink" Target="https://faculty.engineering.asu.edu/directory/semte/aerospace-and-mechanical-engineering/" TargetMode="External" Id="rId72"/><Relationship Type="http://schemas.openxmlformats.org/officeDocument/2006/relationships/hyperlink" Target="https://search.asu.edu/profile/attwl" TargetMode="External" Id="rId73"/><Relationship Type="http://schemas.openxmlformats.org/officeDocument/2006/relationships/hyperlink" Target="https://scholar.google.com/citations?view_op=search_authors&amp;mauthors=T.-W.%20Lee%20Arizona%20State%20University" TargetMode="External" Id="rId74"/><Relationship Type="http://schemas.openxmlformats.org/officeDocument/2006/relationships/hyperlink" Target="mailto:ATTWL@asu.edu" TargetMode="External" Id="rId75"/><Relationship Type="http://schemas.openxmlformats.org/officeDocument/2006/relationships/hyperlink" Target="https://faculty.engineering.asu.edu/directory/semte/aerospace-and-mechanical-engineering/" TargetMode="External" Id="rId76"/><Relationship Type="http://schemas.openxmlformats.org/officeDocument/2006/relationships/hyperlink" Target="https://search.asu.edu/profile/tyang123" TargetMode="External" Id="rId77"/><Relationship Type="http://schemas.openxmlformats.org/officeDocument/2006/relationships/hyperlink" Target="https://scholar.google.com/citations?hl=en&amp;user=OmBV67MAAAAJ" TargetMode="External" Id="rId78"/><Relationship Type="http://schemas.openxmlformats.org/officeDocument/2006/relationships/hyperlink" Target="mailto:Tianyu.Yang@asu.edu" TargetMode="External" Id="rId79"/><Relationship Type="http://schemas.openxmlformats.org/officeDocument/2006/relationships/hyperlink" Target="https://faculty.engineering.asu.edu/directory/semte/aerospace-and-mechanical-engineering/" TargetMode="External" Id="rId80"/><Relationship Type="http://schemas.openxmlformats.org/officeDocument/2006/relationships/hyperlink" Target="https://search.asu.edu/profile/bkwon2" TargetMode="External" Id="rId81"/><Relationship Type="http://schemas.openxmlformats.org/officeDocument/2006/relationships/hyperlink" Target="https://scholar.google.com/citations?hl=en&amp;user=fs2d97sAAAAJ" TargetMode="External" Id="rId82"/><Relationship Type="http://schemas.openxmlformats.org/officeDocument/2006/relationships/hyperlink" Target="mailto:kwon@asu.edu" TargetMode="External" Id="rId83"/><Relationship Type="http://schemas.openxmlformats.org/officeDocument/2006/relationships/hyperlink" Target="http://sites.google.com/view/3denergy" TargetMode="External" Id="rId84"/><Relationship Type="http://schemas.openxmlformats.org/officeDocument/2006/relationships/hyperlink" Target="https://faculty.engineering.asu.edu/directory/semte/aerospace-and-mechanical-engineering/" TargetMode="External" Id="rId85"/><Relationship Type="http://schemas.openxmlformats.org/officeDocument/2006/relationships/hyperlink" Target="https://search.asu.edu/profile/pphelan" TargetMode="External" Id="rId86"/><Relationship Type="http://schemas.openxmlformats.org/officeDocument/2006/relationships/hyperlink" Target="https://scholar.google.com/citations?view_op=search_authors&amp;mauthors=Patrick%20Phelan%20Arizona%20State%20University" TargetMode="External" Id="rId87"/><Relationship Type="http://schemas.openxmlformats.org/officeDocument/2006/relationships/hyperlink" Target="mailto:phelan@asu.edu" TargetMode="External" Id="rId88"/><Relationship Type="http://schemas.openxmlformats.org/officeDocument/2006/relationships/hyperlink" Target="https://faculty.engineering.asu.edu/directory/semte/aerospace-and-mechanical-engineering/" TargetMode="External" Id="rId89"/><Relationship Type="http://schemas.openxmlformats.org/officeDocument/2006/relationships/hyperlink" Target="https://search.asu.edu/profile/krykacze" TargetMode="External" Id="rId90"/><Relationship Type="http://schemas.openxmlformats.org/officeDocument/2006/relationships/hyperlink" Target="https://scholar.google.com/citations?hl=en&amp;user=SWeAf4UAAAAJ" TargetMode="External" Id="rId91"/><Relationship Type="http://schemas.openxmlformats.org/officeDocument/2006/relationships/hyperlink" Target="mailto:konradr@asu.edu" TargetMode="External" Id="rId92"/><Relationship Type="http://schemas.openxmlformats.org/officeDocument/2006/relationships/hyperlink" Target="http://faculty.engineering.asu.edu/konrad/" TargetMode="External" Id="rId93"/><Relationship Type="http://schemas.openxmlformats.org/officeDocument/2006/relationships/hyperlink" Target="https://faculty.engineering.asu.edu/directory/semte/aerospace-and-mechanical-engineering/" TargetMode="External" Id="rId94"/><Relationship Type="http://schemas.openxmlformats.org/officeDocument/2006/relationships/hyperlink" Target="https://search.asu.edu/profile/joswald1" TargetMode="External" Id="rId95"/><Relationship Type="http://schemas.openxmlformats.org/officeDocument/2006/relationships/hyperlink" Target="https://scholar.google.com/citations?view_op=search_authors&amp;mauthors=Jay%20Oswald%20Arizona%20State%20University" TargetMode="External" Id="rId96"/><Relationship Type="http://schemas.openxmlformats.org/officeDocument/2006/relationships/hyperlink" Target="mailto:joswald1@asu.edu" TargetMode="External" Id="rId97"/><Relationship Type="http://schemas.openxmlformats.org/officeDocument/2006/relationships/hyperlink" Target="http://sparky.fulton.asu.edu/oswald/" TargetMode="External" Id="rId98"/><Relationship Type="http://schemas.openxmlformats.org/officeDocument/2006/relationships/hyperlink" Target="https://faculty.engineering.asu.edu/directory/semte/aerospace-and-mechanical-engineering/" TargetMode="External" Id="rId99"/><Relationship Type="http://schemas.openxmlformats.org/officeDocument/2006/relationships/hyperlink" Target="https://search.asu.edu/profile/chattopa" TargetMode="External" Id="rId100"/><Relationship Type="http://schemas.openxmlformats.org/officeDocument/2006/relationships/hyperlink" Target="https://scholar.google.com/citations?hl=en&amp;user=w3fU9E0AAAAJ" TargetMode="External" Id="rId101"/><Relationship Type="http://schemas.openxmlformats.org/officeDocument/2006/relationships/hyperlink" Target="mailto:aditi@asu.edu" TargetMode="External" Id="rId102"/><Relationship Type="http://schemas.openxmlformats.org/officeDocument/2006/relationships/hyperlink" Target="https://aims.asu.edu/" TargetMode="External" Id="rId103"/><Relationship Type="http://schemas.openxmlformats.org/officeDocument/2006/relationships/hyperlink" Target="https://faculty.engineering.asu.edu/directory/semte/aerospace-and-mechanical-engineering/" TargetMode="External" Id="rId104"/><Relationship Type="http://schemas.openxmlformats.org/officeDocument/2006/relationships/hyperlink" Target="https://search.asu.edu/profile/ljannesa" TargetMode="External" Id="rId105"/><Relationship Type="http://schemas.openxmlformats.org/officeDocument/2006/relationships/hyperlink" Target="https://scholar.google.com/citations?view_op=search_authors&amp;mauthors=Leila%20Ladani%20Arizona%20State%20University" TargetMode="External" Id="rId106"/><Relationship Type="http://schemas.openxmlformats.org/officeDocument/2006/relationships/hyperlink" Target="mailto:ladani@asu.edu" TargetMode="External" Id="rId107"/><Relationship Type="http://schemas.openxmlformats.org/officeDocument/2006/relationships/hyperlink" Target="https://magic.asu.edu/" TargetMode="External" Id="rId108"/><Relationship Type="http://schemas.openxmlformats.org/officeDocument/2006/relationships/hyperlink" Target="https://faculty.engineering.asu.edu/directory/semte/aerospace-and-mechanical-engineering/" TargetMode="External" Id="rId109"/><Relationship Type="http://schemas.openxmlformats.org/officeDocument/2006/relationships/hyperlink" Target="https://search.asu.edu/profile/hzhuang7" TargetMode="External" Id="rId110"/><Relationship Type="http://schemas.openxmlformats.org/officeDocument/2006/relationships/hyperlink" Target="https://scholar.google.com/citations?hl=en&amp;user=4yYKCpUAAAAJ" TargetMode="External" Id="rId111"/><Relationship Type="http://schemas.openxmlformats.org/officeDocument/2006/relationships/hyperlink" Target="mailto:zhuanghl@asu.edu" TargetMode="External" Id="rId112"/><Relationship Type="http://schemas.openxmlformats.org/officeDocument/2006/relationships/hyperlink" Target="https://faculty.engineering.asu.edu/directory/semte/aerospace-and-mechanical-engineering/" TargetMode="External" Id="rId113"/><Relationship Type="http://schemas.openxmlformats.org/officeDocument/2006/relationships/hyperlink" Target="https://search.asu.edu/profile/jrajago1" TargetMode="External" Id="rId114"/><Relationship Type="http://schemas.openxmlformats.org/officeDocument/2006/relationships/hyperlink" Target="https://scholar.google.com/citations?hl=en&amp;user=ClqRIhIAAAAJ" TargetMode="External" Id="rId115"/><Relationship Type="http://schemas.openxmlformats.org/officeDocument/2006/relationships/hyperlink" Target="mailto:Jagannathan.Rajagopalan@asu.edu" TargetMode="External" Id="rId116"/><Relationship Type="http://schemas.openxmlformats.org/officeDocument/2006/relationships/hyperlink" Target="http://faculty.engineering.asu.edu/jagan/" TargetMode="External" Id="rId117"/><Relationship Type="http://schemas.openxmlformats.org/officeDocument/2006/relationships/hyperlink" Target="https://faculty.engineering.asu.edu/directory/semte/aerospace-and-mechanical-engineering/" TargetMode="External" Id="rId118"/><Relationship Type="http://schemas.openxmlformats.org/officeDocument/2006/relationships/hyperlink" Target="https://search.asu.edu/profile/mingleiq" TargetMode="External" Id="rId119"/><Relationship Type="http://schemas.openxmlformats.org/officeDocument/2006/relationships/hyperlink" Target="https://scholar.google.com/citations?hl=en&amp;user=9LWNC50AAAAJ" TargetMode="External" Id="rId120"/><Relationship Type="http://schemas.openxmlformats.org/officeDocument/2006/relationships/hyperlink" Target="mailto:minglei.qu@asu.edu" TargetMode="External" Id="rId121"/><Relationship Type="http://schemas.openxmlformats.org/officeDocument/2006/relationships/hyperlink" Target="https://faculty.engineering.asu.edu/directory/semte/aerospace-and-mechanical-engineering/" TargetMode="External" Id="rId122"/><Relationship Type="http://schemas.openxmlformats.org/officeDocument/2006/relationships/hyperlink" Target="https://search.asu.edu/profile/qnian" TargetMode="External" Id="rId123"/><Relationship Type="http://schemas.openxmlformats.org/officeDocument/2006/relationships/hyperlink" Target="https://scholar.google.com/citations?view_op=search_authors&amp;mauthors=Qiong%20Nian%20Arizona%20State%20University" TargetMode="External" Id="rId124"/><Relationship Type="http://schemas.openxmlformats.org/officeDocument/2006/relationships/hyperlink" Target="mailto:Qiong.Nian@asu.edu" TargetMode="External" Id="rId125"/><Relationship Type="http://schemas.openxmlformats.org/officeDocument/2006/relationships/hyperlink" Target="https://mmmplab.engineering.asu.edu/" TargetMode="External" Id="rId126"/><Relationship Type="http://schemas.openxmlformats.org/officeDocument/2006/relationships/hyperlink" Target="https://faculty.engineering.asu.edu/directory/semte/aerospace-and-mechanical-engineering/" TargetMode="External" Id="rId127"/><Relationship Type="http://schemas.openxmlformats.org/officeDocument/2006/relationships/hyperlink" Target="https://search.asu.edu/profile/yliu35" TargetMode="External" Id="rId128"/><Relationship Type="http://schemas.openxmlformats.org/officeDocument/2006/relationships/hyperlink" Target="https://scholar.google.com/citations?view_op=search_authors&amp;mauthors=Yongming%20Liu%20Arizona%20State%20University" TargetMode="External" Id="rId129"/><Relationship Type="http://schemas.openxmlformats.org/officeDocument/2006/relationships/hyperlink" Target="mailto:Yongming.Liu@asu.edu" TargetMode="External" Id="rId130"/><Relationship Type="http://schemas.openxmlformats.org/officeDocument/2006/relationships/hyperlink" Target="https://faculty.engineering.asu.edu/directory/semte/aerospace-and-mechanical-engineering/" TargetMode="External" Id="rId131"/><Relationship Type="http://schemas.openxmlformats.org/officeDocument/2006/relationships/hyperlink" Target="https://search.asu.edu/profile/xiangji5" TargetMode="External" Id="rId132"/><Relationship Type="http://schemas.openxmlformats.org/officeDocument/2006/relationships/hyperlink" Target="https://scholar.google.com/citations?hl=en&amp;user=tGQzHJIAAAAJ" TargetMode="External" Id="rId133"/><Relationship Type="http://schemas.openxmlformats.org/officeDocument/2006/relationships/hyperlink" Target="mailto:xiangjia.li@asu.edu" TargetMode="External" Id="rId134"/><Relationship Type="http://schemas.openxmlformats.org/officeDocument/2006/relationships/hyperlink" Target="https://www.cindyxjli.com/" TargetMode="External" Id="rId135"/><Relationship Type="http://schemas.openxmlformats.org/officeDocument/2006/relationships/hyperlink" Target="https://faculty.engineering.asu.edu/directory/semte/aerospace-and-mechanical-engineering/" TargetMode="External" Id="rId136"/><Relationship Type="http://schemas.openxmlformats.org/officeDocument/2006/relationships/hyperlink" Target="https://search.asu.edu/profile/linli25" TargetMode="External" Id="rId137"/><Relationship Type="http://schemas.openxmlformats.org/officeDocument/2006/relationships/hyperlink" Target="https://scholar.google.com/citations?view_op=search_authors&amp;mauthors=Lin%20Li%20Arizona%20State%20University" TargetMode="External" Id="rId138"/><Relationship Type="http://schemas.openxmlformats.org/officeDocument/2006/relationships/hyperlink" Target="mailto:Lin.Li.10@asu.edu" TargetMode="External" Id="rId139"/><Relationship Type="http://schemas.openxmlformats.org/officeDocument/2006/relationships/hyperlink" Target="https://faculty.engineering.asu.edu/directory/semte/aerospace-and-mechanical-engineering/" TargetMode="External" Id="rId140"/><Relationship Type="http://schemas.openxmlformats.org/officeDocument/2006/relationships/hyperlink" Target="https://search.asu.edu/profile/pperalta" TargetMode="External" Id="rId141"/><Relationship Type="http://schemas.openxmlformats.org/officeDocument/2006/relationships/hyperlink" Target="https://scholar.google.com/citations?view_op=search_authors&amp;mauthors=Pedro%20Peralta%20Arizona%20State%20University" TargetMode="External" Id="rId142"/><Relationship Type="http://schemas.openxmlformats.org/officeDocument/2006/relationships/hyperlink" Target="mailto:pperalta@asu.edu" TargetMode="External" Id="rId143"/><Relationship Type="http://schemas.openxmlformats.org/officeDocument/2006/relationships/hyperlink" Target="https://faculty.engineering.asu.edu/pperalta/" TargetMode="External" Id="rId144"/><Relationship Type="http://schemas.openxmlformats.org/officeDocument/2006/relationships/hyperlink" Target="https://faculty.engineering.asu.edu/directory/semte/aerospace-and-mechanical-engineering/" TargetMode="External" Id="rId145"/><Relationship Type="http://schemas.openxmlformats.org/officeDocument/2006/relationships/hyperlink" Target="https://search.asu.edu/profile/wkang16" TargetMode="External" Id="rId146"/><Relationship Type="http://schemas.openxmlformats.org/officeDocument/2006/relationships/hyperlink" Target="https://scholar.google.com/citations?hl=en&amp;user=bHyyOTAAAAAJ" TargetMode="External" Id="rId147"/><Relationship Type="http://schemas.openxmlformats.org/officeDocument/2006/relationships/hyperlink" Target="mailto:Wonmo.Kang@asu.edu" TargetMode="External" Id="rId148"/><Relationship Type="http://schemas.openxmlformats.org/officeDocument/2006/relationships/hyperlink" Target="https://wonmokang3.wixsite.com/website" TargetMode="External" Id="rId149"/><Relationship Type="http://schemas.openxmlformats.org/officeDocument/2006/relationships/hyperlink" Target="https://faculty.engineering.asu.edu/directory/semte/aerospace-and-mechanical-engineering/" TargetMode="External" Id="rId150"/><Relationship Type="http://schemas.openxmlformats.org/officeDocument/2006/relationships/hyperlink" Target="https://search.asu.edu/profile/jsun165" TargetMode="External" Id="rId151"/><Relationship Type="http://schemas.openxmlformats.org/officeDocument/2006/relationships/hyperlink" Target="https://scholar.google.com/citations?hl=en&amp;user=fjUoHOsAAAAJ" TargetMode="External" Id="rId152"/><Relationship Type="http://schemas.openxmlformats.org/officeDocument/2006/relationships/hyperlink" Target="mailto:Jiefeng.Sun@asu.edu" TargetMode="External" Id="rId153"/><Relationship Type="http://schemas.openxmlformats.org/officeDocument/2006/relationships/hyperlink" Target="https://sunroboticslab.github.io" TargetMode="External" Id="rId154"/><Relationship Type="http://schemas.openxmlformats.org/officeDocument/2006/relationships/hyperlink" Target="https://faculty.engineering.asu.edu/directory/semte/aerospace-and-mechanical-engineering/" TargetMode="External" Id="rId155"/><Relationship Type="http://schemas.openxmlformats.org/officeDocument/2006/relationships/hyperlink" Target="https://search.asu.edu/profile/kgarg24" TargetMode="External" Id="rId156"/><Relationship Type="http://schemas.openxmlformats.org/officeDocument/2006/relationships/hyperlink" Target="https://scholar.google.com/citations?hl=en&amp;user=vs3pl-8AAAAJ" TargetMode="External" Id="rId157"/><Relationship Type="http://schemas.openxmlformats.org/officeDocument/2006/relationships/hyperlink" Target="mailto:kgarg24@asu.edu" TargetMode="External" Id="rId158"/><Relationship Type="http://schemas.openxmlformats.org/officeDocument/2006/relationships/hyperlink" Target="https://sites.google.com/asu.edu/kunalgarg/" TargetMode="External" Id="rId159"/><Relationship Type="http://schemas.openxmlformats.org/officeDocument/2006/relationships/hyperlink" Target="https://faculty.engineering.asu.edu/directory/semte/aerospace-and-mechanical-engineering/" TargetMode="External" Id="rId160"/><Relationship Type="http://schemas.openxmlformats.org/officeDocument/2006/relationships/hyperlink" Target="https://search.asu.edu/profile/smberma2" TargetMode="External" Id="rId161"/><Relationship Type="http://schemas.openxmlformats.org/officeDocument/2006/relationships/hyperlink" Target="https://scholar.google.com/citations?hl=en&amp;user=KKup0OgAAAAJ" TargetMode="External" Id="rId162"/><Relationship Type="http://schemas.openxmlformats.org/officeDocument/2006/relationships/hyperlink" Target="mailto:Spring.Berman@asu.edu" TargetMode="External" Id="rId163"/><Relationship Type="http://schemas.openxmlformats.org/officeDocument/2006/relationships/hyperlink" Target="http://faculty.engineering.asu.edu/acs/" TargetMode="External" Id="rId164"/><Relationship Type="http://schemas.openxmlformats.org/officeDocument/2006/relationships/hyperlink" Target="https://faculty.engineering.asu.edu/directory/semte/aerospace-and-mechanical-engineering/" TargetMode="External" Id="rId165"/><Relationship Type="http://schemas.openxmlformats.org/officeDocument/2006/relationships/hyperlink" Target="https://search.asu.edu/profile/xzhe1" TargetMode="External" Id="rId166"/><Relationship Type="http://schemas.openxmlformats.org/officeDocument/2006/relationships/hyperlink" Target="https://scholar.google.com/citations?view_op=search_authors&amp;mauthors=Zhe%20Xu%20Arizona%20State%20University" TargetMode="External" Id="rId167"/><Relationship Type="http://schemas.openxmlformats.org/officeDocument/2006/relationships/hyperlink" Target="mailto:xzhe1@asu.edu" TargetMode="External" Id="rId168"/><Relationship Type="http://schemas.openxmlformats.org/officeDocument/2006/relationships/hyperlink" Target="https://sites.google.com/site/zhexudavid00710/research?authuser=0" TargetMode="External" Id="rId169"/><Relationship Type="http://schemas.openxmlformats.org/officeDocument/2006/relationships/hyperlink" Target="https://faculty.engineering.asu.edu/directory/semte/aerospace-and-mechanical-engineering/" TargetMode="External" Id="rId170"/><Relationship Type="http://schemas.openxmlformats.org/officeDocument/2006/relationships/hyperlink" Target="https://search.asu.edu/profile/mpeet" TargetMode="External" Id="rId171"/><Relationship Type="http://schemas.openxmlformats.org/officeDocument/2006/relationships/hyperlink" Target="https://scholar.google.com/citations?hl=en&amp;user=l7umOqMAAAAJ" TargetMode="External" Id="rId172"/><Relationship Type="http://schemas.openxmlformats.org/officeDocument/2006/relationships/hyperlink" Target="mailto:mpeet@asu.edu" TargetMode="External" Id="rId173"/><Relationship Type="http://schemas.openxmlformats.org/officeDocument/2006/relationships/hyperlink" Target="http://control.asu.edu/" TargetMode="External" Id="rId174"/><Relationship Type="http://schemas.openxmlformats.org/officeDocument/2006/relationships/hyperlink" Target="https://faculty.engineering.asu.edu/directory/semte/aerospace-and-mechanical-engineering/" TargetMode="External" Id="rId175"/><Relationship Type="http://schemas.openxmlformats.org/officeDocument/2006/relationships/hyperlink" Target="https://search.asu.edu/profile/hmarvi" TargetMode="External" Id="rId176"/><Relationship Type="http://schemas.openxmlformats.org/officeDocument/2006/relationships/hyperlink" Target="https://scholar.google.com/citations?hl=en&amp;user=00Fepb0AAAAJ" TargetMode="External" Id="rId177"/><Relationship Type="http://schemas.openxmlformats.org/officeDocument/2006/relationships/hyperlink" Target="mailto:hmarvi@asu.edu" TargetMode="External" Id="rId178"/><Relationship Type="http://schemas.openxmlformats.org/officeDocument/2006/relationships/hyperlink" Target="http://birth.asu.edu" TargetMode="External" Id="rId179"/><Relationship Type="http://schemas.openxmlformats.org/officeDocument/2006/relationships/hyperlink" Target="https://faculty.engineering.asu.edu/directory/semte/aerospace-and-mechanical-engineering/" TargetMode="External" Id="rId180"/><Relationship Type="http://schemas.openxmlformats.org/officeDocument/2006/relationships/hyperlink" Target="https://search.asu.edu/profile/hlee234" TargetMode="External" Id="rId181"/><Relationship Type="http://schemas.openxmlformats.org/officeDocument/2006/relationships/hyperlink" Target="https://scholar.google.com/citations?view_op=search_authors&amp;mauthors=Hyunglae%20Lee%20Arizona%20State%20University" TargetMode="External" Id="rId182"/><Relationship Type="http://schemas.openxmlformats.org/officeDocument/2006/relationships/hyperlink" Target="mailto:Hyunglae.Lee@asu.edu" TargetMode="External" Id="rId183"/><Relationship Type="http://schemas.openxmlformats.org/officeDocument/2006/relationships/hyperlink" Target="https://faculty.engineering.asu.edu/hlee" TargetMode="External" Id="rId184"/><Relationship Type="http://schemas.openxmlformats.org/officeDocument/2006/relationships/hyperlink" Target="https://faculty.engineering.asu.edu/directory/semte/aerospace-and-mechanical-engineering/" TargetMode="External" Id="rId185"/><Relationship Type="http://schemas.openxmlformats.org/officeDocument/2006/relationships/hyperlink" Target="https://search.asu.edu/profile/hhuang38" TargetMode="External" Id="rId186"/><Relationship Type="http://schemas.openxmlformats.org/officeDocument/2006/relationships/hyperlink" Target="https://scholar.google.com/citations?view_op=search_authors&amp;mauthors=Huei-Ping%20Huang%20Arizona%20State%20University" TargetMode="External" Id="rId187"/><Relationship Type="http://schemas.openxmlformats.org/officeDocument/2006/relationships/hyperlink" Target="mailto:Huei-Ping.Huang@asu.edu" TargetMode="External" Id="rId188"/><Relationship Type="http://schemas.openxmlformats.org/officeDocument/2006/relationships/hyperlink" Target="http://www.public.asu.edu/~hhuang38" TargetMode="External" Id="rId189"/><Relationship Type="http://schemas.openxmlformats.org/officeDocument/2006/relationships/hyperlink" Target="https://faculty.engineering.asu.edu/directory/semte/aerospace-and-mechanical-engineering/" TargetMode="External" Id="rId190"/><Relationship Type="http://schemas.openxmlformats.org/officeDocument/2006/relationships/hyperlink" Target="https://search.asu.edu/profile/wjin34" TargetMode="External" Id="rId191"/><Relationship Type="http://schemas.openxmlformats.org/officeDocument/2006/relationships/hyperlink" Target="https://scholar.google.com/citations?hl=en&amp;user=SoEC4h4AAAAJ" TargetMode="External" Id="rId192"/><Relationship Type="http://schemas.openxmlformats.org/officeDocument/2006/relationships/hyperlink" Target="mailto:wjin@asu.edu" TargetMode="External" Id="rId193"/><Relationship Type="http://schemas.openxmlformats.org/officeDocument/2006/relationships/hyperlink" Target="https://irislab.tech/" TargetMode="External" Id="rId194"/><Relationship Type="http://schemas.openxmlformats.org/officeDocument/2006/relationships/hyperlink" Target="https://github.com/asu-iris" TargetMode="External" Id="rId195"/><Relationship Type="http://schemas.openxmlformats.org/officeDocument/2006/relationships/hyperlink" Target="https://faculty.engineering.asu.edu/directory/semte/aerospace-and-mechanical-engineering/" TargetMode="External" Id="rId196"/><Relationship Type="http://schemas.openxmlformats.org/officeDocument/2006/relationships/hyperlink" Target="https://search.asu.edu/profile/jimbo" TargetMode="External" Id="rId197"/><Relationship Type="http://schemas.openxmlformats.org/officeDocument/2006/relationships/hyperlink" Target="https://scholar.google.com/citations?view_op=search_authors&amp;mauthors=James%20Middleton%20Arizona%20State%20University" TargetMode="External" Id="rId198"/><Relationship Type="http://schemas.openxmlformats.org/officeDocument/2006/relationships/hyperlink" Target="mailto:jimbo@asu.edu" TargetMode="External" Id="rId199"/><Relationship Type="http://schemas.openxmlformats.org/officeDocument/2006/relationships/hyperlink" Target="https://faculty.engineering.asu.edu/directory/semte/aerospace-and-mechanical-engineering/" TargetMode="External" Id="rId200"/><Relationship Type="http://schemas.openxmlformats.org/officeDocument/2006/relationships/hyperlink" Target="https://search.asu.edu/profile/marc03" TargetMode="External" Id="rId201"/><Relationship Type="http://schemas.openxmlformats.org/officeDocument/2006/relationships/hyperlink" Target="https://scholar.google.com/citations?view_op=search_authors&amp;mauthors=Marc%20Mignolet%20Arizona%20State%20University" TargetMode="External" Id="rId202"/><Relationship Type="http://schemas.openxmlformats.org/officeDocument/2006/relationships/hyperlink" Target="mailto:marc.mignolet@asu.edu" TargetMode="External" Id="rId203"/><Relationship Type="http://schemas.openxmlformats.org/officeDocument/2006/relationships/hyperlink" Target="https://faculty.engineering.asu.edu/directory/semte/aerospace-and-mechanical-engineering/" TargetMode="External" Id="rId204"/><Relationship Type="http://schemas.openxmlformats.org/officeDocument/2006/relationships/hyperlink" Target="https://search.asu.edu/profile/yren32" TargetMode="External" Id="rId205"/><Relationship Type="http://schemas.openxmlformats.org/officeDocument/2006/relationships/hyperlink" Target="https://scholar.google.com/citations?view_op=search_authors&amp;mauthors=Yi%20Ren%20Arizona%20State%20University" TargetMode="External" Id="rId206"/><Relationship Type="http://schemas.openxmlformats.org/officeDocument/2006/relationships/hyperlink" Target="mailto:yiren@asu.edu" TargetMode="External" Id="rId207"/><Relationship Type="http://schemas.openxmlformats.org/officeDocument/2006/relationships/hyperlink" Target="https://faculty.engineering.asu.edu/directory/semte/aerospace-and-mechanical-engineering/" TargetMode="External" Id="rId208"/><Relationship Type="http://schemas.openxmlformats.org/officeDocument/2006/relationships/hyperlink" Target="https://search.asu.edu/profile/dspeaks2" TargetMode="External" Id="rId209"/><Relationship Type="http://schemas.openxmlformats.org/officeDocument/2006/relationships/hyperlink" Target="https://scholar.google.com/citations?view_op=search_authors&amp;mauthors=Derrick%20Speaks%20Arizona%20State%20University" TargetMode="External" Id="rId210"/><Relationship Type="http://schemas.openxmlformats.org/officeDocument/2006/relationships/hyperlink" Target="mailto:Derrick.Speaks@asu.edu" TargetMode="External" Id="rId211"/><Relationship Type="http://schemas.openxmlformats.org/officeDocument/2006/relationships/hyperlink" Target="https://faculty.engineering.asu.edu/directory/semte/aerospace-and-mechanical-engineering/" TargetMode="External" Id="rId212"/><Relationship Type="http://schemas.openxmlformats.org/officeDocument/2006/relationships/hyperlink" Target="https://search.asu.edu/profile/ejande22" TargetMode="External" Id="rId213"/><Relationship Type="http://schemas.openxmlformats.org/officeDocument/2006/relationships/hyperlink" Target="https://scholar.google.com/citations?view_op=search_authors&amp;mauthors=Erik%20Andersen%20Arizona%20State%20University" TargetMode="External" Id="rId214"/><Relationship Type="http://schemas.openxmlformats.org/officeDocument/2006/relationships/hyperlink" Target="mailto:Erik.J.Andersen@asu.edu" TargetMode="External" Id="rId215"/><Relationship Type="http://schemas.openxmlformats.org/officeDocument/2006/relationships/hyperlink" Target="https://faculty.engineering.asu.edu/directory/semte/aerospace-and-mechanical-engineering/" TargetMode="External" Id="rId216"/><Relationship Type="http://schemas.openxmlformats.org/officeDocument/2006/relationships/hyperlink" Target="https://search.asu.edu/profile/iychang" TargetMode="External" Id="rId217"/><Relationship Type="http://schemas.openxmlformats.org/officeDocument/2006/relationships/hyperlink" Target="https://scholar.google.com/citations?view_op=search_authors&amp;mauthors=Ivy%20Chang%20Arizona%20State%20University" TargetMode="External" Id="rId218"/><Relationship Type="http://schemas.openxmlformats.org/officeDocument/2006/relationships/hyperlink" Target="mailto:Ivy.Chang@asu.edu" TargetMode="External" Id="rId219"/><Relationship Type="http://schemas.openxmlformats.org/officeDocument/2006/relationships/hyperlink" Target="https://faculty.engineering.asu.edu/directory/semte/aerospace-and-mechanical-engineering/" TargetMode="External" Id="rId220"/><Relationship Type="http://schemas.openxmlformats.org/officeDocument/2006/relationships/hyperlink" Target="https://search.asu.edu/profile/jdwilbu1" TargetMode="External" Id="rId221"/><Relationship Type="http://schemas.openxmlformats.org/officeDocument/2006/relationships/hyperlink" Target="https://scholar.google.com/citations?view_op=search_authors&amp;mauthors=Joshua%20Wilbur%20Arizona%20State%20University" TargetMode="External" Id="rId222"/><Relationship Type="http://schemas.openxmlformats.org/officeDocument/2006/relationships/hyperlink" Target="mailto:Joshua.Wilbur@asu.edu" TargetMode="External" Id="rId223"/><Relationship Type="http://schemas.openxmlformats.org/officeDocument/2006/relationships/hyperlink" Target="https://faculty.engineering.asu.edu/directory/semte/aerospace-and-mechanical-engineering/" TargetMode="External" Id="rId224"/><Relationship Type="http://schemas.openxmlformats.org/officeDocument/2006/relationships/hyperlink" Target="https://search.asu.edu/profile/rcruzloz" TargetMode="External" Id="rId225"/><Relationship Type="http://schemas.openxmlformats.org/officeDocument/2006/relationships/hyperlink" Target="https://scholar.google.com/citations?view_op=search_authors&amp;mauthors=Ricardo%20Cruz%20Lozano%20Arizona%20State%20University" TargetMode="External" Id="rId226"/><Relationship Type="http://schemas.openxmlformats.org/officeDocument/2006/relationships/hyperlink" Target="mailto:Ricardo.Cruz.Lozano@asu.edu" TargetMode="External" Id="rId227"/><Relationship Type="http://schemas.openxmlformats.org/officeDocument/2006/relationships/hyperlink" Target="https://faculty.engineering.asu.edu/directory/semte/aerospace-and-mechanical-engineering/" TargetMode="External" Id="rId228"/><Relationship Type="http://schemas.openxmlformats.org/officeDocument/2006/relationships/hyperlink" Target="https://search.asu.edu/profile/skosara2" TargetMode="External" Id="rId229"/><Relationship Type="http://schemas.openxmlformats.org/officeDocument/2006/relationships/hyperlink" Target="https://scholar.google.com/citations?view_op=search_authors&amp;mauthors=Srinivas%20Chakravarthi%20Kosaraju%20Arizona%20State%20University" TargetMode="External" Id="rId230"/><Relationship Type="http://schemas.openxmlformats.org/officeDocument/2006/relationships/hyperlink" Target="mailto:Srinivas.Kosaraju@asu.edu" TargetMode="External" Id="rId231"/><Relationship Type="http://schemas.openxmlformats.org/officeDocument/2006/relationships/hyperlink" Target="https://faculty.engineering.asu.edu/directory/semte/aerospace-and-mechanical-engineering/" TargetMode="External" Id="rId232"/></Relationships>
</file>

<file path=xl/worksheets/sheet1.xml><?xml version="1.0" encoding="utf-8"?>
<worksheet xmlns="http://schemas.openxmlformats.org/spreadsheetml/2006/main">
  <sheetPr>
    <outlinePr summaryBelow="1" summaryRight="1"/>
    <pageSetUpPr/>
  </sheetPr>
  <dimension ref="A1:AN12"/>
  <sheetViews>
    <sheetView showGridLines="1" workbookViewId="0">
      <selection activeCell="A1" sqref="A1"/>
    </sheetView>
  </sheetViews>
  <sheetFormatPr baseColWidth="8" defaultRowHeight="15"/>
  <cols>
    <col width="28" customWidth="1" min="1" max="1"/>
    <col width="28" customWidth="1" min="2" max="2"/>
    <col width="49" customWidth="1" min="3" max="3"/>
    <col width="32" customWidth="1" min="4" max="4"/>
    <col width="23" customWidth="1" min="5" max="5"/>
    <col width="38" customWidth="1" min="6" max="6"/>
    <col width="16" customWidth="1" min="7" max="7"/>
    <col width="49" customWidth="1" min="8" max="8"/>
    <col width="17" customWidth="1" min="9" max="9"/>
    <col width="45" customWidth="1" min="10" max="10"/>
    <col width="17" customWidth="1" min="11" max="11"/>
    <col width="65" customWidth="1" min="12" max="12"/>
    <col width="65" customWidth="1" min="13" max="13"/>
    <col width="49" customWidth="1" min="14" max="14"/>
    <col width="65" customWidth="1" min="15" max="15"/>
    <col width="65" customWidth="1" min="16" max="16"/>
    <col width="65" customWidth="1" min="17" max="17"/>
    <col width="65" customWidth="1" min="18" max="18"/>
    <col width="65" customWidth="1" min="19" max="19"/>
    <col width="65" customWidth="1" min="20" max="20"/>
    <col width="65" customWidth="1" min="21" max="21"/>
    <col width="65" customWidth="1" min="22" max="22"/>
    <col width="65" customWidth="1" min="23" max="23"/>
    <col width="65" customWidth="1" min="24" max="24"/>
    <col width="65" customWidth="1" min="25" max="25"/>
    <col width="65" customWidth="1" min="26" max="26"/>
    <col width="65" customWidth="1" min="27" max="27"/>
    <col width="65" customWidth="1" min="28" max="28"/>
    <col width="65" customWidth="1" min="29" max="29"/>
    <col width="65" customWidth="1" min="30" max="30"/>
    <col width="49" customWidth="1" min="31" max="31"/>
    <col width="65" customWidth="1" min="32" max="32"/>
    <col width="33" customWidth="1" min="33" max="33"/>
    <col width="30" customWidth="1" min="34" max="34"/>
    <col width="20" customWidth="1" min="35" max="35"/>
    <col width="49" customWidth="1" min="36" max="36"/>
    <col width="56" customWidth="1" min="37" max="37"/>
    <col width="65" customWidth="1" min="38" max="38"/>
    <col width="18" customWidth="1" min="39" max="39"/>
    <col width="49" customWidth="1" min="40" max="40"/>
  </cols>
  <sheetData>
    <row r="1">
      <c r="A1" s="1" t="inlineStr">
        <is>
          <t>Name</t>
        </is>
      </c>
      <c r="B1" s="1" t="inlineStr">
        <is>
          <t>University</t>
        </is>
      </c>
      <c r="C1" s="1" t="inlineStr">
        <is>
          <t>Profile URL</t>
        </is>
      </c>
      <c r="D1" s="1" t="inlineStr">
        <is>
          <t>Google Scholar URL</t>
        </is>
      </c>
      <c r="E1" s="1" t="inlineStr">
        <is>
          <t>Job Title</t>
        </is>
      </c>
      <c r="F1" s="1" t="inlineStr">
        <is>
          <t>Department</t>
        </is>
      </c>
      <c r="G1" s="1" t="inlineStr">
        <is>
          <t>Scholar ID</t>
        </is>
      </c>
      <c r="H1" s="1" t="inlineStr">
        <is>
          <t>Email</t>
        </is>
      </c>
      <c r="I1" s="1" t="inlineStr">
        <is>
          <t>Research Tier</t>
        </is>
      </c>
      <c r="J1" s="1" t="inlineStr">
        <is>
          <t>Research Category</t>
        </is>
      </c>
      <c r="K1" s="1" t="inlineStr">
        <is>
          <t>Matched Count</t>
        </is>
      </c>
      <c r="L1" s="1" t="inlineStr">
        <is>
          <t>Matched Fields</t>
        </is>
      </c>
      <c r="M1" s="1" t="inlineStr">
        <is>
          <t>Flagship Paper Hook</t>
        </is>
      </c>
      <c r="N1" s="1" t="inlineStr">
        <is>
          <t>Flagship Paper DOI</t>
        </is>
      </c>
      <c r="O1" s="1" t="inlineStr">
        <is>
          <t>Tech Stack</t>
        </is>
      </c>
      <c r="P1" s="1" t="inlineStr">
        <is>
          <t>Physical Finding</t>
        </is>
      </c>
      <c r="Q1" s="1" t="inlineStr">
        <is>
          <t>Research Hook</t>
        </is>
      </c>
      <c r="R1" s="1" t="inlineStr">
        <is>
          <t>Latest Paper / Publication</t>
        </is>
      </c>
      <c r="S1" s="1" t="inlineStr">
        <is>
          <t>Recent Papers (2024-2026)</t>
        </is>
      </c>
      <c r="T1" s="1" t="inlineStr">
        <is>
          <t>Top Cited Papers</t>
        </is>
      </c>
      <c r="U1" s="1" t="inlineStr">
        <is>
          <t>Courses Taught</t>
        </is>
      </c>
      <c r="V1" s="1" t="inlineStr">
        <is>
          <t>Recent Awards / Honors</t>
        </is>
      </c>
      <c r="W1" s="1" t="inlineStr">
        <is>
          <t>Cold Email / Application Instructions</t>
        </is>
      </c>
      <c r="X1" s="1" t="inlineStr">
        <is>
          <t>OpenAlex Research Topics</t>
        </is>
      </c>
      <c r="Y1" s="1" t="inlineStr">
        <is>
          <t>Google Scholar Tags</t>
        </is>
      </c>
      <c r="Z1" s="1" t="inlineStr">
        <is>
          <t>Research Interests</t>
        </is>
      </c>
      <c r="AA1" s="1" t="inlineStr">
        <is>
          <t>Expertise Areas</t>
        </is>
      </c>
      <c r="AB1" s="1" t="inlineStr">
        <is>
          <t>Research / Bio Summary</t>
        </is>
      </c>
      <c r="AC1" s="1" t="inlineStr">
        <is>
          <t>Education / Degrees</t>
        </is>
      </c>
      <c r="AD1" s="1" t="inlineStr">
        <is>
          <t>Lab / Research Group Name</t>
        </is>
      </c>
      <c r="AE1" s="1" t="inlineStr">
        <is>
          <t>Lab / Personal Website</t>
        </is>
      </c>
      <c r="AF1" s="1" t="inlineStr">
        <is>
          <t>Actively Hiring / Openings</t>
        </is>
      </c>
      <c r="AG1" s="1" t="inlineStr">
        <is>
          <t>Target Skills / Prerequisites</t>
        </is>
      </c>
      <c r="AH1" s="1" t="inlineStr">
        <is>
          <t>Lab Facilities &amp; Equipment</t>
        </is>
      </c>
      <c r="AI1" s="1" t="inlineStr">
        <is>
          <t>Funding Sponsors</t>
        </is>
      </c>
      <c r="AJ1" s="1" t="inlineStr">
        <is>
          <t>Software / Code Repo</t>
        </is>
      </c>
      <c r="AK1" s="1" t="inlineStr">
        <is>
          <t>Latest Project / Highlight</t>
        </is>
      </c>
      <c r="AL1" s="1" t="inlineStr">
        <is>
          <t>Office Location</t>
        </is>
      </c>
      <c r="AM1" s="1" t="inlineStr">
        <is>
          <t>Is Field Match</t>
        </is>
      </c>
      <c r="AN1" s="1" t="inlineStr">
        <is>
          <t>Directory URL</t>
        </is>
      </c>
    </row>
    <row r="2">
      <c r="A2" s="2" t="inlineStr">
        <is>
          <t>Mohamed Houssem Kasbaoui</t>
        </is>
      </c>
      <c r="B2" s="2" t="inlineStr">
        <is>
          <t>Arizona State University</t>
        </is>
      </c>
      <c r="C2" s="3">
        <f>HYPERLINK("https://search.asu.edu/profile/mkasbaou", "https://search.asu.edu/profile/mkasbaou")</f>
        <v/>
      </c>
      <c r="D2" s="3">
        <f>HYPERLINK("https://scholar.google.com/citations?view_op=search_authors&amp;mauthors=Mohamed%20Houssem%20Kasbaoui%20Arizona%20State%20University", "Google Scholar Search")</f>
        <v/>
      </c>
      <c r="E2" s="2" t="inlineStr">
        <is>
          <t>Associate Professor</t>
        </is>
      </c>
      <c r="F2" s="2" t="inlineStr">
        <is>
          <t>Aerospace &amp; Mechanical Engineering</t>
        </is>
      </c>
      <c r="G2" s="2" t="inlineStr"/>
      <c r="H2" s="3">
        <f>HYPERLINK("mailto:houssem.kasbaoui@asu.edu", "houssem.kasbaoui@asu.edu")</f>
        <v/>
      </c>
      <c r="I2" s="2" t="n">
        <v>1</v>
      </c>
      <c r="J2" s="2" t="inlineStr">
        <is>
          <t>🔵 Tier 1: Core Aero / Fluids / Propulsion</t>
        </is>
      </c>
      <c r="K2" s="2" t="n">
        <v>8</v>
      </c>
      <c r="L2" s="2" t="inlineStr">
        <is>
          <t>aerospace, cfd, computational fluid dynamics, dns, fluid dynamics, fluid-structure interaction, multiphase flow, turbulent</t>
        </is>
      </c>
      <c r="M2" s="2" t="inlineStr">
        <is>
          <t>Clustering in Euler–Euler and Euler–Lagrange simulations of unbounded homogeneous particle-laden shear (Journal of Fluid Mechanics, 2018) [DOI: https://doi.org/10.1017/jfm.2018.796]</t>
        </is>
      </c>
      <c r="N2" s="3">
        <f>HYPERLINK("https://doi.org/10.1017/jfm.2018.796", "https://doi.org/10.1017/jfm.2018.796")</f>
        <v/>
      </c>
      <c r="O2" s="2" t="inlineStr">
        <is>
          <t>Eulerian–Lagrangian Point-Particle DNS / Anisotropic-Gaussian Solver</t>
        </is>
      </c>
      <c r="P2" s="2" t="inlineStr">
        <is>
          <t>executing point-particle DNS in unbounded homogeneous shear to investigate preferential concentration of inertial particles under intense aerodynamic shear, demonstrating that particle-trajectory crossing establishes a finite lower threshold on cluster sheet thickness that prevents singular particulate accumulation.</t>
        </is>
      </c>
      <c r="Q2" s="2" t="inlineStr">
        <is>
          <t>Predicting particle clustering and structural dispersion in particle-laden turbulent flows requires resolving the two-way interphase momentum transfer without suffering from artificial accumulation artifacts of two-fluid formulations.</t>
        </is>
      </c>
      <c r="R2" s="2" t="inlineStr">
        <is>
          <t>Refereed Journal Papers M. H. Kasbaoui and M. Herrmann, A high-fidelity methodology for particle-resolved direct numerical simu...</t>
        </is>
      </c>
      <c r="S2" s="2" t="inlineStr">
        <is>
          <t>"Modelling the wall slip in large eddy simulations with immersed boundaries" [Journal of Fluid Mechanics] (2026) [DOI: https://doi.org/10.1017/jfm.2026.11788] | "Dynamics of an oscillatory boundary layer over a sediment bed in Euler–Lagrange simulations" [Journal of Fluid Mechanics] (2025) [DOI: https://doi.org/10.1017/jfm.2025.10809] | "Modeling the wall-slip in large eddy simulations with immersed boundaries" [arXiv (Cornell University)] (2025) [DOI: https://doi.org/10.48550/arxiv.2510.27029]</t>
        </is>
      </c>
      <c r="T2" s="2" t="inlineStr">
        <is>
          <t>"Clustering in Euler–Euler and Euler–Lagrange simulations of unbounded homogeneous particle-laden shear" [Journal of Fluid Mechanics] (2018, 40 cites) [DOI: https://doi.org/10.1017/jfm.2018.796] | "Accelerated decay of a Lamb–Oseen vortex tube laden with inertial particles in Eulerian–Lagrangian simulations" [Journal of Fluid Mechanics] (2022, 22 cites) [DOI: https://doi.org/10.1017/jfm.2022.50] | "Reynolds number scaling of burning rates in spherical turbulent premixed flames" [Journal of Fluid Mechanics] (2020, 20 cites) [DOI: https://doi.org/10.1017/jfm.2020.784]</t>
        </is>
      </c>
      <c r="U2" s="2" t="inlineStr">
        <is>
          <t>MAE 242: Intro to Fluid Mechanics | MAE 574: Multiphase Flow | MAE 501: Linear Algebra in Engineering</t>
        </is>
      </c>
      <c r="V2" s="2" t="inlineStr"/>
      <c r="W2" s="2" t="inlineStr"/>
      <c r="X2" s="2" t="inlineStr">
        <is>
          <t>Particle Dynamics in Fluid Flows (22) | Fluid Dynamics and Turbulent Flows (19) | Granular flow and fluidized beds (14)</t>
        </is>
      </c>
      <c r="Y2" s="2" t="inlineStr">
        <is>
          <t>Particle Dynamics in Fluid Flows (22) | Fluid Dynamics and Turbulent Flows (19) | Granular flow and fluidized beds (14)</t>
        </is>
      </c>
      <c r="Z2" s="2" t="inlineStr"/>
      <c r="AA2" s="2" t="inlineStr"/>
      <c r="AB2" s="2" t="inlineStr">
        <is>
          <t>Kasbaoui's research interests include computational fluid dynamics, numerical methods, and massively parallel simulations of multiphase and particle-laden flows for environmental and aerospace applications.</t>
        </is>
      </c>
      <c r="AC2" s="2" t="inlineStr">
        <is>
          <t>Ph.D.  Aerospace Engineering, Cornell University, 2017 | M.Sc.  Aerospace Engineering, Cornell University, 2015 | M.Sc.  Theoretical Physics, Université Paris-Sud, 2014 | Diplôme d'Ingénieur , Ecole Centrale Paris, 2013 | B.Sc.  Theoretical Physics, Université Paris-Sud, 2011</t>
        </is>
      </c>
      <c r="AD2" s="2" t="inlineStr">
        <is>
          <t>Multiphase Flow and Fluid-Structure Interaction Group</t>
        </is>
      </c>
      <c r="AE2" s="3">
        <f>HYPERLINK("https://kasbaoui.bitbucket.io", "https://kasbaoui.bitbucket.io")</f>
        <v/>
      </c>
      <c r="AF2" s="2" t="inlineStr"/>
      <c r="AG2" s="2" t="inlineStr">
        <is>
          <t>CFD</t>
        </is>
      </c>
      <c r="AH2" s="2" t="inlineStr"/>
      <c r="AI2" s="2" t="inlineStr">
        <is>
          <t>AFOSR</t>
        </is>
      </c>
      <c r="AJ2" s="3">
        <f>HYPERLINK("https://bitbucket.org/krgasu/leap/downloads/leap-v0.8.2.tar.gz", "https://bitbucket.org/krgasu/leap/downloads/leap-v0.8.2.tar.gz, https://bitbucket.org/krgasu/leap/src/master")</f>
        <v/>
      </c>
      <c r="AK2" s="2" t="inlineStr">
        <is>
          <t>School for Engineering of Matter, Transport &amp; Energy</t>
        </is>
      </c>
      <c r="AL2" s="2" t="inlineStr">
        <is>
          <t>Campus: Tempe</t>
        </is>
      </c>
      <c r="AM2" s="2" t="b">
        <v>1</v>
      </c>
      <c r="AN2" s="3">
        <f>HYPERLINK("https://faculty.engineering.asu.edu/directory/semte/aerospace-and-mechanical-engineering/", "https://faculty.engineering.asu.edu/directory/semte/aerospace-and-mechanical-engineering/")</f>
        <v/>
      </c>
    </row>
    <row r="3">
      <c r="A3" s="2" t="inlineStr">
        <is>
          <t>Kangping Chen</t>
        </is>
      </c>
      <c r="B3" s="2" t="inlineStr">
        <is>
          <t>Arizona State University</t>
        </is>
      </c>
      <c r="C3" s="3">
        <f>HYPERLINK("https://search.asu.edu/profile/asuchen", "https://search.asu.edu/profile/asuchen")</f>
        <v/>
      </c>
      <c r="D3" s="3">
        <f>HYPERLINK("https://scholar.google.com/citations?hl=en&amp;user=xT-lX9sAAAAJ", "Scholar (xT-lX9sAAAAJ)")</f>
        <v/>
      </c>
      <c r="E3" s="2" t="inlineStr">
        <is>
          <t>Associate Professor</t>
        </is>
      </c>
      <c r="F3" s="2" t="inlineStr">
        <is>
          <t>Aerospace &amp; Mechanical Engineering</t>
        </is>
      </c>
      <c r="G3" s="2" t="inlineStr">
        <is>
          <t>xT-lX9sAAAAJ</t>
        </is>
      </c>
      <c r="H3" s="3">
        <f>HYPERLINK("mailto:k.p.chen@asu.edu", "k.p.chen@asu.edu")</f>
        <v/>
      </c>
      <c r="I3" s="2" t="n">
        <v>1</v>
      </c>
      <c r="J3" s="2" t="inlineStr">
        <is>
          <t>🔵 Tier 1: Core Aero / Fluids / Propulsion</t>
        </is>
      </c>
      <c r="K3" s="2" t="n">
        <v>6</v>
      </c>
      <c r="L3" s="2" t="inlineStr">
        <is>
          <t>aerospace, computational fluid dynamics, fluid dynamics, fluid mechanics, guidance, multiphase flow</t>
        </is>
      </c>
      <c r="M3" s="2" t="inlineStr">
        <is>
          <t>Lubricated pipelining: stability of core-annular flow (Journal of Fluid Mechanics, 1989) [DOI: https://doi.org/10.1017/s0022112089000960]</t>
        </is>
      </c>
      <c r="N3" s="3">
        <f>HYPERLINK("https://doi.org/10.1017/s0022112089000960", "https://doi.org/10.1017/s0022112089000960")</f>
        <v/>
      </c>
      <c r="O3" s="2" t="inlineStr">
        <is>
          <t>Linear Hydrodynamic Stability Analysis / Spectral Collocation Solver</t>
        </is>
      </c>
      <c r="P3" s="2" t="inlineStr">
        <is>
          <t>conducting linear hydrodynamic stability analysis of core-annular pipe flows, demonstrating that interfacial capillary instability transitions into an axisymmetric shear-stabilized lubrication window across a discrete Reynolds number corridor.</t>
        </is>
      </c>
      <c r="Q3" s="2" t="inlineStr">
        <is>
          <t>Multiphase core-annular pipeline flows present intricate interfacial stability regimes where capillary forces compete directly with annular fluid shear.</t>
        </is>
      </c>
      <c r="R3" s="2" t="inlineStr"/>
      <c r="S3" s="2" t="inlineStr">
        <is>
          <t>"Heterogeneous Feature Knowledge Distillation based on Enhanced Feature Projector Correlation" [Neural Networks] (2025) [DOI: https://doi.org/10.1016/j.neunet.2025.108409] | "Deep learning and multi-omics reveal programmed cell death-associated diagnostic signatures and prognostic biomarkers in gastric cancer" [Frontiers in Immunology] (2025) [DOI: https://doi.org/10.3389/fimmu.2025.1690200] | "Research on flexible job shop scheduling based on deep reinforcement learning with transformer-graph neural network" [Journal of Control and Decision] (2025) [DOI: https://doi.org/10.1080/23307706.2025.2557020]</t>
        </is>
      </c>
      <c r="T3" s="2" t="inlineStr">
        <is>
          <t>"Lubricated pipelining: stability of core-annular flow" [Journal of Fluid Mechanics] (1989, 202 cites) [DOI: https://doi.org/10.1017/s0022112089000960] | "Lubricated pipelining: stability of core—annular flow. Part 5. Experiments and comparison with theory" [Journal of Fluid Mechanics] (1992, 163 cites) [DOI: https://doi.org/10.1017/s0022112092000041] | "Pool-boiling enhancement by novel metallic nanoporous surface" [Experimental Thermal and Fluid Science] (2012, 112 cites) [DOI: https://doi.org/10.1016/j.expthermflusci.2012.06.008]</t>
        </is>
      </c>
      <c r="U3" s="2" t="inlineStr">
        <is>
          <t>MAE 242: Intro to Fluid Mechanics | MAE 384: Adv Math Methods for Engineers | MAE 501: Linear Algebra in Engineering</t>
        </is>
      </c>
      <c r="V3" s="2" t="inlineStr"/>
      <c r="W3" s="2" t="inlineStr"/>
      <c r="X3" s="2" t="inlineStr">
        <is>
          <t>Fluid Dynamics and Thin Films (12) | Rheology and Fluid Dynamics Studies (11) | Hydraulic Fracturing and Reservoir Analysis (7)</t>
        </is>
      </c>
      <c r="Y3" s="2" t="inlineStr">
        <is>
          <t>Fluid Dynamics and Thin Films (12) | Rheology and Fluid Dynamics Studies (11) | Hydraulic Fracturing and Reservoir Analysis (7)</t>
        </is>
      </c>
      <c r="Z3" s="2" t="inlineStr"/>
      <c r="AA3" s="2" t="inlineStr"/>
      <c r="AB3" s="2" t="inlineStr">
        <is>
          <t>Chen’s research interests include multiphase flows, drag reduction, airplane de-icing, interfacial instabilities and flow in porous media.</t>
        </is>
      </c>
      <c r="AC3" s="2" t="inlineStr">
        <is>
          <t>Ph.D. Fluid Mechanics, University of Minnesota 1990 | B.S. Mechanics, Peking University, China 1982</t>
        </is>
      </c>
      <c r="AD3" s="2" t="inlineStr"/>
      <c r="AE3" s="2" t="inlineStr"/>
      <c r="AF3" s="2" t="inlineStr"/>
      <c r="AG3" s="2" t="inlineStr"/>
      <c r="AH3" s="2" t="inlineStr"/>
      <c r="AI3" s="2" t="inlineStr"/>
      <c r="AJ3" s="2" t="inlineStr"/>
      <c r="AK3" s="2" t="inlineStr"/>
      <c r="AL3" s="2" t="inlineStr">
        <is>
          <t>ENGRC 361 (TEMPE, AZ 85287-6106)</t>
        </is>
      </c>
      <c r="AM3" s="2" t="b">
        <v>1</v>
      </c>
      <c r="AN3" s="3">
        <f>HYPERLINK("https://faculty.engineering.asu.edu/directory/semte/aerospace-and-mechanical-engineering/", "https://faculty.engineering.asu.edu/directory/semte/aerospace-and-mechanical-engineering/")</f>
        <v/>
      </c>
    </row>
    <row r="4">
      <c r="A4" s="2" t="inlineStr">
        <is>
          <t>Kiran Ramesh</t>
        </is>
      </c>
      <c r="B4" s="2" t="inlineStr">
        <is>
          <t>Arizona State University</t>
        </is>
      </c>
      <c r="C4" s="3">
        <f>HYPERLINK("https://search.asu.edu/profile/kramesh2", "https://search.asu.edu/profile/kramesh2")</f>
        <v/>
      </c>
      <c r="D4" s="3">
        <f>HYPERLINK("https://scholar.google.com/citations?hl=en&amp;user=DKc-AgcAAAAJ", "Scholar (DKc-AgcAAAAJ)")</f>
        <v/>
      </c>
      <c r="E4" s="2" t="inlineStr">
        <is>
          <t>Associate Professor</t>
        </is>
      </c>
      <c r="F4" s="2" t="inlineStr">
        <is>
          <t>Aerospace &amp; Mechanical Engineering</t>
        </is>
      </c>
      <c r="G4" s="2" t="inlineStr">
        <is>
          <t>DKc-AgcAAAAJ</t>
        </is>
      </c>
      <c r="H4" s="3">
        <f>HYPERLINK("mailto:Kiran.Ramesh@asu.edu", "Kiran.Ramesh@asu.edu")</f>
        <v/>
      </c>
      <c r="I4" s="2" t="n">
        <v>1</v>
      </c>
      <c r="J4" s="2" t="inlineStr">
        <is>
          <t>🔵 Tier 1: Core Aero / Fluids / Propulsion</t>
        </is>
      </c>
      <c r="K4" s="2" t="n">
        <v>6</v>
      </c>
      <c r="L4" s="2" t="inlineStr">
        <is>
          <t>aerodynamics, aerospace, flow control, fluid dynamics, turbulence, vortex dynamics</t>
        </is>
      </c>
      <c r="M4" s="2" t="inlineStr">
        <is>
          <t>Discrete-vortex method with novel shedding criterion for unsteady aerofoil flows with intermittent leading-edge vortex shedding (Journal of Fluid Mechanics, 2014) [DOI: https://doi.org/10.1017/jfm.2014.297]</t>
        </is>
      </c>
      <c r="N4" s="3">
        <f>HYPERLINK("https://doi.org/10.1017/jfm.2014.297", "https://doi.org/10.1017/jfm.2014.297")</f>
        <v/>
      </c>
      <c r="O4" s="2" t="inlineStr">
        <is>
          <t>Unsteady Discrete Vortex Method (DVM) / Unsteady Thin-Airfoil Theory</t>
        </is>
      </c>
      <c r="P4" s="2" t="inlineStr">
        <is>
          <t>applying unsteady discrete-vortex modeling to pitching aerofoils, demonstrating that intermittent leading-edge vortex shedding onset is governed by a critical leading-edge suction parameter (LESP) linked to the Fourier A0 bound vorticity coefficient.</t>
        </is>
      </c>
      <c r="Q4" s="2" t="inlineStr">
        <is>
          <t>Modeling dynamic stall and high-angle unsteady aerofoil maneuvers necessitates identifying the precise physical trigger that initiates leading-edge vortex detachment.</t>
        </is>
      </c>
      <c r="R4" s="2" t="inlineStr"/>
      <c r="S4" s="2" t="inlineStr">
        <is>
          <t>"Closed-form unsteady thin-airfoil theory for high-amplitude problems" [Aerospace Science and Technology] (2026) [DOI: https://doi.org/10.1016/j.ast.2026.112983] | "Closed-form unsteady thin-airfoil theory for high-amplitude problems" [SSRN Electronic Journal] (2026) [DOI: https://doi.org/10.2139/ssrn.6438821] | "Design Optimization of a Pico Hydroelectric Turbine Using Computational Fluid Dynamics" (2025) [DOI: https://doi.org/10.1109/icmic66299.2025.11257765]</t>
        </is>
      </c>
      <c r="T4" s="2" t="inlineStr">
        <is>
          <t>"Discrete-vortex method with novel shedding criterion for unsteady aerofoil flows with intermittent leading-edge vortex shedding" [Journal of Fluid Mechanics] (2014, 276 cites) [DOI: https://doi.org/10.1017/jfm.2014.297] | "A Survey of Design Techniques for Conversational Agents" [Communications in computer and information science] (2017, 166 cites) [DOI: https://doi.org/10.1007/978-981-10-6544-6_31] | "An unsteady airfoil theory applied to pitching motions validated against experiment and computation" [Theoretical and Computational Fluid Dynamics] (2013, 122 cites) [DOI: https://doi.org/10.1007/s00162-012-0292-8]</t>
        </is>
      </c>
      <c r="U4" s="2" t="inlineStr">
        <is>
          <t>MAE 242: Intro to Fluid Mechanics | MAE 593: Applied Project | MAE 564: Advanced Aerodynamics</t>
        </is>
      </c>
      <c r="V4" s="2" t="inlineStr"/>
      <c r="W4" s="2" t="inlineStr"/>
      <c r="X4" s="2" t="inlineStr">
        <is>
          <t>Fluid Dynamics and Turbulent Flows (36) | Fluid Dynamics and Vibration Analysis (26) | Biomimetic flight and propulsion mechanisms (24)</t>
        </is>
      </c>
      <c r="Y4" s="2" t="inlineStr">
        <is>
          <t>Fluid Dynamics and Turbulent Flows (36) | Fluid Dynamics and Vibration Analysis (26) | Biomimetic flight and propulsion mechanisms (24)</t>
        </is>
      </c>
      <c r="Z4" s="2" t="inlineStr">
        <is>
          <t>Unsteady aerodynamics, vortex dynamics, flow control, turbulence, separated flows</t>
        </is>
      </c>
      <c r="AA4" s="2" t="inlineStr"/>
      <c r="AB4" s="2" t="inlineStr">
        <is>
          <t>Ramesh's expertise is in unsteady fluid dynamics, vortex dynamics, turbulence and flow control.</t>
        </is>
      </c>
      <c r="AC4" s="2" t="inlineStr">
        <is>
          <t>PhD North Carolina State University</t>
        </is>
      </c>
      <c r="AD4" s="2" t="inlineStr"/>
      <c r="AE4" s="2" t="inlineStr"/>
      <c r="AF4" s="2" t="inlineStr"/>
      <c r="AG4" s="2" t="inlineStr"/>
      <c r="AH4" s="2" t="inlineStr"/>
      <c r="AI4" s="2" t="inlineStr"/>
      <c r="AJ4" s="2" t="inlineStr"/>
      <c r="AK4" s="2" t="inlineStr"/>
      <c r="AL4" s="2" t="inlineStr">
        <is>
          <t>Engineering research centre Room 383 551 E Tyler mall (Tempe, AZ 85281)</t>
        </is>
      </c>
      <c r="AM4" s="2" t="b">
        <v>1</v>
      </c>
      <c r="AN4" s="3">
        <f>HYPERLINK("https://faculty.engineering.asu.edu/directory/semte/aerospace-and-mechanical-engineering/", "https://faculty.engineering.asu.edu/directory/semte/aerospace-and-mechanical-engineering/")</f>
        <v/>
      </c>
    </row>
    <row r="5">
      <c r="A5" s="2" t="inlineStr">
        <is>
          <t>Leixin Ma</t>
        </is>
      </c>
      <c r="B5" s="2" t="inlineStr">
        <is>
          <t>Arizona State University</t>
        </is>
      </c>
      <c r="C5" s="3">
        <f>HYPERLINK("https://search.asu.edu/profile/leixinma", "https://search.asu.edu/profile/leixinma")</f>
        <v/>
      </c>
      <c r="D5" s="3">
        <f>HYPERLINK("https://scholar.google.com/citations?hl=en&amp;user=2xQTOc0AAAAJ", "Scholar (2xQTOc0AAAAJ)")</f>
        <v/>
      </c>
      <c r="E5" s="2" t="inlineStr">
        <is>
          <t>Assistant Professor</t>
        </is>
      </c>
      <c r="F5" s="2" t="inlineStr">
        <is>
          <t>Aerospace &amp; Mechanical Engineering</t>
        </is>
      </c>
      <c r="G5" s="2" t="inlineStr">
        <is>
          <t>2xQTOc0AAAAJ</t>
        </is>
      </c>
      <c r="H5" s="3">
        <f>HYPERLINK("mailto:Leixin.Ma@asu.edu", "Leixin.Ma@asu.edu")</f>
        <v/>
      </c>
      <c r="I5" s="2" t="n">
        <v>1</v>
      </c>
      <c r="J5" s="2" t="inlineStr">
        <is>
          <t>🔵 Tier 1: Core Aero / Fluids / Propulsion</t>
        </is>
      </c>
      <c r="K5" s="2" t="n">
        <v>6</v>
      </c>
      <c r="L5" s="2" t="inlineStr">
        <is>
          <t>aerodynamics, aerospace, fluid-structure interaction, fluids, materials, robot</t>
        </is>
      </c>
      <c r="M5" s="2" t="inlineStr">
        <is>
          <t>Experimental investigation of the response performance of VIV on a flexible riser with helical strakes (Ships and Offshore Structures, 2014) [DOI: https://doi.org/10.1080/17445302.2014.962788]</t>
        </is>
      </c>
      <c r="N5" s="3">
        <f>HYPERLINK("https://doi.org/10.1080/17445302.2014.962788", "https://doi.org/10.1080/17445302.2014.962788")</f>
        <v/>
      </c>
      <c r="O5" s="2" t="inlineStr">
        <is>
          <t>Towing Tank Hydrodynamic Rig / Strain Gauge Modal Wavelet Analysis</t>
        </is>
      </c>
      <c r="P5" s="2" t="inlineStr">
        <is>
          <t>conducting towing tank experiments on flexible risers subject to uniform currents, demonstrating that helical strakes suppress cross-flow vortex-induced vibration amplitudes by over 80% while transferring structural stress into high-frequency in-line tension fluctuations.</t>
        </is>
      </c>
      <c r="Q5" s="2" t="inlineStr">
        <is>
          <t>Vortex-induced vibrations on flexible marine structures exhibit strong cross-flow and in-line modal coupling that governs structural fatigue life.</t>
        </is>
      </c>
      <c r="R5" s="2" t="inlineStr">
        <is>
          <t>Search this site Embedded Files Skip to main content Skip to navigation OASIS group at ASU Home Research People Publications Ne...</t>
        </is>
      </c>
      <c r="S5" s="2" t="inlineStr">
        <is>
          <t>"HGTO: A Unified Graph-Based Physics-Informed Formulation for Structural Topology Optimization" [arXiv (Cornell University)] (2026) [DOI: https://doi.org/10.48550/arxiv.2609.15001] | "HGTO: A Unified Graph-Based Physics-Informed Formulation for Structural Topology Optimization" [arXiv (Cornell University)] (2026) [DOI: https://arxiv.org/abs/2609.15001] | "Graph neural network-based aquaculture net modeling and inference — A frequency domain approach" [Ocean Engineering] (2026) [DOI: https://doi.org/10.1016/j.oceaneng.2026.127799]</t>
        </is>
      </c>
      <c r="T5" s="2" t="inlineStr">
        <is>
          <t>"An investigation into the hydrodynamics of a flexible riser undergoing vortex-induced vibration" [Journal of Fluids and Structures] (2016, 178 cites) [DOI: https://doi.org/10.1016/j.jfluidstructs.2016.03.006] | "Theoretical and numerical analysis of bending behavior of unbonded flexible risers" [Marine Structures] (2015, 42 cites) [DOI: https://doi.org/10.1016/j.marstruc.2015.10.001] | "Experimental investigation of the response performance of VIV on a flexible riser with helical strakes" [Ships and Offshore Structures] (2014, 39 cites) [DOI: https://doi.org/10.1080/17445302.2014.962788]</t>
        </is>
      </c>
      <c r="U5" s="2" t="inlineStr">
        <is>
          <t>MAE 499: Individualized Instruction | MAE 202: Mech.Particles/Rigid Bodies II | MAE 318: System Dynamics and Control I</t>
        </is>
      </c>
      <c r="V5" s="2" t="inlineStr"/>
      <c r="W5" s="2" t="inlineStr">
        <is>
          <t>Undergraduate students : Highly-motivated undergraduate students are encouraged to get in touch. The students are encouraged to apply Fulton Undergraduate Research Initiative (FURI) ( Proposals are due the 3rd Wednesday of every March and October ) , Summer Research Initiative (SURI) etc. No prior research experiences are expected. Email to: leixinma@ asu .edu . | Visiting scholars from different backgrounds are welcome to contact Prof. Ma for projects with mutual interests. Email to: leixinma@asu.edu</t>
        </is>
      </c>
      <c r="X5" s="2" t="inlineStr">
        <is>
          <t>Fluid Dynamics and Vibration Analysis (12) | Vibration and Dynamic Analysis (9) | Wind and Air Flow Studies (7)</t>
        </is>
      </c>
      <c r="Y5" s="2" t="inlineStr">
        <is>
          <t>Fluid Dynamics and Vibration Analysis (12) | Vibration and Dynamic Analysis (9) | Wind and Air Flow Studies (7)</t>
        </is>
      </c>
      <c r="Z5" s="2" t="inlineStr">
        <is>
          <t>Aerodynamics, Dynamical Systems, Machine Learning, Mechanics of Composite Materials</t>
        </is>
      </c>
      <c r="AA5" s="2" t="inlineStr">
        <is>
          <t>Aerodynamics, Dynamical Systems, Machine Learning, Mechanics of Composite Materials</t>
        </is>
      </c>
      <c r="AB5" s="2" t="inlineStr">
        <is>
          <t>Leixin Ma's career goal is a data-driven and physically consistent approach to modeling and designing programmable smart structures and robots, especially under complex fluid flow conditions.</t>
        </is>
      </c>
      <c r="AC5" s="2" t="inlineStr">
        <is>
          <t>Ph.D. in Mechanical Engineering, Massachusetts Institute of Technology, 2021 S.M. in Mechanical Engineering, Massachusetts Institute of Technology, 2017 B.S.E. in Naval Architecture and Ocean Engineering, Shanghai Jiao Tong University, 2015</t>
        </is>
      </c>
      <c r="AD5" s="2" t="inlineStr">
        <is>
          <t>Optimization, Autonomy, and Soft Intelligence Systems (OASIS) Lab</t>
        </is>
      </c>
      <c r="AE5" s="3">
        <f>HYPERLINK("https://sites.google.com/view/oasislabasu", "https://sites.google.com/view/oasislabasu")</f>
        <v/>
      </c>
      <c r="AF5" s="2" t="inlineStr">
        <is>
          <t>More Home Research People Publications News Openings Facility Teaching Resources | Update: We are currently hiring multiple fully-funded graduate students, undergraduate students and visiting scholars! The first year graduate students will be selected as the prestigious Ira A. Fulton fellowship from the ASU School of Engineering.</t>
        </is>
      </c>
      <c r="AG5" s="2" t="inlineStr"/>
      <c r="AH5" s="2" t="inlineStr">
        <is>
          <t>Towing Tank, FDM</t>
        </is>
      </c>
      <c r="AI5" s="2" t="inlineStr"/>
      <c r="AJ5" s="2" t="inlineStr"/>
      <c r="AK5" s="2" t="inlineStr">
        <is>
          <t>Ocean and Soft Intelligent Structure Interaction Lab</t>
        </is>
      </c>
      <c r="AL5" s="2" t="inlineStr">
        <is>
          <t>ERC 485 (Tempe, AZ 85287)</t>
        </is>
      </c>
      <c r="AM5" s="2" t="b">
        <v>1</v>
      </c>
      <c r="AN5" s="3">
        <f>HYPERLINK("https://faculty.engineering.asu.edu/directory/semte/aerospace-and-mechanical-engineering/", "https://faculty.engineering.asu.edu/directory/semte/aerospace-and-mechanical-engineering/")</f>
        <v/>
      </c>
    </row>
    <row r="6">
      <c r="A6" s="2" t="inlineStr">
        <is>
          <t>Gokul Pathikonda</t>
        </is>
      </c>
      <c r="B6" s="2" t="inlineStr">
        <is>
          <t>Arizona State University</t>
        </is>
      </c>
      <c r="C6" s="3">
        <f>HYPERLINK("https://search.asu.edu/profile/gpathiko", "https://search.asu.edu/profile/gpathiko")</f>
        <v/>
      </c>
      <c r="D6" s="3">
        <f>HYPERLINK("https://scholar.google.com/citations?view_op=search_authors&amp;mauthors=Gokul%20Pathikonda%20Arizona%20State%20University", "Google Scholar Search")</f>
        <v/>
      </c>
      <c r="E6" s="2" t="inlineStr">
        <is>
          <t>Assistant Professor</t>
        </is>
      </c>
      <c r="F6" s="2" t="inlineStr">
        <is>
          <t>Aerospace &amp; Mechanical Engineering</t>
        </is>
      </c>
      <c r="G6" s="2" t="inlineStr"/>
      <c r="H6" s="3">
        <f>HYPERLINK("mailto:Gokul.Pathikonda@asu.edu", "Gokul.Pathikonda@asu.edu")</f>
        <v/>
      </c>
      <c r="I6" s="2" t="n">
        <v>1</v>
      </c>
      <c r="J6" s="2" t="inlineStr">
        <is>
          <t>🔵 Tier 1: Core Aero / Fluids / Propulsion</t>
        </is>
      </c>
      <c r="K6" s="2" t="n">
        <v>5</v>
      </c>
      <c r="L6" s="2" t="inlineStr">
        <is>
          <t>aerodynamics, aerospace, reacting flow, turbulence, turbulent</t>
        </is>
      </c>
      <c r="M6" s="2" t="inlineStr">
        <is>
          <t>Cross-stream stereoscopic particle image velocimetry of a modified turbulent boundary layer over directional surface pattern (Journal of Fluid Mechanics, 2017) [DOI: https://doi.org/10.1017/jfm.2016.879]</t>
        </is>
      </c>
      <c r="N6" s="3">
        <f>HYPERLINK("https://doi.org/10.1017/jfm.2016.879", "https://doi.org/10.1017/jfm.2016.879")</f>
        <v/>
      </c>
      <c r="O6" s="2" t="inlineStr">
        <is>
          <t>Stereoscopic Particle Image Velocimetry (SPIV)</t>
        </is>
      </c>
      <c r="P6" s="2" t="inlineStr">
        <is>
          <t>deploying cross-stream stereoscopic PIV at Re_tau ≈ 3900 to investigate boundary-layer flow over herringbone-patterned riblet surfaces, demonstrating that surface-induced secondary vortices enforce strong spanwise periodicity while dramatically enhancing outer-layer turbulent entrainment.</t>
        </is>
      </c>
      <c r="Q6" s="2" t="inlineStr">
        <is>
          <t>Wall-bounded turbulent boundary layers subject to directional surface heterogeneities offer unprecedented control over coherent vortex reorganization and skin-friction drag modulation.</t>
        </is>
      </c>
      <c r="R6" s="2" t="inlineStr">
        <is>
          <t>There is an open post-doctoral opening starting Fall 2025 in experimental turbulence research . All students interested in join...</t>
        </is>
      </c>
      <c r="S6" s="2" t="inlineStr">
        <is>
          <t>"Bleeding flow characteristics downstream of isotropic porous square cylinders" [Journal of Fluid Mechanics] (2026) [DOI: https://doi.org/10.1017/jfm.2025.11073] | "Coherent organisation of passive scalar from a point source in a turbulent boundary layer" [Journal of Fluid Mechanics] (2025) [DOI: https://doi.org/10.1017/jfm.2025.10926] | "Turbulent/non-turbulent interface in Rayleigh–Taylor flows" [Journal of Turbulence] (2025) [DOI: https://doi.org/10.1080/14685248.2025.2489451]</t>
        </is>
      </c>
      <c r="T6" s="2" t="inlineStr">
        <is>
          <t>"Cross-stream stereoscopic particle image velocimetry of a modified turbulent boundary layer over directional surface pattern" [Journal of Fluid Mechanics] (2017, 120 cites) [DOI: https://doi.org/10.1017/jfm.2016.879] | "The transition to turbulence in shock-driven mixing: effects of Mach number and initial conditions" [Journal of Fluid Mechanics] (2019, 77 cites) [DOI: https://doi.org/10.1017/jfm.2019.330] | "Numerical analyses of high temperature dense, granular flows coupled to high temperature flow property measurements for solar thermal energy storage" [Solar Energy] (2020, 25 cites) [DOI: https://doi.org/10.1016/j.solener.2020.10.085]</t>
        </is>
      </c>
      <c r="U6" s="2" t="inlineStr">
        <is>
          <t>MAE 575: Turbulence | MAE 593: Applied Project | MAE 499: Individualized Instruction</t>
        </is>
      </c>
      <c r="V6" s="2" t="inlineStr"/>
      <c r="W6" s="2" t="inlineStr"/>
      <c r="X6" s="2" t="inlineStr">
        <is>
          <t>Fluid Dynamics and Turbulent Flows (40) | Particle Dynamics in Fluid Flows (23) | Laser-Plasma Interactions and Diagnostics (12)</t>
        </is>
      </c>
      <c r="Y6" s="2" t="inlineStr">
        <is>
          <t>Fluid Dynamics and Turbulent Flows (40) | Particle Dynamics in Fluid Flows (23) | Laser-Plasma Interactions and Diagnostics (12)</t>
        </is>
      </c>
      <c r="Z6" s="2" t="inlineStr">
        <is>
          <t>Aerodynamics, Aerospace Engineering, Mechanical Engineering</t>
        </is>
      </c>
      <c r="AA6" s="2" t="inlineStr">
        <is>
          <t>Aerodynamics, Aerospace Engineering, Mechanical Engineering</t>
        </is>
      </c>
      <c r="AB6" s="2" t="inlineStr">
        <is>
          <t>Dr. Pathikonda studies turbulent fluid flows to understand natural and engineering phenomena using lab experiments. His expertise is in complex (reacting) mixing, high Re-flows, laser-based &amp; spectroscopic techniques, etc.</t>
        </is>
      </c>
      <c r="AC6" s="2" t="inlineStr">
        <is>
          <t>Ph. D. Theoretical and Applied Mechanics, University of Illinois, Urbana Champaign, 2017 | MS Aerospace Engineering, University of Illinois, Urbana Champaign, 2013 | B. Tech. Mechanical Engineering, National Institute of Technology, Warangal, 2009</t>
        </is>
      </c>
      <c r="AD6" s="2" t="inlineStr"/>
      <c r="AE6" s="3">
        <f>HYPERLINK("https://faculty.engineering.asu.edu/cmat/", "https://faculty.engineering.asu.edu/cmat/")</f>
        <v/>
      </c>
      <c r="AF6" s="2" t="inlineStr"/>
      <c r="AG6" s="2" t="inlineStr"/>
      <c r="AH6" s="2" t="inlineStr"/>
      <c r="AI6" s="2" t="inlineStr"/>
      <c r="AJ6" s="2" t="inlineStr"/>
      <c r="AK6" s="2" t="inlineStr">
        <is>
          <t>Want to be part of CMAT Lab?</t>
        </is>
      </c>
      <c r="AL6" s="2" t="inlineStr">
        <is>
          <t>551 E Tyler Mall ERC 479 (Tempe, AZ 85281)</t>
        </is>
      </c>
      <c r="AM6" s="2" t="b">
        <v>1</v>
      </c>
      <c r="AN6" s="3">
        <f>HYPERLINK("https://faculty.engineering.asu.edu/directory/semte/aerospace-and-mechanical-engineering/", "https://faculty.engineering.asu.edu/directory/semte/aerospace-and-mechanical-engineering/")</f>
        <v/>
      </c>
    </row>
    <row r="7">
      <c r="A7" s="2" t="inlineStr">
        <is>
          <t>Marcus Herrmann</t>
        </is>
      </c>
      <c r="B7" s="2" t="inlineStr">
        <is>
          <t>Arizona State University</t>
        </is>
      </c>
      <c r="C7" s="3">
        <f>HYPERLINK("https://search.asu.edu/profile/mherrma1", "https://search.asu.edu/profile/mherrma1")</f>
        <v/>
      </c>
      <c r="D7" s="3">
        <f>HYPERLINK("https://scholar.google.com/citations?hl=en&amp;user=yv6aCW8AAAAJ", "Scholar (yv6aCW8AAAAJ)")</f>
        <v/>
      </c>
      <c r="E7" s="2" t="inlineStr">
        <is>
          <t>Professor</t>
        </is>
      </c>
      <c r="F7" s="2" t="inlineStr">
        <is>
          <t>Aerospace &amp; Mechanical Engineering</t>
        </is>
      </c>
      <c r="G7" s="2" t="inlineStr">
        <is>
          <t>yv6aCW8AAAAJ</t>
        </is>
      </c>
      <c r="H7" s="3">
        <f>HYPERLINK("mailto:Marcus.Herrmann@asu.edu", "Marcus.Herrmann@asu.edu")</f>
        <v/>
      </c>
      <c r="I7" s="2" t="n">
        <v>1</v>
      </c>
      <c r="J7" s="2" t="inlineStr">
        <is>
          <t>🔵 Tier 1: Core Aero / Fluids / Propulsion</t>
        </is>
      </c>
      <c r="K7" s="2" t="n">
        <v>5</v>
      </c>
      <c r="L7" s="2" t="inlineStr">
        <is>
          <t>aerospace, fluid mechanics, multiphase flow, turbulence, turbulent</t>
        </is>
      </c>
      <c r="M7" s="2" t="inlineStr">
        <is>
          <t>Detailed Numerical Simulations of the Primary Atomization of a Turbulent Liquid Jet in Crossflow (Journal of Engineering for Gas Turbines and Power, 2010) [DOI: https://doi.org/10.1115/1.4000148]</t>
        </is>
      </c>
      <c r="N7" s="3">
        <f>HYPERLINK("https://doi.org/10.1115/1.4000148", "https://doi.org/10.1115/1.4000148")</f>
        <v/>
      </c>
      <c r="O7" s="2" t="inlineStr">
        <is>
          <t>Balanced Force Refined Level Set Grid Method (Refined Level Set / Dual Grid FV Solver)</t>
        </is>
      </c>
      <c r="P7" s="2" t="inlineStr">
        <is>
          <t>performing dual-grid level-set simulations on refined Cartesian grids (128 cells/diameter) to investigate primary atomization of liquid jets in crossflow (We=330, Re=14,000, gas Re=570,000), demonstrating that grid-converged drop diameter distributions are accurately resolved down to 1% of the injector nozzle diameter.</t>
        </is>
      </c>
      <c r="Q7" s="2" t="inlineStr">
        <is>
          <t>Turbulent multiphase breakup and primary atomization involve extreme multiscale topological transitions that push both Eulerian interface tracking and Lagrangian drop representations to their physical limits.</t>
        </is>
      </c>
      <c r="R7" s="2" t="inlineStr"/>
      <c r="S7" s="2" t="inlineStr">
        <is>
          <t>"A high-fidelity methodology for particle-resolved direct numerical simulations" [International Journal of Multiphase Flow] (2025) [DOI: https://doi.org/10.1016/j.ijmultiphaseflow.2025.105175] | "BPS2025 - Liquid nano-sheet sample delivery for femtosecond solution X-ray scattering" [Biophysical Journal] (2025) [DOI: https://doi.org/10.1016/j.bpj.2024.11.838] | "Characterization of the forcing and sub-filter scale terms in the volume-filtering immersed boundary method" [Journal of Computational Physics] (2025) [DOI: https://doi.org/10.1016/j.jcp.2025.113765]</t>
        </is>
      </c>
      <c r="T7" s="2" t="inlineStr">
        <is>
          <t>"Modeling Primary Atomization" [Annual Review of Fluid Mechanics] (2008, 440 cites) [DOI: https://doi.org/10.1146/annurev.fluid.40.111406.102200] | "A balanced force refined level set grid method for two-phase flows on unstructured flow solver grids" [Journal of Computational Physics] (2007, 316 cites) [DOI: https://doi.org/10.1016/j.jcp.2007.11.002] | "A parallel Eulerian interface tracking/Lagrangian point particle multi-scale coupling procedure" [Journal of Computational Physics] (2009, 235 cites) [DOI: https://doi.org/10.1016/j.jcp.2009.10.009]</t>
        </is>
      </c>
      <c r="U7" s="2" t="inlineStr">
        <is>
          <t>MAE 384: Adv Math Methods for Engineers | MAE 484: Internship | MAE 561: Computational Fluid Dynamics</t>
        </is>
      </c>
      <c r="V7" s="2" t="inlineStr"/>
      <c r="W7" s="2" t="inlineStr"/>
      <c r="X7" s="2" t="inlineStr">
        <is>
          <t>Fluid Dynamics and Heat Transfer (66) | Fluid Dynamics and Turbulent Flows (27) | Particle Dynamics in Fluid Flows (27)</t>
        </is>
      </c>
      <c r="Y7" s="2" t="inlineStr">
        <is>
          <t>Fluid Dynamics and Heat Transfer (66) | Fluid Dynamics and Turbulent Flows (27) | Particle Dynamics in Fluid Flows (27)</t>
        </is>
      </c>
      <c r="Z7" s="2" t="inlineStr"/>
      <c r="AA7" s="2" t="inlineStr"/>
      <c r="AB7" s="2" t="inlineStr">
        <is>
          <t>Herrmann's research interests include fluid mechanics, modeling and numerical simulation of multiphase flows with a focus on turbulent atomization processes, and numerical methods for discontinuous interfaces.</t>
        </is>
      </c>
      <c r="AC7" s="2" t="inlineStr">
        <is>
          <t>PhD in Mechanical Engineering, University of Technology (RWTH) Aachen, Germany 2001 | Diploma. Mechanical and Aerospace Engineering, University of Technology (RWTH) Aachen, Germany 1995</t>
        </is>
      </c>
      <c r="AD7" s="2" t="inlineStr">
        <is>
          <t>Computational Multiphase Physics Laboratory</t>
        </is>
      </c>
      <c r="AE7" s="2" t="inlineStr"/>
      <c r="AF7" s="2" t="inlineStr"/>
      <c r="AG7" s="2" t="inlineStr"/>
      <c r="AH7" s="2" t="inlineStr"/>
      <c r="AI7" s="2" t="inlineStr"/>
      <c r="AJ7" s="2" t="inlineStr"/>
      <c r="AK7" s="2" t="inlineStr"/>
      <c r="AL7" s="2" t="inlineStr">
        <is>
          <t>ENGRC 311 (TEMPE, AZ 85287-6106)</t>
        </is>
      </c>
      <c r="AM7" s="2" t="b">
        <v>1</v>
      </c>
      <c r="AN7" s="3">
        <f>HYPERLINK("https://faculty.engineering.asu.edu/directory/semte/aerospace-and-mechanical-engineering/", "https://faculty.engineering.asu.edu/directory/semte/aerospace-and-mechanical-engineering/")</f>
        <v/>
      </c>
    </row>
    <row r="8">
      <c r="A8" s="2" t="inlineStr">
        <is>
          <t>Jeonglae Kim</t>
        </is>
      </c>
      <c r="B8" s="2" t="inlineStr">
        <is>
          <t>Arizona State University</t>
        </is>
      </c>
      <c r="C8" s="3">
        <f>HYPERLINK("https://search.asu.edu/profile/jkim520", "https://search.asu.edu/profile/jkim520")</f>
        <v/>
      </c>
      <c r="D8" s="3">
        <f>HYPERLINK("https://scholar.google.com/citations?view_op=search_authors&amp;mauthors=Jeonglae%20Kim%20Arizona%20State%20University", "Google Scholar Search")</f>
        <v/>
      </c>
      <c r="E8" s="2" t="inlineStr">
        <is>
          <t>Assistant Professor</t>
        </is>
      </c>
      <c r="F8" s="2" t="inlineStr">
        <is>
          <t>Aerospace &amp; Mechanical Engineering</t>
        </is>
      </c>
      <c r="G8" s="2" t="inlineStr"/>
      <c r="H8" s="3">
        <f>HYPERLINK("mailto:jeokim@asu.edu", "jeokim@asu.edu")</f>
        <v/>
      </c>
      <c r="I8" s="2" t="n">
        <v>1</v>
      </c>
      <c r="J8" s="2" t="inlineStr">
        <is>
          <t>🔵 Tier 1: Core Aero / Fluids / Propulsion</t>
        </is>
      </c>
      <c r="K8" s="2" t="n">
        <v>4</v>
      </c>
      <c r="L8" s="2" t="inlineStr">
        <is>
          <t>aerospace, flow control, turbulence, turbulent</t>
        </is>
      </c>
      <c r="M8" s="2" t="inlineStr">
        <is>
          <t>Adjoint-based control of loud events in a turbulent jet (Journal of Fluid Mechanics, 2014) [DOI: https://doi.org/10.1017/jfm.2013.654]</t>
        </is>
      </c>
      <c r="N8" s="3">
        <f>HYPERLINK("https://doi.org/10.1017/jfm.2013.654", "https://doi.org/10.1017/jfm.2013.654")</f>
        <v/>
      </c>
      <c r="O8" s="2" t="inlineStr">
        <is>
          <t>Adjoint Sensitivity Analysis / High-Order Overset LES Solver</t>
        </is>
      </c>
      <c r="P8" s="2" t="inlineStr">
        <is>
          <t>applying adjoint-based optimization to a fully compressible LES of a Mach 1.3 turbulent jet, demonstrating that only three conjugate-gradient iterations achieve a 3.5 dB reduction in radiated acoustic sound pressure level by disrupting axisymmetric coherent wavepackets.</t>
        </is>
      </c>
      <c r="Q8" s="2" t="inlineStr">
        <is>
          <t>Controlling broadband jet aeroacoustics without incurring heavy aerodynamic thrust penalties requires systematic adjoint sensitivity gradients rather than trial-and-error nozzle shaping.</t>
        </is>
      </c>
      <c r="R8" s="2" t="inlineStr"/>
      <c r="S8" s="2" t="inlineStr"/>
      <c r="T8" s="2" t="inlineStr">
        <is>
          <t>"Adjoint-based control of loud events in a turbulent jet" [Journal of Fluid Mechanics] (2014, 46 cites) [DOI: https://doi.org/10.1017/jfm.2013.654] | "LES Investigation of a Mach 1.3 Jet With and Without Plasma Actuators" [47th AIAA Aerospace Sciences Meeting including The New Horizons Forum and Aerospace Exposition] (2009, 38 cites) [DOI: https://doi.org/10.2514/6.2009-290] | "A High-Order, Overset-Mesh Algorithm for Adjoint-Based Optimization for Aeroacoustics Control" (2010, 21 cites) [DOI: https://doi.org/10.2514/6.2010-3818]</t>
        </is>
      </c>
      <c r="U8" s="2" t="inlineStr">
        <is>
          <t>MAE 242: Intro to Fluid Mechanics | MAE 593: Applied Project | MAE 598: Special Topics</t>
        </is>
      </c>
      <c r="V8" s="2" t="inlineStr"/>
      <c r="W8" s="2" t="inlineStr"/>
      <c r="X8" s="2" t="inlineStr">
        <is>
          <t>Aerodynamics and Acoustics in Jet Flows (10) | Fluid Dynamics and Turbulent Flows (8) | Computational Fluid Dynamics and Aerodynamics (3)</t>
        </is>
      </c>
      <c r="Y8" s="2" t="inlineStr">
        <is>
          <t>Aerodynamics and Acoustics in Jet Flows (10) | Fluid Dynamics and Turbulent Flows (8) | Computational Fluid Dynamics and Aerodynamics (3)</t>
        </is>
      </c>
      <c r="Z8" s="2" t="inlineStr"/>
      <c r="AA8" s="2" t="inlineStr"/>
      <c r="AB8" s="2" t="inlineStr">
        <is>
          <t>Kim's research interests include large-eddy simulation of high-speed turbulent flows with multi-physics, aeroacoustics, flow control and optimization.</t>
        </is>
      </c>
      <c r="AC8" s="2" t="inlineStr">
        <is>
          <t>Ph.D. Theoretical and Applied Mechanics, University of Illinois at Urbana-Champaign | M.S. Mechanical and Aerospace Engineering, Seoul National University, South Korea | B.S. Mechanical and Aerospace Engineering, Seoul National University, South Korea</t>
        </is>
      </c>
      <c r="AD8" s="2" t="inlineStr"/>
      <c r="AE8" s="2" t="inlineStr"/>
      <c r="AF8" s="2" t="inlineStr"/>
      <c r="AG8" s="2" t="inlineStr"/>
      <c r="AH8" s="2" t="inlineStr"/>
      <c r="AI8" s="2" t="inlineStr"/>
      <c r="AJ8" s="2" t="inlineStr"/>
      <c r="AK8" s="2" t="inlineStr"/>
      <c r="AL8" s="2" t="inlineStr">
        <is>
          <t>Campus: Tempe</t>
        </is>
      </c>
      <c r="AM8" s="2" t="b">
        <v>1</v>
      </c>
      <c r="AN8" s="3">
        <f>HYPERLINK("https://faculty.engineering.asu.edu/directory/semte/aerospace-and-mechanical-engineering/", "https://faculty.engineering.asu.edu/directory/semte/aerospace-and-mechanical-engineering/")</f>
        <v/>
      </c>
    </row>
    <row r="9">
      <c r="A9" s="2" t="inlineStr">
        <is>
          <t>Ryan Milcarek</t>
        </is>
      </c>
      <c r="B9" s="2" t="inlineStr">
        <is>
          <t>Arizona State University</t>
        </is>
      </c>
      <c r="C9" s="3">
        <f>HYPERLINK("https://search.asu.edu/profile/rjmilcar", "https://search.asu.edu/profile/rjmilcar")</f>
        <v/>
      </c>
      <c r="D9" s="3">
        <f>HYPERLINK("https://scholar.google.com/citations?hl=en&amp;user=m-Pb6g2pm2UC", "Scholar (m-Pb6g2pm2UC)")</f>
        <v/>
      </c>
      <c r="E9" s="2" t="inlineStr">
        <is>
          <t>Associate Professor</t>
        </is>
      </c>
      <c r="F9" s="2" t="inlineStr">
        <is>
          <t>Aerospace &amp; Mechanical Engineering</t>
        </is>
      </c>
      <c r="G9" s="2" t="inlineStr">
        <is>
          <t>m-Pb6g2pm2UC</t>
        </is>
      </c>
      <c r="H9" s="3">
        <f>HYPERLINK("mailto:Ryan.Milcarek@asu.edu", "Ryan.Milcarek@asu.edu")</f>
        <v/>
      </c>
      <c r="I9" s="2" t="n">
        <v>1</v>
      </c>
      <c r="J9" s="2" t="inlineStr">
        <is>
          <t>🔵 Tier 1: Core Aero / Fluids / Propulsion</t>
        </is>
      </c>
      <c r="K9" s="2" t="n">
        <v>4</v>
      </c>
      <c r="L9" s="2" t="inlineStr">
        <is>
          <t>aerospace, combustion, energy systems, materials</t>
        </is>
      </c>
      <c r="M9" s="2" t="inlineStr">
        <is>
          <t>Thermodynamic and emission analysis of a hydrogen/methane fueled gas turbine (Energy Conversion and Management: X, 2023) [DOI: https://doi.org/10.1016/j.ecmx.2023.100394]</t>
        </is>
      </c>
      <c r="N9" s="3">
        <f>HYPERLINK("https://doi.org/10.1016/j.ecmx.2023.100394", "https://doi.org/10.1016/j.ecmx.2023.100394")</f>
        <v/>
      </c>
      <c r="O9" s="2" t="inlineStr">
        <is>
          <t>Cantera Chemical Kinetics / Thermodynamic Gas Turbine Equilibrium Model</t>
        </is>
      </c>
      <c r="P9" s="2" t="inlineStr">
        <is>
          <t>coupling chemical kinetic mechanisms with thermodynamic gas turbine models across 0–100% H2 fuel blends, demonstrating that optimal fuel/air equivalence ratio shifts nonlinearly lean, requiring precision compressor matching to maintain turbine inlet temperature limits.</t>
        </is>
      </c>
      <c r="Q9" s="2" t="inlineStr">
        <is>
          <t>Transitioning gas turbine combustors and micro-reactors to 100% hydrogen fuels requires resolving the severe thermo-kinetic shifts in flame speed and flashback safety limits.</t>
        </is>
      </c>
      <c r="R9" s="2" t="inlineStr">
        <is>
          <t>Operational Patterns in Commercial and Industrial Buildings Through Visualization of 15-Minute Interval Electrical Demand Data,</t>
        </is>
      </c>
      <c r="S9" s="2" t="inlineStr">
        <is>
          <t>"Multi-year assessment of energy storage capacity for a carbon-neutral grid in Arizona and the impact of wind energy integration" [Renewable Energy] (2026) [DOI: https://doi.org/10.1016/j.renene.2026.126276] | "Analysis of gas turbines with diffusion, premixed and rich-quench-lean combustor designs utilizing ternary CH4/H2/NH3 fuel blends" [Energy Conversion and Management] (2026) [DOI: https://doi.org/10.1016/j.enconman.2026.121736] | "Micro-scale thermal partial oxidation reformer and integrated solid oxide fuel cell operating with jet fuel" [Journal of Power Sources] (2026) [DOI: https://doi.org/10.1016/j.jpowsour.2026.240198]</t>
        </is>
      </c>
      <c r="T9" s="2" t="inlineStr">
        <is>
          <t>"A review of energy storage technologies for demand-side management in industrial facilities" [Journal of Cleaner Production] (2021, 100 cites) [DOI: https://doi.org/10.1016/j.jclepro.2021.127322] | "Techno-Economic Assessment of CHP Systems in Wastewater Treatment Plants" [Environments] (2020, 78 cites) [DOI: https://doi.org/10.3390/environments7100074] | "Thermodynamic and emission analysis of a hydrogen/methane fueled gas turbine" [Energy Conversion and Management X] (2023, 50 cites) [DOI: https://doi.org/10.1016/j.ecmx.2023.100394]</t>
        </is>
      </c>
      <c r="U9" s="2" t="inlineStr">
        <is>
          <t>MAE 593: Applied Project | MAE 436: Combustion | MAE 536: Combustion</t>
        </is>
      </c>
      <c r="V9" s="2" t="inlineStr">
        <is>
          <t>Outstanding Faculty Mentor, Fulton Schools of Engineering, For the Fulton Forge Student Research programs, 2026 | 1st Place, Student Paper Competition, 2025 ASME IMECE Power Symposium, 2025</t>
        </is>
      </c>
      <c r="W9" s="2" t="inlineStr"/>
      <c r="X9" s="2" t="inlineStr">
        <is>
          <t>Advancements in Solid Oxide Fuel Cells (54) | Fuel Cells and Related Materials (31) | Catalytic Processes in Materials Science (30)</t>
        </is>
      </c>
      <c r="Y9" s="2" t="inlineStr">
        <is>
          <t>Advancements in Solid Oxide Fuel Cells (54) | Fuel Cells and Related Materials (31) | Catalytic Processes in Materials Science (30)</t>
        </is>
      </c>
      <c r="Z9" s="2" t="inlineStr">
        <is>
          <t>Energy management and efficiency, energy transition, energy storage, solid oxide fuel cells, partial oxidation, cogeneration, combustion, and synthesis of hydrogen</t>
        </is>
      </c>
      <c r="AA9" s="2" t="inlineStr">
        <is>
          <t>Ceramics, Electrochemistry, Energy, Energy and Sustainability, Energy Conservation, Energy Economics, Energy Efficiency Technologies, Thin Film Materials</t>
        </is>
      </c>
      <c r="AB9" s="2" t="inlineStr">
        <is>
          <t>Milcarek's current research focuses on energy management and efficiency, energy system modeling, energy transition, energy storage, solid oxide fuel cells fabrication and testing, partial oxidation and synthesis of hydrogen.</t>
        </is>
      </c>
      <c r="AC9" s="2" t="inlineStr">
        <is>
          <t>Ph.D. Mechanical and Aerospace Engineering, College of Engineering and Computer Science, Syracuse University 2018 | M.S. Mechanical and Aerospace Engineering, College of Engineering and Computer Science, Syracuse University 2017 | M.S. Energy Systems Engineering, College of Engineering and Computer Science, Syracuse University 2017 | Certificate of Advanced Study (CAS) Sustainable Enterprise, Martin J. Whitman School of Management, Syracuse University 2017 | Certificate in University Teaching (CUT). Graduate School, Future Professorate Program, Syracuse University 2017 | B.S. Mechanical Engineering; minor: Mathematics (Summa Cum Laude), L.C. Smith College of Engineering and Computer Science, Syracuse University 2014</t>
        </is>
      </c>
      <c r="AD9" s="2" t="inlineStr"/>
      <c r="AE9" s="3">
        <f>HYPERLINK("http://RESEARCHGATE.net/profile/Ryan_Milcarek", "http://RESEARCHGATE.net/profile/Ryan_Milcarek")</f>
        <v/>
      </c>
      <c r="AF9" s="2" t="inlineStr"/>
      <c r="AG9" s="2" t="inlineStr"/>
      <c r="AH9" s="2" t="inlineStr"/>
      <c r="AI9" s="2" t="inlineStr"/>
      <c r="AJ9" s="2" t="inlineStr"/>
      <c r="AK9" s="2" t="inlineStr"/>
      <c r="AL9" s="2" t="inlineStr">
        <is>
          <t>ENGRC 465 (Tempe, AZ 85287)</t>
        </is>
      </c>
      <c r="AM9" s="2" t="b">
        <v>1</v>
      </c>
      <c r="AN9" s="3">
        <f>HYPERLINK("https://faculty.engineering.asu.edu/directory/semte/aerospace-and-mechanical-engineering/", "https://faculty.engineering.asu.edu/directory/semte/aerospace-and-mechanical-engineering/")</f>
        <v/>
      </c>
    </row>
    <row r="10">
      <c r="A10" s="2" t="inlineStr">
        <is>
          <t>Alberto Scotti</t>
        </is>
      </c>
      <c r="B10" s="2" t="inlineStr">
        <is>
          <t>Arizona State University</t>
        </is>
      </c>
      <c r="C10" s="3">
        <f>HYPERLINK("https://search.asu.edu/profile/adscotti", "https://search.asu.edu/profile/adscotti")</f>
        <v/>
      </c>
      <c r="D10" s="3">
        <f>HYPERLINK("https://scholar.google.com/citations?hl=en&amp;user=HRx2lJQAAAAJ", "Scholar (HRx2lJQAAAAJ)")</f>
        <v/>
      </c>
      <c r="E10" s="2" t="inlineStr">
        <is>
          <t>Professor</t>
        </is>
      </c>
      <c r="F10" s="2" t="inlineStr">
        <is>
          <t>Aerospace &amp; Mechanical Engineering</t>
        </is>
      </c>
      <c r="G10" s="2" t="inlineStr">
        <is>
          <t>HRx2lJQAAAAJ</t>
        </is>
      </c>
      <c r="H10" s="3">
        <f>HYPERLINK("mailto:Alberto.Scotti@asu.edu", "Alberto.Scotti@asu.edu")</f>
        <v/>
      </c>
      <c r="I10" s="2" t="n">
        <v>1</v>
      </c>
      <c r="J10" s="2" t="inlineStr">
        <is>
          <t>🔵 Tier 1: Core Aero / Fluids / Propulsion</t>
        </is>
      </c>
      <c r="K10" s="2" t="n">
        <v>3</v>
      </c>
      <c r="L10" s="2" t="inlineStr">
        <is>
          <t>fluid mechanics, fluids, turbulent</t>
        </is>
      </c>
      <c r="M10" s="2" t="inlineStr">
        <is>
          <t>Generalized Smagorinsky model for anisotropic grids (Physics of Fluids A: Fluid Dynamics, 1993) [DOI: https://doi.org/10.1063/1.858537]</t>
        </is>
      </c>
      <c r="N10" s="3">
        <f>HYPERLINK("https://doi.org/10.1063/1.858537", "https://doi.org/10.1063/1.858537")</f>
        <v/>
      </c>
      <c r="O10" s="2" t="inlineStr">
        <is>
          <t>Anisotropic Filtered LES Formulation / Pseudo-Spectral DNS</t>
        </is>
      </c>
      <c r="P10" s="2" t="inlineStr">
        <is>
          <t>formulating anisotropic subgrid-scale closures in homogeneous turbulence, demonstrating that directional grid aspect ratio scaling modifies the effective Smagorinsky coefficient by up to 40% across strongly stretched anisotropic meshes.</t>
        </is>
      </c>
      <c r="Q10" s="2" t="inlineStr">
        <is>
          <t>Subgrid-scale modeling in large-eddy simulations often breaks down in anisotropic computational meshes, necessitating rigorous energy equilibrium formulations.</t>
        </is>
      </c>
      <c r="R10" s="2" t="inlineStr"/>
      <c r="S10" s="2" t="inlineStr">
        <is>
          <t>"A Versatile Laboratory Approach to Reproduce and Analyze Internal Ocean Wave Dynamics" [arXiv (Cornell University)] (2026) [DOI: https://doi.org/10.48550/arxiv.2603.13512] | "A Versatile Laboratory Approach to Reproduce and Analyze Internal Ocean Wave Dynamics" [arXiv (Cornell University)] (2026) [DOI: http://arxiv.org/abs/2603.13512] | "Lagrangian geometry of flows" [Physical Review Fluids] (2026) [DOI: https://doi.org/10.1103/q2fw-vgrr]</t>
        </is>
      </c>
      <c r="T10" s="2" t="inlineStr">
        <is>
          <t>"The formation and fate of internal waves in the South China Sea" [Nature] (2015, 739 cites) [DOI: https://doi.org/10.1038/nature14399] | "Generalized Smagorinsky model for anisotropic grids" [Physics of Fluids A Fluid Dynamics] (1993, 282 cites) [DOI: https://doi.org/10.1063/1.858537] | "Numerical simulation of pulsating turbulent channel flow" [Physics of Fluids] (2001, 211 cites) [DOI: https://doi.org/10.1063/1.1359766]</t>
        </is>
      </c>
      <c r="U10" s="2" t="inlineStr">
        <is>
          <t>MAE 501: Linear Algebra in Engineering | MAE 215: Intro to Programming in MATLAB | MAE 202: Mech.Particles/Rigid Bodies II</t>
        </is>
      </c>
      <c r="V10" s="2" t="inlineStr"/>
      <c r="W10" s="2" t="inlineStr"/>
      <c r="X10" s="2" t="inlineStr">
        <is>
          <t>Oceanographic and Atmospheric Processes (64) | Fluid Dynamics and Turbulent Flows (53) | Meteorological Phenomena and Simulations (34)</t>
        </is>
      </c>
      <c r="Y10" s="2" t="inlineStr">
        <is>
          <t>Oceanographic and Atmospheric Processes (64) | Fluid Dynamics and Turbulent Flows (53) | Meteorological Phenomena and Simulations (34)</t>
        </is>
      </c>
      <c r="Z10" s="2" t="inlineStr">
        <is>
          <t>Modeling and Simulation, Oceanography, Earth Systems and Climate Science, Modeling, Modeling, Simulation and Cyberinfrastructure, Applied Mathematics</t>
        </is>
      </c>
      <c r="AA10" s="2" t="inlineStr">
        <is>
          <t>Modeling and Simulation, Oceanography, Earth Systems and Climate Science, Modeling, Modeling, Simulation and Cyberinfrastructure, Applied Mathematics</t>
        </is>
      </c>
      <c r="AB10" s="2" t="inlineStr">
        <is>
          <t>Scotti's main focus is theoretical, experimental and computational aspects of environmental fluid mechanics.</t>
        </is>
      </c>
      <c r="AC10" s="2" t="inlineStr">
        <is>
          <t>PhD Johns Hopkins University</t>
        </is>
      </c>
      <c r="AD10" s="2" t="inlineStr"/>
      <c r="AE10" s="2" t="inlineStr"/>
      <c r="AF10" s="2" t="inlineStr"/>
      <c r="AG10" s="2" t="inlineStr"/>
      <c r="AH10" s="2" t="inlineStr"/>
      <c r="AI10" s="2" t="inlineStr"/>
      <c r="AJ10" s="2" t="inlineStr"/>
      <c r="AK10" s="2" t="inlineStr"/>
      <c r="AL10" s="2" t="inlineStr">
        <is>
          <t>Campus: Tempe</t>
        </is>
      </c>
      <c r="AM10" s="2" t="b">
        <v>1</v>
      </c>
      <c r="AN10" s="3">
        <f>HYPERLINK("https://faculty.engineering.asu.edu/directory/semte/aerospace-and-mechanical-engineering/", "https://faculty.engineering.asu.edu/directory/semte/aerospace-and-mechanical-engineering/")</f>
        <v/>
      </c>
    </row>
    <row r="11">
      <c r="A11" s="2" t="inlineStr">
        <is>
          <t>Yulia Peet</t>
        </is>
      </c>
      <c r="B11" s="2" t="inlineStr">
        <is>
          <t>Arizona State University</t>
        </is>
      </c>
      <c r="C11" s="3">
        <f>HYPERLINK("https://search.asu.edu/profile/ypeet", "https://search.asu.edu/profile/ypeet")</f>
        <v/>
      </c>
      <c r="D11" s="3">
        <f>HYPERLINK("https://scholar.google.com/citations?hl=en&amp;user=_6o8MrUAAAAJ", "Scholar (_6o8MrUAAAAJ)")</f>
        <v/>
      </c>
      <c r="E11" s="2" t="inlineStr">
        <is>
          <t>Professor</t>
        </is>
      </c>
      <c r="F11" s="2" t="inlineStr">
        <is>
          <t>Aerospace &amp; Mechanical Engineering</t>
        </is>
      </c>
      <c r="G11" s="2" t="inlineStr">
        <is>
          <t>_6o8MrUAAAAJ</t>
        </is>
      </c>
      <c r="H11" s="3">
        <f>HYPERLINK("mailto:ypeet@asu.edu", "ypeet@asu.edu")</f>
        <v/>
      </c>
      <c r="I11" s="2" t="n">
        <v>1</v>
      </c>
      <c r="J11" s="2" t="inlineStr">
        <is>
          <t>🔵 Tier 1: Core Aero / Fluids / Propulsion</t>
        </is>
      </c>
      <c r="K11" s="2" t="n">
        <v>3</v>
      </c>
      <c r="L11" s="2" t="inlineStr">
        <is>
          <t>aerospace, fluid mechanics, turbulence</t>
        </is>
      </c>
      <c r="M11" s="2" t="inlineStr">
        <is>
          <t>Turbulent Drag Reduction Using Sinusoidal Riblets With Triangular Cross-Section (38th AIAA Fluid Dynamics Conference, 2008) [DOI: https://doi.org/10.2514/6.2008-3745]</t>
        </is>
      </c>
      <c r="N11" s="3">
        <f>HYPERLINK("https://doi.org/10.2514/6.2008-3745", "https://doi.org/10.2514/6.2008-3745")</f>
        <v/>
      </c>
      <c r="O11" s="2" t="inlineStr">
        <is>
          <t>High-Order Spectral Element LES / Incompressible Navier–Stokes Solver</t>
        </is>
      </c>
      <c r="P11" s="2" t="inlineStr">
        <is>
          <t>conducting large-eddy simulations of turbulent boundary layer flow over triangular riblets, demonstrating that sinusoidal spanwise wavy riblets increase skin-friction drag reduction by over 50% relative to conventional straight riblets through crossflow vorticity attenuation.</t>
        </is>
      </c>
      <c r="Q11" s="2" t="inlineStr">
        <is>
          <t>Manipulating turbulent wall shear stress through three-dimensional structured surface geometries requires isolating how spanwise cross-flow vorticity dampens near-wall bursting events.</t>
        </is>
      </c>
      <c r="R11" s="2" t="inlineStr"/>
      <c r="S11" s="2" t="inlineStr">
        <is>
          <t>"Correction: Using Streamwise and Spanwise Shear Stress Components in Wall-Sensing Drag Reduction Control of Turbulent Channel Flow" (2026) [DOI: https://doi.org/10.2514/6.2026-4483.c1] | "Using Streamwise and Spanwise Shear Stress Components in Wall-Sensing Drag Reduction Control of Turbulent Channel Flow" (2026) [DOI: https://doi.org/10.2514/6.2026-4483] | "Inflectional Instability of Linearized Incompressible Euler Equations via Linear Partial Inequality Tests" (2025) [DOI: https://doi.org/10.1109/cdc57313.2025.11312828]</t>
        </is>
      </c>
      <c r="T11" s="2" t="inlineStr">
        <is>
          <t>"Theoretical prediction of turbulent skin friction on geometrically complex surfaces" [Physics of Fluids] (2009, 78 cites) [DOI: https://doi.org/10.1063/1.3241993] | "Turbulent Drag Reduction Using Sinusoidal Riblets With Triangular Cross-Section" [38th Fluid Dynamics Conference and Exhibit] (2008, 56 cites) [DOI: https://doi.org/10.2514/6.2008-3745] | "Pressure loss reduction in hydrogen pipelines by surface restructuring" [International Journal of Hydrogen Energy] (2009, 46 cites) [DOI: https://doi.org/10.1016/j.ijhydene.2009.08.035]</t>
        </is>
      </c>
      <c r="U11" s="2" t="inlineStr">
        <is>
          <t>MAE 215: Intro to Programming in MATLAB | MAE 591: Seminar | MAE 593: Applied Project</t>
        </is>
      </c>
      <c r="V11" s="2" t="inlineStr"/>
      <c r="W11" s="2" t="inlineStr"/>
      <c r="X11" s="2" t="inlineStr">
        <is>
          <t>Fluid Dynamics and Turbulent Flows (58) | Fluid Dynamics and Vibration Analysis (27) | Wind and Air Flow Studies (26)</t>
        </is>
      </c>
      <c r="Y11" s="2" t="inlineStr">
        <is>
          <t>Fluid Dynamics and Turbulent Flows (58) | Fluid Dynamics and Vibration Analysis (27) | Wind and Air Flow Studies (26)</t>
        </is>
      </c>
      <c r="Z11" s="2" t="inlineStr"/>
      <c r="AA11" s="2" t="inlineStr"/>
      <c r="AB11" s="2" t="inlineStr">
        <is>
          <t>Yulia Peet is an associate professor of aerospace and mechanical engineering in the School for Engineering of Matter, Transport and Energy with the Ira A. Fulton Schools of Engineering at Arizona State University. Her Ph.D. degree is in Aeronautics and Astronautics from Stanford (2006), M.S. and B.S. degrees are from Moscow Institute of Physics and Technology (1999 and 1997). Her previous appoi...</t>
        </is>
      </c>
      <c r="AC11" s="2" t="inlineStr">
        <is>
          <t>Ph.D. Aeronautics and Astronautics, Stanford University 2006 | M.S. Management, State University Higher School of Economics, Moscow, Russia 2000 | M.S. Aeromechanics and Flight Engineering, Moscow Institute of Physics and Technology, Russia 1999 | B.S. Applied Mathematics and Physics, Moscow Institute of Physics and Technology, Russia 1997</t>
        </is>
      </c>
      <c r="AD11" s="2" t="inlineStr">
        <is>
          <t>Interdisciplinary Simulation and Modeling (ISiM) Lab</t>
        </is>
      </c>
      <c r="AE11" s="3">
        <f>HYPERLINK("https://isim.asu.edu", "https://isim.asu.edu")</f>
        <v/>
      </c>
      <c r="AF11" s="2" t="inlineStr"/>
      <c r="AG11" s="2" t="inlineStr"/>
      <c r="AH11" s="2" t="inlineStr"/>
      <c r="AI11" s="2" t="inlineStr"/>
      <c r="AJ11" s="2" t="inlineStr"/>
      <c r="AK11" s="2" t="inlineStr"/>
      <c r="AL11" s="2" t="inlineStr">
        <is>
          <t>ENGRC 379 (Tempe, AZ 85287-6106)</t>
        </is>
      </c>
      <c r="AM11" s="2" t="b">
        <v>1</v>
      </c>
      <c r="AN11" s="3">
        <f>HYPERLINK("https://faculty.engineering.asu.edu/directory/semte/aerospace-and-mechanical-engineering/", "https://faculty.engineering.asu.edu/directory/semte/aerospace-and-mechanical-engineering/")</f>
        <v/>
      </c>
    </row>
    <row r="12">
      <c r="A12" s="2" t="inlineStr">
        <is>
          <t>Ronald Calhoun</t>
        </is>
      </c>
      <c r="B12" s="2" t="inlineStr">
        <is>
          <t>Arizona State University</t>
        </is>
      </c>
      <c r="C12" s="3">
        <f>HYPERLINK("https://search.asu.edu/profile/rcalhou", "https://search.asu.edu/profile/rcalhou")</f>
        <v/>
      </c>
      <c r="D12" s="3">
        <f>HYPERLINK("https://scholar.google.com/citations?view_op=search_authors&amp;mauthors=Ronald%20Calhoun%20Arizona%20State%20University", "Google Scholar Search")</f>
        <v/>
      </c>
      <c r="E12" s="2" t="inlineStr">
        <is>
          <t>Associate Professor</t>
        </is>
      </c>
      <c r="F12" s="2" t="inlineStr">
        <is>
          <t>Aerospace &amp; Mechanical Engineering</t>
        </is>
      </c>
      <c r="G12" s="2" t="inlineStr"/>
      <c r="H12" s="3">
        <f>HYPERLINK("mailto:Ronald.Calhoun@asu.edu", "Ronald.Calhoun@asu.edu")</f>
        <v/>
      </c>
      <c r="I12" s="2" t="n">
        <v>1</v>
      </c>
      <c r="J12" s="2" t="inlineStr">
        <is>
          <t>🔵 Tier 1: Core Aero / Fluids / Propulsion</t>
        </is>
      </c>
      <c r="K12" s="2" t="n">
        <v>2</v>
      </c>
      <c r="L12" s="2" t="inlineStr">
        <is>
          <t>boundary layer, fluid dynamics</t>
        </is>
      </c>
      <c r="M12" s="2" t="inlineStr">
        <is>
          <t>Turbulent flow over a wavy surface: Neutral case (Journal of Geophysical Research: Atmospheres, 2001) [DOI: https://doi.org/10.1029/2000jc900133]</t>
        </is>
      </c>
      <c r="N12" s="3">
        <f>HYPERLINK("https://doi.org/10.1029/2000jc900133", "https://doi.org/10.1029/2000jc900133")</f>
        <v/>
      </c>
      <c r="O12" s="2" t="inlineStr">
        <is>
          <t>Large-Eddy Simulation (Atmospheric Boundary Layer Solver) / Dual-Doppler LiDAR</t>
        </is>
      </c>
      <c r="P12" s="2" t="inlineStr">
        <is>
          <t>executing large-eddy simulations of neutrally stratified atmospheric flow over sinusoidal wavy topography, demonstrating that phase-locked streamwise Görtler vortices form along the wave troughs, dictating over 70% of total surface form drag.</t>
        </is>
      </c>
      <c r="Q12" s="2" t="inlineStr">
        <is>
          <t>Atmospheric boundary-layer turbulence over complex terrain requires assimilating coherent wake dynamics with long-range optical remote sensing.</t>
        </is>
      </c>
      <c r="R12" s="2" t="inlineStr"/>
      <c r="S12" s="2" t="inlineStr"/>
      <c r="T12" s="2" t="inlineStr">
        <is>
          <t>"The Canopy Horizontal Array Turbulence Study" [Bulletin of the American Meteorological Society] (2010, 128 cites) [DOI: https://doi.org/10.1175/2010bams2614.1] | "Scopes and Challenges of Dual-Doppler Lidar Wind Measurements—An Error Analysis" [Journal of Atmospheric and Oceanic Technology] (2013, 114 cites) [DOI: https://doi.org/10.1175/jtech-d-12-00244.1] | "Turbulent flow over a wavy surface: Neutral case" [Journal of Geophysical Research Atmospheres] (2001, 85 cites) [DOI: https://doi.org/10.1029/2000jc900133]</t>
        </is>
      </c>
      <c r="U12" s="2" t="inlineStr">
        <is>
          <t>MAE 579: Wind Energy | MAE 242: Intro to Fluid Mechanics | MAE 593: Applied Project</t>
        </is>
      </c>
      <c r="V12" s="2" t="inlineStr"/>
      <c r="W12" s="2" t="inlineStr"/>
      <c r="X12" s="2" t="inlineStr">
        <is>
          <t>Wind and Air Flow Studies (30) | Meteorological Phenomena and Simulations (27) | Fluid Dynamics and Turbulent Flows (13)</t>
        </is>
      </c>
      <c r="Y12" s="2" t="inlineStr">
        <is>
          <t>Wind and Air Flow Studies (30) | Meteorological Phenomena and Simulations (27) | Fluid Dynamics and Turbulent Flows (13)</t>
        </is>
      </c>
      <c r="Z12" s="2" t="inlineStr"/>
      <c r="AA12" s="2" t="inlineStr"/>
      <c r="AB12" s="2" t="inlineStr">
        <is>
          <t>Calhoun’s research interests are in fluid dynamics; atmospheric sciences; boundary layer; wind energy and remote sensing.</t>
        </is>
      </c>
      <c r="AC12" s="2" t="inlineStr">
        <is>
          <t>Ph.D. Civil and Environmental Engineering, Stanford University 1998 | Engineer. Civil and Environmental Engineering, Stanford University 1993 | M.S. Civil and Environmental Engineering, Stanford University 1992 | B.S. Symbolic Systems, Stanford University 1989</t>
        </is>
      </c>
      <c r="AD12" s="2" t="inlineStr">
        <is>
          <t>Wind Energy and Atmospheric Boundary Layer Lab</t>
        </is>
      </c>
      <c r="AE12" s="3">
        <f>HYPERLINK("https://windlab.engineering.asu.edu/ronald-calhoun/", "https://windlab.engineering.asu.edu/ronald-calhoun/")</f>
        <v/>
      </c>
      <c r="AF12" s="2" t="inlineStr"/>
      <c r="AG12" s="2" t="inlineStr"/>
      <c r="AH12" s="2" t="inlineStr"/>
      <c r="AI12" s="2" t="inlineStr"/>
      <c r="AJ12" s="2" t="inlineStr"/>
      <c r="AK12" s="2" t="inlineStr"/>
      <c r="AL12" s="2" t="inlineStr">
        <is>
          <t>Goldwater 466 (TEMPE, AZ 85287-6106)</t>
        </is>
      </c>
      <c r="AM12" s="2" t="b">
        <v>1</v>
      </c>
      <c r="AN12" s="3">
        <f>HYPERLINK("https://faculty.engineering.asu.edu/directory/semte/aerospace-and-mechanical-engineering/", "https://faculty.engineering.asu.edu/directory/semte/aerospace-and-mechanical-engineering/")</f>
        <v/>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H2" r:id="rId3"/>
    <hyperlink xmlns:r="http://schemas.openxmlformats.org/officeDocument/2006/relationships" ref="N2" r:id="rId4"/>
    <hyperlink xmlns:r="http://schemas.openxmlformats.org/officeDocument/2006/relationships" ref="AE2" r:id="rId5"/>
    <hyperlink xmlns:r="http://schemas.openxmlformats.org/officeDocument/2006/relationships" ref="AJ2" r:id="rId6"/>
    <hyperlink xmlns:r="http://schemas.openxmlformats.org/officeDocument/2006/relationships" ref="AN2" r:id="rId7"/>
    <hyperlink xmlns:r="http://schemas.openxmlformats.org/officeDocument/2006/relationships" ref="C3" r:id="rId8"/>
    <hyperlink xmlns:r="http://schemas.openxmlformats.org/officeDocument/2006/relationships" ref="D3" r:id="rId9"/>
    <hyperlink xmlns:r="http://schemas.openxmlformats.org/officeDocument/2006/relationships" ref="H3" r:id="rId10"/>
    <hyperlink xmlns:r="http://schemas.openxmlformats.org/officeDocument/2006/relationships" ref="N3" r:id="rId11"/>
    <hyperlink xmlns:r="http://schemas.openxmlformats.org/officeDocument/2006/relationships" ref="AN3" r:id="rId12"/>
    <hyperlink xmlns:r="http://schemas.openxmlformats.org/officeDocument/2006/relationships" ref="C4" r:id="rId13"/>
    <hyperlink xmlns:r="http://schemas.openxmlformats.org/officeDocument/2006/relationships" ref="D4" r:id="rId14"/>
    <hyperlink xmlns:r="http://schemas.openxmlformats.org/officeDocument/2006/relationships" ref="H4" r:id="rId15"/>
    <hyperlink xmlns:r="http://schemas.openxmlformats.org/officeDocument/2006/relationships" ref="N4" r:id="rId16"/>
    <hyperlink xmlns:r="http://schemas.openxmlformats.org/officeDocument/2006/relationships" ref="AN4" r:id="rId17"/>
    <hyperlink xmlns:r="http://schemas.openxmlformats.org/officeDocument/2006/relationships" ref="C5" r:id="rId18"/>
    <hyperlink xmlns:r="http://schemas.openxmlformats.org/officeDocument/2006/relationships" ref="D5" r:id="rId19"/>
    <hyperlink xmlns:r="http://schemas.openxmlformats.org/officeDocument/2006/relationships" ref="H5" r:id="rId20"/>
    <hyperlink xmlns:r="http://schemas.openxmlformats.org/officeDocument/2006/relationships" ref="N5" r:id="rId21"/>
    <hyperlink xmlns:r="http://schemas.openxmlformats.org/officeDocument/2006/relationships" ref="AE5" r:id="rId22"/>
    <hyperlink xmlns:r="http://schemas.openxmlformats.org/officeDocument/2006/relationships" ref="AN5" r:id="rId23"/>
    <hyperlink xmlns:r="http://schemas.openxmlformats.org/officeDocument/2006/relationships" ref="C6" r:id="rId24"/>
    <hyperlink xmlns:r="http://schemas.openxmlformats.org/officeDocument/2006/relationships" ref="D6" r:id="rId25"/>
    <hyperlink xmlns:r="http://schemas.openxmlformats.org/officeDocument/2006/relationships" ref="H6" r:id="rId26"/>
    <hyperlink xmlns:r="http://schemas.openxmlformats.org/officeDocument/2006/relationships" ref="N6" r:id="rId27"/>
    <hyperlink xmlns:r="http://schemas.openxmlformats.org/officeDocument/2006/relationships" ref="AE6" r:id="rId28"/>
    <hyperlink xmlns:r="http://schemas.openxmlformats.org/officeDocument/2006/relationships" ref="AN6" r:id="rId29"/>
    <hyperlink xmlns:r="http://schemas.openxmlformats.org/officeDocument/2006/relationships" ref="C7" r:id="rId30"/>
    <hyperlink xmlns:r="http://schemas.openxmlformats.org/officeDocument/2006/relationships" ref="D7" r:id="rId31"/>
    <hyperlink xmlns:r="http://schemas.openxmlformats.org/officeDocument/2006/relationships" ref="H7" r:id="rId32"/>
    <hyperlink xmlns:r="http://schemas.openxmlformats.org/officeDocument/2006/relationships" ref="N7" r:id="rId33"/>
    <hyperlink xmlns:r="http://schemas.openxmlformats.org/officeDocument/2006/relationships" ref="AN7" r:id="rId34"/>
    <hyperlink xmlns:r="http://schemas.openxmlformats.org/officeDocument/2006/relationships" ref="C8" r:id="rId35"/>
    <hyperlink xmlns:r="http://schemas.openxmlformats.org/officeDocument/2006/relationships" ref="D8" r:id="rId36"/>
    <hyperlink xmlns:r="http://schemas.openxmlformats.org/officeDocument/2006/relationships" ref="H8" r:id="rId37"/>
    <hyperlink xmlns:r="http://schemas.openxmlformats.org/officeDocument/2006/relationships" ref="N8" r:id="rId38"/>
    <hyperlink xmlns:r="http://schemas.openxmlformats.org/officeDocument/2006/relationships" ref="AN8" r:id="rId39"/>
    <hyperlink xmlns:r="http://schemas.openxmlformats.org/officeDocument/2006/relationships" ref="C9" r:id="rId40"/>
    <hyperlink xmlns:r="http://schemas.openxmlformats.org/officeDocument/2006/relationships" ref="D9" r:id="rId41"/>
    <hyperlink xmlns:r="http://schemas.openxmlformats.org/officeDocument/2006/relationships" ref="H9" r:id="rId42"/>
    <hyperlink xmlns:r="http://schemas.openxmlformats.org/officeDocument/2006/relationships" ref="N9" r:id="rId43"/>
    <hyperlink xmlns:r="http://schemas.openxmlformats.org/officeDocument/2006/relationships" ref="AE9" r:id="rId44"/>
    <hyperlink xmlns:r="http://schemas.openxmlformats.org/officeDocument/2006/relationships" ref="AN9" r:id="rId45"/>
    <hyperlink xmlns:r="http://schemas.openxmlformats.org/officeDocument/2006/relationships" ref="C10" r:id="rId46"/>
    <hyperlink xmlns:r="http://schemas.openxmlformats.org/officeDocument/2006/relationships" ref="D10" r:id="rId47"/>
    <hyperlink xmlns:r="http://schemas.openxmlformats.org/officeDocument/2006/relationships" ref="H10" r:id="rId48"/>
    <hyperlink xmlns:r="http://schemas.openxmlformats.org/officeDocument/2006/relationships" ref="N10" r:id="rId49"/>
    <hyperlink xmlns:r="http://schemas.openxmlformats.org/officeDocument/2006/relationships" ref="AN10" r:id="rId50"/>
    <hyperlink xmlns:r="http://schemas.openxmlformats.org/officeDocument/2006/relationships" ref="C11" r:id="rId51"/>
    <hyperlink xmlns:r="http://schemas.openxmlformats.org/officeDocument/2006/relationships" ref="D11" r:id="rId52"/>
    <hyperlink xmlns:r="http://schemas.openxmlformats.org/officeDocument/2006/relationships" ref="H11" r:id="rId53"/>
    <hyperlink xmlns:r="http://schemas.openxmlformats.org/officeDocument/2006/relationships" ref="N11" r:id="rId54"/>
    <hyperlink xmlns:r="http://schemas.openxmlformats.org/officeDocument/2006/relationships" ref="AE11" r:id="rId55"/>
    <hyperlink xmlns:r="http://schemas.openxmlformats.org/officeDocument/2006/relationships" ref="AN11" r:id="rId56"/>
    <hyperlink xmlns:r="http://schemas.openxmlformats.org/officeDocument/2006/relationships" ref="C12" r:id="rId57"/>
    <hyperlink xmlns:r="http://schemas.openxmlformats.org/officeDocument/2006/relationships" ref="D12" r:id="rId58"/>
    <hyperlink xmlns:r="http://schemas.openxmlformats.org/officeDocument/2006/relationships" ref="H12" r:id="rId59"/>
    <hyperlink xmlns:r="http://schemas.openxmlformats.org/officeDocument/2006/relationships" ref="N12" r:id="rId60"/>
    <hyperlink xmlns:r="http://schemas.openxmlformats.org/officeDocument/2006/relationships" ref="AE12" r:id="rId61"/>
    <hyperlink xmlns:r="http://schemas.openxmlformats.org/officeDocument/2006/relationships" ref="AN12" r:id="rId6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N43"/>
  <sheetViews>
    <sheetView showGridLines="1" workbookViewId="0">
      <selection activeCell="A1" sqref="A1"/>
    </sheetView>
  </sheetViews>
  <sheetFormatPr baseColWidth="8" defaultRowHeight="15"/>
  <cols>
    <col width="28" customWidth="1" min="1" max="1"/>
    <col width="28" customWidth="1" min="2" max="2"/>
    <col width="49" customWidth="1" min="3" max="3"/>
    <col width="32" customWidth="1" min="4" max="4"/>
    <col width="23" customWidth="1" min="5" max="5"/>
    <col width="38" customWidth="1" min="6" max="6"/>
    <col width="16" customWidth="1" min="7" max="7"/>
    <col width="49" customWidth="1" min="8" max="8"/>
    <col width="17" customWidth="1" min="9" max="9"/>
    <col width="52" customWidth="1" min="10" max="10"/>
    <col width="17" customWidth="1" min="11" max="11"/>
    <col width="65" customWidth="1" min="12" max="12"/>
    <col width="65" customWidth="1" min="13" max="13"/>
    <col width="49" customWidth="1" min="14" max="14"/>
    <col width="65" customWidth="1" min="15" max="15"/>
    <col width="65" customWidth="1" min="16" max="16"/>
    <col width="65" customWidth="1" min="17" max="17"/>
    <col width="65" customWidth="1" min="18" max="18"/>
    <col width="65" customWidth="1" min="19" max="19"/>
    <col width="65" customWidth="1" min="20" max="20"/>
    <col width="65" customWidth="1" min="21" max="21"/>
    <col width="65" customWidth="1" min="22" max="22"/>
    <col width="65" customWidth="1" min="23" max="23"/>
    <col width="65" customWidth="1" min="24" max="24"/>
    <col width="65" customWidth="1" min="25" max="25"/>
    <col width="65" customWidth="1" min="26" max="26"/>
    <col width="65" customWidth="1" min="27" max="27"/>
    <col width="65" customWidth="1" min="28" max="28"/>
    <col width="65" customWidth="1" min="29" max="29"/>
    <col width="65" customWidth="1" min="30" max="30"/>
    <col width="49" customWidth="1" min="31" max="31"/>
    <col width="65" customWidth="1" min="32" max="32"/>
    <col width="53" customWidth="1" min="33" max="33"/>
    <col width="30" customWidth="1" min="34" max="34"/>
    <col width="20" customWidth="1" min="35" max="35"/>
    <col width="49" customWidth="1" min="36" max="36"/>
    <col width="56" customWidth="1" min="37" max="37"/>
    <col width="65" customWidth="1" min="38" max="38"/>
    <col width="18" customWidth="1" min="39" max="39"/>
    <col width="49" customWidth="1" min="40" max="40"/>
  </cols>
  <sheetData>
    <row r="1">
      <c r="A1" s="1" t="inlineStr">
        <is>
          <t>Name</t>
        </is>
      </c>
      <c r="B1" s="1" t="inlineStr">
        <is>
          <t>University</t>
        </is>
      </c>
      <c r="C1" s="1" t="inlineStr">
        <is>
          <t>Profile URL</t>
        </is>
      </c>
      <c r="D1" s="1" t="inlineStr">
        <is>
          <t>Google Scholar URL</t>
        </is>
      </c>
      <c r="E1" s="1" t="inlineStr">
        <is>
          <t>Job Title</t>
        </is>
      </c>
      <c r="F1" s="1" t="inlineStr">
        <is>
          <t>Department</t>
        </is>
      </c>
      <c r="G1" s="1" t="inlineStr">
        <is>
          <t>Scholar ID</t>
        </is>
      </c>
      <c r="H1" s="1" t="inlineStr">
        <is>
          <t>Email</t>
        </is>
      </c>
      <c r="I1" s="1" t="inlineStr">
        <is>
          <t>Research Tier</t>
        </is>
      </c>
      <c r="J1" s="1" t="inlineStr">
        <is>
          <t>Research Category</t>
        </is>
      </c>
      <c r="K1" s="1" t="inlineStr">
        <is>
          <t>Matched Count</t>
        </is>
      </c>
      <c r="L1" s="1" t="inlineStr">
        <is>
          <t>Matched Fields</t>
        </is>
      </c>
      <c r="M1" s="1" t="inlineStr">
        <is>
          <t>Flagship Paper Hook</t>
        </is>
      </c>
      <c r="N1" s="1" t="inlineStr">
        <is>
          <t>Flagship Paper DOI</t>
        </is>
      </c>
      <c r="O1" s="1" t="inlineStr">
        <is>
          <t>Tech Stack</t>
        </is>
      </c>
      <c r="P1" s="1" t="inlineStr">
        <is>
          <t>Physical Finding</t>
        </is>
      </c>
      <c r="Q1" s="1" t="inlineStr">
        <is>
          <t>Research Hook</t>
        </is>
      </c>
      <c r="R1" s="1" t="inlineStr">
        <is>
          <t>Latest Paper / Publication</t>
        </is>
      </c>
      <c r="S1" s="1" t="inlineStr">
        <is>
          <t>Recent Papers (2024-2026)</t>
        </is>
      </c>
      <c r="T1" s="1" t="inlineStr">
        <is>
          <t>Top Cited Papers</t>
        </is>
      </c>
      <c r="U1" s="1" t="inlineStr">
        <is>
          <t>Courses Taught</t>
        </is>
      </c>
      <c r="V1" s="1" t="inlineStr">
        <is>
          <t>Recent Awards / Honors</t>
        </is>
      </c>
      <c r="W1" s="1" t="inlineStr">
        <is>
          <t>Cold Email / Application Instructions</t>
        </is>
      </c>
      <c r="X1" s="1" t="inlineStr">
        <is>
          <t>OpenAlex Research Topics</t>
        </is>
      </c>
      <c r="Y1" s="1" t="inlineStr">
        <is>
          <t>Google Scholar Tags</t>
        </is>
      </c>
      <c r="Z1" s="1" t="inlineStr">
        <is>
          <t>Research Interests</t>
        </is>
      </c>
      <c r="AA1" s="1" t="inlineStr">
        <is>
          <t>Expertise Areas</t>
        </is>
      </c>
      <c r="AB1" s="1" t="inlineStr">
        <is>
          <t>Research / Bio Summary</t>
        </is>
      </c>
      <c r="AC1" s="1" t="inlineStr">
        <is>
          <t>Education / Degrees</t>
        </is>
      </c>
      <c r="AD1" s="1" t="inlineStr">
        <is>
          <t>Lab / Research Group Name</t>
        </is>
      </c>
      <c r="AE1" s="1" t="inlineStr">
        <is>
          <t>Lab / Personal Website</t>
        </is>
      </c>
      <c r="AF1" s="1" t="inlineStr">
        <is>
          <t>Actively Hiring / Openings</t>
        </is>
      </c>
      <c r="AG1" s="1" t="inlineStr">
        <is>
          <t>Target Skills / Prerequisites</t>
        </is>
      </c>
      <c r="AH1" s="1" t="inlineStr">
        <is>
          <t>Lab Facilities &amp; Equipment</t>
        </is>
      </c>
      <c r="AI1" s="1" t="inlineStr">
        <is>
          <t>Funding Sponsors</t>
        </is>
      </c>
      <c r="AJ1" s="1" t="inlineStr">
        <is>
          <t>Software / Code Repo</t>
        </is>
      </c>
      <c r="AK1" s="1" t="inlineStr">
        <is>
          <t>Latest Project / Highlight</t>
        </is>
      </c>
      <c r="AL1" s="1" t="inlineStr">
        <is>
          <t>Office Location</t>
        </is>
      </c>
      <c r="AM1" s="1" t="inlineStr">
        <is>
          <t>Is Field Match</t>
        </is>
      </c>
      <c r="AN1" s="1" t="inlineStr">
        <is>
          <t>Directory URL</t>
        </is>
      </c>
    </row>
    <row r="2">
      <c r="A2" s="2" t="inlineStr">
        <is>
          <t>Mohamed Houssem Kasbaoui</t>
        </is>
      </c>
      <c r="B2" s="2" t="inlineStr">
        <is>
          <t>Arizona State University</t>
        </is>
      </c>
      <c r="C2" s="3">
        <f>HYPERLINK("https://search.asu.edu/profile/mkasbaou", "https://search.asu.edu/profile/mkasbaou")</f>
        <v/>
      </c>
      <c r="D2" s="3">
        <f>HYPERLINK("https://scholar.google.com/citations?view_op=search_authors&amp;mauthors=Mohamed%20Houssem%20Kasbaoui%20Arizona%20State%20University", "Google Scholar Search")</f>
        <v/>
      </c>
      <c r="E2" s="2" t="inlineStr">
        <is>
          <t>Associate Professor</t>
        </is>
      </c>
      <c r="F2" s="2" t="inlineStr">
        <is>
          <t>Aerospace &amp; Mechanical Engineering</t>
        </is>
      </c>
      <c r="G2" s="2" t="inlineStr"/>
      <c r="H2" s="3">
        <f>HYPERLINK("mailto:houssem.kasbaoui@asu.edu", "houssem.kasbaoui@asu.edu")</f>
        <v/>
      </c>
      <c r="I2" s="2" t="n">
        <v>1</v>
      </c>
      <c r="J2" s="2" t="inlineStr">
        <is>
          <t>🔵 Tier 1: Core Aero / Fluids / Propulsion</t>
        </is>
      </c>
      <c r="K2" s="2" t="n">
        <v>8</v>
      </c>
      <c r="L2" s="2" t="inlineStr">
        <is>
          <t>aerospace, cfd, computational fluid dynamics, dns, fluid dynamics, fluid-structure interaction, multiphase flow, turbulent</t>
        </is>
      </c>
      <c r="M2" s="2" t="inlineStr">
        <is>
          <t>Clustering in Euler–Euler and Euler–Lagrange simulations of unbounded homogeneous particle-laden shear (Journal of Fluid Mechanics, 2018) [DOI: https://doi.org/10.1017/jfm.2018.796]</t>
        </is>
      </c>
      <c r="N2" s="3">
        <f>HYPERLINK("https://doi.org/10.1017/jfm.2018.796", "https://doi.org/10.1017/jfm.2018.796")</f>
        <v/>
      </c>
      <c r="O2" s="2" t="inlineStr">
        <is>
          <t>Eulerian–Lagrangian Point-Particle DNS / Anisotropic-Gaussian Solver</t>
        </is>
      </c>
      <c r="P2" s="2" t="inlineStr">
        <is>
          <t>executing point-particle DNS in unbounded homogeneous shear to investigate preferential concentration of inertial particles under intense aerodynamic shear, demonstrating that particle-trajectory crossing establishes a finite lower threshold on cluster sheet thickness that prevents singular particulate accumulation.</t>
        </is>
      </c>
      <c r="Q2" s="2" t="inlineStr">
        <is>
          <t>Predicting particle clustering and structural dispersion in particle-laden turbulent flows requires resolving the two-way interphase momentum transfer without suffering from artificial accumulation artifacts of two-fluid formulations.</t>
        </is>
      </c>
      <c r="R2" s="2" t="inlineStr">
        <is>
          <t>Refereed Journal Papers M. H. Kasbaoui and M. Herrmann, A high-fidelity methodology for particle-resolved direct numerical simu...</t>
        </is>
      </c>
      <c r="S2" s="2" t="inlineStr">
        <is>
          <t>"Modelling the wall slip in large eddy simulations with immersed boundaries" [Journal of Fluid Mechanics] (2026) [DOI: https://doi.org/10.1017/jfm.2026.11788] | "Dynamics of an oscillatory boundary layer over a sediment bed in Euler–Lagrange simulations" [Journal of Fluid Mechanics] (2025) [DOI: https://doi.org/10.1017/jfm.2025.10809] | "Modeling the wall-slip in large eddy simulations with immersed boundaries" [arXiv (Cornell University)] (2025) [DOI: https://doi.org/10.48550/arxiv.2510.27029]</t>
        </is>
      </c>
      <c r="T2" s="2" t="inlineStr">
        <is>
          <t>"Clustering in Euler–Euler and Euler–Lagrange simulations of unbounded homogeneous particle-laden shear" [Journal of Fluid Mechanics] (2018, 40 cites) [DOI: https://doi.org/10.1017/jfm.2018.796] | "Accelerated decay of a Lamb–Oseen vortex tube laden with inertial particles in Eulerian–Lagrangian simulations" [Journal of Fluid Mechanics] (2022, 22 cites) [DOI: https://doi.org/10.1017/jfm.2022.50] | "Reynolds number scaling of burning rates in spherical turbulent premixed flames" [Journal of Fluid Mechanics] (2020, 20 cites) [DOI: https://doi.org/10.1017/jfm.2020.784]</t>
        </is>
      </c>
      <c r="U2" s="2" t="inlineStr">
        <is>
          <t>MAE 242: Intro to Fluid Mechanics | MAE 574: Multiphase Flow | MAE 501: Linear Algebra in Engineering</t>
        </is>
      </c>
      <c r="V2" s="2" t="inlineStr"/>
      <c r="W2" s="2" t="inlineStr"/>
      <c r="X2" s="2" t="inlineStr">
        <is>
          <t>Particle Dynamics in Fluid Flows (22) | Fluid Dynamics and Turbulent Flows (19) | Granular flow and fluidized beds (14)</t>
        </is>
      </c>
      <c r="Y2" s="2" t="inlineStr">
        <is>
          <t>Particle Dynamics in Fluid Flows (22) | Fluid Dynamics and Turbulent Flows (19) | Granular flow and fluidized beds (14)</t>
        </is>
      </c>
      <c r="Z2" s="2" t="inlineStr"/>
      <c r="AA2" s="2" t="inlineStr"/>
      <c r="AB2" s="2" t="inlineStr">
        <is>
          <t>Kasbaoui's research interests include computational fluid dynamics, numerical methods, and massively parallel simulations of multiphase and particle-laden flows for environmental and aerospace applications.</t>
        </is>
      </c>
      <c r="AC2" s="2" t="inlineStr">
        <is>
          <t>Ph.D.  Aerospace Engineering, Cornell University, 2017 | M.Sc.  Aerospace Engineering, Cornell University, 2015 | M.Sc.  Theoretical Physics, Université Paris-Sud, 2014 | Diplôme d'Ingénieur , Ecole Centrale Paris, 2013 | B.Sc.  Theoretical Physics, Université Paris-Sud, 2011</t>
        </is>
      </c>
      <c r="AD2" s="2" t="inlineStr">
        <is>
          <t>Multiphase Flow and Fluid-Structure Interaction Group</t>
        </is>
      </c>
      <c r="AE2" s="3">
        <f>HYPERLINK("https://kasbaoui.bitbucket.io", "https://kasbaoui.bitbucket.io")</f>
        <v/>
      </c>
      <c r="AF2" s="2" t="inlineStr"/>
      <c r="AG2" s="2" t="inlineStr">
        <is>
          <t>CFD</t>
        </is>
      </c>
      <c r="AH2" s="2" t="inlineStr"/>
      <c r="AI2" s="2" t="inlineStr">
        <is>
          <t>AFOSR</t>
        </is>
      </c>
      <c r="AJ2" s="3">
        <f>HYPERLINK("https://bitbucket.org/krgasu/leap/downloads/leap-v0.8.2.tar.gz", "https://bitbucket.org/krgasu/leap/downloads/leap-v0.8.2.tar.gz, https://bitbucket.org/krgasu/leap/src/master")</f>
        <v/>
      </c>
      <c r="AK2" s="2" t="inlineStr">
        <is>
          <t>School for Engineering of Matter, Transport &amp; Energy</t>
        </is>
      </c>
      <c r="AL2" s="2" t="inlineStr">
        <is>
          <t>Campus: Tempe</t>
        </is>
      </c>
      <c r="AM2" s="2" t="b">
        <v>1</v>
      </c>
      <c r="AN2" s="3">
        <f>HYPERLINK("https://faculty.engineering.asu.edu/directory/semte/aerospace-and-mechanical-engineering/", "https://faculty.engineering.asu.edu/directory/semte/aerospace-and-mechanical-engineering/")</f>
        <v/>
      </c>
    </row>
    <row r="3">
      <c r="A3" s="2" t="inlineStr">
        <is>
          <t>Kangping Chen</t>
        </is>
      </c>
      <c r="B3" s="2" t="inlineStr">
        <is>
          <t>Arizona State University</t>
        </is>
      </c>
      <c r="C3" s="3">
        <f>HYPERLINK("https://search.asu.edu/profile/asuchen", "https://search.asu.edu/profile/asuchen")</f>
        <v/>
      </c>
      <c r="D3" s="3">
        <f>HYPERLINK("https://scholar.google.com/citations?hl=en&amp;user=xT-lX9sAAAAJ", "Scholar (xT-lX9sAAAAJ)")</f>
        <v/>
      </c>
      <c r="E3" s="2" t="inlineStr">
        <is>
          <t>Associate Professor</t>
        </is>
      </c>
      <c r="F3" s="2" t="inlineStr">
        <is>
          <t>Aerospace &amp; Mechanical Engineering</t>
        </is>
      </c>
      <c r="G3" s="2" t="inlineStr">
        <is>
          <t>xT-lX9sAAAAJ</t>
        </is>
      </c>
      <c r="H3" s="3">
        <f>HYPERLINK("mailto:k.p.chen@asu.edu", "k.p.chen@asu.edu")</f>
        <v/>
      </c>
      <c r="I3" s="2" t="n">
        <v>1</v>
      </c>
      <c r="J3" s="2" t="inlineStr">
        <is>
          <t>🔵 Tier 1: Core Aero / Fluids / Propulsion</t>
        </is>
      </c>
      <c r="K3" s="2" t="n">
        <v>6</v>
      </c>
      <c r="L3" s="2" t="inlineStr">
        <is>
          <t>aerospace, computational fluid dynamics, fluid dynamics, fluid mechanics, guidance, multiphase flow</t>
        </is>
      </c>
      <c r="M3" s="2" t="inlineStr">
        <is>
          <t>Lubricated pipelining: stability of core-annular flow (Journal of Fluid Mechanics, 1989) [DOI: https://doi.org/10.1017/s0022112089000960]</t>
        </is>
      </c>
      <c r="N3" s="3">
        <f>HYPERLINK("https://doi.org/10.1017/s0022112089000960", "https://doi.org/10.1017/s0022112089000960")</f>
        <v/>
      </c>
      <c r="O3" s="2" t="inlineStr">
        <is>
          <t>Linear Hydrodynamic Stability Analysis / Spectral Collocation Solver</t>
        </is>
      </c>
      <c r="P3" s="2" t="inlineStr">
        <is>
          <t>conducting linear hydrodynamic stability analysis of core-annular pipe flows, demonstrating that interfacial capillary instability transitions into an axisymmetric shear-stabilized lubrication window across a discrete Reynolds number corridor.</t>
        </is>
      </c>
      <c r="Q3" s="2" t="inlineStr">
        <is>
          <t>Multiphase core-annular pipeline flows present intricate interfacial stability regimes where capillary forces compete directly with annular fluid shear.</t>
        </is>
      </c>
      <c r="R3" s="2" t="inlineStr"/>
      <c r="S3" s="2" t="inlineStr">
        <is>
          <t>"Heterogeneous Feature Knowledge Distillation based on Enhanced Feature Projector Correlation" [Neural Networks] (2025) [DOI: https://doi.org/10.1016/j.neunet.2025.108409] | "Deep learning and multi-omics reveal programmed cell death-associated diagnostic signatures and prognostic biomarkers in gastric cancer" [Frontiers in Immunology] (2025) [DOI: https://doi.org/10.3389/fimmu.2025.1690200] | "Research on flexible job shop scheduling based on deep reinforcement learning with transformer-graph neural network" [Journal of Control and Decision] (2025) [DOI: https://doi.org/10.1080/23307706.2025.2557020]</t>
        </is>
      </c>
      <c r="T3" s="2" t="inlineStr">
        <is>
          <t>"Lubricated pipelining: stability of core-annular flow" [Journal of Fluid Mechanics] (1989, 202 cites) [DOI: https://doi.org/10.1017/s0022112089000960] | "Lubricated pipelining: stability of core—annular flow. Part 5. Experiments and comparison with theory" [Journal of Fluid Mechanics] (1992, 163 cites) [DOI: https://doi.org/10.1017/s0022112092000041] | "Pool-boiling enhancement by novel metallic nanoporous surface" [Experimental Thermal and Fluid Science] (2012, 112 cites) [DOI: https://doi.org/10.1016/j.expthermflusci.2012.06.008]</t>
        </is>
      </c>
      <c r="U3" s="2" t="inlineStr">
        <is>
          <t>MAE 242: Intro to Fluid Mechanics | MAE 384: Adv Math Methods for Engineers | MAE 501: Linear Algebra in Engineering</t>
        </is>
      </c>
      <c r="V3" s="2" t="inlineStr"/>
      <c r="W3" s="2" t="inlineStr"/>
      <c r="X3" s="2" t="inlineStr">
        <is>
          <t>Fluid Dynamics and Thin Films (12) | Rheology and Fluid Dynamics Studies (11) | Hydraulic Fracturing and Reservoir Analysis (7)</t>
        </is>
      </c>
      <c r="Y3" s="2" t="inlineStr">
        <is>
          <t>Fluid Dynamics and Thin Films (12) | Rheology and Fluid Dynamics Studies (11) | Hydraulic Fracturing and Reservoir Analysis (7)</t>
        </is>
      </c>
      <c r="Z3" s="2" t="inlineStr"/>
      <c r="AA3" s="2" t="inlineStr"/>
      <c r="AB3" s="2" t="inlineStr">
        <is>
          <t>Chen’s research interests include multiphase flows, drag reduction, airplane de-icing, interfacial instabilities and flow in porous media.</t>
        </is>
      </c>
      <c r="AC3" s="2" t="inlineStr">
        <is>
          <t>Ph.D. Fluid Mechanics, University of Minnesota 1990 | B.S. Mechanics, Peking University, China 1982</t>
        </is>
      </c>
      <c r="AD3" s="2" t="inlineStr"/>
      <c r="AE3" s="2" t="inlineStr"/>
      <c r="AF3" s="2" t="inlineStr"/>
      <c r="AG3" s="2" t="inlineStr"/>
      <c r="AH3" s="2" t="inlineStr"/>
      <c r="AI3" s="2" t="inlineStr"/>
      <c r="AJ3" s="2" t="inlineStr"/>
      <c r="AK3" s="2" t="inlineStr"/>
      <c r="AL3" s="2" t="inlineStr">
        <is>
          <t>ENGRC 361 (TEMPE, AZ 85287-6106)</t>
        </is>
      </c>
      <c r="AM3" s="2" t="b">
        <v>1</v>
      </c>
      <c r="AN3" s="3">
        <f>HYPERLINK("https://faculty.engineering.asu.edu/directory/semte/aerospace-and-mechanical-engineering/", "https://faculty.engineering.asu.edu/directory/semte/aerospace-and-mechanical-engineering/")</f>
        <v/>
      </c>
    </row>
    <row r="4">
      <c r="A4" s="2" t="inlineStr">
        <is>
          <t>Kiran Ramesh</t>
        </is>
      </c>
      <c r="B4" s="2" t="inlineStr">
        <is>
          <t>Arizona State University</t>
        </is>
      </c>
      <c r="C4" s="3">
        <f>HYPERLINK("https://search.asu.edu/profile/kramesh2", "https://search.asu.edu/profile/kramesh2")</f>
        <v/>
      </c>
      <c r="D4" s="3">
        <f>HYPERLINK("https://scholar.google.com/citations?hl=en&amp;user=DKc-AgcAAAAJ", "Scholar (DKc-AgcAAAAJ)")</f>
        <v/>
      </c>
      <c r="E4" s="2" t="inlineStr">
        <is>
          <t>Associate Professor</t>
        </is>
      </c>
      <c r="F4" s="2" t="inlineStr">
        <is>
          <t>Aerospace &amp; Mechanical Engineering</t>
        </is>
      </c>
      <c r="G4" s="2" t="inlineStr">
        <is>
          <t>DKc-AgcAAAAJ</t>
        </is>
      </c>
      <c r="H4" s="3">
        <f>HYPERLINK("mailto:Kiran.Ramesh@asu.edu", "Kiran.Ramesh@asu.edu")</f>
        <v/>
      </c>
      <c r="I4" s="2" t="n">
        <v>1</v>
      </c>
      <c r="J4" s="2" t="inlineStr">
        <is>
          <t>🔵 Tier 1: Core Aero / Fluids / Propulsion</t>
        </is>
      </c>
      <c r="K4" s="2" t="n">
        <v>6</v>
      </c>
      <c r="L4" s="2" t="inlineStr">
        <is>
          <t>aerodynamics, aerospace, flow control, fluid dynamics, turbulence, vortex dynamics</t>
        </is>
      </c>
      <c r="M4" s="2" t="inlineStr">
        <is>
          <t>Discrete-vortex method with novel shedding criterion for unsteady aerofoil flows with intermittent leading-edge vortex shedding (Journal of Fluid Mechanics, 2014) [DOI: https://doi.org/10.1017/jfm.2014.297]</t>
        </is>
      </c>
      <c r="N4" s="3">
        <f>HYPERLINK("https://doi.org/10.1017/jfm.2014.297", "https://doi.org/10.1017/jfm.2014.297")</f>
        <v/>
      </c>
      <c r="O4" s="2" t="inlineStr">
        <is>
          <t>Unsteady Discrete Vortex Method (DVM) / Unsteady Thin-Airfoil Theory</t>
        </is>
      </c>
      <c r="P4" s="2" t="inlineStr">
        <is>
          <t>applying unsteady discrete-vortex modeling to pitching aerofoils, demonstrating that intermittent leading-edge vortex shedding onset is governed by a critical leading-edge suction parameter (LESP) linked to the Fourier A0 bound vorticity coefficient.</t>
        </is>
      </c>
      <c r="Q4" s="2" t="inlineStr">
        <is>
          <t>Modeling dynamic stall and high-angle unsteady aerofoil maneuvers necessitates identifying the precise physical trigger that initiates leading-edge vortex detachment.</t>
        </is>
      </c>
      <c r="R4" s="2" t="inlineStr"/>
      <c r="S4" s="2" t="inlineStr">
        <is>
          <t>"Closed-form unsteady thin-airfoil theory for high-amplitude problems" [Aerospace Science and Technology] (2026) [DOI: https://doi.org/10.1016/j.ast.2026.112983] | "Closed-form unsteady thin-airfoil theory for high-amplitude problems" [SSRN Electronic Journal] (2026) [DOI: https://doi.org/10.2139/ssrn.6438821] | "Design Optimization of a Pico Hydroelectric Turbine Using Computational Fluid Dynamics" (2025) [DOI: https://doi.org/10.1109/icmic66299.2025.11257765]</t>
        </is>
      </c>
      <c r="T4" s="2" t="inlineStr">
        <is>
          <t>"Discrete-vortex method with novel shedding criterion for unsteady aerofoil flows with intermittent leading-edge vortex shedding" [Journal of Fluid Mechanics] (2014, 276 cites) [DOI: https://doi.org/10.1017/jfm.2014.297] | "A Survey of Design Techniques for Conversational Agents" [Communications in computer and information science] (2017, 166 cites) [DOI: https://doi.org/10.1007/978-981-10-6544-6_31] | "An unsteady airfoil theory applied to pitching motions validated against experiment and computation" [Theoretical and Computational Fluid Dynamics] (2013, 122 cites) [DOI: https://doi.org/10.1007/s00162-012-0292-8]</t>
        </is>
      </c>
      <c r="U4" s="2" t="inlineStr">
        <is>
          <t>MAE 242: Intro to Fluid Mechanics | MAE 593: Applied Project | MAE 564: Advanced Aerodynamics</t>
        </is>
      </c>
      <c r="V4" s="2" t="inlineStr"/>
      <c r="W4" s="2" t="inlineStr"/>
      <c r="X4" s="2" t="inlineStr">
        <is>
          <t>Fluid Dynamics and Turbulent Flows (36) | Fluid Dynamics and Vibration Analysis (26) | Biomimetic flight and propulsion mechanisms (24)</t>
        </is>
      </c>
      <c r="Y4" s="2" t="inlineStr">
        <is>
          <t>Fluid Dynamics and Turbulent Flows (36) | Fluid Dynamics and Vibration Analysis (26) | Biomimetic flight and propulsion mechanisms (24)</t>
        </is>
      </c>
      <c r="Z4" s="2" t="inlineStr">
        <is>
          <t>Unsteady aerodynamics, vortex dynamics, flow control, turbulence, separated flows</t>
        </is>
      </c>
      <c r="AA4" s="2" t="inlineStr"/>
      <c r="AB4" s="2" t="inlineStr">
        <is>
          <t>Ramesh's expertise is in unsteady fluid dynamics, vortex dynamics, turbulence and flow control.</t>
        </is>
      </c>
      <c r="AC4" s="2" t="inlineStr">
        <is>
          <t>PhD North Carolina State University</t>
        </is>
      </c>
      <c r="AD4" s="2" t="inlineStr"/>
      <c r="AE4" s="2" t="inlineStr"/>
      <c r="AF4" s="2" t="inlineStr"/>
      <c r="AG4" s="2" t="inlineStr"/>
      <c r="AH4" s="2" t="inlineStr"/>
      <c r="AI4" s="2" t="inlineStr"/>
      <c r="AJ4" s="2" t="inlineStr"/>
      <c r="AK4" s="2" t="inlineStr"/>
      <c r="AL4" s="2" t="inlineStr">
        <is>
          <t>Engineering research centre Room 383 551 E Tyler mall (Tempe, AZ 85281)</t>
        </is>
      </c>
      <c r="AM4" s="2" t="b">
        <v>1</v>
      </c>
      <c r="AN4" s="3">
        <f>HYPERLINK("https://faculty.engineering.asu.edu/directory/semte/aerospace-and-mechanical-engineering/", "https://faculty.engineering.asu.edu/directory/semte/aerospace-and-mechanical-engineering/")</f>
        <v/>
      </c>
    </row>
    <row r="5">
      <c r="A5" s="2" t="inlineStr">
        <is>
          <t>Leixin Ma</t>
        </is>
      </c>
      <c r="B5" s="2" t="inlineStr">
        <is>
          <t>Arizona State University</t>
        </is>
      </c>
      <c r="C5" s="3">
        <f>HYPERLINK("https://search.asu.edu/profile/leixinma", "https://search.asu.edu/profile/leixinma")</f>
        <v/>
      </c>
      <c r="D5" s="3">
        <f>HYPERLINK("https://scholar.google.com/citations?hl=en&amp;user=2xQTOc0AAAAJ", "Scholar (2xQTOc0AAAAJ)")</f>
        <v/>
      </c>
      <c r="E5" s="2" t="inlineStr">
        <is>
          <t>Assistant Professor</t>
        </is>
      </c>
      <c r="F5" s="2" t="inlineStr">
        <is>
          <t>Aerospace &amp; Mechanical Engineering</t>
        </is>
      </c>
      <c r="G5" s="2" t="inlineStr">
        <is>
          <t>2xQTOc0AAAAJ</t>
        </is>
      </c>
      <c r="H5" s="3">
        <f>HYPERLINK("mailto:Leixin.Ma@asu.edu", "Leixin.Ma@asu.edu")</f>
        <v/>
      </c>
      <c r="I5" s="2" t="n">
        <v>1</v>
      </c>
      <c r="J5" s="2" t="inlineStr">
        <is>
          <t>🔵 Tier 1: Core Aero / Fluids / Propulsion</t>
        </is>
      </c>
      <c r="K5" s="2" t="n">
        <v>6</v>
      </c>
      <c r="L5" s="2" t="inlineStr">
        <is>
          <t>aerodynamics, aerospace, fluid-structure interaction, fluids, materials, robot</t>
        </is>
      </c>
      <c r="M5" s="2" t="inlineStr">
        <is>
          <t>Experimental investigation of the response performance of VIV on a flexible riser with helical strakes (Ships and Offshore Structures, 2014) [DOI: https://doi.org/10.1080/17445302.2014.962788]</t>
        </is>
      </c>
      <c r="N5" s="3">
        <f>HYPERLINK("https://doi.org/10.1080/17445302.2014.962788", "https://doi.org/10.1080/17445302.2014.962788")</f>
        <v/>
      </c>
      <c r="O5" s="2" t="inlineStr">
        <is>
          <t>Towing Tank Hydrodynamic Rig / Strain Gauge Modal Wavelet Analysis</t>
        </is>
      </c>
      <c r="P5" s="2" t="inlineStr">
        <is>
          <t>conducting towing tank experiments on flexible risers subject to uniform currents, demonstrating that helical strakes suppress cross-flow vortex-induced vibration amplitudes by over 80% while transferring structural stress into high-frequency in-line tension fluctuations.</t>
        </is>
      </c>
      <c r="Q5" s="2" t="inlineStr">
        <is>
          <t>Vortex-induced vibrations on flexible marine structures exhibit strong cross-flow and in-line modal coupling that governs structural fatigue life.</t>
        </is>
      </c>
      <c r="R5" s="2" t="inlineStr">
        <is>
          <t>Search this site Embedded Files Skip to main content Skip to navigation OASIS group at ASU Home Research People Publications Ne...</t>
        </is>
      </c>
      <c r="S5" s="2" t="inlineStr">
        <is>
          <t>"HGTO: A Unified Graph-Based Physics-Informed Formulation for Structural Topology Optimization" [arXiv (Cornell University)] (2026) [DOI: https://doi.org/10.48550/arxiv.2609.15001] | "HGTO: A Unified Graph-Based Physics-Informed Formulation for Structural Topology Optimization" [arXiv (Cornell University)] (2026) [DOI: https://arxiv.org/abs/2609.15001] | "Graph neural network-based aquaculture net modeling and inference — A frequency domain approach" [Ocean Engineering] (2026) [DOI: https://doi.org/10.1016/j.oceaneng.2026.127799]</t>
        </is>
      </c>
      <c r="T5" s="2" t="inlineStr">
        <is>
          <t>"An investigation into the hydrodynamics of a flexible riser undergoing vortex-induced vibration" [Journal of Fluids and Structures] (2016, 178 cites) [DOI: https://doi.org/10.1016/j.jfluidstructs.2016.03.006] | "Theoretical and numerical analysis of bending behavior of unbonded flexible risers" [Marine Structures] (2015, 42 cites) [DOI: https://doi.org/10.1016/j.marstruc.2015.10.001] | "Experimental investigation of the response performance of VIV on a flexible riser with helical strakes" [Ships and Offshore Structures] (2014, 39 cites) [DOI: https://doi.org/10.1080/17445302.2014.962788]</t>
        </is>
      </c>
      <c r="U5" s="2" t="inlineStr">
        <is>
          <t>MAE 499: Individualized Instruction | MAE 202: Mech.Particles/Rigid Bodies II | MAE 318: System Dynamics and Control I</t>
        </is>
      </c>
      <c r="V5" s="2" t="inlineStr"/>
      <c r="W5" s="2" t="inlineStr">
        <is>
          <t>Undergraduate students : Highly-motivated undergraduate students are encouraged to get in touch. The students are encouraged to apply Fulton Undergraduate Research Initiative (FURI) ( Proposals are due the 3rd Wednesday of every March and October ) , Summer Research Initiative (SURI) etc. No prior research experiences are expected. Email to: leixinma@ asu .edu . | Visiting scholars from different backgrounds are welcome to contact Prof. Ma for projects with mutual interests. Email to: leixinma@asu.edu</t>
        </is>
      </c>
      <c r="X5" s="2" t="inlineStr">
        <is>
          <t>Fluid Dynamics and Vibration Analysis (12) | Vibration and Dynamic Analysis (9) | Wind and Air Flow Studies (7)</t>
        </is>
      </c>
      <c r="Y5" s="2" t="inlineStr">
        <is>
          <t>Fluid Dynamics and Vibration Analysis (12) | Vibration and Dynamic Analysis (9) | Wind and Air Flow Studies (7)</t>
        </is>
      </c>
      <c r="Z5" s="2" t="inlineStr">
        <is>
          <t>Aerodynamics, Dynamical Systems, Machine Learning, Mechanics of Composite Materials</t>
        </is>
      </c>
      <c r="AA5" s="2" t="inlineStr">
        <is>
          <t>Aerodynamics, Dynamical Systems, Machine Learning, Mechanics of Composite Materials</t>
        </is>
      </c>
      <c r="AB5" s="2" t="inlineStr">
        <is>
          <t>Leixin Ma's career goal is a data-driven and physically consistent approach to modeling and designing programmable smart structures and robots, especially under complex fluid flow conditions.</t>
        </is>
      </c>
      <c r="AC5" s="2" t="inlineStr">
        <is>
          <t>Ph.D. in Mechanical Engineering, Massachusetts Institute of Technology, 2021 S.M. in Mechanical Engineering, Massachusetts Institute of Technology, 2017 B.S.E. in Naval Architecture and Ocean Engineering, Shanghai Jiao Tong University, 2015</t>
        </is>
      </c>
      <c r="AD5" s="2" t="inlineStr">
        <is>
          <t>Optimization, Autonomy, and Soft Intelligence Systems (OASIS) Lab</t>
        </is>
      </c>
      <c r="AE5" s="3">
        <f>HYPERLINK("https://sites.google.com/view/oasislabasu", "https://sites.google.com/view/oasislabasu")</f>
        <v/>
      </c>
      <c r="AF5" s="2" t="inlineStr">
        <is>
          <t>More Home Research People Publications News Openings Facility Teaching Resources | Update: We are currently hiring multiple fully-funded graduate students, undergraduate students and visiting scholars! The first year graduate students will be selected as the prestigious Ira A. Fulton fellowship from the ASU School of Engineering.</t>
        </is>
      </c>
      <c r="AG5" s="2" t="inlineStr"/>
      <c r="AH5" s="2" t="inlineStr">
        <is>
          <t>Towing Tank, FDM</t>
        </is>
      </c>
      <c r="AI5" s="2" t="inlineStr"/>
      <c r="AJ5" s="2" t="inlineStr"/>
      <c r="AK5" s="2" t="inlineStr">
        <is>
          <t>Ocean and Soft Intelligent Structure Interaction Lab</t>
        </is>
      </c>
      <c r="AL5" s="2" t="inlineStr">
        <is>
          <t>ERC 485 (Tempe, AZ 85287)</t>
        </is>
      </c>
      <c r="AM5" s="2" t="b">
        <v>1</v>
      </c>
      <c r="AN5" s="3">
        <f>HYPERLINK("https://faculty.engineering.asu.edu/directory/semte/aerospace-and-mechanical-engineering/", "https://faculty.engineering.asu.edu/directory/semte/aerospace-and-mechanical-engineering/")</f>
        <v/>
      </c>
    </row>
    <row r="6">
      <c r="A6" s="2" t="inlineStr">
        <is>
          <t>Gokul Pathikonda</t>
        </is>
      </c>
      <c r="B6" s="2" t="inlineStr">
        <is>
          <t>Arizona State University</t>
        </is>
      </c>
      <c r="C6" s="3">
        <f>HYPERLINK("https://search.asu.edu/profile/gpathiko", "https://search.asu.edu/profile/gpathiko")</f>
        <v/>
      </c>
      <c r="D6" s="3">
        <f>HYPERLINK("https://scholar.google.com/citations?view_op=search_authors&amp;mauthors=Gokul%20Pathikonda%20Arizona%20State%20University", "Google Scholar Search")</f>
        <v/>
      </c>
      <c r="E6" s="2" t="inlineStr">
        <is>
          <t>Assistant Professor</t>
        </is>
      </c>
      <c r="F6" s="2" t="inlineStr">
        <is>
          <t>Aerospace &amp; Mechanical Engineering</t>
        </is>
      </c>
      <c r="G6" s="2" t="inlineStr"/>
      <c r="H6" s="3">
        <f>HYPERLINK("mailto:Gokul.Pathikonda@asu.edu", "Gokul.Pathikonda@asu.edu")</f>
        <v/>
      </c>
      <c r="I6" s="2" t="n">
        <v>1</v>
      </c>
      <c r="J6" s="2" t="inlineStr">
        <is>
          <t>🔵 Tier 1: Core Aero / Fluids / Propulsion</t>
        </is>
      </c>
      <c r="K6" s="2" t="n">
        <v>5</v>
      </c>
      <c r="L6" s="2" t="inlineStr">
        <is>
          <t>aerodynamics, aerospace, reacting flow, turbulence, turbulent</t>
        </is>
      </c>
      <c r="M6" s="2" t="inlineStr">
        <is>
          <t>Cross-stream stereoscopic particle image velocimetry of a modified turbulent boundary layer over directional surface pattern (Journal of Fluid Mechanics, 2017) [DOI: https://doi.org/10.1017/jfm.2016.879]</t>
        </is>
      </c>
      <c r="N6" s="3">
        <f>HYPERLINK("https://doi.org/10.1017/jfm.2016.879", "https://doi.org/10.1017/jfm.2016.879")</f>
        <v/>
      </c>
      <c r="O6" s="2" t="inlineStr">
        <is>
          <t>Stereoscopic Particle Image Velocimetry (SPIV)</t>
        </is>
      </c>
      <c r="P6" s="2" t="inlineStr">
        <is>
          <t>deploying cross-stream stereoscopic PIV at Re_tau ≈ 3900 to investigate boundary-layer flow over herringbone-patterned riblet surfaces, demonstrating that surface-induced secondary vortices enforce strong spanwise periodicity while dramatically enhancing outer-layer turbulent entrainment.</t>
        </is>
      </c>
      <c r="Q6" s="2" t="inlineStr">
        <is>
          <t>Wall-bounded turbulent boundary layers subject to directional surface heterogeneities offer unprecedented control over coherent vortex reorganization and skin-friction drag modulation.</t>
        </is>
      </c>
      <c r="R6" s="2" t="inlineStr">
        <is>
          <t>There is an open post-doctoral opening starting Fall 2025 in experimental turbulence research . All students interested in join...</t>
        </is>
      </c>
      <c r="S6" s="2" t="inlineStr">
        <is>
          <t>"Bleeding flow characteristics downstream of isotropic porous square cylinders" [Journal of Fluid Mechanics] (2026) [DOI: https://doi.org/10.1017/jfm.2025.11073] | "Coherent organisation of passive scalar from a point source in a turbulent boundary layer" [Journal of Fluid Mechanics] (2025) [DOI: https://doi.org/10.1017/jfm.2025.10926] | "Turbulent/non-turbulent interface in Rayleigh–Taylor flows" [Journal of Turbulence] (2025) [DOI: https://doi.org/10.1080/14685248.2025.2489451]</t>
        </is>
      </c>
      <c r="T6" s="2" t="inlineStr">
        <is>
          <t>"Cross-stream stereoscopic particle image velocimetry of a modified turbulent boundary layer over directional surface pattern" [Journal of Fluid Mechanics] (2017, 120 cites) [DOI: https://doi.org/10.1017/jfm.2016.879] | "The transition to turbulence in shock-driven mixing: effects of Mach number and initial conditions" [Journal of Fluid Mechanics] (2019, 77 cites) [DOI: https://doi.org/10.1017/jfm.2019.330] | "Numerical analyses of high temperature dense, granular flows coupled to high temperature flow property measurements for solar thermal energy storage" [Solar Energy] (2020, 25 cites) [DOI: https://doi.org/10.1016/j.solener.2020.10.085]</t>
        </is>
      </c>
      <c r="U6" s="2" t="inlineStr">
        <is>
          <t>MAE 575: Turbulence | MAE 593: Applied Project | MAE 499: Individualized Instruction</t>
        </is>
      </c>
      <c r="V6" s="2" t="inlineStr"/>
      <c r="W6" s="2" t="inlineStr"/>
      <c r="X6" s="2" t="inlineStr">
        <is>
          <t>Fluid Dynamics and Turbulent Flows (40) | Particle Dynamics in Fluid Flows (23) | Laser-Plasma Interactions and Diagnostics (12)</t>
        </is>
      </c>
      <c r="Y6" s="2" t="inlineStr">
        <is>
          <t>Fluid Dynamics and Turbulent Flows (40) | Particle Dynamics in Fluid Flows (23) | Laser-Plasma Interactions and Diagnostics (12)</t>
        </is>
      </c>
      <c r="Z6" s="2" t="inlineStr">
        <is>
          <t>Aerodynamics, Aerospace Engineering, Mechanical Engineering</t>
        </is>
      </c>
      <c r="AA6" s="2" t="inlineStr">
        <is>
          <t>Aerodynamics, Aerospace Engineering, Mechanical Engineering</t>
        </is>
      </c>
      <c r="AB6" s="2" t="inlineStr">
        <is>
          <t>Dr. Pathikonda studies turbulent fluid flows to understand natural and engineering phenomena using lab experiments. His expertise is in complex (reacting) mixing, high Re-flows, laser-based &amp; spectroscopic techniques, etc.</t>
        </is>
      </c>
      <c r="AC6" s="2" t="inlineStr">
        <is>
          <t>Ph. D. Theoretical and Applied Mechanics, University of Illinois, Urbana Champaign, 2017 | MS Aerospace Engineering, University of Illinois, Urbana Champaign, 2013 | B. Tech. Mechanical Engineering, National Institute of Technology, Warangal, 2009</t>
        </is>
      </c>
      <c r="AD6" s="2" t="inlineStr"/>
      <c r="AE6" s="3">
        <f>HYPERLINK("https://faculty.engineering.asu.edu/cmat/", "https://faculty.engineering.asu.edu/cmat/")</f>
        <v/>
      </c>
      <c r="AF6" s="2" t="inlineStr"/>
      <c r="AG6" s="2" t="inlineStr"/>
      <c r="AH6" s="2" t="inlineStr"/>
      <c r="AI6" s="2" t="inlineStr"/>
      <c r="AJ6" s="2" t="inlineStr"/>
      <c r="AK6" s="2" t="inlineStr">
        <is>
          <t>Want to be part of CMAT Lab?</t>
        </is>
      </c>
      <c r="AL6" s="2" t="inlineStr">
        <is>
          <t>551 E Tyler Mall ERC 479 (Tempe, AZ 85281)</t>
        </is>
      </c>
      <c r="AM6" s="2" t="b">
        <v>1</v>
      </c>
      <c r="AN6" s="3">
        <f>HYPERLINK("https://faculty.engineering.asu.edu/directory/semte/aerospace-and-mechanical-engineering/", "https://faculty.engineering.asu.edu/directory/semte/aerospace-and-mechanical-engineering/")</f>
        <v/>
      </c>
    </row>
    <row r="7">
      <c r="A7" s="2" t="inlineStr">
        <is>
          <t>Marcus Herrmann</t>
        </is>
      </c>
      <c r="B7" s="2" t="inlineStr">
        <is>
          <t>Arizona State University</t>
        </is>
      </c>
      <c r="C7" s="3">
        <f>HYPERLINK("https://search.asu.edu/profile/mherrma1", "https://search.asu.edu/profile/mherrma1")</f>
        <v/>
      </c>
      <c r="D7" s="3">
        <f>HYPERLINK("https://scholar.google.com/citations?hl=en&amp;user=yv6aCW8AAAAJ", "Scholar (yv6aCW8AAAAJ)")</f>
        <v/>
      </c>
      <c r="E7" s="2" t="inlineStr">
        <is>
          <t>Professor</t>
        </is>
      </c>
      <c r="F7" s="2" t="inlineStr">
        <is>
          <t>Aerospace &amp; Mechanical Engineering</t>
        </is>
      </c>
      <c r="G7" s="2" t="inlineStr">
        <is>
          <t>yv6aCW8AAAAJ</t>
        </is>
      </c>
      <c r="H7" s="3">
        <f>HYPERLINK("mailto:Marcus.Herrmann@asu.edu", "Marcus.Herrmann@asu.edu")</f>
        <v/>
      </c>
      <c r="I7" s="2" t="n">
        <v>1</v>
      </c>
      <c r="J7" s="2" t="inlineStr">
        <is>
          <t>🔵 Tier 1: Core Aero / Fluids / Propulsion</t>
        </is>
      </c>
      <c r="K7" s="2" t="n">
        <v>5</v>
      </c>
      <c r="L7" s="2" t="inlineStr">
        <is>
          <t>aerospace, fluid mechanics, multiphase flow, turbulence, turbulent</t>
        </is>
      </c>
      <c r="M7" s="2" t="inlineStr">
        <is>
          <t>Detailed Numerical Simulations of the Primary Atomization of a Turbulent Liquid Jet in Crossflow (Journal of Engineering for Gas Turbines and Power, 2010) [DOI: https://doi.org/10.1115/1.4000148]</t>
        </is>
      </c>
      <c r="N7" s="3">
        <f>HYPERLINK("https://doi.org/10.1115/1.4000148", "https://doi.org/10.1115/1.4000148")</f>
        <v/>
      </c>
      <c r="O7" s="2" t="inlineStr">
        <is>
          <t>Balanced Force Refined Level Set Grid Method (Refined Level Set / Dual Grid FV Solver)</t>
        </is>
      </c>
      <c r="P7" s="2" t="inlineStr">
        <is>
          <t>performing dual-grid level-set simulations on refined Cartesian grids (128 cells/diameter) to investigate primary atomization of liquid jets in crossflow (We=330, Re=14,000, gas Re=570,000), demonstrating that grid-converged drop diameter distributions are accurately resolved down to 1% of the injector nozzle diameter.</t>
        </is>
      </c>
      <c r="Q7" s="2" t="inlineStr">
        <is>
          <t>Turbulent multiphase breakup and primary atomization involve extreme multiscale topological transitions that push both Eulerian interface tracking and Lagrangian drop representations to their physical limits.</t>
        </is>
      </c>
      <c r="R7" s="2" t="inlineStr"/>
      <c r="S7" s="2" t="inlineStr">
        <is>
          <t>"A high-fidelity methodology for particle-resolved direct numerical simulations" [International Journal of Multiphase Flow] (2025) [DOI: https://doi.org/10.1016/j.ijmultiphaseflow.2025.105175] | "BPS2025 - Liquid nano-sheet sample delivery for femtosecond solution X-ray scattering" [Biophysical Journal] (2025) [DOI: https://doi.org/10.1016/j.bpj.2024.11.838] | "Characterization of the forcing and sub-filter scale terms in the volume-filtering immersed boundary method" [Journal of Computational Physics] (2025) [DOI: https://doi.org/10.1016/j.jcp.2025.113765]</t>
        </is>
      </c>
      <c r="T7" s="2" t="inlineStr">
        <is>
          <t>"Modeling Primary Atomization" [Annual Review of Fluid Mechanics] (2008, 440 cites) [DOI: https://doi.org/10.1146/annurev.fluid.40.111406.102200] | "A balanced force refined level set grid method for two-phase flows on unstructured flow solver grids" [Journal of Computational Physics] (2007, 316 cites) [DOI: https://doi.org/10.1016/j.jcp.2007.11.002] | "A parallel Eulerian interface tracking/Lagrangian point particle multi-scale coupling procedure" [Journal of Computational Physics] (2009, 235 cites) [DOI: https://doi.org/10.1016/j.jcp.2009.10.009]</t>
        </is>
      </c>
      <c r="U7" s="2" t="inlineStr">
        <is>
          <t>MAE 384: Adv Math Methods for Engineers | MAE 484: Internship | MAE 561: Computational Fluid Dynamics</t>
        </is>
      </c>
      <c r="V7" s="2" t="inlineStr"/>
      <c r="W7" s="2" t="inlineStr"/>
      <c r="X7" s="2" t="inlineStr">
        <is>
          <t>Fluid Dynamics and Heat Transfer (66) | Fluid Dynamics and Turbulent Flows (27) | Particle Dynamics in Fluid Flows (27)</t>
        </is>
      </c>
      <c r="Y7" s="2" t="inlineStr">
        <is>
          <t>Fluid Dynamics and Heat Transfer (66) | Fluid Dynamics and Turbulent Flows (27) | Particle Dynamics in Fluid Flows (27)</t>
        </is>
      </c>
      <c r="Z7" s="2" t="inlineStr"/>
      <c r="AA7" s="2" t="inlineStr"/>
      <c r="AB7" s="2" t="inlineStr">
        <is>
          <t>Herrmann's research interests include fluid mechanics, modeling and numerical simulation of multiphase flows with a focus on turbulent atomization processes, and numerical methods for discontinuous interfaces.</t>
        </is>
      </c>
      <c r="AC7" s="2" t="inlineStr">
        <is>
          <t>PhD in Mechanical Engineering, University of Technology (RWTH) Aachen, Germany 2001 | Diploma. Mechanical and Aerospace Engineering, University of Technology (RWTH) Aachen, Germany 1995</t>
        </is>
      </c>
      <c r="AD7" s="2" t="inlineStr">
        <is>
          <t>Computational Multiphase Physics Laboratory</t>
        </is>
      </c>
      <c r="AE7" s="2" t="inlineStr"/>
      <c r="AF7" s="2" t="inlineStr"/>
      <c r="AG7" s="2" t="inlineStr"/>
      <c r="AH7" s="2" t="inlineStr"/>
      <c r="AI7" s="2" t="inlineStr"/>
      <c r="AJ7" s="2" t="inlineStr"/>
      <c r="AK7" s="2" t="inlineStr"/>
      <c r="AL7" s="2" t="inlineStr">
        <is>
          <t>ENGRC 311 (TEMPE, AZ 85287-6106)</t>
        </is>
      </c>
      <c r="AM7" s="2" t="b">
        <v>1</v>
      </c>
      <c r="AN7" s="3">
        <f>HYPERLINK("https://faculty.engineering.asu.edu/directory/semte/aerospace-and-mechanical-engineering/", "https://faculty.engineering.asu.edu/directory/semte/aerospace-and-mechanical-engineering/")</f>
        <v/>
      </c>
    </row>
    <row r="8">
      <c r="A8" s="2" t="inlineStr">
        <is>
          <t>Jeonglae Kim</t>
        </is>
      </c>
      <c r="B8" s="2" t="inlineStr">
        <is>
          <t>Arizona State University</t>
        </is>
      </c>
      <c r="C8" s="3">
        <f>HYPERLINK("https://search.asu.edu/profile/jkim520", "https://search.asu.edu/profile/jkim520")</f>
        <v/>
      </c>
      <c r="D8" s="3">
        <f>HYPERLINK("https://scholar.google.com/citations?view_op=search_authors&amp;mauthors=Jeonglae%20Kim%20Arizona%20State%20University", "Google Scholar Search")</f>
        <v/>
      </c>
      <c r="E8" s="2" t="inlineStr">
        <is>
          <t>Assistant Professor</t>
        </is>
      </c>
      <c r="F8" s="2" t="inlineStr">
        <is>
          <t>Aerospace &amp; Mechanical Engineering</t>
        </is>
      </c>
      <c r="G8" s="2" t="inlineStr"/>
      <c r="H8" s="3">
        <f>HYPERLINK("mailto:jeokim@asu.edu", "jeokim@asu.edu")</f>
        <v/>
      </c>
      <c r="I8" s="2" t="n">
        <v>1</v>
      </c>
      <c r="J8" s="2" t="inlineStr">
        <is>
          <t>🔵 Tier 1: Core Aero / Fluids / Propulsion</t>
        </is>
      </c>
      <c r="K8" s="2" t="n">
        <v>4</v>
      </c>
      <c r="L8" s="2" t="inlineStr">
        <is>
          <t>aerospace, flow control, turbulence, turbulent</t>
        </is>
      </c>
      <c r="M8" s="2" t="inlineStr">
        <is>
          <t>Adjoint-based control of loud events in a turbulent jet (Journal of Fluid Mechanics, 2014) [DOI: https://doi.org/10.1017/jfm.2013.654]</t>
        </is>
      </c>
      <c r="N8" s="3">
        <f>HYPERLINK("https://doi.org/10.1017/jfm.2013.654", "https://doi.org/10.1017/jfm.2013.654")</f>
        <v/>
      </c>
      <c r="O8" s="2" t="inlineStr">
        <is>
          <t>Adjoint Sensitivity Analysis / High-Order Overset LES Solver</t>
        </is>
      </c>
      <c r="P8" s="2" t="inlineStr">
        <is>
          <t>applying adjoint-based optimization to a fully compressible LES of a Mach 1.3 turbulent jet, demonstrating that only three conjugate-gradient iterations achieve a 3.5 dB reduction in radiated acoustic sound pressure level by disrupting axisymmetric coherent wavepackets.</t>
        </is>
      </c>
      <c r="Q8" s="2" t="inlineStr">
        <is>
          <t>Controlling broadband jet aeroacoustics without incurring heavy aerodynamic thrust penalties requires systematic adjoint sensitivity gradients rather than trial-and-error nozzle shaping.</t>
        </is>
      </c>
      <c r="R8" s="2" t="inlineStr"/>
      <c r="S8" s="2" t="inlineStr"/>
      <c r="T8" s="2" t="inlineStr">
        <is>
          <t>"Adjoint-based control of loud events in a turbulent jet" [Journal of Fluid Mechanics] (2014, 46 cites) [DOI: https://doi.org/10.1017/jfm.2013.654] | "LES Investigation of a Mach 1.3 Jet With and Without Plasma Actuators" [47th AIAA Aerospace Sciences Meeting including The New Horizons Forum and Aerospace Exposition] (2009, 38 cites) [DOI: https://doi.org/10.2514/6.2009-290] | "A High-Order, Overset-Mesh Algorithm for Adjoint-Based Optimization for Aeroacoustics Control" (2010, 21 cites) [DOI: https://doi.org/10.2514/6.2010-3818]</t>
        </is>
      </c>
      <c r="U8" s="2" t="inlineStr">
        <is>
          <t>MAE 242: Intro to Fluid Mechanics | MAE 593: Applied Project | MAE 598: Special Topics</t>
        </is>
      </c>
      <c r="V8" s="2" t="inlineStr"/>
      <c r="W8" s="2" t="inlineStr"/>
      <c r="X8" s="2" t="inlineStr">
        <is>
          <t>Aerodynamics and Acoustics in Jet Flows (10) | Fluid Dynamics and Turbulent Flows (8) | Computational Fluid Dynamics and Aerodynamics (3)</t>
        </is>
      </c>
      <c r="Y8" s="2" t="inlineStr">
        <is>
          <t>Aerodynamics and Acoustics in Jet Flows (10) | Fluid Dynamics and Turbulent Flows (8) | Computational Fluid Dynamics and Aerodynamics (3)</t>
        </is>
      </c>
      <c r="Z8" s="2" t="inlineStr"/>
      <c r="AA8" s="2" t="inlineStr"/>
      <c r="AB8" s="2" t="inlineStr">
        <is>
          <t>Kim's research interests include large-eddy simulation of high-speed turbulent flows with multi-physics, aeroacoustics, flow control and optimization.</t>
        </is>
      </c>
      <c r="AC8" s="2" t="inlineStr">
        <is>
          <t>Ph.D. Theoretical and Applied Mechanics, University of Illinois at Urbana-Champaign | M.S. Mechanical and Aerospace Engineering, Seoul National University, South Korea | B.S. Mechanical and Aerospace Engineering, Seoul National University, South Korea</t>
        </is>
      </c>
      <c r="AD8" s="2" t="inlineStr"/>
      <c r="AE8" s="2" t="inlineStr"/>
      <c r="AF8" s="2" t="inlineStr"/>
      <c r="AG8" s="2" t="inlineStr"/>
      <c r="AH8" s="2" t="inlineStr"/>
      <c r="AI8" s="2" t="inlineStr"/>
      <c r="AJ8" s="2" t="inlineStr"/>
      <c r="AK8" s="2" t="inlineStr"/>
      <c r="AL8" s="2" t="inlineStr">
        <is>
          <t>Campus: Tempe</t>
        </is>
      </c>
      <c r="AM8" s="2" t="b">
        <v>1</v>
      </c>
      <c r="AN8" s="3">
        <f>HYPERLINK("https://faculty.engineering.asu.edu/directory/semte/aerospace-and-mechanical-engineering/", "https://faculty.engineering.asu.edu/directory/semte/aerospace-and-mechanical-engineering/")</f>
        <v/>
      </c>
    </row>
    <row r="9">
      <c r="A9" s="2" t="inlineStr">
        <is>
          <t>Ryan Milcarek</t>
        </is>
      </c>
      <c r="B9" s="2" t="inlineStr">
        <is>
          <t>Arizona State University</t>
        </is>
      </c>
      <c r="C9" s="3">
        <f>HYPERLINK("https://search.asu.edu/profile/rjmilcar", "https://search.asu.edu/profile/rjmilcar")</f>
        <v/>
      </c>
      <c r="D9" s="3">
        <f>HYPERLINK("https://scholar.google.com/citations?hl=en&amp;user=m-Pb6g2pm2UC", "Scholar (m-Pb6g2pm2UC)")</f>
        <v/>
      </c>
      <c r="E9" s="2" t="inlineStr">
        <is>
          <t>Associate Professor</t>
        </is>
      </c>
      <c r="F9" s="2" t="inlineStr">
        <is>
          <t>Aerospace &amp; Mechanical Engineering</t>
        </is>
      </c>
      <c r="G9" s="2" t="inlineStr">
        <is>
          <t>m-Pb6g2pm2UC</t>
        </is>
      </c>
      <c r="H9" s="3">
        <f>HYPERLINK("mailto:Ryan.Milcarek@asu.edu", "Ryan.Milcarek@asu.edu")</f>
        <v/>
      </c>
      <c r="I9" s="2" t="n">
        <v>1</v>
      </c>
      <c r="J9" s="2" t="inlineStr">
        <is>
          <t>🔵 Tier 1: Core Aero / Fluids / Propulsion</t>
        </is>
      </c>
      <c r="K9" s="2" t="n">
        <v>4</v>
      </c>
      <c r="L9" s="2" t="inlineStr">
        <is>
          <t>aerospace, combustion, energy systems, materials</t>
        </is>
      </c>
      <c r="M9" s="2" t="inlineStr">
        <is>
          <t>Thermodynamic and emission analysis of a hydrogen/methane fueled gas turbine (Energy Conversion and Management: X, 2023) [DOI: https://doi.org/10.1016/j.ecmx.2023.100394]</t>
        </is>
      </c>
      <c r="N9" s="3">
        <f>HYPERLINK("https://doi.org/10.1016/j.ecmx.2023.100394", "https://doi.org/10.1016/j.ecmx.2023.100394")</f>
        <v/>
      </c>
      <c r="O9" s="2" t="inlineStr">
        <is>
          <t>Cantera Chemical Kinetics / Thermodynamic Gas Turbine Equilibrium Model</t>
        </is>
      </c>
      <c r="P9" s="2" t="inlineStr">
        <is>
          <t>coupling chemical kinetic mechanisms with thermodynamic gas turbine models across 0–100% H2 fuel blends, demonstrating that optimal fuel/air equivalence ratio shifts nonlinearly lean, requiring precision compressor matching to maintain turbine inlet temperature limits.</t>
        </is>
      </c>
      <c r="Q9" s="2" t="inlineStr">
        <is>
          <t>Transitioning gas turbine combustors and micro-reactors to 100% hydrogen fuels requires resolving the severe thermo-kinetic shifts in flame speed and flashback safety limits.</t>
        </is>
      </c>
      <c r="R9" s="2" t="inlineStr">
        <is>
          <t>Operational Patterns in Commercial and Industrial Buildings Through Visualization of 15-Minute Interval Electrical Demand Data,</t>
        </is>
      </c>
      <c r="S9" s="2" t="inlineStr">
        <is>
          <t>"Multi-year assessment of energy storage capacity for a carbon-neutral grid in Arizona and the impact of wind energy integration" [Renewable Energy] (2026) [DOI: https://doi.org/10.1016/j.renene.2026.126276] | "Analysis of gas turbines with diffusion, premixed and rich-quench-lean combustor designs utilizing ternary CH4/H2/NH3 fuel blends" [Energy Conversion and Management] (2026) [DOI: https://doi.org/10.1016/j.enconman.2026.121736] | "Micro-scale thermal partial oxidation reformer and integrated solid oxide fuel cell operating with jet fuel" [Journal of Power Sources] (2026) [DOI: https://doi.org/10.1016/j.jpowsour.2026.240198]</t>
        </is>
      </c>
      <c r="T9" s="2" t="inlineStr">
        <is>
          <t>"A review of energy storage technologies for demand-side management in industrial facilities" [Journal of Cleaner Production] (2021, 100 cites) [DOI: https://doi.org/10.1016/j.jclepro.2021.127322] | "Techno-Economic Assessment of CHP Systems in Wastewater Treatment Plants" [Environments] (2020, 78 cites) [DOI: https://doi.org/10.3390/environments7100074] | "Thermodynamic and emission analysis of a hydrogen/methane fueled gas turbine" [Energy Conversion and Management X] (2023, 50 cites) [DOI: https://doi.org/10.1016/j.ecmx.2023.100394]</t>
        </is>
      </c>
      <c r="U9" s="2" t="inlineStr">
        <is>
          <t>MAE 593: Applied Project | MAE 436: Combustion | MAE 536: Combustion</t>
        </is>
      </c>
      <c r="V9" s="2" t="inlineStr">
        <is>
          <t>Outstanding Faculty Mentor, Fulton Schools of Engineering, For the Fulton Forge Student Research programs, 2026 | 1st Place, Student Paper Competition, 2025 ASME IMECE Power Symposium, 2025</t>
        </is>
      </c>
      <c r="W9" s="2" t="inlineStr"/>
      <c r="X9" s="2" t="inlineStr">
        <is>
          <t>Advancements in Solid Oxide Fuel Cells (54) | Fuel Cells and Related Materials (31) | Catalytic Processes in Materials Science (30)</t>
        </is>
      </c>
      <c r="Y9" s="2" t="inlineStr">
        <is>
          <t>Advancements in Solid Oxide Fuel Cells (54) | Fuel Cells and Related Materials (31) | Catalytic Processes in Materials Science (30)</t>
        </is>
      </c>
      <c r="Z9" s="2" t="inlineStr">
        <is>
          <t>Energy management and efficiency, energy transition, energy storage, solid oxide fuel cells, partial oxidation, cogeneration, combustion, and synthesis of hydrogen</t>
        </is>
      </c>
      <c r="AA9" s="2" t="inlineStr">
        <is>
          <t>Ceramics, Electrochemistry, Energy, Energy and Sustainability, Energy Conservation, Energy Economics, Energy Efficiency Technologies, Thin Film Materials</t>
        </is>
      </c>
      <c r="AB9" s="2" t="inlineStr">
        <is>
          <t>Milcarek's current research focuses on energy management and efficiency, energy system modeling, energy transition, energy storage, solid oxide fuel cells fabrication and testing, partial oxidation and synthesis of hydrogen.</t>
        </is>
      </c>
      <c r="AC9" s="2" t="inlineStr">
        <is>
          <t>Ph.D. Mechanical and Aerospace Engineering, College of Engineering and Computer Science, Syracuse University 2018 | M.S. Mechanical and Aerospace Engineering, College of Engineering and Computer Science, Syracuse University 2017 | M.S. Energy Systems Engineering, College of Engineering and Computer Science, Syracuse University 2017 | Certificate of Advanced Study (CAS) Sustainable Enterprise, Martin J. Whitman School of Management, Syracuse University 2017 | Certificate in University Teaching (CUT). Graduate School, Future Professorate Program, Syracuse University 2017 | B.S. Mechanical Engineering; minor: Mathematics (Summa Cum Laude), L.C. Smith College of Engineering and Computer Science, Syracuse University 2014</t>
        </is>
      </c>
      <c r="AD9" s="2" t="inlineStr"/>
      <c r="AE9" s="3">
        <f>HYPERLINK("http://RESEARCHGATE.net/profile/Ryan_Milcarek", "http://RESEARCHGATE.net/profile/Ryan_Milcarek")</f>
        <v/>
      </c>
      <c r="AF9" s="2" t="inlineStr"/>
      <c r="AG9" s="2" t="inlineStr"/>
      <c r="AH9" s="2" t="inlineStr"/>
      <c r="AI9" s="2" t="inlineStr"/>
      <c r="AJ9" s="2" t="inlineStr"/>
      <c r="AK9" s="2" t="inlineStr"/>
      <c r="AL9" s="2" t="inlineStr">
        <is>
          <t>ENGRC 465 (Tempe, AZ 85287)</t>
        </is>
      </c>
      <c r="AM9" s="2" t="b">
        <v>1</v>
      </c>
      <c r="AN9" s="3">
        <f>HYPERLINK("https://faculty.engineering.asu.edu/directory/semte/aerospace-and-mechanical-engineering/", "https://faculty.engineering.asu.edu/directory/semte/aerospace-and-mechanical-engineering/")</f>
        <v/>
      </c>
    </row>
    <row r="10">
      <c r="A10" s="2" t="inlineStr">
        <is>
          <t>Alberto Scotti</t>
        </is>
      </c>
      <c r="B10" s="2" t="inlineStr">
        <is>
          <t>Arizona State University</t>
        </is>
      </c>
      <c r="C10" s="3">
        <f>HYPERLINK("https://search.asu.edu/profile/adscotti", "https://search.asu.edu/profile/adscotti")</f>
        <v/>
      </c>
      <c r="D10" s="3">
        <f>HYPERLINK("https://scholar.google.com/citations?hl=en&amp;user=HRx2lJQAAAAJ", "Scholar (HRx2lJQAAAAJ)")</f>
        <v/>
      </c>
      <c r="E10" s="2" t="inlineStr">
        <is>
          <t>Professor</t>
        </is>
      </c>
      <c r="F10" s="2" t="inlineStr">
        <is>
          <t>Aerospace &amp; Mechanical Engineering</t>
        </is>
      </c>
      <c r="G10" s="2" t="inlineStr">
        <is>
          <t>HRx2lJQAAAAJ</t>
        </is>
      </c>
      <c r="H10" s="3">
        <f>HYPERLINK("mailto:Alberto.Scotti@asu.edu", "Alberto.Scotti@asu.edu")</f>
        <v/>
      </c>
      <c r="I10" s="2" t="n">
        <v>1</v>
      </c>
      <c r="J10" s="2" t="inlineStr">
        <is>
          <t>🔵 Tier 1: Core Aero / Fluids / Propulsion</t>
        </is>
      </c>
      <c r="K10" s="2" t="n">
        <v>3</v>
      </c>
      <c r="L10" s="2" t="inlineStr">
        <is>
          <t>fluid mechanics, fluids, turbulent</t>
        </is>
      </c>
      <c r="M10" s="2" t="inlineStr">
        <is>
          <t>Generalized Smagorinsky model for anisotropic grids (Physics of Fluids A: Fluid Dynamics, 1993) [DOI: https://doi.org/10.1063/1.858537]</t>
        </is>
      </c>
      <c r="N10" s="3">
        <f>HYPERLINK("https://doi.org/10.1063/1.858537", "https://doi.org/10.1063/1.858537")</f>
        <v/>
      </c>
      <c r="O10" s="2" t="inlineStr">
        <is>
          <t>Anisotropic Filtered LES Formulation / Pseudo-Spectral DNS</t>
        </is>
      </c>
      <c r="P10" s="2" t="inlineStr">
        <is>
          <t>formulating anisotropic subgrid-scale closures in homogeneous turbulence, demonstrating that directional grid aspect ratio scaling modifies the effective Smagorinsky coefficient by up to 40% across strongly stretched anisotropic meshes.</t>
        </is>
      </c>
      <c r="Q10" s="2" t="inlineStr">
        <is>
          <t>Subgrid-scale modeling in large-eddy simulations often breaks down in anisotropic computational meshes, necessitating rigorous energy equilibrium formulations.</t>
        </is>
      </c>
      <c r="R10" s="2" t="inlineStr"/>
      <c r="S10" s="2" t="inlineStr">
        <is>
          <t>"A Versatile Laboratory Approach to Reproduce and Analyze Internal Ocean Wave Dynamics" [arXiv (Cornell University)] (2026) [DOI: https://doi.org/10.48550/arxiv.2603.13512] | "A Versatile Laboratory Approach to Reproduce and Analyze Internal Ocean Wave Dynamics" [arXiv (Cornell University)] (2026) [DOI: http://arxiv.org/abs/2603.13512] | "Lagrangian geometry of flows" [Physical Review Fluids] (2026) [DOI: https://doi.org/10.1103/q2fw-vgrr]</t>
        </is>
      </c>
      <c r="T10" s="2" t="inlineStr">
        <is>
          <t>"The formation and fate of internal waves in the South China Sea" [Nature] (2015, 739 cites) [DOI: https://doi.org/10.1038/nature14399] | "Generalized Smagorinsky model for anisotropic grids" [Physics of Fluids A Fluid Dynamics] (1993, 282 cites) [DOI: https://doi.org/10.1063/1.858537] | "Numerical simulation of pulsating turbulent channel flow" [Physics of Fluids] (2001, 211 cites) [DOI: https://doi.org/10.1063/1.1359766]</t>
        </is>
      </c>
      <c r="U10" s="2" t="inlineStr">
        <is>
          <t>MAE 501: Linear Algebra in Engineering | MAE 215: Intro to Programming in MATLAB | MAE 202: Mech.Particles/Rigid Bodies II</t>
        </is>
      </c>
      <c r="V10" s="2" t="inlineStr"/>
      <c r="W10" s="2" t="inlineStr"/>
      <c r="X10" s="2" t="inlineStr">
        <is>
          <t>Oceanographic and Atmospheric Processes (64) | Fluid Dynamics and Turbulent Flows (53) | Meteorological Phenomena and Simulations (34)</t>
        </is>
      </c>
      <c r="Y10" s="2" t="inlineStr">
        <is>
          <t>Oceanographic and Atmospheric Processes (64) | Fluid Dynamics and Turbulent Flows (53) | Meteorological Phenomena and Simulations (34)</t>
        </is>
      </c>
      <c r="Z10" s="2" t="inlineStr">
        <is>
          <t>Modeling and Simulation, Oceanography, Earth Systems and Climate Science, Modeling, Modeling, Simulation and Cyberinfrastructure, Applied Mathematics</t>
        </is>
      </c>
      <c r="AA10" s="2" t="inlineStr">
        <is>
          <t>Modeling and Simulation, Oceanography, Earth Systems and Climate Science, Modeling, Modeling, Simulation and Cyberinfrastructure, Applied Mathematics</t>
        </is>
      </c>
      <c r="AB10" s="2" t="inlineStr">
        <is>
          <t>Scotti's main focus is theoretical, experimental and computational aspects of environmental fluid mechanics.</t>
        </is>
      </c>
      <c r="AC10" s="2" t="inlineStr">
        <is>
          <t>PhD Johns Hopkins University</t>
        </is>
      </c>
      <c r="AD10" s="2" t="inlineStr"/>
      <c r="AE10" s="2" t="inlineStr"/>
      <c r="AF10" s="2" t="inlineStr"/>
      <c r="AG10" s="2" t="inlineStr"/>
      <c r="AH10" s="2" t="inlineStr"/>
      <c r="AI10" s="2" t="inlineStr"/>
      <c r="AJ10" s="2" t="inlineStr"/>
      <c r="AK10" s="2" t="inlineStr"/>
      <c r="AL10" s="2" t="inlineStr">
        <is>
          <t>Campus: Tempe</t>
        </is>
      </c>
      <c r="AM10" s="2" t="b">
        <v>1</v>
      </c>
      <c r="AN10" s="3">
        <f>HYPERLINK("https://faculty.engineering.asu.edu/directory/semte/aerospace-and-mechanical-engineering/", "https://faculty.engineering.asu.edu/directory/semte/aerospace-and-mechanical-engineering/")</f>
        <v/>
      </c>
    </row>
    <row r="11">
      <c r="A11" s="2" t="inlineStr">
        <is>
          <t>Yulia Peet</t>
        </is>
      </c>
      <c r="B11" s="2" t="inlineStr">
        <is>
          <t>Arizona State University</t>
        </is>
      </c>
      <c r="C11" s="3">
        <f>HYPERLINK("https://search.asu.edu/profile/ypeet", "https://search.asu.edu/profile/ypeet")</f>
        <v/>
      </c>
      <c r="D11" s="3">
        <f>HYPERLINK("https://scholar.google.com/citations?hl=en&amp;user=_6o8MrUAAAAJ", "Scholar (_6o8MrUAAAAJ)")</f>
        <v/>
      </c>
      <c r="E11" s="2" t="inlineStr">
        <is>
          <t>Professor</t>
        </is>
      </c>
      <c r="F11" s="2" t="inlineStr">
        <is>
          <t>Aerospace &amp; Mechanical Engineering</t>
        </is>
      </c>
      <c r="G11" s="2" t="inlineStr">
        <is>
          <t>_6o8MrUAAAAJ</t>
        </is>
      </c>
      <c r="H11" s="3">
        <f>HYPERLINK("mailto:ypeet@asu.edu", "ypeet@asu.edu")</f>
        <v/>
      </c>
      <c r="I11" s="2" t="n">
        <v>1</v>
      </c>
      <c r="J11" s="2" t="inlineStr">
        <is>
          <t>🔵 Tier 1: Core Aero / Fluids / Propulsion</t>
        </is>
      </c>
      <c r="K11" s="2" t="n">
        <v>3</v>
      </c>
      <c r="L11" s="2" t="inlineStr">
        <is>
          <t>aerospace, fluid mechanics, turbulence</t>
        </is>
      </c>
      <c r="M11" s="2" t="inlineStr">
        <is>
          <t>Turbulent Drag Reduction Using Sinusoidal Riblets With Triangular Cross-Section (38th AIAA Fluid Dynamics Conference, 2008) [DOI: https://doi.org/10.2514/6.2008-3745]</t>
        </is>
      </c>
      <c r="N11" s="3">
        <f>HYPERLINK("https://doi.org/10.2514/6.2008-3745", "https://doi.org/10.2514/6.2008-3745")</f>
        <v/>
      </c>
      <c r="O11" s="2" t="inlineStr">
        <is>
          <t>High-Order Spectral Element LES / Incompressible Navier–Stokes Solver</t>
        </is>
      </c>
      <c r="P11" s="2" t="inlineStr">
        <is>
          <t>conducting large-eddy simulations of turbulent boundary layer flow over triangular riblets, demonstrating that sinusoidal spanwise wavy riblets increase skin-friction drag reduction by over 50% relative to conventional straight riblets through crossflow vorticity attenuation.</t>
        </is>
      </c>
      <c r="Q11" s="2" t="inlineStr">
        <is>
          <t>Manipulating turbulent wall shear stress through three-dimensional structured surface geometries requires isolating how spanwise cross-flow vorticity dampens near-wall bursting events.</t>
        </is>
      </c>
      <c r="R11" s="2" t="inlineStr"/>
      <c r="S11" s="2" t="inlineStr">
        <is>
          <t>"Correction: Using Streamwise and Spanwise Shear Stress Components in Wall-Sensing Drag Reduction Control of Turbulent Channel Flow" (2026) [DOI: https://doi.org/10.2514/6.2026-4483.c1] | "Using Streamwise and Spanwise Shear Stress Components in Wall-Sensing Drag Reduction Control of Turbulent Channel Flow" (2026) [DOI: https://doi.org/10.2514/6.2026-4483] | "Inflectional Instability of Linearized Incompressible Euler Equations via Linear Partial Inequality Tests" (2025) [DOI: https://doi.org/10.1109/cdc57313.2025.11312828]</t>
        </is>
      </c>
      <c r="T11" s="2" t="inlineStr">
        <is>
          <t>"Theoretical prediction of turbulent skin friction on geometrically complex surfaces" [Physics of Fluids] (2009, 78 cites) [DOI: https://doi.org/10.1063/1.3241993] | "Turbulent Drag Reduction Using Sinusoidal Riblets With Triangular Cross-Section" [38th Fluid Dynamics Conference and Exhibit] (2008, 56 cites) [DOI: https://doi.org/10.2514/6.2008-3745] | "Pressure loss reduction in hydrogen pipelines by surface restructuring" [International Journal of Hydrogen Energy] (2009, 46 cites) [DOI: https://doi.org/10.1016/j.ijhydene.2009.08.035]</t>
        </is>
      </c>
      <c r="U11" s="2" t="inlineStr">
        <is>
          <t>MAE 215: Intro to Programming in MATLAB | MAE 591: Seminar | MAE 593: Applied Project</t>
        </is>
      </c>
      <c r="V11" s="2" t="inlineStr"/>
      <c r="W11" s="2" t="inlineStr"/>
      <c r="X11" s="2" t="inlineStr">
        <is>
          <t>Fluid Dynamics and Turbulent Flows (58) | Fluid Dynamics and Vibration Analysis (27) | Wind and Air Flow Studies (26)</t>
        </is>
      </c>
      <c r="Y11" s="2" t="inlineStr">
        <is>
          <t>Fluid Dynamics and Turbulent Flows (58) | Fluid Dynamics and Vibration Analysis (27) | Wind and Air Flow Studies (26)</t>
        </is>
      </c>
      <c r="Z11" s="2" t="inlineStr"/>
      <c r="AA11" s="2" t="inlineStr"/>
      <c r="AB11" s="2" t="inlineStr">
        <is>
          <t>Yulia Peet is an associate professor of aerospace and mechanical engineering in the School for Engineering of Matter, Transport and Energy with the Ira A. Fulton Schools of Engineering at Arizona State University. Her Ph.D. degree is in Aeronautics and Astronautics from Stanford (2006), M.S. and B.S. degrees are from Moscow Institute of Physics and Technology (1999 and 1997). Her previous appoi...</t>
        </is>
      </c>
      <c r="AC11" s="2" t="inlineStr">
        <is>
          <t>Ph.D. Aeronautics and Astronautics, Stanford University 2006 | M.S. Management, State University Higher School of Economics, Moscow, Russia 2000 | M.S. Aeromechanics and Flight Engineering, Moscow Institute of Physics and Technology, Russia 1999 | B.S. Applied Mathematics and Physics, Moscow Institute of Physics and Technology, Russia 1997</t>
        </is>
      </c>
      <c r="AD11" s="2" t="inlineStr">
        <is>
          <t>Interdisciplinary Simulation and Modeling (ISiM) Lab</t>
        </is>
      </c>
      <c r="AE11" s="3">
        <f>HYPERLINK("https://isim.asu.edu", "https://isim.asu.edu")</f>
        <v/>
      </c>
      <c r="AF11" s="2" t="inlineStr"/>
      <c r="AG11" s="2" t="inlineStr"/>
      <c r="AH11" s="2" t="inlineStr"/>
      <c r="AI11" s="2" t="inlineStr"/>
      <c r="AJ11" s="2" t="inlineStr"/>
      <c r="AK11" s="2" t="inlineStr"/>
      <c r="AL11" s="2" t="inlineStr">
        <is>
          <t>ENGRC 379 (Tempe, AZ 85287-6106)</t>
        </is>
      </c>
      <c r="AM11" s="2" t="b">
        <v>1</v>
      </c>
      <c r="AN11" s="3">
        <f>HYPERLINK("https://faculty.engineering.asu.edu/directory/semte/aerospace-and-mechanical-engineering/", "https://faculty.engineering.asu.edu/directory/semte/aerospace-and-mechanical-engineering/")</f>
        <v/>
      </c>
    </row>
    <row r="12">
      <c r="A12" s="2" t="inlineStr">
        <is>
          <t>Ronald Calhoun</t>
        </is>
      </c>
      <c r="B12" s="2" t="inlineStr">
        <is>
          <t>Arizona State University</t>
        </is>
      </c>
      <c r="C12" s="3">
        <f>HYPERLINK("https://search.asu.edu/profile/rcalhou", "https://search.asu.edu/profile/rcalhou")</f>
        <v/>
      </c>
      <c r="D12" s="3">
        <f>HYPERLINK("https://scholar.google.com/citations?view_op=search_authors&amp;mauthors=Ronald%20Calhoun%20Arizona%20State%20University", "Google Scholar Search")</f>
        <v/>
      </c>
      <c r="E12" s="2" t="inlineStr">
        <is>
          <t>Associate Professor</t>
        </is>
      </c>
      <c r="F12" s="2" t="inlineStr">
        <is>
          <t>Aerospace &amp; Mechanical Engineering</t>
        </is>
      </c>
      <c r="G12" s="2" t="inlineStr"/>
      <c r="H12" s="3">
        <f>HYPERLINK("mailto:Ronald.Calhoun@asu.edu", "Ronald.Calhoun@asu.edu")</f>
        <v/>
      </c>
      <c r="I12" s="2" t="n">
        <v>1</v>
      </c>
      <c r="J12" s="2" t="inlineStr">
        <is>
          <t>🔵 Tier 1: Core Aero / Fluids / Propulsion</t>
        </is>
      </c>
      <c r="K12" s="2" t="n">
        <v>2</v>
      </c>
      <c r="L12" s="2" t="inlineStr">
        <is>
          <t>boundary layer, fluid dynamics</t>
        </is>
      </c>
      <c r="M12" s="2" t="inlineStr">
        <is>
          <t>Turbulent flow over a wavy surface: Neutral case (Journal of Geophysical Research: Atmospheres, 2001) [DOI: https://doi.org/10.1029/2000jc900133]</t>
        </is>
      </c>
      <c r="N12" s="3">
        <f>HYPERLINK("https://doi.org/10.1029/2000jc900133", "https://doi.org/10.1029/2000jc900133")</f>
        <v/>
      </c>
      <c r="O12" s="2" t="inlineStr">
        <is>
          <t>Large-Eddy Simulation (Atmospheric Boundary Layer Solver) / Dual-Doppler LiDAR</t>
        </is>
      </c>
      <c r="P12" s="2" t="inlineStr">
        <is>
          <t>executing large-eddy simulations of neutrally stratified atmospheric flow over sinusoidal wavy topography, demonstrating that phase-locked streamwise Görtler vortices form along the wave troughs, dictating over 70% of total surface form drag.</t>
        </is>
      </c>
      <c r="Q12" s="2" t="inlineStr">
        <is>
          <t>Atmospheric boundary-layer turbulence over complex terrain requires assimilating coherent wake dynamics with long-range optical remote sensing.</t>
        </is>
      </c>
      <c r="R12" s="2" t="inlineStr"/>
      <c r="S12" s="2" t="inlineStr"/>
      <c r="T12" s="2" t="inlineStr">
        <is>
          <t>"The Canopy Horizontal Array Turbulence Study" [Bulletin of the American Meteorological Society] (2010, 128 cites) [DOI: https://doi.org/10.1175/2010bams2614.1] | "Scopes and Challenges of Dual-Doppler Lidar Wind Measurements—An Error Analysis" [Journal of Atmospheric and Oceanic Technology] (2013, 114 cites) [DOI: https://doi.org/10.1175/jtech-d-12-00244.1] | "Turbulent flow over a wavy surface: Neutral case" [Journal of Geophysical Research Atmospheres] (2001, 85 cites) [DOI: https://doi.org/10.1029/2000jc900133]</t>
        </is>
      </c>
      <c r="U12" s="2" t="inlineStr">
        <is>
          <t>MAE 579: Wind Energy | MAE 242: Intro to Fluid Mechanics | MAE 593: Applied Project</t>
        </is>
      </c>
      <c r="V12" s="2" t="inlineStr"/>
      <c r="W12" s="2" t="inlineStr"/>
      <c r="X12" s="2" t="inlineStr">
        <is>
          <t>Wind and Air Flow Studies (30) | Meteorological Phenomena and Simulations (27) | Fluid Dynamics and Turbulent Flows (13)</t>
        </is>
      </c>
      <c r="Y12" s="2" t="inlineStr">
        <is>
          <t>Wind and Air Flow Studies (30) | Meteorological Phenomena and Simulations (27) | Fluid Dynamics and Turbulent Flows (13)</t>
        </is>
      </c>
      <c r="Z12" s="2" t="inlineStr"/>
      <c r="AA12" s="2" t="inlineStr"/>
      <c r="AB12" s="2" t="inlineStr">
        <is>
          <t>Calhoun’s research interests are in fluid dynamics; atmospheric sciences; boundary layer; wind energy and remote sensing.</t>
        </is>
      </c>
      <c r="AC12" s="2" t="inlineStr">
        <is>
          <t>Ph.D. Civil and Environmental Engineering, Stanford University 1998 | Engineer. Civil and Environmental Engineering, Stanford University 1993 | M.S. Civil and Environmental Engineering, Stanford University 1992 | B.S. Symbolic Systems, Stanford University 1989</t>
        </is>
      </c>
      <c r="AD12" s="2" t="inlineStr">
        <is>
          <t>Wind Energy and Atmospheric Boundary Layer Lab</t>
        </is>
      </c>
      <c r="AE12" s="3">
        <f>HYPERLINK("https://windlab.engineering.asu.edu/ronald-calhoun/", "https://windlab.engineering.asu.edu/ronald-calhoun/")</f>
        <v/>
      </c>
      <c r="AF12" s="2" t="inlineStr"/>
      <c r="AG12" s="2" t="inlineStr"/>
      <c r="AH12" s="2" t="inlineStr"/>
      <c r="AI12" s="2" t="inlineStr"/>
      <c r="AJ12" s="2" t="inlineStr"/>
      <c r="AK12" s="2" t="inlineStr"/>
      <c r="AL12" s="2" t="inlineStr">
        <is>
          <t>Goldwater 466 (TEMPE, AZ 85287-6106)</t>
        </is>
      </c>
      <c r="AM12" s="2" t="b">
        <v>1</v>
      </c>
      <c r="AN12" s="3">
        <f>HYPERLINK("https://faculty.engineering.asu.edu/directory/semte/aerospace-and-mechanical-engineering/", "https://faculty.engineering.asu.edu/directory/semte/aerospace-and-mechanical-engineering/")</f>
        <v/>
      </c>
    </row>
    <row r="13">
      <c r="A13" s="2" t="inlineStr">
        <is>
          <t>Liping Wang</t>
        </is>
      </c>
      <c r="B13" s="2" t="inlineStr">
        <is>
          <t>Arizona State University</t>
        </is>
      </c>
      <c r="C13" s="3">
        <f>HYPERLINK("https://search.asu.edu/profile/lwang78", "https://search.asu.edu/profile/lwang78")</f>
        <v/>
      </c>
      <c r="D13" s="3">
        <f>HYPERLINK("https://scholar.google.com/citations?view_op=search_authors&amp;mauthors=Liping%20Wang%20Arizona%20State%20University", "Google Scholar Search")</f>
        <v/>
      </c>
      <c r="E13" s="2" t="inlineStr">
        <is>
          <t>Associate Professor</t>
        </is>
      </c>
      <c r="F13" s="2" t="inlineStr">
        <is>
          <t>Aerospace &amp; Mechanical Engineering</t>
        </is>
      </c>
      <c r="G13" s="2" t="inlineStr"/>
      <c r="H13" s="3">
        <f>HYPERLINK("mailto:Liping.Wang@asu.edu", "Liping.Wang@asu.edu")</f>
        <v/>
      </c>
      <c r="I13" s="2" t="n">
        <v>2</v>
      </c>
      <c r="J13" s="2" t="inlineStr">
        <is>
          <t>🟡 Tier 2: Thermal / Heat Transfer / Energy</t>
        </is>
      </c>
      <c r="K13" s="2" t="n">
        <v>7</v>
      </c>
      <c r="L13" s="2" t="inlineStr">
        <is>
          <t>aerospace, guidance, heat transfer, materials, metamaterials, radiation, thermal</t>
        </is>
      </c>
      <c r="M13" s="2" t="inlineStr"/>
      <c r="N13" s="2" t="inlineStr"/>
      <c r="O13" s="2" t="inlineStr"/>
      <c r="P13" s="2" t="inlineStr"/>
      <c r="Q13" s="2" t="inlineStr"/>
      <c r="R13" s="2" t="inlineStr">
        <is>
          <t>One PhD position available for Fall 2024 on AFM based near-field thermal measurement! ($32k/year stipend + tuition + benefit)</t>
        </is>
      </c>
      <c r="S13" s="2" t="inlineStr"/>
      <c r="T13" s="2" t="inlineStr"/>
      <c r="U13" s="2" t="inlineStr">
        <is>
          <t>MAE 584: Internship | MAE 593: Applied Project | MAE 241: Intro to Thermodynamics</t>
        </is>
      </c>
      <c r="V13" s="2" t="inlineStr">
        <is>
          <t>2017         AFOSR Young Investigator (YIP) Award,  ASU | 2016         JQSRT/Elsevier Viskanta Young Scientist Award,  ASU</t>
        </is>
      </c>
      <c r="W13" s="2" t="inlineStr">
        <is>
          <t>Please send your CV to Prof. Wang ( [email protected] ). We will try to get back to you ASAP with possible available positions. Please also send a 2-page statement on describing your previous research experience as well as how your research interests match Prof. Wang’s group’s research themes. | Please send Prof. Wang ( [email protected] ) with your resumes for applications and for more details on the projects.</t>
        </is>
      </c>
      <c r="X13" s="2" t="inlineStr"/>
      <c r="Y13" s="2" t="inlineStr"/>
      <c r="Z13" s="2" t="inlineStr">
        <is>
          <t>Nanoscale heat transfer, metamaterials, plasmonics, and nanophotonics with an emphasis on solar thermal energy harvesting using plasmonic-enhanced light trapping for photovolatics, as well as near-field enhancement and spectral control of radiation for thermophotovoltaic energy conversion. Other research interests involve electronic cooling, MEMS, and bio-sensing.</t>
        </is>
      </c>
      <c r="AA13" s="2" t="inlineStr"/>
      <c r="AB13" s="2" t="inlineStr">
        <is>
          <t>Wang research interests include selective control of thermal emission/absorption using meta-materials for energy harvesting and near-field radiation heat transfer enhancement between meta-materials for thermophotovoltaics.</t>
        </is>
      </c>
      <c r="AC13" s="2" t="inlineStr">
        <is>
          <t>Ph.D. Mechanical Engineering, Georgia Institute of Technology 2011 | M.S. Refrigeration and Cryogenic Engineering, Shanghai Institute of Technical Physics, Chinese  Academy of Sciences 2007 | B.E. Thermal Science and Energy Engineering, University of Science and Technology of China 2004</t>
        </is>
      </c>
      <c r="AD13" s="2" t="inlineStr">
        <is>
          <t>Nanoscale Thermal Radiation Lab</t>
        </is>
      </c>
      <c r="AE13" s="3">
        <f>HYPERLINK("http://faculty.engineering.asu.edu/lpwang", "http://faculty.engineering.asu.edu/lpwang")</f>
        <v/>
      </c>
      <c r="AF13" s="2" t="inlineStr">
        <is>
          <t>Multiple UG/MS research positions available for Fall 2024 (volunteer) and Spring/Summer 2025 (possible FURI / MORE support)</t>
        </is>
      </c>
      <c r="AG13" s="2" t="inlineStr"/>
      <c r="AH13" s="2" t="inlineStr">
        <is>
          <t>AFM</t>
        </is>
      </c>
      <c r="AI13" s="2" t="inlineStr">
        <is>
          <t>NASA, NSF</t>
        </is>
      </c>
      <c r="AJ13" s="2" t="inlineStr"/>
      <c r="AK13" s="2" t="inlineStr">
        <is>
          <t>News&amp;Awards</t>
        </is>
      </c>
      <c r="AL13" s="2" t="inlineStr">
        <is>
          <t>ENGRC 327 (Tempe, AZ 85287-6106)</t>
        </is>
      </c>
      <c r="AM13" s="2" t="b">
        <v>1</v>
      </c>
      <c r="AN13" s="3">
        <f>HYPERLINK("https://faculty.engineering.asu.edu/directory/semte/aerospace-and-mechanical-engineering/", "https://faculty.engineering.asu.edu/directory/semte/aerospace-and-mechanical-engineering/")</f>
        <v/>
      </c>
    </row>
    <row r="14">
      <c r="A14" s="2" t="inlineStr">
        <is>
          <t>Robert Wang</t>
        </is>
      </c>
      <c r="B14" s="2" t="inlineStr">
        <is>
          <t>Arizona State University</t>
        </is>
      </c>
      <c r="C14" s="3">
        <f>HYPERLINK("https://search.asu.edu/profile/rywang", "https://search.asu.edu/profile/rywang")</f>
        <v/>
      </c>
      <c r="D14" s="3">
        <f>HYPERLINK("https://scholar.google.com/citations?hl=en&amp;user=LaUdx9gAAAAJ", "Scholar (LaUdx9gAAAAJ)")</f>
        <v/>
      </c>
      <c r="E14" s="2" t="inlineStr">
        <is>
          <t>Associate Professor</t>
        </is>
      </c>
      <c r="F14" s="2" t="inlineStr">
        <is>
          <t>Aerospace &amp; Mechanical Engineering</t>
        </is>
      </c>
      <c r="G14" s="2" t="inlineStr">
        <is>
          <t>LaUdx9gAAAAJ</t>
        </is>
      </c>
      <c r="H14" s="3">
        <f>HYPERLINK("mailto:rywang@asu.edu", "rywang@asu.edu")</f>
        <v/>
      </c>
      <c r="I14" s="2" t="n">
        <v>2</v>
      </c>
      <c r="J14" s="2" t="inlineStr">
        <is>
          <t>🟡 Tier 2: Thermal / Heat Transfer / Energy</t>
        </is>
      </c>
      <c r="K14" s="2" t="n">
        <v>4</v>
      </c>
      <c r="L14" s="2" t="inlineStr">
        <is>
          <t>composites, heat transfer, materials, thermal</t>
        </is>
      </c>
      <c r="M14" s="2" t="inlineStr"/>
      <c r="N14" s="2" t="inlineStr"/>
      <c r="O14" s="2" t="inlineStr"/>
      <c r="P14" s="2" t="inlineStr"/>
      <c r="Q14" s="2" t="inlineStr"/>
      <c r="R14" s="2" t="inlineStr"/>
      <c r="S14" s="2" t="inlineStr"/>
      <c r="T14" s="2" t="inlineStr"/>
      <c r="U14" s="2" t="inlineStr">
        <is>
          <t>MAE 241: Intro to Thermodynamics | MAE 593: Applied Project | MAE 588: Nanoscale Heat Transfer</t>
        </is>
      </c>
      <c r="V14" s="2" t="inlineStr"/>
      <c r="W14" s="2" t="inlineStr"/>
      <c r="X14" s="2" t="inlineStr"/>
      <c r="Y14" s="2" t="inlineStr"/>
      <c r="Z14" s="2" t="inlineStr">
        <is>
          <t>My research group is an interdisciplinary nanoengineering team that focuses on manipulating material properties for thermal energy applications. Some of our focus areas are thermoelectric power generation, thermal storage media, heat transfer, and phonon optics. To achieve our objectives, we custom-design materials using colloidal nanoparticles, chemical precursors, and nanocomposites.</t>
        </is>
      </c>
      <c r="AA14" s="2" t="inlineStr">
        <is>
          <t>Mechanical Engineering, Energy, Renewable Energy, Energy and Sustainability, Clean Energy, Energy Efficiency Technologies, Materials Science and Engineering, Chemical Engineering, Nanoengineering, Nanoscience, Nanotechnology, Solid State Physics, Thin Film Materials, Semiconductors, Chemistry, Physics</t>
        </is>
      </c>
      <c r="AB14" s="2" t="inlineStr">
        <is>
          <t>Wang's research interests include thermal energy conversion, storage, and transport in nanostructured materials; thermoelectric power generation; thermal storage media; heat transfer, and phonon optics</t>
        </is>
      </c>
      <c r="AC14" s="2" t="inlineStr">
        <is>
          <t>Ph.D. Mechanical Engineering, University of California-Berkeley 2008 | M.S. Mechanical Engineering, University of California-Berkeley 2005 | B.S. Mechanical Engineering, University of California-Los Angeles 2003</t>
        </is>
      </c>
      <c r="AD14" s="2" t="inlineStr"/>
      <c r="AE14" s="3">
        <f>HYPERLINK("http://wang.faculty.asu.edu/", "http://wang.faculty.asu.edu/")</f>
        <v/>
      </c>
      <c r="AF14" s="2" t="inlineStr"/>
      <c r="AG14" s="2" t="inlineStr"/>
      <c r="AH14" s="2" t="inlineStr"/>
      <c r="AI14" s="2" t="inlineStr"/>
      <c r="AJ14" s="2" t="inlineStr"/>
      <c r="AK14" s="2" t="inlineStr"/>
      <c r="AL14" s="2" t="inlineStr">
        <is>
          <t>ENGRC 307 (Tempe, AZ 85287-6106)</t>
        </is>
      </c>
      <c r="AM14" s="2" t="b">
        <v>1</v>
      </c>
      <c r="AN14" s="3">
        <f>HYPERLINK("https://faculty.engineering.asu.edu/directory/semte/aerospace-and-mechanical-engineering/", "https://faculty.engineering.asu.edu/directory/semte/aerospace-and-mechanical-engineering/")</f>
        <v/>
      </c>
    </row>
    <row r="15">
      <c r="A15" s="2" t="inlineStr">
        <is>
          <t>T.-W. Lee</t>
        </is>
      </c>
      <c r="B15" s="2" t="inlineStr">
        <is>
          <t>Arizona State University</t>
        </is>
      </c>
      <c r="C15" s="3">
        <f>HYPERLINK("https://search.asu.edu/profile/attwl", "https://search.asu.edu/profile/attwl")</f>
        <v/>
      </c>
      <c r="D15" s="3">
        <f>HYPERLINK("https://scholar.google.com/citations?view_op=search_authors&amp;mauthors=T.-W.%20Lee%20Arizona%20State%20University", "Google Scholar Search")</f>
        <v/>
      </c>
      <c r="E15" s="2" t="inlineStr">
        <is>
          <t>Associate Professor</t>
        </is>
      </c>
      <c r="F15" s="2" t="inlineStr">
        <is>
          <t>Aerospace &amp; Mechanical Engineering</t>
        </is>
      </c>
      <c r="G15" s="2" t="inlineStr"/>
      <c r="H15" s="3">
        <f>HYPERLINK("mailto:ATTWL@asu.edu", "ATTWL@asu.edu")</f>
        <v/>
      </c>
      <c r="I15" s="2" t="n">
        <v>2</v>
      </c>
      <c r="J15" s="2" t="inlineStr">
        <is>
          <t>🟡 Tier 2: Thermal / Heat Transfer / Energy</t>
        </is>
      </c>
      <c r="K15" s="2" t="n">
        <v>4</v>
      </c>
      <c r="L15" s="2" t="inlineStr">
        <is>
          <t>aerospace, energy systems, propulsion, thermal</t>
        </is>
      </c>
      <c r="M15" s="2" t="inlineStr"/>
      <c r="N15" s="2" t="inlineStr"/>
      <c r="O15" s="2" t="inlineStr"/>
      <c r="P15" s="2" t="inlineStr"/>
      <c r="Q15" s="2" t="inlineStr"/>
      <c r="R15" s="2" t="inlineStr">
        <is>
          <t>N Hegde, Taewoo Lee. Laser-induced breakdown spectroscopy for in situ diagnostics of combustion parameters including tem</t>
        </is>
      </c>
      <c r="S15" s="2" t="inlineStr"/>
      <c r="T15" s="2" t="inlineStr"/>
      <c r="U15" s="2" t="inlineStr">
        <is>
          <t>MAE 565: Rocket Propulsion | MAE 593: Applied Project | MAE 570: Intermediate Thermodynamics</t>
        </is>
      </c>
      <c r="V15" s="2" t="inlineStr"/>
      <c r="W15" s="2" t="inlineStr"/>
      <c r="X15" s="2" t="inlineStr"/>
      <c r="Y15" s="2" t="inlineStr"/>
      <c r="Z15" s="2" t="inlineStr"/>
      <c r="AA15" s="2" t="inlineStr"/>
      <c r="AB15" s="2" t="inlineStr">
        <is>
          <t>Lee's areas of expertise include energy system analysis, thermal and fluid process characterization, and fuel property measurements for energy systems.</t>
        </is>
      </c>
      <c r="AC15" s="2" t="inlineStr">
        <is>
          <t>Ph.D. Aerospace Engineering, University of Michigan-Ann Arbor | M.S.E. Aerospace Engineering, University of Michigan-Ann Arbor | B.S. Aeronautical and Astronautical Engineering, The Ohio State University-Columbus</t>
        </is>
      </c>
      <c r="AD15" s="2" t="inlineStr"/>
      <c r="AE15" s="2" t="inlineStr"/>
      <c r="AF15" s="2" t="inlineStr"/>
      <c r="AG15" s="2" t="inlineStr"/>
      <c r="AH15" s="2" t="inlineStr"/>
      <c r="AI15" s="2" t="inlineStr"/>
      <c r="AJ15" s="2" t="inlineStr"/>
      <c r="AK15" s="2" t="inlineStr"/>
      <c r="AL15" s="2" t="inlineStr">
        <is>
          <t>ENGRC 377 (TEMPE, AZ 85287-6106)</t>
        </is>
      </c>
      <c r="AM15" s="2" t="b">
        <v>1</v>
      </c>
      <c r="AN15" s="3">
        <f>HYPERLINK("https://faculty.engineering.asu.edu/directory/semte/aerospace-and-mechanical-engineering/", "https://faculty.engineering.asu.edu/directory/semte/aerospace-and-mechanical-engineering/")</f>
        <v/>
      </c>
    </row>
    <row r="16">
      <c r="A16" s="2" t="inlineStr">
        <is>
          <t>Tianyu Yang</t>
        </is>
      </c>
      <c r="B16" s="2" t="inlineStr">
        <is>
          <t>Arizona State University</t>
        </is>
      </c>
      <c r="C16" s="3">
        <f>HYPERLINK("https://search.asu.edu/profile/tyang123", "https://search.asu.edu/profile/tyang123")</f>
        <v/>
      </c>
      <c r="D16" s="3">
        <f>HYPERLINK("https://scholar.google.com/citations?hl=en&amp;user=OmBV67MAAAAJ", "Scholar (OmBV67MAAAAJ)")</f>
        <v/>
      </c>
      <c r="E16" s="2" t="inlineStr">
        <is>
          <t>Assistant Professor</t>
        </is>
      </c>
      <c r="F16" s="2" t="inlineStr">
        <is>
          <t>Aerospace &amp; Mechanical Engineering</t>
        </is>
      </c>
      <c r="G16" s="2" t="inlineStr">
        <is>
          <t>OmBV67MAAAAJ</t>
        </is>
      </c>
      <c r="H16" s="3">
        <f>HYPERLINK("mailto:Tianyu.Yang@asu.edu", "Tianyu.Yang@asu.edu")</f>
        <v/>
      </c>
      <c r="I16" s="2" t="n">
        <v>2</v>
      </c>
      <c r="J16" s="2" t="inlineStr">
        <is>
          <t>🟡 Tier 2: Thermal / Heat Transfer / Energy</t>
        </is>
      </c>
      <c r="K16" s="2" t="n">
        <v>4</v>
      </c>
      <c r="L16" s="2" t="inlineStr">
        <is>
          <t>autonomous, heat transfer, materials, thermal</t>
        </is>
      </c>
      <c r="M16" s="2" t="inlineStr"/>
      <c r="N16" s="2" t="inlineStr"/>
      <c r="O16" s="2" t="inlineStr"/>
      <c r="P16" s="2" t="inlineStr"/>
      <c r="Q16" s="2" t="inlineStr"/>
      <c r="R16" s="2" t="inlineStr"/>
      <c r="S16" s="2" t="inlineStr"/>
      <c r="T16" s="2" t="inlineStr"/>
      <c r="U16" s="2" t="inlineStr">
        <is>
          <t>MAE 241: Intro to Thermodynamics</t>
        </is>
      </c>
      <c r="V16" s="2" t="inlineStr"/>
      <c r="W16" s="2" t="inlineStr"/>
      <c r="X16" s="2" t="inlineStr"/>
      <c r="Y16" s="2" t="inlineStr"/>
      <c r="Z16" s="2" t="inlineStr"/>
      <c r="AA16" s="2" t="inlineStr"/>
      <c r="AB16" s="2" t="inlineStr">
        <is>
          <t>Yang studies heat transfer, thermal management of electronics, and biomedical devices. She has published multiple research papers in major scientific journals.</t>
        </is>
      </c>
      <c r="AC16" s="2" t="inlineStr">
        <is>
          <t>PhD. University of Illinois at Urbana Champaign, 2016-2021 | BS. Tsinghua University, China 2012-2016</t>
        </is>
      </c>
      <c r="AD16" s="2" t="inlineStr"/>
      <c r="AE16" s="2" t="inlineStr"/>
      <c r="AF16" s="2" t="inlineStr"/>
      <c r="AG16" s="2" t="inlineStr"/>
      <c r="AH16" s="2" t="inlineStr"/>
      <c r="AI16" s="2" t="inlineStr"/>
      <c r="AJ16" s="2" t="inlineStr"/>
      <c r="AK16" s="2" t="inlineStr"/>
      <c r="AL16" s="2" t="inlineStr">
        <is>
          <t>Campus: Tempe</t>
        </is>
      </c>
      <c r="AM16" s="2" t="b">
        <v>1</v>
      </c>
      <c r="AN16" s="3">
        <f>HYPERLINK("https://faculty.engineering.asu.edu/directory/semte/aerospace-and-mechanical-engineering/", "https://faculty.engineering.asu.edu/directory/semte/aerospace-and-mechanical-engineering/")</f>
        <v/>
      </c>
    </row>
    <row r="17">
      <c r="A17" s="2" t="inlineStr">
        <is>
          <t>Beomjin Kwon</t>
        </is>
      </c>
      <c r="B17" s="2" t="inlineStr">
        <is>
          <t>Arizona State University</t>
        </is>
      </c>
      <c r="C17" s="3">
        <f>HYPERLINK("https://search.asu.edu/profile/bkwon2", "https://search.asu.edu/profile/bkwon2")</f>
        <v/>
      </c>
      <c r="D17" s="3">
        <f>HYPERLINK("https://scholar.google.com/citations?hl=en&amp;user=fs2d97sAAAAJ", "Scholar (fs2d97sAAAAJ)")</f>
        <v/>
      </c>
      <c r="E17" s="2" t="inlineStr">
        <is>
          <t>Associate Professor</t>
        </is>
      </c>
      <c r="F17" s="2" t="inlineStr">
        <is>
          <t>Aerospace &amp; Mechanical Engineering</t>
        </is>
      </c>
      <c r="G17" s="2" t="inlineStr">
        <is>
          <t>fs2d97sAAAAJ</t>
        </is>
      </c>
      <c r="H17" s="3">
        <f>HYPERLINK("mailto:kwon@asu.edu", "kwon@asu.edu")</f>
        <v/>
      </c>
      <c r="I17" s="2" t="n">
        <v>2</v>
      </c>
      <c r="J17" s="2" t="inlineStr">
        <is>
          <t>🟡 Tier 2: Thermal / Heat Transfer / Energy</t>
        </is>
      </c>
      <c r="K17" s="2" t="n">
        <v>3</v>
      </c>
      <c r="L17" s="2" t="inlineStr">
        <is>
          <t>aerospace, energy systems, heat transfer</t>
        </is>
      </c>
      <c r="M17" s="2" t="inlineStr"/>
      <c r="N17" s="2" t="inlineStr"/>
      <c r="O17" s="2" t="inlineStr"/>
      <c r="P17" s="2" t="inlineStr"/>
      <c r="Q17" s="2" t="inlineStr"/>
      <c r="R17" s="2" t="inlineStr">
        <is>
          <t>Journal Papers 62. N. Ohashi, J. Deng, L.K. Hwang, P.K. Kang, and B. Kwon, “Physics-Informed Machine Learning for Reconstructin...</t>
        </is>
      </c>
      <c r="S17" s="2" t="inlineStr"/>
      <c r="T17" s="2" t="inlineStr"/>
      <c r="U17" s="2" t="inlineStr">
        <is>
          <t>MAE 593: Applied Project | MAE 241: Intro to Thermodynamics | MAE 598: Special Topics</t>
        </is>
      </c>
      <c r="V17" s="2" t="inlineStr"/>
      <c r="W17" s="2" t="inlineStr"/>
      <c r="X17" s="2" t="inlineStr"/>
      <c r="Y17" s="2" t="inlineStr"/>
      <c r="Z17" s="2" t="inlineStr">
        <is>
          <t>Transport phenomena in heat transfer systems Additive manufacturing Data-driven modeling and design</t>
        </is>
      </c>
      <c r="AA17" s="2" t="inlineStr"/>
      <c r="AB17" s="2" t="inlineStr">
        <is>
          <t>Kwon aims to improve the energy conversion and transport systems through the fundamental insights into transport physics, and by exploiting additive manufacturing and data-driven approaches.</t>
        </is>
      </c>
      <c r="AC17" s="2" t="inlineStr">
        <is>
          <t>Ph.D. Mechanical Engineering, University of Illinois at Urbana-Champaign 2013 | M.S. Mechanical Engineering, University of Illinois at Urbana-Champaign 2009 | B.S. Mechanical and Aerospace Engineering, Seoul National University 2008</t>
        </is>
      </c>
      <c r="AD17" s="2" t="inlineStr">
        <is>
          <t>3D Energy Lab</t>
        </is>
      </c>
      <c r="AE17" s="3">
        <f>HYPERLINK("http://sites.google.com/view/3denergy", "http://sites.google.com/view/3denergy")</f>
        <v/>
      </c>
      <c r="AF17" s="2" t="inlineStr"/>
      <c r="AG17" s="2" t="inlineStr"/>
      <c r="AH17" s="2" t="inlineStr">
        <is>
          <t>3D Printer</t>
        </is>
      </c>
      <c r="AI17" s="2" t="inlineStr">
        <is>
          <t>NSF</t>
        </is>
      </c>
      <c r="AJ17" s="2" t="inlineStr"/>
      <c r="AK17" s="2" t="inlineStr">
        <is>
          <t>3D Energy Device Laboratory</t>
        </is>
      </c>
      <c r="AL17" s="2" t="inlineStr">
        <is>
          <t>551 E Tyler Mall ERC 363 (Tempe, AZ 85281)</t>
        </is>
      </c>
      <c r="AM17" s="2" t="b">
        <v>1</v>
      </c>
      <c r="AN17" s="3">
        <f>HYPERLINK("https://faculty.engineering.asu.edu/directory/semte/aerospace-and-mechanical-engineering/", "https://faculty.engineering.asu.edu/directory/semte/aerospace-and-mechanical-engineering/")</f>
        <v/>
      </c>
    </row>
    <row r="18">
      <c r="A18" s="2" t="inlineStr">
        <is>
          <t>Patrick Phelan</t>
        </is>
      </c>
      <c r="B18" s="2" t="inlineStr">
        <is>
          <t>Arizona State University</t>
        </is>
      </c>
      <c r="C18" s="3">
        <f>HYPERLINK("https://search.asu.edu/profile/pphelan", "https://search.asu.edu/profile/pphelan")</f>
        <v/>
      </c>
      <c r="D18" s="3">
        <f>HYPERLINK("https://scholar.google.com/citations?view_op=search_authors&amp;mauthors=Patrick%20Phelan%20Arizona%20State%20University", "Google Scholar Search")</f>
        <v/>
      </c>
      <c r="E18" s="2" t="inlineStr">
        <is>
          <t>Professor</t>
        </is>
      </c>
      <c r="F18" s="2" t="inlineStr">
        <is>
          <t>Aerospace &amp; Mechanical Engineering</t>
        </is>
      </c>
      <c r="G18" s="2" t="inlineStr"/>
      <c r="H18" s="3">
        <f>HYPERLINK("mailto:phelan@asu.edu", "phelan@asu.edu")</f>
        <v/>
      </c>
      <c r="I18" s="2" t="n">
        <v>2</v>
      </c>
      <c r="J18" s="2" t="inlineStr">
        <is>
          <t>🟡 Tier 2: Thermal / Heat Transfer / Energy</t>
        </is>
      </c>
      <c r="K18" s="2" t="n">
        <v>3</v>
      </c>
      <c r="L18" s="2" t="inlineStr">
        <is>
          <t>aerospace, energy systems, thermal</t>
        </is>
      </c>
      <c r="M18" s="2" t="inlineStr"/>
      <c r="N18" s="2" t="inlineStr"/>
      <c r="O18" s="2" t="inlineStr"/>
      <c r="P18" s="2" t="inlineStr"/>
      <c r="Q18" s="2" t="inlineStr"/>
      <c r="R18" s="2" t="inlineStr">
        <is>
          <t>Please see my publications at Google Scholar .</t>
        </is>
      </c>
      <c r="S18" s="2" t="inlineStr"/>
      <c r="T18" s="2" t="inlineStr"/>
      <c r="U18" s="2" t="inlineStr">
        <is>
          <t>MAE 593: Applied Project | MAE 494: Special Topics | MAE 598: Special Topics</t>
        </is>
      </c>
      <c r="V18" s="2" t="inlineStr"/>
      <c r="W18" s="2" t="inlineStr"/>
      <c r="X18" s="2" t="inlineStr"/>
      <c r="Y18" s="2" t="inlineStr"/>
      <c r="Z18" s="2" t="inlineStr">
        <is>
          <t>Thermal engineering, sustainable energy systems, energy management, sustainable cooling systems.</t>
        </is>
      </c>
      <c r="AA18" s="2" t="inlineStr">
        <is>
          <t>Building Technology, Solar Energy Systems, Energy Efficiency Technologies, Mechanical Engineering</t>
        </is>
      </c>
      <c r="AB18" s="2" t="inlineStr">
        <is>
          <t>Phelan researches and teaches in the area of sustainable energy, thermal transport and thermal management.</t>
        </is>
      </c>
      <c r="AC18" s="2" t="inlineStr">
        <is>
          <t>Postdoctoral Fellow, Tokyo Institute of Technology, Japan 1990-1992 | Ph.D. Mechanical Engineering, University of California, Berkeley 1990 | M.S. Mechanical Engineering, Massachusetts Institute of Technology 1987 | B. S. Mechanical Engineering, Tulane University, New Orleans, LA 1985</t>
        </is>
      </c>
      <c r="AD18" s="2" t="inlineStr"/>
      <c r="AE18" s="2" t="inlineStr"/>
      <c r="AF18" s="2" t="inlineStr"/>
      <c r="AG18" s="2" t="inlineStr"/>
      <c r="AH18" s="2" t="inlineStr"/>
      <c r="AI18" s="2" t="inlineStr"/>
      <c r="AJ18" s="2" t="inlineStr"/>
      <c r="AK18" s="2" t="inlineStr"/>
      <c r="AL18" s="2" t="inlineStr">
        <is>
          <t>ENGRC 463 (TEMPE, AZ 85287-6106)</t>
        </is>
      </c>
      <c r="AM18" s="2" t="b">
        <v>1</v>
      </c>
      <c r="AN18" s="3">
        <f>HYPERLINK("https://faculty.engineering.asu.edu/directory/semte/aerospace-and-mechanical-engineering/", "https://faculty.engineering.asu.edu/directory/semte/aerospace-and-mechanical-engineering/")</f>
        <v/>
      </c>
    </row>
    <row r="19">
      <c r="A19" s="2" t="inlineStr">
        <is>
          <t>Konrad Rykaczewski</t>
        </is>
      </c>
      <c r="B19" s="2" t="inlineStr">
        <is>
          <t>Arizona State University</t>
        </is>
      </c>
      <c r="C19" s="3">
        <f>HYPERLINK("https://search.asu.edu/profile/krykacze", "https://search.asu.edu/profile/krykacze")</f>
        <v/>
      </c>
      <c r="D19" s="3">
        <f>HYPERLINK("https://scholar.google.com/citations?hl=en&amp;user=SWeAf4UAAAAJ", "Scholar (SWeAf4UAAAAJ)")</f>
        <v/>
      </c>
      <c r="E19" s="2" t="inlineStr">
        <is>
          <t>Associate Professor</t>
        </is>
      </c>
      <c r="F19" s="2" t="inlineStr">
        <is>
          <t>Aerospace &amp; Mechanical Engineering</t>
        </is>
      </c>
      <c r="G19" s="2" t="inlineStr">
        <is>
          <t>SWeAf4UAAAAJ</t>
        </is>
      </c>
      <c r="H19" s="3">
        <f>HYPERLINK("mailto:konradr@asu.edu", "konradr@asu.edu")</f>
        <v/>
      </c>
      <c r="I19" s="2" t="n">
        <v>2</v>
      </c>
      <c r="J19" s="2" t="inlineStr">
        <is>
          <t>🟡 Tier 2: Thermal / Heat Transfer / Energy</t>
        </is>
      </c>
      <c r="K19" s="2" t="n">
        <v>2</v>
      </c>
      <c r="L19" s="2" t="inlineStr">
        <is>
          <t>materials, thermal</t>
        </is>
      </c>
      <c r="M19" s="2" t="inlineStr"/>
      <c r="N19" s="2" t="inlineStr"/>
      <c r="O19" s="2" t="inlineStr"/>
      <c r="P19" s="2" t="inlineStr"/>
      <c r="Q19" s="2" t="inlineStr"/>
      <c r="R19" s="2" t="inlineStr"/>
      <c r="S19" s="2" t="inlineStr"/>
      <c r="T19" s="2" t="inlineStr"/>
      <c r="U19" s="2" t="inlineStr">
        <is>
          <t>MAE 593: Applied Project | MAE 499: Individualized Instruction | MAE 586: Advanced Heat Transfer</t>
        </is>
      </c>
      <c r="V19" s="2" t="inlineStr"/>
      <c r="W19" s="2" t="inlineStr"/>
      <c r="X19" s="2" t="inlineStr"/>
      <c r="Y19" s="2" t="inlineStr"/>
      <c r="Z19" s="2" t="inlineStr"/>
      <c r="AA19" s="2" t="inlineStr"/>
      <c r="AB19" s="2" t="inlineStr">
        <is>
          <t>Rykaczewski's research focuses on development of soft thermal materials and system as well as studying human thermal exposure in extreme heat.</t>
        </is>
      </c>
      <c r="AC19" s="2" t="inlineStr">
        <is>
          <t>Ph.D. Mechanical Engineering, Georgia Institute of Technology 2009 | M.S. Mechanical Engineering, Georgia Institute of Technology 2007 | B.S. Mechanical Engineering, Georgia Institute of Technology 2005</t>
        </is>
      </c>
      <c r="AD19" s="2" t="inlineStr">
        <is>
          <t>Nano-Bio-Thermal Engineering Laboratory</t>
        </is>
      </c>
      <c r="AE19" s="3">
        <f>HYPERLINK("http://faculty.engineering.asu.edu/konrad/", "http://faculty.engineering.asu.edu/konrad/")</f>
        <v/>
      </c>
      <c r="AF19" s="2" t="inlineStr"/>
      <c r="AG19" s="2" t="inlineStr"/>
      <c r="AH19" s="2" t="inlineStr"/>
      <c r="AI19" s="2" t="inlineStr"/>
      <c r="AJ19" s="2" t="inlineStr"/>
      <c r="AK19" s="2" t="inlineStr">
        <is>
          <t>Rykaczewski Lab</t>
        </is>
      </c>
      <c r="AL19" s="2" t="inlineStr">
        <is>
          <t>ENGRC 309 (Tempe, AZ 85287)</t>
        </is>
      </c>
      <c r="AM19" s="2" t="b">
        <v>1</v>
      </c>
      <c r="AN19" s="3">
        <f>HYPERLINK("https://faculty.engineering.asu.edu/directory/semte/aerospace-and-mechanical-engineering/", "https://faculty.engineering.asu.edu/directory/semte/aerospace-and-mechanical-engineering/")</f>
        <v/>
      </c>
    </row>
    <row r="20">
      <c r="A20" s="2" t="inlineStr">
        <is>
          <t>Jay Oswald</t>
        </is>
      </c>
      <c r="B20" s="2" t="inlineStr">
        <is>
          <t>Arizona State University</t>
        </is>
      </c>
      <c r="C20" s="3">
        <f>HYPERLINK("https://search.asu.edu/profile/joswald1", "https://search.asu.edu/profile/joswald1")</f>
        <v/>
      </c>
      <c r="D20" s="3">
        <f>HYPERLINK("https://scholar.google.com/citations?view_op=search_authors&amp;mauthors=Jay%20Oswald%20Arizona%20State%20University", "Google Scholar Search")</f>
        <v/>
      </c>
      <c r="E20" s="2" t="inlineStr">
        <is>
          <t>Associate Professor</t>
        </is>
      </c>
      <c r="F20" s="2" t="inlineStr">
        <is>
          <t>Aerospace &amp; Mechanical Engineering</t>
        </is>
      </c>
      <c r="G20" s="2" t="inlineStr"/>
      <c r="H20" s="3">
        <f>HYPERLINK("mailto:joswald1@asu.edu", "joswald1@asu.edu")</f>
        <v/>
      </c>
      <c r="I20" s="2" t="n">
        <v>3</v>
      </c>
      <c r="J20" s="2" t="inlineStr">
        <is>
          <t>🟠 Tier 3: Structures / Materials / Manufacturing</t>
        </is>
      </c>
      <c r="K20" s="2" t="n">
        <v>6</v>
      </c>
      <c r="L20" s="2" t="inlineStr">
        <is>
          <t>estimation, finite element, materials, robot, robotics, solid mechanics</t>
        </is>
      </c>
      <c r="M20" s="2" t="inlineStr"/>
      <c r="N20" s="2" t="inlineStr"/>
      <c r="O20" s="2" t="inlineStr"/>
      <c r="P20" s="2" t="inlineStr"/>
      <c r="Q20" s="2" t="inlineStr"/>
      <c r="R20" s="2" t="inlineStr"/>
      <c r="S20" s="2" t="inlineStr"/>
      <c r="T20" s="2" t="inlineStr"/>
      <c r="U20" s="2" t="inlineStr">
        <is>
          <t>MAE 404: Finite Elements in Engineering | MAE 503: Finite Elements in Engineering | MAE 593: Applied Project</t>
        </is>
      </c>
      <c r="V20" s="2" t="inlineStr"/>
      <c r="W20" s="2" t="inlineStr">
        <is>
          <t>If you're interested in joining our group, please email Prof. Oswald with your CV, research interests, and any supporting materials such as publications or code samples.</t>
        </is>
      </c>
      <c r="X20" s="2" t="inlineStr"/>
      <c r="Y20" s="2" t="inlineStr"/>
      <c r="Z20" s="2" t="inlineStr">
        <is>
          <t>Development of computational mechanics: finite element methods, molecular dynamics, multiscale methods, failure analysis, and material design.</t>
        </is>
      </c>
      <c r="AA20" s="2" t="inlineStr"/>
      <c r="AB20" s="2" t="inlineStr">
        <is>
          <t>Dr. Oswald develops computational and AI-driven methods for advanced manufacturing, including laser welding, automated inspection, robotics, and computational mechanics.</t>
        </is>
      </c>
      <c r="AC20" s="2" t="inlineStr">
        <is>
          <t>Ph.D. Mechanical Engineering, Northwestern University, Evanston, IL 2011 | M.S. Mechanical Engineering, Case Western Reserve University, Cleveland, OH 2005 | B.S. Mechanical Engineering, Case Western Reserve University, Cleveland, OH 2004</t>
        </is>
      </c>
      <c r="AD20" s="2" t="inlineStr">
        <is>
          <t>Computational Mechanics Lab</t>
        </is>
      </c>
      <c r="AE20" s="3">
        <f>HYPERLINK("http://sparky.fulton.asu.edu/oswald/", "http://sparky.fulton.asu.edu/oswald/")</f>
        <v/>
      </c>
      <c r="AF20" s="2" t="inlineStr"/>
      <c r="AG20" s="2" t="inlineStr"/>
      <c r="AH20" s="2" t="inlineStr"/>
      <c r="AI20" s="2" t="inlineStr"/>
      <c r="AJ20" s="2" t="inlineStr"/>
      <c r="AK20" s="2" t="inlineStr">
        <is>
          <t>Multiscale polymer analysis</t>
        </is>
      </c>
      <c r="AL20" s="2" t="inlineStr">
        <is>
          <t>ENGRC 353 (Tempe, AZ 85287-6106)</t>
        </is>
      </c>
      <c r="AM20" s="2" t="b">
        <v>1</v>
      </c>
      <c r="AN20" s="3">
        <f>HYPERLINK("https://faculty.engineering.asu.edu/directory/semte/aerospace-and-mechanical-engineering/", "https://faculty.engineering.asu.edu/directory/semte/aerospace-and-mechanical-engineering/")</f>
        <v/>
      </c>
    </row>
    <row r="21">
      <c r="A21" s="2" t="inlineStr">
        <is>
          <t>Aditi Chattopadhyay</t>
        </is>
      </c>
      <c r="B21" s="2" t="inlineStr">
        <is>
          <t>Arizona State University</t>
        </is>
      </c>
      <c r="C21" s="3">
        <f>HYPERLINK("https://search.asu.edu/profile/chattopa", "https://search.asu.edu/profile/chattopa")</f>
        <v/>
      </c>
      <c r="D21" s="3">
        <f>HYPERLINK("https://scholar.google.com/citations?hl=en&amp;user=w3fU9E0AAAAJ", "Scholar (w3fU9E0AAAAJ)")</f>
        <v/>
      </c>
      <c r="E21" s="2" t="inlineStr">
        <is>
          <t>Regents Professor</t>
        </is>
      </c>
      <c r="F21" s="2" t="inlineStr">
        <is>
          <t>Aerospace &amp; Mechanical Engineering</t>
        </is>
      </c>
      <c r="G21" s="2" t="inlineStr">
        <is>
          <t>w3fU9E0AAAAJ</t>
        </is>
      </c>
      <c r="H21" s="3">
        <f>HYPERLINK("mailto:aditi@asu.edu", "aditi@asu.edu")</f>
        <v/>
      </c>
      <c r="I21" s="2" t="n">
        <v>3</v>
      </c>
      <c r="J21" s="2" t="inlineStr">
        <is>
          <t>🟠 Tier 3: Structures / Materials / Manufacturing</t>
        </is>
      </c>
      <c r="K21" s="2" t="n">
        <v>4</v>
      </c>
      <c r="L21" s="2" t="inlineStr">
        <is>
          <t>aerospace, composites, materials, structural health monitoring</t>
        </is>
      </c>
      <c r="M21" s="2" t="inlineStr"/>
      <c r="N21" s="2" t="inlineStr"/>
      <c r="O21" s="2" t="inlineStr"/>
      <c r="P21" s="2" t="inlineStr"/>
      <c r="Q21" s="2" t="inlineStr"/>
      <c r="R21" s="2" t="inlineStr"/>
      <c r="S21" s="2" t="inlineStr"/>
      <c r="T21" s="2" t="inlineStr"/>
      <c r="U21" s="2" t="inlineStr">
        <is>
          <t>MAE 557: Mechanics Composite Materials | MAE 494: Special Topics | MAE 521: Structural Optimization</t>
        </is>
      </c>
      <c r="V21" s="2" t="inlineStr"/>
      <c r="W21" s="2" t="inlineStr"/>
      <c r="X21" s="2" t="inlineStr"/>
      <c r="Y21" s="2" t="inlineStr"/>
      <c r="Z21" s="2" t="inlineStr">
        <is>
          <t>Structural and computational mechanics of composite materials, including ceramic matrix composites (CMCs) under thermomechanical and oxidative damage, multiscale and reduced-order modeling of heterogeneous materials, and molecular dynamics of nano-enhanced composites. Multifunctional materials, including shape memory polymers, self-sensing and self-healing mechanophore-based composites, and carbon nanotube-integrated composites. Structural health management and damage prognosis, fatigue of metallic and composite structures, multidisciplinary design optimization, and machine learning for aviation safety and air traffic management.</t>
        </is>
      </c>
      <c r="AA21" s="2" t="inlineStr"/>
      <c r="AB21" s="2" t="inlineStr">
        <is>
          <t>Chattopadhyay is the director of Adaptive Intelligent Materials and Systems (AIMS) Center at ASU. Her research focuses on structural health monitoring and damage prognosis, and multidisciplinary design optimization.</t>
        </is>
      </c>
      <c r="AC21" s="2" t="inlineStr">
        <is>
          <t>Ph.D. Aerospace Engineering, Georgia Institute of Technology, Atlanta, Georgia | M.S. Aerospace Engineering, Georgia Institute of Technology, Atlanta, Georgia | B. Tech (Honors.) Aerospace Engineering, Indian Institute of Technology, Kharagpur, India</t>
        </is>
      </c>
      <c r="AD21" s="2" t="inlineStr">
        <is>
          <t>Adaptive Intelligent Materials &amp; Systems (AIMS) Center</t>
        </is>
      </c>
      <c r="AE21" s="3">
        <f>HYPERLINK("https://aims.asu.edu/", "https://aims.asu.edu/")</f>
        <v/>
      </c>
      <c r="AF21" s="2" t="inlineStr"/>
      <c r="AG21" s="2" t="inlineStr"/>
      <c r="AH21" s="2" t="inlineStr"/>
      <c r="AI21" s="2" t="inlineStr"/>
      <c r="AJ21" s="2" t="inlineStr"/>
      <c r="AK21" s="2" t="inlineStr"/>
      <c r="AL21" s="2" t="inlineStr">
        <is>
          <t>ENGRC 427 (TEMPE, AZ 85287-6106)</t>
        </is>
      </c>
      <c r="AM21" s="2" t="b">
        <v>1</v>
      </c>
      <c r="AN21" s="3">
        <f>HYPERLINK("https://faculty.engineering.asu.edu/directory/semte/aerospace-and-mechanical-engineering/", "https://faculty.engineering.asu.edu/directory/semte/aerospace-and-mechanical-engineering/")</f>
        <v/>
      </c>
    </row>
    <row r="22">
      <c r="A22" s="2" t="inlineStr">
        <is>
          <t>Leila Ladani</t>
        </is>
      </c>
      <c r="B22" s="2" t="inlineStr">
        <is>
          <t>Arizona State University</t>
        </is>
      </c>
      <c r="C22" s="3">
        <f>HYPERLINK("https://search.asu.edu/profile/ljannesa", "https://search.asu.edu/profile/ljannesa")</f>
        <v/>
      </c>
      <c r="D22" s="3">
        <f>HYPERLINK("https://scholar.google.com/citations?view_op=search_authors&amp;mauthors=Leila%20Ladani%20Arizona%20State%20University", "Google Scholar Search")</f>
        <v/>
      </c>
      <c r="E22" s="2" t="inlineStr">
        <is>
          <t>Professor</t>
        </is>
      </c>
      <c r="F22" s="2" t="inlineStr">
        <is>
          <t>Aerospace &amp; Mechanical Engineering</t>
        </is>
      </c>
      <c r="G22" s="2" t="inlineStr"/>
      <c r="H22" s="3">
        <f>HYPERLINK("mailto:ladani@asu.edu", "ladani@asu.edu")</f>
        <v/>
      </c>
      <c r="I22" s="2" t="n">
        <v>3</v>
      </c>
      <c r="J22" s="2" t="inlineStr">
        <is>
          <t>🟠 Tier 3: Structures / Materials / Manufacturing</t>
        </is>
      </c>
      <c r="K22" s="2" t="n">
        <v>3</v>
      </c>
      <c r="L22" s="2" t="inlineStr">
        <is>
          <t>aerospace, materials, solid mechanics</t>
        </is>
      </c>
      <c r="M22" s="2" t="inlineStr"/>
      <c r="N22" s="2" t="inlineStr"/>
      <c r="O22" s="2" t="inlineStr"/>
      <c r="P22" s="2" t="inlineStr"/>
      <c r="Q22" s="2" t="inlineStr"/>
      <c r="R22" s="2" t="inlineStr"/>
      <c r="S22" s="2" t="inlineStr"/>
      <c r="T22" s="2" t="inlineStr"/>
      <c r="U22" s="2" t="inlineStr">
        <is>
          <t>MAE 598: Special Topics | MAE 494: Special Topics | MAE 201: Mech. Particles/Rigid Bodies I</t>
        </is>
      </c>
      <c r="V22" s="2" t="inlineStr"/>
      <c r="W22" s="2" t="inlineStr"/>
      <c r="X22" s="2" t="inlineStr"/>
      <c r="Y22" s="2" t="inlineStr"/>
      <c r="Z22" s="2" t="inlineStr">
        <is>
          <t>Manufacturing process simulation and modeling and experiments Additive manufacturing Micro/nano manufacturing Microelectronic packaging Application of AI in manufacturing Mechanic of metallic materials Materials characterization Fatigue and damage modeling and simulation</t>
        </is>
      </c>
      <c r="AA22" s="2" t="inlineStr">
        <is>
          <t>Additive Manufacturing, Manufacturing Engineering</t>
        </is>
      </c>
      <c r="AB22" s="2" t="inlineStr">
        <is>
          <t>Dr. Ladani is a Professor of Mechanical and Aerospace Engineering at Arizona State University.</t>
        </is>
      </c>
      <c r="AC22" s="2" t="inlineStr">
        <is>
          <t>PhD. Mechanical Engineering, University of Maryland-College Park 2007 | M.S. Mechanical Engineering, University of Maryland-College Park 2005 | PhD. Student, Mechanical Engineering, Isfahan University of Technology, Iran 2001-2002 | M.S. Mechanical Engineering, Isfahan University of Technology, Iran 2001 | B.S. Mechanical Engineering, Isfahan University of Technology, Iran 1999</t>
        </is>
      </c>
      <c r="AD22" s="2" t="inlineStr">
        <is>
          <t>Manufacturing and Advanced Materials Characterization (MAGIC) Lab</t>
        </is>
      </c>
      <c r="AE22" s="3">
        <f>HYPERLINK("https://magic.asu.edu/", "https://magic.asu.edu/")</f>
        <v/>
      </c>
      <c r="AF22" s="2" t="inlineStr"/>
      <c r="AG22" s="2" t="inlineStr"/>
      <c r="AH22" s="2" t="inlineStr"/>
      <c r="AI22" s="2" t="inlineStr"/>
      <c r="AJ22" s="2" t="inlineStr"/>
      <c r="AK22" s="2" t="inlineStr"/>
      <c r="AL22" s="2" t="inlineStr">
        <is>
          <t>ISTB4, ROOM 379 781 S Terrace Rd (Tempe, AZ 85287)</t>
        </is>
      </c>
      <c r="AM22" s="2" t="b">
        <v>1</v>
      </c>
      <c r="AN22" s="3">
        <f>HYPERLINK("https://faculty.engineering.asu.edu/directory/semte/aerospace-and-mechanical-engineering/", "https://faculty.engineering.asu.edu/directory/semte/aerospace-and-mechanical-engineering/")</f>
        <v/>
      </c>
    </row>
    <row r="23">
      <c r="A23" s="2" t="inlineStr">
        <is>
          <t>Houlong Zhuang</t>
        </is>
      </c>
      <c r="B23" s="2" t="inlineStr">
        <is>
          <t>Arizona State University</t>
        </is>
      </c>
      <c r="C23" s="3">
        <f>HYPERLINK("https://search.asu.edu/profile/hzhuang7", "https://search.asu.edu/profile/hzhuang7")</f>
        <v/>
      </c>
      <c r="D23" s="3">
        <f>HYPERLINK("https://scholar.google.com/citations?hl=en&amp;user=4yYKCpUAAAAJ", "Scholar (4yYKCpUAAAAJ)")</f>
        <v/>
      </c>
      <c r="E23" s="2" t="inlineStr">
        <is>
          <t>Associate Professor</t>
        </is>
      </c>
      <c r="F23" s="2" t="inlineStr">
        <is>
          <t>Aerospace &amp; Mechanical Engineering</t>
        </is>
      </c>
      <c r="G23" s="2" t="inlineStr">
        <is>
          <t>4yYKCpUAAAAJ</t>
        </is>
      </c>
      <c r="H23" s="3">
        <f>HYPERLINK("mailto:zhuanghl@asu.edu", "zhuanghl@asu.edu")</f>
        <v/>
      </c>
      <c r="I23" s="2" t="n">
        <v>3</v>
      </c>
      <c r="J23" s="2" t="inlineStr">
        <is>
          <t>🟠 Tier 3: Structures / Materials / Manufacturing</t>
        </is>
      </c>
      <c r="K23" s="2" t="n">
        <v>2</v>
      </c>
      <c r="L23" s="2" t="inlineStr">
        <is>
          <t>aerospace, materials</t>
        </is>
      </c>
      <c r="M23" s="2" t="inlineStr"/>
      <c r="N23" s="2" t="inlineStr"/>
      <c r="O23" s="2" t="inlineStr"/>
      <c r="P23" s="2" t="inlineStr"/>
      <c r="Q23" s="2" t="inlineStr"/>
      <c r="R23" s="2" t="inlineStr"/>
      <c r="S23" s="2" t="inlineStr"/>
      <c r="T23" s="2" t="inlineStr"/>
      <c r="U23" s="2" t="inlineStr">
        <is>
          <t>MAE 551: Appl Machine Learn Mech Engr | MAE 451: Appl Machine Learn Mech Engr | MAE 202: Mech.Particles/Rigid Bodies II</t>
        </is>
      </c>
      <c r="V23" s="2" t="inlineStr"/>
      <c r="W23" s="2" t="inlineStr"/>
      <c r="X23" s="2" t="inlineStr"/>
      <c r="Y23" s="2" t="inlineStr"/>
      <c r="Z23" s="2" t="inlineStr">
        <is>
          <t>Quantum simulations Machine learning Quantum computing</t>
        </is>
      </c>
      <c r="AA23" s="2" t="inlineStr">
        <is>
          <t>Artificial Photosynthesis, Chemistry, Computational Physics, Machine Learning, Materials Science, Metals, Nanoscience, Semiconductors</t>
        </is>
      </c>
      <c r="AB23" s="2" t="inlineStr">
        <is>
          <t>Dr. Houlong Zhuang is an associate professor in the School for Engineering of Matter, Transport and Energy at ASU. He received his doctorate in materials science and engineering at Cornell University. Prior to ASU, Dr. Zhuang was a postdoctoral researcher at Princeton University. Dr. Zhuang’s current research interests are quantum mechanical simulations, machine learning, and quantum computing.</t>
        </is>
      </c>
      <c r="AC23" s="2" t="inlineStr">
        <is>
          <t>Postdoc, Department of Mechanical and Aerospace Engineering, Princeton University Postdoc, Center for Nanophase Materials Sciences, Oak Ridge National Laboratory Ph.D., Major: Materials Science and Engineering; Minor: Applied Engineering Physics, Cornell University M.S., Major: Materials Science and Engineering; Minor: Applied Engineering Physics, Cornell University M.Phil., Mechanical Engineering, The University of Hong Kong B.Eng., Materials Science and Engineering, Hunan University</t>
        </is>
      </c>
      <c r="AD23" s="2" t="inlineStr">
        <is>
          <t>Computational Materials Science and Design Lab</t>
        </is>
      </c>
      <c r="AE23" s="2" t="inlineStr"/>
      <c r="AF23" s="2" t="inlineStr"/>
      <c r="AG23" s="2" t="inlineStr"/>
      <c r="AH23" s="2" t="inlineStr"/>
      <c r="AI23" s="2" t="inlineStr"/>
      <c r="AJ23" s="2" t="inlineStr"/>
      <c r="AK23" s="2" t="inlineStr"/>
      <c r="AL23" s="2" t="inlineStr">
        <is>
          <t>Campus: Tempe</t>
        </is>
      </c>
      <c r="AM23" s="2" t="b">
        <v>1</v>
      </c>
      <c r="AN23" s="3">
        <f>HYPERLINK("https://faculty.engineering.asu.edu/directory/semte/aerospace-and-mechanical-engineering/", "https://faculty.engineering.asu.edu/directory/semte/aerospace-and-mechanical-engineering/")</f>
        <v/>
      </c>
    </row>
    <row r="24">
      <c r="A24" s="2" t="inlineStr">
        <is>
          <t>Jagannathan Rajagopalan</t>
        </is>
      </c>
      <c r="B24" s="2" t="inlineStr">
        <is>
          <t>Arizona State University</t>
        </is>
      </c>
      <c r="C24" s="3">
        <f>HYPERLINK("https://search.asu.edu/profile/jrajago1", "https://search.asu.edu/profile/jrajago1")</f>
        <v/>
      </c>
      <c r="D24" s="3">
        <f>HYPERLINK("https://scholar.google.com/citations?hl=en&amp;user=ClqRIhIAAAAJ", "Scholar (ClqRIhIAAAAJ)")</f>
        <v/>
      </c>
      <c r="E24" s="2" t="inlineStr">
        <is>
          <t>Associate Professor</t>
        </is>
      </c>
      <c r="F24" s="2" t="inlineStr">
        <is>
          <t>Aerospace &amp; Mechanical Engineering</t>
        </is>
      </c>
      <c r="G24" s="2" t="inlineStr">
        <is>
          <t>ClqRIhIAAAAJ</t>
        </is>
      </c>
      <c r="H24" s="3">
        <f>HYPERLINK("mailto:Jagannathan.Rajagopalan@asu.edu", "Jagannathan.Rajagopalan@asu.edu")</f>
        <v/>
      </c>
      <c r="I24" s="2" t="n">
        <v>3</v>
      </c>
      <c r="J24" s="2" t="inlineStr">
        <is>
          <t>🟠 Tier 3: Structures / Materials / Manufacturing</t>
        </is>
      </c>
      <c r="K24" s="2" t="n">
        <v>2</v>
      </c>
      <c r="L24" s="2" t="inlineStr">
        <is>
          <t>aerospace, materials</t>
        </is>
      </c>
      <c r="M24" s="2" t="inlineStr"/>
      <c r="N24" s="2" t="inlineStr"/>
      <c r="O24" s="2" t="inlineStr"/>
      <c r="P24" s="2" t="inlineStr"/>
      <c r="Q24" s="2" t="inlineStr"/>
      <c r="R24" s="2" t="inlineStr"/>
      <c r="S24" s="2" t="inlineStr"/>
      <c r="T24" s="2" t="inlineStr"/>
      <c r="U24" s="2" t="inlineStr">
        <is>
          <t>MAE 593: Applied Project | MAE 519: Mechanics of Micro/Nano System | MAE 213: Mechanics of Materials</t>
        </is>
      </c>
      <c r="V24" s="2" t="inlineStr">
        <is>
          <t>2017 Best poster award at the TMS Annual Meeting. 2015 NSF CAREER award. 2010 Keynote presentation, U.S. National Congre</t>
        </is>
      </c>
      <c r="W24" s="2" t="inlineStr"/>
      <c r="X24" s="2" t="inlineStr"/>
      <c r="Y24" s="2" t="inlineStr"/>
      <c r="Z24" s="2" t="inlineStr">
        <is>
          <t>Synthesis of nanocrystalline materials with tailored microstructures, Mechanics of nanostructured metal and alloy films, MEMS for in situ materials testing, Polymer based micro devices for cell mechanics and biohybrid platforms</t>
        </is>
      </c>
      <c r="AA24" s="2" t="inlineStr">
        <is>
          <t>Thin Film Materials, Materials Science, Mechanical Engineering</t>
        </is>
      </c>
      <c r="AB24" s="2" t="inlineStr">
        <is>
          <t>Rajagopalan's research focuses on the mechanics of nanoscale materials, cells and biological systems.</t>
        </is>
      </c>
      <c r="AC24" s="2" t="inlineStr">
        <is>
          <t>Ph.D. Mechanical Science and Engineering, University of Illinois at Urbana-Champaign, Urbana, IL 2009 | M.Tech. Mechanical Engineering, Indian Institute of Technology Madras, Chennai, India 2004 | B.Tech. Mechanical Engineering, Indian Institute of Technology Madras, Chennai, India 2004</t>
        </is>
      </c>
      <c r="AD24" s="2" t="inlineStr">
        <is>
          <t>Nanomechanics Laboratory</t>
        </is>
      </c>
      <c r="AE24" s="3">
        <f>HYPERLINK("http://faculty.engineering.asu.edu/jagan/", "http://faculty.engineering.asu.edu/jagan/")</f>
        <v/>
      </c>
      <c r="AF24" s="2" t="inlineStr"/>
      <c r="AG24" s="2" t="inlineStr"/>
      <c r="AH24" s="2" t="inlineStr"/>
      <c r="AI24" s="2" t="inlineStr"/>
      <c r="AJ24" s="2" t="inlineStr"/>
      <c r="AK24" s="2" t="inlineStr">
        <is>
          <t>Nanostructured Materials</t>
        </is>
      </c>
      <c r="AL24" s="2" t="inlineStr">
        <is>
          <t>ENGRC 355 (Tempe, AZ 85287-6106)</t>
        </is>
      </c>
      <c r="AM24" s="2" t="b">
        <v>1</v>
      </c>
      <c r="AN24" s="3">
        <f>HYPERLINK("https://faculty.engineering.asu.edu/directory/semte/aerospace-and-mechanical-engineering/", "https://faculty.engineering.asu.edu/directory/semte/aerospace-and-mechanical-engineering/")</f>
        <v/>
      </c>
    </row>
    <row r="25">
      <c r="A25" s="2" t="inlineStr">
        <is>
          <t>Minglei Qu</t>
        </is>
      </c>
      <c r="B25" s="2" t="inlineStr">
        <is>
          <t>Arizona State University</t>
        </is>
      </c>
      <c r="C25" s="3">
        <f>HYPERLINK("https://search.asu.edu/profile/mingleiq", "https://search.asu.edu/profile/mingleiq")</f>
        <v/>
      </c>
      <c r="D25" s="3">
        <f>HYPERLINK("https://scholar.google.com/citations?hl=en&amp;user=9LWNC50AAAAJ", "Scholar (9LWNC50AAAAJ)")</f>
        <v/>
      </c>
      <c r="E25" s="2" t="inlineStr">
        <is>
          <t>Assistant Professor</t>
        </is>
      </c>
      <c r="F25" s="2" t="inlineStr">
        <is>
          <t>Aerospace &amp; Mechanical Engineering</t>
        </is>
      </c>
      <c r="G25" s="2" t="inlineStr">
        <is>
          <t>9LWNC50AAAAJ</t>
        </is>
      </c>
      <c r="H25" s="3">
        <f>HYPERLINK("mailto:minglei.qu@asu.edu", "minglei.qu@asu.edu")</f>
        <v/>
      </c>
      <c r="I25" s="2" t="n">
        <v>3</v>
      </c>
      <c r="J25" s="2" t="inlineStr">
        <is>
          <t>🟠 Tier 3: Structures / Materials / Manufacturing</t>
        </is>
      </c>
      <c r="K25" s="2" t="n">
        <v>2</v>
      </c>
      <c r="L25" s="2" t="inlineStr">
        <is>
          <t>composites, materials</t>
        </is>
      </c>
      <c r="M25" s="2" t="inlineStr"/>
      <c r="N25" s="2" t="inlineStr"/>
      <c r="O25" s="2" t="inlineStr"/>
      <c r="P25" s="2" t="inlineStr"/>
      <c r="Q25" s="2" t="inlineStr"/>
      <c r="R25" s="2" t="inlineStr"/>
      <c r="S25" s="2" t="inlineStr"/>
      <c r="T25" s="2" t="inlineStr"/>
      <c r="U25" s="2" t="inlineStr">
        <is>
          <t>MAE 213: Mechanics of Materials | MAE 598: Special Topics</t>
        </is>
      </c>
      <c r="V25" s="2" t="inlineStr"/>
      <c r="W25" s="2" t="inlineStr"/>
      <c r="X25" s="2" t="inlineStr"/>
      <c r="Y25" s="2" t="inlineStr"/>
      <c r="Z25" s="2" t="inlineStr">
        <is>
          <t>Metal additive manufacturing, in-situ synchrotron X-ray and neutron characterization, non-equilibrium phase transformation, metal matrix composites. Selected Publications M. Qu , J. Yuan, Q. Guo, A. Nabaa, L. I. Escano, J. Huang, Q. Li, L. Chen. Achieving uniformly refined grain structure in metal additive manufacturing: Experimental demonstration and analytical model development. Additive Manufacturing 108 (2025) 104805. M. Qu , D. Yu, J. Yuan, L. Chen, K. An, Y. Chen. Multi-stage load partitioning in additively manufactured Al6061+TiC nanocomposite characterized by in-situ neutron diffraction. Additive Manufacturing, 96 (2024) 104584. M. Qu , J. Yuan, A. Nabaa, J. Huang, C. A. Chuang, L. Chen. Melting and solidification dynamics during laser additive manufacturing of reaction-based metal matrix composites uncovered by in-situ synchrotron X-ray diffraction. Acta Materialia , 271 (2024) 119875. M. Qu , Q. Guo, L. I. Escano, A. Nabaa, S. M. H. Hojjatzadeh, Z. A. Young, L. Chen. Controlling process instability for defect lean metal additive manufacturing. Nature Communications , 13 (2022) 1079. M. Qu , Q. Guo, L. I. Escano, A. Nabaa, K. Fezzaa, L. Chen. Nanoparticle-enabled increase of energy efficiency during laser metal additive manufacturing. Additive Manufacturing , 60 (2022) 103242. M. Qu , Q.Guo, L. I. Escano, J. Yuan, S. J. Clark, K. Fezzaa, L. Chen. Controlling melt flow by nanoparticles to eliminate surface wave induced surface fluctuation. Additive Manufacturing , 59 (2022) 103081.</t>
        </is>
      </c>
      <c r="AA25" s="2" t="inlineStr"/>
      <c r="AB25" s="2" t="inlineStr">
        <is>
          <t>Minglei Qu is an Assistant Professor of Mechanical Engineering and a graduate faculty of Materials Science and Engineering in the School for Engineering of Matter, Transport and Energy at ASU. His research lies at the intersection of metal additive manufacturing, in-situ characterization, and materials science. By utilizing advanced in-situ characterization tools, including synchrotron X-ray im...</t>
        </is>
      </c>
      <c r="AC25" s="2" t="inlineStr">
        <is>
          <t>PhD. Mechanical Engineering, University of Wisconsin-Madison 2023</t>
        </is>
      </c>
      <c r="AD25" s="2" t="inlineStr"/>
      <c r="AE25" s="2" t="inlineStr"/>
      <c r="AF25" s="2" t="inlineStr"/>
      <c r="AG25" s="2" t="inlineStr"/>
      <c r="AH25" s="2" t="inlineStr"/>
      <c r="AI25" s="2" t="inlineStr"/>
      <c r="AJ25" s="2" t="inlineStr"/>
      <c r="AK25" s="2" t="inlineStr"/>
      <c r="AL25" s="2" t="inlineStr">
        <is>
          <t>Campus: Tempe</t>
        </is>
      </c>
      <c r="AM25" s="2" t="b">
        <v>1</v>
      </c>
      <c r="AN25" s="3">
        <f>HYPERLINK("https://faculty.engineering.asu.edu/directory/semte/aerospace-and-mechanical-engineering/", "https://faculty.engineering.asu.edu/directory/semte/aerospace-and-mechanical-engineering/")</f>
        <v/>
      </c>
    </row>
    <row r="26">
      <c r="A26" s="2" t="inlineStr">
        <is>
          <t>Qiong Nian</t>
        </is>
      </c>
      <c r="B26" s="2" t="inlineStr">
        <is>
          <t>Arizona State University</t>
        </is>
      </c>
      <c r="C26" s="3">
        <f>HYPERLINK("https://search.asu.edu/profile/qnian", "https://search.asu.edu/profile/qnian")</f>
        <v/>
      </c>
      <c r="D26" s="3">
        <f>HYPERLINK("https://scholar.google.com/citations?view_op=search_authors&amp;mauthors=Qiong%20Nian%20Arizona%20State%20University", "Google Scholar Search")</f>
        <v/>
      </c>
      <c r="E26" s="2" t="inlineStr">
        <is>
          <t>Associate Professor</t>
        </is>
      </c>
      <c r="F26" s="2" t="inlineStr">
        <is>
          <t>Aerospace &amp; Mechanical Engineering</t>
        </is>
      </c>
      <c r="G26" s="2" t="inlineStr"/>
      <c r="H26" s="3">
        <f>HYPERLINK("mailto:Qiong.Nian@asu.edu", "Qiong.Nian@asu.edu")</f>
        <v/>
      </c>
      <c r="I26" s="2" t="n">
        <v>3</v>
      </c>
      <c r="J26" s="2" t="inlineStr">
        <is>
          <t>🟠 Tier 3: Structures / Materials / Manufacturing</t>
        </is>
      </c>
      <c r="K26" s="2" t="n">
        <v>2</v>
      </c>
      <c r="L26" s="2" t="inlineStr">
        <is>
          <t>aerospace, materials</t>
        </is>
      </c>
      <c r="M26" s="2" t="inlineStr"/>
      <c r="N26" s="2" t="inlineStr"/>
      <c r="O26" s="2" t="inlineStr"/>
      <c r="P26" s="2" t="inlineStr"/>
      <c r="Q26" s="2" t="inlineStr"/>
      <c r="R26" s="2" t="inlineStr"/>
      <c r="S26" s="2" t="inlineStr"/>
      <c r="T26" s="2" t="inlineStr"/>
      <c r="U26" s="2" t="inlineStr">
        <is>
          <t>MAE 593: Applied Project | MAE 545: Modern Manufacturing Methods | MAE 499: Individualized Instruction</t>
        </is>
      </c>
      <c r="V26" s="2" t="inlineStr"/>
      <c r="W26" s="2" t="inlineStr"/>
      <c r="X26" s="2" t="inlineStr"/>
      <c r="Y26" s="2" t="inlineStr"/>
      <c r="Z26" s="2" t="inlineStr">
        <is>
          <t>Nanomanufacturing, additive manufacturing, laser-based material processing, laser matter interaction and physics simulation; inkjet printing of functional materials; and 2D materials fabrication for energy storage and bio-sensors.</t>
        </is>
      </c>
      <c r="AA26" s="2" t="inlineStr">
        <is>
          <t>Additive Manufacturing, Manufacturing Engineering, Mechanical Engineering</t>
        </is>
      </c>
      <c r="AB26" s="2" t="inlineStr">
        <is>
          <t>Nian's research interests include additive manufacturing, laser-based manufacturing and material processing, laser matter interaction and physics simulation, and functional materials for energy storage and bio-sensors.</t>
        </is>
      </c>
      <c r="AC26" s="2" t="inlineStr">
        <is>
          <t>Ph.D. Manufacturing, Industrial Engineering, Purdue University 2015 | B.Sc. Materials Science and Engineering, University of Science and Technology of China 2009</t>
        </is>
      </c>
      <c r="AD26" s="2" t="inlineStr"/>
      <c r="AE26" s="3">
        <f>HYPERLINK("https://mmmplab.engineering.asu.edu/", "https://mmmplab.engineering.asu.edu/")</f>
        <v/>
      </c>
      <c r="AF26" s="2" t="inlineStr"/>
      <c r="AG26" s="2" t="inlineStr"/>
      <c r="AH26" s="2" t="inlineStr"/>
      <c r="AI26" s="2" t="inlineStr"/>
      <c r="AJ26" s="2" t="inlineStr"/>
      <c r="AK26" s="2" t="inlineStr"/>
      <c r="AL26" s="2" t="inlineStr">
        <is>
          <t>Campus: Tempe</t>
        </is>
      </c>
      <c r="AM26" s="2" t="b">
        <v>1</v>
      </c>
      <c r="AN26" s="3">
        <f>HYPERLINK("https://faculty.engineering.asu.edu/directory/semte/aerospace-and-mechanical-engineering/", "https://faculty.engineering.asu.edu/directory/semte/aerospace-and-mechanical-engineering/")</f>
        <v/>
      </c>
    </row>
    <row r="27">
      <c r="A27" s="2" t="inlineStr">
        <is>
          <t>Yongming Liu</t>
        </is>
      </c>
      <c r="B27" s="2" t="inlineStr">
        <is>
          <t>Arizona State University</t>
        </is>
      </c>
      <c r="C27" s="3">
        <f>HYPERLINK("https://search.asu.edu/profile/yliu35", "https://search.asu.edu/profile/yliu35")</f>
        <v/>
      </c>
      <c r="D27" s="3">
        <f>HYPERLINK("https://scholar.google.com/citations?view_op=search_authors&amp;mauthors=Yongming%20Liu%20Arizona%20State%20University", "Google Scholar Search")</f>
        <v/>
      </c>
      <c r="E27" s="2" t="inlineStr">
        <is>
          <t>Professor</t>
        </is>
      </c>
      <c r="F27" s="2" t="inlineStr">
        <is>
          <t>Aerospace &amp; Mechanical Engineering</t>
        </is>
      </c>
      <c r="G27" s="2" t="inlineStr"/>
      <c r="H27" s="3">
        <f>HYPERLINK("mailto:Yongming.Liu@asu.edu", "Yongming.Liu@asu.edu")</f>
        <v/>
      </c>
      <c r="I27" s="2" t="n">
        <v>3</v>
      </c>
      <c r="J27" s="2" t="inlineStr">
        <is>
          <t>🟠 Tier 3: Structures / Materials / Manufacturing</t>
        </is>
      </c>
      <c r="K27" s="2" t="n">
        <v>2</v>
      </c>
      <c r="L27" s="2" t="inlineStr">
        <is>
          <t>aerospace, materials</t>
        </is>
      </c>
      <c r="M27" s="2" t="inlineStr"/>
      <c r="N27" s="2" t="inlineStr"/>
      <c r="O27" s="2" t="inlineStr"/>
      <c r="P27" s="2" t="inlineStr"/>
      <c r="Q27" s="2" t="inlineStr"/>
      <c r="R27" s="2" t="inlineStr"/>
      <c r="S27" s="2" t="inlineStr"/>
      <c r="T27" s="2" t="inlineStr"/>
      <c r="U27" s="2" t="inlineStr">
        <is>
          <t>MAE 548: Prob Methods for Eng Des/Analy | MAE 593: Applied Project | MAE 584: Internship</t>
        </is>
      </c>
      <c r="V27" s="2" t="inlineStr"/>
      <c r="W27" s="2" t="inlineStr"/>
      <c r="X27" s="2" t="inlineStr"/>
      <c r="Y27" s="2" t="inlineStr"/>
      <c r="Z27" s="2" t="inlineStr">
        <is>
          <t>Yongming Liu is a professor of aerospace and mechanical engineering with the School for Engineering of Matter, Transport and Energy at Arizona State University. Fatigue and fracture of engineering materials and structures, probabilistic computational mechanics, risk assessment and management, multi-physics damage modeling and structural durability, multi-scale uncertainty quantification and propagation, imaging-based experimental testing, diagnostics and prognostics</t>
        </is>
      </c>
      <c r="AA27" s="2" t="inlineStr"/>
      <c r="AB27" s="2" t="inlineStr">
        <is>
          <t>Liu heads the Prognostic Analysis and Reliability Assessment Laboratory (PARA). He joined ASU in 2012.</t>
        </is>
      </c>
      <c r="AC27" s="2" t="inlineStr">
        <is>
          <t>Ph.D. Civil Engineering, Vanderbilt University 2006 | M.S. Structural Engineering, Tongji University, Shanghai, China 2002 | B.S. Structural Engineering, Tongji University, Shanghai, China 1999</t>
        </is>
      </c>
      <c r="AD27" s="2" t="inlineStr">
        <is>
          <t>Prognostics and Health Management (PHM) Lab</t>
        </is>
      </c>
      <c r="AE27" s="2" t="inlineStr"/>
      <c r="AF27" s="2" t="inlineStr"/>
      <c r="AG27" s="2" t="inlineStr"/>
      <c r="AH27" s="2" t="inlineStr"/>
      <c r="AI27" s="2" t="inlineStr"/>
      <c r="AJ27" s="2" t="inlineStr"/>
      <c r="AK27" s="2" t="inlineStr"/>
      <c r="AL27" s="2" t="inlineStr">
        <is>
          <t>ENGRC 409 (Tempe, AZ 85287-6106)</t>
        </is>
      </c>
      <c r="AM27" s="2" t="b">
        <v>1</v>
      </c>
      <c r="AN27" s="3">
        <f>HYPERLINK("https://faculty.engineering.asu.edu/directory/semte/aerospace-and-mechanical-engineering/", "https://faculty.engineering.asu.edu/directory/semte/aerospace-and-mechanical-engineering/")</f>
        <v/>
      </c>
    </row>
    <row r="28">
      <c r="A28" s="2" t="inlineStr">
        <is>
          <t>Cindy (Xiangjia) Li</t>
        </is>
      </c>
      <c r="B28" s="2" t="inlineStr">
        <is>
          <t>Arizona State University</t>
        </is>
      </c>
      <c r="C28" s="3">
        <f>HYPERLINK("https://search.asu.edu/profile/xiangji5", "https://search.asu.edu/profile/xiangji5")</f>
        <v/>
      </c>
      <c r="D28" s="3">
        <f>HYPERLINK("https://scholar.google.com/citations?hl=en&amp;user=tGQzHJIAAAAJ", "Scholar (tGQzHJIAAAAJ)")</f>
        <v/>
      </c>
      <c r="E28" s="2" t="inlineStr">
        <is>
          <t>Associate Professor</t>
        </is>
      </c>
      <c r="F28" s="2" t="inlineStr">
        <is>
          <t>Aerospace &amp; Mechanical Engineering</t>
        </is>
      </c>
      <c r="G28" s="2" t="inlineStr">
        <is>
          <t>tGQzHJIAAAAJ</t>
        </is>
      </c>
      <c r="H28" s="3">
        <f>HYPERLINK("mailto:xiangjia.li@asu.edu", "xiangjia.li@asu.edu")</f>
        <v/>
      </c>
      <c r="I28" s="2" t="n">
        <v>3</v>
      </c>
      <c r="J28" s="2" t="inlineStr">
        <is>
          <t>🟠 Tier 3: Structures / Materials / Manufacturing</t>
        </is>
      </c>
      <c r="K28" s="2" t="n">
        <v>1</v>
      </c>
      <c r="L28" s="2" t="inlineStr">
        <is>
          <t>materials</t>
        </is>
      </c>
      <c r="M28" s="2" t="inlineStr"/>
      <c r="N28" s="2" t="inlineStr"/>
      <c r="O28" s="2" t="inlineStr"/>
      <c r="P28" s="2" t="inlineStr"/>
      <c r="Q28" s="2" t="inlineStr"/>
      <c r="R28" s="2" t="inlineStr">
        <is>
          <t>Dylan Joralmon~, Soham Khairnar, Xiangjia Li*, "Rapid Fabrication of Multi-Metal 3D Objects with Adjustable Gradients by Contin...</t>
        </is>
      </c>
      <c r="S28" s="2" t="inlineStr"/>
      <c r="T28" s="2" t="inlineStr"/>
      <c r="U28" s="2" t="inlineStr">
        <is>
          <t>MAE 301: Applied Experimental Statistic | MAE 593: Applied Project | MAE 494: Special Topics</t>
        </is>
      </c>
      <c r="V28" s="2" t="inlineStr">
        <is>
          <t>2026 The J. Orin Edson Entrepreneurship &amp; Innovation Seed Funding Award ASU 2025 1st place Skysong Startup Competition C</t>
        </is>
      </c>
      <c r="W28" s="2" t="inlineStr">
        <is>
          <t>If you are interested in joining us, please send the full CV (with GPA; working and research experiences; publications) to Prof. Li (email: xiangjia.li AT asu.edu).</t>
        </is>
      </c>
      <c r="X28" s="2" t="inlineStr"/>
      <c r="Y28" s="2" t="inlineStr"/>
      <c r="Z28" s="2" t="inlineStr">
        <is>
          <t>Biomimetic Additive Manufacturing (3D Printing); Bioinspired Material and Structure Design; Stereolithography; Photopolymerization based 3D Printing; Multi-material and Multi-scale 3D printing; Biofabrication; Biomaterial; Ceramic Printing; Nanocomposite Printing; Physical Field Assisted Printing; 4D Printing; Flexible Sensor; Biomedical Device; Tissue Repair and Regeneration.</t>
        </is>
      </c>
      <c r="AA28" s="2" t="inlineStr">
        <is>
          <t>Ceramic Technology, Mechanics of Composite Materials, Mechanical Engineering, Biomimicry, 3D Printing, Additive Manufacturing, Manufacturing Engineering</t>
        </is>
      </c>
      <c r="AB28" s="2" t="inlineStr">
        <is>
          <t>Xiangjia (Cindy) Li is an Associate Professor at Arizona State University. Her research focuses on multiscale, multimaterial additive manufacturing and bioinspired design for functional materials and devices.</t>
        </is>
      </c>
      <c r="AC28" s="2" t="inlineStr">
        <is>
          <t>Ph.D. in Industrial and Systems Engineering, University of Southern California, 2019 M.S. in Computer Science, University of Southern California, 2019 M.S. in Manufacturing Engineering, Nanjing University of Aeronautics and Astronautics, 2014 B.E. in Mechanical Engineering and Automation, Nanjing University of Aeronautics and Astronautics, 2011</t>
        </is>
      </c>
      <c r="AD28" s="2" t="inlineStr">
        <is>
          <t>Advanced Manufacturing and Bio-inspired Design Lab</t>
        </is>
      </c>
      <c r="AE28" s="3">
        <f>HYPERLINK("https://www.cindyxjli.com/", "https://www.cindyxjli.com/")</f>
        <v/>
      </c>
      <c r="AF28" s="2" t="inlineStr">
        <is>
          <t>The labMI is looking for creative, motivated and energetic Ph.D., Master and Undergraduate students from diverse science and engineering field!</t>
        </is>
      </c>
      <c r="AG28" s="2" t="inlineStr"/>
      <c r="AH28" s="2" t="inlineStr"/>
      <c r="AI28" s="2" t="inlineStr">
        <is>
          <t>NSF</t>
        </is>
      </c>
      <c r="AJ28" s="2" t="inlineStr"/>
      <c r="AK28" s="2" t="inlineStr">
        <is>
          <t>Manufacturing</t>
        </is>
      </c>
      <c r="AL28" s="2" t="inlineStr">
        <is>
          <t>ERC457 551 E Tyler Mall (Tempe, AZ 85281)</t>
        </is>
      </c>
      <c r="AM28" s="2" t="b">
        <v>1</v>
      </c>
      <c r="AN28" s="3">
        <f>HYPERLINK("https://faculty.engineering.asu.edu/directory/semte/aerospace-and-mechanical-engineering/", "https://faculty.engineering.asu.edu/directory/semte/aerospace-and-mechanical-engineering/")</f>
        <v/>
      </c>
    </row>
    <row r="29">
      <c r="A29" s="2" t="inlineStr">
        <is>
          <t>Lin Li</t>
        </is>
      </c>
      <c r="B29" s="2" t="inlineStr">
        <is>
          <t>Arizona State University</t>
        </is>
      </c>
      <c r="C29" s="3">
        <f>HYPERLINK("https://search.asu.edu/profile/linli25", "https://search.asu.edu/profile/linli25")</f>
        <v/>
      </c>
      <c r="D29" s="3">
        <f>HYPERLINK("https://scholar.google.com/citations?view_op=search_authors&amp;mauthors=Lin%20Li%20Arizona%20State%20University", "Google Scholar Search")</f>
        <v/>
      </c>
      <c r="E29" s="2" t="inlineStr">
        <is>
          <t>Associate Professor</t>
        </is>
      </c>
      <c r="F29" s="2" t="inlineStr">
        <is>
          <t>Aerospace &amp; Mechanical Engineering</t>
        </is>
      </c>
      <c r="G29" s="2" t="inlineStr"/>
      <c r="H29" s="3">
        <f>HYPERLINK("mailto:Lin.Li.10@asu.edu", "Lin.Li.10@asu.edu")</f>
        <v/>
      </c>
      <c r="I29" s="2" t="n">
        <v>3</v>
      </c>
      <c r="J29" s="2" t="inlineStr">
        <is>
          <t>🟠 Tier 3: Structures / Materials / Manufacturing</t>
        </is>
      </c>
      <c r="K29" s="2" t="n">
        <v>1</v>
      </c>
      <c r="L29" s="2" t="inlineStr">
        <is>
          <t>materials</t>
        </is>
      </c>
      <c r="M29" s="2" t="inlineStr"/>
      <c r="N29" s="2" t="inlineStr"/>
      <c r="O29" s="2" t="inlineStr"/>
      <c r="P29" s="2" t="inlineStr"/>
      <c r="Q29" s="2" t="inlineStr"/>
      <c r="R29" s="2" t="inlineStr"/>
      <c r="S29" s="2" t="inlineStr"/>
      <c r="T29" s="2" t="inlineStr"/>
      <c r="U29" s="2" t="inlineStr">
        <is>
          <t>MAE 520: Stress Analysis | MAE 499: Individualized Instruction | MAE 598: Special Topics</t>
        </is>
      </c>
      <c r="V29" s="2" t="inlineStr"/>
      <c r="W29" s="2" t="inlineStr"/>
      <c r="X29" s="2" t="inlineStr"/>
      <c r="Y29" s="2" t="inlineStr"/>
      <c r="Z29" s="2" t="inlineStr"/>
      <c r="AA29" s="2" t="inlineStr"/>
      <c r="AB29" s="2" t="inlineStr">
        <is>
          <t>Li uses multiscale material mechanics models, computational and data tools to explore advanced materials for extreme environments.</t>
        </is>
      </c>
      <c r="AC29" s="2" t="inlineStr">
        <is>
          <t>PhD The Ohio State University</t>
        </is>
      </c>
      <c r="AD29" s="2" t="inlineStr"/>
      <c r="AE29" s="2" t="inlineStr"/>
      <c r="AF29" s="2" t="inlineStr"/>
      <c r="AG29" s="2" t="inlineStr"/>
      <c r="AH29" s="2" t="inlineStr"/>
      <c r="AI29" s="2" t="inlineStr"/>
      <c r="AJ29" s="2" t="inlineStr"/>
      <c r="AK29" s="2" t="inlineStr"/>
      <c r="AL29" s="2" t="inlineStr">
        <is>
          <t>Campus: Tempe</t>
        </is>
      </c>
      <c r="AM29" s="2" t="b">
        <v>1</v>
      </c>
      <c r="AN29" s="3">
        <f>HYPERLINK("https://faculty.engineering.asu.edu/directory/semte/aerospace-and-mechanical-engineering/", "https://faculty.engineering.asu.edu/directory/semte/aerospace-and-mechanical-engineering/")</f>
        <v/>
      </c>
    </row>
    <row r="30">
      <c r="A30" s="2" t="inlineStr">
        <is>
          <t>Pedro Peralta</t>
        </is>
      </c>
      <c r="B30" s="2" t="inlineStr">
        <is>
          <t>Arizona State University</t>
        </is>
      </c>
      <c r="C30" s="3">
        <f>HYPERLINK("https://search.asu.edu/profile/pperalta", "https://search.asu.edu/profile/pperalta")</f>
        <v/>
      </c>
      <c r="D30" s="3">
        <f>HYPERLINK("https://scholar.google.com/citations?view_op=search_authors&amp;mauthors=Pedro%20Peralta%20Arizona%20State%20University", "Google Scholar Search")</f>
        <v/>
      </c>
      <c r="E30" s="2" t="inlineStr">
        <is>
          <t>Professor</t>
        </is>
      </c>
      <c r="F30" s="2" t="inlineStr">
        <is>
          <t>Aerospace &amp; Mechanical Engineering</t>
        </is>
      </c>
      <c r="G30" s="2" t="inlineStr"/>
      <c r="H30" s="3">
        <f>HYPERLINK("mailto:pperalta@asu.edu", "pperalta@asu.edu")</f>
        <v/>
      </c>
      <c r="I30" s="2" t="n">
        <v>3</v>
      </c>
      <c r="J30" s="2" t="inlineStr">
        <is>
          <t>🟠 Tier 3: Structures / Materials / Manufacturing</t>
        </is>
      </c>
      <c r="K30" s="2" t="n">
        <v>1</v>
      </c>
      <c r="L30" s="2" t="inlineStr">
        <is>
          <t>materials</t>
        </is>
      </c>
      <c r="M30" s="2" t="inlineStr"/>
      <c r="N30" s="2" t="inlineStr"/>
      <c r="O30" s="2" t="inlineStr"/>
      <c r="P30" s="2" t="inlineStr"/>
      <c r="Q30" s="2" t="inlineStr"/>
      <c r="R30" s="2" t="inlineStr"/>
      <c r="S30" s="2" t="inlineStr"/>
      <c r="T30" s="2" t="inlineStr"/>
      <c r="U30" s="2" t="inlineStr">
        <is>
          <t>MAE 213: Mechanics of Materials | MAE 593: Applied Project | MAE 520: Stress Analysis</t>
        </is>
      </c>
      <c r="V30" s="2" t="inlineStr"/>
      <c r="W30" s="2" t="inlineStr"/>
      <c r="X30" s="2" t="inlineStr"/>
      <c r="Y30" s="2" t="inlineStr"/>
      <c r="Z30" s="2" t="inlineStr"/>
      <c r="AA30" s="2" t="inlineStr"/>
      <c r="AB30" s="2" t="inlineStr">
        <is>
          <t>Peralta's research focuses on mechanics of materials, fatigue and fracture of metallic alloys, dynamic and shock loading of metallic and intermetallic materials.</t>
        </is>
      </c>
      <c r="AC30" s="2" t="inlineStr">
        <is>
          <t>Ph.D. Materials Science and Engineering, University of Pennsylvania | M.S. Mechanical Engineering and Applied Mechanics, University of Pennsylvania | Bachelor’s degree. Mechanical Engineering, Universidad Simón Bolívar, Caracas, Venezuela</t>
        </is>
      </c>
      <c r="AD30" s="2" t="inlineStr"/>
      <c r="AE30" s="3">
        <f>HYPERLINK("https://faculty.engineering.asu.edu/pperalta/", "https://faculty.engineering.asu.edu/pperalta/")</f>
        <v/>
      </c>
      <c r="AF30" s="2" t="inlineStr"/>
      <c r="AG30" s="2" t="inlineStr"/>
      <c r="AH30" s="2" t="inlineStr"/>
      <c r="AI30" s="2" t="inlineStr"/>
      <c r="AJ30" s="2" t="inlineStr"/>
      <c r="AK30" s="2" t="inlineStr"/>
      <c r="AL30" s="2" t="inlineStr">
        <is>
          <t>ENGRC 352 (TEMPE, AZ 85287-6106)</t>
        </is>
      </c>
      <c r="AM30" s="2" t="b">
        <v>1</v>
      </c>
      <c r="AN30" s="3">
        <f>HYPERLINK("https://faculty.engineering.asu.edu/directory/semte/aerospace-and-mechanical-engineering/", "https://faculty.engineering.asu.edu/directory/semte/aerospace-and-mechanical-engineering/")</f>
        <v/>
      </c>
    </row>
    <row r="31">
      <c r="A31" s="2" t="inlineStr">
        <is>
          <t>Wonmo Kang</t>
        </is>
      </c>
      <c r="B31" s="2" t="inlineStr">
        <is>
          <t>Arizona State University</t>
        </is>
      </c>
      <c r="C31" s="3">
        <f>HYPERLINK("https://search.asu.edu/profile/wkang16", "https://search.asu.edu/profile/wkang16")</f>
        <v/>
      </c>
      <c r="D31" s="3">
        <f>HYPERLINK("https://scholar.google.com/citations?hl=en&amp;user=bHyyOTAAAAAJ", "Scholar (bHyyOTAAAAAJ)")</f>
        <v/>
      </c>
      <c r="E31" s="2" t="inlineStr">
        <is>
          <t>Associate Professor</t>
        </is>
      </c>
      <c r="F31" s="2" t="inlineStr">
        <is>
          <t>Aerospace &amp; Mechanical Engineering</t>
        </is>
      </c>
      <c r="G31" s="2" t="inlineStr">
        <is>
          <t>bHyyOTAAAAAJ</t>
        </is>
      </c>
      <c r="H31" s="3">
        <f>HYPERLINK("mailto:Wonmo.Kang@asu.edu", "Wonmo.Kang@asu.edu")</f>
        <v/>
      </c>
      <c r="I31" s="2" t="n">
        <v>3</v>
      </c>
      <c r="J31" s="2" t="inlineStr">
        <is>
          <t>🟠 Tier 3: Structures / Materials / Manufacturing</t>
        </is>
      </c>
      <c r="K31" s="2" t="n">
        <v>1</v>
      </c>
      <c r="L31" s="2" t="inlineStr">
        <is>
          <t>materials</t>
        </is>
      </c>
      <c r="M31" s="2" t="inlineStr"/>
      <c r="N31" s="2" t="inlineStr"/>
      <c r="O31" s="2" t="inlineStr"/>
      <c r="P31" s="2" t="inlineStr"/>
      <c r="Q31" s="2" t="inlineStr"/>
      <c r="R31" s="2" t="inlineStr">
        <is>
          <t>top of page This website was built on Wix. Create yours today. Get Started Bio &amp; Nano Lab Home Dr. Kang Lab Members Publication...</t>
        </is>
      </c>
      <c r="S31" s="2" t="inlineStr"/>
      <c r="T31" s="2" t="inlineStr"/>
      <c r="U31" s="2" t="inlineStr">
        <is>
          <t>MAE 598: Special Topics | MAE 494: Special Topics | MAE 202: Mech.Particles/Rigid Bodies II</t>
        </is>
      </c>
      <c r="V31" s="2" t="inlineStr">
        <is>
          <t>NSF Career Award through the Advanced Manufacturing (AM) program, 2024. | U.S. Air Force Research Lab Summer Faculty (AFRL) Fellowship , 2021.</t>
        </is>
      </c>
      <c r="W31" s="2" t="inlineStr"/>
      <c r="X31" s="2" t="inlineStr"/>
      <c r="Y31" s="2" t="inlineStr"/>
      <c r="Z31" s="2" t="inlineStr">
        <is>
          <t>Mechanics of Composite Materials, Micro and Nanoscale Bioengineering, Nanotechnology, Thin Film Materials</t>
        </is>
      </c>
      <c r="AA31" s="2" t="inlineStr">
        <is>
          <t>Mechanics of Composite Materials, Micro and Nanoscale Bioengineering, Nanotechnology, Thin Film Materials</t>
        </is>
      </c>
      <c r="AB31" s="2" t="inlineStr">
        <is>
          <t>Kang's current research interests include functional materials for energy/manufacturing applications and biomaterials/biomechanics for injury and wound healing mechanisms.</t>
        </is>
      </c>
      <c r="AC31" s="2" t="inlineStr">
        <is>
          <t>Ph.D. Mechanical Science and Engineering, University of Illinois at Urbana-Champaign 2012</t>
        </is>
      </c>
      <c r="AD31" s="2" t="inlineStr"/>
      <c r="AE31" s="3">
        <f>HYPERLINK("https://wonmokang3.wixsite.com/website", "https://wonmokang3.wixsite.com/website")</f>
        <v/>
      </c>
      <c r="AF31" s="2" t="inlineStr">
        <is>
          <t>Actively recruiting / Openings mentioned on lab site</t>
        </is>
      </c>
      <c r="AG31" s="2" t="inlineStr"/>
      <c r="AH31" s="2" t="inlineStr">
        <is>
          <t>SEM</t>
        </is>
      </c>
      <c r="AI31" s="2" t="inlineStr">
        <is>
          <t>NSF, ONR</t>
        </is>
      </c>
      <c r="AJ31" s="2" t="inlineStr"/>
      <c r="AK31" s="2" t="inlineStr">
        <is>
          <t>Highlighted as a cover in Small</t>
        </is>
      </c>
      <c r="AL31" s="2" t="inlineStr">
        <is>
          <t>Campus: Tempe</t>
        </is>
      </c>
      <c r="AM31" s="2" t="b">
        <v>1</v>
      </c>
      <c r="AN31" s="3">
        <f>HYPERLINK("https://faculty.engineering.asu.edu/directory/semte/aerospace-and-mechanical-engineering/", "https://faculty.engineering.asu.edu/directory/semte/aerospace-and-mechanical-engineering/")</f>
        <v/>
      </c>
    </row>
    <row r="32">
      <c r="A32" s="2" t="inlineStr">
        <is>
          <t>Jiefeng Sun</t>
        </is>
      </c>
      <c r="B32" s="2" t="inlineStr">
        <is>
          <t>Arizona State University</t>
        </is>
      </c>
      <c r="C32" s="3">
        <f>HYPERLINK("https://search.asu.edu/profile/jsun165", "https://search.asu.edu/profile/jsun165")</f>
        <v/>
      </c>
      <c r="D32" s="3">
        <f>HYPERLINK("https://scholar.google.com/citations?hl=en&amp;user=fjUoHOsAAAAJ", "Scholar (fjUoHOsAAAAJ)")</f>
        <v/>
      </c>
      <c r="E32" s="2" t="inlineStr">
        <is>
          <t>Assistant Professor</t>
        </is>
      </c>
      <c r="F32" s="2" t="inlineStr">
        <is>
          <t>Aerospace &amp; Mechanical Engineering</t>
        </is>
      </c>
      <c r="G32" s="2" t="inlineStr">
        <is>
          <t>fjUoHOsAAAAJ</t>
        </is>
      </c>
      <c r="H32" s="3">
        <f>HYPERLINK("mailto:Jiefeng.Sun@asu.edu", "Jiefeng.Sun@asu.edu")</f>
        <v/>
      </c>
      <c r="I32" s="2" t="n">
        <v>4</v>
      </c>
      <c r="J32" s="2" t="inlineStr">
        <is>
          <t>🔴 Tier 4: Robotics / Controls / Autonomy</t>
        </is>
      </c>
      <c r="K32" s="2" t="n">
        <v>6</v>
      </c>
      <c r="L32" s="2" t="inlineStr">
        <is>
          <t>aerospace, autonomous, materials, robot, robotics, smart materials</t>
        </is>
      </c>
      <c r="M32" s="2" t="inlineStr"/>
      <c r="N32" s="2" t="inlineStr"/>
      <c r="O32" s="2" t="inlineStr"/>
      <c r="P32" s="2" t="inlineStr"/>
      <c r="Q32" s="2" t="inlineStr"/>
      <c r="R32" s="2" t="inlineStr">
        <is>
          <t>2026 Versatile artificial muscles by decoupling anisotropy Eric Weissman, Rohan Khatavkar, and Jiefeng Sun Proceedings of the N...</t>
        </is>
      </c>
      <c r="S32" s="2" t="inlineStr"/>
      <c r="T32" s="2" t="inlineStr"/>
      <c r="U32" s="2" t="inlineStr">
        <is>
          <t>MAE 547: Modeling and Control of Robots | MAE 593: Applied Project | MAE 499: Individualized Instruction</t>
        </is>
      </c>
      <c r="V32" s="2" t="inlineStr"/>
      <c r="W32" s="2" t="inlineStr">
        <is>
          <t>To apply, interested candidates should submit an application to Arizona State University via https://webapp4.asu.edu/dgsadmissions/ , specifying their interest in working with Dr. Sun. Additionally, they should send an email titled “Prospective Ph.D. Student” to jiefeng.sun@asu.edu, attaching their CV and a cover letter before submitting their application. | I am seeking multiple highly motivated Master students or undergrads to conduct theses. To apply, interested candidates should fill in this form: https://forms.gle/RCwqu4wkCjhBUoFL7</t>
        </is>
      </c>
      <c r="X32" s="2" t="inlineStr"/>
      <c r="Y32" s="2" t="inlineStr"/>
      <c r="Z32" s="2" t="inlineStr">
        <is>
          <t>Hire students to conduct research https://sunroboticslab.github.io</t>
        </is>
      </c>
      <c r="AA32" s="2" t="inlineStr">
        <is>
          <t>Autonomous Technologies, Control Systems, Mechanical Engineering, Robotics</t>
        </is>
      </c>
      <c r="AB32" s="2" t="inlineStr">
        <is>
          <t>Sun's research focuses on the design, dynamics, and control of soft robots and artificial muscles</t>
        </is>
      </c>
      <c r="AC32" s="2" t="inlineStr">
        <is>
          <t>Ph.D. in Robotics and Control, Colorado State University, 2022 M.S. in Mechanical Engineering, Dalian University of Technology, 2017 B.S. in Mechanical Engineering, Lanzhou University of Technology, 2014</t>
        </is>
      </c>
      <c r="AD32" s="2" t="inlineStr">
        <is>
          <t>Sun Robotics Lab</t>
        </is>
      </c>
      <c r="AE32" s="3">
        <f>HYPERLINK("https://sunroboticslab.github.io", "https://sunroboticslab.github.io")</f>
        <v/>
      </c>
      <c r="AF32" s="2" t="inlineStr">
        <is>
          <t>I am seeking multiple highly motivated Master students or undergrads to conduct theses. To apply, interested candidates should fill in this form: https://forms.gle/RCwqu4wkCjhBUoFL7 | I am a K-12 student/teacher and would like information for a school report, tour, help with my robotics team, a research internship, etc. My students and I are very excited about using robotics as a teaching tool to encourage interest in Science, Technology, Engineering, and Math (STEM) topics. We actively involved in outreach and are have an outreach webpage to answer your questions.</t>
        </is>
      </c>
      <c r="AG32" s="2" t="inlineStr"/>
      <c r="AH32" s="2" t="inlineStr"/>
      <c r="AI32" s="2" t="inlineStr"/>
      <c r="AJ32" s="2" t="inlineStr"/>
      <c r="AK32" s="2" t="inlineStr">
        <is>
          <t>Mission and Core Values</t>
        </is>
      </c>
      <c r="AL32" s="2" t="inlineStr">
        <is>
          <t>Campus: Tempe</t>
        </is>
      </c>
      <c r="AM32" s="2" t="b">
        <v>1</v>
      </c>
      <c r="AN32" s="3">
        <f>HYPERLINK("https://faculty.engineering.asu.edu/directory/semte/aerospace-and-mechanical-engineering/", "https://faculty.engineering.asu.edu/directory/semte/aerospace-and-mechanical-engineering/")</f>
        <v/>
      </c>
    </row>
    <row r="33">
      <c r="A33" s="2" t="inlineStr">
        <is>
          <t>Kunal Garg</t>
        </is>
      </c>
      <c r="B33" s="2" t="inlineStr">
        <is>
          <t>Arizona State University</t>
        </is>
      </c>
      <c r="C33" s="3">
        <f>HYPERLINK("https://search.asu.edu/profile/kgarg24", "https://search.asu.edu/profile/kgarg24")</f>
        <v/>
      </c>
      <c r="D33" s="3">
        <f>HYPERLINK("https://scholar.google.com/citations?hl=en&amp;user=vs3pl-8AAAAJ", "Scholar (vs3pl-8AAAAJ)")</f>
        <v/>
      </c>
      <c r="E33" s="2" t="inlineStr">
        <is>
          <t>Assistant Professor</t>
        </is>
      </c>
      <c r="F33" s="2" t="inlineStr">
        <is>
          <t>Aerospace &amp; Mechanical Engineering</t>
        </is>
      </c>
      <c r="G33" s="2" t="inlineStr">
        <is>
          <t>vs3pl-8AAAAJ</t>
        </is>
      </c>
      <c r="H33" s="3">
        <f>HYPERLINK("mailto:kgarg24@asu.edu", "kgarg24@asu.edu")</f>
        <v/>
      </c>
      <c r="I33" s="2" t="n">
        <v>4</v>
      </c>
      <c r="J33" s="2" t="inlineStr">
        <is>
          <t>🔴 Tier 4: Robotics / Controls / Autonomy</t>
        </is>
      </c>
      <c r="K33" s="2" t="n">
        <v>6</v>
      </c>
      <c r="L33" s="2" t="inlineStr">
        <is>
          <t>aerospace, autonomous, control theory, motion planning, robot, robotics</t>
        </is>
      </c>
      <c r="M33" s="2" t="inlineStr"/>
      <c r="N33" s="2" t="inlineStr"/>
      <c r="O33" s="2" t="inlineStr"/>
      <c r="P33" s="2" t="inlineStr"/>
      <c r="Q33" s="2" t="inlineStr"/>
      <c r="R33" s="2" t="inlineStr">
        <is>
          <t>Search this site Embedded Files Skip to main content Skip to navigation Kunal Garg Home People Teaching Research Publications K...</t>
        </is>
      </c>
      <c r="S33" s="2" t="inlineStr"/>
      <c r="T33" s="2" t="inlineStr"/>
      <c r="U33" s="2" t="inlineStr">
        <is>
          <t>MAE 417: System Dynamics and Control II | MAE 593: Applied Project | MAE 598: Special Topics</t>
        </is>
      </c>
      <c r="V33" s="2" t="inlineStr"/>
      <c r="W33" s="2" t="inlineStr">
        <is>
          <t>More specific topics that I will be interested in working on are: Multi-agent robotics Team robotics with aerial and ground robots Learning-based methods for safe robotics Optimization-based methods for safe robotic control Reinforcement learning for multi-objective robotic applications Large-Language Models (LLMs) in robotic applications The pre-requisites and background I am looking for are as follows: Strong interests in control, autonomy, and robotics Strong mathematical background in Linear Systems and Linear Algebra, ODEs, Probability, and Calculus Programming efficiency: Python (C/C++ is optional, but will be a good add-on as we will plan to conduct hardware experiments) Hands-on experience with ML packages (PyTorch or JAX) Hands-on experience with ROS or ROS2 Email me your CV along with a one or two-page document on why you are interested in working with me, what topic(s) you are interested in working on, what motivates you to work on those, which of the pre-requisites listed above you meet, and what's your plan for meeting the rest of the requirements</t>
        </is>
      </c>
      <c r="X33" s="2" t="inlineStr"/>
      <c r="Y33" s="2" t="inlineStr"/>
      <c r="Z33" s="2" t="inlineStr">
        <is>
          <t>Distributed multi-agent motion planning and control, Provably safe control design using machine learning-based certificates, Foundation models in complex robotic tasks, Failure prediction from limited demonstrations, Human-robot interaction.</t>
        </is>
      </c>
      <c r="AA33" s="2" t="inlineStr">
        <is>
          <t>Control Systems, Dynamical Systems, Machine Learning, Nonlinear Dynamical Systems, Robotics</t>
        </is>
      </c>
      <c r="AB33" s="2" t="inlineStr">
        <is>
          <t>Garg's research interests include control synthesis for multi-agent coordination using control theory and machine learning.</t>
        </is>
      </c>
      <c r="AC33" s="2" t="inlineStr">
        <is>
          <t>PhD. Aerospace Engineering, University of Michigan, Ann Arbor, 2021 MS. Aerospace Engineering, University of Michigan, Ann Arbor, 2019 BTech. Aerospace Engineering, Indian Institute of Technology, Bombay, 2016</t>
        </is>
      </c>
      <c r="AD33" s="2" t="inlineStr">
        <is>
          <t>Safe and Autonomous Robotics (STAR) Lab</t>
        </is>
      </c>
      <c r="AE33" s="3">
        <f>HYPERLINK("https://sites.google.com/asu.edu/kunalgarg/", "https://sites.google.com/asu.edu/kunalgarg/")</f>
        <v/>
      </c>
      <c r="AF33" s="2" t="inlineStr">
        <is>
          <t>Actively seeking graduate students (see lab link/instructions)</t>
        </is>
      </c>
      <c r="AG33" s="2" t="inlineStr">
        <is>
          <t>Python, PyTorch, ROS, ROS2, C/C++, Linear Algebra</t>
        </is>
      </c>
      <c r="AH33" s="2" t="inlineStr"/>
      <c r="AI33" s="2" t="inlineStr"/>
      <c r="AJ33" s="2" t="inlineStr"/>
      <c r="AK33" s="2" t="inlineStr"/>
      <c r="AL33" s="2" t="inlineStr">
        <is>
          <t>551 E Tyler Mall ERC 475 (Tempe, AZ 85281)</t>
        </is>
      </c>
      <c r="AM33" s="2" t="b">
        <v>1</v>
      </c>
      <c r="AN33" s="3">
        <f>HYPERLINK("https://faculty.engineering.asu.edu/directory/semte/aerospace-and-mechanical-engineering/", "https://faculty.engineering.asu.edu/directory/semte/aerospace-and-mechanical-engineering/")</f>
        <v/>
      </c>
    </row>
    <row r="34">
      <c r="A34" s="2" t="inlineStr">
        <is>
          <t>Spring Berman</t>
        </is>
      </c>
      <c r="B34" s="2" t="inlineStr">
        <is>
          <t>Arizona State University</t>
        </is>
      </c>
      <c r="C34" s="3">
        <f>HYPERLINK("https://search.asu.edu/profile/smberma2", "https://search.asu.edu/profile/smberma2")</f>
        <v/>
      </c>
      <c r="D34" s="3">
        <f>HYPERLINK("https://scholar.google.com/citations?hl=en&amp;user=KKup0OgAAAAJ", "Scholar (KKup0OgAAAAJ)")</f>
        <v/>
      </c>
      <c r="E34" s="2" t="inlineStr">
        <is>
          <t>Professor</t>
        </is>
      </c>
      <c r="F34" s="2" t="inlineStr">
        <is>
          <t>Aerospace &amp; Mechanical Engineering</t>
        </is>
      </c>
      <c r="G34" s="2" t="inlineStr">
        <is>
          <t>KKup0OgAAAAJ</t>
        </is>
      </c>
      <c r="H34" s="3">
        <f>HYPERLINK("mailto:Spring.Berman@asu.edu", "Spring.Berman@asu.edu")</f>
        <v/>
      </c>
      <c r="I34" s="2" t="n">
        <v>4</v>
      </c>
      <c r="J34" s="2" t="inlineStr">
        <is>
          <t>🔴 Tier 4: Robotics / Controls / Autonomy</t>
        </is>
      </c>
      <c r="K34" s="2" t="n">
        <v>5</v>
      </c>
      <c r="L34" s="2" t="inlineStr">
        <is>
          <t>aerospace, autonomous, control theory, robot, robotics</t>
        </is>
      </c>
      <c r="M34" s="2" t="inlineStr"/>
      <c r="N34" s="2" t="inlineStr"/>
      <c r="O34" s="2" t="inlineStr"/>
      <c r="P34" s="2" t="inlineStr"/>
      <c r="Q34" s="2" t="inlineStr"/>
      <c r="R34" s="2" t="inlineStr"/>
      <c r="S34" s="2" t="inlineStr"/>
      <c r="T34" s="2" t="inlineStr"/>
      <c r="U34" s="2" t="inlineStr">
        <is>
          <t>MAE 318: System Dynamics and Control I | MAE 598: Special Topics | MAE 593: Applied Project</t>
        </is>
      </c>
      <c r="V34" s="2" t="inlineStr"/>
      <c r="W34" s="2" t="inlineStr"/>
      <c r="X34" s="2" t="inlineStr"/>
      <c r="Y34" s="2" t="inlineStr"/>
      <c r="Z34" s="2" t="inlineStr">
        <is>
          <t>Modeling, analysis, control, and optimization of multi-robot systems including robotic swarms; analysis of collective behaviors in biology and biologically-inspired control of distributed systems</t>
        </is>
      </c>
      <c r="AA34" s="2" t="inlineStr">
        <is>
          <t>Systems and Control Theory, Mechanical Engineering, Autonomous Technologies, Robotics</t>
        </is>
      </c>
      <c r="AB34" s="2" t="inlineStr">
        <is>
          <t>Dr. Berman directs the Autonomous Collective Systems Laboratory at ASU, which models and analyzes behaviors in biological and engineered collectives and designs control strategies for multi-robot systems.</t>
        </is>
      </c>
      <c r="AC34" s="2" t="inlineStr">
        <is>
          <t>Ph.D. Mechanical Engineering and Applied Mechanics, University of Pennsylvania 2010 | M.S.E. Mechanical Engineering and Applied Mechanics, University of Pennsylvania 2008 | B.S.E. Mechanical and Aerospace Engineering, Princeton University 2005 | Certificate. Robotics and Intelligent Systems, Princeton University 2005</t>
        </is>
      </c>
      <c r="AD34" s="2" t="inlineStr">
        <is>
          <t>Autonomous Collective Systems (ACS) Laboratory</t>
        </is>
      </c>
      <c r="AE34" s="3">
        <f>HYPERLINK("http://faculty.engineering.asu.edu/acs/", "http://faculty.engineering.asu.edu/acs/")</f>
        <v/>
      </c>
      <c r="AF34" s="2" t="inlineStr"/>
      <c r="AG34" s="2" t="inlineStr"/>
      <c r="AH34" s="2" t="inlineStr"/>
      <c r="AI34" s="2" t="inlineStr"/>
      <c r="AJ34" s="2" t="inlineStr"/>
      <c r="AK34" s="2" t="inlineStr"/>
      <c r="AL34" s="2" t="inlineStr">
        <is>
          <t>ENGRC 375 (Tempe, AZ 85287-6106)</t>
        </is>
      </c>
      <c r="AM34" s="2" t="b">
        <v>1</v>
      </c>
      <c r="AN34" s="3">
        <f>HYPERLINK("https://faculty.engineering.asu.edu/directory/semte/aerospace-and-mechanical-engineering/", "https://faculty.engineering.asu.edu/directory/semte/aerospace-and-mechanical-engineering/")</f>
        <v/>
      </c>
    </row>
    <row r="35">
      <c r="A35" s="2" t="inlineStr">
        <is>
          <t>Zhe Xu</t>
        </is>
      </c>
      <c r="B35" s="2" t="inlineStr">
        <is>
          <t>Arizona State University</t>
        </is>
      </c>
      <c r="C35" s="3">
        <f>HYPERLINK("https://search.asu.edu/profile/xzhe1", "https://search.asu.edu/profile/xzhe1")</f>
        <v/>
      </c>
      <c r="D35" s="3">
        <f>HYPERLINK("https://scholar.google.com/citations?view_op=search_authors&amp;mauthors=Zhe%20Xu%20Arizona%20State%20University", "Google Scholar Search")</f>
        <v/>
      </c>
      <c r="E35" s="2" t="inlineStr">
        <is>
          <t>Assistant Professor</t>
        </is>
      </c>
      <c r="F35" s="2" t="inlineStr">
        <is>
          <t>Aerospace &amp; Mechanical Engineering</t>
        </is>
      </c>
      <c r="G35" s="2" t="inlineStr"/>
      <c r="H35" s="3">
        <f>HYPERLINK("mailto:xzhe1@asu.edu", "xzhe1@asu.edu")</f>
        <v/>
      </c>
      <c r="I35" s="2" t="n">
        <v>4</v>
      </c>
      <c r="J35" s="2" t="inlineStr">
        <is>
          <t>🔴 Tier 4: Robotics / Controls / Autonomy</t>
        </is>
      </c>
      <c r="K35" s="2" t="n">
        <v>5</v>
      </c>
      <c r="L35" s="2" t="inlineStr">
        <is>
          <t>autonomous, control theory, energy systems, robot, robotics</t>
        </is>
      </c>
      <c r="M35" s="2" t="inlineStr"/>
      <c r="N35" s="2" t="inlineStr"/>
      <c r="O35" s="2" t="inlineStr"/>
      <c r="P35" s="2" t="inlineStr"/>
      <c r="Q35" s="2" t="inlineStr"/>
      <c r="R35" s="2" t="inlineStr">
        <is>
          <t>Search this site Embedded Files Skip to main content Skip to navigation Home Publications Research Teaching Group Members Outre...</t>
        </is>
      </c>
      <c r="S35" s="2" t="inlineStr"/>
      <c r="T35" s="2" t="inlineStr"/>
      <c r="U35" s="2" t="inlineStr">
        <is>
          <t>MAE 506: Adv Sys Model, Dynamic, Contrl | MAE 318: System Dynamics and Control I | MAE 593: Applied Project</t>
        </is>
      </c>
      <c r="V35" s="2" t="inlineStr"/>
      <c r="W35" s="2" t="inlineStr"/>
      <c r="X35" s="2" t="inlineStr"/>
      <c r="Y35" s="2" t="inlineStr"/>
      <c r="Z35" s="2" t="inlineStr">
        <is>
          <t>The research interests include control theory, machine learning, formal methods and autonomous systems.</t>
        </is>
      </c>
      <c r="AA35" s="2" t="inlineStr">
        <is>
          <t>Artificial Intelligence, Control Systems, Electric Power and Energy Systems, Machine Learning, Robotics, Systems and Control Theory</t>
        </is>
      </c>
      <c r="AB35" s="2" t="inlineStr">
        <is>
          <t>My research interests include control theory, formal methods, and machine learning (including reinforcement learning), with applications on autonomous systems and cyber-physical systems.</t>
        </is>
      </c>
      <c r="AC35" s="2" t="inlineStr">
        <is>
          <t>Ph.D Degree at the  Department of Electrical, Computer, and Systems Engineering  at  Rensselaer Polytechnic Institute  in 2018 | Master's Degree at the  School of electrical and information engineering  at  Tianjin University  in 2014 | Bachelor's Degree at the  School of electrical and information engineering  at  Tianjin University  in 2011</t>
        </is>
      </c>
      <c r="AD35" s="2" t="inlineStr"/>
      <c r="AE35" s="3">
        <f>HYPERLINK("https://sites.google.com/site/zhexudavid00710/research?authuser=0", "https://sites.google.com/site/zhexudavid00710/research?authuser=0")</f>
        <v/>
      </c>
      <c r="AF35" s="2" t="inlineStr"/>
      <c r="AG35" s="2" t="inlineStr"/>
      <c r="AH35" s="2" t="inlineStr"/>
      <c r="AI35" s="2" t="inlineStr"/>
      <c r="AJ35" s="2" t="inlineStr"/>
      <c r="AK35" s="2" t="inlineStr"/>
      <c r="AL35" s="2" t="inlineStr">
        <is>
          <t>Campus: Tempe</t>
        </is>
      </c>
      <c r="AM35" s="2" t="b">
        <v>1</v>
      </c>
      <c r="AN35" s="3">
        <f>HYPERLINK("https://faculty.engineering.asu.edu/directory/semte/aerospace-and-mechanical-engineering/", "https://faculty.engineering.asu.edu/directory/semte/aerospace-and-mechanical-engineering/")</f>
        <v/>
      </c>
    </row>
    <row r="36">
      <c r="A36" s="2" t="inlineStr">
        <is>
          <t>Matthew Peet</t>
        </is>
      </c>
      <c r="B36" s="2" t="inlineStr">
        <is>
          <t>Arizona State University</t>
        </is>
      </c>
      <c r="C36" s="3">
        <f>HYPERLINK("https://search.asu.edu/profile/mpeet", "https://search.asu.edu/profile/mpeet")</f>
        <v/>
      </c>
      <c r="D36" s="3">
        <f>HYPERLINK("https://scholar.google.com/citations?hl=en&amp;user=l7umOqMAAAAJ", "Scholar (l7umOqMAAAAJ)")</f>
        <v/>
      </c>
      <c r="E36" s="2" t="inlineStr">
        <is>
          <t>Associate Professor</t>
        </is>
      </c>
      <c r="F36" s="2" t="inlineStr">
        <is>
          <t>Aerospace &amp; Mechanical Engineering</t>
        </is>
      </c>
      <c r="G36" s="2" t="inlineStr">
        <is>
          <t>l7umOqMAAAAJ</t>
        </is>
      </c>
      <c r="H36" s="3">
        <f>HYPERLINK("mailto:mpeet@asu.edu", "mpeet@asu.edu")</f>
        <v/>
      </c>
      <c r="I36" s="2" t="n">
        <v>4</v>
      </c>
      <c r="J36" s="2" t="inlineStr">
        <is>
          <t>🔴 Tier 4: Robotics / Controls / Autonomy</t>
        </is>
      </c>
      <c r="K36" s="2" t="n">
        <v>4</v>
      </c>
      <c r="L36" s="2" t="inlineStr">
        <is>
          <t>aerospace, materials, spacecraft, system dynamics</t>
        </is>
      </c>
      <c r="M36" s="2" t="inlineStr"/>
      <c r="N36" s="2" t="inlineStr"/>
      <c r="O36" s="2" t="inlineStr"/>
      <c r="P36" s="2" t="inlineStr"/>
      <c r="Q36" s="2" t="inlineStr"/>
      <c r="R36" s="2" t="inlineStr"/>
      <c r="S36" s="2" t="inlineStr"/>
      <c r="T36" s="2" t="inlineStr"/>
      <c r="U36" s="2" t="inlineStr">
        <is>
          <t>MAE 593: Applied Project | MAE 318: System Dynamics and Control I | MAE 509: LMI Methods</t>
        </is>
      </c>
      <c r="V36" s="2" t="inlineStr"/>
      <c r="W36" s="2" t="inlineStr"/>
      <c r="X36" s="2" t="inlineStr"/>
      <c r="Y36" s="2" t="inlineStr"/>
      <c r="Z36" s="2" t="inlineStr">
        <is>
          <t>The intersection of computer science and control including convex optimization, artificial intelligence, and manipulation of delayed and PDE systems. The understanding and regulation of complex dynamical systems such as the motion of plasma in nuclear fusion reactors, autoregulation in the human immune response, and the motion of spacecraft in orbit.</t>
        </is>
      </c>
      <c r="AA36" s="2" t="inlineStr">
        <is>
          <t>Control Systems, Dynamical Systems Theory, Aerospace Engineering, Algorithm Development, Dynamical Systems, Nonlinear Dynamical Systems, Mathematical and System Dynamics Modeling, Immunology</t>
        </is>
      </c>
      <c r="AB36" s="2" t="inlineStr">
        <is>
          <t>Peet's current research interests are in the role of computation as it is applied to the understanding and control of complex and large-scale systems.</t>
        </is>
      </c>
      <c r="AC36" s="2" t="inlineStr">
        <is>
          <t>Ph.D. Aeronautics and Astronautics, Stanford University 2006 | Bachelor's degree. Physics, University of Texas-Austin 1999 | Bachelor's degree. Aerospace Engineering, University of Texas-Austin 1999</t>
        </is>
      </c>
      <c r="AD36" s="2" t="inlineStr">
        <is>
          <t>Cybernetic Systems and Controls Laboratory (CSCL)</t>
        </is>
      </c>
      <c r="AE36" s="3">
        <f>HYPERLINK("http://control.asu.edu/", "http://control.asu.edu/")</f>
        <v/>
      </c>
      <c r="AF36" s="2" t="inlineStr"/>
      <c r="AG36" s="2" t="inlineStr"/>
      <c r="AH36" s="2" t="inlineStr"/>
      <c r="AI36" s="2" t="inlineStr"/>
      <c r="AJ36" s="2" t="inlineStr"/>
      <c r="AK36" s="2" t="inlineStr"/>
      <c r="AL36" s="2" t="inlineStr">
        <is>
          <t>ENGRC 253 (Tempe, AZ 85287-6106)</t>
        </is>
      </c>
      <c r="AM36" s="2" t="b">
        <v>1</v>
      </c>
      <c r="AN36" s="3">
        <f>HYPERLINK("https://faculty.engineering.asu.edu/directory/semte/aerospace-and-mechanical-engineering/", "https://faculty.engineering.asu.edu/directory/semte/aerospace-and-mechanical-engineering/")</f>
        <v/>
      </c>
    </row>
    <row r="37">
      <c r="A37" s="2" t="inlineStr">
        <is>
          <t>Hamidreza Marvi</t>
        </is>
      </c>
      <c r="B37" s="2" t="inlineStr">
        <is>
          <t>Arizona State University</t>
        </is>
      </c>
      <c r="C37" s="3">
        <f>HYPERLINK("https://search.asu.edu/profile/hmarvi", "https://search.asu.edu/profile/hmarvi")</f>
        <v/>
      </c>
      <c r="D37" s="3">
        <f>HYPERLINK("https://scholar.google.com/citations?hl=en&amp;user=00Fepb0AAAAJ", "Scholar (00Fepb0AAAAJ)")</f>
        <v/>
      </c>
      <c r="E37" s="2" t="inlineStr">
        <is>
          <t>Associate Professor</t>
        </is>
      </c>
      <c r="F37" s="2" t="inlineStr">
        <is>
          <t>Aerospace &amp; Mechanical Engineering</t>
        </is>
      </c>
      <c r="G37" s="2" t="inlineStr">
        <is>
          <t>00Fepb0AAAAJ</t>
        </is>
      </c>
      <c r="H37" s="3">
        <f>HYPERLINK("mailto:hmarvi@asu.edu", "hmarvi@asu.edu")</f>
        <v/>
      </c>
      <c r="I37" s="2" t="n">
        <v>4</v>
      </c>
      <c r="J37" s="2" t="inlineStr">
        <is>
          <t>🔴 Tier 4: Robotics / Controls / Autonomy</t>
        </is>
      </c>
      <c r="K37" s="2" t="n">
        <v>3</v>
      </c>
      <c r="L37" s="2" t="inlineStr">
        <is>
          <t>aerospace, robot, robotics</t>
        </is>
      </c>
      <c r="M37" s="2" t="inlineStr"/>
      <c r="N37" s="2" t="inlineStr"/>
      <c r="O37" s="2" t="inlineStr"/>
      <c r="P37" s="2" t="inlineStr"/>
      <c r="Q37" s="2" t="inlineStr"/>
      <c r="R37" s="2" t="inlineStr">
        <is>
          <t>Shape-programmable magnetic soft matter,</t>
        </is>
      </c>
      <c r="S37" s="2" t="inlineStr"/>
      <c r="T37" s="2" t="inlineStr"/>
      <c r="U37" s="2" t="inlineStr">
        <is>
          <t>MAE 417: System Dynamics and Control II | MAE 598: Special Topics | MAE 547: Modeling and Control of Robots</t>
        </is>
      </c>
      <c r="V37" s="2" t="inlineStr">
        <is>
          <t>KEEN Professorship, The Kern Family Foundation, 2017. | Peebles Award for Graduate Student Research in Adhesion Science, Adhesion Society, 2015.</t>
        </is>
      </c>
      <c r="W37" s="2" t="inlineStr"/>
      <c r="X37" s="2" t="inlineStr"/>
      <c r="Y37" s="2" t="inlineStr"/>
      <c r="Z37" s="2" t="inlineStr">
        <is>
          <t>Bio-inspired robotics Soft robotics Magnetic micro-robotics Mechanics of animal locomotion</t>
        </is>
      </c>
      <c r="AA37" s="2" t="inlineStr"/>
      <c r="AB37" s="2" t="inlineStr">
        <is>
          <t>Marvi would like to develop bio-inspired robotic systems and programmable interfacial structures for search and rescue, exploratory and medical applications.</t>
        </is>
      </c>
      <c r="AC37" s="2" t="inlineStr">
        <is>
          <t>Ph.D. Mechanical Engineering, Georgia Institute of Technology, Atlanta 2013 | M.S. Mechanical Engineering, Clemson University, SC 2009 | M.S. Biomedical Engineering, Sharif University of Technology, Tehran, Iran 2007 | B.S. Mechanical Engineering, Iran University of Science and Technology, Tehran 2004</t>
        </is>
      </c>
      <c r="AD37" s="2" t="inlineStr">
        <is>
          <t>Bio-Inspired Robotics, Technology, and Healthcare Laboratory (BIRTH Lab)</t>
        </is>
      </c>
      <c r="AE37" s="3">
        <f>HYPERLINK("http://birth.asu.edu", "http://birth.asu.edu")</f>
        <v/>
      </c>
      <c r="AF37" s="2" t="inlineStr"/>
      <c r="AG37" s="2" t="inlineStr"/>
      <c r="AH37" s="2" t="inlineStr"/>
      <c r="AI37" s="2" t="inlineStr"/>
      <c r="AJ37" s="2" t="inlineStr"/>
      <c r="AK37" s="2" t="inlineStr"/>
      <c r="AL37" s="2" t="inlineStr">
        <is>
          <t>Campus: Tempe</t>
        </is>
      </c>
      <c r="AM37" s="2" t="b">
        <v>1</v>
      </c>
      <c r="AN37" s="3">
        <f>HYPERLINK("https://faculty.engineering.asu.edu/directory/semte/aerospace-and-mechanical-engineering/", "https://faculty.engineering.asu.edu/directory/semte/aerospace-and-mechanical-engineering/")</f>
        <v/>
      </c>
    </row>
    <row r="38">
      <c r="A38" s="2" t="inlineStr">
        <is>
          <t>Hyunglae Lee</t>
        </is>
      </c>
      <c r="B38" s="2" t="inlineStr">
        <is>
          <t>Arizona State University</t>
        </is>
      </c>
      <c r="C38" s="3">
        <f>HYPERLINK("https://search.asu.edu/profile/hlee234", "https://search.asu.edu/profile/hlee234")</f>
        <v/>
      </c>
      <c r="D38" s="3">
        <f>HYPERLINK("https://scholar.google.com/citations?view_op=search_authors&amp;mauthors=Hyunglae%20Lee%20Arizona%20State%20University", "Google Scholar Search")</f>
        <v/>
      </c>
      <c r="E38" s="2" t="inlineStr">
        <is>
          <t>Associate Professor</t>
        </is>
      </c>
      <c r="F38" s="2" t="inlineStr">
        <is>
          <t>Aerospace &amp; Mechanical Engineering</t>
        </is>
      </c>
      <c r="G38" s="2" t="inlineStr"/>
      <c r="H38" s="3">
        <f>HYPERLINK("mailto:Hyunglae.Lee@asu.edu", "Hyunglae.Lee@asu.edu")</f>
        <v/>
      </c>
      <c r="I38" s="2" t="n">
        <v>4</v>
      </c>
      <c r="J38" s="2" t="inlineStr">
        <is>
          <t>🔴 Tier 4: Robotics / Controls / Autonomy</t>
        </is>
      </c>
      <c r="K38" s="2" t="n">
        <v>3</v>
      </c>
      <c r="L38" s="2" t="inlineStr">
        <is>
          <t>aerospace, robot, robotics</t>
        </is>
      </c>
      <c r="M38" s="2" t="inlineStr"/>
      <c r="N38" s="2" t="inlineStr"/>
      <c r="O38" s="2" t="inlineStr"/>
      <c r="P38" s="2" t="inlineStr"/>
      <c r="Q38" s="2" t="inlineStr"/>
      <c r="R38" s="2" t="inlineStr"/>
      <c r="S38" s="2" t="inlineStr"/>
      <c r="T38" s="2" t="inlineStr"/>
      <c r="U38" s="2" t="inlineStr">
        <is>
          <t>MAE 598: Special Topics | MAE 417: System Dynamics and Control II | MAE 593: Applied Project</t>
        </is>
      </c>
      <c r="V38" s="2" t="inlineStr"/>
      <c r="W38" s="2" t="inlineStr"/>
      <c r="X38" s="2" t="inlineStr"/>
      <c r="Y38" s="2" t="inlineStr"/>
      <c r="Z38" s="2" t="inlineStr"/>
      <c r="AA38" s="2" t="inlineStr"/>
      <c r="AB38" s="2" t="inlineStr">
        <is>
          <t>Lee's research interests include physical human-robot interaction, neuromuscular control of human movement, robot-aided neurorehabilitation, bio-inspired robotics and system identification for physiological systems.</t>
        </is>
      </c>
      <c r="AC38" s="2" t="inlineStr">
        <is>
          <t>B.S. Mechanical and Aerospace Engineering, Seoul National University (2002) M.S. Mechanical and Aerospace Engineering, Seoul National University (2004) Ph.D Mechanical Engineering, Massachusetts Institute of Technology (2013)</t>
        </is>
      </c>
      <c r="AD38" s="2" t="inlineStr"/>
      <c r="AE38" s="3">
        <f>HYPERLINK("https://faculty.engineering.asu.edu/hlee", "https://faculty.engineering.asu.edu/hlee")</f>
        <v/>
      </c>
      <c r="AF38" s="2" t="inlineStr"/>
      <c r="AG38" s="2" t="inlineStr"/>
      <c r="AH38" s="2" t="inlineStr"/>
      <c r="AI38" s="2" t="inlineStr"/>
      <c r="AJ38" s="2" t="inlineStr"/>
      <c r="AK38" s="2" t="inlineStr"/>
      <c r="AL38" s="2" t="inlineStr">
        <is>
          <t>Campus: Tempe</t>
        </is>
      </c>
      <c r="AM38" s="2" t="b">
        <v>1</v>
      </c>
      <c r="AN38" s="3">
        <f>HYPERLINK("https://faculty.engineering.asu.edu/directory/semte/aerospace-and-mechanical-engineering/", "https://faculty.engineering.asu.edu/directory/semte/aerospace-and-mechanical-engineering/")</f>
        <v/>
      </c>
    </row>
    <row r="39">
      <c r="A39" s="2" t="inlineStr">
        <is>
          <t>Huei-Ping Huang</t>
        </is>
      </c>
      <c r="B39" s="2" t="inlineStr">
        <is>
          <t>Arizona State University</t>
        </is>
      </c>
      <c r="C39" s="3">
        <f>HYPERLINK("https://search.asu.edu/profile/hhuang38", "https://search.asu.edu/profile/hhuang38")</f>
        <v/>
      </c>
      <c r="D39" s="3">
        <f>HYPERLINK("https://scholar.google.com/citations?view_op=search_authors&amp;mauthors=Huei-Ping%20Huang%20Arizona%20State%20University", "Google Scholar Search")</f>
        <v/>
      </c>
      <c r="E39" s="2" t="inlineStr">
        <is>
          <t>Associate Professor</t>
        </is>
      </c>
      <c r="F39" s="2" t="inlineStr">
        <is>
          <t>Aerospace &amp; Mechanical Engineering</t>
        </is>
      </c>
      <c r="G39" s="2" t="inlineStr"/>
      <c r="H39" s="3">
        <f>HYPERLINK("mailto:Huei-Ping.Huang@asu.edu", "Huei-Ping.Huang@asu.edu")</f>
        <v/>
      </c>
      <c r="I39" s="2" t="n">
        <v>4</v>
      </c>
      <c r="J39" s="2" t="inlineStr">
        <is>
          <t>🔴 Tier 4: Robotics / Controls / Autonomy</t>
        </is>
      </c>
      <c r="K39" s="2" t="n">
        <v>2</v>
      </c>
      <c r="L39" s="2" t="inlineStr">
        <is>
          <t>aerospace, fluid dynamics</t>
        </is>
      </c>
      <c r="M39" s="2" t="inlineStr"/>
      <c r="N39" s="2" t="inlineStr"/>
      <c r="O39" s="2" t="inlineStr"/>
      <c r="P39" s="2" t="inlineStr"/>
      <c r="Q39" s="2" t="inlineStr"/>
      <c r="R39" s="2" t="inlineStr"/>
      <c r="S39" s="2" t="inlineStr"/>
      <c r="T39" s="2" t="inlineStr"/>
      <c r="U39" s="2" t="inlineStr">
        <is>
          <t>MAE 502: Partial Diff Equations Engr | MAE 460: Applied Comput Fluid Dynamics | MAE 593: Applied Project</t>
        </is>
      </c>
      <c r="V39" s="2" t="inlineStr"/>
      <c r="W39" s="2" t="inlineStr"/>
      <c r="X39" s="2" t="inlineStr"/>
      <c r="Y39" s="2" t="inlineStr"/>
      <c r="Z39" s="2" t="inlineStr"/>
      <c r="AA39" s="2" t="inlineStr"/>
      <c r="AB39" s="2" t="inlineStr">
        <is>
          <t>Huang's research interests are geophysical and environmental fluid dynamics, numerical simulation of atmospheric and oceanic flows, Earth system remote sensing, and climate change.</t>
        </is>
      </c>
      <c r="AC39" s="2" t="inlineStr">
        <is>
          <t>Ph.D. University of Illinois-Urbana-Champaign 1997 | M.S. National Taiwan University 1989 | B.S. National Central University,Taiwan 1987</t>
        </is>
      </c>
      <c r="AD39" s="2" t="inlineStr"/>
      <c r="AE39" s="3">
        <f>HYPERLINK("http://www.public.asu.edu/~hhuang38", "http://www.public.asu.edu/~hhuang38")</f>
        <v/>
      </c>
      <c r="AF39" s="2" t="inlineStr"/>
      <c r="AG39" s="2" t="inlineStr"/>
      <c r="AH39" s="2" t="inlineStr"/>
      <c r="AI39" s="2" t="inlineStr"/>
      <c r="AJ39" s="2" t="inlineStr"/>
      <c r="AK39" s="2" t="inlineStr">
        <is>
          <t>Log in to www_public</t>
        </is>
      </c>
      <c r="AL39" s="2" t="inlineStr">
        <is>
          <t>ENGRC 359 (Tempe, AZ 85287-6106)</t>
        </is>
      </c>
      <c r="AM39" s="2" t="b">
        <v>1</v>
      </c>
      <c r="AN39" s="3">
        <f>HYPERLINK("https://faculty.engineering.asu.edu/directory/semte/aerospace-and-mechanical-engineering/", "https://faculty.engineering.asu.edu/directory/semte/aerospace-and-mechanical-engineering/")</f>
        <v/>
      </c>
    </row>
    <row r="40">
      <c r="A40" s="2" t="inlineStr">
        <is>
          <t>Wanxin Jin</t>
        </is>
      </c>
      <c r="B40" s="2" t="inlineStr">
        <is>
          <t>Arizona State University</t>
        </is>
      </c>
      <c r="C40" s="3">
        <f>HYPERLINK("https://search.asu.edu/profile/wjin34", "https://search.asu.edu/profile/wjin34")</f>
        <v/>
      </c>
      <c r="D40" s="3">
        <f>HYPERLINK("https://scholar.google.com/citations?hl=en&amp;user=SoEC4h4AAAAJ", "Scholar (SoEC4h4AAAAJ)")</f>
        <v/>
      </c>
      <c r="E40" s="2" t="inlineStr">
        <is>
          <t>Assistant Professor</t>
        </is>
      </c>
      <c r="F40" s="2" t="inlineStr">
        <is>
          <t>Aerospace &amp; Mechanical Engineering</t>
        </is>
      </c>
      <c r="G40" s="2" t="inlineStr">
        <is>
          <t>SoEC4h4AAAAJ</t>
        </is>
      </c>
      <c r="H40" s="3">
        <f>HYPERLINK("mailto:wjin@asu.edu", "wjin@asu.edu")</f>
        <v/>
      </c>
      <c r="I40" s="2" t="n">
        <v>4</v>
      </c>
      <c r="J40" s="2" t="inlineStr">
        <is>
          <t>🔴 Tier 4: Robotics / Controls / Autonomy</t>
        </is>
      </c>
      <c r="K40" s="2" t="n">
        <v>2</v>
      </c>
      <c r="L40" s="2" t="inlineStr">
        <is>
          <t>robot, robotics</t>
        </is>
      </c>
      <c r="M40" s="2" t="inlineStr"/>
      <c r="N40" s="2" t="inlineStr"/>
      <c r="O40" s="2" t="inlineStr"/>
      <c r="P40" s="2" t="inlineStr"/>
      <c r="Q40" s="2" t="inlineStr"/>
      <c r="R40" s="2" t="inlineStr">
        <is>
          <t>Below are selected papers that represent our main research threads. Please visit Publications for the full list. Contact-rich i...</t>
        </is>
      </c>
      <c r="S40" s="2" t="inlineStr"/>
      <c r="T40" s="2" t="inlineStr"/>
      <c r="U40" s="2" t="inlineStr">
        <is>
          <t>MAE 301: Applied Experimental Statistic | MAE 593: Applied Project | MAE 547: Modeling and Control of Robots</t>
        </is>
      </c>
      <c r="V40" s="2" t="inlineStr"/>
      <c r="W40" s="2" t="inlineStr">
        <is>
          <t>If you are interested, please email Dr. Wanxin Jin with your CV, transcript, and a brief description of your research interests. In your email, please mention the topics you are interested in, your relevant background, and whether you are looking for thesis research, independent study, an applied project, hourly research work, or volunteer research experience. | If you are interested, please submit this form: https://forms.gle/Yo5mQcwTrogHTgu77 . If there is a potential fit, you should expect to be contacted within one week; if you do not hear back, please email wjin@asu.edu for follow-up.</t>
        </is>
      </c>
      <c r="X40" s="2" t="inlineStr"/>
      <c r="Y40" s="2" t="inlineStr"/>
      <c r="Z40" s="2" t="inlineStr">
        <is>
          <t>https://irislab.tech/</t>
        </is>
      </c>
      <c r="AA40" s="2" t="inlineStr"/>
      <c r="AB40" s="2" t="inlineStr">
        <is>
          <t>Jin's research includes robotics, control and machine learning, with a focus on the autonomy of robots interacting with humans and objects.</t>
        </is>
      </c>
      <c r="AC40" s="2" t="inlineStr">
        <is>
          <t>Ph.D., Purdue University 2021 | Master of Science, Harbin Institute of Technology, 2016 | Bachelor of Engineering, Harbin Institute of Technology, 2014</t>
        </is>
      </c>
      <c r="AD40" s="2" t="inlineStr">
        <is>
          <t>Intelligent Robotics and Interactive Systems Lab (IRIS Lab)</t>
        </is>
      </c>
      <c r="AE40" s="3">
        <f>HYPERLINK("https://irislab.tech/", "https://irislab.tech/")</f>
        <v/>
      </c>
      <c r="AF40" s="2" t="inlineStr">
        <is>
          <t>ASU undergraduate and master students are welcome to join IRIS Lab research projects in robotics, embodied AI, vision and perception, robot learning, control, and autonomy. Students interested in a thesis, independent study, or sustained applied research project are especially encouraged to reach out. | If you are interested, please email Dr. Wanxin Jin with your CV, transcript, and a brief description of your research interests. In your email, please mention the topics you are interested in, your relevant background, and whether you are looking for thesis research, independent study, an applied project, hourly research work, or volunteer research experience.</t>
        </is>
      </c>
      <c r="AG40" s="2" t="inlineStr"/>
      <c r="AH40" s="2" t="inlineStr"/>
      <c r="AI40" s="2" t="inlineStr">
        <is>
          <t>NSF</t>
        </is>
      </c>
      <c r="AJ40" s="3">
        <f>HYPERLINK("https://github.com/asu-iris", "https://github.com/asu-iris")</f>
        <v/>
      </c>
      <c r="AK40" s="2" t="inlineStr">
        <is>
          <t>Recent Updates</t>
        </is>
      </c>
      <c r="AL40" s="2" t="inlineStr">
        <is>
          <t>Campus: Tempe</t>
        </is>
      </c>
      <c r="AM40" s="2" t="b">
        <v>1</v>
      </c>
      <c r="AN40" s="3">
        <f>HYPERLINK("https://faculty.engineering.asu.edu/directory/semte/aerospace-and-mechanical-engineering/", "https://faculty.engineering.asu.edu/directory/semte/aerospace-and-mechanical-engineering/")</f>
        <v/>
      </c>
    </row>
    <row r="41">
      <c r="A41" s="2" t="inlineStr">
        <is>
          <t>James Middleton</t>
        </is>
      </c>
      <c r="B41" s="2" t="inlineStr">
        <is>
          <t>Arizona State University</t>
        </is>
      </c>
      <c r="C41" s="3">
        <f>HYPERLINK("https://search.asu.edu/profile/jimbo", "https://search.asu.edu/profile/jimbo")</f>
        <v/>
      </c>
      <c r="D41" s="3">
        <f>HYPERLINK("https://scholar.google.com/citations?view_op=search_authors&amp;mauthors=James%20Middleton%20Arizona%20State%20University", "Google Scholar Search")</f>
        <v/>
      </c>
      <c r="E41" s="2" t="inlineStr">
        <is>
          <t>Professor</t>
        </is>
      </c>
      <c r="F41" s="2" t="inlineStr">
        <is>
          <t>Aerospace &amp; Mechanical Engineering</t>
        </is>
      </c>
      <c r="G41" s="2" t="inlineStr"/>
      <c r="H41" s="3">
        <f>HYPERLINK("mailto:jimbo@asu.edu", "jimbo@asu.edu")</f>
        <v/>
      </c>
      <c r="I41" s="2" t="n">
        <v>4</v>
      </c>
      <c r="J41" s="2" t="inlineStr">
        <is>
          <t>🔴 Tier 4: Robotics / Controls / Autonomy</t>
        </is>
      </c>
      <c r="K41" s="2" t="n">
        <v>1</v>
      </c>
      <c r="L41" s="2" t="inlineStr">
        <is>
          <t>aerospace</t>
        </is>
      </c>
      <c r="M41" s="2" t="inlineStr"/>
      <c r="N41" s="2" t="inlineStr"/>
      <c r="O41" s="2" t="inlineStr"/>
      <c r="P41" s="2" t="inlineStr"/>
      <c r="Q41" s="2" t="inlineStr"/>
      <c r="R41" s="2" t="inlineStr">
        <is>
          <t>Journal Articles Middleton, J. A. (in press). Archimedes, Euler, &amp; Nursing Cats: Rethinking the Arithmetic Mean. OnCore,</t>
        </is>
      </c>
      <c r="S41" s="2" t="inlineStr"/>
      <c r="T41" s="2" t="inlineStr"/>
      <c r="U41" s="2" t="inlineStr">
        <is>
          <t>MAE 484: Internship | MAE 301: Applied Experimental Statistic | MAE 394: Special Topics</t>
        </is>
      </c>
      <c r="V41" s="2" t="inlineStr"/>
      <c r="W41" s="2" t="inlineStr"/>
      <c r="X41" s="2" t="inlineStr"/>
      <c r="Y41" s="2" t="inlineStr"/>
      <c r="Z41" s="2" t="inlineStr">
        <is>
          <t>Student learning of mathematical concepts. Motivation and mathematics learning. Teacher change. Applications of technology to mathematics teaching and learning.</t>
        </is>
      </c>
      <c r="AA41" s="2" t="inlineStr"/>
      <c r="AB41" s="2" t="inlineStr">
        <is>
          <t>Middleton’s research interests focus in the following areas where he has published extensively: children’s mathematical thinking; teacher and student motivation in mathematics; and teacher change in mathematics.</t>
        </is>
      </c>
      <c r="AC41" s="2" t="inlineStr">
        <is>
          <t>Ph.D. Educational Psychology, University of Wisconsin-Madison 1992</t>
        </is>
      </c>
      <c r="AD41" s="2" t="inlineStr"/>
      <c r="AE41" s="2" t="inlineStr"/>
      <c r="AF41" s="2" t="inlineStr"/>
      <c r="AG41" s="2" t="inlineStr"/>
      <c r="AH41" s="2" t="inlineStr"/>
      <c r="AI41" s="2" t="inlineStr"/>
      <c r="AJ41" s="2" t="inlineStr"/>
      <c r="AK41" s="2" t="inlineStr"/>
      <c r="AL41" s="2" t="inlineStr">
        <is>
          <t>ENGRC 381 (TEMPE, AZ 85287-6106)</t>
        </is>
      </c>
      <c r="AM41" s="2" t="b">
        <v>1</v>
      </c>
      <c r="AN41" s="3">
        <f>HYPERLINK("https://faculty.engineering.asu.edu/directory/semte/aerospace-and-mechanical-engineering/", "https://faculty.engineering.asu.edu/directory/semte/aerospace-and-mechanical-engineering/")</f>
        <v/>
      </c>
    </row>
    <row r="42">
      <c r="A42" s="2" t="inlineStr">
        <is>
          <t>Marc Mignolet</t>
        </is>
      </c>
      <c r="B42" s="2" t="inlineStr">
        <is>
          <t>Arizona State University</t>
        </is>
      </c>
      <c r="C42" s="3">
        <f>HYPERLINK("https://search.asu.edu/profile/marc03", "https://search.asu.edu/profile/marc03")</f>
        <v/>
      </c>
      <c r="D42" s="3">
        <f>HYPERLINK("https://scholar.google.com/citations?view_op=search_authors&amp;mauthors=Marc%20Mignolet%20Arizona%20State%20University", "Google Scholar Search")</f>
        <v/>
      </c>
      <c r="E42" s="2" t="inlineStr">
        <is>
          <t>Professor</t>
        </is>
      </c>
      <c r="F42" s="2" t="inlineStr">
        <is>
          <t>Aerospace &amp; Mechanical Engineering</t>
        </is>
      </c>
      <c r="G42" s="2" t="inlineStr"/>
      <c r="H42" s="3">
        <f>HYPERLINK("mailto:marc.mignolet@asu.edu", "marc.mignolet@asu.edu")</f>
        <v/>
      </c>
      <c r="I42" s="2" t="n">
        <v>4</v>
      </c>
      <c r="J42" s="2" t="inlineStr">
        <is>
          <t>🔴 Tier 4: Robotics / Controls / Autonomy</t>
        </is>
      </c>
      <c r="K42" s="2" t="n">
        <v>1</v>
      </c>
      <c r="L42" s="2" t="inlineStr">
        <is>
          <t>aerospace</t>
        </is>
      </c>
      <c r="M42" s="2" t="inlineStr"/>
      <c r="N42" s="2" t="inlineStr"/>
      <c r="O42" s="2" t="inlineStr"/>
      <c r="P42" s="2" t="inlineStr"/>
      <c r="Q42" s="2" t="inlineStr"/>
      <c r="R42" s="2" t="inlineStr"/>
      <c r="S42" s="2" t="inlineStr"/>
      <c r="T42" s="2" t="inlineStr"/>
      <c r="U42" s="2" t="inlineStr">
        <is>
          <t>MAE 510: Dynamics and Vibrations | MAE 591: Seminar | MAE 394: Special Topics</t>
        </is>
      </c>
      <c r="V42" s="2" t="inlineStr"/>
      <c r="W42" s="2" t="inlineStr"/>
      <c r="X42" s="2" t="inlineStr"/>
      <c r="Y42" s="2" t="inlineStr"/>
      <c r="Z42" s="2" t="inlineStr"/>
      <c r="AA42" s="2" t="inlineStr"/>
      <c r="AB42" s="2" t="inlineStr">
        <is>
          <t>Mignolet's research interests include structural dynamics, vibrations, modeling of uncertainty in structures and stochastic multiscale analyses.</t>
        </is>
      </c>
      <c r="AC42" s="2" t="inlineStr">
        <is>
          <t>Ph.D. Rice University 1987</t>
        </is>
      </c>
      <c r="AD42" s="2" t="inlineStr"/>
      <c r="AE42" s="2" t="inlineStr"/>
      <c r="AF42" s="2" t="inlineStr"/>
      <c r="AG42" s="2" t="inlineStr"/>
      <c r="AH42" s="2" t="inlineStr"/>
      <c r="AI42" s="2" t="inlineStr"/>
      <c r="AJ42" s="2" t="inlineStr"/>
      <c r="AK42" s="2" t="inlineStr"/>
      <c r="AL42" s="2" t="inlineStr">
        <is>
          <t>ENGRC 411 (TEMPE, AZ 85287-6106)</t>
        </is>
      </c>
      <c r="AM42" s="2" t="b">
        <v>1</v>
      </c>
      <c r="AN42" s="3">
        <f>HYPERLINK("https://faculty.engineering.asu.edu/directory/semte/aerospace-and-mechanical-engineering/", "https://faculty.engineering.asu.edu/directory/semte/aerospace-and-mechanical-engineering/")</f>
        <v/>
      </c>
    </row>
    <row r="43">
      <c r="A43" s="2" t="inlineStr">
        <is>
          <t>Yi Ren</t>
        </is>
      </c>
      <c r="B43" s="2" t="inlineStr">
        <is>
          <t>Arizona State University</t>
        </is>
      </c>
      <c r="C43" s="3">
        <f>HYPERLINK("https://search.asu.edu/profile/yren32", "https://search.asu.edu/profile/yren32")</f>
        <v/>
      </c>
      <c r="D43" s="3">
        <f>HYPERLINK("https://scholar.google.com/citations?view_op=search_authors&amp;mauthors=Yi%20Ren%20Arizona%20State%20University", "Google Scholar Search")</f>
        <v/>
      </c>
      <c r="E43" s="2" t="inlineStr">
        <is>
          <t>Associate Professor</t>
        </is>
      </c>
      <c r="F43" s="2" t="inlineStr">
        <is>
          <t>Aerospace &amp; Mechanical Engineering</t>
        </is>
      </c>
      <c r="G43" s="2" t="inlineStr"/>
      <c r="H43" s="3">
        <f>HYPERLINK("mailto:yiren@asu.edu", "yiren@asu.edu")</f>
        <v/>
      </c>
      <c r="I43" s="2" t="n">
        <v>4</v>
      </c>
      <c r="J43" s="2" t="inlineStr">
        <is>
          <t>🔴 Tier 4: Robotics / Controls / Autonomy</t>
        </is>
      </c>
      <c r="K43" s="2" t="n">
        <v>1</v>
      </c>
      <c r="L43" s="2" t="inlineStr">
        <is>
          <t>aerospace</t>
        </is>
      </c>
      <c r="M43" s="2" t="inlineStr"/>
      <c r="N43" s="2" t="inlineStr"/>
      <c r="O43" s="2" t="inlineStr"/>
      <c r="P43" s="2" t="inlineStr"/>
      <c r="Q43" s="2" t="inlineStr"/>
      <c r="R43" s="2" t="inlineStr"/>
      <c r="S43" s="2" t="inlineStr"/>
      <c r="T43" s="2" t="inlineStr"/>
      <c r="U43" s="2" t="inlineStr">
        <is>
          <t>MAE 494: Special Topics | MAE 598: Special Topics | MAE 301: Applied Experimental Statistic</t>
        </is>
      </c>
      <c r="V43" s="2" t="inlineStr"/>
      <c r="W43" s="2" t="inlineStr"/>
      <c r="X43" s="2" t="inlineStr"/>
      <c r="Y43" s="2" t="inlineStr"/>
      <c r="Z43" s="2" t="inlineStr"/>
      <c r="AA43" s="2" t="inlineStr"/>
      <c r="AB43" s="2" t="inlineStr">
        <is>
          <t>Ren’s current research interests include optimization, product/configuration design, human-computer interaction and machine learning.</t>
        </is>
      </c>
      <c r="AC43" s="2" t="inlineStr">
        <is>
          <t>Ph.D. Mechanical Engineering, University of Michigan 2011 | M.S. Mechanical Engineering, University of Michigan 2009 | B.S. Automative Engineering, Tsinghua University, China 2007</t>
        </is>
      </c>
      <c r="AD43" s="2" t="inlineStr"/>
      <c r="AE43" s="2" t="inlineStr"/>
      <c r="AF43" s="2" t="inlineStr"/>
      <c r="AG43" s="2" t="inlineStr"/>
      <c r="AH43" s="2" t="inlineStr"/>
      <c r="AI43" s="2" t="inlineStr"/>
      <c r="AJ43" s="2" t="inlineStr"/>
      <c r="AK43" s="2" t="inlineStr"/>
      <c r="AL43" s="2" t="inlineStr">
        <is>
          <t>GWC 464 (Tempe, AZ 85287-6106)</t>
        </is>
      </c>
      <c r="AM43" s="2" t="b">
        <v>1</v>
      </c>
      <c r="AN43" s="3">
        <f>HYPERLINK("https://faculty.engineering.asu.edu/directory/semte/aerospace-and-mechanical-engineering/", "https://faculty.engineering.asu.edu/directory/semte/aerospace-and-mechanical-engineering/")</f>
        <v/>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H2" r:id="rId3"/>
    <hyperlink xmlns:r="http://schemas.openxmlformats.org/officeDocument/2006/relationships" ref="N2" r:id="rId4"/>
    <hyperlink xmlns:r="http://schemas.openxmlformats.org/officeDocument/2006/relationships" ref="AE2" r:id="rId5"/>
    <hyperlink xmlns:r="http://schemas.openxmlformats.org/officeDocument/2006/relationships" ref="AJ2" r:id="rId6"/>
    <hyperlink xmlns:r="http://schemas.openxmlformats.org/officeDocument/2006/relationships" ref="AN2" r:id="rId7"/>
    <hyperlink xmlns:r="http://schemas.openxmlformats.org/officeDocument/2006/relationships" ref="C3" r:id="rId8"/>
    <hyperlink xmlns:r="http://schemas.openxmlformats.org/officeDocument/2006/relationships" ref="D3" r:id="rId9"/>
    <hyperlink xmlns:r="http://schemas.openxmlformats.org/officeDocument/2006/relationships" ref="H3" r:id="rId10"/>
    <hyperlink xmlns:r="http://schemas.openxmlformats.org/officeDocument/2006/relationships" ref="N3" r:id="rId11"/>
    <hyperlink xmlns:r="http://schemas.openxmlformats.org/officeDocument/2006/relationships" ref="AN3" r:id="rId12"/>
    <hyperlink xmlns:r="http://schemas.openxmlformats.org/officeDocument/2006/relationships" ref="C4" r:id="rId13"/>
    <hyperlink xmlns:r="http://schemas.openxmlformats.org/officeDocument/2006/relationships" ref="D4" r:id="rId14"/>
    <hyperlink xmlns:r="http://schemas.openxmlformats.org/officeDocument/2006/relationships" ref="H4" r:id="rId15"/>
    <hyperlink xmlns:r="http://schemas.openxmlformats.org/officeDocument/2006/relationships" ref="N4" r:id="rId16"/>
    <hyperlink xmlns:r="http://schemas.openxmlformats.org/officeDocument/2006/relationships" ref="AN4" r:id="rId17"/>
    <hyperlink xmlns:r="http://schemas.openxmlformats.org/officeDocument/2006/relationships" ref="C5" r:id="rId18"/>
    <hyperlink xmlns:r="http://schemas.openxmlformats.org/officeDocument/2006/relationships" ref="D5" r:id="rId19"/>
    <hyperlink xmlns:r="http://schemas.openxmlformats.org/officeDocument/2006/relationships" ref="H5" r:id="rId20"/>
    <hyperlink xmlns:r="http://schemas.openxmlformats.org/officeDocument/2006/relationships" ref="N5" r:id="rId21"/>
    <hyperlink xmlns:r="http://schemas.openxmlformats.org/officeDocument/2006/relationships" ref="AE5" r:id="rId22"/>
    <hyperlink xmlns:r="http://schemas.openxmlformats.org/officeDocument/2006/relationships" ref="AN5" r:id="rId23"/>
    <hyperlink xmlns:r="http://schemas.openxmlformats.org/officeDocument/2006/relationships" ref="C6" r:id="rId24"/>
    <hyperlink xmlns:r="http://schemas.openxmlformats.org/officeDocument/2006/relationships" ref="D6" r:id="rId25"/>
    <hyperlink xmlns:r="http://schemas.openxmlformats.org/officeDocument/2006/relationships" ref="H6" r:id="rId26"/>
    <hyperlink xmlns:r="http://schemas.openxmlformats.org/officeDocument/2006/relationships" ref="N6" r:id="rId27"/>
    <hyperlink xmlns:r="http://schemas.openxmlformats.org/officeDocument/2006/relationships" ref="AE6" r:id="rId28"/>
    <hyperlink xmlns:r="http://schemas.openxmlformats.org/officeDocument/2006/relationships" ref="AN6" r:id="rId29"/>
    <hyperlink xmlns:r="http://schemas.openxmlformats.org/officeDocument/2006/relationships" ref="C7" r:id="rId30"/>
    <hyperlink xmlns:r="http://schemas.openxmlformats.org/officeDocument/2006/relationships" ref="D7" r:id="rId31"/>
    <hyperlink xmlns:r="http://schemas.openxmlformats.org/officeDocument/2006/relationships" ref="H7" r:id="rId32"/>
    <hyperlink xmlns:r="http://schemas.openxmlformats.org/officeDocument/2006/relationships" ref="N7" r:id="rId33"/>
    <hyperlink xmlns:r="http://schemas.openxmlformats.org/officeDocument/2006/relationships" ref="AN7" r:id="rId34"/>
    <hyperlink xmlns:r="http://schemas.openxmlformats.org/officeDocument/2006/relationships" ref="C8" r:id="rId35"/>
    <hyperlink xmlns:r="http://schemas.openxmlformats.org/officeDocument/2006/relationships" ref="D8" r:id="rId36"/>
    <hyperlink xmlns:r="http://schemas.openxmlformats.org/officeDocument/2006/relationships" ref="H8" r:id="rId37"/>
    <hyperlink xmlns:r="http://schemas.openxmlformats.org/officeDocument/2006/relationships" ref="N8" r:id="rId38"/>
    <hyperlink xmlns:r="http://schemas.openxmlformats.org/officeDocument/2006/relationships" ref="AN8" r:id="rId39"/>
    <hyperlink xmlns:r="http://schemas.openxmlformats.org/officeDocument/2006/relationships" ref="C9" r:id="rId40"/>
    <hyperlink xmlns:r="http://schemas.openxmlformats.org/officeDocument/2006/relationships" ref="D9" r:id="rId41"/>
    <hyperlink xmlns:r="http://schemas.openxmlformats.org/officeDocument/2006/relationships" ref="H9" r:id="rId42"/>
    <hyperlink xmlns:r="http://schemas.openxmlformats.org/officeDocument/2006/relationships" ref="N9" r:id="rId43"/>
    <hyperlink xmlns:r="http://schemas.openxmlformats.org/officeDocument/2006/relationships" ref="AE9" r:id="rId44"/>
    <hyperlink xmlns:r="http://schemas.openxmlformats.org/officeDocument/2006/relationships" ref="AN9" r:id="rId45"/>
    <hyperlink xmlns:r="http://schemas.openxmlformats.org/officeDocument/2006/relationships" ref="C10" r:id="rId46"/>
    <hyperlink xmlns:r="http://schemas.openxmlformats.org/officeDocument/2006/relationships" ref="D10" r:id="rId47"/>
    <hyperlink xmlns:r="http://schemas.openxmlformats.org/officeDocument/2006/relationships" ref="H10" r:id="rId48"/>
    <hyperlink xmlns:r="http://schemas.openxmlformats.org/officeDocument/2006/relationships" ref="N10" r:id="rId49"/>
    <hyperlink xmlns:r="http://schemas.openxmlformats.org/officeDocument/2006/relationships" ref="AN10" r:id="rId50"/>
    <hyperlink xmlns:r="http://schemas.openxmlformats.org/officeDocument/2006/relationships" ref="C11" r:id="rId51"/>
    <hyperlink xmlns:r="http://schemas.openxmlformats.org/officeDocument/2006/relationships" ref="D11" r:id="rId52"/>
    <hyperlink xmlns:r="http://schemas.openxmlformats.org/officeDocument/2006/relationships" ref="H11" r:id="rId53"/>
    <hyperlink xmlns:r="http://schemas.openxmlformats.org/officeDocument/2006/relationships" ref="N11" r:id="rId54"/>
    <hyperlink xmlns:r="http://schemas.openxmlformats.org/officeDocument/2006/relationships" ref="AE11" r:id="rId55"/>
    <hyperlink xmlns:r="http://schemas.openxmlformats.org/officeDocument/2006/relationships" ref="AN11" r:id="rId56"/>
    <hyperlink xmlns:r="http://schemas.openxmlformats.org/officeDocument/2006/relationships" ref="C12" r:id="rId57"/>
    <hyperlink xmlns:r="http://schemas.openxmlformats.org/officeDocument/2006/relationships" ref="D12" r:id="rId58"/>
    <hyperlink xmlns:r="http://schemas.openxmlformats.org/officeDocument/2006/relationships" ref="H12" r:id="rId59"/>
    <hyperlink xmlns:r="http://schemas.openxmlformats.org/officeDocument/2006/relationships" ref="N12" r:id="rId60"/>
    <hyperlink xmlns:r="http://schemas.openxmlformats.org/officeDocument/2006/relationships" ref="AE12" r:id="rId61"/>
    <hyperlink xmlns:r="http://schemas.openxmlformats.org/officeDocument/2006/relationships" ref="AN12" r:id="rId62"/>
    <hyperlink xmlns:r="http://schemas.openxmlformats.org/officeDocument/2006/relationships" ref="C13" r:id="rId63"/>
    <hyperlink xmlns:r="http://schemas.openxmlformats.org/officeDocument/2006/relationships" ref="D13" r:id="rId64"/>
    <hyperlink xmlns:r="http://schemas.openxmlformats.org/officeDocument/2006/relationships" ref="H13" r:id="rId65"/>
    <hyperlink xmlns:r="http://schemas.openxmlformats.org/officeDocument/2006/relationships" ref="AE13" r:id="rId66"/>
    <hyperlink xmlns:r="http://schemas.openxmlformats.org/officeDocument/2006/relationships" ref="AN13" r:id="rId67"/>
    <hyperlink xmlns:r="http://schemas.openxmlformats.org/officeDocument/2006/relationships" ref="C14" r:id="rId68"/>
    <hyperlink xmlns:r="http://schemas.openxmlformats.org/officeDocument/2006/relationships" ref="D14" r:id="rId69"/>
    <hyperlink xmlns:r="http://schemas.openxmlformats.org/officeDocument/2006/relationships" ref="H14" r:id="rId70"/>
    <hyperlink xmlns:r="http://schemas.openxmlformats.org/officeDocument/2006/relationships" ref="AE14" r:id="rId71"/>
    <hyperlink xmlns:r="http://schemas.openxmlformats.org/officeDocument/2006/relationships" ref="AN14" r:id="rId72"/>
    <hyperlink xmlns:r="http://schemas.openxmlformats.org/officeDocument/2006/relationships" ref="C15" r:id="rId73"/>
    <hyperlink xmlns:r="http://schemas.openxmlformats.org/officeDocument/2006/relationships" ref="D15" r:id="rId74"/>
    <hyperlink xmlns:r="http://schemas.openxmlformats.org/officeDocument/2006/relationships" ref="H15" r:id="rId75"/>
    <hyperlink xmlns:r="http://schemas.openxmlformats.org/officeDocument/2006/relationships" ref="AN15" r:id="rId76"/>
    <hyperlink xmlns:r="http://schemas.openxmlformats.org/officeDocument/2006/relationships" ref="C16" r:id="rId77"/>
    <hyperlink xmlns:r="http://schemas.openxmlformats.org/officeDocument/2006/relationships" ref="D16" r:id="rId78"/>
    <hyperlink xmlns:r="http://schemas.openxmlformats.org/officeDocument/2006/relationships" ref="H16" r:id="rId79"/>
    <hyperlink xmlns:r="http://schemas.openxmlformats.org/officeDocument/2006/relationships" ref="AN16" r:id="rId80"/>
    <hyperlink xmlns:r="http://schemas.openxmlformats.org/officeDocument/2006/relationships" ref="C17" r:id="rId81"/>
    <hyperlink xmlns:r="http://schemas.openxmlformats.org/officeDocument/2006/relationships" ref="D17" r:id="rId82"/>
    <hyperlink xmlns:r="http://schemas.openxmlformats.org/officeDocument/2006/relationships" ref="H17" r:id="rId83"/>
    <hyperlink xmlns:r="http://schemas.openxmlformats.org/officeDocument/2006/relationships" ref="AE17" r:id="rId84"/>
    <hyperlink xmlns:r="http://schemas.openxmlformats.org/officeDocument/2006/relationships" ref="AN17" r:id="rId85"/>
    <hyperlink xmlns:r="http://schemas.openxmlformats.org/officeDocument/2006/relationships" ref="C18" r:id="rId86"/>
    <hyperlink xmlns:r="http://schemas.openxmlformats.org/officeDocument/2006/relationships" ref="D18" r:id="rId87"/>
    <hyperlink xmlns:r="http://schemas.openxmlformats.org/officeDocument/2006/relationships" ref="H18" r:id="rId88"/>
    <hyperlink xmlns:r="http://schemas.openxmlformats.org/officeDocument/2006/relationships" ref="AN18" r:id="rId89"/>
    <hyperlink xmlns:r="http://schemas.openxmlformats.org/officeDocument/2006/relationships" ref="C19" r:id="rId90"/>
    <hyperlink xmlns:r="http://schemas.openxmlformats.org/officeDocument/2006/relationships" ref="D19" r:id="rId91"/>
    <hyperlink xmlns:r="http://schemas.openxmlformats.org/officeDocument/2006/relationships" ref="H19" r:id="rId92"/>
    <hyperlink xmlns:r="http://schemas.openxmlformats.org/officeDocument/2006/relationships" ref="AE19" r:id="rId93"/>
    <hyperlink xmlns:r="http://schemas.openxmlformats.org/officeDocument/2006/relationships" ref="AN19" r:id="rId94"/>
    <hyperlink xmlns:r="http://schemas.openxmlformats.org/officeDocument/2006/relationships" ref="C20" r:id="rId95"/>
    <hyperlink xmlns:r="http://schemas.openxmlformats.org/officeDocument/2006/relationships" ref="D20" r:id="rId96"/>
    <hyperlink xmlns:r="http://schemas.openxmlformats.org/officeDocument/2006/relationships" ref="H20" r:id="rId97"/>
    <hyperlink xmlns:r="http://schemas.openxmlformats.org/officeDocument/2006/relationships" ref="AE20" r:id="rId98"/>
    <hyperlink xmlns:r="http://schemas.openxmlformats.org/officeDocument/2006/relationships" ref="AN20" r:id="rId99"/>
    <hyperlink xmlns:r="http://schemas.openxmlformats.org/officeDocument/2006/relationships" ref="C21" r:id="rId100"/>
    <hyperlink xmlns:r="http://schemas.openxmlformats.org/officeDocument/2006/relationships" ref="D21" r:id="rId101"/>
    <hyperlink xmlns:r="http://schemas.openxmlformats.org/officeDocument/2006/relationships" ref="H21" r:id="rId102"/>
    <hyperlink xmlns:r="http://schemas.openxmlformats.org/officeDocument/2006/relationships" ref="AE21" r:id="rId103"/>
    <hyperlink xmlns:r="http://schemas.openxmlformats.org/officeDocument/2006/relationships" ref="AN21" r:id="rId104"/>
    <hyperlink xmlns:r="http://schemas.openxmlformats.org/officeDocument/2006/relationships" ref="C22" r:id="rId105"/>
    <hyperlink xmlns:r="http://schemas.openxmlformats.org/officeDocument/2006/relationships" ref="D22" r:id="rId106"/>
    <hyperlink xmlns:r="http://schemas.openxmlformats.org/officeDocument/2006/relationships" ref="H22" r:id="rId107"/>
    <hyperlink xmlns:r="http://schemas.openxmlformats.org/officeDocument/2006/relationships" ref="AE22" r:id="rId108"/>
    <hyperlink xmlns:r="http://schemas.openxmlformats.org/officeDocument/2006/relationships" ref="AN22" r:id="rId109"/>
    <hyperlink xmlns:r="http://schemas.openxmlformats.org/officeDocument/2006/relationships" ref="C23" r:id="rId110"/>
    <hyperlink xmlns:r="http://schemas.openxmlformats.org/officeDocument/2006/relationships" ref="D23" r:id="rId111"/>
    <hyperlink xmlns:r="http://schemas.openxmlformats.org/officeDocument/2006/relationships" ref="H23" r:id="rId112"/>
    <hyperlink xmlns:r="http://schemas.openxmlformats.org/officeDocument/2006/relationships" ref="AN23" r:id="rId113"/>
    <hyperlink xmlns:r="http://schemas.openxmlformats.org/officeDocument/2006/relationships" ref="C24" r:id="rId114"/>
    <hyperlink xmlns:r="http://schemas.openxmlformats.org/officeDocument/2006/relationships" ref="D24" r:id="rId115"/>
    <hyperlink xmlns:r="http://schemas.openxmlformats.org/officeDocument/2006/relationships" ref="H24" r:id="rId116"/>
    <hyperlink xmlns:r="http://schemas.openxmlformats.org/officeDocument/2006/relationships" ref="AE24" r:id="rId117"/>
    <hyperlink xmlns:r="http://schemas.openxmlformats.org/officeDocument/2006/relationships" ref="AN24" r:id="rId118"/>
    <hyperlink xmlns:r="http://schemas.openxmlformats.org/officeDocument/2006/relationships" ref="C25" r:id="rId119"/>
    <hyperlink xmlns:r="http://schemas.openxmlformats.org/officeDocument/2006/relationships" ref="D25" r:id="rId120"/>
    <hyperlink xmlns:r="http://schemas.openxmlformats.org/officeDocument/2006/relationships" ref="H25" r:id="rId121"/>
    <hyperlink xmlns:r="http://schemas.openxmlformats.org/officeDocument/2006/relationships" ref="AN25" r:id="rId122"/>
    <hyperlink xmlns:r="http://schemas.openxmlformats.org/officeDocument/2006/relationships" ref="C26" r:id="rId123"/>
    <hyperlink xmlns:r="http://schemas.openxmlformats.org/officeDocument/2006/relationships" ref="D26" r:id="rId124"/>
    <hyperlink xmlns:r="http://schemas.openxmlformats.org/officeDocument/2006/relationships" ref="H26" r:id="rId125"/>
    <hyperlink xmlns:r="http://schemas.openxmlformats.org/officeDocument/2006/relationships" ref="AE26" r:id="rId126"/>
    <hyperlink xmlns:r="http://schemas.openxmlformats.org/officeDocument/2006/relationships" ref="AN26" r:id="rId127"/>
    <hyperlink xmlns:r="http://schemas.openxmlformats.org/officeDocument/2006/relationships" ref="C27" r:id="rId128"/>
    <hyperlink xmlns:r="http://schemas.openxmlformats.org/officeDocument/2006/relationships" ref="D27" r:id="rId129"/>
    <hyperlink xmlns:r="http://schemas.openxmlformats.org/officeDocument/2006/relationships" ref="H27" r:id="rId130"/>
    <hyperlink xmlns:r="http://schemas.openxmlformats.org/officeDocument/2006/relationships" ref="AN27" r:id="rId131"/>
    <hyperlink xmlns:r="http://schemas.openxmlformats.org/officeDocument/2006/relationships" ref="C28" r:id="rId132"/>
    <hyperlink xmlns:r="http://schemas.openxmlformats.org/officeDocument/2006/relationships" ref="D28" r:id="rId133"/>
    <hyperlink xmlns:r="http://schemas.openxmlformats.org/officeDocument/2006/relationships" ref="H28" r:id="rId134"/>
    <hyperlink xmlns:r="http://schemas.openxmlformats.org/officeDocument/2006/relationships" ref="AE28" r:id="rId135"/>
    <hyperlink xmlns:r="http://schemas.openxmlformats.org/officeDocument/2006/relationships" ref="AN28" r:id="rId136"/>
    <hyperlink xmlns:r="http://schemas.openxmlformats.org/officeDocument/2006/relationships" ref="C29" r:id="rId137"/>
    <hyperlink xmlns:r="http://schemas.openxmlformats.org/officeDocument/2006/relationships" ref="D29" r:id="rId138"/>
    <hyperlink xmlns:r="http://schemas.openxmlformats.org/officeDocument/2006/relationships" ref="H29" r:id="rId139"/>
    <hyperlink xmlns:r="http://schemas.openxmlformats.org/officeDocument/2006/relationships" ref="AN29" r:id="rId140"/>
    <hyperlink xmlns:r="http://schemas.openxmlformats.org/officeDocument/2006/relationships" ref="C30" r:id="rId141"/>
    <hyperlink xmlns:r="http://schemas.openxmlformats.org/officeDocument/2006/relationships" ref="D30" r:id="rId142"/>
    <hyperlink xmlns:r="http://schemas.openxmlformats.org/officeDocument/2006/relationships" ref="H30" r:id="rId143"/>
    <hyperlink xmlns:r="http://schemas.openxmlformats.org/officeDocument/2006/relationships" ref="AE30" r:id="rId144"/>
    <hyperlink xmlns:r="http://schemas.openxmlformats.org/officeDocument/2006/relationships" ref="AN30" r:id="rId145"/>
    <hyperlink xmlns:r="http://schemas.openxmlformats.org/officeDocument/2006/relationships" ref="C31" r:id="rId146"/>
    <hyperlink xmlns:r="http://schemas.openxmlformats.org/officeDocument/2006/relationships" ref="D31" r:id="rId147"/>
    <hyperlink xmlns:r="http://schemas.openxmlformats.org/officeDocument/2006/relationships" ref="H31" r:id="rId148"/>
    <hyperlink xmlns:r="http://schemas.openxmlformats.org/officeDocument/2006/relationships" ref="AE31" r:id="rId149"/>
    <hyperlink xmlns:r="http://schemas.openxmlformats.org/officeDocument/2006/relationships" ref="AN31" r:id="rId150"/>
    <hyperlink xmlns:r="http://schemas.openxmlformats.org/officeDocument/2006/relationships" ref="C32" r:id="rId151"/>
    <hyperlink xmlns:r="http://schemas.openxmlformats.org/officeDocument/2006/relationships" ref="D32" r:id="rId152"/>
    <hyperlink xmlns:r="http://schemas.openxmlformats.org/officeDocument/2006/relationships" ref="H32" r:id="rId153"/>
    <hyperlink xmlns:r="http://schemas.openxmlformats.org/officeDocument/2006/relationships" ref="AE32" r:id="rId154"/>
    <hyperlink xmlns:r="http://schemas.openxmlformats.org/officeDocument/2006/relationships" ref="AN32" r:id="rId155"/>
    <hyperlink xmlns:r="http://schemas.openxmlformats.org/officeDocument/2006/relationships" ref="C33" r:id="rId156"/>
    <hyperlink xmlns:r="http://schemas.openxmlformats.org/officeDocument/2006/relationships" ref="D33" r:id="rId157"/>
    <hyperlink xmlns:r="http://schemas.openxmlformats.org/officeDocument/2006/relationships" ref="H33" r:id="rId158"/>
    <hyperlink xmlns:r="http://schemas.openxmlformats.org/officeDocument/2006/relationships" ref="AE33" r:id="rId159"/>
    <hyperlink xmlns:r="http://schemas.openxmlformats.org/officeDocument/2006/relationships" ref="AN33" r:id="rId160"/>
    <hyperlink xmlns:r="http://schemas.openxmlformats.org/officeDocument/2006/relationships" ref="C34" r:id="rId161"/>
    <hyperlink xmlns:r="http://schemas.openxmlformats.org/officeDocument/2006/relationships" ref="D34" r:id="rId162"/>
    <hyperlink xmlns:r="http://schemas.openxmlformats.org/officeDocument/2006/relationships" ref="H34" r:id="rId163"/>
    <hyperlink xmlns:r="http://schemas.openxmlformats.org/officeDocument/2006/relationships" ref="AE34" r:id="rId164"/>
    <hyperlink xmlns:r="http://schemas.openxmlformats.org/officeDocument/2006/relationships" ref="AN34" r:id="rId165"/>
    <hyperlink xmlns:r="http://schemas.openxmlformats.org/officeDocument/2006/relationships" ref="C35" r:id="rId166"/>
    <hyperlink xmlns:r="http://schemas.openxmlformats.org/officeDocument/2006/relationships" ref="D35" r:id="rId167"/>
    <hyperlink xmlns:r="http://schemas.openxmlformats.org/officeDocument/2006/relationships" ref="H35" r:id="rId168"/>
    <hyperlink xmlns:r="http://schemas.openxmlformats.org/officeDocument/2006/relationships" ref="AE35" r:id="rId169"/>
    <hyperlink xmlns:r="http://schemas.openxmlformats.org/officeDocument/2006/relationships" ref="AN35" r:id="rId170"/>
    <hyperlink xmlns:r="http://schemas.openxmlformats.org/officeDocument/2006/relationships" ref="C36" r:id="rId171"/>
    <hyperlink xmlns:r="http://schemas.openxmlformats.org/officeDocument/2006/relationships" ref="D36" r:id="rId172"/>
    <hyperlink xmlns:r="http://schemas.openxmlformats.org/officeDocument/2006/relationships" ref="H36" r:id="rId173"/>
    <hyperlink xmlns:r="http://schemas.openxmlformats.org/officeDocument/2006/relationships" ref="AE36" r:id="rId174"/>
    <hyperlink xmlns:r="http://schemas.openxmlformats.org/officeDocument/2006/relationships" ref="AN36" r:id="rId175"/>
    <hyperlink xmlns:r="http://schemas.openxmlformats.org/officeDocument/2006/relationships" ref="C37" r:id="rId176"/>
    <hyperlink xmlns:r="http://schemas.openxmlformats.org/officeDocument/2006/relationships" ref="D37" r:id="rId177"/>
    <hyperlink xmlns:r="http://schemas.openxmlformats.org/officeDocument/2006/relationships" ref="H37" r:id="rId178"/>
    <hyperlink xmlns:r="http://schemas.openxmlformats.org/officeDocument/2006/relationships" ref="AE37" r:id="rId179"/>
    <hyperlink xmlns:r="http://schemas.openxmlformats.org/officeDocument/2006/relationships" ref="AN37" r:id="rId180"/>
    <hyperlink xmlns:r="http://schemas.openxmlformats.org/officeDocument/2006/relationships" ref="C38" r:id="rId181"/>
    <hyperlink xmlns:r="http://schemas.openxmlformats.org/officeDocument/2006/relationships" ref="D38" r:id="rId182"/>
    <hyperlink xmlns:r="http://schemas.openxmlformats.org/officeDocument/2006/relationships" ref="H38" r:id="rId183"/>
    <hyperlink xmlns:r="http://schemas.openxmlformats.org/officeDocument/2006/relationships" ref="AE38" r:id="rId184"/>
    <hyperlink xmlns:r="http://schemas.openxmlformats.org/officeDocument/2006/relationships" ref="AN38" r:id="rId185"/>
    <hyperlink xmlns:r="http://schemas.openxmlformats.org/officeDocument/2006/relationships" ref="C39" r:id="rId186"/>
    <hyperlink xmlns:r="http://schemas.openxmlformats.org/officeDocument/2006/relationships" ref="D39" r:id="rId187"/>
    <hyperlink xmlns:r="http://schemas.openxmlformats.org/officeDocument/2006/relationships" ref="H39" r:id="rId188"/>
    <hyperlink xmlns:r="http://schemas.openxmlformats.org/officeDocument/2006/relationships" ref="AE39" r:id="rId189"/>
    <hyperlink xmlns:r="http://schemas.openxmlformats.org/officeDocument/2006/relationships" ref="AN39" r:id="rId190"/>
    <hyperlink xmlns:r="http://schemas.openxmlformats.org/officeDocument/2006/relationships" ref="C40" r:id="rId191"/>
    <hyperlink xmlns:r="http://schemas.openxmlformats.org/officeDocument/2006/relationships" ref="D40" r:id="rId192"/>
    <hyperlink xmlns:r="http://schemas.openxmlformats.org/officeDocument/2006/relationships" ref="H40" r:id="rId193"/>
    <hyperlink xmlns:r="http://schemas.openxmlformats.org/officeDocument/2006/relationships" ref="AE40" r:id="rId194"/>
    <hyperlink xmlns:r="http://schemas.openxmlformats.org/officeDocument/2006/relationships" ref="AJ40" r:id="rId195"/>
    <hyperlink xmlns:r="http://schemas.openxmlformats.org/officeDocument/2006/relationships" ref="AN40" r:id="rId196"/>
    <hyperlink xmlns:r="http://schemas.openxmlformats.org/officeDocument/2006/relationships" ref="C41" r:id="rId197"/>
    <hyperlink xmlns:r="http://schemas.openxmlformats.org/officeDocument/2006/relationships" ref="D41" r:id="rId198"/>
    <hyperlink xmlns:r="http://schemas.openxmlformats.org/officeDocument/2006/relationships" ref="H41" r:id="rId199"/>
    <hyperlink xmlns:r="http://schemas.openxmlformats.org/officeDocument/2006/relationships" ref="AN41" r:id="rId200"/>
    <hyperlink xmlns:r="http://schemas.openxmlformats.org/officeDocument/2006/relationships" ref="C42" r:id="rId201"/>
    <hyperlink xmlns:r="http://schemas.openxmlformats.org/officeDocument/2006/relationships" ref="D42" r:id="rId202"/>
    <hyperlink xmlns:r="http://schemas.openxmlformats.org/officeDocument/2006/relationships" ref="H42" r:id="rId203"/>
    <hyperlink xmlns:r="http://schemas.openxmlformats.org/officeDocument/2006/relationships" ref="AN42" r:id="rId204"/>
    <hyperlink xmlns:r="http://schemas.openxmlformats.org/officeDocument/2006/relationships" ref="C43" r:id="rId205"/>
    <hyperlink xmlns:r="http://schemas.openxmlformats.org/officeDocument/2006/relationships" ref="D43" r:id="rId206"/>
    <hyperlink xmlns:r="http://schemas.openxmlformats.org/officeDocument/2006/relationships" ref="H43" r:id="rId207"/>
    <hyperlink xmlns:r="http://schemas.openxmlformats.org/officeDocument/2006/relationships" ref="AN43" r:id="rId20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N49"/>
  <sheetViews>
    <sheetView showGridLines="1" workbookViewId="0">
      <selection activeCell="A1" sqref="A1"/>
    </sheetView>
  </sheetViews>
  <sheetFormatPr baseColWidth="8" defaultRowHeight="15"/>
  <cols>
    <col width="34" customWidth="1" min="1" max="1"/>
    <col width="28" customWidth="1" min="2" max="2"/>
    <col width="49" customWidth="1" min="3" max="3"/>
    <col width="32" customWidth="1" min="4" max="4"/>
    <col width="32" customWidth="1" min="5" max="5"/>
    <col width="38" customWidth="1" min="6" max="6"/>
    <col width="16" customWidth="1" min="7" max="7"/>
    <col width="49" customWidth="1" min="8" max="8"/>
    <col width="17" customWidth="1" min="9" max="9"/>
    <col width="52" customWidth="1" min="10" max="10"/>
    <col width="17" customWidth="1" min="11" max="11"/>
    <col width="65" customWidth="1" min="12" max="12"/>
    <col width="65" customWidth="1" min="13" max="13"/>
    <col width="49" customWidth="1" min="14" max="14"/>
    <col width="65" customWidth="1" min="15" max="15"/>
    <col width="65" customWidth="1" min="16" max="16"/>
    <col width="65" customWidth="1" min="17" max="17"/>
    <col width="65" customWidth="1" min="18" max="18"/>
    <col width="65" customWidth="1" min="19" max="19"/>
    <col width="65" customWidth="1" min="20" max="20"/>
    <col width="65" customWidth="1" min="21" max="21"/>
    <col width="65" customWidth="1" min="22" max="22"/>
    <col width="65" customWidth="1" min="23" max="23"/>
    <col width="65" customWidth="1" min="24" max="24"/>
    <col width="65" customWidth="1" min="25" max="25"/>
    <col width="65" customWidth="1" min="26" max="26"/>
    <col width="65" customWidth="1" min="27" max="27"/>
    <col width="65" customWidth="1" min="28" max="28"/>
    <col width="65" customWidth="1" min="29" max="29"/>
    <col width="65" customWidth="1" min="30" max="30"/>
    <col width="49" customWidth="1" min="31" max="31"/>
    <col width="65" customWidth="1" min="32" max="32"/>
    <col width="53" customWidth="1" min="33" max="33"/>
    <col width="30" customWidth="1" min="34" max="34"/>
    <col width="20" customWidth="1" min="35" max="35"/>
    <col width="49" customWidth="1" min="36" max="36"/>
    <col width="56" customWidth="1" min="37" max="37"/>
    <col width="65" customWidth="1" min="38" max="38"/>
    <col width="18" customWidth="1" min="39" max="39"/>
    <col width="49" customWidth="1" min="40" max="40"/>
  </cols>
  <sheetData>
    <row r="1">
      <c r="A1" s="1" t="inlineStr">
        <is>
          <t>Name</t>
        </is>
      </c>
      <c r="B1" s="1" t="inlineStr">
        <is>
          <t>University</t>
        </is>
      </c>
      <c r="C1" s="1" t="inlineStr">
        <is>
          <t>Profile URL</t>
        </is>
      </c>
      <c r="D1" s="1" t="inlineStr">
        <is>
          <t>Google Scholar URL</t>
        </is>
      </c>
      <c r="E1" s="1" t="inlineStr">
        <is>
          <t>Job Title</t>
        </is>
      </c>
      <c r="F1" s="1" t="inlineStr">
        <is>
          <t>Department</t>
        </is>
      </c>
      <c r="G1" s="1" t="inlineStr">
        <is>
          <t>Scholar ID</t>
        </is>
      </c>
      <c r="H1" s="1" t="inlineStr">
        <is>
          <t>Email</t>
        </is>
      </c>
      <c r="I1" s="1" t="inlineStr">
        <is>
          <t>Research Tier</t>
        </is>
      </c>
      <c r="J1" s="1" t="inlineStr">
        <is>
          <t>Research Category</t>
        </is>
      </c>
      <c r="K1" s="1" t="inlineStr">
        <is>
          <t>Matched Count</t>
        </is>
      </c>
      <c r="L1" s="1" t="inlineStr">
        <is>
          <t>Matched Fields</t>
        </is>
      </c>
      <c r="M1" s="1" t="inlineStr">
        <is>
          <t>Flagship Paper Hook</t>
        </is>
      </c>
      <c r="N1" s="1" t="inlineStr">
        <is>
          <t>Flagship Paper DOI</t>
        </is>
      </c>
      <c r="O1" s="1" t="inlineStr">
        <is>
          <t>Tech Stack</t>
        </is>
      </c>
      <c r="P1" s="1" t="inlineStr">
        <is>
          <t>Physical Finding</t>
        </is>
      </c>
      <c r="Q1" s="1" t="inlineStr">
        <is>
          <t>Research Hook</t>
        </is>
      </c>
      <c r="R1" s="1" t="inlineStr">
        <is>
          <t>Latest Paper / Publication</t>
        </is>
      </c>
      <c r="S1" s="1" t="inlineStr">
        <is>
          <t>Recent Papers (2024-2026)</t>
        </is>
      </c>
      <c r="T1" s="1" t="inlineStr">
        <is>
          <t>Top Cited Papers</t>
        </is>
      </c>
      <c r="U1" s="1" t="inlineStr">
        <is>
          <t>Courses Taught</t>
        </is>
      </c>
      <c r="V1" s="1" t="inlineStr">
        <is>
          <t>Recent Awards / Honors</t>
        </is>
      </c>
      <c r="W1" s="1" t="inlineStr">
        <is>
          <t>Cold Email / Application Instructions</t>
        </is>
      </c>
      <c r="X1" s="1" t="inlineStr">
        <is>
          <t>OpenAlex Research Topics</t>
        </is>
      </c>
      <c r="Y1" s="1" t="inlineStr">
        <is>
          <t>Google Scholar Tags</t>
        </is>
      </c>
      <c r="Z1" s="1" t="inlineStr">
        <is>
          <t>Research Interests</t>
        </is>
      </c>
      <c r="AA1" s="1" t="inlineStr">
        <is>
          <t>Expertise Areas</t>
        </is>
      </c>
      <c r="AB1" s="1" t="inlineStr">
        <is>
          <t>Research / Bio Summary</t>
        </is>
      </c>
      <c r="AC1" s="1" t="inlineStr">
        <is>
          <t>Education / Degrees</t>
        </is>
      </c>
      <c r="AD1" s="1" t="inlineStr">
        <is>
          <t>Lab / Research Group Name</t>
        </is>
      </c>
      <c r="AE1" s="1" t="inlineStr">
        <is>
          <t>Lab / Personal Website</t>
        </is>
      </c>
      <c r="AF1" s="1" t="inlineStr">
        <is>
          <t>Actively Hiring / Openings</t>
        </is>
      </c>
      <c r="AG1" s="1" t="inlineStr">
        <is>
          <t>Target Skills / Prerequisites</t>
        </is>
      </c>
      <c r="AH1" s="1" t="inlineStr">
        <is>
          <t>Lab Facilities &amp; Equipment</t>
        </is>
      </c>
      <c r="AI1" s="1" t="inlineStr">
        <is>
          <t>Funding Sponsors</t>
        </is>
      </c>
      <c r="AJ1" s="1" t="inlineStr">
        <is>
          <t>Software / Code Repo</t>
        </is>
      </c>
      <c r="AK1" s="1" t="inlineStr">
        <is>
          <t>Latest Project / Highlight</t>
        </is>
      </c>
      <c r="AL1" s="1" t="inlineStr">
        <is>
          <t>Office Location</t>
        </is>
      </c>
      <c r="AM1" s="1" t="inlineStr">
        <is>
          <t>Is Field Match</t>
        </is>
      </c>
      <c r="AN1" s="1" t="inlineStr">
        <is>
          <t>Directory URL</t>
        </is>
      </c>
    </row>
    <row r="2">
      <c r="A2" s="2" t="inlineStr">
        <is>
          <t>Mohamed Houssem Kasbaoui</t>
        </is>
      </c>
      <c r="B2" s="2" t="inlineStr">
        <is>
          <t>Arizona State University</t>
        </is>
      </c>
      <c r="C2" s="3">
        <f>HYPERLINK("https://search.asu.edu/profile/mkasbaou", "https://search.asu.edu/profile/mkasbaou")</f>
        <v/>
      </c>
      <c r="D2" s="3">
        <f>HYPERLINK("https://scholar.google.com/citations?view_op=search_authors&amp;mauthors=Mohamed%20Houssem%20Kasbaoui%20Arizona%20State%20University", "Google Scholar Search")</f>
        <v/>
      </c>
      <c r="E2" s="2" t="inlineStr">
        <is>
          <t>Associate Professor</t>
        </is>
      </c>
      <c r="F2" s="2" t="inlineStr">
        <is>
          <t>Aerospace &amp; Mechanical Engineering</t>
        </is>
      </c>
      <c r="G2" s="2" t="inlineStr"/>
      <c r="H2" s="3">
        <f>HYPERLINK("mailto:houssem.kasbaoui@asu.edu", "houssem.kasbaoui@asu.edu")</f>
        <v/>
      </c>
      <c r="I2" s="2" t="n">
        <v>1</v>
      </c>
      <c r="J2" s="2" t="inlineStr">
        <is>
          <t>🔵 Tier 1: Core Aero / Fluids / Propulsion</t>
        </is>
      </c>
      <c r="K2" s="2" t="n">
        <v>8</v>
      </c>
      <c r="L2" s="2" t="inlineStr">
        <is>
          <t>aerospace, cfd, computational fluid dynamics, dns, fluid dynamics, fluid-structure interaction, multiphase flow, turbulent</t>
        </is>
      </c>
      <c r="M2" s="2" t="inlineStr">
        <is>
          <t>Clustering in Euler–Euler and Euler–Lagrange simulations of unbounded homogeneous particle-laden shear (Journal of Fluid Mechanics, 2018) [DOI: https://doi.org/10.1017/jfm.2018.796]</t>
        </is>
      </c>
      <c r="N2" s="3">
        <f>HYPERLINK("https://doi.org/10.1017/jfm.2018.796", "https://doi.org/10.1017/jfm.2018.796")</f>
        <v/>
      </c>
      <c r="O2" s="2" t="inlineStr">
        <is>
          <t>Eulerian–Lagrangian Point-Particle DNS / Anisotropic-Gaussian Solver</t>
        </is>
      </c>
      <c r="P2" s="2" t="inlineStr">
        <is>
          <t>executing point-particle DNS in unbounded homogeneous shear to investigate preferential concentration of inertial particles under intense aerodynamic shear, demonstrating that particle-trajectory crossing establishes a finite lower threshold on cluster sheet thickness that prevents singular particulate accumulation.</t>
        </is>
      </c>
      <c r="Q2" s="2" t="inlineStr">
        <is>
          <t>Predicting particle clustering and structural dispersion in particle-laden turbulent flows requires resolving the two-way interphase momentum transfer without suffering from artificial accumulation artifacts of two-fluid formulations.</t>
        </is>
      </c>
      <c r="R2" s="2" t="inlineStr">
        <is>
          <t>Refereed Journal Papers M. H. Kasbaoui and M. Herrmann, A high-fidelity methodology for particle-resolved direct numerical simu...</t>
        </is>
      </c>
      <c r="S2" s="2" t="inlineStr">
        <is>
          <t>"Modelling the wall slip in large eddy simulations with immersed boundaries" [Journal of Fluid Mechanics] (2026) [DOI: https://doi.org/10.1017/jfm.2026.11788] | "Dynamics of an oscillatory boundary layer over a sediment bed in Euler–Lagrange simulations" [Journal of Fluid Mechanics] (2025) [DOI: https://doi.org/10.1017/jfm.2025.10809] | "Modeling the wall-slip in large eddy simulations with immersed boundaries" [arXiv (Cornell University)] (2025) [DOI: https://doi.org/10.48550/arxiv.2510.27029]</t>
        </is>
      </c>
      <c r="T2" s="2" t="inlineStr">
        <is>
          <t>"Clustering in Euler–Euler and Euler–Lagrange simulations of unbounded homogeneous particle-laden shear" [Journal of Fluid Mechanics] (2018, 40 cites) [DOI: https://doi.org/10.1017/jfm.2018.796] | "Accelerated decay of a Lamb–Oseen vortex tube laden with inertial particles in Eulerian–Lagrangian simulations" [Journal of Fluid Mechanics] (2022, 22 cites) [DOI: https://doi.org/10.1017/jfm.2022.50] | "Reynolds number scaling of burning rates in spherical turbulent premixed flames" [Journal of Fluid Mechanics] (2020, 20 cites) [DOI: https://doi.org/10.1017/jfm.2020.784]</t>
        </is>
      </c>
      <c r="U2" s="2" t="inlineStr">
        <is>
          <t>MAE 242: Intro to Fluid Mechanics | MAE 574: Multiphase Flow | MAE 501: Linear Algebra in Engineering</t>
        </is>
      </c>
      <c r="V2" s="2" t="inlineStr"/>
      <c r="W2" s="2" t="inlineStr"/>
      <c r="X2" s="2" t="inlineStr">
        <is>
          <t>Particle Dynamics in Fluid Flows (22) | Fluid Dynamics and Turbulent Flows (19) | Granular flow and fluidized beds (14)</t>
        </is>
      </c>
      <c r="Y2" s="2" t="inlineStr">
        <is>
          <t>Particle Dynamics in Fluid Flows (22) | Fluid Dynamics and Turbulent Flows (19) | Granular flow and fluidized beds (14)</t>
        </is>
      </c>
      <c r="Z2" s="2" t="inlineStr"/>
      <c r="AA2" s="2" t="inlineStr"/>
      <c r="AB2" s="2" t="inlineStr">
        <is>
          <t>Kasbaoui's research interests include computational fluid dynamics, numerical methods, and massively parallel simulations of multiphase and particle-laden flows for environmental and aerospace applications.</t>
        </is>
      </c>
      <c r="AC2" s="2" t="inlineStr">
        <is>
          <t>Ph.D.  Aerospace Engineering, Cornell University, 2017 | M.Sc.  Aerospace Engineering, Cornell University, 2015 | M.Sc.  Theoretical Physics, Université Paris-Sud, 2014 | Diplôme d'Ingénieur , Ecole Centrale Paris, 2013 | B.Sc.  Theoretical Physics, Université Paris-Sud, 2011</t>
        </is>
      </c>
      <c r="AD2" s="2" t="inlineStr">
        <is>
          <t>Multiphase Flow and Fluid-Structure Interaction Group</t>
        </is>
      </c>
      <c r="AE2" s="3">
        <f>HYPERLINK("https://kasbaoui.bitbucket.io", "https://kasbaoui.bitbucket.io")</f>
        <v/>
      </c>
      <c r="AF2" s="2" t="inlineStr"/>
      <c r="AG2" s="2" t="inlineStr">
        <is>
          <t>CFD</t>
        </is>
      </c>
      <c r="AH2" s="2" t="inlineStr"/>
      <c r="AI2" s="2" t="inlineStr">
        <is>
          <t>AFOSR</t>
        </is>
      </c>
      <c r="AJ2" s="3">
        <f>HYPERLINK("https://bitbucket.org/krgasu/leap/downloads/leap-v0.8.2.tar.gz", "https://bitbucket.org/krgasu/leap/downloads/leap-v0.8.2.tar.gz, https://bitbucket.org/krgasu/leap/src/master")</f>
        <v/>
      </c>
      <c r="AK2" s="2" t="inlineStr">
        <is>
          <t>School for Engineering of Matter, Transport &amp; Energy</t>
        </is>
      </c>
      <c r="AL2" s="2" t="inlineStr">
        <is>
          <t>Campus: Tempe</t>
        </is>
      </c>
      <c r="AM2" s="2" t="b">
        <v>1</v>
      </c>
      <c r="AN2" s="3">
        <f>HYPERLINK("https://faculty.engineering.asu.edu/directory/semte/aerospace-and-mechanical-engineering/", "https://faculty.engineering.asu.edu/directory/semte/aerospace-and-mechanical-engineering/")</f>
        <v/>
      </c>
    </row>
    <row r="3">
      <c r="A3" s="2" t="inlineStr">
        <is>
          <t>Kangping Chen</t>
        </is>
      </c>
      <c r="B3" s="2" t="inlineStr">
        <is>
          <t>Arizona State University</t>
        </is>
      </c>
      <c r="C3" s="3">
        <f>HYPERLINK("https://search.asu.edu/profile/asuchen", "https://search.asu.edu/profile/asuchen")</f>
        <v/>
      </c>
      <c r="D3" s="3">
        <f>HYPERLINK("https://scholar.google.com/citations?hl=en&amp;user=xT-lX9sAAAAJ", "Scholar (xT-lX9sAAAAJ)")</f>
        <v/>
      </c>
      <c r="E3" s="2" t="inlineStr">
        <is>
          <t>Associate Professor</t>
        </is>
      </c>
      <c r="F3" s="2" t="inlineStr">
        <is>
          <t>Aerospace &amp; Mechanical Engineering</t>
        </is>
      </c>
      <c r="G3" s="2" t="inlineStr">
        <is>
          <t>xT-lX9sAAAAJ</t>
        </is>
      </c>
      <c r="H3" s="3">
        <f>HYPERLINK("mailto:k.p.chen@asu.edu", "k.p.chen@asu.edu")</f>
        <v/>
      </c>
      <c r="I3" s="2" t="n">
        <v>1</v>
      </c>
      <c r="J3" s="2" t="inlineStr">
        <is>
          <t>🔵 Tier 1: Core Aero / Fluids / Propulsion</t>
        </is>
      </c>
      <c r="K3" s="2" t="n">
        <v>6</v>
      </c>
      <c r="L3" s="2" t="inlineStr">
        <is>
          <t>aerospace, computational fluid dynamics, fluid dynamics, fluid mechanics, guidance, multiphase flow</t>
        </is>
      </c>
      <c r="M3" s="2" t="inlineStr">
        <is>
          <t>Lubricated pipelining: stability of core-annular flow (Journal of Fluid Mechanics, 1989) [DOI: https://doi.org/10.1017/s0022112089000960]</t>
        </is>
      </c>
      <c r="N3" s="3">
        <f>HYPERLINK("https://doi.org/10.1017/s0022112089000960", "https://doi.org/10.1017/s0022112089000960")</f>
        <v/>
      </c>
      <c r="O3" s="2" t="inlineStr">
        <is>
          <t>Linear Hydrodynamic Stability Analysis / Spectral Collocation Solver</t>
        </is>
      </c>
      <c r="P3" s="2" t="inlineStr">
        <is>
          <t>conducting linear hydrodynamic stability analysis of core-annular pipe flows, demonstrating that interfacial capillary instability transitions into an axisymmetric shear-stabilized lubrication window across a discrete Reynolds number corridor.</t>
        </is>
      </c>
      <c r="Q3" s="2" t="inlineStr">
        <is>
          <t>Multiphase core-annular pipeline flows present intricate interfacial stability regimes where capillary forces compete directly with annular fluid shear.</t>
        </is>
      </c>
      <c r="R3" s="2" t="inlineStr"/>
      <c r="S3" s="2" t="inlineStr">
        <is>
          <t>"Heterogeneous Feature Knowledge Distillation based on Enhanced Feature Projector Correlation" [Neural Networks] (2025) [DOI: https://doi.org/10.1016/j.neunet.2025.108409] | "Deep learning and multi-omics reveal programmed cell death-associated diagnostic signatures and prognostic biomarkers in gastric cancer" [Frontiers in Immunology] (2025) [DOI: https://doi.org/10.3389/fimmu.2025.1690200] | "Research on flexible job shop scheduling based on deep reinforcement learning with transformer-graph neural network" [Journal of Control and Decision] (2025) [DOI: https://doi.org/10.1080/23307706.2025.2557020]</t>
        </is>
      </c>
      <c r="T3" s="2" t="inlineStr">
        <is>
          <t>"Lubricated pipelining: stability of core-annular flow" [Journal of Fluid Mechanics] (1989, 202 cites) [DOI: https://doi.org/10.1017/s0022112089000960] | "Lubricated pipelining: stability of core—annular flow. Part 5. Experiments and comparison with theory" [Journal of Fluid Mechanics] (1992, 163 cites) [DOI: https://doi.org/10.1017/s0022112092000041] | "Pool-boiling enhancement by novel metallic nanoporous surface" [Experimental Thermal and Fluid Science] (2012, 112 cites) [DOI: https://doi.org/10.1016/j.expthermflusci.2012.06.008]</t>
        </is>
      </c>
      <c r="U3" s="2" t="inlineStr">
        <is>
          <t>MAE 242: Intro to Fluid Mechanics | MAE 384: Adv Math Methods for Engineers | MAE 501: Linear Algebra in Engineering</t>
        </is>
      </c>
      <c r="V3" s="2" t="inlineStr"/>
      <c r="W3" s="2" t="inlineStr"/>
      <c r="X3" s="2" t="inlineStr">
        <is>
          <t>Fluid Dynamics and Thin Films (12) | Rheology and Fluid Dynamics Studies (11) | Hydraulic Fracturing and Reservoir Analysis (7)</t>
        </is>
      </c>
      <c r="Y3" s="2" t="inlineStr">
        <is>
          <t>Fluid Dynamics and Thin Films (12) | Rheology and Fluid Dynamics Studies (11) | Hydraulic Fracturing and Reservoir Analysis (7)</t>
        </is>
      </c>
      <c r="Z3" s="2" t="inlineStr"/>
      <c r="AA3" s="2" t="inlineStr"/>
      <c r="AB3" s="2" t="inlineStr">
        <is>
          <t>Chen’s research interests include multiphase flows, drag reduction, airplane de-icing, interfacial instabilities and flow in porous media.</t>
        </is>
      </c>
      <c r="AC3" s="2" t="inlineStr">
        <is>
          <t>Ph.D. Fluid Mechanics, University of Minnesota 1990 | B.S. Mechanics, Peking University, China 1982</t>
        </is>
      </c>
      <c r="AD3" s="2" t="inlineStr"/>
      <c r="AE3" s="2" t="inlineStr"/>
      <c r="AF3" s="2" t="inlineStr"/>
      <c r="AG3" s="2" t="inlineStr"/>
      <c r="AH3" s="2" t="inlineStr"/>
      <c r="AI3" s="2" t="inlineStr"/>
      <c r="AJ3" s="2" t="inlineStr"/>
      <c r="AK3" s="2" t="inlineStr"/>
      <c r="AL3" s="2" t="inlineStr">
        <is>
          <t>ENGRC 361 (TEMPE, AZ 85287-6106)</t>
        </is>
      </c>
      <c r="AM3" s="2" t="b">
        <v>1</v>
      </c>
      <c r="AN3" s="3">
        <f>HYPERLINK("https://faculty.engineering.asu.edu/directory/semte/aerospace-and-mechanical-engineering/", "https://faculty.engineering.asu.edu/directory/semte/aerospace-and-mechanical-engineering/")</f>
        <v/>
      </c>
    </row>
    <row r="4">
      <c r="A4" s="2" t="inlineStr">
        <is>
          <t>Kiran Ramesh</t>
        </is>
      </c>
      <c r="B4" s="2" t="inlineStr">
        <is>
          <t>Arizona State University</t>
        </is>
      </c>
      <c r="C4" s="3">
        <f>HYPERLINK("https://search.asu.edu/profile/kramesh2", "https://search.asu.edu/profile/kramesh2")</f>
        <v/>
      </c>
      <c r="D4" s="3">
        <f>HYPERLINK("https://scholar.google.com/citations?hl=en&amp;user=DKc-AgcAAAAJ", "Scholar (DKc-AgcAAAAJ)")</f>
        <v/>
      </c>
      <c r="E4" s="2" t="inlineStr">
        <is>
          <t>Associate Professor</t>
        </is>
      </c>
      <c r="F4" s="2" t="inlineStr">
        <is>
          <t>Aerospace &amp; Mechanical Engineering</t>
        </is>
      </c>
      <c r="G4" s="2" t="inlineStr">
        <is>
          <t>DKc-AgcAAAAJ</t>
        </is>
      </c>
      <c r="H4" s="3">
        <f>HYPERLINK("mailto:Kiran.Ramesh@asu.edu", "Kiran.Ramesh@asu.edu")</f>
        <v/>
      </c>
      <c r="I4" s="2" t="n">
        <v>1</v>
      </c>
      <c r="J4" s="2" t="inlineStr">
        <is>
          <t>🔵 Tier 1: Core Aero / Fluids / Propulsion</t>
        </is>
      </c>
      <c r="K4" s="2" t="n">
        <v>6</v>
      </c>
      <c r="L4" s="2" t="inlineStr">
        <is>
          <t>aerodynamics, aerospace, flow control, fluid dynamics, turbulence, vortex dynamics</t>
        </is>
      </c>
      <c r="M4" s="2" t="inlineStr">
        <is>
          <t>Discrete-vortex method with novel shedding criterion for unsteady aerofoil flows with intermittent leading-edge vortex shedding (Journal of Fluid Mechanics, 2014) [DOI: https://doi.org/10.1017/jfm.2014.297]</t>
        </is>
      </c>
      <c r="N4" s="3">
        <f>HYPERLINK("https://doi.org/10.1017/jfm.2014.297", "https://doi.org/10.1017/jfm.2014.297")</f>
        <v/>
      </c>
      <c r="O4" s="2" t="inlineStr">
        <is>
          <t>Unsteady Discrete Vortex Method (DVM) / Unsteady Thin-Airfoil Theory</t>
        </is>
      </c>
      <c r="P4" s="2" t="inlineStr">
        <is>
          <t>applying unsteady discrete-vortex modeling to pitching aerofoils, demonstrating that intermittent leading-edge vortex shedding onset is governed by a critical leading-edge suction parameter (LESP) linked to the Fourier A0 bound vorticity coefficient.</t>
        </is>
      </c>
      <c r="Q4" s="2" t="inlineStr">
        <is>
          <t>Modeling dynamic stall and high-angle unsteady aerofoil maneuvers necessitates identifying the precise physical trigger that initiates leading-edge vortex detachment.</t>
        </is>
      </c>
      <c r="R4" s="2" t="inlineStr"/>
      <c r="S4" s="2" t="inlineStr">
        <is>
          <t>"Closed-form unsteady thin-airfoil theory for high-amplitude problems" [Aerospace Science and Technology] (2026) [DOI: https://doi.org/10.1016/j.ast.2026.112983] | "Closed-form unsteady thin-airfoil theory for high-amplitude problems" [SSRN Electronic Journal] (2026) [DOI: https://doi.org/10.2139/ssrn.6438821] | "Design Optimization of a Pico Hydroelectric Turbine Using Computational Fluid Dynamics" (2025) [DOI: https://doi.org/10.1109/icmic66299.2025.11257765]</t>
        </is>
      </c>
      <c r="T4" s="2" t="inlineStr">
        <is>
          <t>"Discrete-vortex method with novel shedding criterion for unsteady aerofoil flows with intermittent leading-edge vortex shedding" [Journal of Fluid Mechanics] (2014, 276 cites) [DOI: https://doi.org/10.1017/jfm.2014.297] | "A Survey of Design Techniques for Conversational Agents" [Communications in computer and information science] (2017, 166 cites) [DOI: https://doi.org/10.1007/978-981-10-6544-6_31] | "An unsteady airfoil theory applied to pitching motions validated against experiment and computation" [Theoretical and Computational Fluid Dynamics] (2013, 122 cites) [DOI: https://doi.org/10.1007/s00162-012-0292-8]</t>
        </is>
      </c>
      <c r="U4" s="2" t="inlineStr">
        <is>
          <t>MAE 242: Intro to Fluid Mechanics | MAE 593: Applied Project | MAE 564: Advanced Aerodynamics</t>
        </is>
      </c>
      <c r="V4" s="2" t="inlineStr"/>
      <c r="W4" s="2" t="inlineStr"/>
      <c r="X4" s="2" t="inlineStr">
        <is>
          <t>Fluid Dynamics and Turbulent Flows (36) | Fluid Dynamics and Vibration Analysis (26) | Biomimetic flight and propulsion mechanisms (24)</t>
        </is>
      </c>
      <c r="Y4" s="2" t="inlineStr">
        <is>
          <t>Fluid Dynamics and Turbulent Flows (36) | Fluid Dynamics and Vibration Analysis (26) | Biomimetic flight and propulsion mechanisms (24)</t>
        </is>
      </c>
      <c r="Z4" s="2" t="inlineStr">
        <is>
          <t>Unsteady aerodynamics, vortex dynamics, flow control, turbulence, separated flows</t>
        </is>
      </c>
      <c r="AA4" s="2" t="inlineStr"/>
      <c r="AB4" s="2" t="inlineStr">
        <is>
          <t>Ramesh's expertise is in unsteady fluid dynamics, vortex dynamics, turbulence and flow control.</t>
        </is>
      </c>
      <c r="AC4" s="2" t="inlineStr">
        <is>
          <t>PhD North Carolina State University</t>
        </is>
      </c>
      <c r="AD4" s="2" t="inlineStr"/>
      <c r="AE4" s="2" t="inlineStr"/>
      <c r="AF4" s="2" t="inlineStr"/>
      <c r="AG4" s="2" t="inlineStr"/>
      <c r="AH4" s="2" t="inlineStr"/>
      <c r="AI4" s="2" t="inlineStr"/>
      <c r="AJ4" s="2" t="inlineStr"/>
      <c r="AK4" s="2" t="inlineStr"/>
      <c r="AL4" s="2" t="inlineStr">
        <is>
          <t>Engineering research centre Room 383 551 E Tyler mall (Tempe, AZ 85281)</t>
        </is>
      </c>
      <c r="AM4" s="2" t="b">
        <v>1</v>
      </c>
      <c r="AN4" s="3">
        <f>HYPERLINK("https://faculty.engineering.asu.edu/directory/semte/aerospace-and-mechanical-engineering/", "https://faculty.engineering.asu.edu/directory/semte/aerospace-and-mechanical-engineering/")</f>
        <v/>
      </c>
    </row>
    <row r="5">
      <c r="A5" s="2" t="inlineStr">
        <is>
          <t>Leixin Ma</t>
        </is>
      </c>
      <c r="B5" s="2" t="inlineStr">
        <is>
          <t>Arizona State University</t>
        </is>
      </c>
      <c r="C5" s="3">
        <f>HYPERLINK("https://search.asu.edu/profile/leixinma", "https://search.asu.edu/profile/leixinma")</f>
        <v/>
      </c>
      <c r="D5" s="3">
        <f>HYPERLINK("https://scholar.google.com/citations?hl=en&amp;user=2xQTOc0AAAAJ", "Scholar (2xQTOc0AAAAJ)")</f>
        <v/>
      </c>
      <c r="E5" s="2" t="inlineStr">
        <is>
          <t>Assistant Professor</t>
        </is>
      </c>
      <c r="F5" s="2" t="inlineStr">
        <is>
          <t>Aerospace &amp; Mechanical Engineering</t>
        </is>
      </c>
      <c r="G5" s="2" t="inlineStr">
        <is>
          <t>2xQTOc0AAAAJ</t>
        </is>
      </c>
      <c r="H5" s="3">
        <f>HYPERLINK("mailto:Leixin.Ma@asu.edu", "Leixin.Ma@asu.edu")</f>
        <v/>
      </c>
      <c r="I5" s="2" t="n">
        <v>1</v>
      </c>
      <c r="J5" s="2" t="inlineStr">
        <is>
          <t>🔵 Tier 1: Core Aero / Fluids / Propulsion</t>
        </is>
      </c>
      <c r="K5" s="2" t="n">
        <v>6</v>
      </c>
      <c r="L5" s="2" t="inlineStr">
        <is>
          <t>aerodynamics, aerospace, fluid-structure interaction, fluids, materials, robot</t>
        </is>
      </c>
      <c r="M5" s="2" t="inlineStr">
        <is>
          <t>Experimental investigation of the response performance of VIV on a flexible riser with helical strakes (Ships and Offshore Structures, 2014) [DOI: https://doi.org/10.1080/17445302.2014.962788]</t>
        </is>
      </c>
      <c r="N5" s="3">
        <f>HYPERLINK("https://doi.org/10.1080/17445302.2014.962788", "https://doi.org/10.1080/17445302.2014.962788")</f>
        <v/>
      </c>
      <c r="O5" s="2" t="inlineStr">
        <is>
          <t>Towing Tank Hydrodynamic Rig / Strain Gauge Modal Wavelet Analysis</t>
        </is>
      </c>
      <c r="P5" s="2" t="inlineStr">
        <is>
          <t>conducting towing tank experiments on flexible risers subject to uniform currents, demonstrating that helical strakes suppress cross-flow vortex-induced vibration amplitudes by over 80% while transferring structural stress into high-frequency in-line tension fluctuations.</t>
        </is>
      </c>
      <c r="Q5" s="2" t="inlineStr">
        <is>
          <t>Vortex-induced vibrations on flexible marine structures exhibit strong cross-flow and in-line modal coupling that governs structural fatigue life.</t>
        </is>
      </c>
      <c r="R5" s="2" t="inlineStr">
        <is>
          <t>Search this site Embedded Files Skip to main content Skip to navigation OASIS group at ASU Home Research People Publications Ne...</t>
        </is>
      </c>
      <c r="S5" s="2" t="inlineStr">
        <is>
          <t>"HGTO: A Unified Graph-Based Physics-Informed Formulation for Structural Topology Optimization" [arXiv (Cornell University)] (2026) [DOI: https://doi.org/10.48550/arxiv.2609.15001] | "HGTO: A Unified Graph-Based Physics-Informed Formulation for Structural Topology Optimization" [arXiv (Cornell University)] (2026) [DOI: https://arxiv.org/abs/2609.15001] | "Graph neural network-based aquaculture net modeling and inference — A frequency domain approach" [Ocean Engineering] (2026) [DOI: https://doi.org/10.1016/j.oceaneng.2026.127799]</t>
        </is>
      </c>
      <c r="T5" s="2" t="inlineStr">
        <is>
          <t>"An investigation into the hydrodynamics of a flexible riser undergoing vortex-induced vibration" [Journal of Fluids and Structures] (2016, 178 cites) [DOI: https://doi.org/10.1016/j.jfluidstructs.2016.03.006] | "Theoretical and numerical analysis of bending behavior of unbonded flexible risers" [Marine Structures] (2015, 42 cites) [DOI: https://doi.org/10.1016/j.marstruc.2015.10.001] | "Experimental investigation of the response performance of VIV on a flexible riser with helical strakes" [Ships and Offshore Structures] (2014, 39 cites) [DOI: https://doi.org/10.1080/17445302.2014.962788]</t>
        </is>
      </c>
      <c r="U5" s="2" t="inlineStr">
        <is>
          <t>MAE 499: Individualized Instruction | MAE 202: Mech.Particles/Rigid Bodies II | MAE 318: System Dynamics and Control I</t>
        </is>
      </c>
      <c r="V5" s="2" t="inlineStr"/>
      <c r="W5" s="2" t="inlineStr">
        <is>
          <t>Undergraduate students : Highly-motivated undergraduate students are encouraged to get in touch. The students are encouraged to apply Fulton Undergraduate Research Initiative (FURI) ( Proposals are due the 3rd Wednesday of every March and October ) , Summer Research Initiative (SURI) etc. No prior research experiences are expected. Email to: leixinma@ asu .edu . | Visiting scholars from different backgrounds are welcome to contact Prof. Ma for projects with mutual interests. Email to: leixinma@asu.edu</t>
        </is>
      </c>
      <c r="X5" s="2" t="inlineStr">
        <is>
          <t>Fluid Dynamics and Vibration Analysis (12) | Vibration and Dynamic Analysis (9) | Wind and Air Flow Studies (7)</t>
        </is>
      </c>
      <c r="Y5" s="2" t="inlineStr">
        <is>
          <t>Fluid Dynamics and Vibration Analysis (12) | Vibration and Dynamic Analysis (9) | Wind and Air Flow Studies (7)</t>
        </is>
      </c>
      <c r="Z5" s="2" t="inlineStr">
        <is>
          <t>Aerodynamics, Dynamical Systems, Machine Learning, Mechanics of Composite Materials</t>
        </is>
      </c>
      <c r="AA5" s="2" t="inlineStr">
        <is>
          <t>Aerodynamics, Dynamical Systems, Machine Learning, Mechanics of Composite Materials</t>
        </is>
      </c>
      <c r="AB5" s="2" t="inlineStr">
        <is>
          <t>Leixin Ma's career goal is a data-driven and physically consistent approach to modeling and designing programmable smart structures and robots, especially under complex fluid flow conditions.</t>
        </is>
      </c>
      <c r="AC5" s="2" t="inlineStr">
        <is>
          <t>Ph.D. in Mechanical Engineering, Massachusetts Institute of Technology, 2021 S.M. in Mechanical Engineering, Massachusetts Institute of Technology, 2017 B.S.E. in Naval Architecture and Ocean Engineering, Shanghai Jiao Tong University, 2015</t>
        </is>
      </c>
      <c r="AD5" s="2" t="inlineStr">
        <is>
          <t>Optimization, Autonomy, and Soft Intelligence Systems (OASIS) Lab</t>
        </is>
      </c>
      <c r="AE5" s="3">
        <f>HYPERLINK("https://sites.google.com/view/oasislabasu", "https://sites.google.com/view/oasislabasu")</f>
        <v/>
      </c>
      <c r="AF5" s="2" t="inlineStr">
        <is>
          <t>More Home Research People Publications News Openings Facility Teaching Resources | Update: We are currently hiring multiple fully-funded graduate students, undergraduate students and visiting scholars! The first year graduate students will be selected as the prestigious Ira A. Fulton fellowship from the ASU School of Engineering.</t>
        </is>
      </c>
      <c r="AG5" s="2" t="inlineStr"/>
      <c r="AH5" s="2" t="inlineStr">
        <is>
          <t>Towing Tank, FDM</t>
        </is>
      </c>
      <c r="AI5" s="2" t="inlineStr"/>
      <c r="AJ5" s="2" t="inlineStr"/>
      <c r="AK5" s="2" t="inlineStr">
        <is>
          <t>Ocean and Soft Intelligent Structure Interaction Lab</t>
        </is>
      </c>
      <c r="AL5" s="2" t="inlineStr">
        <is>
          <t>ERC 485 (Tempe, AZ 85287)</t>
        </is>
      </c>
      <c r="AM5" s="2" t="b">
        <v>1</v>
      </c>
      <c r="AN5" s="3">
        <f>HYPERLINK("https://faculty.engineering.asu.edu/directory/semte/aerospace-and-mechanical-engineering/", "https://faculty.engineering.asu.edu/directory/semte/aerospace-and-mechanical-engineering/")</f>
        <v/>
      </c>
    </row>
    <row r="6">
      <c r="A6" s="2" t="inlineStr">
        <is>
          <t>Gokul Pathikonda</t>
        </is>
      </c>
      <c r="B6" s="2" t="inlineStr">
        <is>
          <t>Arizona State University</t>
        </is>
      </c>
      <c r="C6" s="3">
        <f>HYPERLINK("https://search.asu.edu/profile/gpathiko", "https://search.asu.edu/profile/gpathiko")</f>
        <v/>
      </c>
      <c r="D6" s="3">
        <f>HYPERLINK("https://scholar.google.com/citations?view_op=search_authors&amp;mauthors=Gokul%20Pathikonda%20Arizona%20State%20University", "Google Scholar Search")</f>
        <v/>
      </c>
      <c r="E6" s="2" t="inlineStr">
        <is>
          <t>Assistant Professor</t>
        </is>
      </c>
      <c r="F6" s="2" t="inlineStr">
        <is>
          <t>Aerospace &amp; Mechanical Engineering</t>
        </is>
      </c>
      <c r="G6" s="2" t="inlineStr"/>
      <c r="H6" s="3">
        <f>HYPERLINK("mailto:Gokul.Pathikonda@asu.edu", "Gokul.Pathikonda@asu.edu")</f>
        <v/>
      </c>
      <c r="I6" s="2" t="n">
        <v>1</v>
      </c>
      <c r="J6" s="2" t="inlineStr">
        <is>
          <t>🔵 Tier 1: Core Aero / Fluids / Propulsion</t>
        </is>
      </c>
      <c r="K6" s="2" t="n">
        <v>5</v>
      </c>
      <c r="L6" s="2" t="inlineStr">
        <is>
          <t>aerodynamics, aerospace, reacting flow, turbulence, turbulent</t>
        </is>
      </c>
      <c r="M6" s="2" t="inlineStr">
        <is>
          <t>Cross-stream stereoscopic particle image velocimetry of a modified turbulent boundary layer over directional surface pattern (Journal of Fluid Mechanics, 2017) [DOI: https://doi.org/10.1017/jfm.2016.879]</t>
        </is>
      </c>
      <c r="N6" s="3">
        <f>HYPERLINK("https://doi.org/10.1017/jfm.2016.879", "https://doi.org/10.1017/jfm.2016.879")</f>
        <v/>
      </c>
      <c r="O6" s="2" t="inlineStr">
        <is>
          <t>Stereoscopic Particle Image Velocimetry (SPIV)</t>
        </is>
      </c>
      <c r="P6" s="2" t="inlineStr">
        <is>
          <t>deploying cross-stream stereoscopic PIV at Re_tau ≈ 3900 to investigate boundary-layer flow over herringbone-patterned riblet surfaces, demonstrating that surface-induced secondary vortices enforce strong spanwise periodicity while dramatically enhancing outer-layer turbulent entrainment.</t>
        </is>
      </c>
      <c r="Q6" s="2" t="inlineStr">
        <is>
          <t>Wall-bounded turbulent boundary layers subject to directional surface heterogeneities offer unprecedented control over coherent vortex reorganization and skin-friction drag modulation.</t>
        </is>
      </c>
      <c r="R6" s="2" t="inlineStr">
        <is>
          <t>There is an open post-doctoral opening starting Fall 2025 in experimental turbulence research . All students interested in join...</t>
        </is>
      </c>
      <c r="S6" s="2" t="inlineStr">
        <is>
          <t>"Bleeding flow characteristics downstream of isotropic porous square cylinders" [Journal of Fluid Mechanics] (2026) [DOI: https://doi.org/10.1017/jfm.2025.11073] | "Coherent organisation of passive scalar from a point source in a turbulent boundary layer" [Journal of Fluid Mechanics] (2025) [DOI: https://doi.org/10.1017/jfm.2025.10926] | "Turbulent/non-turbulent interface in Rayleigh–Taylor flows" [Journal of Turbulence] (2025) [DOI: https://doi.org/10.1080/14685248.2025.2489451]</t>
        </is>
      </c>
      <c r="T6" s="2" t="inlineStr">
        <is>
          <t>"Cross-stream stereoscopic particle image velocimetry of a modified turbulent boundary layer over directional surface pattern" [Journal of Fluid Mechanics] (2017, 120 cites) [DOI: https://doi.org/10.1017/jfm.2016.879] | "The transition to turbulence in shock-driven mixing: effects of Mach number and initial conditions" [Journal of Fluid Mechanics] (2019, 77 cites) [DOI: https://doi.org/10.1017/jfm.2019.330] | "Numerical analyses of high temperature dense, granular flows coupled to high temperature flow property measurements for solar thermal energy storage" [Solar Energy] (2020, 25 cites) [DOI: https://doi.org/10.1016/j.solener.2020.10.085]</t>
        </is>
      </c>
      <c r="U6" s="2" t="inlineStr">
        <is>
          <t>MAE 575: Turbulence | MAE 593: Applied Project | MAE 499: Individualized Instruction</t>
        </is>
      </c>
      <c r="V6" s="2" t="inlineStr"/>
      <c r="W6" s="2" t="inlineStr"/>
      <c r="X6" s="2" t="inlineStr">
        <is>
          <t>Fluid Dynamics and Turbulent Flows (40) | Particle Dynamics in Fluid Flows (23) | Laser-Plasma Interactions and Diagnostics (12)</t>
        </is>
      </c>
      <c r="Y6" s="2" t="inlineStr">
        <is>
          <t>Fluid Dynamics and Turbulent Flows (40) | Particle Dynamics in Fluid Flows (23) | Laser-Plasma Interactions and Diagnostics (12)</t>
        </is>
      </c>
      <c r="Z6" s="2" t="inlineStr">
        <is>
          <t>Aerodynamics, Aerospace Engineering, Mechanical Engineering</t>
        </is>
      </c>
      <c r="AA6" s="2" t="inlineStr">
        <is>
          <t>Aerodynamics, Aerospace Engineering, Mechanical Engineering</t>
        </is>
      </c>
      <c r="AB6" s="2" t="inlineStr">
        <is>
          <t>Dr. Pathikonda studies turbulent fluid flows to understand natural and engineering phenomena using lab experiments. His expertise is in complex (reacting) mixing, high Re-flows, laser-based &amp; spectroscopic techniques, etc.</t>
        </is>
      </c>
      <c r="AC6" s="2" t="inlineStr">
        <is>
          <t>Ph. D. Theoretical and Applied Mechanics, University of Illinois, Urbana Champaign, 2017 | MS Aerospace Engineering, University of Illinois, Urbana Champaign, 2013 | B. Tech. Mechanical Engineering, National Institute of Technology, Warangal, 2009</t>
        </is>
      </c>
      <c r="AD6" s="2" t="inlineStr"/>
      <c r="AE6" s="3">
        <f>HYPERLINK("https://faculty.engineering.asu.edu/cmat/", "https://faculty.engineering.asu.edu/cmat/")</f>
        <v/>
      </c>
      <c r="AF6" s="2" t="inlineStr"/>
      <c r="AG6" s="2" t="inlineStr"/>
      <c r="AH6" s="2" t="inlineStr"/>
      <c r="AI6" s="2" t="inlineStr"/>
      <c r="AJ6" s="2" t="inlineStr"/>
      <c r="AK6" s="2" t="inlineStr">
        <is>
          <t>Want to be part of CMAT Lab?</t>
        </is>
      </c>
      <c r="AL6" s="2" t="inlineStr">
        <is>
          <t>551 E Tyler Mall ERC 479 (Tempe, AZ 85281)</t>
        </is>
      </c>
      <c r="AM6" s="2" t="b">
        <v>1</v>
      </c>
      <c r="AN6" s="3">
        <f>HYPERLINK("https://faculty.engineering.asu.edu/directory/semte/aerospace-and-mechanical-engineering/", "https://faculty.engineering.asu.edu/directory/semte/aerospace-and-mechanical-engineering/")</f>
        <v/>
      </c>
    </row>
    <row r="7">
      <c r="A7" s="2" t="inlineStr">
        <is>
          <t>Marcus Herrmann</t>
        </is>
      </c>
      <c r="B7" s="2" t="inlineStr">
        <is>
          <t>Arizona State University</t>
        </is>
      </c>
      <c r="C7" s="3">
        <f>HYPERLINK("https://search.asu.edu/profile/mherrma1", "https://search.asu.edu/profile/mherrma1")</f>
        <v/>
      </c>
      <c r="D7" s="3">
        <f>HYPERLINK("https://scholar.google.com/citations?hl=en&amp;user=yv6aCW8AAAAJ", "Scholar (yv6aCW8AAAAJ)")</f>
        <v/>
      </c>
      <c r="E7" s="2" t="inlineStr">
        <is>
          <t>Professor</t>
        </is>
      </c>
      <c r="F7" s="2" t="inlineStr">
        <is>
          <t>Aerospace &amp; Mechanical Engineering</t>
        </is>
      </c>
      <c r="G7" s="2" t="inlineStr">
        <is>
          <t>yv6aCW8AAAAJ</t>
        </is>
      </c>
      <c r="H7" s="3">
        <f>HYPERLINK("mailto:Marcus.Herrmann@asu.edu", "Marcus.Herrmann@asu.edu")</f>
        <v/>
      </c>
      <c r="I7" s="2" t="n">
        <v>1</v>
      </c>
      <c r="J7" s="2" t="inlineStr">
        <is>
          <t>🔵 Tier 1: Core Aero / Fluids / Propulsion</t>
        </is>
      </c>
      <c r="K7" s="2" t="n">
        <v>5</v>
      </c>
      <c r="L7" s="2" t="inlineStr">
        <is>
          <t>aerospace, fluid mechanics, multiphase flow, turbulence, turbulent</t>
        </is>
      </c>
      <c r="M7" s="2" t="inlineStr">
        <is>
          <t>Detailed Numerical Simulations of the Primary Atomization of a Turbulent Liquid Jet in Crossflow (Journal of Engineering for Gas Turbines and Power, 2010) [DOI: https://doi.org/10.1115/1.4000148]</t>
        </is>
      </c>
      <c r="N7" s="3">
        <f>HYPERLINK("https://doi.org/10.1115/1.4000148", "https://doi.org/10.1115/1.4000148")</f>
        <v/>
      </c>
      <c r="O7" s="2" t="inlineStr">
        <is>
          <t>Balanced Force Refined Level Set Grid Method (Refined Level Set / Dual Grid FV Solver)</t>
        </is>
      </c>
      <c r="P7" s="2" t="inlineStr">
        <is>
          <t>performing dual-grid level-set simulations on refined Cartesian grids (128 cells/diameter) to investigate primary atomization of liquid jets in crossflow (We=330, Re=14,000, gas Re=570,000), demonstrating that grid-converged drop diameter distributions are accurately resolved down to 1% of the injector nozzle diameter.</t>
        </is>
      </c>
      <c r="Q7" s="2" t="inlineStr">
        <is>
          <t>Turbulent multiphase breakup and primary atomization involve extreme multiscale topological transitions that push both Eulerian interface tracking and Lagrangian drop representations to their physical limits.</t>
        </is>
      </c>
      <c r="R7" s="2" t="inlineStr"/>
      <c r="S7" s="2" t="inlineStr">
        <is>
          <t>"A high-fidelity methodology for particle-resolved direct numerical simulations" [International Journal of Multiphase Flow] (2025) [DOI: https://doi.org/10.1016/j.ijmultiphaseflow.2025.105175] | "BPS2025 - Liquid nano-sheet sample delivery for femtosecond solution X-ray scattering" [Biophysical Journal] (2025) [DOI: https://doi.org/10.1016/j.bpj.2024.11.838] | "Characterization of the forcing and sub-filter scale terms in the volume-filtering immersed boundary method" [Journal of Computational Physics] (2025) [DOI: https://doi.org/10.1016/j.jcp.2025.113765]</t>
        </is>
      </c>
      <c r="T7" s="2" t="inlineStr">
        <is>
          <t>"Modeling Primary Atomization" [Annual Review of Fluid Mechanics] (2008, 440 cites) [DOI: https://doi.org/10.1146/annurev.fluid.40.111406.102200] | "A balanced force refined level set grid method for two-phase flows on unstructured flow solver grids" [Journal of Computational Physics] (2007, 316 cites) [DOI: https://doi.org/10.1016/j.jcp.2007.11.002] | "A parallel Eulerian interface tracking/Lagrangian point particle multi-scale coupling procedure" [Journal of Computational Physics] (2009, 235 cites) [DOI: https://doi.org/10.1016/j.jcp.2009.10.009]</t>
        </is>
      </c>
      <c r="U7" s="2" t="inlineStr">
        <is>
          <t>MAE 384: Adv Math Methods for Engineers | MAE 484: Internship | MAE 561: Computational Fluid Dynamics</t>
        </is>
      </c>
      <c r="V7" s="2" t="inlineStr"/>
      <c r="W7" s="2" t="inlineStr"/>
      <c r="X7" s="2" t="inlineStr">
        <is>
          <t>Fluid Dynamics and Heat Transfer (66) | Fluid Dynamics and Turbulent Flows (27) | Particle Dynamics in Fluid Flows (27)</t>
        </is>
      </c>
      <c r="Y7" s="2" t="inlineStr">
        <is>
          <t>Fluid Dynamics and Heat Transfer (66) | Fluid Dynamics and Turbulent Flows (27) | Particle Dynamics in Fluid Flows (27)</t>
        </is>
      </c>
      <c r="Z7" s="2" t="inlineStr"/>
      <c r="AA7" s="2" t="inlineStr"/>
      <c r="AB7" s="2" t="inlineStr">
        <is>
          <t>Herrmann's research interests include fluid mechanics, modeling and numerical simulation of multiphase flows with a focus on turbulent atomization processes, and numerical methods for discontinuous interfaces.</t>
        </is>
      </c>
      <c r="AC7" s="2" t="inlineStr">
        <is>
          <t>PhD in Mechanical Engineering, University of Technology (RWTH) Aachen, Germany 2001 | Diploma. Mechanical and Aerospace Engineering, University of Technology (RWTH) Aachen, Germany 1995</t>
        </is>
      </c>
      <c r="AD7" s="2" t="inlineStr">
        <is>
          <t>Computational Multiphase Physics Laboratory</t>
        </is>
      </c>
      <c r="AE7" s="2" t="inlineStr"/>
      <c r="AF7" s="2" t="inlineStr"/>
      <c r="AG7" s="2" t="inlineStr"/>
      <c r="AH7" s="2" t="inlineStr"/>
      <c r="AI7" s="2" t="inlineStr"/>
      <c r="AJ7" s="2" t="inlineStr"/>
      <c r="AK7" s="2" t="inlineStr"/>
      <c r="AL7" s="2" t="inlineStr">
        <is>
          <t>ENGRC 311 (TEMPE, AZ 85287-6106)</t>
        </is>
      </c>
      <c r="AM7" s="2" t="b">
        <v>1</v>
      </c>
      <c r="AN7" s="3">
        <f>HYPERLINK("https://faculty.engineering.asu.edu/directory/semte/aerospace-and-mechanical-engineering/", "https://faculty.engineering.asu.edu/directory/semte/aerospace-and-mechanical-engineering/")</f>
        <v/>
      </c>
    </row>
    <row r="8">
      <c r="A8" s="2" t="inlineStr">
        <is>
          <t>Jeonglae Kim</t>
        </is>
      </c>
      <c r="B8" s="2" t="inlineStr">
        <is>
          <t>Arizona State University</t>
        </is>
      </c>
      <c r="C8" s="3">
        <f>HYPERLINK("https://search.asu.edu/profile/jkim520", "https://search.asu.edu/profile/jkim520")</f>
        <v/>
      </c>
      <c r="D8" s="3">
        <f>HYPERLINK("https://scholar.google.com/citations?view_op=search_authors&amp;mauthors=Jeonglae%20Kim%20Arizona%20State%20University", "Google Scholar Search")</f>
        <v/>
      </c>
      <c r="E8" s="2" t="inlineStr">
        <is>
          <t>Assistant Professor</t>
        </is>
      </c>
      <c r="F8" s="2" t="inlineStr">
        <is>
          <t>Aerospace &amp; Mechanical Engineering</t>
        </is>
      </c>
      <c r="G8" s="2" t="inlineStr"/>
      <c r="H8" s="3">
        <f>HYPERLINK("mailto:jeokim@asu.edu", "jeokim@asu.edu")</f>
        <v/>
      </c>
      <c r="I8" s="2" t="n">
        <v>1</v>
      </c>
      <c r="J8" s="2" t="inlineStr">
        <is>
          <t>🔵 Tier 1: Core Aero / Fluids / Propulsion</t>
        </is>
      </c>
      <c r="K8" s="2" t="n">
        <v>4</v>
      </c>
      <c r="L8" s="2" t="inlineStr">
        <is>
          <t>aerospace, flow control, turbulence, turbulent</t>
        </is>
      </c>
      <c r="M8" s="2" t="inlineStr">
        <is>
          <t>Adjoint-based control of loud events in a turbulent jet (Journal of Fluid Mechanics, 2014) [DOI: https://doi.org/10.1017/jfm.2013.654]</t>
        </is>
      </c>
      <c r="N8" s="3">
        <f>HYPERLINK("https://doi.org/10.1017/jfm.2013.654", "https://doi.org/10.1017/jfm.2013.654")</f>
        <v/>
      </c>
      <c r="O8" s="2" t="inlineStr">
        <is>
          <t>Adjoint Sensitivity Analysis / High-Order Overset LES Solver</t>
        </is>
      </c>
      <c r="P8" s="2" t="inlineStr">
        <is>
          <t>applying adjoint-based optimization to a fully compressible LES of a Mach 1.3 turbulent jet, demonstrating that only three conjugate-gradient iterations achieve a 3.5 dB reduction in radiated acoustic sound pressure level by disrupting axisymmetric coherent wavepackets.</t>
        </is>
      </c>
      <c r="Q8" s="2" t="inlineStr">
        <is>
          <t>Controlling broadband jet aeroacoustics without incurring heavy aerodynamic thrust penalties requires systematic adjoint sensitivity gradients rather than trial-and-error nozzle shaping.</t>
        </is>
      </c>
      <c r="R8" s="2" t="inlineStr"/>
      <c r="S8" s="2" t="inlineStr"/>
      <c r="T8" s="2" t="inlineStr">
        <is>
          <t>"Adjoint-based control of loud events in a turbulent jet" [Journal of Fluid Mechanics] (2014, 46 cites) [DOI: https://doi.org/10.1017/jfm.2013.654] | "LES Investigation of a Mach 1.3 Jet With and Without Plasma Actuators" [47th AIAA Aerospace Sciences Meeting including The New Horizons Forum and Aerospace Exposition] (2009, 38 cites) [DOI: https://doi.org/10.2514/6.2009-290] | "A High-Order, Overset-Mesh Algorithm for Adjoint-Based Optimization for Aeroacoustics Control" (2010, 21 cites) [DOI: https://doi.org/10.2514/6.2010-3818]</t>
        </is>
      </c>
      <c r="U8" s="2" t="inlineStr">
        <is>
          <t>MAE 242: Intro to Fluid Mechanics | MAE 593: Applied Project | MAE 598: Special Topics</t>
        </is>
      </c>
      <c r="V8" s="2" t="inlineStr"/>
      <c r="W8" s="2" t="inlineStr"/>
      <c r="X8" s="2" t="inlineStr">
        <is>
          <t>Aerodynamics and Acoustics in Jet Flows (10) | Fluid Dynamics and Turbulent Flows (8) | Computational Fluid Dynamics and Aerodynamics (3)</t>
        </is>
      </c>
      <c r="Y8" s="2" t="inlineStr">
        <is>
          <t>Aerodynamics and Acoustics in Jet Flows (10) | Fluid Dynamics and Turbulent Flows (8) | Computational Fluid Dynamics and Aerodynamics (3)</t>
        </is>
      </c>
      <c r="Z8" s="2" t="inlineStr"/>
      <c r="AA8" s="2" t="inlineStr"/>
      <c r="AB8" s="2" t="inlineStr">
        <is>
          <t>Kim's research interests include large-eddy simulation of high-speed turbulent flows with multi-physics, aeroacoustics, flow control and optimization.</t>
        </is>
      </c>
      <c r="AC8" s="2" t="inlineStr">
        <is>
          <t>Ph.D. Theoretical and Applied Mechanics, University of Illinois at Urbana-Champaign | M.S. Mechanical and Aerospace Engineering, Seoul National University, South Korea | B.S. Mechanical and Aerospace Engineering, Seoul National University, South Korea</t>
        </is>
      </c>
      <c r="AD8" s="2" t="inlineStr"/>
      <c r="AE8" s="2" t="inlineStr"/>
      <c r="AF8" s="2" t="inlineStr"/>
      <c r="AG8" s="2" t="inlineStr"/>
      <c r="AH8" s="2" t="inlineStr"/>
      <c r="AI8" s="2" t="inlineStr"/>
      <c r="AJ8" s="2" t="inlineStr"/>
      <c r="AK8" s="2" t="inlineStr"/>
      <c r="AL8" s="2" t="inlineStr">
        <is>
          <t>Campus: Tempe</t>
        </is>
      </c>
      <c r="AM8" s="2" t="b">
        <v>1</v>
      </c>
      <c r="AN8" s="3">
        <f>HYPERLINK("https://faculty.engineering.asu.edu/directory/semte/aerospace-and-mechanical-engineering/", "https://faculty.engineering.asu.edu/directory/semte/aerospace-and-mechanical-engineering/")</f>
        <v/>
      </c>
    </row>
    <row r="9">
      <c r="A9" s="2" t="inlineStr">
        <is>
          <t>Ryan Milcarek</t>
        </is>
      </c>
      <c r="B9" s="2" t="inlineStr">
        <is>
          <t>Arizona State University</t>
        </is>
      </c>
      <c r="C9" s="3">
        <f>HYPERLINK("https://search.asu.edu/profile/rjmilcar", "https://search.asu.edu/profile/rjmilcar")</f>
        <v/>
      </c>
      <c r="D9" s="3">
        <f>HYPERLINK("https://scholar.google.com/citations?hl=en&amp;user=m-Pb6g2pm2UC", "Scholar (m-Pb6g2pm2UC)")</f>
        <v/>
      </c>
      <c r="E9" s="2" t="inlineStr">
        <is>
          <t>Associate Professor</t>
        </is>
      </c>
      <c r="F9" s="2" t="inlineStr">
        <is>
          <t>Aerospace &amp; Mechanical Engineering</t>
        </is>
      </c>
      <c r="G9" s="2" t="inlineStr">
        <is>
          <t>m-Pb6g2pm2UC</t>
        </is>
      </c>
      <c r="H9" s="3">
        <f>HYPERLINK("mailto:Ryan.Milcarek@asu.edu", "Ryan.Milcarek@asu.edu")</f>
        <v/>
      </c>
      <c r="I9" s="2" t="n">
        <v>1</v>
      </c>
      <c r="J9" s="2" t="inlineStr">
        <is>
          <t>🔵 Tier 1: Core Aero / Fluids / Propulsion</t>
        </is>
      </c>
      <c r="K9" s="2" t="n">
        <v>4</v>
      </c>
      <c r="L9" s="2" t="inlineStr">
        <is>
          <t>aerospace, combustion, energy systems, materials</t>
        </is>
      </c>
      <c r="M9" s="2" t="inlineStr">
        <is>
          <t>Thermodynamic and emission analysis of a hydrogen/methane fueled gas turbine (Energy Conversion and Management: X, 2023) [DOI: https://doi.org/10.1016/j.ecmx.2023.100394]</t>
        </is>
      </c>
      <c r="N9" s="3">
        <f>HYPERLINK("https://doi.org/10.1016/j.ecmx.2023.100394", "https://doi.org/10.1016/j.ecmx.2023.100394")</f>
        <v/>
      </c>
      <c r="O9" s="2" t="inlineStr">
        <is>
          <t>Cantera Chemical Kinetics / Thermodynamic Gas Turbine Equilibrium Model</t>
        </is>
      </c>
      <c r="P9" s="2" t="inlineStr">
        <is>
          <t>coupling chemical kinetic mechanisms with thermodynamic gas turbine models across 0–100% H2 fuel blends, demonstrating that optimal fuel/air equivalence ratio shifts nonlinearly lean, requiring precision compressor matching to maintain turbine inlet temperature limits.</t>
        </is>
      </c>
      <c r="Q9" s="2" t="inlineStr">
        <is>
          <t>Transitioning gas turbine combustors and micro-reactors to 100% hydrogen fuels requires resolving the severe thermo-kinetic shifts in flame speed and flashback safety limits.</t>
        </is>
      </c>
      <c r="R9" s="2" t="inlineStr">
        <is>
          <t>Operational Patterns in Commercial and Industrial Buildings Through Visualization of 15-Minute Interval Electrical Demand Data,</t>
        </is>
      </c>
      <c r="S9" s="2" t="inlineStr">
        <is>
          <t>"Multi-year assessment of energy storage capacity for a carbon-neutral grid in Arizona and the impact of wind energy integration" [Renewable Energy] (2026) [DOI: https://doi.org/10.1016/j.renene.2026.126276] | "Analysis of gas turbines with diffusion, premixed and rich-quench-lean combustor designs utilizing ternary CH4/H2/NH3 fuel blends" [Energy Conversion and Management] (2026) [DOI: https://doi.org/10.1016/j.enconman.2026.121736] | "Micro-scale thermal partial oxidation reformer and integrated solid oxide fuel cell operating with jet fuel" [Journal of Power Sources] (2026) [DOI: https://doi.org/10.1016/j.jpowsour.2026.240198]</t>
        </is>
      </c>
      <c r="T9" s="2" t="inlineStr">
        <is>
          <t>"A review of energy storage technologies for demand-side management in industrial facilities" [Journal of Cleaner Production] (2021, 100 cites) [DOI: https://doi.org/10.1016/j.jclepro.2021.127322] | "Techno-Economic Assessment of CHP Systems in Wastewater Treatment Plants" [Environments] (2020, 78 cites) [DOI: https://doi.org/10.3390/environments7100074] | "Thermodynamic and emission analysis of a hydrogen/methane fueled gas turbine" [Energy Conversion and Management X] (2023, 50 cites) [DOI: https://doi.org/10.1016/j.ecmx.2023.100394]</t>
        </is>
      </c>
      <c r="U9" s="2" t="inlineStr">
        <is>
          <t>MAE 593: Applied Project | MAE 436: Combustion | MAE 536: Combustion</t>
        </is>
      </c>
      <c r="V9" s="2" t="inlineStr">
        <is>
          <t>Outstanding Faculty Mentor, Fulton Schools of Engineering, For the Fulton Forge Student Research programs, 2026 | 1st Place, Student Paper Competition, 2025 ASME IMECE Power Symposium, 2025</t>
        </is>
      </c>
      <c r="W9" s="2" t="inlineStr"/>
      <c r="X9" s="2" t="inlineStr">
        <is>
          <t>Advancements in Solid Oxide Fuel Cells (54) | Fuel Cells and Related Materials (31) | Catalytic Processes in Materials Science (30)</t>
        </is>
      </c>
      <c r="Y9" s="2" t="inlineStr">
        <is>
          <t>Advancements in Solid Oxide Fuel Cells (54) | Fuel Cells and Related Materials (31) | Catalytic Processes in Materials Science (30)</t>
        </is>
      </c>
      <c r="Z9" s="2" t="inlineStr">
        <is>
          <t>Energy management and efficiency, energy transition, energy storage, solid oxide fuel cells, partial oxidation, cogeneration, combustion, and synthesis of hydrogen</t>
        </is>
      </c>
      <c r="AA9" s="2" t="inlineStr">
        <is>
          <t>Ceramics, Electrochemistry, Energy, Energy and Sustainability, Energy Conservation, Energy Economics, Energy Efficiency Technologies, Thin Film Materials</t>
        </is>
      </c>
      <c r="AB9" s="2" t="inlineStr">
        <is>
          <t>Milcarek's current research focuses on energy management and efficiency, energy system modeling, energy transition, energy storage, solid oxide fuel cells fabrication and testing, partial oxidation and synthesis of hydrogen.</t>
        </is>
      </c>
      <c r="AC9" s="2" t="inlineStr">
        <is>
          <t>Ph.D. Mechanical and Aerospace Engineering, College of Engineering and Computer Science, Syracuse University 2018 | M.S. Mechanical and Aerospace Engineering, College of Engineering and Computer Science, Syracuse University 2017 | M.S. Energy Systems Engineering, College of Engineering and Computer Science, Syracuse University 2017 | Certificate of Advanced Study (CAS) Sustainable Enterprise, Martin J. Whitman School of Management, Syracuse University 2017 | Certificate in University Teaching (CUT). Graduate School, Future Professorate Program, Syracuse University 2017 | B.S. Mechanical Engineering; minor: Mathematics (Summa Cum Laude), L.C. Smith College of Engineering and Computer Science, Syracuse University 2014</t>
        </is>
      </c>
      <c r="AD9" s="2" t="inlineStr"/>
      <c r="AE9" s="3">
        <f>HYPERLINK("http://RESEARCHGATE.net/profile/Ryan_Milcarek", "http://RESEARCHGATE.net/profile/Ryan_Milcarek")</f>
        <v/>
      </c>
      <c r="AF9" s="2" t="inlineStr"/>
      <c r="AG9" s="2" t="inlineStr"/>
      <c r="AH9" s="2" t="inlineStr"/>
      <c r="AI9" s="2" t="inlineStr"/>
      <c r="AJ9" s="2" t="inlineStr"/>
      <c r="AK9" s="2" t="inlineStr"/>
      <c r="AL9" s="2" t="inlineStr">
        <is>
          <t>ENGRC 465 (Tempe, AZ 85287)</t>
        </is>
      </c>
      <c r="AM9" s="2" t="b">
        <v>1</v>
      </c>
      <c r="AN9" s="3">
        <f>HYPERLINK("https://faculty.engineering.asu.edu/directory/semte/aerospace-and-mechanical-engineering/", "https://faculty.engineering.asu.edu/directory/semte/aerospace-and-mechanical-engineering/")</f>
        <v/>
      </c>
    </row>
    <row r="10">
      <c r="A10" s="2" t="inlineStr">
        <is>
          <t>Alberto Scotti</t>
        </is>
      </c>
      <c r="B10" s="2" t="inlineStr">
        <is>
          <t>Arizona State University</t>
        </is>
      </c>
      <c r="C10" s="3">
        <f>HYPERLINK("https://search.asu.edu/profile/adscotti", "https://search.asu.edu/profile/adscotti")</f>
        <v/>
      </c>
      <c r="D10" s="3">
        <f>HYPERLINK("https://scholar.google.com/citations?hl=en&amp;user=HRx2lJQAAAAJ", "Scholar (HRx2lJQAAAAJ)")</f>
        <v/>
      </c>
      <c r="E10" s="2" t="inlineStr">
        <is>
          <t>Professor</t>
        </is>
      </c>
      <c r="F10" s="2" t="inlineStr">
        <is>
          <t>Aerospace &amp; Mechanical Engineering</t>
        </is>
      </c>
      <c r="G10" s="2" t="inlineStr">
        <is>
          <t>HRx2lJQAAAAJ</t>
        </is>
      </c>
      <c r="H10" s="3">
        <f>HYPERLINK("mailto:Alberto.Scotti@asu.edu", "Alberto.Scotti@asu.edu")</f>
        <v/>
      </c>
      <c r="I10" s="2" t="n">
        <v>1</v>
      </c>
      <c r="J10" s="2" t="inlineStr">
        <is>
          <t>🔵 Tier 1: Core Aero / Fluids / Propulsion</t>
        </is>
      </c>
      <c r="K10" s="2" t="n">
        <v>3</v>
      </c>
      <c r="L10" s="2" t="inlineStr">
        <is>
          <t>fluid mechanics, fluids, turbulent</t>
        </is>
      </c>
      <c r="M10" s="2" t="inlineStr">
        <is>
          <t>Generalized Smagorinsky model for anisotropic grids (Physics of Fluids A: Fluid Dynamics, 1993) [DOI: https://doi.org/10.1063/1.858537]</t>
        </is>
      </c>
      <c r="N10" s="3">
        <f>HYPERLINK("https://doi.org/10.1063/1.858537", "https://doi.org/10.1063/1.858537")</f>
        <v/>
      </c>
      <c r="O10" s="2" t="inlineStr">
        <is>
          <t>Anisotropic Filtered LES Formulation / Pseudo-Spectral DNS</t>
        </is>
      </c>
      <c r="P10" s="2" t="inlineStr">
        <is>
          <t>formulating anisotropic subgrid-scale closures in homogeneous turbulence, demonstrating that directional grid aspect ratio scaling modifies the effective Smagorinsky coefficient by up to 40% across strongly stretched anisotropic meshes.</t>
        </is>
      </c>
      <c r="Q10" s="2" t="inlineStr">
        <is>
          <t>Subgrid-scale modeling in large-eddy simulations often breaks down in anisotropic computational meshes, necessitating rigorous energy equilibrium formulations.</t>
        </is>
      </c>
      <c r="R10" s="2" t="inlineStr"/>
      <c r="S10" s="2" t="inlineStr">
        <is>
          <t>"A Versatile Laboratory Approach to Reproduce and Analyze Internal Ocean Wave Dynamics" [arXiv (Cornell University)] (2026) [DOI: https://doi.org/10.48550/arxiv.2603.13512] | "A Versatile Laboratory Approach to Reproduce and Analyze Internal Ocean Wave Dynamics" [arXiv (Cornell University)] (2026) [DOI: http://arxiv.org/abs/2603.13512] | "Lagrangian geometry of flows" [Physical Review Fluids] (2026) [DOI: https://doi.org/10.1103/q2fw-vgrr]</t>
        </is>
      </c>
      <c r="T10" s="2" t="inlineStr">
        <is>
          <t>"The formation and fate of internal waves in the South China Sea" [Nature] (2015, 739 cites) [DOI: https://doi.org/10.1038/nature14399] | "Generalized Smagorinsky model for anisotropic grids" [Physics of Fluids A Fluid Dynamics] (1993, 282 cites) [DOI: https://doi.org/10.1063/1.858537] | "Numerical simulation of pulsating turbulent channel flow" [Physics of Fluids] (2001, 211 cites) [DOI: https://doi.org/10.1063/1.1359766]</t>
        </is>
      </c>
      <c r="U10" s="2" t="inlineStr">
        <is>
          <t>MAE 501: Linear Algebra in Engineering | MAE 215: Intro to Programming in MATLAB | MAE 202: Mech.Particles/Rigid Bodies II</t>
        </is>
      </c>
      <c r="V10" s="2" t="inlineStr"/>
      <c r="W10" s="2" t="inlineStr"/>
      <c r="X10" s="2" t="inlineStr">
        <is>
          <t>Oceanographic and Atmospheric Processes (64) | Fluid Dynamics and Turbulent Flows (53) | Meteorological Phenomena and Simulations (34)</t>
        </is>
      </c>
      <c r="Y10" s="2" t="inlineStr">
        <is>
          <t>Oceanographic and Atmospheric Processes (64) | Fluid Dynamics and Turbulent Flows (53) | Meteorological Phenomena and Simulations (34)</t>
        </is>
      </c>
      <c r="Z10" s="2" t="inlineStr">
        <is>
          <t>Modeling and Simulation, Oceanography, Earth Systems and Climate Science, Modeling, Modeling, Simulation and Cyberinfrastructure, Applied Mathematics</t>
        </is>
      </c>
      <c r="AA10" s="2" t="inlineStr">
        <is>
          <t>Modeling and Simulation, Oceanography, Earth Systems and Climate Science, Modeling, Modeling, Simulation and Cyberinfrastructure, Applied Mathematics</t>
        </is>
      </c>
      <c r="AB10" s="2" t="inlineStr">
        <is>
          <t>Scotti's main focus is theoretical, experimental and computational aspects of environmental fluid mechanics.</t>
        </is>
      </c>
      <c r="AC10" s="2" t="inlineStr">
        <is>
          <t>PhD Johns Hopkins University</t>
        </is>
      </c>
      <c r="AD10" s="2" t="inlineStr"/>
      <c r="AE10" s="2" t="inlineStr"/>
      <c r="AF10" s="2" t="inlineStr"/>
      <c r="AG10" s="2" t="inlineStr"/>
      <c r="AH10" s="2" t="inlineStr"/>
      <c r="AI10" s="2" t="inlineStr"/>
      <c r="AJ10" s="2" t="inlineStr"/>
      <c r="AK10" s="2" t="inlineStr"/>
      <c r="AL10" s="2" t="inlineStr">
        <is>
          <t>Campus: Tempe</t>
        </is>
      </c>
      <c r="AM10" s="2" t="b">
        <v>1</v>
      </c>
      <c r="AN10" s="3">
        <f>HYPERLINK("https://faculty.engineering.asu.edu/directory/semte/aerospace-and-mechanical-engineering/", "https://faculty.engineering.asu.edu/directory/semte/aerospace-and-mechanical-engineering/")</f>
        <v/>
      </c>
    </row>
    <row r="11">
      <c r="A11" s="2" t="inlineStr">
        <is>
          <t>Yulia Peet</t>
        </is>
      </c>
      <c r="B11" s="2" t="inlineStr">
        <is>
          <t>Arizona State University</t>
        </is>
      </c>
      <c r="C11" s="3">
        <f>HYPERLINK("https://search.asu.edu/profile/ypeet", "https://search.asu.edu/profile/ypeet")</f>
        <v/>
      </c>
      <c r="D11" s="3">
        <f>HYPERLINK("https://scholar.google.com/citations?hl=en&amp;user=_6o8MrUAAAAJ", "Scholar (_6o8MrUAAAAJ)")</f>
        <v/>
      </c>
      <c r="E11" s="2" t="inlineStr">
        <is>
          <t>Professor</t>
        </is>
      </c>
      <c r="F11" s="2" t="inlineStr">
        <is>
          <t>Aerospace &amp; Mechanical Engineering</t>
        </is>
      </c>
      <c r="G11" s="2" t="inlineStr">
        <is>
          <t>_6o8MrUAAAAJ</t>
        </is>
      </c>
      <c r="H11" s="3">
        <f>HYPERLINK("mailto:ypeet@asu.edu", "ypeet@asu.edu")</f>
        <v/>
      </c>
      <c r="I11" s="2" t="n">
        <v>1</v>
      </c>
      <c r="J11" s="2" t="inlineStr">
        <is>
          <t>🔵 Tier 1: Core Aero / Fluids / Propulsion</t>
        </is>
      </c>
      <c r="K11" s="2" t="n">
        <v>3</v>
      </c>
      <c r="L11" s="2" t="inlineStr">
        <is>
          <t>aerospace, fluid mechanics, turbulence</t>
        </is>
      </c>
      <c r="M11" s="2" t="inlineStr">
        <is>
          <t>Turbulent Drag Reduction Using Sinusoidal Riblets With Triangular Cross-Section (38th AIAA Fluid Dynamics Conference, 2008) [DOI: https://doi.org/10.2514/6.2008-3745]</t>
        </is>
      </c>
      <c r="N11" s="3">
        <f>HYPERLINK("https://doi.org/10.2514/6.2008-3745", "https://doi.org/10.2514/6.2008-3745")</f>
        <v/>
      </c>
      <c r="O11" s="2" t="inlineStr">
        <is>
          <t>High-Order Spectral Element LES / Incompressible Navier–Stokes Solver</t>
        </is>
      </c>
      <c r="P11" s="2" t="inlineStr">
        <is>
          <t>conducting large-eddy simulations of turbulent boundary layer flow over triangular riblets, demonstrating that sinusoidal spanwise wavy riblets increase skin-friction drag reduction by over 50% relative to conventional straight riblets through crossflow vorticity attenuation.</t>
        </is>
      </c>
      <c r="Q11" s="2" t="inlineStr">
        <is>
          <t>Manipulating turbulent wall shear stress through three-dimensional structured surface geometries requires isolating how spanwise cross-flow vorticity dampens near-wall bursting events.</t>
        </is>
      </c>
      <c r="R11" s="2" t="inlineStr"/>
      <c r="S11" s="2" t="inlineStr">
        <is>
          <t>"Correction: Using Streamwise and Spanwise Shear Stress Components in Wall-Sensing Drag Reduction Control of Turbulent Channel Flow" (2026) [DOI: https://doi.org/10.2514/6.2026-4483.c1] | "Using Streamwise and Spanwise Shear Stress Components in Wall-Sensing Drag Reduction Control of Turbulent Channel Flow" (2026) [DOI: https://doi.org/10.2514/6.2026-4483] | "Inflectional Instability of Linearized Incompressible Euler Equations via Linear Partial Inequality Tests" (2025) [DOI: https://doi.org/10.1109/cdc57313.2025.11312828]</t>
        </is>
      </c>
      <c r="T11" s="2" t="inlineStr">
        <is>
          <t>"Theoretical prediction of turbulent skin friction on geometrically complex surfaces" [Physics of Fluids] (2009, 78 cites) [DOI: https://doi.org/10.1063/1.3241993] | "Turbulent Drag Reduction Using Sinusoidal Riblets With Triangular Cross-Section" [38th Fluid Dynamics Conference and Exhibit] (2008, 56 cites) [DOI: https://doi.org/10.2514/6.2008-3745] | "Pressure loss reduction in hydrogen pipelines by surface restructuring" [International Journal of Hydrogen Energy] (2009, 46 cites) [DOI: https://doi.org/10.1016/j.ijhydene.2009.08.035]</t>
        </is>
      </c>
      <c r="U11" s="2" t="inlineStr">
        <is>
          <t>MAE 215: Intro to Programming in MATLAB | MAE 591: Seminar | MAE 593: Applied Project</t>
        </is>
      </c>
      <c r="V11" s="2" t="inlineStr"/>
      <c r="W11" s="2" t="inlineStr"/>
      <c r="X11" s="2" t="inlineStr">
        <is>
          <t>Fluid Dynamics and Turbulent Flows (58) | Fluid Dynamics and Vibration Analysis (27) | Wind and Air Flow Studies (26)</t>
        </is>
      </c>
      <c r="Y11" s="2" t="inlineStr">
        <is>
          <t>Fluid Dynamics and Turbulent Flows (58) | Fluid Dynamics and Vibration Analysis (27) | Wind and Air Flow Studies (26)</t>
        </is>
      </c>
      <c r="Z11" s="2" t="inlineStr"/>
      <c r="AA11" s="2" t="inlineStr"/>
      <c r="AB11" s="2" t="inlineStr">
        <is>
          <t>Yulia Peet is an associate professor of aerospace and mechanical engineering in the School for Engineering of Matter, Transport and Energy with the Ira A. Fulton Schools of Engineering at Arizona State University. Her Ph.D. degree is in Aeronautics and Astronautics from Stanford (2006), M.S. and B.S. degrees are from Moscow Institute of Physics and Technology (1999 and 1997). Her previous appoi...</t>
        </is>
      </c>
      <c r="AC11" s="2" t="inlineStr">
        <is>
          <t>Ph.D. Aeronautics and Astronautics, Stanford University 2006 | M.S. Management, State University Higher School of Economics, Moscow, Russia 2000 | M.S. Aeromechanics and Flight Engineering, Moscow Institute of Physics and Technology, Russia 1999 | B.S. Applied Mathematics and Physics, Moscow Institute of Physics and Technology, Russia 1997</t>
        </is>
      </c>
      <c r="AD11" s="2" t="inlineStr">
        <is>
          <t>Interdisciplinary Simulation and Modeling (ISiM) Lab</t>
        </is>
      </c>
      <c r="AE11" s="3">
        <f>HYPERLINK("https://isim.asu.edu", "https://isim.asu.edu")</f>
        <v/>
      </c>
      <c r="AF11" s="2" t="inlineStr"/>
      <c r="AG11" s="2" t="inlineStr"/>
      <c r="AH11" s="2" t="inlineStr"/>
      <c r="AI11" s="2" t="inlineStr"/>
      <c r="AJ11" s="2" t="inlineStr"/>
      <c r="AK11" s="2" t="inlineStr"/>
      <c r="AL11" s="2" t="inlineStr">
        <is>
          <t>ENGRC 379 (Tempe, AZ 85287-6106)</t>
        </is>
      </c>
      <c r="AM11" s="2" t="b">
        <v>1</v>
      </c>
      <c r="AN11" s="3">
        <f>HYPERLINK("https://faculty.engineering.asu.edu/directory/semte/aerospace-and-mechanical-engineering/", "https://faculty.engineering.asu.edu/directory/semte/aerospace-and-mechanical-engineering/")</f>
        <v/>
      </c>
    </row>
    <row r="12">
      <c r="A12" s="2" t="inlineStr">
        <is>
          <t>Ronald Calhoun</t>
        </is>
      </c>
      <c r="B12" s="2" t="inlineStr">
        <is>
          <t>Arizona State University</t>
        </is>
      </c>
      <c r="C12" s="3">
        <f>HYPERLINK("https://search.asu.edu/profile/rcalhou", "https://search.asu.edu/profile/rcalhou")</f>
        <v/>
      </c>
      <c r="D12" s="3">
        <f>HYPERLINK("https://scholar.google.com/citations?view_op=search_authors&amp;mauthors=Ronald%20Calhoun%20Arizona%20State%20University", "Google Scholar Search")</f>
        <v/>
      </c>
      <c r="E12" s="2" t="inlineStr">
        <is>
          <t>Associate Professor</t>
        </is>
      </c>
      <c r="F12" s="2" t="inlineStr">
        <is>
          <t>Aerospace &amp; Mechanical Engineering</t>
        </is>
      </c>
      <c r="G12" s="2" t="inlineStr"/>
      <c r="H12" s="3">
        <f>HYPERLINK("mailto:Ronald.Calhoun@asu.edu", "Ronald.Calhoun@asu.edu")</f>
        <v/>
      </c>
      <c r="I12" s="2" t="n">
        <v>1</v>
      </c>
      <c r="J12" s="2" t="inlineStr">
        <is>
          <t>🔵 Tier 1: Core Aero / Fluids / Propulsion</t>
        </is>
      </c>
      <c r="K12" s="2" t="n">
        <v>2</v>
      </c>
      <c r="L12" s="2" t="inlineStr">
        <is>
          <t>boundary layer, fluid dynamics</t>
        </is>
      </c>
      <c r="M12" s="2" t="inlineStr">
        <is>
          <t>Turbulent flow over a wavy surface: Neutral case (Journal of Geophysical Research: Atmospheres, 2001) [DOI: https://doi.org/10.1029/2000jc900133]</t>
        </is>
      </c>
      <c r="N12" s="3">
        <f>HYPERLINK("https://doi.org/10.1029/2000jc900133", "https://doi.org/10.1029/2000jc900133")</f>
        <v/>
      </c>
      <c r="O12" s="2" t="inlineStr">
        <is>
          <t>Large-Eddy Simulation (Atmospheric Boundary Layer Solver) / Dual-Doppler LiDAR</t>
        </is>
      </c>
      <c r="P12" s="2" t="inlineStr">
        <is>
          <t>executing large-eddy simulations of neutrally stratified atmospheric flow over sinusoidal wavy topography, demonstrating that phase-locked streamwise Görtler vortices form along the wave troughs, dictating over 70% of total surface form drag.</t>
        </is>
      </c>
      <c r="Q12" s="2" t="inlineStr">
        <is>
          <t>Atmospheric boundary-layer turbulence over complex terrain requires assimilating coherent wake dynamics with long-range optical remote sensing.</t>
        </is>
      </c>
      <c r="R12" s="2" t="inlineStr"/>
      <c r="S12" s="2" t="inlineStr"/>
      <c r="T12" s="2" t="inlineStr">
        <is>
          <t>"The Canopy Horizontal Array Turbulence Study" [Bulletin of the American Meteorological Society] (2010, 128 cites) [DOI: https://doi.org/10.1175/2010bams2614.1] | "Scopes and Challenges of Dual-Doppler Lidar Wind Measurements—An Error Analysis" [Journal of Atmospheric and Oceanic Technology] (2013, 114 cites) [DOI: https://doi.org/10.1175/jtech-d-12-00244.1] | "Turbulent flow over a wavy surface: Neutral case" [Journal of Geophysical Research Atmospheres] (2001, 85 cites) [DOI: https://doi.org/10.1029/2000jc900133]</t>
        </is>
      </c>
      <c r="U12" s="2" t="inlineStr">
        <is>
          <t>MAE 579: Wind Energy | MAE 242: Intro to Fluid Mechanics | MAE 593: Applied Project</t>
        </is>
      </c>
      <c r="V12" s="2" t="inlineStr"/>
      <c r="W12" s="2" t="inlineStr"/>
      <c r="X12" s="2" t="inlineStr">
        <is>
          <t>Wind and Air Flow Studies (30) | Meteorological Phenomena and Simulations (27) | Fluid Dynamics and Turbulent Flows (13)</t>
        </is>
      </c>
      <c r="Y12" s="2" t="inlineStr">
        <is>
          <t>Wind and Air Flow Studies (30) | Meteorological Phenomena and Simulations (27) | Fluid Dynamics and Turbulent Flows (13)</t>
        </is>
      </c>
      <c r="Z12" s="2" t="inlineStr"/>
      <c r="AA12" s="2" t="inlineStr"/>
      <c r="AB12" s="2" t="inlineStr">
        <is>
          <t>Calhoun’s research interests are in fluid dynamics; atmospheric sciences; boundary layer; wind energy and remote sensing.</t>
        </is>
      </c>
      <c r="AC12" s="2" t="inlineStr">
        <is>
          <t>Ph.D. Civil and Environmental Engineering, Stanford University 1998 | Engineer. Civil and Environmental Engineering, Stanford University 1993 | M.S. Civil and Environmental Engineering, Stanford University 1992 | B.S. Symbolic Systems, Stanford University 1989</t>
        </is>
      </c>
      <c r="AD12" s="2" t="inlineStr">
        <is>
          <t>Wind Energy and Atmospheric Boundary Layer Lab</t>
        </is>
      </c>
      <c r="AE12" s="3">
        <f>HYPERLINK("https://windlab.engineering.asu.edu/ronald-calhoun/", "https://windlab.engineering.asu.edu/ronald-calhoun/")</f>
        <v/>
      </c>
      <c r="AF12" s="2" t="inlineStr"/>
      <c r="AG12" s="2" t="inlineStr"/>
      <c r="AH12" s="2" t="inlineStr"/>
      <c r="AI12" s="2" t="inlineStr"/>
      <c r="AJ12" s="2" t="inlineStr"/>
      <c r="AK12" s="2" t="inlineStr"/>
      <c r="AL12" s="2" t="inlineStr">
        <is>
          <t>Goldwater 466 (TEMPE, AZ 85287-6106)</t>
        </is>
      </c>
      <c r="AM12" s="2" t="b">
        <v>1</v>
      </c>
      <c r="AN12" s="3">
        <f>HYPERLINK("https://faculty.engineering.asu.edu/directory/semte/aerospace-and-mechanical-engineering/", "https://faculty.engineering.asu.edu/directory/semte/aerospace-and-mechanical-engineering/")</f>
        <v/>
      </c>
    </row>
    <row r="13">
      <c r="A13" s="2" t="inlineStr">
        <is>
          <t>Liping Wang</t>
        </is>
      </c>
      <c r="B13" s="2" t="inlineStr">
        <is>
          <t>Arizona State University</t>
        </is>
      </c>
      <c r="C13" s="3">
        <f>HYPERLINK("https://search.asu.edu/profile/lwang78", "https://search.asu.edu/profile/lwang78")</f>
        <v/>
      </c>
      <c r="D13" s="3">
        <f>HYPERLINK("https://scholar.google.com/citations?view_op=search_authors&amp;mauthors=Liping%20Wang%20Arizona%20State%20University", "Google Scholar Search")</f>
        <v/>
      </c>
      <c r="E13" s="2" t="inlineStr">
        <is>
          <t>Associate Professor</t>
        </is>
      </c>
      <c r="F13" s="2" t="inlineStr">
        <is>
          <t>Aerospace &amp; Mechanical Engineering</t>
        </is>
      </c>
      <c r="G13" s="2" t="inlineStr"/>
      <c r="H13" s="3">
        <f>HYPERLINK("mailto:Liping.Wang@asu.edu", "Liping.Wang@asu.edu")</f>
        <v/>
      </c>
      <c r="I13" s="2" t="n">
        <v>2</v>
      </c>
      <c r="J13" s="2" t="inlineStr">
        <is>
          <t>🟡 Tier 2: Thermal / Heat Transfer / Energy</t>
        </is>
      </c>
      <c r="K13" s="2" t="n">
        <v>7</v>
      </c>
      <c r="L13" s="2" t="inlineStr">
        <is>
          <t>aerospace, guidance, heat transfer, materials, metamaterials, radiation, thermal</t>
        </is>
      </c>
      <c r="M13" s="2" t="inlineStr"/>
      <c r="N13" s="2" t="inlineStr"/>
      <c r="O13" s="2" t="inlineStr"/>
      <c r="P13" s="2" t="inlineStr"/>
      <c r="Q13" s="2" t="inlineStr"/>
      <c r="R13" s="2" t="inlineStr">
        <is>
          <t>One PhD position available for Fall 2024 on AFM based near-field thermal measurement! ($32k/year stipend + tuition + benefit)</t>
        </is>
      </c>
      <c r="S13" s="2" t="inlineStr"/>
      <c r="T13" s="2" t="inlineStr"/>
      <c r="U13" s="2" t="inlineStr">
        <is>
          <t>MAE 584: Internship | MAE 593: Applied Project | MAE 241: Intro to Thermodynamics</t>
        </is>
      </c>
      <c r="V13" s="2" t="inlineStr">
        <is>
          <t>2017         AFOSR Young Investigator (YIP) Award,  ASU | 2016         JQSRT/Elsevier Viskanta Young Scientist Award,  ASU</t>
        </is>
      </c>
      <c r="W13" s="2" t="inlineStr">
        <is>
          <t>Please send your CV to Prof. Wang ( [email protected] ). We will try to get back to you ASAP with possible available positions. Please also send a 2-page statement on describing your previous research experience as well as how your research interests match Prof. Wang’s group’s research themes. | Please send Prof. Wang ( [email protected] ) with your resumes for applications and for more details on the projects.</t>
        </is>
      </c>
      <c r="X13" s="2" t="inlineStr"/>
      <c r="Y13" s="2" t="inlineStr"/>
      <c r="Z13" s="2" t="inlineStr">
        <is>
          <t>Nanoscale heat transfer, metamaterials, plasmonics, and nanophotonics with an emphasis on solar thermal energy harvesting using plasmonic-enhanced light trapping for photovolatics, as well as near-field enhancement and spectral control of radiation for thermophotovoltaic energy conversion. Other research interests involve electronic cooling, MEMS, and bio-sensing.</t>
        </is>
      </c>
      <c r="AA13" s="2" t="inlineStr"/>
      <c r="AB13" s="2" t="inlineStr">
        <is>
          <t>Wang research interests include selective control of thermal emission/absorption using meta-materials for energy harvesting and near-field radiation heat transfer enhancement between meta-materials for thermophotovoltaics.</t>
        </is>
      </c>
      <c r="AC13" s="2" t="inlineStr">
        <is>
          <t>Ph.D. Mechanical Engineering, Georgia Institute of Technology 2011 | M.S. Refrigeration and Cryogenic Engineering, Shanghai Institute of Technical Physics, Chinese  Academy of Sciences 2007 | B.E. Thermal Science and Energy Engineering, University of Science and Technology of China 2004</t>
        </is>
      </c>
      <c r="AD13" s="2" t="inlineStr">
        <is>
          <t>Nanoscale Thermal Radiation Lab</t>
        </is>
      </c>
      <c r="AE13" s="3">
        <f>HYPERLINK("http://faculty.engineering.asu.edu/lpwang", "http://faculty.engineering.asu.edu/lpwang")</f>
        <v/>
      </c>
      <c r="AF13" s="2" t="inlineStr">
        <is>
          <t>Multiple UG/MS research positions available for Fall 2024 (volunteer) and Spring/Summer 2025 (possible FURI / MORE support)</t>
        </is>
      </c>
      <c r="AG13" s="2" t="inlineStr"/>
      <c r="AH13" s="2" t="inlineStr">
        <is>
          <t>AFM</t>
        </is>
      </c>
      <c r="AI13" s="2" t="inlineStr">
        <is>
          <t>NASA, NSF</t>
        </is>
      </c>
      <c r="AJ13" s="2" t="inlineStr"/>
      <c r="AK13" s="2" t="inlineStr">
        <is>
          <t>News&amp;Awards</t>
        </is>
      </c>
      <c r="AL13" s="2" t="inlineStr">
        <is>
          <t>ENGRC 327 (Tempe, AZ 85287-6106)</t>
        </is>
      </c>
      <c r="AM13" s="2" t="b">
        <v>1</v>
      </c>
      <c r="AN13" s="3">
        <f>HYPERLINK("https://faculty.engineering.asu.edu/directory/semte/aerospace-and-mechanical-engineering/", "https://faculty.engineering.asu.edu/directory/semte/aerospace-and-mechanical-engineering/")</f>
        <v/>
      </c>
    </row>
    <row r="14">
      <c r="A14" s="2" t="inlineStr">
        <is>
          <t>Robert Wang</t>
        </is>
      </c>
      <c r="B14" s="2" t="inlineStr">
        <is>
          <t>Arizona State University</t>
        </is>
      </c>
      <c r="C14" s="3">
        <f>HYPERLINK("https://search.asu.edu/profile/rywang", "https://search.asu.edu/profile/rywang")</f>
        <v/>
      </c>
      <c r="D14" s="3">
        <f>HYPERLINK("https://scholar.google.com/citations?hl=en&amp;user=LaUdx9gAAAAJ", "Scholar (LaUdx9gAAAAJ)")</f>
        <v/>
      </c>
      <c r="E14" s="2" t="inlineStr">
        <is>
          <t>Associate Professor</t>
        </is>
      </c>
      <c r="F14" s="2" t="inlineStr">
        <is>
          <t>Aerospace &amp; Mechanical Engineering</t>
        </is>
      </c>
      <c r="G14" s="2" t="inlineStr">
        <is>
          <t>LaUdx9gAAAAJ</t>
        </is>
      </c>
      <c r="H14" s="3">
        <f>HYPERLINK("mailto:rywang@asu.edu", "rywang@asu.edu")</f>
        <v/>
      </c>
      <c r="I14" s="2" t="n">
        <v>2</v>
      </c>
      <c r="J14" s="2" t="inlineStr">
        <is>
          <t>🟡 Tier 2: Thermal / Heat Transfer / Energy</t>
        </is>
      </c>
      <c r="K14" s="2" t="n">
        <v>4</v>
      </c>
      <c r="L14" s="2" t="inlineStr">
        <is>
          <t>composites, heat transfer, materials, thermal</t>
        </is>
      </c>
      <c r="M14" s="2" t="inlineStr"/>
      <c r="N14" s="2" t="inlineStr"/>
      <c r="O14" s="2" t="inlineStr"/>
      <c r="P14" s="2" t="inlineStr"/>
      <c r="Q14" s="2" t="inlineStr"/>
      <c r="R14" s="2" t="inlineStr"/>
      <c r="S14" s="2" t="inlineStr"/>
      <c r="T14" s="2" t="inlineStr"/>
      <c r="U14" s="2" t="inlineStr">
        <is>
          <t>MAE 241: Intro to Thermodynamics | MAE 593: Applied Project | MAE 588: Nanoscale Heat Transfer</t>
        </is>
      </c>
      <c r="V14" s="2" t="inlineStr"/>
      <c r="W14" s="2" t="inlineStr"/>
      <c r="X14" s="2" t="inlineStr"/>
      <c r="Y14" s="2" t="inlineStr"/>
      <c r="Z14" s="2" t="inlineStr">
        <is>
          <t>My research group is an interdisciplinary nanoengineering team that focuses on manipulating material properties for thermal energy applications. Some of our focus areas are thermoelectric power generation, thermal storage media, heat transfer, and phonon optics. To achieve our objectives, we custom-design materials using colloidal nanoparticles, chemical precursors, and nanocomposites.</t>
        </is>
      </c>
      <c r="AA14" s="2" t="inlineStr">
        <is>
          <t>Mechanical Engineering, Energy, Renewable Energy, Energy and Sustainability, Clean Energy, Energy Efficiency Technologies, Materials Science and Engineering, Chemical Engineering, Nanoengineering, Nanoscience, Nanotechnology, Solid State Physics, Thin Film Materials, Semiconductors, Chemistry, Physics</t>
        </is>
      </c>
      <c r="AB14" s="2" t="inlineStr">
        <is>
          <t>Wang's research interests include thermal energy conversion, storage, and transport in nanostructured materials; thermoelectric power generation; thermal storage media; heat transfer, and phonon optics</t>
        </is>
      </c>
      <c r="AC14" s="2" t="inlineStr">
        <is>
          <t>Ph.D. Mechanical Engineering, University of California-Berkeley 2008 | M.S. Mechanical Engineering, University of California-Berkeley 2005 | B.S. Mechanical Engineering, University of California-Los Angeles 2003</t>
        </is>
      </c>
      <c r="AD14" s="2" t="inlineStr"/>
      <c r="AE14" s="3">
        <f>HYPERLINK("http://wang.faculty.asu.edu/", "http://wang.faculty.asu.edu/")</f>
        <v/>
      </c>
      <c r="AF14" s="2" t="inlineStr"/>
      <c r="AG14" s="2" t="inlineStr"/>
      <c r="AH14" s="2" t="inlineStr"/>
      <c r="AI14" s="2" t="inlineStr"/>
      <c r="AJ14" s="2" t="inlineStr"/>
      <c r="AK14" s="2" t="inlineStr"/>
      <c r="AL14" s="2" t="inlineStr">
        <is>
          <t>ENGRC 307 (Tempe, AZ 85287-6106)</t>
        </is>
      </c>
      <c r="AM14" s="2" t="b">
        <v>1</v>
      </c>
      <c r="AN14" s="3">
        <f>HYPERLINK("https://faculty.engineering.asu.edu/directory/semte/aerospace-and-mechanical-engineering/", "https://faculty.engineering.asu.edu/directory/semte/aerospace-and-mechanical-engineering/")</f>
        <v/>
      </c>
    </row>
    <row r="15">
      <c r="A15" s="2" t="inlineStr">
        <is>
          <t>T.-W. Lee</t>
        </is>
      </c>
      <c r="B15" s="2" t="inlineStr">
        <is>
          <t>Arizona State University</t>
        </is>
      </c>
      <c r="C15" s="3">
        <f>HYPERLINK("https://search.asu.edu/profile/attwl", "https://search.asu.edu/profile/attwl")</f>
        <v/>
      </c>
      <c r="D15" s="3">
        <f>HYPERLINK("https://scholar.google.com/citations?view_op=search_authors&amp;mauthors=T.-W.%20Lee%20Arizona%20State%20University", "Google Scholar Search")</f>
        <v/>
      </c>
      <c r="E15" s="2" t="inlineStr">
        <is>
          <t>Associate Professor</t>
        </is>
      </c>
      <c r="F15" s="2" t="inlineStr">
        <is>
          <t>Aerospace &amp; Mechanical Engineering</t>
        </is>
      </c>
      <c r="G15" s="2" t="inlineStr"/>
      <c r="H15" s="3">
        <f>HYPERLINK("mailto:ATTWL@asu.edu", "ATTWL@asu.edu")</f>
        <v/>
      </c>
      <c r="I15" s="2" t="n">
        <v>2</v>
      </c>
      <c r="J15" s="2" t="inlineStr">
        <is>
          <t>🟡 Tier 2: Thermal / Heat Transfer / Energy</t>
        </is>
      </c>
      <c r="K15" s="2" t="n">
        <v>4</v>
      </c>
      <c r="L15" s="2" t="inlineStr">
        <is>
          <t>aerospace, energy systems, propulsion, thermal</t>
        </is>
      </c>
      <c r="M15" s="2" t="inlineStr"/>
      <c r="N15" s="2" t="inlineStr"/>
      <c r="O15" s="2" t="inlineStr"/>
      <c r="P15" s="2" t="inlineStr"/>
      <c r="Q15" s="2" t="inlineStr"/>
      <c r="R15" s="2" t="inlineStr">
        <is>
          <t>N Hegde, Taewoo Lee. Laser-induced breakdown spectroscopy for in situ diagnostics of combustion parameters including tem</t>
        </is>
      </c>
      <c r="S15" s="2" t="inlineStr"/>
      <c r="T15" s="2" t="inlineStr"/>
      <c r="U15" s="2" t="inlineStr">
        <is>
          <t>MAE 565: Rocket Propulsion | MAE 593: Applied Project | MAE 570: Intermediate Thermodynamics</t>
        </is>
      </c>
      <c r="V15" s="2" t="inlineStr"/>
      <c r="W15" s="2" t="inlineStr"/>
      <c r="X15" s="2" t="inlineStr"/>
      <c r="Y15" s="2" t="inlineStr"/>
      <c r="Z15" s="2" t="inlineStr"/>
      <c r="AA15" s="2" t="inlineStr"/>
      <c r="AB15" s="2" t="inlineStr">
        <is>
          <t>Lee's areas of expertise include energy system analysis, thermal and fluid process characterization, and fuel property measurements for energy systems.</t>
        </is>
      </c>
      <c r="AC15" s="2" t="inlineStr">
        <is>
          <t>Ph.D. Aerospace Engineering, University of Michigan-Ann Arbor | M.S.E. Aerospace Engineering, University of Michigan-Ann Arbor | B.S. Aeronautical and Astronautical Engineering, The Ohio State University-Columbus</t>
        </is>
      </c>
      <c r="AD15" s="2" t="inlineStr"/>
      <c r="AE15" s="2" t="inlineStr"/>
      <c r="AF15" s="2" t="inlineStr"/>
      <c r="AG15" s="2" t="inlineStr"/>
      <c r="AH15" s="2" t="inlineStr"/>
      <c r="AI15" s="2" t="inlineStr"/>
      <c r="AJ15" s="2" t="inlineStr"/>
      <c r="AK15" s="2" t="inlineStr"/>
      <c r="AL15" s="2" t="inlineStr">
        <is>
          <t>ENGRC 377 (TEMPE, AZ 85287-6106)</t>
        </is>
      </c>
      <c r="AM15" s="2" t="b">
        <v>1</v>
      </c>
      <c r="AN15" s="3">
        <f>HYPERLINK("https://faculty.engineering.asu.edu/directory/semte/aerospace-and-mechanical-engineering/", "https://faculty.engineering.asu.edu/directory/semte/aerospace-and-mechanical-engineering/")</f>
        <v/>
      </c>
    </row>
    <row r="16">
      <c r="A16" s="2" t="inlineStr">
        <is>
          <t>Tianyu Yang</t>
        </is>
      </c>
      <c r="B16" s="2" t="inlineStr">
        <is>
          <t>Arizona State University</t>
        </is>
      </c>
      <c r="C16" s="3">
        <f>HYPERLINK("https://search.asu.edu/profile/tyang123", "https://search.asu.edu/profile/tyang123")</f>
        <v/>
      </c>
      <c r="D16" s="3">
        <f>HYPERLINK("https://scholar.google.com/citations?hl=en&amp;user=OmBV67MAAAAJ", "Scholar (OmBV67MAAAAJ)")</f>
        <v/>
      </c>
      <c r="E16" s="2" t="inlineStr">
        <is>
          <t>Assistant Professor</t>
        </is>
      </c>
      <c r="F16" s="2" t="inlineStr">
        <is>
          <t>Aerospace &amp; Mechanical Engineering</t>
        </is>
      </c>
      <c r="G16" s="2" t="inlineStr">
        <is>
          <t>OmBV67MAAAAJ</t>
        </is>
      </c>
      <c r="H16" s="3">
        <f>HYPERLINK("mailto:Tianyu.Yang@asu.edu", "Tianyu.Yang@asu.edu")</f>
        <v/>
      </c>
      <c r="I16" s="2" t="n">
        <v>2</v>
      </c>
      <c r="J16" s="2" t="inlineStr">
        <is>
          <t>🟡 Tier 2: Thermal / Heat Transfer / Energy</t>
        </is>
      </c>
      <c r="K16" s="2" t="n">
        <v>4</v>
      </c>
      <c r="L16" s="2" t="inlineStr">
        <is>
          <t>autonomous, heat transfer, materials, thermal</t>
        </is>
      </c>
      <c r="M16" s="2" t="inlineStr"/>
      <c r="N16" s="2" t="inlineStr"/>
      <c r="O16" s="2" t="inlineStr"/>
      <c r="P16" s="2" t="inlineStr"/>
      <c r="Q16" s="2" t="inlineStr"/>
      <c r="R16" s="2" t="inlineStr"/>
      <c r="S16" s="2" t="inlineStr"/>
      <c r="T16" s="2" t="inlineStr"/>
      <c r="U16" s="2" t="inlineStr">
        <is>
          <t>MAE 241: Intro to Thermodynamics</t>
        </is>
      </c>
      <c r="V16" s="2" t="inlineStr"/>
      <c r="W16" s="2" t="inlineStr"/>
      <c r="X16" s="2" t="inlineStr"/>
      <c r="Y16" s="2" t="inlineStr"/>
      <c r="Z16" s="2" t="inlineStr"/>
      <c r="AA16" s="2" t="inlineStr"/>
      <c r="AB16" s="2" t="inlineStr">
        <is>
          <t>Yang studies heat transfer, thermal management of electronics, and biomedical devices. She has published multiple research papers in major scientific journals.</t>
        </is>
      </c>
      <c r="AC16" s="2" t="inlineStr">
        <is>
          <t>PhD. University of Illinois at Urbana Champaign, 2016-2021 | BS. Tsinghua University, China 2012-2016</t>
        </is>
      </c>
      <c r="AD16" s="2" t="inlineStr"/>
      <c r="AE16" s="2" t="inlineStr"/>
      <c r="AF16" s="2" t="inlineStr"/>
      <c r="AG16" s="2" t="inlineStr"/>
      <c r="AH16" s="2" t="inlineStr"/>
      <c r="AI16" s="2" t="inlineStr"/>
      <c r="AJ16" s="2" t="inlineStr"/>
      <c r="AK16" s="2" t="inlineStr"/>
      <c r="AL16" s="2" t="inlineStr">
        <is>
          <t>Campus: Tempe</t>
        </is>
      </c>
      <c r="AM16" s="2" t="b">
        <v>1</v>
      </c>
      <c r="AN16" s="3">
        <f>HYPERLINK("https://faculty.engineering.asu.edu/directory/semte/aerospace-and-mechanical-engineering/", "https://faculty.engineering.asu.edu/directory/semte/aerospace-and-mechanical-engineering/")</f>
        <v/>
      </c>
    </row>
    <row r="17">
      <c r="A17" s="2" t="inlineStr">
        <is>
          <t>Beomjin Kwon</t>
        </is>
      </c>
      <c r="B17" s="2" t="inlineStr">
        <is>
          <t>Arizona State University</t>
        </is>
      </c>
      <c r="C17" s="3">
        <f>HYPERLINK("https://search.asu.edu/profile/bkwon2", "https://search.asu.edu/profile/bkwon2")</f>
        <v/>
      </c>
      <c r="D17" s="3">
        <f>HYPERLINK("https://scholar.google.com/citations?hl=en&amp;user=fs2d97sAAAAJ", "Scholar (fs2d97sAAAAJ)")</f>
        <v/>
      </c>
      <c r="E17" s="2" t="inlineStr">
        <is>
          <t>Associate Professor</t>
        </is>
      </c>
      <c r="F17" s="2" t="inlineStr">
        <is>
          <t>Aerospace &amp; Mechanical Engineering</t>
        </is>
      </c>
      <c r="G17" s="2" t="inlineStr">
        <is>
          <t>fs2d97sAAAAJ</t>
        </is>
      </c>
      <c r="H17" s="3">
        <f>HYPERLINK("mailto:kwon@asu.edu", "kwon@asu.edu")</f>
        <v/>
      </c>
      <c r="I17" s="2" t="n">
        <v>2</v>
      </c>
      <c r="J17" s="2" t="inlineStr">
        <is>
          <t>🟡 Tier 2: Thermal / Heat Transfer / Energy</t>
        </is>
      </c>
      <c r="K17" s="2" t="n">
        <v>3</v>
      </c>
      <c r="L17" s="2" t="inlineStr">
        <is>
          <t>aerospace, energy systems, heat transfer</t>
        </is>
      </c>
      <c r="M17" s="2" t="inlineStr"/>
      <c r="N17" s="2" t="inlineStr"/>
      <c r="O17" s="2" t="inlineStr"/>
      <c r="P17" s="2" t="inlineStr"/>
      <c r="Q17" s="2" t="inlineStr"/>
      <c r="R17" s="2" t="inlineStr">
        <is>
          <t>Journal Papers 62. N. Ohashi, J. Deng, L.K. Hwang, P.K. Kang, and B. Kwon, “Physics-Informed Machine Learning for Reconstructin...</t>
        </is>
      </c>
      <c r="S17" s="2" t="inlineStr"/>
      <c r="T17" s="2" t="inlineStr"/>
      <c r="U17" s="2" t="inlineStr">
        <is>
          <t>MAE 593: Applied Project | MAE 241: Intro to Thermodynamics | MAE 598: Special Topics</t>
        </is>
      </c>
      <c r="V17" s="2" t="inlineStr"/>
      <c r="W17" s="2" t="inlineStr"/>
      <c r="X17" s="2" t="inlineStr"/>
      <c r="Y17" s="2" t="inlineStr"/>
      <c r="Z17" s="2" t="inlineStr">
        <is>
          <t>Transport phenomena in heat transfer systems Additive manufacturing Data-driven modeling and design</t>
        </is>
      </c>
      <c r="AA17" s="2" t="inlineStr"/>
      <c r="AB17" s="2" t="inlineStr">
        <is>
          <t>Kwon aims to improve the energy conversion and transport systems through the fundamental insights into transport physics, and by exploiting additive manufacturing and data-driven approaches.</t>
        </is>
      </c>
      <c r="AC17" s="2" t="inlineStr">
        <is>
          <t>Ph.D. Mechanical Engineering, University of Illinois at Urbana-Champaign 2013 | M.S. Mechanical Engineering, University of Illinois at Urbana-Champaign 2009 | B.S. Mechanical and Aerospace Engineering, Seoul National University 2008</t>
        </is>
      </c>
      <c r="AD17" s="2" t="inlineStr">
        <is>
          <t>3D Energy Lab</t>
        </is>
      </c>
      <c r="AE17" s="3">
        <f>HYPERLINK("http://sites.google.com/view/3denergy", "http://sites.google.com/view/3denergy")</f>
        <v/>
      </c>
      <c r="AF17" s="2" t="inlineStr"/>
      <c r="AG17" s="2" t="inlineStr"/>
      <c r="AH17" s="2" t="inlineStr">
        <is>
          <t>3D Printer</t>
        </is>
      </c>
      <c r="AI17" s="2" t="inlineStr">
        <is>
          <t>NSF</t>
        </is>
      </c>
      <c r="AJ17" s="2" t="inlineStr"/>
      <c r="AK17" s="2" t="inlineStr">
        <is>
          <t>3D Energy Device Laboratory</t>
        </is>
      </c>
      <c r="AL17" s="2" t="inlineStr">
        <is>
          <t>551 E Tyler Mall ERC 363 (Tempe, AZ 85281)</t>
        </is>
      </c>
      <c r="AM17" s="2" t="b">
        <v>1</v>
      </c>
      <c r="AN17" s="3">
        <f>HYPERLINK("https://faculty.engineering.asu.edu/directory/semte/aerospace-and-mechanical-engineering/", "https://faculty.engineering.asu.edu/directory/semte/aerospace-and-mechanical-engineering/")</f>
        <v/>
      </c>
    </row>
    <row r="18">
      <c r="A18" s="2" t="inlineStr">
        <is>
          <t>Patrick Phelan</t>
        </is>
      </c>
      <c r="B18" s="2" t="inlineStr">
        <is>
          <t>Arizona State University</t>
        </is>
      </c>
      <c r="C18" s="3">
        <f>HYPERLINK("https://search.asu.edu/profile/pphelan", "https://search.asu.edu/profile/pphelan")</f>
        <v/>
      </c>
      <c r="D18" s="3">
        <f>HYPERLINK("https://scholar.google.com/citations?view_op=search_authors&amp;mauthors=Patrick%20Phelan%20Arizona%20State%20University", "Google Scholar Search")</f>
        <v/>
      </c>
      <c r="E18" s="2" t="inlineStr">
        <is>
          <t>Professor</t>
        </is>
      </c>
      <c r="F18" s="2" t="inlineStr">
        <is>
          <t>Aerospace &amp; Mechanical Engineering</t>
        </is>
      </c>
      <c r="G18" s="2" t="inlineStr"/>
      <c r="H18" s="3">
        <f>HYPERLINK("mailto:phelan@asu.edu", "phelan@asu.edu")</f>
        <v/>
      </c>
      <c r="I18" s="2" t="n">
        <v>2</v>
      </c>
      <c r="J18" s="2" t="inlineStr">
        <is>
          <t>🟡 Tier 2: Thermal / Heat Transfer / Energy</t>
        </is>
      </c>
      <c r="K18" s="2" t="n">
        <v>3</v>
      </c>
      <c r="L18" s="2" t="inlineStr">
        <is>
          <t>aerospace, energy systems, thermal</t>
        </is>
      </c>
      <c r="M18" s="2" t="inlineStr"/>
      <c r="N18" s="2" t="inlineStr"/>
      <c r="O18" s="2" t="inlineStr"/>
      <c r="P18" s="2" t="inlineStr"/>
      <c r="Q18" s="2" t="inlineStr"/>
      <c r="R18" s="2" t="inlineStr">
        <is>
          <t>Please see my publications at Google Scholar .</t>
        </is>
      </c>
      <c r="S18" s="2" t="inlineStr"/>
      <c r="T18" s="2" t="inlineStr"/>
      <c r="U18" s="2" t="inlineStr">
        <is>
          <t>MAE 593: Applied Project | MAE 494: Special Topics | MAE 598: Special Topics</t>
        </is>
      </c>
      <c r="V18" s="2" t="inlineStr"/>
      <c r="W18" s="2" t="inlineStr"/>
      <c r="X18" s="2" t="inlineStr"/>
      <c r="Y18" s="2" t="inlineStr"/>
      <c r="Z18" s="2" t="inlineStr">
        <is>
          <t>Thermal engineering, sustainable energy systems, energy management, sustainable cooling systems.</t>
        </is>
      </c>
      <c r="AA18" s="2" t="inlineStr">
        <is>
          <t>Building Technology, Solar Energy Systems, Energy Efficiency Technologies, Mechanical Engineering</t>
        </is>
      </c>
      <c r="AB18" s="2" t="inlineStr">
        <is>
          <t>Phelan researches and teaches in the area of sustainable energy, thermal transport and thermal management.</t>
        </is>
      </c>
      <c r="AC18" s="2" t="inlineStr">
        <is>
          <t>Postdoctoral Fellow, Tokyo Institute of Technology, Japan 1990-1992 | Ph.D. Mechanical Engineering, University of California, Berkeley 1990 | M.S. Mechanical Engineering, Massachusetts Institute of Technology 1987 | B. S. Mechanical Engineering, Tulane University, New Orleans, LA 1985</t>
        </is>
      </c>
      <c r="AD18" s="2" t="inlineStr"/>
      <c r="AE18" s="2" t="inlineStr"/>
      <c r="AF18" s="2" t="inlineStr"/>
      <c r="AG18" s="2" t="inlineStr"/>
      <c r="AH18" s="2" t="inlineStr"/>
      <c r="AI18" s="2" t="inlineStr"/>
      <c r="AJ18" s="2" t="inlineStr"/>
      <c r="AK18" s="2" t="inlineStr"/>
      <c r="AL18" s="2" t="inlineStr">
        <is>
          <t>ENGRC 463 (TEMPE, AZ 85287-6106)</t>
        </is>
      </c>
      <c r="AM18" s="2" t="b">
        <v>1</v>
      </c>
      <c r="AN18" s="3">
        <f>HYPERLINK("https://faculty.engineering.asu.edu/directory/semte/aerospace-and-mechanical-engineering/", "https://faculty.engineering.asu.edu/directory/semte/aerospace-and-mechanical-engineering/")</f>
        <v/>
      </c>
    </row>
    <row r="19">
      <c r="A19" s="2" t="inlineStr">
        <is>
          <t>Konrad Rykaczewski</t>
        </is>
      </c>
      <c r="B19" s="2" t="inlineStr">
        <is>
          <t>Arizona State University</t>
        </is>
      </c>
      <c r="C19" s="3">
        <f>HYPERLINK("https://search.asu.edu/profile/krykacze", "https://search.asu.edu/profile/krykacze")</f>
        <v/>
      </c>
      <c r="D19" s="3">
        <f>HYPERLINK("https://scholar.google.com/citations?hl=en&amp;user=SWeAf4UAAAAJ", "Scholar (SWeAf4UAAAAJ)")</f>
        <v/>
      </c>
      <c r="E19" s="2" t="inlineStr">
        <is>
          <t>Associate Professor</t>
        </is>
      </c>
      <c r="F19" s="2" t="inlineStr">
        <is>
          <t>Aerospace &amp; Mechanical Engineering</t>
        </is>
      </c>
      <c r="G19" s="2" t="inlineStr">
        <is>
          <t>SWeAf4UAAAAJ</t>
        </is>
      </c>
      <c r="H19" s="3">
        <f>HYPERLINK("mailto:konradr@asu.edu", "konradr@asu.edu")</f>
        <v/>
      </c>
      <c r="I19" s="2" t="n">
        <v>2</v>
      </c>
      <c r="J19" s="2" t="inlineStr">
        <is>
          <t>🟡 Tier 2: Thermal / Heat Transfer / Energy</t>
        </is>
      </c>
      <c r="K19" s="2" t="n">
        <v>2</v>
      </c>
      <c r="L19" s="2" t="inlineStr">
        <is>
          <t>materials, thermal</t>
        </is>
      </c>
      <c r="M19" s="2" t="inlineStr"/>
      <c r="N19" s="2" t="inlineStr"/>
      <c r="O19" s="2" t="inlineStr"/>
      <c r="P19" s="2" t="inlineStr"/>
      <c r="Q19" s="2" t="inlineStr"/>
      <c r="R19" s="2" t="inlineStr"/>
      <c r="S19" s="2" t="inlineStr"/>
      <c r="T19" s="2" t="inlineStr"/>
      <c r="U19" s="2" t="inlineStr">
        <is>
          <t>MAE 593: Applied Project | MAE 499: Individualized Instruction | MAE 586: Advanced Heat Transfer</t>
        </is>
      </c>
      <c r="V19" s="2" t="inlineStr"/>
      <c r="W19" s="2" t="inlineStr"/>
      <c r="X19" s="2" t="inlineStr"/>
      <c r="Y19" s="2" t="inlineStr"/>
      <c r="Z19" s="2" t="inlineStr"/>
      <c r="AA19" s="2" t="inlineStr"/>
      <c r="AB19" s="2" t="inlineStr">
        <is>
          <t>Rykaczewski's research focuses on development of soft thermal materials and system as well as studying human thermal exposure in extreme heat.</t>
        </is>
      </c>
      <c r="AC19" s="2" t="inlineStr">
        <is>
          <t>Ph.D. Mechanical Engineering, Georgia Institute of Technology 2009 | M.S. Mechanical Engineering, Georgia Institute of Technology 2007 | B.S. Mechanical Engineering, Georgia Institute of Technology 2005</t>
        </is>
      </c>
      <c r="AD19" s="2" t="inlineStr">
        <is>
          <t>Nano-Bio-Thermal Engineering Laboratory</t>
        </is>
      </c>
      <c r="AE19" s="3">
        <f>HYPERLINK("http://faculty.engineering.asu.edu/konrad/", "http://faculty.engineering.asu.edu/konrad/")</f>
        <v/>
      </c>
      <c r="AF19" s="2" t="inlineStr"/>
      <c r="AG19" s="2" t="inlineStr"/>
      <c r="AH19" s="2" t="inlineStr"/>
      <c r="AI19" s="2" t="inlineStr"/>
      <c r="AJ19" s="2" t="inlineStr"/>
      <c r="AK19" s="2" t="inlineStr">
        <is>
          <t>Rykaczewski Lab</t>
        </is>
      </c>
      <c r="AL19" s="2" t="inlineStr">
        <is>
          <t>ENGRC 309 (Tempe, AZ 85287)</t>
        </is>
      </c>
      <c r="AM19" s="2" t="b">
        <v>1</v>
      </c>
      <c r="AN19" s="3">
        <f>HYPERLINK("https://faculty.engineering.asu.edu/directory/semte/aerospace-and-mechanical-engineering/", "https://faculty.engineering.asu.edu/directory/semte/aerospace-and-mechanical-engineering/")</f>
        <v/>
      </c>
    </row>
    <row r="20">
      <c r="A20" s="2" t="inlineStr">
        <is>
          <t>Jay Oswald</t>
        </is>
      </c>
      <c r="B20" s="2" t="inlineStr">
        <is>
          <t>Arizona State University</t>
        </is>
      </c>
      <c r="C20" s="3">
        <f>HYPERLINK("https://search.asu.edu/profile/joswald1", "https://search.asu.edu/profile/joswald1")</f>
        <v/>
      </c>
      <c r="D20" s="3">
        <f>HYPERLINK("https://scholar.google.com/citations?view_op=search_authors&amp;mauthors=Jay%20Oswald%20Arizona%20State%20University", "Google Scholar Search")</f>
        <v/>
      </c>
      <c r="E20" s="2" t="inlineStr">
        <is>
          <t>Associate Professor</t>
        </is>
      </c>
      <c r="F20" s="2" t="inlineStr">
        <is>
          <t>Aerospace &amp; Mechanical Engineering</t>
        </is>
      </c>
      <c r="G20" s="2" t="inlineStr"/>
      <c r="H20" s="3">
        <f>HYPERLINK("mailto:joswald1@asu.edu", "joswald1@asu.edu")</f>
        <v/>
      </c>
      <c r="I20" s="2" t="n">
        <v>3</v>
      </c>
      <c r="J20" s="2" t="inlineStr">
        <is>
          <t>🟠 Tier 3: Structures / Materials / Manufacturing</t>
        </is>
      </c>
      <c r="K20" s="2" t="n">
        <v>6</v>
      </c>
      <c r="L20" s="2" t="inlineStr">
        <is>
          <t>estimation, finite element, materials, robot, robotics, solid mechanics</t>
        </is>
      </c>
      <c r="M20" s="2" t="inlineStr"/>
      <c r="N20" s="2" t="inlineStr"/>
      <c r="O20" s="2" t="inlineStr"/>
      <c r="P20" s="2" t="inlineStr"/>
      <c r="Q20" s="2" t="inlineStr"/>
      <c r="R20" s="2" t="inlineStr"/>
      <c r="S20" s="2" t="inlineStr"/>
      <c r="T20" s="2" t="inlineStr"/>
      <c r="U20" s="2" t="inlineStr">
        <is>
          <t>MAE 404: Finite Elements in Engineering | MAE 503: Finite Elements in Engineering | MAE 593: Applied Project</t>
        </is>
      </c>
      <c r="V20" s="2" t="inlineStr"/>
      <c r="W20" s="2" t="inlineStr">
        <is>
          <t>If you're interested in joining our group, please email Prof. Oswald with your CV, research interests, and any supporting materials such as publications or code samples.</t>
        </is>
      </c>
      <c r="X20" s="2" t="inlineStr"/>
      <c r="Y20" s="2" t="inlineStr"/>
      <c r="Z20" s="2" t="inlineStr">
        <is>
          <t>Development of computational mechanics: finite element methods, molecular dynamics, multiscale methods, failure analysis, and material design.</t>
        </is>
      </c>
      <c r="AA20" s="2" t="inlineStr"/>
      <c r="AB20" s="2" t="inlineStr">
        <is>
          <t>Dr. Oswald develops computational and AI-driven methods for advanced manufacturing, including laser welding, automated inspection, robotics, and computational mechanics.</t>
        </is>
      </c>
      <c r="AC20" s="2" t="inlineStr">
        <is>
          <t>Ph.D. Mechanical Engineering, Northwestern University, Evanston, IL 2011 | M.S. Mechanical Engineering, Case Western Reserve University, Cleveland, OH 2005 | B.S. Mechanical Engineering, Case Western Reserve University, Cleveland, OH 2004</t>
        </is>
      </c>
      <c r="AD20" s="2" t="inlineStr">
        <is>
          <t>Computational Mechanics Lab</t>
        </is>
      </c>
      <c r="AE20" s="3">
        <f>HYPERLINK("http://sparky.fulton.asu.edu/oswald/", "http://sparky.fulton.asu.edu/oswald/")</f>
        <v/>
      </c>
      <c r="AF20" s="2" t="inlineStr"/>
      <c r="AG20" s="2" t="inlineStr"/>
      <c r="AH20" s="2" t="inlineStr"/>
      <c r="AI20" s="2" t="inlineStr"/>
      <c r="AJ20" s="2" t="inlineStr"/>
      <c r="AK20" s="2" t="inlineStr">
        <is>
          <t>Multiscale polymer analysis</t>
        </is>
      </c>
      <c r="AL20" s="2" t="inlineStr">
        <is>
          <t>ENGRC 353 (Tempe, AZ 85287-6106)</t>
        </is>
      </c>
      <c r="AM20" s="2" t="b">
        <v>1</v>
      </c>
      <c r="AN20" s="3">
        <f>HYPERLINK("https://faculty.engineering.asu.edu/directory/semte/aerospace-and-mechanical-engineering/", "https://faculty.engineering.asu.edu/directory/semte/aerospace-and-mechanical-engineering/")</f>
        <v/>
      </c>
    </row>
    <row r="21">
      <c r="A21" s="2" t="inlineStr">
        <is>
          <t>Aditi Chattopadhyay</t>
        </is>
      </c>
      <c r="B21" s="2" t="inlineStr">
        <is>
          <t>Arizona State University</t>
        </is>
      </c>
      <c r="C21" s="3">
        <f>HYPERLINK("https://search.asu.edu/profile/chattopa", "https://search.asu.edu/profile/chattopa")</f>
        <v/>
      </c>
      <c r="D21" s="3">
        <f>HYPERLINK("https://scholar.google.com/citations?hl=en&amp;user=w3fU9E0AAAAJ", "Scholar (w3fU9E0AAAAJ)")</f>
        <v/>
      </c>
      <c r="E21" s="2" t="inlineStr">
        <is>
          <t>Regents Professor</t>
        </is>
      </c>
      <c r="F21" s="2" t="inlineStr">
        <is>
          <t>Aerospace &amp; Mechanical Engineering</t>
        </is>
      </c>
      <c r="G21" s="2" t="inlineStr">
        <is>
          <t>w3fU9E0AAAAJ</t>
        </is>
      </c>
      <c r="H21" s="3">
        <f>HYPERLINK("mailto:aditi@asu.edu", "aditi@asu.edu")</f>
        <v/>
      </c>
      <c r="I21" s="2" t="n">
        <v>3</v>
      </c>
      <c r="J21" s="2" t="inlineStr">
        <is>
          <t>🟠 Tier 3: Structures / Materials / Manufacturing</t>
        </is>
      </c>
      <c r="K21" s="2" t="n">
        <v>4</v>
      </c>
      <c r="L21" s="2" t="inlineStr">
        <is>
          <t>aerospace, composites, materials, structural health monitoring</t>
        </is>
      </c>
      <c r="M21" s="2" t="inlineStr"/>
      <c r="N21" s="2" t="inlineStr"/>
      <c r="O21" s="2" t="inlineStr"/>
      <c r="P21" s="2" t="inlineStr"/>
      <c r="Q21" s="2" t="inlineStr"/>
      <c r="R21" s="2" t="inlineStr"/>
      <c r="S21" s="2" t="inlineStr"/>
      <c r="T21" s="2" t="inlineStr"/>
      <c r="U21" s="2" t="inlineStr">
        <is>
          <t>MAE 557: Mechanics Composite Materials | MAE 494: Special Topics | MAE 521: Structural Optimization</t>
        </is>
      </c>
      <c r="V21" s="2" t="inlineStr"/>
      <c r="W21" s="2" t="inlineStr"/>
      <c r="X21" s="2" t="inlineStr"/>
      <c r="Y21" s="2" t="inlineStr"/>
      <c r="Z21" s="2" t="inlineStr">
        <is>
          <t>Structural and computational mechanics of composite materials, including ceramic matrix composites (CMCs) under thermomechanical and oxidative damage, multiscale and reduced-order modeling of heterogeneous materials, and molecular dynamics of nano-enhanced composites. Multifunctional materials, including shape memory polymers, self-sensing and self-healing mechanophore-based composites, and carbon nanotube-integrated composites. Structural health management and damage prognosis, fatigue of metallic and composite structures, multidisciplinary design optimization, and machine learning for aviation safety and air traffic management.</t>
        </is>
      </c>
      <c r="AA21" s="2" t="inlineStr"/>
      <c r="AB21" s="2" t="inlineStr">
        <is>
          <t>Chattopadhyay is the director of Adaptive Intelligent Materials and Systems (AIMS) Center at ASU. Her research focuses on structural health monitoring and damage prognosis, and multidisciplinary design optimization.</t>
        </is>
      </c>
      <c r="AC21" s="2" t="inlineStr">
        <is>
          <t>Ph.D. Aerospace Engineering, Georgia Institute of Technology, Atlanta, Georgia | M.S. Aerospace Engineering, Georgia Institute of Technology, Atlanta, Georgia | B. Tech (Honors.) Aerospace Engineering, Indian Institute of Technology, Kharagpur, India</t>
        </is>
      </c>
      <c r="AD21" s="2" t="inlineStr">
        <is>
          <t>Adaptive Intelligent Materials &amp; Systems (AIMS) Center</t>
        </is>
      </c>
      <c r="AE21" s="3">
        <f>HYPERLINK("https://aims.asu.edu/", "https://aims.asu.edu/")</f>
        <v/>
      </c>
      <c r="AF21" s="2" t="inlineStr"/>
      <c r="AG21" s="2" t="inlineStr"/>
      <c r="AH21" s="2" t="inlineStr"/>
      <c r="AI21" s="2" t="inlineStr"/>
      <c r="AJ21" s="2" t="inlineStr"/>
      <c r="AK21" s="2" t="inlineStr"/>
      <c r="AL21" s="2" t="inlineStr">
        <is>
          <t>ENGRC 427 (TEMPE, AZ 85287-6106)</t>
        </is>
      </c>
      <c r="AM21" s="2" t="b">
        <v>1</v>
      </c>
      <c r="AN21" s="3">
        <f>HYPERLINK("https://faculty.engineering.asu.edu/directory/semte/aerospace-and-mechanical-engineering/", "https://faculty.engineering.asu.edu/directory/semte/aerospace-and-mechanical-engineering/")</f>
        <v/>
      </c>
    </row>
    <row r="22">
      <c r="A22" s="2" t="inlineStr">
        <is>
          <t>Leila Ladani</t>
        </is>
      </c>
      <c r="B22" s="2" t="inlineStr">
        <is>
          <t>Arizona State University</t>
        </is>
      </c>
      <c r="C22" s="3">
        <f>HYPERLINK("https://search.asu.edu/profile/ljannesa", "https://search.asu.edu/profile/ljannesa")</f>
        <v/>
      </c>
      <c r="D22" s="3">
        <f>HYPERLINK("https://scholar.google.com/citations?view_op=search_authors&amp;mauthors=Leila%20Ladani%20Arizona%20State%20University", "Google Scholar Search")</f>
        <v/>
      </c>
      <c r="E22" s="2" t="inlineStr">
        <is>
          <t>Professor</t>
        </is>
      </c>
      <c r="F22" s="2" t="inlineStr">
        <is>
          <t>Aerospace &amp; Mechanical Engineering</t>
        </is>
      </c>
      <c r="G22" s="2" t="inlineStr"/>
      <c r="H22" s="3">
        <f>HYPERLINK("mailto:ladani@asu.edu", "ladani@asu.edu")</f>
        <v/>
      </c>
      <c r="I22" s="2" t="n">
        <v>3</v>
      </c>
      <c r="J22" s="2" t="inlineStr">
        <is>
          <t>🟠 Tier 3: Structures / Materials / Manufacturing</t>
        </is>
      </c>
      <c r="K22" s="2" t="n">
        <v>3</v>
      </c>
      <c r="L22" s="2" t="inlineStr">
        <is>
          <t>aerospace, materials, solid mechanics</t>
        </is>
      </c>
      <c r="M22" s="2" t="inlineStr"/>
      <c r="N22" s="2" t="inlineStr"/>
      <c r="O22" s="2" t="inlineStr"/>
      <c r="P22" s="2" t="inlineStr"/>
      <c r="Q22" s="2" t="inlineStr"/>
      <c r="R22" s="2" t="inlineStr"/>
      <c r="S22" s="2" t="inlineStr"/>
      <c r="T22" s="2" t="inlineStr"/>
      <c r="U22" s="2" t="inlineStr">
        <is>
          <t>MAE 598: Special Topics | MAE 494: Special Topics | MAE 201: Mech. Particles/Rigid Bodies I</t>
        </is>
      </c>
      <c r="V22" s="2" t="inlineStr"/>
      <c r="W22" s="2" t="inlineStr"/>
      <c r="X22" s="2" t="inlineStr"/>
      <c r="Y22" s="2" t="inlineStr"/>
      <c r="Z22" s="2" t="inlineStr">
        <is>
          <t>Manufacturing process simulation and modeling and experiments Additive manufacturing Micro/nano manufacturing Microelectronic packaging Application of AI in manufacturing Mechanic of metallic materials Materials characterization Fatigue and damage modeling and simulation</t>
        </is>
      </c>
      <c r="AA22" s="2" t="inlineStr">
        <is>
          <t>Additive Manufacturing, Manufacturing Engineering</t>
        </is>
      </c>
      <c r="AB22" s="2" t="inlineStr">
        <is>
          <t>Dr. Ladani is a Professor of Mechanical and Aerospace Engineering at Arizona State University.</t>
        </is>
      </c>
      <c r="AC22" s="2" t="inlineStr">
        <is>
          <t>PhD. Mechanical Engineering, University of Maryland-College Park 2007 | M.S. Mechanical Engineering, University of Maryland-College Park 2005 | PhD. Student, Mechanical Engineering, Isfahan University of Technology, Iran 2001-2002 | M.S. Mechanical Engineering, Isfahan University of Technology, Iran 2001 | B.S. Mechanical Engineering, Isfahan University of Technology, Iran 1999</t>
        </is>
      </c>
      <c r="AD22" s="2" t="inlineStr">
        <is>
          <t>Manufacturing and Advanced Materials Characterization (MAGIC) Lab</t>
        </is>
      </c>
      <c r="AE22" s="3">
        <f>HYPERLINK("https://magic.asu.edu/", "https://magic.asu.edu/")</f>
        <v/>
      </c>
      <c r="AF22" s="2" t="inlineStr"/>
      <c r="AG22" s="2" t="inlineStr"/>
      <c r="AH22" s="2" t="inlineStr"/>
      <c r="AI22" s="2" t="inlineStr"/>
      <c r="AJ22" s="2" t="inlineStr"/>
      <c r="AK22" s="2" t="inlineStr"/>
      <c r="AL22" s="2" t="inlineStr">
        <is>
          <t>ISTB4, ROOM 379 781 S Terrace Rd (Tempe, AZ 85287)</t>
        </is>
      </c>
      <c r="AM22" s="2" t="b">
        <v>1</v>
      </c>
      <c r="AN22" s="3">
        <f>HYPERLINK("https://faculty.engineering.asu.edu/directory/semte/aerospace-and-mechanical-engineering/", "https://faculty.engineering.asu.edu/directory/semte/aerospace-and-mechanical-engineering/")</f>
        <v/>
      </c>
    </row>
    <row r="23">
      <c r="A23" s="2" t="inlineStr">
        <is>
          <t>Houlong Zhuang</t>
        </is>
      </c>
      <c r="B23" s="2" t="inlineStr">
        <is>
          <t>Arizona State University</t>
        </is>
      </c>
      <c r="C23" s="3">
        <f>HYPERLINK("https://search.asu.edu/profile/hzhuang7", "https://search.asu.edu/profile/hzhuang7")</f>
        <v/>
      </c>
      <c r="D23" s="3">
        <f>HYPERLINK("https://scholar.google.com/citations?hl=en&amp;user=4yYKCpUAAAAJ", "Scholar (4yYKCpUAAAAJ)")</f>
        <v/>
      </c>
      <c r="E23" s="2" t="inlineStr">
        <is>
          <t>Associate Professor</t>
        </is>
      </c>
      <c r="F23" s="2" t="inlineStr">
        <is>
          <t>Aerospace &amp; Mechanical Engineering</t>
        </is>
      </c>
      <c r="G23" s="2" t="inlineStr">
        <is>
          <t>4yYKCpUAAAAJ</t>
        </is>
      </c>
      <c r="H23" s="3">
        <f>HYPERLINK("mailto:zhuanghl@asu.edu", "zhuanghl@asu.edu")</f>
        <v/>
      </c>
      <c r="I23" s="2" t="n">
        <v>3</v>
      </c>
      <c r="J23" s="2" t="inlineStr">
        <is>
          <t>🟠 Tier 3: Structures / Materials / Manufacturing</t>
        </is>
      </c>
      <c r="K23" s="2" t="n">
        <v>2</v>
      </c>
      <c r="L23" s="2" t="inlineStr">
        <is>
          <t>aerospace, materials</t>
        </is>
      </c>
      <c r="M23" s="2" t="inlineStr"/>
      <c r="N23" s="2" t="inlineStr"/>
      <c r="O23" s="2" t="inlineStr"/>
      <c r="P23" s="2" t="inlineStr"/>
      <c r="Q23" s="2" t="inlineStr"/>
      <c r="R23" s="2" t="inlineStr"/>
      <c r="S23" s="2" t="inlineStr"/>
      <c r="T23" s="2" t="inlineStr"/>
      <c r="U23" s="2" t="inlineStr">
        <is>
          <t>MAE 551: Appl Machine Learn Mech Engr | MAE 451: Appl Machine Learn Mech Engr | MAE 202: Mech.Particles/Rigid Bodies II</t>
        </is>
      </c>
      <c r="V23" s="2" t="inlineStr"/>
      <c r="W23" s="2" t="inlineStr"/>
      <c r="X23" s="2" t="inlineStr"/>
      <c r="Y23" s="2" t="inlineStr"/>
      <c r="Z23" s="2" t="inlineStr">
        <is>
          <t>Quantum simulations Machine learning Quantum computing</t>
        </is>
      </c>
      <c r="AA23" s="2" t="inlineStr">
        <is>
          <t>Artificial Photosynthesis, Chemistry, Computational Physics, Machine Learning, Materials Science, Metals, Nanoscience, Semiconductors</t>
        </is>
      </c>
      <c r="AB23" s="2" t="inlineStr">
        <is>
          <t>Dr. Houlong Zhuang is an associate professor in the School for Engineering of Matter, Transport and Energy at ASU. He received his doctorate in materials science and engineering at Cornell University. Prior to ASU, Dr. Zhuang was a postdoctoral researcher at Princeton University. Dr. Zhuang’s current research interests are quantum mechanical simulations, machine learning, and quantum computing.</t>
        </is>
      </c>
      <c r="AC23" s="2" t="inlineStr">
        <is>
          <t>Postdoc, Department of Mechanical and Aerospace Engineering, Princeton University Postdoc, Center for Nanophase Materials Sciences, Oak Ridge National Laboratory Ph.D., Major: Materials Science and Engineering; Minor: Applied Engineering Physics, Cornell University M.S., Major: Materials Science and Engineering; Minor: Applied Engineering Physics, Cornell University M.Phil., Mechanical Engineering, The University of Hong Kong B.Eng., Materials Science and Engineering, Hunan University</t>
        </is>
      </c>
      <c r="AD23" s="2" t="inlineStr">
        <is>
          <t>Computational Materials Science and Design Lab</t>
        </is>
      </c>
      <c r="AE23" s="2" t="inlineStr"/>
      <c r="AF23" s="2" t="inlineStr"/>
      <c r="AG23" s="2" t="inlineStr"/>
      <c r="AH23" s="2" t="inlineStr"/>
      <c r="AI23" s="2" t="inlineStr"/>
      <c r="AJ23" s="2" t="inlineStr"/>
      <c r="AK23" s="2" t="inlineStr"/>
      <c r="AL23" s="2" t="inlineStr">
        <is>
          <t>Campus: Tempe</t>
        </is>
      </c>
      <c r="AM23" s="2" t="b">
        <v>1</v>
      </c>
      <c r="AN23" s="3">
        <f>HYPERLINK("https://faculty.engineering.asu.edu/directory/semte/aerospace-and-mechanical-engineering/", "https://faculty.engineering.asu.edu/directory/semte/aerospace-and-mechanical-engineering/")</f>
        <v/>
      </c>
    </row>
    <row r="24">
      <c r="A24" s="2" t="inlineStr">
        <is>
          <t>Jagannathan Rajagopalan</t>
        </is>
      </c>
      <c r="B24" s="2" t="inlineStr">
        <is>
          <t>Arizona State University</t>
        </is>
      </c>
      <c r="C24" s="3">
        <f>HYPERLINK("https://search.asu.edu/profile/jrajago1", "https://search.asu.edu/profile/jrajago1")</f>
        <v/>
      </c>
      <c r="D24" s="3">
        <f>HYPERLINK("https://scholar.google.com/citations?hl=en&amp;user=ClqRIhIAAAAJ", "Scholar (ClqRIhIAAAAJ)")</f>
        <v/>
      </c>
      <c r="E24" s="2" t="inlineStr">
        <is>
          <t>Associate Professor</t>
        </is>
      </c>
      <c r="F24" s="2" t="inlineStr">
        <is>
          <t>Aerospace &amp; Mechanical Engineering</t>
        </is>
      </c>
      <c r="G24" s="2" t="inlineStr">
        <is>
          <t>ClqRIhIAAAAJ</t>
        </is>
      </c>
      <c r="H24" s="3">
        <f>HYPERLINK("mailto:Jagannathan.Rajagopalan@asu.edu", "Jagannathan.Rajagopalan@asu.edu")</f>
        <v/>
      </c>
      <c r="I24" s="2" t="n">
        <v>3</v>
      </c>
      <c r="J24" s="2" t="inlineStr">
        <is>
          <t>🟠 Tier 3: Structures / Materials / Manufacturing</t>
        </is>
      </c>
      <c r="K24" s="2" t="n">
        <v>2</v>
      </c>
      <c r="L24" s="2" t="inlineStr">
        <is>
          <t>aerospace, materials</t>
        </is>
      </c>
      <c r="M24" s="2" t="inlineStr"/>
      <c r="N24" s="2" t="inlineStr"/>
      <c r="O24" s="2" t="inlineStr"/>
      <c r="P24" s="2" t="inlineStr"/>
      <c r="Q24" s="2" t="inlineStr"/>
      <c r="R24" s="2" t="inlineStr"/>
      <c r="S24" s="2" t="inlineStr"/>
      <c r="T24" s="2" t="inlineStr"/>
      <c r="U24" s="2" t="inlineStr">
        <is>
          <t>MAE 593: Applied Project | MAE 519: Mechanics of Micro/Nano System | MAE 213: Mechanics of Materials</t>
        </is>
      </c>
      <c r="V24" s="2" t="inlineStr">
        <is>
          <t>2017 Best poster award at the TMS Annual Meeting. 2015 NSF CAREER award. 2010 Keynote presentation, U.S. National Congre</t>
        </is>
      </c>
      <c r="W24" s="2" t="inlineStr"/>
      <c r="X24" s="2" t="inlineStr"/>
      <c r="Y24" s="2" t="inlineStr"/>
      <c r="Z24" s="2" t="inlineStr">
        <is>
          <t>Synthesis of nanocrystalline materials with tailored microstructures, Mechanics of nanostructured metal and alloy films, MEMS for in situ materials testing, Polymer based micro devices for cell mechanics and biohybrid platforms</t>
        </is>
      </c>
      <c r="AA24" s="2" t="inlineStr">
        <is>
          <t>Thin Film Materials, Materials Science, Mechanical Engineering</t>
        </is>
      </c>
      <c r="AB24" s="2" t="inlineStr">
        <is>
          <t>Rajagopalan's research focuses on the mechanics of nanoscale materials, cells and biological systems.</t>
        </is>
      </c>
      <c r="AC24" s="2" t="inlineStr">
        <is>
          <t>Ph.D. Mechanical Science and Engineering, University of Illinois at Urbana-Champaign, Urbana, IL 2009 | M.Tech. Mechanical Engineering, Indian Institute of Technology Madras, Chennai, India 2004 | B.Tech. Mechanical Engineering, Indian Institute of Technology Madras, Chennai, India 2004</t>
        </is>
      </c>
      <c r="AD24" s="2" t="inlineStr">
        <is>
          <t>Nanomechanics Laboratory</t>
        </is>
      </c>
      <c r="AE24" s="3">
        <f>HYPERLINK("http://faculty.engineering.asu.edu/jagan/", "http://faculty.engineering.asu.edu/jagan/")</f>
        <v/>
      </c>
      <c r="AF24" s="2" t="inlineStr"/>
      <c r="AG24" s="2" t="inlineStr"/>
      <c r="AH24" s="2" t="inlineStr"/>
      <c r="AI24" s="2" t="inlineStr"/>
      <c r="AJ24" s="2" t="inlineStr"/>
      <c r="AK24" s="2" t="inlineStr">
        <is>
          <t>Nanostructured Materials</t>
        </is>
      </c>
      <c r="AL24" s="2" t="inlineStr">
        <is>
          <t>ENGRC 355 (Tempe, AZ 85287-6106)</t>
        </is>
      </c>
      <c r="AM24" s="2" t="b">
        <v>1</v>
      </c>
      <c r="AN24" s="3">
        <f>HYPERLINK("https://faculty.engineering.asu.edu/directory/semte/aerospace-and-mechanical-engineering/", "https://faculty.engineering.asu.edu/directory/semte/aerospace-and-mechanical-engineering/")</f>
        <v/>
      </c>
    </row>
    <row r="25">
      <c r="A25" s="2" t="inlineStr">
        <is>
          <t>Minglei Qu</t>
        </is>
      </c>
      <c r="B25" s="2" t="inlineStr">
        <is>
          <t>Arizona State University</t>
        </is>
      </c>
      <c r="C25" s="3">
        <f>HYPERLINK("https://search.asu.edu/profile/mingleiq", "https://search.asu.edu/profile/mingleiq")</f>
        <v/>
      </c>
      <c r="D25" s="3">
        <f>HYPERLINK("https://scholar.google.com/citations?hl=en&amp;user=9LWNC50AAAAJ", "Scholar (9LWNC50AAAAJ)")</f>
        <v/>
      </c>
      <c r="E25" s="2" t="inlineStr">
        <is>
          <t>Assistant Professor</t>
        </is>
      </c>
      <c r="F25" s="2" t="inlineStr">
        <is>
          <t>Aerospace &amp; Mechanical Engineering</t>
        </is>
      </c>
      <c r="G25" s="2" t="inlineStr">
        <is>
          <t>9LWNC50AAAAJ</t>
        </is>
      </c>
      <c r="H25" s="3">
        <f>HYPERLINK("mailto:minglei.qu@asu.edu", "minglei.qu@asu.edu")</f>
        <v/>
      </c>
      <c r="I25" s="2" t="n">
        <v>3</v>
      </c>
      <c r="J25" s="2" t="inlineStr">
        <is>
          <t>🟠 Tier 3: Structures / Materials / Manufacturing</t>
        </is>
      </c>
      <c r="K25" s="2" t="n">
        <v>2</v>
      </c>
      <c r="L25" s="2" t="inlineStr">
        <is>
          <t>composites, materials</t>
        </is>
      </c>
      <c r="M25" s="2" t="inlineStr"/>
      <c r="N25" s="2" t="inlineStr"/>
      <c r="O25" s="2" t="inlineStr"/>
      <c r="P25" s="2" t="inlineStr"/>
      <c r="Q25" s="2" t="inlineStr"/>
      <c r="R25" s="2" t="inlineStr"/>
      <c r="S25" s="2" t="inlineStr"/>
      <c r="T25" s="2" t="inlineStr"/>
      <c r="U25" s="2" t="inlineStr">
        <is>
          <t>MAE 213: Mechanics of Materials | MAE 598: Special Topics</t>
        </is>
      </c>
      <c r="V25" s="2" t="inlineStr"/>
      <c r="W25" s="2" t="inlineStr"/>
      <c r="X25" s="2" t="inlineStr"/>
      <c r="Y25" s="2" t="inlineStr"/>
      <c r="Z25" s="2" t="inlineStr">
        <is>
          <t>Metal additive manufacturing, in-situ synchrotron X-ray and neutron characterization, non-equilibrium phase transformation, metal matrix composites. Selected Publications M. Qu , J. Yuan, Q. Guo, A. Nabaa, L. I. Escano, J. Huang, Q. Li, L. Chen. Achieving uniformly refined grain structure in metal additive manufacturing: Experimental demonstration and analytical model development. Additive Manufacturing 108 (2025) 104805. M. Qu , D. Yu, J. Yuan, L. Chen, K. An, Y. Chen. Multi-stage load partitioning in additively manufactured Al6061+TiC nanocomposite characterized by in-situ neutron diffraction. Additive Manufacturing, 96 (2024) 104584. M. Qu , J. Yuan, A. Nabaa, J. Huang, C. A. Chuang, L. Chen. Melting and solidification dynamics during laser additive manufacturing of reaction-based metal matrix composites uncovered by in-situ synchrotron X-ray diffraction. Acta Materialia , 271 (2024) 119875. M. Qu , Q. Guo, L. I. Escano, A. Nabaa, S. M. H. Hojjatzadeh, Z. A. Young, L. Chen. Controlling process instability for defect lean metal additive manufacturing. Nature Communications , 13 (2022) 1079. M. Qu , Q. Guo, L. I. Escano, A. Nabaa, K. Fezzaa, L. Chen. Nanoparticle-enabled increase of energy efficiency during laser metal additive manufacturing. Additive Manufacturing , 60 (2022) 103242. M. Qu , Q.Guo, L. I. Escano, J. Yuan, S. J. Clark, K. Fezzaa, L. Chen. Controlling melt flow by nanoparticles to eliminate surface wave induced surface fluctuation. Additive Manufacturing , 59 (2022) 103081.</t>
        </is>
      </c>
      <c r="AA25" s="2" t="inlineStr"/>
      <c r="AB25" s="2" t="inlineStr">
        <is>
          <t>Minglei Qu is an Assistant Professor of Mechanical Engineering and a graduate faculty of Materials Science and Engineering in the School for Engineering of Matter, Transport and Energy at ASU. His research lies at the intersection of metal additive manufacturing, in-situ characterization, and materials science. By utilizing advanced in-situ characterization tools, including synchrotron X-ray im...</t>
        </is>
      </c>
      <c r="AC25" s="2" t="inlineStr">
        <is>
          <t>PhD. Mechanical Engineering, University of Wisconsin-Madison 2023</t>
        </is>
      </c>
      <c r="AD25" s="2" t="inlineStr"/>
      <c r="AE25" s="2" t="inlineStr"/>
      <c r="AF25" s="2" t="inlineStr"/>
      <c r="AG25" s="2" t="inlineStr"/>
      <c r="AH25" s="2" t="inlineStr"/>
      <c r="AI25" s="2" t="inlineStr"/>
      <c r="AJ25" s="2" t="inlineStr"/>
      <c r="AK25" s="2" t="inlineStr"/>
      <c r="AL25" s="2" t="inlineStr">
        <is>
          <t>Campus: Tempe</t>
        </is>
      </c>
      <c r="AM25" s="2" t="b">
        <v>1</v>
      </c>
      <c r="AN25" s="3">
        <f>HYPERLINK("https://faculty.engineering.asu.edu/directory/semte/aerospace-and-mechanical-engineering/", "https://faculty.engineering.asu.edu/directory/semte/aerospace-and-mechanical-engineering/")</f>
        <v/>
      </c>
    </row>
    <row r="26">
      <c r="A26" s="2" t="inlineStr">
        <is>
          <t>Qiong Nian</t>
        </is>
      </c>
      <c r="B26" s="2" t="inlineStr">
        <is>
          <t>Arizona State University</t>
        </is>
      </c>
      <c r="C26" s="3">
        <f>HYPERLINK("https://search.asu.edu/profile/qnian", "https://search.asu.edu/profile/qnian")</f>
        <v/>
      </c>
      <c r="D26" s="3">
        <f>HYPERLINK("https://scholar.google.com/citations?view_op=search_authors&amp;mauthors=Qiong%20Nian%20Arizona%20State%20University", "Google Scholar Search")</f>
        <v/>
      </c>
      <c r="E26" s="2" t="inlineStr">
        <is>
          <t>Associate Professor</t>
        </is>
      </c>
      <c r="F26" s="2" t="inlineStr">
        <is>
          <t>Aerospace &amp; Mechanical Engineering</t>
        </is>
      </c>
      <c r="G26" s="2" t="inlineStr"/>
      <c r="H26" s="3">
        <f>HYPERLINK("mailto:Qiong.Nian@asu.edu", "Qiong.Nian@asu.edu")</f>
        <v/>
      </c>
      <c r="I26" s="2" t="n">
        <v>3</v>
      </c>
      <c r="J26" s="2" t="inlineStr">
        <is>
          <t>🟠 Tier 3: Structures / Materials / Manufacturing</t>
        </is>
      </c>
      <c r="K26" s="2" t="n">
        <v>2</v>
      </c>
      <c r="L26" s="2" t="inlineStr">
        <is>
          <t>aerospace, materials</t>
        </is>
      </c>
      <c r="M26" s="2" t="inlineStr"/>
      <c r="N26" s="2" t="inlineStr"/>
      <c r="O26" s="2" t="inlineStr"/>
      <c r="P26" s="2" t="inlineStr"/>
      <c r="Q26" s="2" t="inlineStr"/>
      <c r="R26" s="2" t="inlineStr"/>
      <c r="S26" s="2" t="inlineStr"/>
      <c r="T26" s="2" t="inlineStr"/>
      <c r="U26" s="2" t="inlineStr">
        <is>
          <t>MAE 593: Applied Project | MAE 545: Modern Manufacturing Methods | MAE 499: Individualized Instruction</t>
        </is>
      </c>
      <c r="V26" s="2" t="inlineStr"/>
      <c r="W26" s="2" t="inlineStr"/>
      <c r="X26" s="2" t="inlineStr"/>
      <c r="Y26" s="2" t="inlineStr"/>
      <c r="Z26" s="2" t="inlineStr">
        <is>
          <t>Nanomanufacturing, additive manufacturing, laser-based material processing, laser matter interaction and physics simulation; inkjet printing of functional materials; and 2D materials fabrication for energy storage and bio-sensors.</t>
        </is>
      </c>
      <c r="AA26" s="2" t="inlineStr">
        <is>
          <t>Additive Manufacturing, Manufacturing Engineering, Mechanical Engineering</t>
        </is>
      </c>
      <c r="AB26" s="2" t="inlineStr">
        <is>
          <t>Nian's research interests include additive manufacturing, laser-based manufacturing and material processing, laser matter interaction and physics simulation, and functional materials for energy storage and bio-sensors.</t>
        </is>
      </c>
      <c r="AC26" s="2" t="inlineStr">
        <is>
          <t>Ph.D. Manufacturing, Industrial Engineering, Purdue University 2015 | B.Sc. Materials Science and Engineering, University of Science and Technology of China 2009</t>
        </is>
      </c>
      <c r="AD26" s="2" t="inlineStr"/>
      <c r="AE26" s="3">
        <f>HYPERLINK("https://mmmplab.engineering.asu.edu/", "https://mmmplab.engineering.asu.edu/")</f>
        <v/>
      </c>
      <c r="AF26" s="2" t="inlineStr"/>
      <c r="AG26" s="2" t="inlineStr"/>
      <c r="AH26" s="2" t="inlineStr"/>
      <c r="AI26" s="2" t="inlineStr"/>
      <c r="AJ26" s="2" t="inlineStr"/>
      <c r="AK26" s="2" t="inlineStr"/>
      <c r="AL26" s="2" t="inlineStr">
        <is>
          <t>Campus: Tempe</t>
        </is>
      </c>
      <c r="AM26" s="2" t="b">
        <v>1</v>
      </c>
      <c r="AN26" s="3">
        <f>HYPERLINK("https://faculty.engineering.asu.edu/directory/semte/aerospace-and-mechanical-engineering/", "https://faculty.engineering.asu.edu/directory/semte/aerospace-and-mechanical-engineering/")</f>
        <v/>
      </c>
    </row>
    <row r="27">
      <c r="A27" s="2" t="inlineStr">
        <is>
          <t>Yongming Liu</t>
        </is>
      </c>
      <c r="B27" s="2" t="inlineStr">
        <is>
          <t>Arizona State University</t>
        </is>
      </c>
      <c r="C27" s="3">
        <f>HYPERLINK("https://search.asu.edu/profile/yliu35", "https://search.asu.edu/profile/yliu35")</f>
        <v/>
      </c>
      <c r="D27" s="3">
        <f>HYPERLINK("https://scholar.google.com/citations?view_op=search_authors&amp;mauthors=Yongming%20Liu%20Arizona%20State%20University", "Google Scholar Search")</f>
        <v/>
      </c>
      <c r="E27" s="2" t="inlineStr">
        <is>
          <t>Professor</t>
        </is>
      </c>
      <c r="F27" s="2" t="inlineStr">
        <is>
          <t>Aerospace &amp; Mechanical Engineering</t>
        </is>
      </c>
      <c r="G27" s="2" t="inlineStr"/>
      <c r="H27" s="3">
        <f>HYPERLINK("mailto:Yongming.Liu@asu.edu", "Yongming.Liu@asu.edu")</f>
        <v/>
      </c>
      <c r="I27" s="2" t="n">
        <v>3</v>
      </c>
      <c r="J27" s="2" t="inlineStr">
        <is>
          <t>🟠 Tier 3: Structures / Materials / Manufacturing</t>
        </is>
      </c>
      <c r="K27" s="2" t="n">
        <v>2</v>
      </c>
      <c r="L27" s="2" t="inlineStr">
        <is>
          <t>aerospace, materials</t>
        </is>
      </c>
      <c r="M27" s="2" t="inlineStr"/>
      <c r="N27" s="2" t="inlineStr"/>
      <c r="O27" s="2" t="inlineStr"/>
      <c r="P27" s="2" t="inlineStr"/>
      <c r="Q27" s="2" t="inlineStr"/>
      <c r="R27" s="2" t="inlineStr"/>
      <c r="S27" s="2" t="inlineStr"/>
      <c r="T27" s="2" t="inlineStr"/>
      <c r="U27" s="2" t="inlineStr">
        <is>
          <t>MAE 548: Prob Methods for Eng Des/Analy | MAE 593: Applied Project | MAE 584: Internship</t>
        </is>
      </c>
      <c r="V27" s="2" t="inlineStr"/>
      <c r="W27" s="2" t="inlineStr"/>
      <c r="X27" s="2" t="inlineStr"/>
      <c r="Y27" s="2" t="inlineStr"/>
      <c r="Z27" s="2" t="inlineStr">
        <is>
          <t>Yongming Liu is a professor of aerospace and mechanical engineering with the School for Engineering of Matter, Transport and Energy at Arizona State University. Fatigue and fracture of engineering materials and structures, probabilistic computational mechanics, risk assessment and management, multi-physics damage modeling and structural durability, multi-scale uncertainty quantification and propagation, imaging-based experimental testing, diagnostics and prognostics</t>
        </is>
      </c>
      <c r="AA27" s="2" t="inlineStr"/>
      <c r="AB27" s="2" t="inlineStr">
        <is>
          <t>Liu heads the Prognostic Analysis and Reliability Assessment Laboratory (PARA). He joined ASU in 2012.</t>
        </is>
      </c>
      <c r="AC27" s="2" t="inlineStr">
        <is>
          <t>Ph.D. Civil Engineering, Vanderbilt University 2006 | M.S. Structural Engineering, Tongji University, Shanghai, China 2002 | B.S. Structural Engineering, Tongji University, Shanghai, China 1999</t>
        </is>
      </c>
      <c r="AD27" s="2" t="inlineStr">
        <is>
          <t>Prognostics and Health Management (PHM) Lab</t>
        </is>
      </c>
      <c r="AE27" s="2" t="inlineStr"/>
      <c r="AF27" s="2" t="inlineStr"/>
      <c r="AG27" s="2" t="inlineStr"/>
      <c r="AH27" s="2" t="inlineStr"/>
      <c r="AI27" s="2" t="inlineStr"/>
      <c r="AJ27" s="2" t="inlineStr"/>
      <c r="AK27" s="2" t="inlineStr"/>
      <c r="AL27" s="2" t="inlineStr">
        <is>
          <t>ENGRC 409 (Tempe, AZ 85287-6106)</t>
        </is>
      </c>
      <c r="AM27" s="2" t="b">
        <v>1</v>
      </c>
      <c r="AN27" s="3">
        <f>HYPERLINK("https://faculty.engineering.asu.edu/directory/semte/aerospace-and-mechanical-engineering/", "https://faculty.engineering.asu.edu/directory/semte/aerospace-and-mechanical-engineering/")</f>
        <v/>
      </c>
    </row>
    <row r="28">
      <c r="A28" s="2" t="inlineStr">
        <is>
          <t>Cindy (Xiangjia) Li</t>
        </is>
      </c>
      <c r="B28" s="2" t="inlineStr">
        <is>
          <t>Arizona State University</t>
        </is>
      </c>
      <c r="C28" s="3">
        <f>HYPERLINK("https://search.asu.edu/profile/xiangji5", "https://search.asu.edu/profile/xiangji5")</f>
        <v/>
      </c>
      <c r="D28" s="3">
        <f>HYPERLINK("https://scholar.google.com/citations?hl=en&amp;user=tGQzHJIAAAAJ", "Scholar (tGQzHJIAAAAJ)")</f>
        <v/>
      </c>
      <c r="E28" s="2" t="inlineStr">
        <is>
          <t>Associate Professor</t>
        </is>
      </c>
      <c r="F28" s="2" t="inlineStr">
        <is>
          <t>Aerospace &amp; Mechanical Engineering</t>
        </is>
      </c>
      <c r="G28" s="2" t="inlineStr">
        <is>
          <t>tGQzHJIAAAAJ</t>
        </is>
      </c>
      <c r="H28" s="3">
        <f>HYPERLINK("mailto:xiangjia.li@asu.edu", "xiangjia.li@asu.edu")</f>
        <v/>
      </c>
      <c r="I28" s="2" t="n">
        <v>3</v>
      </c>
      <c r="J28" s="2" t="inlineStr">
        <is>
          <t>🟠 Tier 3: Structures / Materials / Manufacturing</t>
        </is>
      </c>
      <c r="K28" s="2" t="n">
        <v>1</v>
      </c>
      <c r="L28" s="2" t="inlineStr">
        <is>
          <t>materials</t>
        </is>
      </c>
      <c r="M28" s="2" t="inlineStr"/>
      <c r="N28" s="2" t="inlineStr"/>
      <c r="O28" s="2" t="inlineStr"/>
      <c r="P28" s="2" t="inlineStr"/>
      <c r="Q28" s="2" t="inlineStr"/>
      <c r="R28" s="2" t="inlineStr">
        <is>
          <t>Dylan Joralmon~, Soham Khairnar, Xiangjia Li*, "Rapid Fabrication of Multi-Metal 3D Objects with Adjustable Gradients by Contin...</t>
        </is>
      </c>
      <c r="S28" s="2" t="inlineStr"/>
      <c r="T28" s="2" t="inlineStr"/>
      <c r="U28" s="2" t="inlineStr">
        <is>
          <t>MAE 301: Applied Experimental Statistic | MAE 593: Applied Project | MAE 494: Special Topics</t>
        </is>
      </c>
      <c r="V28" s="2" t="inlineStr">
        <is>
          <t>2026 The J. Orin Edson Entrepreneurship &amp; Innovation Seed Funding Award ASU 2025 1st place Skysong Startup Competition C</t>
        </is>
      </c>
      <c r="W28" s="2" t="inlineStr">
        <is>
          <t>If you are interested in joining us, please send the full CV (with GPA; working and research experiences; publications) to Prof. Li (email: xiangjia.li AT asu.edu).</t>
        </is>
      </c>
      <c r="X28" s="2" t="inlineStr"/>
      <c r="Y28" s="2" t="inlineStr"/>
      <c r="Z28" s="2" t="inlineStr">
        <is>
          <t>Biomimetic Additive Manufacturing (3D Printing); Bioinspired Material and Structure Design; Stereolithography; Photopolymerization based 3D Printing; Multi-material and Multi-scale 3D printing; Biofabrication; Biomaterial; Ceramic Printing; Nanocomposite Printing; Physical Field Assisted Printing; 4D Printing; Flexible Sensor; Biomedical Device; Tissue Repair and Regeneration.</t>
        </is>
      </c>
      <c r="AA28" s="2" t="inlineStr">
        <is>
          <t>Ceramic Technology, Mechanics of Composite Materials, Mechanical Engineering, Biomimicry, 3D Printing, Additive Manufacturing, Manufacturing Engineering</t>
        </is>
      </c>
      <c r="AB28" s="2" t="inlineStr">
        <is>
          <t>Xiangjia (Cindy) Li is an Associate Professor at Arizona State University. Her research focuses on multiscale, multimaterial additive manufacturing and bioinspired design for functional materials and devices.</t>
        </is>
      </c>
      <c r="AC28" s="2" t="inlineStr">
        <is>
          <t>Ph.D. in Industrial and Systems Engineering, University of Southern California, 2019 M.S. in Computer Science, University of Southern California, 2019 M.S. in Manufacturing Engineering, Nanjing University of Aeronautics and Astronautics, 2014 B.E. in Mechanical Engineering and Automation, Nanjing University of Aeronautics and Astronautics, 2011</t>
        </is>
      </c>
      <c r="AD28" s="2" t="inlineStr">
        <is>
          <t>Advanced Manufacturing and Bio-inspired Design Lab</t>
        </is>
      </c>
      <c r="AE28" s="3">
        <f>HYPERLINK("https://www.cindyxjli.com/", "https://www.cindyxjli.com/")</f>
        <v/>
      </c>
      <c r="AF28" s="2" t="inlineStr">
        <is>
          <t>The labMI is looking for creative, motivated and energetic Ph.D., Master and Undergraduate students from diverse science and engineering field!</t>
        </is>
      </c>
      <c r="AG28" s="2" t="inlineStr"/>
      <c r="AH28" s="2" t="inlineStr"/>
      <c r="AI28" s="2" t="inlineStr">
        <is>
          <t>NSF</t>
        </is>
      </c>
      <c r="AJ28" s="2" t="inlineStr"/>
      <c r="AK28" s="2" t="inlineStr">
        <is>
          <t>Manufacturing</t>
        </is>
      </c>
      <c r="AL28" s="2" t="inlineStr">
        <is>
          <t>ERC457 551 E Tyler Mall (Tempe, AZ 85281)</t>
        </is>
      </c>
      <c r="AM28" s="2" t="b">
        <v>1</v>
      </c>
      <c r="AN28" s="3">
        <f>HYPERLINK("https://faculty.engineering.asu.edu/directory/semte/aerospace-and-mechanical-engineering/", "https://faculty.engineering.asu.edu/directory/semte/aerospace-and-mechanical-engineering/")</f>
        <v/>
      </c>
    </row>
    <row r="29">
      <c r="A29" s="2" t="inlineStr">
        <is>
          <t>Lin Li</t>
        </is>
      </c>
      <c r="B29" s="2" t="inlineStr">
        <is>
          <t>Arizona State University</t>
        </is>
      </c>
      <c r="C29" s="3">
        <f>HYPERLINK("https://search.asu.edu/profile/linli25", "https://search.asu.edu/profile/linli25")</f>
        <v/>
      </c>
      <c r="D29" s="3">
        <f>HYPERLINK("https://scholar.google.com/citations?view_op=search_authors&amp;mauthors=Lin%20Li%20Arizona%20State%20University", "Google Scholar Search")</f>
        <v/>
      </c>
      <c r="E29" s="2" t="inlineStr">
        <is>
          <t>Associate Professor</t>
        </is>
      </c>
      <c r="F29" s="2" t="inlineStr">
        <is>
          <t>Aerospace &amp; Mechanical Engineering</t>
        </is>
      </c>
      <c r="G29" s="2" t="inlineStr"/>
      <c r="H29" s="3">
        <f>HYPERLINK("mailto:Lin.Li.10@asu.edu", "Lin.Li.10@asu.edu")</f>
        <v/>
      </c>
      <c r="I29" s="2" t="n">
        <v>3</v>
      </c>
      <c r="J29" s="2" t="inlineStr">
        <is>
          <t>🟠 Tier 3: Structures / Materials / Manufacturing</t>
        </is>
      </c>
      <c r="K29" s="2" t="n">
        <v>1</v>
      </c>
      <c r="L29" s="2" t="inlineStr">
        <is>
          <t>materials</t>
        </is>
      </c>
      <c r="M29" s="2" t="inlineStr"/>
      <c r="N29" s="2" t="inlineStr"/>
      <c r="O29" s="2" t="inlineStr"/>
      <c r="P29" s="2" t="inlineStr"/>
      <c r="Q29" s="2" t="inlineStr"/>
      <c r="R29" s="2" t="inlineStr"/>
      <c r="S29" s="2" t="inlineStr"/>
      <c r="T29" s="2" t="inlineStr"/>
      <c r="U29" s="2" t="inlineStr">
        <is>
          <t>MAE 520: Stress Analysis | MAE 499: Individualized Instruction | MAE 598: Special Topics</t>
        </is>
      </c>
      <c r="V29" s="2" t="inlineStr"/>
      <c r="W29" s="2" t="inlineStr"/>
      <c r="X29" s="2" t="inlineStr"/>
      <c r="Y29" s="2" t="inlineStr"/>
      <c r="Z29" s="2" t="inlineStr"/>
      <c r="AA29" s="2" t="inlineStr"/>
      <c r="AB29" s="2" t="inlineStr">
        <is>
          <t>Li uses multiscale material mechanics models, computational and data tools to explore advanced materials for extreme environments.</t>
        </is>
      </c>
      <c r="AC29" s="2" t="inlineStr">
        <is>
          <t>PhD The Ohio State University</t>
        </is>
      </c>
      <c r="AD29" s="2" t="inlineStr"/>
      <c r="AE29" s="2" t="inlineStr"/>
      <c r="AF29" s="2" t="inlineStr"/>
      <c r="AG29" s="2" t="inlineStr"/>
      <c r="AH29" s="2" t="inlineStr"/>
      <c r="AI29" s="2" t="inlineStr"/>
      <c r="AJ29" s="2" t="inlineStr"/>
      <c r="AK29" s="2" t="inlineStr"/>
      <c r="AL29" s="2" t="inlineStr">
        <is>
          <t>Campus: Tempe</t>
        </is>
      </c>
      <c r="AM29" s="2" t="b">
        <v>1</v>
      </c>
      <c r="AN29" s="3">
        <f>HYPERLINK("https://faculty.engineering.asu.edu/directory/semte/aerospace-and-mechanical-engineering/", "https://faculty.engineering.asu.edu/directory/semte/aerospace-and-mechanical-engineering/")</f>
        <v/>
      </c>
    </row>
    <row r="30">
      <c r="A30" s="2" t="inlineStr">
        <is>
          <t>Pedro Peralta</t>
        </is>
      </c>
      <c r="B30" s="2" t="inlineStr">
        <is>
          <t>Arizona State University</t>
        </is>
      </c>
      <c r="C30" s="3">
        <f>HYPERLINK("https://search.asu.edu/profile/pperalta", "https://search.asu.edu/profile/pperalta")</f>
        <v/>
      </c>
      <c r="D30" s="3">
        <f>HYPERLINK("https://scholar.google.com/citations?view_op=search_authors&amp;mauthors=Pedro%20Peralta%20Arizona%20State%20University", "Google Scholar Search")</f>
        <v/>
      </c>
      <c r="E30" s="2" t="inlineStr">
        <is>
          <t>Professor</t>
        </is>
      </c>
      <c r="F30" s="2" t="inlineStr">
        <is>
          <t>Aerospace &amp; Mechanical Engineering</t>
        </is>
      </c>
      <c r="G30" s="2" t="inlineStr"/>
      <c r="H30" s="3">
        <f>HYPERLINK("mailto:pperalta@asu.edu", "pperalta@asu.edu")</f>
        <v/>
      </c>
      <c r="I30" s="2" t="n">
        <v>3</v>
      </c>
      <c r="J30" s="2" t="inlineStr">
        <is>
          <t>🟠 Tier 3: Structures / Materials / Manufacturing</t>
        </is>
      </c>
      <c r="K30" s="2" t="n">
        <v>1</v>
      </c>
      <c r="L30" s="2" t="inlineStr">
        <is>
          <t>materials</t>
        </is>
      </c>
      <c r="M30" s="2" t="inlineStr"/>
      <c r="N30" s="2" t="inlineStr"/>
      <c r="O30" s="2" t="inlineStr"/>
      <c r="P30" s="2" t="inlineStr"/>
      <c r="Q30" s="2" t="inlineStr"/>
      <c r="R30" s="2" t="inlineStr"/>
      <c r="S30" s="2" t="inlineStr"/>
      <c r="T30" s="2" t="inlineStr"/>
      <c r="U30" s="2" t="inlineStr">
        <is>
          <t>MAE 213: Mechanics of Materials | MAE 593: Applied Project | MAE 520: Stress Analysis</t>
        </is>
      </c>
      <c r="V30" s="2" t="inlineStr"/>
      <c r="W30" s="2" t="inlineStr"/>
      <c r="X30" s="2" t="inlineStr"/>
      <c r="Y30" s="2" t="inlineStr"/>
      <c r="Z30" s="2" t="inlineStr"/>
      <c r="AA30" s="2" t="inlineStr"/>
      <c r="AB30" s="2" t="inlineStr">
        <is>
          <t>Peralta's research focuses on mechanics of materials, fatigue and fracture of metallic alloys, dynamic and shock loading of metallic and intermetallic materials.</t>
        </is>
      </c>
      <c r="AC30" s="2" t="inlineStr">
        <is>
          <t>Ph.D. Materials Science and Engineering, University of Pennsylvania | M.S. Mechanical Engineering and Applied Mechanics, University of Pennsylvania | Bachelor’s degree. Mechanical Engineering, Universidad Simón Bolívar, Caracas, Venezuela</t>
        </is>
      </c>
      <c r="AD30" s="2" t="inlineStr"/>
      <c r="AE30" s="3">
        <f>HYPERLINK("https://faculty.engineering.asu.edu/pperalta/", "https://faculty.engineering.asu.edu/pperalta/")</f>
        <v/>
      </c>
      <c r="AF30" s="2" t="inlineStr"/>
      <c r="AG30" s="2" t="inlineStr"/>
      <c r="AH30" s="2" t="inlineStr"/>
      <c r="AI30" s="2" t="inlineStr"/>
      <c r="AJ30" s="2" t="inlineStr"/>
      <c r="AK30" s="2" t="inlineStr"/>
      <c r="AL30" s="2" t="inlineStr">
        <is>
          <t>ENGRC 352 (TEMPE, AZ 85287-6106)</t>
        </is>
      </c>
      <c r="AM30" s="2" t="b">
        <v>1</v>
      </c>
      <c r="AN30" s="3">
        <f>HYPERLINK("https://faculty.engineering.asu.edu/directory/semte/aerospace-and-mechanical-engineering/", "https://faculty.engineering.asu.edu/directory/semte/aerospace-and-mechanical-engineering/")</f>
        <v/>
      </c>
    </row>
    <row r="31">
      <c r="A31" s="2" t="inlineStr">
        <is>
          <t>Wonmo Kang</t>
        </is>
      </c>
      <c r="B31" s="2" t="inlineStr">
        <is>
          <t>Arizona State University</t>
        </is>
      </c>
      <c r="C31" s="3">
        <f>HYPERLINK("https://search.asu.edu/profile/wkang16", "https://search.asu.edu/profile/wkang16")</f>
        <v/>
      </c>
      <c r="D31" s="3">
        <f>HYPERLINK("https://scholar.google.com/citations?hl=en&amp;user=bHyyOTAAAAAJ", "Scholar (bHyyOTAAAAAJ)")</f>
        <v/>
      </c>
      <c r="E31" s="2" t="inlineStr">
        <is>
          <t>Associate Professor</t>
        </is>
      </c>
      <c r="F31" s="2" t="inlineStr">
        <is>
          <t>Aerospace &amp; Mechanical Engineering</t>
        </is>
      </c>
      <c r="G31" s="2" t="inlineStr">
        <is>
          <t>bHyyOTAAAAAJ</t>
        </is>
      </c>
      <c r="H31" s="3">
        <f>HYPERLINK("mailto:Wonmo.Kang@asu.edu", "Wonmo.Kang@asu.edu")</f>
        <v/>
      </c>
      <c r="I31" s="2" t="n">
        <v>3</v>
      </c>
      <c r="J31" s="2" t="inlineStr">
        <is>
          <t>🟠 Tier 3: Structures / Materials / Manufacturing</t>
        </is>
      </c>
      <c r="K31" s="2" t="n">
        <v>1</v>
      </c>
      <c r="L31" s="2" t="inlineStr">
        <is>
          <t>materials</t>
        </is>
      </c>
      <c r="M31" s="2" t="inlineStr"/>
      <c r="N31" s="2" t="inlineStr"/>
      <c r="O31" s="2" t="inlineStr"/>
      <c r="P31" s="2" t="inlineStr"/>
      <c r="Q31" s="2" t="inlineStr"/>
      <c r="R31" s="2" t="inlineStr">
        <is>
          <t>top of page This website was built on Wix. Create yours today. Get Started Bio &amp; Nano Lab Home Dr. Kang Lab Members Publication...</t>
        </is>
      </c>
      <c r="S31" s="2" t="inlineStr"/>
      <c r="T31" s="2" t="inlineStr"/>
      <c r="U31" s="2" t="inlineStr">
        <is>
          <t>MAE 598: Special Topics | MAE 494: Special Topics | MAE 202: Mech.Particles/Rigid Bodies II</t>
        </is>
      </c>
      <c r="V31" s="2" t="inlineStr">
        <is>
          <t>NSF Career Award through the Advanced Manufacturing (AM) program, 2024. | U.S. Air Force Research Lab Summer Faculty (AFRL) Fellowship , 2021.</t>
        </is>
      </c>
      <c r="W31" s="2" t="inlineStr"/>
      <c r="X31" s="2" t="inlineStr"/>
      <c r="Y31" s="2" t="inlineStr"/>
      <c r="Z31" s="2" t="inlineStr">
        <is>
          <t>Mechanics of Composite Materials, Micro and Nanoscale Bioengineering, Nanotechnology, Thin Film Materials</t>
        </is>
      </c>
      <c r="AA31" s="2" t="inlineStr">
        <is>
          <t>Mechanics of Composite Materials, Micro and Nanoscale Bioengineering, Nanotechnology, Thin Film Materials</t>
        </is>
      </c>
      <c r="AB31" s="2" t="inlineStr">
        <is>
          <t>Kang's current research interests include functional materials for energy/manufacturing applications and biomaterials/biomechanics for injury and wound healing mechanisms.</t>
        </is>
      </c>
      <c r="AC31" s="2" t="inlineStr">
        <is>
          <t>Ph.D. Mechanical Science and Engineering, University of Illinois at Urbana-Champaign 2012</t>
        </is>
      </c>
      <c r="AD31" s="2" t="inlineStr"/>
      <c r="AE31" s="3">
        <f>HYPERLINK("https://wonmokang3.wixsite.com/website", "https://wonmokang3.wixsite.com/website")</f>
        <v/>
      </c>
      <c r="AF31" s="2" t="inlineStr">
        <is>
          <t>Actively recruiting / Openings mentioned on lab site</t>
        </is>
      </c>
      <c r="AG31" s="2" t="inlineStr"/>
      <c r="AH31" s="2" t="inlineStr">
        <is>
          <t>SEM</t>
        </is>
      </c>
      <c r="AI31" s="2" t="inlineStr">
        <is>
          <t>NSF, ONR</t>
        </is>
      </c>
      <c r="AJ31" s="2" t="inlineStr"/>
      <c r="AK31" s="2" t="inlineStr">
        <is>
          <t>Highlighted as a cover in Small</t>
        </is>
      </c>
      <c r="AL31" s="2" t="inlineStr">
        <is>
          <t>Campus: Tempe</t>
        </is>
      </c>
      <c r="AM31" s="2" t="b">
        <v>1</v>
      </c>
      <c r="AN31" s="3">
        <f>HYPERLINK("https://faculty.engineering.asu.edu/directory/semte/aerospace-and-mechanical-engineering/", "https://faculty.engineering.asu.edu/directory/semte/aerospace-and-mechanical-engineering/")</f>
        <v/>
      </c>
    </row>
    <row r="32">
      <c r="A32" s="2" t="inlineStr">
        <is>
          <t>Jiefeng Sun</t>
        </is>
      </c>
      <c r="B32" s="2" t="inlineStr">
        <is>
          <t>Arizona State University</t>
        </is>
      </c>
      <c r="C32" s="3">
        <f>HYPERLINK("https://search.asu.edu/profile/jsun165", "https://search.asu.edu/profile/jsun165")</f>
        <v/>
      </c>
      <c r="D32" s="3">
        <f>HYPERLINK("https://scholar.google.com/citations?hl=en&amp;user=fjUoHOsAAAAJ", "Scholar (fjUoHOsAAAAJ)")</f>
        <v/>
      </c>
      <c r="E32" s="2" t="inlineStr">
        <is>
          <t>Assistant Professor</t>
        </is>
      </c>
      <c r="F32" s="2" t="inlineStr">
        <is>
          <t>Aerospace &amp; Mechanical Engineering</t>
        </is>
      </c>
      <c r="G32" s="2" t="inlineStr">
        <is>
          <t>fjUoHOsAAAAJ</t>
        </is>
      </c>
      <c r="H32" s="3">
        <f>HYPERLINK("mailto:Jiefeng.Sun@asu.edu", "Jiefeng.Sun@asu.edu")</f>
        <v/>
      </c>
      <c r="I32" s="2" t="n">
        <v>4</v>
      </c>
      <c r="J32" s="2" t="inlineStr">
        <is>
          <t>🔴 Tier 4: Robotics / Controls / Autonomy</t>
        </is>
      </c>
      <c r="K32" s="2" t="n">
        <v>6</v>
      </c>
      <c r="L32" s="2" t="inlineStr">
        <is>
          <t>aerospace, autonomous, materials, robot, robotics, smart materials</t>
        </is>
      </c>
      <c r="M32" s="2" t="inlineStr"/>
      <c r="N32" s="2" t="inlineStr"/>
      <c r="O32" s="2" t="inlineStr"/>
      <c r="P32" s="2" t="inlineStr"/>
      <c r="Q32" s="2" t="inlineStr"/>
      <c r="R32" s="2" t="inlineStr">
        <is>
          <t>2026 Versatile artificial muscles by decoupling anisotropy Eric Weissman, Rohan Khatavkar, and Jiefeng Sun Proceedings of the N...</t>
        </is>
      </c>
      <c r="S32" s="2" t="inlineStr"/>
      <c r="T32" s="2" t="inlineStr"/>
      <c r="U32" s="2" t="inlineStr">
        <is>
          <t>MAE 547: Modeling and Control of Robots | MAE 593: Applied Project | MAE 499: Individualized Instruction</t>
        </is>
      </c>
      <c r="V32" s="2" t="inlineStr"/>
      <c r="W32" s="2" t="inlineStr">
        <is>
          <t>To apply, interested candidates should submit an application to Arizona State University via https://webapp4.asu.edu/dgsadmissions/ , specifying their interest in working with Dr. Sun. Additionally, they should send an email titled “Prospective Ph.D. Student” to jiefeng.sun@asu.edu, attaching their CV and a cover letter before submitting their application. | I am seeking multiple highly motivated Master students or undergrads to conduct theses. To apply, interested candidates should fill in this form: https://forms.gle/RCwqu4wkCjhBUoFL7</t>
        </is>
      </c>
      <c r="X32" s="2" t="inlineStr"/>
      <c r="Y32" s="2" t="inlineStr"/>
      <c r="Z32" s="2" t="inlineStr">
        <is>
          <t>Hire students to conduct research https://sunroboticslab.github.io</t>
        </is>
      </c>
      <c r="AA32" s="2" t="inlineStr">
        <is>
          <t>Autonomous Technologies, Control Systems, Mechanical Engineering, Robotics</t>
        </is>
      </c>
      <c r="AB32" s="2" t="inlineStr">
        <is>
          <t>Sun's research focuses on the design, dynamics, and control of soft robots and artificial muscles</t>
        </is>
      </c>
      <c r="AC32" s="2" t="inlineStr">
        <is>
          <t>Ph.D. in Robotics and Control, Colorado State University, 2022 M.S. in Mechanical Engineering, Dalian University of Technology, 2017 B.S. in Mechanical Engineering, Lanzhou University of Technology, 2014</t>
        </is>
      </c>
      <c r="AD32" s="2" t="inlineStr">
        <is>
          <t>Sun Robotics Lab</t>
        </is>
      </c>
      <c r="AE32" s="3">
        <f>HYPERLINK("https://sunroboticslab.github.io", "https://sunroboticslab.github.io")</f>
        <v/>
      </c>
      <c r="AF32" s="2" t="inlineStr">
        <is>
          <t>I am seeking multiple highly motivated Master students or undergrads to conduct theses. To apply, interested candidates should fill in this form: https://forms.gle/RCwqu4wkCjhBUoFL7 | I am a K-12 student/teacher and would like information for a school report, tour, help with my robotics team, a research internship, etc. My students and I are very excited about using robotics as a teaching tool to encourage interest in Science, Technology, Engineering, and Math (STEM) topics. We actively involved in outreach and are have an outreach webpage to answer your questions.</t>
        </is>
      </c>
      <c r="AG32" s="2" t="inlineStr"/>
      <c r="AH32" s="2" t="inlineStr"/>
      <c r="AI32" s="2" t="inlineStr"/>
      <c r="AJ32" s="2" t="inlineStr"/>
      <c r="AK32" s="2" t="inlineStr">
        <is>
          <t>Mission and Core Values</t>
        </is>
      </c>
      <c r="AL32" s="2" t="inlineStr">
        <is>
          <t>Campus: Tempe</t>
        </is>
      </c>
      <c r="AM32" s="2" t="b">
        <v>1</v>
      </c>
      <c r="AN32" s="3">
        <f>HYPERLINK("https://faculty.engineering.asu.edu/directory/semte/aerospace-and-mechanical-engineering/", "https://faculty.engineering.asu.edu/directory/semte/aerospace-and-mechanical-engineering/")</f>
        <v/>
      </c>
    </row>
    <row r="33">
      <c r="A33" s="2" t="inlineStr">
        <is>
          <t>Kunal Garg</t>
        </is>
      </c>
      <c r="B33" s="2" t="inlineStr">
        <is>
          <t>Arizona State University</t>
        </is>
      </c>
      <c r="C33" s="3">
        <f>HYPERLINK("https://search.asu.edu/profile/kgarg24", "https://search.asu.edu/profile/kgarg24")</f>
        <v/>
      </c>
      <c r="D33" s="3">
        <f>HYPERLINK("https://scholar.google.com/citations?hl=en&amp;user=vs3pl-8AAAAJ", "Scholar (vs3pl-8AAAAJ)")</f>
        <v/>
      </c>
      <c r="E33" s="2" t="inlineStr">
        <is>
          <t>Assistant Professor</t>
        </is>
      </c>
      <c r="F33" s="2" t="inlineStr">
        <is>
          <t>Aerospace &amp; Mechanical Engineering</t>
        </is>
      </c>
      <c r="G33" s="2" t="inlineStr">
        <is>
          <t>vs3pl-8AAAAJ</t>
        </is>
      </c>
      <c r="H33" s="3">
        <f>HYPERLINK("mailto:kgarg24@asu.edu", "kgarg24@asu.edu")</f>
        <v/>
      </c>
      <c r="I33" s="2" t="n">
        <v>4</v>
      </c>
      <c r="J33" s="2" t="inlineStr">
        <is>
          <t>🔴 Tier 4: Robotics / Controls / Autonomy</t>
        </is>
      </c>
      <c r="K33" s="2" t="n">
        <v>6</v>
      </c>
      <c r="L33" s="2" t="inlineStr">
        <is>
          <t>aerospace, autonomous, control theory, motion planning, robot, robotics</t>
        </is>
      </c>
      <c r="M33" s="2" t="inlineStr"/>
      <c r="N33" s="2" t="inlineStr"/>
      <c r="O33" s="2" t="inlineStr"/>
      <c r="P33" s="2" t="inlineStr"/>
      <c r="Q33" s="2" t="inlineStr"/>
      <c r="R33" s="2" t="inlineStr">
        <is>
          <t>Search this site Embedded Files Skip to main content Skip to navigation Kunal Garg Home People Teaching Research Publications K...</t>
        </is>
      </c>
      <c r="S33" s="2" t="inlineStr"/>
      <c r="T33" s="2" t="inlineStr"/>
      <c r="U33" s="2" t="inlineStr">
        <is>
          <t>MAE 417: System Dynamics and Control II | MAE 593: Applied Project | MAE 598: Special Topics</t>
        </is>
      </c>
      <c r="V33" s="2" t="inlineStr"/>
      <c r="W33" s="2" t="inlineStr">
        <is>
          <t>More specific topics that I will be interested in working on are: Multi-agent robotics Team robotics with aerial and ground robots Learning-based methods for safe robotics Optimization-based methods for safe robotic control Reinforcement learning for multi-objective robotic applications Large-Language Models (LLMs) in robotic applications The pre-requisites and background I am looking for are as follows: Strong interests in control, autonomy, and robotics Strong mathematical background in Linear Systems and Linear Algebra, ODEs, Probability, and Calculus Programming efficiency: Python (C/C++ is optional, but will be a good add-on as we will plan to conduct hardware experiments) Hands-on experience with ML packages (PyTorch or JAX) Hands-on experience with ROS or ROS2 Email me your CV along with a one or two-page document on why you are interested in working with me, what topic(s) you are interested in working on, what motivates you to work on those, which of the pre-requisites listed above you meet, and what's your plan for meeting the rest of the requirements</t>
        </is>
      </c>
      <c r="X33" s="2" t="inlineStr"/>
      <c r="Y33" s="2" t="inlineStr"/>
      <c r="Z33" s="2" t="inlineStr">
        <is>
          <t>Distributed multi-agent motion planning and control, Provably safe control design using machine learning-based certificates, Foundation models in complex robotic tasks, Failure prediction from limited demonstrations, Human-robot interaction.</t>
        </is>
      </c>
      <c r="AA33" s="2" t="inlineStr">
        <is>
          <t>Control Systems, Dynamical Systems, Machine Learning, Nonlinear Dynamical Systems, Robotics</t>
        </is>
      </c>
      <c r="AB33" s="2" t="inlineStr">
        <is>
          <t>Garg's research interests include control synthesis for multi-agent coordination using control theory and machine learning.</t>
        </is>
      </c>
      <c r="AC33" s="2" t="inlineStr">
        <is>
          <t>PhD. Aerospace Engineering, University of Michigan, Ann Arbor, 2021 MS. Aerospace Engineering, University of Michigan, Ann Arbor, 2019 BTech. Aerospace Engineering, Indian Institute of Technology, Bombay, 2016</t>
        </is>
      </c>
      <c r="AD33" s="2" t="inlineStr">
        <is>
          <t>Safe and Autonomous Robotics (STAR) Lab</t>
        </is>
      </c>
      <c r="AE33" s="3">
        <f>HYPERLINK("https://sites.google.com/asu.edu/kunalgarg/", "https://sites.google.com/asu.edu/kunalgarg/")</f>
        <v/>
      </c>
      <c r="AF33" s="2" t="inlineStr">
        <is>
          <t>Actively seeking graduate students (see lab link/instructions)</t>
        </is>
      </c>
      <c r="AG33" s="2" t="inlineStr">
        <is>
          <t>Python, PyTorch, ROS, ROS2, C/C++, Linear Algebra</t>
        </is>
      </c>
      <c r="AH33" s="2" t="inlineStr"/>
      <c r="AI33" s="2" t="inlineStr"/>
      <c r="AJ33" s="2" t="inlineStr"/>
      <c r="AK33" s="2" t="inlineStr"/>
      <c r="AL33" s="2" t="inlineStr">
        <is>
          <t>551 E Tyler Mall ERC 475 (Tempe, AZ 85281)</t>
        </is>
      </c>
      <c r="AM33" s="2" t="b">
        <v>1</v>
      </c>
      <c r="AN33" s="3">
        <f>HYPERLINK("https://faculty.engineering.asu.edu/directory/semte/aerospace-and-mechanical-engineering/", "https://faculty.engineering.asu.edu/directory/semte/aerospace-and-mechanical-engineering/")</f>
        <v/>
      </c>
    </row>
    <row r="34">
      <c r="A34" s="2" t="inlineStr">
        <is>
          <t>Spring Berman</t>
        </is>
      </c>
      <c r="B34" s="2" t="inlineStr">
        <is>
          <t>Arizona State University</t>
        </is>
      </c>
      <c r="C34" s="3">
        <f>HYPERLINK("https://search.asu.edu/profile/smberma2", "https://search.asu.edu/profile/smberma2")</f>
        <v/>
      </c>
      <c r="D34" s="3">
        <f>HYPERLINK("https://scholar.google.com/citations?hl=en&amp;user=KKup0OgAAAAJ", "Scholar (KKup0OgAAAAJ)")</f>
        <v/>
      </c>
      <c r="E34" s="2" t="inlineStr">
        <is>
          <t>Professor</t>
        </is>
      </c>
      <c r="F34" s="2" t="inlineStr">
        <is>
          <t>Aerospace &amp; Mechanical Engineering</t>
        </is>
      </c>
      <c r="G34" s="2" t="inlineStr">
        <is>
          <t>KKup0OgAAAAJ</t>
        </is>
      </c>
      <c r="H34" s="3">
        <f>HYPERLINK("mailto:Spring.Berman@asu.edu", "Spring.Berman@asu.edu")</f>
        <v/>
      </c>
      <c r="I34" s="2" t="n">
        <v>4</v>
      </c>
      <c r="J34" s="2" t="inlineStr">
        <is>
          <t>🔴 Tier 4: Robotics / Controls / Autonomy</t>
        </is>
      </c>
      <c r="K34" s="2" t="n">
        <v>5</v>
      </c>
      <c r="L34" s="2" t="inlineStr">
        <is>
          <t>aerospace, autonomous, control theory, robot, robotics</t>
        </is>
      </c>
      <c r="M34" s="2" t="inlineStr"/>
      <c r="N34" s="2" t="inlineStr"/>
      <c r="O34" s="2" t="inlineStr"/>
      <c r="P34" s="2" t="inlineStr"/>
      <c r="Q34" s="2" t="inlineStr"/>
      <c r="R34" s="2" t="inlineStr"/>
      <c r="S34" s="2" t="inlineStr"/>
      <c r="T34" s="2" t="inlineStr"/>
      <c r="U34" s="2" t="inlineStr">
        <is>
          <t>MAE 318: System Dynamics and Control I | MAE 598: Special Topics | MAE 593: Applied Project</t>
        </is>
      </c>
      <c r="V34" s="2" t="inlineStr"/>
      <c r="W34" s="2" t="inlineStr"/>
      <c r="X34" s="2" t="inlineStr"/>
      <c r="Y34" s="2" t="inlineStr"/>
      <c r="Z34" s="2" t="inlineStr">
        <is>
          <t>Modeling, analysis, control, and optimization of multi-robot systems including robotic swarms; analysis of collective behaviors in biology and biologically-inspired control of distributed systems</t>
        </is>
      </c>
      <c r="AA34" s="2" t="inlineStr">
        <is>
          <t>Systems and Control Theory, Mechanical Engineering, Autonomous Technologies, Robotics</t>
        </is>
      </c>
      <c r="AB34" s="2" t="inlineStr">
        <is>
          <t>Dr. Berman directs the Autonomous Collective Systems Laboratory at ASU, which models and analyzes behaviors in biological and engineered collectives and designs control strategies for multi-robot systems.</t>
        </is>
      </c>
      <c r="AC34" s="2" t="inlineStr">
        <is>
          <t>Ph.D. Mechanical Engineering and Applied Mechanics, University of Pennsylvania 2010 | M.S.E. Mechanical Engineering and Applied Mechanics, University of Pennsylvania 2008 | B.S.E. Mechanical and Aerospace Engineering, Princeton University 2005 | Certificate. Robotics and Intelligent Systems, Princeton University 2005</t>
        </is>
      </c>
      <c r="AD34" s="2" t="inlineStr">
        <is>
          <t>Autonomous Collective Systems (ACS) Laboratory</t>
        </is>
      </c>
      <c r="AE34" s="3">
        <f>HYPERLINK("http://faculty.engineering.asu.edu/acs/", "http://faculty.engineering.asu.edu/acs/")</f>
        <v/>
      </c>
      <c r="AF34" s="2" t="inlineStr"/>
      <c r="AG34" s="2" t="inlineStr"/>
      <c r="AH34" s="2" t="inlineStr"/>
      <c r="AI34" s="2" t="inlineStr"/>
      <c r="AJ34" s="2" t="inlineStr"/>
      <c r="AK34" s="2" t="inlineStr"/>
      <c r="AL34" s="2" t="inlineStr">
        <is>
          <t>ENGRC 375 (Tempe, AZ 85287-6106)</t>
        </is>
      </c>
      <c r="AM34" s="2" t="b">
        <v>1</v>
      </c>
      <c r="AN34" s="3">
        <f>HYPERLINK("https://faculty.engineering.asu.edu/directory/semte/aerospace-and-mechanical-engineering/", "https://faculty.engineering.asu.edu/directory/semte/aerospace-and-mechanical-engineering/")</f>
        <v/>
      </c>
    </row>
    <row r="35">
      <c r="A35" s="2" t="inlineStr">
        <is>
          <t>Zhe Xu</t>
        </is>
      </c>
      <c r="B35" s="2" t="inlineStr">
        <is>
          <t>Arizona State University</t>
        </is>
      </c>
      <c r="C35" s="3">
        <f>HYPERLINK("https://search.asu.edu/profile/xzhe1", "https://search.asu.edu/profile/xzhe1")</f>
        <v/>
      </c>
      <c r="D35" s="3">
        <f>HYPERLINK("https://scholar.google.com/citations?view_op=search_authors&amp;mauthors=Zhe%20Xu%20Arizona%20State%20University", "Google Scholar Search")</f>
        <v/>
      </c>
      <c r="E35" s="2" t="inlineStr">
        <is>
          <t>Assistant Professor</t>
        </is>
      </c>
      <c r="F35" s="2" t="inlineStr">
        <is>
          <t>Aerospace &amp; Mechanical Engineering</t>
        </is>
      </c>
      <c r="G35" s="2" t="inlineStr"/>
      <c r="H35" s="3">
        <f>HYPERLINK("mailto:xzhe1@asu.edu", "xzhe1@asu.edu")</f>
        <v/>
      </c>
      <c r="I35" s="2" t="n">
        <v>4</v>
      </c>
      <c r="J35" s="2" t="inlineStr">
        <is>
          <t>🔴 Tier 4: Robotics / Controls / Autonomy</t>
        </is>
      </c>
      <c r="K35" s="2" t="n">
        <v>5</v>
      </c>
      <c r="L35" s="2" t="inlineStr">
        <is>
          <t>autonomous, control theory, energy systems, robot, robotics</t>
        </is>
      </c>
      <c r="M35" s="2" t="inlineStr"/>
      <c r="N35" s="2" t="inlineStr"/>
      <c r="O35" s="2" t="inlineStr"/>
      <c r="P35" s="2" t="inlineStr"/>
      <c r="Q35" s="2" t="inlineStr"/>
      <c r="R35" s="2" t="inlineStr">
        <is>
          <t>Search this site Embedded Files Skip to main content Skip to navigation Home Publications Research Teaching Group Members Outre...</t>
        </is>
      </c>
      <c r="S35" s="2" t="inlineStr"/>
      <c r="T35" s="2" t="inlineStr"/>
      <c r="U35" s="2" t="inlineStr">
        <is>
          <t>MAE 506: Adv Sys Model, Dynamic, Contrl | MAE 318: System Dynamics and Control I | MAE 593: Applied Project</t>
        </is>
      </c>
      <c r="V35" s="2" t="inlineStr"/>
      <c r="W35" s="2" t="inlineStr"/>
      <c r="X35" s="2" t="inlineStr"/>
      <c r="Y35" s="2" t="inlineStr"/>
      <c r="Z35" s="2" t="inlineStr">
        <is>
          <t>The research interests include control theory, machine learning, formal methods and autonomous systems.</t>
        </is>
      </c>
      <c r="AA35" s="2" t="inlineStr">
        <is>
          <t>Artificial Intelligence, Control Systems, Electric Power and Energy Systems, Machine Learning, Robotics, Systems and Control Theory</t>
        </is>
      </c>
      <c r="AB35" s="2" t="inlineStr">
        <is>
          <t>My research interests include control theory, formal methods, and machine learning (including reinforcement learning), with applications on autonomous systems and cyber-physical systems.</t>
        </is>
      </c>
      <c r="AC35" s="2" t="inlineStr">
        <is>
          <t>Ph.D Degree at the  Department of Electrical, Computer, and Systems Engineering  at  Rensselaer Polytechnic Institute  in 2018 | Master's Degree at the  School of electrical and information engineering  at  Tianjin University  in 2014 | Bachelor's Degree at the  School of electrical and information engineering  at  Tianjin University  in 2011</t>
        </is>
      </c>
      <c r="AD35" s="2" t="inlineStr"/>
      <c r="AE35" s="3">
        <f>HYPERLINK("https://sites.google.com/site/zhexudavid00710/research?authuser=0", "https://sites.google.com/site/zhexudavid00710/research?authuser=0")</f>
        <v/>
      </c>
      <c r="AF35" s="2" t="inlineStr"/>
      <c r="AG35" s="2" t="inlineStr"/>
      <c r="AH35" s="2" t="inlineStr"/>
      <c r="AI35" s="2" t="inlineStr"/>
      <c r="AJ35" s="2" t="inlineStr"/>
      <c r="AK35" s="2" t="inlineStr"/>
      <c r="AL35" s="2" t="inlineStr">
        <is>
          <t>Campus: Tempe</t>
        </is>
      </c>
      <c r="AM35" s="2" t="b">
        <v>1</v>
      </c>
      <c r="AN35" s="3">
        <f>HYPERLINK("https://faculty.engineering.asu.edu/directory/semte/aerospace-and-mechanical-engineering/", "https://faculty.engineering.asu.edu/directory/semte/aerospace-and-mechanical-engineering/")</f>
        <v/>
      </c>
    </row>
    <row r="36">
      <c r="A36" s="2" t="inlineStr">
        <is>
          <t>Matthew Peet</t>
        </is>
      </c>
      <c r="B36" s="2" t="inlineStr">
        <is>
          <t>Arizona State University</t>
        </is>
      </c>
      <c r="C36" s="3">
        <f>HYPERLINK("https://search.asu.edu/profile/mpeet", "https://search.asu.edu/profile/mpeet")</f>
        <v/>
      </c>
      <c r="D36" s="3">
        <f>HYPERLINK("https://scholar.google.com/citations?hl=en&amp;user=l7umOqMAAAAJ", "Scholar (l7umOqMAAAAJ)")</f>
        <v/>
      </c>
      <c r="E36" s="2" t="inlineStr">
        <is>
          <t>Associate Professor</t>
        </is>
      </c>
      <c r="F36" s="2" t="inlineStr">
        <is>
          <t>Aerospace &amp; Mechanical Engineering</t>
        </is>
      </c>
      <c r="G36" s="2" t="inlineStr">
        <is>
          <t>l7umOqMAAAAJ</t>
        </is>
      </c>
      <c r="H36" s="3">
        <f>HYPERLINK("mailto:mpeet@asu.edu", "mpeet@asu.edu")</f>
        <v/>
      </c>
      <c r="I36" s="2" t="n">
        <v>4</v>
      </c>
      <c r="J36" s="2" t="inlineStr">
        <is>
          <t>🔴 Tier 4: Robotics / Controls / Autonomy</t>
        </is>
      </c>
      <c r="K36" s="2" t="n">
        <v>4</v>
      </c>
      <c r="L36" s="2" t="inlineStr">
        <is>
          <t>aerospace, materials, spacecraft, system dynamics</t>
        </is>
      </c>
      <c r="M36" s="2" t="inlineStr"/>
      <c r="N36" s="2" t="inlineStr"/>
      <c r="O36" s="2" t="inlineStr"/>
      <c r="P36" s="2" t="inlineStr"/>
      <c r="Q36" s="2" t="inlineStr"/>
      <c r="R36" s="2" t="inlineStr"/>
      <c r="S36" s="2" t="inlineStr"/>
      <c r="T36" s="2" t="inlineStr"/>
      <c r="U36" s="2" t="inlineStr">
        <is>
          <t>MAE 593: Applied Project | MAE 318: System Dynamics and Control I | MAE 509: LMI Methods</t>
        </is>
      </c>
      <c r="V36" s="2" t="inlineStr"/>
      <c r="W36" s="2" t="inlineStr"/>
      <c r="X36" s="2" t="inlineStr"/>
      <c r="Y36" s="2" t="inlineStr"/>
      <c r="Z36" s="2" t="inlineStr">
        <is>
          <t>The intersection of computer science and control including convex optimization, artificial intelligence, and manipulation of delayed and PDE systems. The understanding and regulation of complex dynamical systems such as the motion of plasma in nuclear fusion reactors, autoregulation in the human immune response, and the motion of spacecraft in orbit.</t>
        </is>
      </c>
      <c r="AA36" s="2" t="inlineStr">
        <is>
          <t>Control Systems, Dynamical Systems Theory, Aerospace Engineering, Algorithm Development, Dynamical Systems, Nonlinear Dynamical Systems, Mathematical and System Dynamics Modeling, Immunology</t>
        </is>
      </c>
      <c r="AB36" s="2" t="inlineStr">
        <is>
          <t>Peet's current research interests are in the role of computation as it is applied to the understanding and control of complex and large-scale systems.</t>
        </is>
      </c>
      <c r="AC36" s="2" t="inlineStr">
        <is>
          <t>Ph.D. Aeronautics and Astronautics, Stanford University 2006 | Bachelor's degree. Physics, University of Texas-Austin 1999 | Bachelor's degree. Aerospace Engineering, University of Texas-Austin 1999</t>
        </is>
      </c>
      <c r="AD36" s="2" t="inlineStr">
        <is>
          <t>Cybernetic Systems and Controls Laboratory (CSCL)</t>
        </is>
      </c>
      <c r="AE36" s="3">
        <f>HYPERLINK("http://control.asu.edu/", "http://control.asu.edu/")</f>
        <v/>
      </c>
      <c r="AF36" s="2" t="inlineStr"/>
      <c r="AG36" s="2" t="inlineStr"/>
      <c r="AH36" s="2" t="inlineStr"/>
      <c r="AI36" s="2" t="inlineStr"/>
      <c r="AJ36" s="2" t="inlineStr"/>
      <c r="AK36" s="2" t="inlineStr"/>
      <c r="AL36" s="2" t="inlineStr">
        <is>
          <t>ENGRC 253 (Tempe, AZ 85287-6106)</t>
        </is>
      </c>
      <c r="AM36" s="2" t="b">
        <v>1</v>
      </c>
      <c r="AN36" s="3">
        <f>HYPERLINK("https://faculty.engineering.asu.edu/directory/semte/aerospace-and-mechanical-engineering/", "https://faculty.engineering.asu.edu/directory/semte/aerospace-and-mechanical-engineering/")</f>
        <v/>
      </c>
    </row>
    <row r="37">
      <c r="A37" s="2" t="inlineStr">
        <is>
          <t>Hamidreza Marvi</t>
        </is>
      </c>
      <c r="B37" s="2" t="inlineStr">
        <is>
          <t>Arizona State University</t>
        </is>
      </c>
      <c r="C37" s="3">
        <f>HYPERLINK("https://search.asu.edu/profile/hmarvi", "https://search.asu.edu/profile/hmarvi")</f>
        <v/>
      </c>
      <c r="D37" s="3">
        <f>HYPERLINK("https://scholar.google.com/citations?hl=en&amp;user=00Fepb0AAAAJ", "Scholar (00Fepb0AAAAJ)")</f>
        <v/>
      </c>
      <c r="E37" s="2" t="inlineStr">
        <is>
          <t>Associate Professor</t>
        </is>
      </c>
      <c r="F37" s="2" t="inlineStr">
        <is>
          <t>Aerospace &amp; Mechanical Engineering</t>
        </is>
      </c>
      <c r="G37" s="2" t="inlineStr">
        <is>
          <t>00Fepb0AAAAJ</t>
        </is>
      </c>
      <c r="H37" s="3">
        <f>HYPERLINK("mailto:hmarvi@asu.edu", "hmarvi@asu.edu")</f>
        <v/>
      </c>
      <c r="I37" s="2" t="n">
        <v>4</v>
      </c>
      <c r="J37" s="2" t="inlineStr">
        <is>
          <t>🔴 Tier 4: Robotics / Controls / Autonomy</t>
        </is>
      </c>
      <c r="K37" s="2" t="n">
        <v>3</v>
      </c>
      <c r="L37" s="2" t="inlineStr">
        <is>
          <t>aerospace, robot, robotics</t>
        </is>
      </c>
      <c r="M37" s="2" t="inlineStr"/>
      <c r="N37" s="2" t="inlineStr"/>
      <c r="O37" s="2" t="inlineStr"/>
      <c r="P37" s="2" t="inlineStr"/>
      <c r="Q37" s="2" t="inlineStr"/>
      <c r="R37" s="2" t="inlineStr">
        <is>
          <t>Shape-programmable magnetic soft matter,</t>
        </is>
      </c>
      <c r="S37" s="2" t="inlineStr"/>
      <c r="T37" s="2" t="inlineStr"/>
      <c r="U37" s="2" t="inlineStr">
        <is>
          <t>MAE 417: System Dynamics and Control II | MAE 598: Special Topics | MAE 547: Modeling and Control of Robots</t>
        </is>
      </c>
      <c r="V37" s="2" t="inlineStr">
        <is>
          <t>KEEN Professorship, The Kern Family Foundation, 2017. | Peebles Award for Graduate Student Research in Adhesion Science, Adhesion Society, 2015.</t>
        </is>
      </c>
      <c r="W37" s="2" t="inlineStr"/>
      <c r="X37" s="2" t="inlineStr"/>
      <c r="Y37" s="2" t="inlineStr"/>
      <c r="Z37" s="2" t="inlineStr">
        <is>
          <t>Bio-inspired robotics Soft robotics Magnetic micro-robotics Mechanics of animal locomotion</t>
        </is>
      </c>
      <c r="AA37" s="2" t="inlineStr"/>
      <c r="AB37" s="2" t="inlineStr">
        <is>
          <t>Marvi would like to develop bio-inspired robotic systems and programmable interfacial structures for search and rescue, exploratory and medical applications.</t>
        </is>
      </c>
      <c r="AC37" s="2" t="inlineStr">
        <is>
          <t>Ph.D. Mechanical Engineering, Georgia Institute of Technology, Atlanta 2013 | M.S. Mechanical Engineering, Clemson University, SC 2009 | M.S. Biomedical Engineering, Sharif University of Technology, Tehran, Iran 2007 | B.S. Mechanical Engineering, Iran University of Science and Technology, Tehran 2004</t>
        </is>
      </c>
      <c r="AD37" s="2" t="inlineStr">
        <is>
          <t>Bio-Inspired Robotics, Technology, and Healthcare Laboratory (BIRTH Lab)</t>
        </is>
      </c>
      <c r="AE37" s="3">
        <f>HYPERLINK("http://birth.asu.edu", "http://birth.asu.edu")</f>
        <v/>
      </c>
      <c r="AF37" s="2" t="inlineStr"/>
      <c r="AG37" s="2" t="inlineStr"/>
      <c r="AH37" s="2" t="inlineStr"/>
      <c r="AI37" s="2" t="inlineStr"/>
      <c r="AJ37" s="2" t="inlineStr"/>
      <c r="AK37" s="2" t="inlineStr"/>
      <c r="AL37" s="2" t="inlineStr">
        <is>
          <t>Campus: Tempe</t>
        </is>
      </c>
      <c r="AM37" s="2" t="b">
        <v>1</v>
      </c>
      <c r="AN37" s="3">
        <f>HYPERLINK("https://faculty.engineering.asu.edu/directory/semte/aerospace-and-mechanical-engineering/", "https://faculty.engineering.asu.edu/directory/semte/aerospace-and-mechanical-engineering/")</f>
        <v/>
      </c>
    </row>
    <row r="38">
      <c r="A38" s="2" t="inlineStr">
        <is>
          <t>Hyunglae Lee</t>
        </is>
      </c>
      <c r="B38" s="2" t="inlineStr">
        <is>
          <t>Arizona State University</t>
        </is>
      </c>
      <c r="C38" s="3">
        <f>HYPERLINK("https://search.asu.edu/profile/hlee234", "https://search.asu.edu/profile/hlee234")</f>
        <v/>
      </c>
      <c r="D38" s="3">
        <f>HYPERLINK("https://scholar.google.com/citations?view_op=search_authors&amp;mauthors=Hyunglae%20Lee%20Arizona%20State%20University", "Google Scholar Search")</f>
        <v/>
      </c>
      <c r="E38" s="2" t="inlineStr">
        <is>
          <t>Associate Professor</t>
        </is>
      </c>
      <c r="F38" s="2" t="inlineStr">
        <is>
          <t>Aerospace &amp; Mechanical Engineering</t>
        </is>
      </c>
      <c r="G38" s="2" t="inlineStr"/>
      <c r="H38" s="3">
        <f>HYPERLINK("mailto:Hyunglae.Lee@asu.edu", "Hyunglae.Lee@asu.edu")</f>
        <v/>
      </c>
      <c r="I38" s="2" t="n">
        <v>4</v>
      </c>
      <c r="J38" s="2" t="inlineStr">
        <is>
          <t>🔴 Tier 4: Robotics / Controls / Autonomy</t>
        </is>
      </c>
      <c r="K38" s="2" t="n">
        <v>3</v>
      </c>
      <c r="L38" s="2" t="inlineStr">
        <is>
          <t>aerospace, robot, robotics</t>
        </is>
      </c>
      <c r="M38" s="2" t="inlineStr"/>
      <c r="N38" s="2" t="inlineStr"/>
      <c r="O38" s="2" t="inlineStr"/>
      <c r="P38" s="2" t="inlineStr"/>
      <c r="Q38" s="2" t="inlineStr"/>
      <c r="R38" s="2" t="inlineStr"/>
      <c r="S38" s="2" t="inlineStr"/>
      <c r="T38" s="2" t="inlineStr"/>
      <c r="U38" s="2" t="inlineStr">
        <is>
          <t>MAE 598: Special Topics | MAE 417: System Dynamics and Control II | MAE 593: Applied Project</t>
        </is>
      </c>
      <c r="V38" s="2" t="inlineStr"/>
      <c r="W38" s="2" t="inlineStr"/>
      <c r="X38" s="2" t="inlineStr"/>
      <c r="Y38" s="2" t="inlineStr"/>
      <c r="Z38" s="2" t="inlineStr"/>
      <c r="AA38" s="2" t="inlineStr"/>
      <c r="AB38" s="2" t="inlineStr">
        <is>
          <t>Lee's research interests include physical human-robot interaction, neuromuscular control of human movement, robot-aided neurorehabilitation, bio-inspired robotics and system identification for physiological systems.</t>
        </is>
      </c>
      <c r="AC38" s="2" t="inlineStr">
        <is>
          <t>B.S. Mechanical and Aerospace Engineering, Seoul National University (2002) M.S. Mechanical and Aerospace Engineering, Seoul National University (2004) Ph.D Mechanical Engineering, Massachusetts Institute of Technology (2013)</t>
        </is>
      </c>
      <c r="AD38" s="2" t="inlineStr"/>
      <c r="AE38" s="3">
        <f>HYPERLINK("https://faculty.engineering.asu.edu/hlee", "https://faculty.engineering.asu.edu/hlee")</f>
        <v/>
      </c>
      <c r="AF38" s="2" t="inlineStr"/>
      <c r="AG38" s="2" t="inlineStr"/>
      <c r="AH38" s="2" t="inlineStr"/>
      <c r="AI38" s="2" t="inlineStr"/>
      <c r="AJ38" s="2" t="inlineStr"/>
      <c r="AK38" s="2" t="inlineStr"/>
      <c r="AL38" s="2" t="inlineStr">
        <is>
          <t>Campus: Tempe</t>
        </is>
      </c>
      <c r="AM38" s="2" t="b">
        <v>1</v>
      </c>
      <c r="AN38" s="3">
        <f>HYPERLINK("https://faculty.engineering.asu.edu/directory/semte/aerospace-and-mechanical-engineering/", "https://faculty.engineering.asu.edu/directory/semte/aerospace-and-mechanical-engineering/")</f>
        <v/>
      </c>
    </row>
    <row r="39">
      <c r="A39" s="2" t="inlineStr">
        <is>
          <t>Huei-Ping Huang</t>
        </is>
      </c>
      <c r="B39" s="2" t="inlineStr">
        <is>
          <t>Arizona State University</t>
        </is>
      </c>
      <c r="C39" s="3">
        <f>HYPERLINK("https://search.asu.edu/profile/hhuang38", "https://search.asu.edu/profile/hhuang38")</f>
        <v/>
      </c>
      <c r="D39" s="3">
        <f>HYPERLINK("https://scholar.google.com/citations?view_op=search_authors&amp;mauthors=Huei-Ping%20Huang%20Arizona%20State%20University", "Google Scholar Search")</f>
        <v/>
      </c>
      <c r="E39" s="2" t="inlineStr">
        <is>
          <t>Associate Professor</t>
        </is>
      </c>
      <c r="F39" s="2" t="inlineStr">
        <is>
          <t>Aerospace &amp; Mechanical Engineering</t>
        </is>
      </c>
      <c r="G39" s="2" t="inlineStr"/>
      <c r="H39" s="3">
        <f>HYPERLINK("mailto:Huei-Ping.Huang@asu.edu", "Huei-Ping.Huang@asu.edu")</f>
        <v/>
      </c>
      <c r="I39" s="2" t="n">
        <v>4</v>
      </c>
      <c r="J39" s="2" t="inlineStr">
        <is>
          <t>🔴 Tier 4: Robotics / Controls / Autonomy</t>
        </is>
      </c>
      <c r="K39" s="2" t="n">
        <v>2</v>
      </c>
      <c r="L39" s="2" t="inlineStr">
        <is>
          <t>aerospace, fluid dynamics</t>
        </is>
      </c>
      <c r="M39" s="2" t="inlineStr"/>
      <c r="N39" s="2" t="inlineStr"/>
      <c r="O39" s="2" t="inlineStr"/>
      <c r="P39" s="2" t="inlineStr"/>
      <c r="Q39" s="2" t="inlineStr"/>
      <c r="R39" s="2" t="inlineStr"/>
      <c r="S39" s="2" t="inlineStr"/>
      <c r="T39" s="2" t="inlineStr"/>
      <c r="U39" s="2" t="inlineStr">
        <is>
          <t>MAE 502: Partial Diff Equations Engr | MAE 460: Applied Comput Fluid Dynamics | MAE 593: Applied Project</t>
        </is>
      </c>
      <c r="V39" s="2" t="inlineStr"/>
      <c r="W39" s="2" t="inlineStr"/>
      <c r="X39" s="2" t="inlineStr"/>
      <c r="Y39" s="2" t="inlineStr"/>
      <c r="Z39" s="2" t="inlineStr"/>
      <c r="AA39" s="2" t="inlineStr"/>
      <c r="AB39" s="2" t="inlineStr">
        <is>
          <t>Huang's research interests are geophysical and environmental fluid dynamics, numerical simulation of atmospheric and oceanic flows, Earth system remote sensing, and climate change.</t>
        </is>
      </c>
      <c r="AC39" s="2" t="inlineStr">
        <is>
          <t>Ph.D. University of Illinois-Urbana-Champaign 1997 | M.S. National Taiwan University 1989 | B.S. National Central University,Taiwan 1987</t>
        </is>
      </c>
      <c r="AD39" s="2" t="inlineStr"/>
      <c r="AE39" s="3">
        <f>HYPERLINK("http://www.public.asu.edu/~hhuang38", "http://www.public.asu.edu/~hhuang38")</f>
        <v/>
      </c>
      <c r="AF39" s="2" t="inlineStr"/>
      <c r="AG39" s="2" t="inlineStr"/>
      <c r="AH39" s="2" t="inlineStr"/>
      <c r="AI39" s="2" t="inlineStr"/>
      <c r="AJ39" s="2" t="inlineStr"/>
      <c r="AK39" s="2" t="inlineStr">
        <is>
          <t>Log in to www_public</t>
        </is>
      </c>
      <c r="AL39" s="2" t="inlineStr">
        <is>
          <t>ENGRC 359 (Tempe, AZ 85287-6106)</t>
        </is>
      </c>
      <c r="AM39" s="2" t="b">
        <v>1</v>
      </c>
      <c r="AN39" s="3">
        <f>HYPERLINK("https://faculty.engineering.asu.edu/directory/semte/aerospace-and-mechanical-engineering/", "https://faculty.engineering.asu.edu/directory/semte/aerospace-and-mechanical-engineering/")</f>
        <v/>
      </c>
    </row>
    <row r="40">
      <c r="A40" s="2" t="inlineStr">
        <is>
          <t>Wanxin Jin</t>
        </is>
      </c>
      <c r="B40" s="2" t="inlineStr">
        <is>
          <t>Arizona State University</t>
        </is>
      </c>
      <c r="C40" s="3">
        <f>HYPERLINK("https://search.asu.edu/profile/wjin34", "https://search.asu.edu/profile/wjin34")</f>
        <v/>
      </c>
      <c r="D40" s="3">
        <f>HYPERLINK("https://scholar.google.com/citations?hl=en&amp;user=SoEC4h4AAAAJ", "Scholar (SoEC4h4AAAAJ)")</f>
        <v/>
      </c>
      <c r="E40" s="2" t="inlineStr">
        <is>
          <t>Assistant Professor</t>
        </is>
      </c>
      <c r="F40" s="2" t="inlineStr">
        <is>
          <t>Aerospace &amp; Mechanical Engineering</t>
        </is>
      </c>
      <c r="G40" s="2" t="inlineStr">
        <is>
          <t>SoEC4h4AAAAJ</t>
        </is>
      </c>
      <c r="H40" s="3">
        <f>HYPERLINK("mailto:wjin@asu.edu", "wjin@asu.edu")</f>
        <v/>
      </c>
      <c r="I40" s="2" t="n">
        <v>4</v>
      </c>
      <c r="J40" s="2" t="inlineStr">
        <is>
          <t>🔴 Tier 4: Robotics / Controls / Autonomy</t>
        </is>
      </c>
      <c r="K40" s="2" t="n">
        <v>2</v>
      </c>
      <c r="L40" s="2" t="inlineStr">
        <is>
          <t>robot, robotics</t>
        </is>
      </c>
      <c r="M40" s="2" t="inlineStr"/>
      <c r="N40" s="2" t="inlineStr"/>
      <c r="O40" s="2" t="inlineStr"/>
      <c r="P40" s="2" t="inlineStr"/>
      <c r="Q40" s="2" t="inlineStr"/>
      <c r="R40" s="2" t="inlineStr">
        <is>
          <t>Below are selected papers that represent our main research threads. Please visit Publications for the full list. Contact-rich i...</t>
        </is>
      </c>
      <c r="S40" s="2" t="inlineStr"/>
      <c r="T40" s="2" t="inlineStr"/>
      <c r="U40" s="2" t="inlineStr">
        <is>
          <t>MAE 301: Applied Experimental Statistic | MAE 593: Applied Project | MAE 547: Modeling and Control of Robots</t>
        </is>
      </c>
      <c r="V40" s="2" t="inlineStr"/>
      <c r="W40" s="2" t="inlineStr">
        <is>
          <t>If you are interested, please email Dr. Wanxin Jin with your CV, transcript, and a brief description of your research interests. In your email, please mention the topics you are interested in, your relevant background, and whether you are looking for thesis research, independent study, an applied project, hourly research work, or volunteer research experience. | If you are interested, please submit this form: https://forms.gle/Yo5mQcwTrogHTgu77 . If there is a potential fit, you should expect to be contacted within one week; if you do not hear back, please email wjin@asu.edu for follow-up.</t>
        </is>
      </c>
      <c r="X40" s="2" t="inlineStr"/>
      <c r="Y40" s="2" t="inlineStr"/>
      <c r="Z40" s="2" t="inlineStr">
        <is>
          <t>https://irislab.tech/</t>
        </is>
      </c>
      <c r="AA40" s="2" t="inlineStr"/>
      <c r="AB40" s="2" t="inlineStr">
        <is>
          <t>Jin's research includes robotics, control and machine learning, with a focus on the autonomy of robots interacting with humans and objects.</t>
        </is>
      </c>
      <c r="AC40" s="2" t="inlineStr">
        <is>
          <t>Ph.D., Purdue University 2021 | Master of Science, Harbin Institute of Technology, 2016 | Bachelor of Engineering, Harbin Institute of Technology, 2014</t>
        </is>
      </c>
      <c r="AD40" s="2" t="inlineStr">
        <is>
          <t>Intelligent Robotics and Interactive Systems Lab (IRIS Lab)</t>
        </is>
      </c>
      <c r="AE40" s="3">
        <f>HYPERLINK("https://irislab.tech/", "https://irislab.tech/")</f>
        <v/>
      </c>
      <c r="AF40" s="2" t="inlineStr">
        <is>
          <t>ASU undergraduate and master students are welcome to join IRIS Lab research projects in robotics, embodied AI, vision and perception, robot learning, control, and autonomy. Students interested in a thesis, independent study, or sustained applied research project are especially encouraged to reach out. | If you are interested, please email Dr. Wanxin Jin with your CV, transcript, and a brief description of your research interests. In your email, please mention the topics you are interested in, your relevant background, and whether you are looking for thesis research, independent study, an applied project, hourly research work, or volunteer research experience.</t>
        </is>
      </c>
      <c r="AG40" s="2" t="inlineStr"/>
      <c r="AH40" s="2" t="inlineStr"/>
      <c r="AI40" s="2" t="inlineStr">
        <is>
          <t>NSF</t>
        </is>
      </c>
      <c r="AJ40" s="3">
        <f>HYPERLINK("https://github.com/asu-iris", "https://github.com/asu-iris")</f>
        <v/>
      </c>
      <c r="AK40" s="2" t="inlineStr">
        <is>
          <t>Recent Updates</t>
        </is>
      </c>
      <c r="AL40" s="2" t="inlineStr">
        <is>
          <t>Campus: Tempe</t>
        </is>
      </c>
      <c r="AM40" s="2" t="b">
        <v>1</v>
      </c>
      <c r="AN40" s="3">
        <f>HYPERLINK("https://faculty.engineering.asu.edu/directory/semte/aerospace-and-mechanical-engineering/", "https://faculty.engineering.asu.edu/directory/semte/aerospace-and-mechanical-engineering/")</f>
        <v/>
      </c>
    </row>
    <row r="41">
      <c r="A41" s="2" t="inlineStr">
        <is>
          <t>James Middleton</t>
        </is>
      </c>
      <c r="B41" s="2" t="inlineStr">
        <is>
          <t>Arizona State University</t>
        </is>
      </c>
      <c r="C41" s="3">
        <f>HYPERLINK("https://search.asu.edu/profile/jimbo", "https://search.asu.edu/profile/jimbo")</f>
        <v/>
      </c>
      <c r="D41" s="3">
        <f>HYPERLINK("https://scholar.google.com/citations?view_op=search_authors&amp;mauthors=James%20Middleton%20Arizona%20State%20University", "Google Scholar Search")</f>
        <v/>
      </c>
      <c r="E41" s="2" t="inlineStr">
        <is>
          <t>Professor</t>
        </is>
      </c>
      <c r="F41" s="2" t="inlineStr">
        <is>
          <t>Aerospace &amp; Mechanical Engineering</t>
        </is>
      </c>
      <c r="G41" s="2" t="inlineStr"/>
      <c r="H41" s="3">
        <f>HYPERLINK("mailto:jimbo@asu.edu", "jimbo@asu.edu")</f>
        <v/>
      </c>
      <c r="I41" s="2" t="n">
        <v>4</v>
      </c>
      <c r="J41" s="2" t="inlineStr">
        <is>
          <t>🔴 Tier 4: Robotics / Controls / Autonomy</t>
        </is>
      </c>
      <c r="K41" s="2" t="n">
        <v>1</v>
      </c>
      <c r="L41" s="2" t="inlineStr">
        <is>
          <t>aerospace</t>
        </is>
      </c>
      <c r="M41" s="2" t="inlineStr"/>
      <c r="N41" s="2" t="inlineStr"/>
      <c r="O41" s="2" t="inlineStr"/>
      <c r="P41" s="2" t="inlineStr"/>
      <c r="Q41" s="2" t="inlineStr"/>
      <c r="R41" s="2" t="inlineStr">
        <is>
          <t>Journal Articles Middleton, J. A. (in press). Archimedes, Euler, &amp; Nursing Cats: Rethinking the Arithmetic Mean. OnCore,</t>
        </is>
      </c>
      <c r="S41" s="2" t="inlineStr"/>
      <c r="T41" s="2" t="inlineStr"/>
      <c r="U41" s="2" t="inlineStr">
        <is>
          <t>MAE 484: Internship | MAE 301: Applied Experimental Statistic | MAE 394: Special Topics</t>
        </is>
      </c>
      <c r="V41" s="2" t="inlineStr"/>
      <c r="W41" s="2" t="inlineStr"/>
      <c r="X41" s="2" t="inlineStr"/>
      <c r="Y41" s="2" t="inlineStr"/>
      <c r="Z41" s="2" t="inlineStr">
        <is>
          <t>Student learning of mathematical concepts. Motivation and mathematics learning. Teacher change. Applications of technology to mathematics teaching and learning.</t>
        </is>
      </c>
      <c r="AA41" s="2" t="inlineStr"/>
      <c r="AB41" s="2" t="inlineStr">
        <is>
          <t>Middleton’s research interests focus in the following areas where he has published extensively: children’s mathematical thinking; teacher and student motivation in mathematics; and teacher change in mathematics.</t>
        </is>
      </c>
      <c r="AC41" s="2" t="inlineStr">
        <is>
          <t>Ph.D. Educational Psychology, University of Wisconsin-Madison 1992</t>
        </is>
      </c>
      <c r="AD41" s="2" t="inlineStr"/>
      <c r="AE41" s="2" t="inlineStr"/>
      <c r="AF41" s="2" t="inlineStr"/>
      <c r="AG41" s="2" t="inlineStr"/>
      <c r="AH41" s="2" t="inlineStr"/>
      <c r="AI41" s="2" t="inlineStr"/>
      <c r="AJ41" s="2" t="inlineStr"/>
      <c r="AK41" s="2" t="inlineStr"/>
      <c r="AL41" s="2" t="inlineStr">
        <is>
          <t>ENGRC 381 (TEMPE, AZ 85287-6106)</t>
        </is>
      </c>
      <c r="AM41" s="2" t="b">
        <v>1</v>
      </c>
      <c r="AN41" s="3">
        <f>HYPERLINK("https://faculty.engineering.asu.edu/directory/semte/aerospace-and-mechanical-engineering/", "https://faculty.engineering.asu.edu/directory/semte/aerospace-and-mechanical-engineering/")</f>
        <v/>
      </c>
    </row>
    <row r="42">
      <c r="A42" s="2" t="inlineStr">
        <is>
          <t>Marc Mignolet</t>
        </is>
      </c>
      <c r="B42" s="2" t="inlineStr">
        <is>
          <t>Arizona State University</t>
        </is>
      </c>
      <c r="C42" s="3">
        <f>HYPERLINK("https://search.asu.edu/profile/marc03", "https://search.asu.edu/profile/marc03")</f>
        <v/>
      </c>
      <c r="D42" s="3">
        <f>HYPERLINK("https://scholar.google.com/citations?view_op=search_authors&amp;mauthors=Marc%20Mignolet%20Arizona%20State%20University", "Google Scholar Search")</f>
        <v/>
      </c>
      <c r="E42" s="2" t="inlineStr">
        <is>
          <t>Professor</t>
        </is>
      </c>
      <c r="F42" s="2" t="inlineStr">
        <is>
          <t>Aerospace &amp; Mechanical Engineering</t>
        </is>
      </c>
      <c r="G42" s="2" t="inlineStr"/>
      <c r="H42" s="3">
        <f>HYPERLINK("mailto:marc.mignolet@asu.edu", "marc.mignolet@asu.edu")</f>
        <v/>
      </c>
      <c r="I42" s="2" t="n">
        <v>4</v>
      </c>
      <c r="J42" s="2" t="inlineStr">
        <is>
          <t>🔴 Tier 4: Robotics / Controls / Autonomy</t>
        </is>
      </c>
      <c r="K42" s="2" t="n">
        <v>1</v>
      </c>
      <c r="L42" s="2" t="inlineStr">
        <is>
          <t>aerospace</t>
        </is>
      </c>
      <c r="M42" s="2" t="inlineStr"/>
      <c r="N42" s="2" t="inlineStr"/>
      <c r="O42" s="2" t="inlineStr"/>
      <c r="P42" s="2" t="inlineStr"/>
      <c r="Q42" s="2" t="inlineStr"/>
      <c r="R42" s="2" t="inlineStr"/>
      <c r="S42" s="2" t="inlineStr"/>
      <c r="T42" s="2" t="inlineStr"/>
      <c r="U42" s="2" t="inlineStr">
        <is>
          <t>MAE 510: Dynamics and Vibrations | MAE 591: Seminar | MAE 394: Special Topics</t>
        </is>
      </c>
      <c r="V42" s="2" t="inlineStr"/>
      <c r="W42" s="2" t="inlineStr"/>
      <c r="X42" s="2" t="inlineStr"/>
      <c r="Y42" s="2" t="inlineStr"/>
      <c r="Z42" s="2" t="inlineStr"/>
      <c r="AA42" s="2" t="inlineStr"/>
      <c r="AB42" s="2" t="inlineStr">
        <is>
          <t>Mignolet's research interests include structural dynamics, vibrations, modeling of uncertainty in structures and stochastic multiscale analyses.</t>
        </is>
      </c>
      <c r="AC42" s="2" t="inlineStr">
        <is>
          <t>Ph.D. Rice University 1987</t>
        </is>
      </c>
      <c r="AD42" s="2" t="inlineStr"/>
      <c r="AE42" s="2" t="inlineStr"/>
      <c r="AF42" s="2" t="inlineStr"/>
      <c r="AG42" s="2" t="inlineStr"/>
      <c r="AH42" s="2" t="inlineStr"/>
      <c r="AI42" s="2" t="inlineStr"/>
      <c r="AJ42" s="2" t="inlineStr"/>
      <c r="AK42" s="2" t="inlineStr"/>
      <c r="AL42" s="2" t="inlineStr">
        <is>
          <t>ENGRC 411 (TEMPE, AZ 85287-6106)</t>
        </is>
      </c>
      <c r="AM42" s="2" t="b">
        <v>1</v>
      </c>
      <c r="AN42" s="3">
        <f>HYPERLINK("https://faculty.engineering.asu.edu/directory/semte/aerospace-and-mechanical-engineering/", "https://faculty.engineering.asu.edu/directory/semte/aerospace-and-mechanical-engineering/")</f>
        <v/>
      </c>
    </row>
    <row r="43">
      <c r="A43" s="2" t="inlineStr">
        <is>
          <t>Yi Ren</t>
        </is>
      </c>
      <c r="B43" s="2" t="inlineStr">
        <is>
          <t>Arizona State University</t>
        </is>
      </c>
      <c r="C43" s="3">
        <f>HYPERLINK("https://search.asu.edu/profile/yren32", "https://search.asu.edu/profile/yren32")</f>
        <v/>
      </c>
      <c r="D43" s="3">
        <f>HYPERLINK("https://scholar.google.com/citations?view_op=search_authors&amp;mauthors=Yi%20Ren%20Arizona%20State%20University", "Google Scholar Search")</f>
        <v/>
      </c>
      <c r="E43" s="2" t="inlineStr">
        <is>
          <t>Associate Professor</t>
        </is>
      </c>
      <c r="F43" s="2" t="inlineStr">
        <is>
          <t>Aerospace &amp; Mechanical Engineering</t>
        </is>
      </c>
      <c r="G43" s="2" t="inlineStr"/>
      <c r="H43" s="3">
        <f>HYPERLINK("mailto:yiren@asu.edu", "yiren@asu.edu")</f>
        <v/>
      </c>
      <c r="I43" s="2" t="n">
        <v>4</v>
      </c>
      <c r="J43" s="2" t="inlineStr">
        <is>
          <t>🔴 Tier 4: Robotics / Controls / Autonomy</t>
        </is>
      </c>
      <c r="K43" s="2" t="n">
        <v>1</v>
      </c>
      <c r="L43" s="2" t="inlineStr">
        <is>
          <t>aerospace</t>
        </is>
      </c>
      <c r="M43" s="2" t="inlineStr"/>
      <c r="N43" s="2" t="inlineStr"/>
      <c r="O43" s="2" t="inlineStr"/>
      <c r="P43" s="2" t="inlineStr"/>
      <c r="Q43" s="2" t="inlineStr"/>
      <c r="R43" s="2" t="inlineStr"/>
      <c r="S43" s="2" t="inlineStr"/>
      <c r="T43" s="2" t="inlineStr"/>
      <c r="U43" s="2" t="inlineStr">
        <is>
          <t>MAE 494: Special Topics | MAE 598: Special Topics | MAE 301: Applied Experimental Statistic</t>
        </is>
      </c>
      <c r="V43" s="2" t="inlineStr"/>
      <c r="W43" s="2" t="inlineStr"/>
      <c r="X43" s="2" t="inlineStr"/>
      <c r="Y43" s="2" t="inlineStr"/>
      <c r="Z43" s="2" t="inlineStr"/>
      <c r="AA43" s="2" t="inlineStr"/>
      <c r="AB43" s="2" t="inlineStr">
        <is>
          <t>Ren’s current research interests include optimization, product/configuration design, human-computer interaction and machine learning.</t>
        </is>
      </c>
      <c r="AC43" s="2" t="inlineStr">
        <is>
          <t>Ph.D. Mechanical Engineering, University of Michigan 2011 | M.S. Mechanical Engineering, University of Michigan 2009 | B.S. Automative Engineering, Tsinghua University, China 2007</t>
        </is>
      </c>
      <c r="AD43" s="2" t="inlineStr"/>
      <c r="AE43" s="2" t="inlineStr"/>
      <c r="AF43" s="2" t="inlineStr"/>
      <c r="AG43" s="2" t="inlineStr"/>
      <c r="AH43" s="2" t="inlineStr"/>
      <c r="AI43" s="2" t="inlineStr"/>
      <c r="AJ43" s="2" t="inlineStr"/>
      <c r="AK43" s="2" t="inlineStr"/>
      <c r="AL43" s="2" t="inlineStr">
        <is>
          <t>GWC 464 (Tempe, AZ 85287-6106)</t>
        </is>
      </c>
      <c r="AM43" s="2" t="b">
        <v>1</v>
      </c>
      <c r="AN43" s="3">
        <f>HYPERLINK("https://faculty.engineering.asu.edu/directory/semte/aerospace-and-mechanical-engineering/", "https://faculty.engineering.asu.edu/directory/semte/aerospace-and-mechanical-engineering/")</f>
        <v/>
      </c>
    </row>
    <row r="44">
      <c r="A44" s="2" t="inlineStr">
        <is>
          <t>Derrick Speaks</t>
        </is>
      </c>
      <c r="B44" s="2" t="inlineStr">
        <is>
          <t>Arizona State University</t>
        </is>
      </c>
      <c r="C44" s="3">
        <f>HYPERLINK("https://search.asu.edu/profile/dspeaks2", "https://search.asu.edu/profile/dspeaks2")</f>
        <v/>
      </c>
      <c r="D44" s="3">
        <f>HYPERLINK("https://scholar.google.com/citations?view_op=search_authors&amp;mauthors=Derrick%20Speaks%20Arizona%20State%20University", "Google Scholar Search")</f>
        <v/>
      </c>
      <c r="E44" s="2" t="inlineStr">
        <is>
          <t>Assistant Teaching Professor</t>
        </is>
      </c>
      <c r="F44" s="2" t="inlineStr">
        <is>
          <t>Aerospace &amp; Mechanical Engineering</t>
        </is>
      </c>
      <c r="G44" s="2" t="inlineStr"/>
      <c r="H44" s="3">
        <f>HYPERLINK("mailto:Derrick.Speaks@asu.edu", "Derrick.Speaks@asu.edu")</f>
        <v/>
      </c>
      <c r="I44" s="2" t="n">
        <v>4</v>
      </c>
      <c r="J44" s="2" t="inlineStr">
        <is>
          <t>🔴 Tier 4: Robotics / Controls / Autonomy</t>
        </is>
      </c>
      <c r="K44" s="2" t="n">
        <v>0</v>
      </c>
      <c r="L44" s="2" t="inlineStr"/>
      <c r="M44" s="2" t="inlineStr"/>
      <c r="N44" s="2" t="inlineStr"/>
      <c r="O44" s="2" t="inlineStr"/>
      <c r="P44" s="2" t="inlineStr"/>
      <c r="Q44" s="2" t="inlineStr"/>
      <c r="R44" s="2" t="inlineStr"/>
      <c r="S44" s="2" t="inlineStr"/>
      <c r="T44" s="2" t="inlineStr"/>
      <c r="U44" s="2" t="inlineStr">
        <is>
          <t>MAE 242: Intro to Fluid Mechanics | MAE 301: Applied Experimental Statistic | MAE 241: Intro to Thermodynamics</t>
        </is>
      </c>
      <c r="V44" s="2" t="inlineStr"/>
      <c r="W44" s="2" t="inlineStr"/>
      <c r="X44" s="2" t="inlineStr"/>
      <c r="Y44" s="2" t="inlineStr"/>
      <c r="Z44" s="2" t="inlineStr"/>
      <c r="AA44" s="2" t="inlineStr"/>
      <c r="AB44" s="2" t="inlineStr"/>
      <c r="AC44" s="2" t="inlineStr"/>
      <c r="AD44" s="2" t="inlineStr"/>
      <c r="AE44" s="2" t="inlineStr"/>
      <c r="AF44" s="2" t="inlineStr"/>
      <c r="AG44" s="2" t="inlineStr"/>
      <c r="AH44" s="2" t="inlineStr"/>
      <c r="AI44" s="2" t="inlineStr"/>
      <c r="AJ44" s="2" t="inlineStr"/>
      <c r="AK44" s="2" t="inlineStr"/>
      <c r="AL44" s="2" t="inlineStr">
        <is>
          <t>Campus: Tempe</t>
        </is>
      </c>
      <c r="AM44" s="2" t="b">
        <v>0</v>
      </c>
      <c r="AN44" s="3">
        <f>HYPERLINK("https://faculty.engineering.asu.edu/directory/semte/aerospace-and-mechanical-engineering/", "https://faculty.engineering.asu.edu/directory/semte/aerospace-and-mechanical-engineering/")</f>
        <v/>
      </c>
    </row>
    <row r="45">
      <c r="A45" s="2" t="inlineStr">
        <is>
          <t>Erik Andersen</t>
        </is>
      </c>
      <c r="B45" s="2" t="inlineStr">
        <is>
          <t>Arizona State University</t>
        </is>
      </c>
      <c r="C45" s="3">
        <f>HYPERLINK("https://search.asu.edu/profile/ejande22", "https://search.asu.edu/profile/ejande22")</f>
        <v/>
      </c>
      <c r="D45" s="3">
        <f>HYPERLINK("https://scholar.google.com/citations?view_op=search_authors&amp;mauthors=Erik%20Andersen%20Arizona%20State%20University", "Google Scholar Search")</f>
        <v/>
      </c>
      <c r="E45" s="2" t="inlineStr">
        <is>
          <t>Professor</t>
        </is>
      </c>
      <c r="F45" s="2" t="inlineStr">
        <is>
          <t>Aerospace &amp; Mechanical Engineering</t>
        </is>
      </c>
      <c r="G45" s="2" t="inlineStr"/>
      <c r="H45" s="3">
        <f>HYPERLINK("mailto:Erik.J.Andersen@asu.edu", "Erik.J.Andersen@asu.edu")</f>
        <v/>
      </c>
      <c r="I45" s="2" t="n">
        <v>4</v>
      </c>
      <c r="J45" s="2" t="inlineStr">
        <is>
          <t>🔴 Tier 4: Robotics / Controls / Autonomy</t>
        </is>
      </c>
      <c r="K45" s="2" t="n">
        <v>0</v>
      </c>
      <c r="L45" s="2" t="inlineStr"/>
      <c r="M45" s="2" t="inlineStr"/>
      <c r="N45" s="2" t="inlineStr"/>
      <c r="O45" s="2" t="inlineStr"/>
      <c r="P45" s="2" t="inlineStr"/>
      <c r="Q45" s="2" t="inlineStr"/>
      <c r="R45" s="2" t="inlineStr"/>
      <c r="S45" s="2" t="inlineStr"/>
      <c r="T45" s="2" t="inlineStr"/>
      <c r="U45" s="2" t="inlineStr">
        <is>
          <t>MAE 301: Applied Experimental Statistic | MAE 202: Mech.Particles/Rigid Bodies II | MAE 417: System Dynamics and Control II</t>
        </is>
      </c>
      <c r="V45" s="2" t="inlineStr"/>
      <c r="W45" s="2" t="inlineStr"/>
      <c r="X45" s="2" t="inlineStr"/>
      <c r="Y45" s="2" t="inlineStr"/>
      <c r="Z45" s="2" t="inlineStr"/>
      <c r="AA45" s="2" t="inlineStr"/>
      <c r="AB45" s="2" t="inlineStr"/>
      <c r="AC45" s="2" t="inlineStr">
        <is>
          <t>Ph.D. in Mechanical Engineering 2022 - University of Utah B.S./M.S.in Mechanical Engineering 2018 - University of Utah</t>
        </is>
      </c>
      <c r="AD45" s="2" t="inlineStr"/>
      <c r="AE45" s="2" t="inlineStr"/>
      <c r="AF45" s="2" t="inlineStr"/>
      <c r="AG45" s="2" t="inlineStr"/>
      <c r="AH45" s="2" t="inlineStr"/>
      <c r="AI45" s="2" t="inlineStr"/>
      <c r="AJ45" s="2" t="inlineStr"/>
      <c r="AK45" s="2" t="inlineStr"/>
      <c r="AL45" s="2" t="inlineStr">
        <is>
          <t>Campus: Otherus</t>
        </is>
      </c>
      <c r="AM45" s="2" t="b">
        <v>0</v>
      </c>
      <c r="AN45" s="3">
        <f>HYPERLINK("https://faculty.engineering.asu.edu/directory/semte/aerospace-and-mechanical-engineering/", "https://faculty.engineering.asu.edu/directory/semte/aerospace-and-mechanical-engineering/")</f>
        <v/>
      </c>
    </row>
    <row r="46">
      <c r="A46" s="2" t="inlineStr">
        <is>
          <t>Ivy Chang</t>
        </is>
      </c>
      <c r="B46" s="2" t="inlineStr">
        <is>
          <t>Arizona State University</t>
        </is>
      </c>
      <c r="C46" s="3">
        <f>HYPERLINK("https://search.asu.edu/profile/iychang", "https://search.asu.edu/profile/iychang")</f>
        <v/>
      </c>
      <c r="D46" s="3">
        <f>HYPERLINK("https://scholar.google.com/citations?view_op=search_authors&amp;mauthors=Ivy%20Chang%20Arizona%20State%20University", "Google Scholar Search")</f>
        <v/>
      </c>
      <c r="E46" s="2" t="inlineStr">
        <is>
          <t>Assistant Teaching Professor</t>
        </is>
      </c>
      <c r="F46" s="2" t="inlineStr">
        <is>
          <t>Aerospace &amp; Mechanical Engineering</t>
        </is>
      </c>
      <c r="G46" s="2" t="inlineStr"/>
      <c r="H46" s="3">
        <f>HYPERLINK("mailto:Ivy.Chang@asu.edu", "Ivy.Chang@asu.edu")</f>
        <v/>
      </c>
      <c r="I46" s="2" t="n">
        <v>4</v>
      </c>
      <c r="J46" s="2" t="inlineStr">
        <is>
          <t>🔴 Tier 4: Robotics / Controls / Autonomy</t>
        </is>
      </c>
      <c r="K46" s="2" t="n">
        <v>0</v>
      </c>
      <c r="L46" s="2" t="inlineStr"/>
      <c r="M46" s="2" t="inlineStr"/>
      <c r="N46" s="2" t="inlineStr"/>
      <c r="O46" s="2" t="inlineStr"/>
      <c r="P46" s="2" t="inlineStr"/>
      <c r="Q46" s="2" t="inlineStr"/>
      <c r="R46" s="2" t="inlineStr"/>
      <c r="S46" s="2" t="inlineStr"/>
      <c r="T46" s="2" t="inlineStr"/>
      <c r="U46" s="2" t="inlineStr">
        <is>
          <t>MAE 318: System Dynamics and Control I | MAE 417: System Dynamics and Control II | MAE 215: Intro to Programming in MATLAB</t>
        </is>
      </c>
      <c r="V46" s="2" t="inlineStr"/>
      <c r="W46" s="2" t="inlineStr"/>
      <c r="X46" s="2" t="inlineStr"/>
      <c r="Y46" s="2" t="inlineStr"/>
      <c r="Z46" s="2" t="inlineStr"/>
      <c r="AA46" s="2" t="inlineStr"/>
      <c r="AB46" s="2" t="inlineStr"/>
      <c r="AC46" s="2" t="inlineStr"/>
      <c r="AD46" s="2" t="inlineStr"/>
      <c r="AE46" s="2" t="inlineStr"/>
      <c r="AF46" s="2" t="inlineStr"/>
      <c r="AG46" s="2" t="inlineStr"/>
      <c r="AH46" s="2" t="inlineStr"/>
      <c r="AI46" s="2" t="inlineStr"/>
      <c r="AJ46" s="2" t="inlineStr"/>
      <c r="AK46" s="2" t="inlineStr"/>
      <c r="AL46" s="2" t="inlineStr">
        <is>
          <t>Campus: Tempe</t>
        </is>
      </c>
      <c r="AM46" s="2" t="b">
        <v>0</v>
      </c>
      <c r="AN46" s="3">
        <f>HYPERLINK("https://faculty.engineering.asu.edu/directory/semte/aerospace-and-mechanical-engineering/", "https://faculty.engineering.asu.edu/directory/semte/aerospace-and-mechanical-engineering/")</f>
        <v/>
      </c>
    </row>
    <row r="47">
      <c r="A47" s="2" t="inlineStr">
        <is>
          <t>Joshua Wilbur</t>
        </is>
      </c>
      <c r="B47" s="2" t="inlineStr">
        <is>
          <t>Arizona State University</t>
        </is>
      </c>
      <c r="C47" s="3">
        <f>HYPERLINK("https://search.asu.edu/profile/jdwilbu1", "https://search.asu.edu/profile/jdwilbu1")</f>
        <v/>
      </c>
      <c r="D47" s="3">
        <f>HYPERLINK("https://scholar.google.com/citations?view_op=search_authors&amp;mauthors=Joshua%20Wilbur%20Arizona%20State%20University", "Google Scholar Search")</f>
        <v/>
      </c>
      <c r="E47" s="2" t="inlineStr">
        <is>
          <t>Associate Teaching Professor</t>
        </is>
      </c>
      <c r="F47" s="2" t="inlineStr">
        <is>
          <t>Aerospace &amp; Mechanical Engineering</t>
        </is>
      </c>
      <c r="G47" s="2" t="inlineStr"/>
      <c r="H47" s="3">
        <f>HYPERLINK("mailto:Joshua.Wilbur@asu.edu", "Joshua.Wilbur@asu.edu")</f>
        <v/>
      </c>
      <c r="I47" s="2" t="n">
        <v>4</v>
      </c>
      <c r="J47" s="2" t="inlineStr">
        <is>
          <t>🔴 Tier 4: Robotics / Controls / Autonomy</t>
        </is>
      </c>
      <c r="K47" s="2" t="n">
        <v>0</v>
      </c>
      <c r="L47" s="2" t="inlineStr"/>
      <c r="M47" s="2" t="inlineStr"/>
      <c r="N47" s="2" t="inlineStr"/>
      <c r="O47" s="2" t="inlineStr"/>
      <c r="P47" s="2" t="inlineStr"/>
      <c r="Q47" s="2" t="inlineStr"/>
      <c r="R47" s="2" t="inlineStr"/>
      <c r="S47" s="2" t="inlineStr"/>
      <c r="T47" s="2" t="inlineStr"/>
      <c r="U47" s="2" t="inlineStr">
        <is>
          <t>MAE 241: Intro to Thermodynamics | MAE 215: Intro to Programming in MATLAB | MAE 384: Adv Math Methods for Engineers</t>
        </is>
      </c>
      <c r="V47" s="2" t="inlineStr"/>
      <c r="W47" s="2" t="inlineStr"/>
      <c r="X47" s="2" t="inlineStr"/>
      <c r="Y47" s="2" t="inlineStr"/>
      <c r="Z47" s="2" t="inlineStr"/>
      <c r="AA47" s="2" t="inlineStr"/>
      <c r="AB47" s="2" t="inlineStr"/>
      <c r="AC47" s="2" t="inlineStr"/>
      <c r="AD47" s="2" t="inlineStr"/>
      <c r="AE47" s="2" t="inlineStr"/>
      <c r="AF47" s="2" t="inlineStr"/>
      <c r="AG47" s="2" t="inlineStr"/>
      <c r="AH47" s="2" t="inlineStr"/>
      <c r="AI47" s="2" t="inlineStr"/>
      <c r="AJ47" s="2" t="inlineStr"/>
      <c r="AK47" s="2" t="inlineStr"/>
      <c r="AL47" s="2" t="inlineStr">
        <is>
          <t>Campus: Tempe</t>
        </is>
      </c>
      <c r="AM47" s="2" t="b">
        <v>0</v>
      </c>
      <c r="AN47" s="3">
        <f>HYPERLINK("https://faculty.engineering.asu.edu/directory/semte/aerospace-and-mechanical-engineering/", "https://faculty.engineering.asu.edu/directory/semte/aerospace-and-mechanical-engineering/")</f>
        <v/>
      </c>
    </row>
    <row r="48">
      <c r="A48" s="2" t="inlineStr">
        <is>
          <t>Ricardo Cruz Lozano</t>
        </is>
      </c>
      <c r="B48" s="2" t="inlineStr">
        <is>
          <t>Arizona State University</t>
        </is>
      </c>
      <c r="C48" s="3">
        <f>HYPERLINK("https://search.asu.edu/profile/rcruzloz", "https://search.asu.edu/profile/rcruzloz")</f>
        <v/>
      </c>
      <c r="D48" s="3">
        <f>HYPERLINK("https://scholar.google.com/citations?view_op=search_authors&amp;mauthors=Ricardo%20Cruz%20Lozano%20Arizona%20State%20University", "Google Scholar Search")</f>
        <v/>
      </c>
      <c r="E48" s="2" t="inlineStr">
        <is>
          <t>Assistant Teaching Professor</t>
        </is>
      </c>
      <c r="F48" s="2" t="inlineStr">
        <is>
          <t>Aerospace &amp; Mechanical Engineering</t>
        </is>
      </c>
      <c r="G48" s="2" t="inlineStr"/>
      <c r="H48" s="3">
        <f>HYPERLINK("mailto:Ricardo.Cruz.Lozano@asu.edu", "Ricardo.Cruz.Lozano@asu.edu")</f>
        <v/>
      </c>
      <c r="I48" s="2" t="n">
        <v>4</v>
      </c>
      <c r="J48" s="2" t="inlineStr">
        <is>
          <t>🔴 Tier 4: Robotics / Controls / Autonomy</t>
        </is>
      </c>
      <c r="K48" s="2" t="n">
        <v>0</v>
      </c>
      <c r="L48" s="2" t="inlineStr"/>
      <c r="M48" s="2" t="inlineStr"/>
      <c r="N48" s="2" t="inlineStr"/>
      <c r="O48" s="2" t="inlineStr"/>
      <c r="P48" s="2" t="inlineStr"/>
      <c r="Q48" s="2" t="inlineStr"/>
      <c r="R48" s="2" t="inlineStr"/>
      <c r="S48" s="2" t="inlineStr"/>
      <c r="T48" s="2" t="inlineStr"/>
      <c r="U48" s="2" t="inlineStr">
        <is>
          <t>MAE 201: Mech. Particles/Rigid Bodies I | MAE 214: Computer-Aided Engineering I | MAE 202: Mech.Particles/Rigid Bodies II</t>
        </is>
      </c>
      <c r="V48" s="2" t="inlineStr"/>
      <c r="W48" s="2" t="inlineStr"/>
      <c r="X48" s="2" t="inlineStr"/>
      <c r="Y48" s="2" t="inlineStr"/>
      <c r="Z48" s="2" t="inlineStr"/>
      <c r="AA48" s="2" t="inlineStr"/>
      <c r="AB48" s="2" t="inlineStr"/>
      <c r="AC48" s="2" t="inlineStr"/>
      <c r="AD48" s="2" t="inlineStr"/>
      <c r="AE48" s="2" t="inlineStr"/>
      <c r="AF48" s="2" t="inlineStr"/>
      <c r="AG48" s="2" t="inlineStr"/>
      <c r="AH48" s="2" t="inlineStr"/>
      <c r="AI48" s="2" t="inlineStr"/>
      <c r="AJ48" s="2" t="inlineStr"/>
      <c r="AK48" s="2" t="inlineStr"/>
      <c r="AL48" s="2" t="inlineStr">
        <is>
          <t>Campus: Tempe</t>
        </is>
      </c>
      <c r="AM48" s="2" t="b">
        <v>0</v>
      </c>
      <c r="AN48" s="3">
        <f>HYPERLINK("https://faculty.engineering.asu.edu/directory/semte/aerospace-and-mechanical-engineering/", "https://faculty.engineering.asu.edu/directory/semte/aerospace-and-mechanical-engineering/")</f>
        <v/>
      </c>
    </row>
    <row r="49">
      <c r="A49" s="2" t="inlineStr">
        <is>
          <t>Srinivas Chakravarthi Kosaraju</t>
        </is>
      </c>
      <c r="B49" s="2" t="inlineStr">
        <is>
          <t>Arizona State University</t>
        </is>
      </c>
      <c r="C49" s="3">
        <f>HYPERLINK("https://search.asu.edu/profile/skosara2", "https://search.asu.edu/profile/skosara2")</f>
        <v/>
      </c>
      <c r="D49" s="3">
        <f>HYPERLINK("https://scholar.google.com/citations?view_op=search_authors&amp;mauthors=Srinivas%20Chakravarthi%20Kosaraju%20Arizona%20State%20University", "Google Scholar Search")</f>
        <v/>
      </c>
      <c r="E49" s="2" t="inlineStr">
        <is>
          <t>Teaching Professor</t>
        </is>
      </c>
      <c r="F49" s="2" t="inlineStr">
        <is>
          <t>Aerospace &amp; Mechanical Engineering</t>
        </is>
      </c>
      <c r="G49" s="2" t="inlineStr"/>
      <c r="H49" s="3">
        <f>HYPERLINK("mailto:Srinivas.Kosaraju@asu.edu", "Srinivas.Kosaraju@asu.edu")</f>
        <v/>
      </c>
      <c r="I49" s="2" t="n">
        <v>4</v>
      </c>
      <c r="J49" s="2" t="inlineStr">
        <is>
          <t>🔴 Tier 4: Robotics / Controls / Autonomy</t>
        </is>
      </c>
      <c r="K49" s="2" t="n">
        <v>0</v>
      </c>
      <c r="L49" s="2" t="inlineStr"/>
      <c r="M49" s="2" t="inlineStr"/>
      <c r="N49" s="2" t="inlineStr"/>
      <c r="O49" s="2" t="inlineStr"/>
      <c r="P49" s="2" t="inlineStr"/>
      <c r="Q49" s="2" t="inlineStr"/>
      <c r="R49" s="2" t="inlineStr"/>
      <c r="S49" s="2" t="inlineStr"/>
      <c r="T49" s="2" t="inlineStr"/>
      <c r="U49" s="2" t="inlineStr">
        <is>
          <t>MAE 570: Intermediate Thermodynamics | MAE 400: Engineering Profession | MAE 494: Special Topics</t>
        </is>
      </c>
      <c r="V49" s="2" t="inlineStr"/>
      <c r="W49" s="2" t="inlineStr"/>
      <c r="X49" s="2" t="inlineStr"/>
      <c r="Y49" s="2" t="inlineStr"/>
      <c r="Z49" s="2" t="inlineStr"/>
      <c r="AA49" s="2" t="inlineStr"/>
      <c r="AB49" s="2" t="inlineStr"/>
      <c r="AC49" s="2" t="inlineStr"/>
      <c r="AD49" s="2" t="inlineStr"/>
      <c r="AE49" s="2" t="inlineStr"/>
      <c r="AF49" s="2" t="inlineStr"/>
      <c r="AG49" s="2" t="inlineStr"/>
      <c r="AH49" s="2" t="inlineStr"/>
      <c r="AI49" s="2" t="inlineStr"/>
      <c r="AJ49" s="2" t="inlineStr"/>
      <c r="AK49" s="2" t="inlineStr"/>
      <c r="AL49" s="2" t="inlineStr">
        <is>
          <t>Campus: Tempe</t>
        </is>
      </c>
      <c r="AM49" s="2" t="b">
        <v>0</v>
      </c>
      <c r="AN49" s="3">
        <f>HYPERLINK("https://faculty.engineering.asu.edu/directory/semte/aerospace-and-mechanical-engineering/", "https://faculty.engineering.asu.edu/directory/semte/aerospace-and-mechanical-engineering/")</f>
        <v/>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H2" r:id="rId3"/>
    <hyperlink xmlns:r="http://schemas.openxmlformats.org/officeDocument/2006/relationships" ref="N2" r:id="rId4"/>
    <hyperlink xmlns:r="http://schemas.openxmlformats.org/officeDocument/2006/relationships" ref="AE2" r:id="rId5"/>
    <hyperlink xmlns:r="http://schemas.openxmlformats.org/officeDocument/2006/relationships" ref="AJ2" r:id="rId6"/>
    <hyperlink xmlns:r="http://schemas.openxmlformats.org/officeDocument/2006/relationships" ref="AN2" r:id="rId7"/>
    <hyperlink xmlns:r="http://schemas.openxmlformats.org/officeDocument/2006/relationships" ref="C3" r:id="rId8"/>
    <hyperlink xmlns:r="http://schemas.openxmlformats.org/officeDocument/2006/relationships" ref="D3" r:id="rId9"/>
    <hyperlink xmlns:r="http://schemas.openxmlformats.org/officeDocument/2006/relationships" ref="H3" r:id="rId10"/>
    <hyperlink xmlns:r="http://schemas.openxmlformats.org/officeDocument/2006/relationships" ref="N3" r:id="rId11"/>
    <hyperlink xmlns:r="http://schemas.openxmlformats.org/officeDocument/2006/relationships" ref="AN3" r:id="rId12"/>
    <hyperlink xmlns:r="http://schemas.openxmlformats.org/officeDocument/2006/relationships" ref="C4" r:id="rId13"/>
    <hyperlink xmlns:r="http://schemas.openxmlformats.org/officeDocument/2006/relationships" ref="D4" r:id="rId14"/>
    <hyperlink xmlns:r="http://schemas.openxmlformats.org/officeDocument/2006/relationships" ref="H4" r:id="rId15"/>
    <hyperlink xmlns:r="http://schemas.openxmlformats.org/officeDocument/2006/relationships" ref="N4" r:id="rId16"/>
    <hyperlink xmlns:r="http://schemas.openxmlformats.org/officeDocument/2006/relationships" ref="AN4" r:id="rId17"/>
    <hyperlink xmlns:r="http://schemas.openxmlformats.org/officeDocument/2006/relationships" ref="C5" r:id="rId18"/>
    <hyperlink xmlns:r="http://schemas.openxmlformats.org/officeDocument/2006/relationships" ref="D5" r:id="rId19"/>
    <hyperlink xmlns:r="http://schemas.openxmlformats.org/officeDocument/2006/relationships" ref="H5" r:id="rId20"/>
    <hyperlink xmlns:r="http://schemas.openxmlformats.org/officeDocument/2006/relationships" ref="N5" r:id="rId21"/>
    <hyperlink xmlns:r="http://schemas.openxmlformats.org/officeDocument/2006/relationships" ref="AE5" r:id="rId22"/>
    <hyperlink xmlns:r="http://schemas.openxmlformats.org/officeDocument/2006/relationships" ref="AN5" r:id="rId23"/>
    <hyperlink xmlns:r="http://schemas.openxmlformats.org/officeDocument/2006/relationships" ref="C6" r:id="rId24"/>
    <hyperlink xmlns:r="http://schemas.openxmlformats.org/officeDocument/2006/relationships" ref="D6" r:id="rId25"/>
    <hyperlink xmlns:r="http://schemas.openxmlformats.org/officeDocument/2006/relationships" ref="H6" r:id="rId26"/>
    <hyperlink xmlns:r="http://schemas.openxmlformats.org/officeDocument/2006/relationships" ref="N6" r:id="rId27"/>
    <hyperlink xmlns:r="http://schemas.openxmlformats.org/officeDocument/2006/relationships" ref="AE6" r:id="rId28"/>
    <hyperlink xmlns:r="http://schemas.openxmlformats.org/officeDocument/2006/relationships" ref="AN6" r:id="rId29"/>
    <hyperlink xmlns:r="http://schemas.openxmlformats.org/officeDocument/2006/relationships" ref="C7" r:id="rId30"/>
    <hyperlink xmlns:r="http://schemas.openxmlformats.org/officeDocument/2006/relationships" ref="D7" r:id="rId31"/>
    <hyperlink xmlns:r="http://schemas.openxmlformats.org/officeDocument/2006/relationships" ref="H7" r:id="rId32"/>
    <hyperlink xmlns:r="http://schemas.openxmlformats.org/officeDocument/2006/relationships" ref="N7" r:id="rId33"/>
    <hyperlink xmlns:r="http://schemas.openxmlformats.org/officeDocument/2006/relationships" ref="AN7" r:id="rId34"/>
    <hyperlink xmlns:r="http://schemas.openxmlformats.org/officeDocument/2006/relationships" ref="C8" r:id="rId35"/>
    <hyperlink xmlns:r="http://schemas.openxmlformats.org/officeDocument/2006/relationships" ref="D8" r:id="rId36"/>
    <hyperlink xmlns:r="http://schemas.openxmlformats.org/officeDocument/2006/relationships" ref="H8" r:id="rId37"/>
    <hyperlink xmlns:r="http://schemas.openxmlformats.org/officeDocument/2006/relationships" ref="N8" r:id="rId38"/>
    <hyperlink xmlns:r="http://schemas.openxmlformats.org/officeDocument/2006/relationships" ref="AN8" r:id="rId39"/>
    <hyperlink xmlns:r="http://schemas.openxmlformats.org/officeDocument/2006/relationships" ref="C9" r:id="rId40"/>
    <hyperlink xmlns:r="http://schemas.openxmlformats.org/officeDocument/2006/relationships" ref="D9" r:id="rId41"/>
    <hyperlink xmlns:r="http://schemas.openxmlformats.org/officeDocument/2006/relationships" ref="H9" r:id="rId42"/>
    <hyperlink xmlns:r="http://schemas.openxmlformats.org/officeDocument/2006/relationships" ref="N9" r:id="rId43"/>
    <hyperlink xmlns:r="http://schemas.openxmlformats.org/officeDocument/2006/relationships" ref="AE9" r:id="rId44"/>
    <hyperlink xmlns:r="http://schemas.openxmlformats.org/officeDocument/2006/relationships" ref="AN9" r:id="rId45"/>
    <hyperlink xmlns:r="http://schemas.openxmlformats.org/officeDocument/2006/relationships" ref="C10" r:id="rId46"/>
    <hyperlink xmlns:r="http://schemas.openxmlformats.org/officeDocument/2006/relationships" ref="D10" r:id="rId47"/>
    <hyperlink xmlns:r="http://schemas.openxmlformats.org/officeDocument/2006/relationships" ref="H10" r:id="rId48"/>
    <hyperlink xmlns:r="http://schemas.openxmlformats.org/officeDocument/2006/relationships" ref="N10" r:id="rId49"/>
    <hyperlink xmlns:r="http://schemas.openxmlformats.org/officeDocument/2006/relationships" ref="AN10" r:id="rId50"/>
    <hyperlink xmlns:r="http://schemas.openxmlformats.org/officeDocument/2006/relationships" ref="C11" r:id="rId51"/>
    <hyperlink xmlns:r="http://schemas.openxmlformats.org/officeDocument/2006/relationships" ref="D11" r:id="rId52"/>
    <hyperlink xmlns:r="http://schemas.openxmlformats.org/officeDocument/2006/relationships" ref="H11" r:id="rId53"/>
    <hyperlink xmlns:r="http://schemas.openxmlformats.org/officeDocument/2006/relationships" ref="N11" r:id="rId54"/>
    <hyperlink xmlns:r="http://schemas.openxmlformats.org/officeDocument/2006/relationships" ref="AE11" r:id="rId55"/>
    <hyperlink xmlns:r="http://schemas.openxmlformats.org/officeDocument/2006/relationships" ref="AN11" r:id="rId56"/>
    <hyperlink xmlns:r="http://schemas.openxmlformats.org/officeDocument/2006/relationships" ref="C12" r:id="rId57"/>
    <hyperlink xmlns:r="http://schemas.openxmlformats.org/officeDocument/2006/relationships" ref="D12" r:id="rId58"/>
    <hyperlink xmlns:r="http://schemas.openxmlformats.org/officeDocument/2006/relationships" ref="H12" r:id="rId59"/>
    <hyperlink xmlns:r="http://schemas.openxmlformats.org/officeDocument/2006/relationships" ref="N12" r:id="rId60"/>
    <hyperlink xmlns:r="http://schemas.openxmlformats.org/officeDocument/2006/relationships" ref="AE12" r:id="rId61"/>
    <hyperlink xmlns:r="http://schemas.openxmlformats.org/officeDocument/2006/relationships" ref="AN12" r:id="rId62"/>
    <hyperlink xmlns:r="http://schemas.openxmlformats.org/officeDocument/2006/relationships" ref="C13" r:id="rId63"/>
    <hyperlink xmlns:r="http://schemas.openxmlformats.org/officeDocument/2006/relationships" ref="D13" r:id="rId64"/>
    <hyperlink xmlns:r="http://schemas.openxmlformats.org/officeDocument/2006/relationships" ref="H13" r:id="rId65"/>
    <hyperlink xmlns:r="http://schemas.openxmlformats.org/officeDocument/2006/relationships" ref="AE13" r:id="rId66"/>
    <hyperlink xmlns:r="http://schemas.openxmlformats.org/officeDocument/2006/relationships" ref="AN13" r:id="rId67"/>
    <hyperlink xmlns:r="http://schemas.openxmlformats.org/officeDocument/2006/relationships" ref="C14" r:id="rId68"/>
    <hyperlink xmlns:r="http://schemas.openxmlformats.org/officeDocument/2006/relationships" ref="D14" r:id="rId69"/>
    <hyperlink xmlns:r="http://schemas.openxmlformats.org/officeDocument/2006/relationships" ref="H14" r:id="rId70"/>
    <hyperlink xmlns:r="http://schemas.openxmlformats.org/officeDocument/2006/relationships" ref="AE14" r:id="rId71"/>
    <hyperlink xmlns:r="http://schemas.openxmlformats.org/officeDocument/2006/relationships" ref="AN14" r:id="rId72"/>
    <hyperlink xmlns:r="http://schemas.openxmlformats.org/officeDocument/2006/relationships" ref="C15" r:id="rId73"/>
    <hyperlink xmlns:r="http://schemas.openxmlformats.org/officeDocument/2006/relationships" ref="D15" r:id="rId74"/>
    <hyperlink xmlns:r="http://schemas.openxmlformats.org/officeDocument/2006/relationships" ref="H15" r:id="rId75"/>
    <hyperlink xmlns:r="http://schemas.openxmlformats.org/officeDocument/2006/relationships" ref="AN15" r:id="rId76"/>
    <hyperlink xmlns:r="http://schemas.openxmlformats.org/officeDocument/2006/relationships" ref="C16" r:id="rId77"/>
    <hyperlink xmlns:r="http://schemas.openxmlformats.org/officeDocument/2006/relationships" ref="D16" r:id="rId78"/>
    <hyperlink xmlns:r="http://schemas.openxmlformats.org/officeDocument/2006/relationships" ref="H16" r:id="rId79"/>
    <hyperlink xmlns:r="http://schemas.openxmlformats.org/officeDocument/2006/relationships" ref="AN16" r:id="rId80"/>
    <hyperlink xmlns:r="http://schemas.openxmlformats.org/officeDocument/2006/relationships" ref="C17" r:id="rId81"/>
    <hyperlink xmlns:r="http://schemas.openxmlformats.org/officeDocument/2006/relationships" ref="D17" r:id="rId82"/>
    <hyperlink xmlns:r="http://schemas.openxmlformats.org/officeDocument/2006/relationships" ref="H17" r:id="rId83"/>
    <hyperlink xmlns:r="http://schemas.openxmlformats.org/officeDocument/2006/relationships" ref="AE17" r:id="rId84"/>
    <hyperlink xmlns:r="http://schemas.openxmlformats.org/officeDocument/2006/relationships" ref="AN17" r:id="rId85"/>
    <hyperlink xmlns:r="http://schemas.openxmlformats.org/officeDocument/2006/relationships" ref="C18" r:id="rId86"/>
    <hyperlink xmlns:r="http://schemas.openxmlformats.org/officeDocument/2006/relationships" ref="D18" r:id="rId87"/>
    <hyperlink xmlns:r="http://schemas.openxmlformats.org/officeDocument/2006/relationships" ref="H18" r:id="rId88"/>
    <hyperlink xmlns:r="http://schemas.openxmlformats.org/officeDocument/2006/relationships" ref="AN18" r:id="rId89"/>
    <hyperlink xmlns:r="http://schemas.openxmlformats.org/officeDocument/2006/relationships" ref="C19" r:id="rId90"/>
    <hyperlink xmlns:r="http://schemas.openxmlformats.org/officeDocument/2006/relationships" ref="D19" r:id="rId91"/>
    <hyperlink xmlns:r="http://schemas.openxmlformats.org/officeDocument/2006/relationships" ref="H19" r:id="rId92"/>
    <hyperlink xmlns:r="http://schemas.openxmlformats.org/officeDocument/2006/relationships" ref="AE19" r:id="rId93"/>
    <hyperlink xmlns:r="http://schemas.openxmlformats.org/officeDocument/2006/relationships" ref="AN19" r:id="rId94"/>
    <hyperlink xmlns:r="http://schemas.openxmlformats.org/officeDocument/2006/relationships" ref="C20" r:id="rId95"/>
    <hyperlink xmlns:r="http://schemas.openxmlformats.org/officeDocument/2006/relationships" ref="D20" r:id="rId96"/>
    <hyperlink xmlns:r="http://schemas.openxmlformats.org/officeDocument/2006/relationships" ref="H20" r:id="rId97"/>
    <hyperlink xmlns:r="http://schemas.openxmlformats.org/officeDocument/2006/relationships" ref="AE20" r:id="rId98"/>
    <hyperlink xmlns:r="http://schemas.openxmlformats.org/officeDocument/2006/relationships" ref="AN20" r:id="rId99"/>
    <hyperlink xmlns:r="http://schemas.openxmlformats.org/officeDocument/2006/relationships" ref="C21" r:id="rId100"/>
    <hyperlink xmlns:r="http://schemas.openxmlformats.org/officeDocument/2006/relationships" ref="D21" r:id="rId101"/>
    <hyperlink xmlns:r="http://schemas.openxmlformats.org/officeDocument/2006/relationships" ref="H21" r:id="rId102"/>
    <hyperlink xmlns:r="http://schemas.openxmlformats.org/officeDocument/2006/relationships" ref="AE21" r:id="rId103"/>
    <hyperlink xmlns:r="http://schemas.openxmlformats.org/officeDocument/2006/relationships" ref="AN21" r:id="rId104"/>
    <hyperlink xmlns:r="http://schemas.openxmlformats.org/officeDocument/2006/relationships" ref="C22" r:id="rId105"/>
    <hyperlink xmlns:r="http://schemas.openxmlformats.org/officeDocument/2006/relationships" ref="D22" r:id="rId106"/>
    <hyperlink xmlns:r="http://schemas.openxmlformats.org/officeDocument/2006/relationships" ref="H22" r:id="rId107"/>
    <hyperlink xmlns:r="http://schemas.openxmlformats.org/officeDocument/2006/relationships" ref="AE22" r:id="rId108"/>
    <hyperlink xmlns:r="http://schemas.openxmlformats.org/officeDocument/2006/relationships" ref="AN22" r:id="rId109"/>
    <hyperlink xmlns:r="http://schemas.openxmlformats.org/officeDocument/2006/relationships" ref="C23" r:id="rId110"/>
    <hyperlink xmlns:r="http://schemas.openxmlformats.org/officeDocument/2006/relationships" ref="D23" r:id="rId111"/>
    <hyperlink xmlns:r="http://schemas.openxmlformats.org/officeDocument/2006/relationships" ref="H23" r:id="rId112"/>
    <hyperlink xmlns:r="http://schemas.openxmlformats.org/officeDocument/2006/relationships" ref="AN23" r:id="rId113"/>
    <hyperlink xmlns:r="http://schemas.openxmlformats.org/officeDocument/2006/relationships" ref="C24" r:id="rId114"/>
    <hyperlink xmlns:r="http://schemas.openxmlformats.org/officeDocument/2006/relationships" ref="D24" r:id="rId115"/>
    <hyperlink xmlns:r="http://schemas.openxmlformats.org/officeDocument/2006/relationships" ref="H24" r:id="rId116"/>
    <hyperlink xmlns:r="http://schemas.openxmlformats.org/officeDocument/2006/relationships" ref="AE24" r:id="rId117"/>
    <hyperlink xmlns:r="http://schemas.openxmlformats.org/officeDocument/2006/relationships" ref="AN24" r:id="rId118"/>
    <hyperlink xmlns:r="http://schemas.openxmlformats.org/officeDocument/2006/relationships" ref="C25" r:id="rId119"/>
    <hyperlink xmlns:r="http://schemas.openxmlformats.org/officeDocument/2006/relationships" ref="D25" r:id="rId120"/>
    <hyperlink xmlns:r="http://schemas.openxmlformats.org/officeDocument/2006/relationships" ref="H25" r:id="rId121"/>
    <hyperlink xmlns:r="http://schemas.openxmlformats.org/officeDocument/2006/relationships" ref="AN25" r:id="rId122"/>
    <hyperlink xmlns:r="http://schemas.openxmlformats.org/officeDocument/2006/relationships" ref="C26" r:id="rId123"/>
    <hyperlink xmlns:r="http://schemas.openxmlformats.org/officeDocument/2006/relationships" ref="D26" r:id="rId124"/>
    <hyperlink xmlns:r="http://schemas.openxmlformats.org/officeDocument/2006/relationships" ref="H26" r:id="rId125"/>
    <hyperlink xmlns:r="http://schemas.openxmlformats.org/officeDocument/2006/relationships" ref="AE26" r:id="rId126"/>
    <hyperlink xmlns:r="http://schemas.openxmlformats.org/officeDocument/2006/relationships" ref="AN26" r:id="rId127"/>
    <hyperlink xmlns:r="http://schemas.openxmlformats.org/officeDocument/2006/relationships" ref="C27" r:id="rId128"/>
    <hyperlink xmlns:r="http://schemas.openxmlformats.org/officeDocument/2006/relationships" ref="D27" r:id="rId129"/>
    <hyperlink xmlns:r="http://schemas.openxmlformats.org/officeDocument/2006/relationships" ref="H27" r:id="rId130"/>
    <hyperlink xmlns:r="http://schemas.openxmlformats.org/officeDocument/2006/relationships" ref="AN27" r:id="rId131"/>
    <hyperlink xmlns:r="http://schemas.openxmlformats.org/officeDocument/2006/relationships" ref="C28" r:id="rId132"/>
    <hyperlink xmlns:r="http://schemas.openxmlformats.org/officeDocument/2006/relationships" ref="D28" r:id="rId133"/>
    <hyperlink xmlns:r="http://schemas.openxmlformats.org/officeDocument/2006/relationships" ref="H28" r:id="rId134"/>
    <hyperlink xmlns:r="http://schemas.openxmlformats.org/officeDocument/2006/relationships" ref="AE28" r:id="rId135"/>
    <hyperlink xmlns:r="http://schemas.openxmlformats.org/officeDocument/2006/relationships" ref="AN28" r:id="rId136"/>
    <hyperlink xmlns:r="http://schemas.openxmlformats.org/officeDocument/2006/relationships" ref="C29" r:id="rId137"/>
    <hyperlink xmlns:r="http://schemas.openxmlformats.org/officeDocument/2006/relationships" ref="D29" r:id="rId138"/>
    <hyperlink xmlns:r="http://schemas.openxmlformats.org/officeDocument/2006/relationships" ref="H29" r:id="rId139"/>
    <hyperlink xmlns:r="http://schemas.openxmlformats.org/officeDocument/2006/relationships" ref="AN29" r:id="rId140"/>
    <hyperlink xmlns:r="http://schemas.openxmlformats.org/officeDocument/2006/relationships" ref="C30" r:id="rId141"/>
    <hyperlink xmlns:r="http://schemas.openxmlformats.org/officeDocument/2006/relationships" ref="D30" r:id="rId142"/>
    <hyperlink xmlns:r="http://schemas.openxmlformats.org/officeDocument/2006/relationships" ref="H30" r:id="rId143"/>
    <hyperlink xmlns:r="http://schemas.openxmlformats.org/officeDocument/2006/relationships" ref="AE30" r:id="rId144"/>
    <hyperlink xmlns:r="http://schemas.openxmlformats.org/officeDocument/2006/relationships" ref="AN30" r:id="rId145"/>
    <hyperlink xmlns:r="http://schemas.openxmlformats.org/officeDocument/2006/relationships" ref="C31" r:id="rId146"/>
    <hyperlink xmlns:r="http://schemas.openxmlformats.org/officeDocument/2006/relationships" ref="D31" r:id="rId147"/>
    <hyperlink xmlns:r="http://schemas.openxmlformats.org/officeDocument/2006/relationships" ref="H31" r:id="rId148"/>
    <hyperlink xmlns:r="http://schemas.openxmlformats.org/officeDocument/2006/relationships" ref="AE31" r:id="rId149"/>
    <hyperlink xmlns:r="http://schemas.openxmlformats.org/officeDocument/2006/relationships" ref="AN31" r:id="rId150"/>
    <hyperlink xmlns:r="http://schemas.openxmlformats.org/officeDocument/2006/relationships" ref="C32" r:id="rId151"/>
    <hyperlink xmlns:r="http://schemas.openxmlformats.org/officeDocument/2006/relationships" ref="D32" r:id="rId152"/>
    <hyperlink xmlns:r="http://schemas.openxmlformats.org/officeDocument/2006/relationships" ref="H32" r:id="rId153"/>
    <hyperlink xmlns:r="http://schemas.openxmlformats.org/officeDocument/2006/relationships" ref="AE32" r:id="rId154"/>
    <hyperlink xmlns:r="http://schemas.openxmlformats.org/officeDocument/2006/relationships" ref="AN32" r:id="rId155"/>
    <hyperlink xmlns:r="http://schemas.openxmlformats.org/officeDocument/2006/relationships" ref="C33" r:id="rId156"/>
    <hyperlink xmlns:r="http://schemas.openxmlformats.org/officeDocument/2006/relationships" ref="D33" r:id="rId157"/>
    <hyperlink xmlns:r="http://schemas.openxmlformats.org/officeDocument/2006/relationships" ref="H33" r:id="rId158"/>
    <hyperlink xmlns:r="http://schemas.openxmlformats.org/officeDocument/2006/relationships" ref="AE33" r:id="rId159"/>
    <hyperlink xmlns:r="http://schemas.openxmlformats.org/officeDocument/2006/relationships" ref="AN33" r:id="rId160"/>
    <hyperlink xmlns:r="http://schemas.openxmlformats.org/officeDocument/2006/relationships" ref="C34" r:id="rId161"/>
    <hyperlink xmlns:r="http://schemas.openxmlformats.org/officeDocument/2006/relationships" ref="D34" r:id="rId162"/>
    <hyperlink xmlns:r="http://schemas.openxmlformats.org/officeDocument/2006/relationships" ref="H34" r:id="rId163"/>
    <hyperlink xmlns:r="http://schemas.openxmlformats.org/officeDocument/2006/relationships" ref="AE34" r:id="rId164"/>
    <hyperlink xmlns:r="http://schemas.openxmlformats.org/officeDocument/2006/relationships" ref="AN34" r:id="rId165"/>
    <hyperlink xmlns:r="http://schemas.openxmlformats.org/officeDocument/2006/relationships" ref="C35" r:id="rId166"/>
    <hyperlink xmlns:r="http://schemas.openxmlformats.org/officeDocument/2006/relationships" ref="D35" r:id="rId167"/>
    <hyperlink xmlns:r="http://schemas.openxmlformats.org/officeDocument/2006/relationships" ref="H35" r:id="rId168"/>
    <hyperlink xmlns:r="http://schemas.openxmlformats.org/officeDocument/2006/relationships" ref="AE35" r:id="rId169"/>
    <hyperlink xmlns:r="http://schemas.openxmlformats.org/officeDocument/2006/relationships" ref="AN35" r:id="rId170"/>
    <hyperlink xmlns:r="http://schemas.openxmlformats.org/officeDocument/2006/relationships" ref="C36" r:id="rId171"/>
    <hyperlink xmlns:r="http://schemas.openxmlformats.org/officeDocument/2006/relationships" ref="D36" r:id="rId172"/>
    <hyperlink xmlns:r="http://schemas.openxmlformats.org/officeDocument/2006/relationships" ref="H36" r:id="rId173"/>
    <hyperlink xmlns:r="http://schemas.openxmlformats.org/officeDocument/2006/relationships" ref="AE36" r:id="rId174"/>
    <hyperlink xmlns:r="http://schemas.openxmlformats.org/officeDocument/2006/relationships" ref="AN36" r:id="rId175"/>
    <hyperlink xmlns:r="http://schemas.openxmlformats.org/officeDocument/2006/relationships" ref="C37" r:id="rId176"/>
    <hyperlink xmlns:r="http://schemas.openxmlformats.org/officeDocument/2006/relationships" ref="D37" r:id="rId177"/>
    <hyperlink xmlns:r="http://schemas.openxmlformats.org/officeDocument/2006/relationships" ref="H37" r:id="rId178"/>
    <hyperlink xmlns:r="http://schemas.openxmlformats.org/officeDocument/2006/relationships" ref="AE37" r:id="rId179"/>
    <hyperlink xmlns:r="http://schemas.openxmlformats.org/officeDocument/2006/relationships" ref="AN37" r:id="rId180"/>
    <hyperlink xmlns:r="http://schemas.openxmlformats.org/officeDocument/2006/relationships" ref="C38" r:id="rId181"/>
    <hyperlink xmlns:r="http://schemas.openxmlformats.org/officeDocument/2006/relationships" ref="D38" r:id="rId182"/>
    <hyperlink xmlns:r="http://schemas.openxmlformats.org/officeDocument/2006/relationships" ref="H38" r:id="rId183"/>
    <hyperlink xmlns:r="http://schemas.openxmlformats.org/officeDocument/2006/relationships" ref="AE38" r:id="rId184"/>
    <hyperlink xmlns:r="http://schemas.openxmlformats.org/officeDocument/2006/relationships" ref="AN38" r:id="rId185"/>
    <hyperlink xmlns:r="http://schemas.openxmlformats.org/officeDocument/2006/relationships" ref="C39" r:id="rId186"/>
    <hyperlink xmlns:r="http://schemas.openxmlformats.org/officeDocument/2006/relationships" ref="D39" r:id="rId187"/>
    <hyperlink xmlns:r="http://schemas.openxmlformats.org/officeDocument/2006/relationships" ref="H39" r:id="rId188"/>
    <hyperlink xmlns:r="http://schemas.openxmlformats.org/officeDocument/2006/relationships" ref="AE39" r:id="rId189"/>
    <hyperlink xmlns:r="http://schemas.openxmlformats.org/officeDocument/2006/relationships" ref="AN39" r:id="rId190"/>
    <hyperlink xmlns:r="http://schemas.openxmlformats.org/officeDocument/2006/relationships" ref="C40" r:id="rId191"/>
    <hyperlink xmlns:r="http://schemas.openxmlformats.org/officeDocument/2006/relationships" ref="D40" r:id="rId192"/>
    <hyperlink xmlns:r="http://schemas.openxmlformats.org/officeDocument/2006/relationships" ref="H40" r:id="rId193"/>
    <hyperlink xmlns:r="http://schemas.openxmlformats.org/officeDocument/2006/relationships" ref="AE40" r:id="rId194"/>
    <hyperlink xmlns:r="http://schemas.openxmlformats.org/officeDocument/2006/relationships" ref="AJ40" r:id="rId195"/>
    <hyperlink xmlns:r="http://schemas.openxmlformats.org/officeDocument/2006/relationships" ref="AN40" r:id="rId196"/>
    <hyperlink xmlns:r="http://schemas.openxmlformats.org/officeDocument/2006/relationships" ref="C41" r:id="rId197"/>
    <hyperlink xmlns:r="http://schemas.openxmlformats.org/officeDocument/2006/relationships" ref="D41" r:id="rId198"/>
    <hyperlink xmlns:r="http://schemas.openxmlformats.org/officeDocument/2006/relationships" ref="H41" r:id="rId199"/>
    <hyperlink xmlns:r="http://schemas.openxmlformats.org/officeDocument/2006/relationships" ref="AN41" r:id="rId200"/>
    <hyperlink xmlns:r="http://schemas.openxmlformats.org/officeDocument/2006/relationships" ref="C42" r:id="rId201"/>
    <hyperlink xmlns:r="http://schemas.openxmlformats.org/officeDocument/2006/relationships" ref="D42" r:id="rId202"/>
    <hyperlink xmlns:r="http://schemas.openxmlformats.org/officeDocument/2006/relationships" ref="H42" r:id="rId203"/>
    <hyperlink xmlns:r="http://schemas.openxmlformats.org/officeDocument/2006/relationships" ref="AN42" r:id="rId204"/>
    <hyperlink xmlns:r="http://schemas.openxmlformats.org/officeDocument/2006/relationships" ref="C43" r:id="rId205"/>
    <hyperlink xmlns:r="http://schemas.openxmlformats.org/officeDocument/2006/relationships" ref="D43" r:id="rId206"/>
    <hyperlink xmlns:r="http://schemas.openxmlformats.org/officeDocument/2006/relationships" ref="H43" r:id="rId207"/>
    <hyperlink xmlns:r="http://schemas.openxmlformats.org/officeDocument/2006/relationships" ref="AN43" r:id="rId208"/>
    <hyperlink xmlns:r="http://schemas.openxmlformats.org/officeDocument/2006/relationships" ref="C44" r:id="rId209"/>
    <hyperlink xmlns:r="http://schemas.openxmlformats.org/officeDocument/2006/relationships" ref="D44" r:id="rId210"/>
    <hyperlink xmlns:r="http://schemas.openxmlformats.org/officeDocument/2006/relationships" ref="H44" r:id="rId211"/>
    <hyperlink xmlns:r="http://schemas.openxmlformats.org/officeDocument/2006/relationships" ref="AN44" r:id="rId212"/>
    <hyperlink xmlns:r="http://schemas.openxmlformats.org/officeDocument/2006/relationships" ref="C45" r:id="rId213"/>
    <hyperlink xmlns:r="http://schemas.openxmlformats.org/officeDocument/2006/relationships" ref="D45" r:id="rId214"/>
    <hyperlink xmlns:r="http://schemas.openxmlformats.org/officeDocument/2006/relationships" ref="H45" r:id="rId215"/>
    <hyperlink xmlns:r="http://schemas.openxmlformats.org/officeDocument/2006/relationships" ref="AN45" r:id="rId216"/>
    <hyperlink xmlns:r="http://schemas.openxmlformats.org/officeDocument/2006/relationships" ref="C46" r:id="rId217"/>
    <hyperlink xmlns:r="http://schemas.openxmlformats.org/officeDocument/2006/relationships" ref="D46" r:id="rId218"/>
    <hyperlink xmlns:r="http://schemas.openxmlformats.org/officeDocument/2006/relationships" ref="H46" r:id="rId219"/>
    <hyperlink xmlns:r="http://schemas.openxmlformats.org/officeDocument/2006/relationships" ref="AN46" r:id="rId220"/>
    <hyperlink xmlns:r="http://schemas.openxmlformats.org/officeDocument/2006/relationships" ref="C47" r:id="rId221"/>
    <hyperlink xmlns:r="http://schemas.openxmlformats.org/officeDocument/2006/relationships" ref="D47" r:id="rId222"/>
    <hyperlink xmlns:r="http://schemas.openxmlformats.org/officeDocument/2006/relationships" ref="H47" r:id="rId223"/>
    <hyperlink xmlns:r="http://schemas.openxmlformats.org/officeDocument/2006/relationships" ref="AN47" r:id="rId224"/>
    <hyperlink xmlns:r="http://schemas.openxmlformats.org/officeDocument/2006/relationships" ref="C48" r:id="rId225"/>
    <hyperlink xmlns:r="http://schemas.openxmlformats.org/officeDocument/2006/relationships" ref="D48" r:id="rId226"/>
    <hyperlink xmlns:r="http://schemas.openxmlformats.org/officeDocument/2006/relationships" ref="H48" r:id="rId227"/>
    <hyperlink xmlns:r="http://schemas.openxmlformats.org/officeDocument/2006/relationships" ref="AN48" r:id="rId228"/>
    <hyperlink xmlns:r="http://schemas.openxmlformats.org/officeDocument/2006/relationships" ref="C49" r:id="rId229"/>
    <hyperlink xmlns:r="http://schemas.openxmlformats.org/officeDocument/2006/relationships" ref="D49" r:id="rId230"/>
    <hyperlink xmlns:r="http://schemas.openxmlformats.org/officeDocument/2006/relationships" ref="H49" r:id="rId231"/>
    <hyperlink xmlns:r="http://schemas.openxmlformats.org/officeDocument/2006/relationships" ref="AN49" r:id="rId23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2026-09-18T22:59:31Z</dcterms:created>
  <dcterms:modified xmlns:dcterms="http://purl.org/dc/terms/" xmlns:xsi="http://www.w3.org/2001/XMLSchema-instance" xsi:type="dcterms:W3CDTF">2026-09-18T22:59:31Z</dcterms:modified>
</cp:coreProperties>
</file>