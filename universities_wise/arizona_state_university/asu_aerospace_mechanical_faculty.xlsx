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ero Focus" sheetId="1" state="visible" r:id="rId1"/>
    <sheet xmlns:r="http://schemas.openxmlformats.org/officeDocument/2006/relationships" name="Field Matched" sheetId="2" state="visible" r:id="rId2"/>
    <sheet xmlns:r="http://schemas.openxmlformats.org/officeDocument/2006/relationships" name="All Facult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563C1"/>
      <sz val="11"/>
      <u val="single"/>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asu.edu/profile/mkasbaou" TargetMode="External" Id="rId1"/><Relationship Type="http://schemas.openxmlformats.org/officeDocument/2006/relationships/hyperlink" Target="https://scholar.google.com/citations?view_op=search_authors&amp;mauthors=Mohamed%20Houssem%20Kasbaoui%20Arizona%20State%20University" TargetMode="External" Id="rId2"/><Relationship Type="http://schemas.openxmlformats.org/officeDocument/2006/relationships/hyperlink" Target="mailto:houssem.kasbaoui@asu.edu" TargetMode="External" Id="rId3"/><Relationship Type="http://schemas.openxmlformats.org/officeDocument/2006/relationships/hyperlink" Target="https://doi.org/10.1017/jfm.2022.50 | https://doi.org/10.1017/jfm.2020.784" TargetMode="External" Id="rId4"/><Relationship Type="http://schemas.openxmlformats.org/officeDocument/2006/relationships/hyperlink" Target="https://kasbaoui.bitbucket.io" TargetMode="External" Id="rId5"/><Relationship Type="http://schemas.openxmlformats.org/officeDocument/2006/relationships/hyperlink" Target="https://bitbucket.org/krgasu/leap/downloads/leap-v0.8.2.tar.gz" TargetMode="External" Id="rId6"/><Relationship Type="http://schemas.openxmlformats.org/officeDocument/2006/relationships/hyperlink" Target="https://faculty.engineering.asu.edu/directory/semte/aerospace-and-mechanical-engineering/" TargetMode="External" Id="rId7"/><Relationship Type="http://schemas.openxmlformats.org/officeDocument/2006/relationships/hyperlink" Target="https://search.asu.edu/profile/asuchen" TargetMode="External" Id="rId8"/><Relationship Type="http://schemas.openxmlformats.org/officeDocument/2006/relationships/hyperlink" Target="https://scholar.google.com/citations?hl=en&amp;user=xT-lX9sAAAAJ" TargetMode="External" Id="rId9"/><Relationship Type="http://schemas.openxmlformats.org/officeDocument/2006/relationships/hyperlink" Target="mailto:k.p.chen@asu.edu" TargetMode="External" Id="rId10"/><Relationship Type="http://schemas.openxmlformats.org/officeDocument/2006/relationships/hyperlink" Target="https://doi.org/10.1016/j.ijrmms.2023.105422 | https://doi.org/10.1017/s0022112089000960" TargetMode="External" Id="rId11"/><Relationship Type="http://schemas.openxmlformats.org/officeDocument/2006/relationships/hyperlink" Target="https://faculty.engineering.asu.edu/directory/semte/aerospace-and-mechanical-engineering/" TargetMode="External" Id="rId12"/><Relationship Type="http://schemas.openxmlformats.org/officeDocument/2006/relationships/hyperlink" Target="https://search.asu.edu/profile/kramesh2" TargetMode="External" Id="rId13"/><Relationship Type="http://schemas.openxmlformats.org/officeDocument/2006/relationships/hyperlink" Target="https://scholar.google.com/citations?hl=en&amp;user=DKc-AgcAAAAJ" TargetMode="External" Id="rId14"/><Relationship Type="http://schemas.openxmlformats.org/officeDocument/2006/relationships/hyperlink" Target="mailto:Kiran.Ramesh@asu.edu" TargetMode="External" Id="rId15"/><Relationship Type="http://schemas.openxmlformats.org/officeDocument/2006/relationships/hyperlink" Target="https://doi.org/10.1007/s00348-020-03095-2 | https://doi.org/10.1017/jfm.2019.1070" TargetMode="External" Id="rId16"/><Relationship Type="http://schemas.openxmlformats.org/officeDocument/2006/relationships/hyperlink" Target="https://faculty.engineering.asu.edu/directory/semte/aerospace-and-mechanical-engineering/" TargetMode="External" Id="rId17"/><Relationship Type="http://schemas.openxmlformats.org/officeDocument/2006/relationships/hyperlink" Target="https://search.asu.edu/profile/leixinma" TargetMode="External" Id="rId18"/><Relationship Type="http://schemas.openxmlformats.org/officeDocument/2006/relationships/hyperlink" Target="https://scholar.google.com/citations?hl=en&amp;user=2xQTOc0AAAAJ" TargetMode="External" Id="rId19"/><Relationship Type="http://schemas.openxmlformats.org/officeDocument/2006/relationships/hyperlink" Target="mailto:Leixin.Ma@asu.edu" TargetMode="External" Id="rId20"/><Relationship Type="http://schemas.openxmlformats.org/officeDocument/2006/relationships/hyperlink" Target="https://doi.org/10.1016/j.marstruc.2022.103195 | https://doi.org/10.1016/j.oceaneng.2022.111858" TargetMode="External" Id="rId21"/><Relationship Type="http://schemas.openxmlformats.org/officeDocument/2006/relationships/hyperlink" Target="https://sites.google.com/view/oasislabasu" TargetMode="External" Id="rId22"/><Relationship Type="http://schemas.openxmlformats.org/officeDocument/2006/relationships/hyperlink" Target="https://faculty.engineering.asu.edu/directory/semte/aerospace-and-mechanical-engineering/" TargetMode="External" Id="rId23"/><Relationship Type="http://schemas.openxmlformats.org/officeDocument/2006/relationships/hyperlink" Target="https://search.asu.edu/profile/gpathiko" TargetMode="External" Id="rId24"/><Relationship Type="http://schemas.openxmlformats.org/officeDocument/2006/relationships/hyperlink" Target="https://scholar.google.com/citations?view_op=search_authors&amp;mauthors=Gokul%20Pathikonda%20Arizona%20State%20University" TargetMode="External" Id="rId25"/><Relationship Type="http://schemas.openxmlformats.org/officeDocument/2006/relationships/hyperlink" Target="mailto:Gokul.Pathikonda@asu.edu" TargetMode="External" Id="rId26"/><Relationship Type="http://schemas.openxmlformats.org/officeDocument/2006/relationships/hyperlink" Target="https://doi.org/10.1017/jfm.2025.11073 | https://doi.org/10.1017/jfm.2022.1076" TargetMode="External" Id="rId27"/><Relationship Type="http://schemas.openxmlformats.org/officeDocument/2006/relationships/hyperlink" Target="https://faculty.engineering.asu.edu/cmat/" TargetMode="External" Id="rId28"/><Relationship Type="http://schemas.openxmlformats.org/officeDocument/2006/relationships/hyperlink" Target="https://faculty.engineering.asu.edu/directory/semte/aerospace-and-mechanical-engineering/" TargetMode="External" Id="rId29"/><Relationship Type="http://schemas.openxmlformats.org/officeDocument/2006/relationships/hyperlink" Target="https://search.asu.edu/profile/mherrma1" TargetMode="External" Id="rId30"/><Relationship Type="http://schemas.openxmlformats.org/officeDocument/2006/relationships/hyperlink" Target="https://scholar.google.com/citations?hl=en&amp;user=yv6aCW8AAAAJ" TargetMode="External" Id="rId31"/><Relationship Type="http://schemas.openxmlformats.org/officeDocument/2006/relationships/hyperlink" Target="mailto:Marcus.Herrmann@asu.edu" TargetMode="External" Id="rId32"/><Relationship Type="http://schemas.openxmlformats.org/officeDocument/2006/relationships/hyperlink" Target="https://doi.org/10.1016/j.proci.2020.08.004 | https://doi.org/10.1016/j.jcp.2023.112136" TargetMode="External" Id="rId33"/><Relationship Type="http://schemas.openxmlformats.org/officeDocument/2006/relationships/hyperlink" Target="https://faculty.engineering.asu.edu/directory/semte/aerospace-and-mechanical-engineering/" TargetMode="External" Id="rId34"/><Relationship Type="http://schemas.openxmlformats.org/officeDocument/2006/relationships/hyperlink" Target="https://search.asu.edu/profile/jkim520" TargetMode="External" Id="rId35"/><Relationship Type="http://schemas.openxmlformats.org/officeDocument/2006/relationships/hyperlink" Target="https://scholar.google.com/citations?view_op=search_authors&amp;mauthors=Jeonglae%20Kim%20Arizona%20State%20University" TargetMode="External" Id="rId36"/><Relationship Type="http://schemas.openxmlformats.org/officeDocument/2006/relationships/hyperlink" Target="mailto:jeokim@asu.edu" TargetMode="External" Id="rId37"/><Relationship Type="http://schemas.openxmlformats.org/officeDocument/2006/relationships/hyperlink" Target="https://doi.org/10.1007/s12206-023-1029-x | https://doi.org/10.1017/jfm.2013.654" TargetMode="External" Id="rId38"/><Relationship Type="http://schemas.openxmlformats.org/officeDocument/2006/relationships/hyperlink" Target="https://faculty.engineering.asu.edu/directory/semte/aerospace-and-mechanical-engineering/" TargetMode="External" Id="rId39"/><Relationship Type="http://schemas.openxmlformats.org/officeDocument/2006/relationships/hyperlink" Target="https://search.asu.edu/profile/rjmilcar" TargetMode="External" Id="rId40"/><Relationship Type="http://schemas.openxmlformats.org/officeDocument/2006/relationships/hyperlink" Target="https://scholar.google.com/citations?hl=en&amp;user=m-Pb6g2pm2UC" TargetMode="External" Id="rId41"/><Relationship Type="http://schemas.openxmlformats.org/officeDocument/2006/relationships/hyperlink" Target="mailto:Ryan.Milcarek@asu.edu" TargetMode="External" Id="rId42"/><Relationship Type="http://schemas.openxmlformats.org/officeDocument/2006/relationships/hyperlink" Target="https://doi.org/10.1016/j.ecmx.2023.100394 | https://doi.org/10.1016/j.energy.2023.128818" TargetMode="External" Id="rId43"/><Relationship Type="http://schemas.openxmlformats.org/officeDocument/2006/relationships/hyperlink" Target="http://RESEARCHGATE.net/profile/Ryan_Milcarek" TargetMode="External" Id="rId44"/><Relationship Type="http://schemas.openxmlformats.org/officeDocument/2006/relationships/hyperlink" Target="https://faculty.engineering.asu.edu/directory/semte/aerospace-and-mechanical-engineering/" TargetMode="External" Id="rId45"/><Relationship Type="http://schemas.openxmlformats.org/officeDocument/2006/relationships/hyperlink" Target="https://search.asu.edu/profile/adscotti" TargetMode="External" Id="rId46"/><Relationship Type="http://schemas.openxmlformats.org/officeDocument/2006/relationships/hyperlink" Target="https://scholar.google.com/citations?hl=en&amp;user=HRx2lJQAAAAJ" TargetMode="External" Id="rId47"/><Relationship Type="http://schemas.openxmlformats.org/officeDocument/2006/relationships/hyperlink" Target="mailto:Alberto.Scotti@asu.edu" TargetMode="External" Id="rId48"/><Relationship Type="http://schemas.openxmlformats.org/officeDocument/2006/relationships/hyperlink" Target="https://doi.org/10.1017/jfm.2022.206 | https://doi.org/10.1016/j.apor.2020.102402" TargetMode="External" Id="rId49"/><Relationship Type="http://schemas.openxmlformats.org/officeDocument/2006/relationships/hyperlink" Target="https://faculty.engineering.asu.edu/directory/semte/aerospace-and-mechanical-engineering/" TargetMode="External" Id="rId50"/><Relationship Type="http://schemas.openxmlformats.org/officeDocument/2006/relationships/hyperlink" Target="https://search.asu.edu/profile/ypeet" TargetMode="External" Id="rId51"/><Relationship Type="http://schemas.openxmlformats.org/officeDocument/2006/relationships/hyperlink" Target="https://scholar.google.com/citations?hl=en&amp;user=_6o8MrUAAAAJ" TargetMode="External" Id="rId52"/><Relationship Type="http://schemas.openxmlformats.org/officeDocument/2006/relationships/hyperlink" Target="mailto:ypeet@asu.edu" TargetMode="External" Id="rId53"/><Relationship Type="http://schemas.openxmlformats.org/officeDocument/2006/relationships/hyperlink" Target="https://doi.org/10.1017/jfm.2023.231 | https://doi.org/10.1016/j.euromechflu.2023.07.008" TargetMode="External" Id="rId54"/><Relationship Type="http://schemas.openxmlformats.org/officeDocument/2006/relationships/hyperlink" Target="https://isim.asu.edu" TargetMode="External" Id="rId55"/><Relationship Type="http://schemas.openxmlformats.org/officeDocument/2006/relationships/hyperlink" Target="https://faculty.engineering.asu.edu/directory/semte/aerospace-and-mechanical-engineering/" TargetMode="External" Id="rId56"/><Relationship Type="http://schemas.openxmlformats.org/officeDocument/2006/relationships/hyperlink" Target="https://search.asu.edu/profile/rcalhou" TargetMode="External" Id="rId57"/><Relationship Type="http://schemas.openxmlformats.org/officeDocument/2006/relationships/hyperlink" Target="https://scholar.google.com/citations?view_op=search_authors&amp;mauthors=Ronald%20Calhoun%20Arizona%20State%20University" TargetMode="External" Id="rId58"/><Relationship Type="http://schemas.openxmlformats.org/officeDocument/2006/relationships/hyperlink" Target="mailto:Ronald.Calhoun@asu.edu" TargetMode="External" Id="rId59"/><Relationship Type="http://schemas.openxmlformats.org/officeDocument/2006/relationships/hyperlink" Target="https://doi.org/10.1016/j.apenergy.2020.115050 | https://doi.org/10.1175/2010bams2614.1" TargetMode="External" Id="rId60"/><Relationship Type="http://schemas.openxmlformats.org/officeDocument/2006/relationships/hyperlink" Target="https://windlab.engineering.asu.edu/ronald-calhoun/" TargetMode="External" Id="rId61"/><Relationship Type="http://schemas.openxmlformats.org/officeDocument/2006/relationships/hyperlink" Target="https://faculty.engineering.asu.edu/directory/semte/aerospace-and-mechanical-engineering/" TargetMode="External" Id="rId62"/></Relationships>
</file>

<file path=xl/worksheets/_rels/sheet2.xml.rels><Relationships xmlns="http://schemas.openxmlformats.org/package/2006/relationships"><Relationship Type="http://schemas.openxmlformats.org/officeDocument/2006/relationships/hyperlink" Target="https://search.asu.edu/profile/mkasbaou" TargetMode="External" Id="rId1"/><Relationship Type="http://schemas.openxmlformats.org/officeDocument/2006/relationships/hyperlink" Target="https://scholar.google.com/citations?view_op=search_authors&amp;mauthors=Mohamed%20Houssem%20Kasbaoui%20Arizona%20State%20University" TargetMode="External" Id="rId2"/><Relationship Type="http://schemas.openxmlformats.org/officeDocument/2006/relationships/hyperlink" Target="mailto:houssem.kasbaoui@asu.edu" TargetMode="External" Id="rId3"/><Relationship Type="http://schemas.openxmlformats.org/officeDocument/2006/relationships/hyperlink" Target="https://doi.org/10.1017/jfm.2022.50 | https://doi.org/10.1017/jfm.2020.784" TargetMode="External" Id="rId4"/><Relationship Type="http://schemas.openxmlformats.org/officeDocument/2006/relationships/hyperlink" Target="https://kasbaoui.bitbucket.io" TargetMode="External" Id="rId5"/><Relationship Type="http://schemas.openxmlformats.org/officeDocument/2006/relationships/hyperlink" Target="https://bitbucket.org/krgasu/leap/downloads/leap-v0.8.2.tar.gz" TargetMode="External" Id="rId6"/><Relationship Type="http://schemas.openxmlformats.org/officeDocument/2006/relationships/hyperlink" Target="https://faculty.engineering.asu.edu/directory/semte/aerospace-and-mechanical-engineering/" TargetMode="External" Id="rId7"/><Relationship Type="http://schemas.openxmlformats.org/officeDocument/2006/relationships/hyperlink" Target="https://search.asu.edu/profile/asuchen" TargetMode="External" Id="rId8"/><Relationship Type="http://schemas.openxmlformats.org/officeDocument/2006/relationships/hyperlink" Target="https://scholar.google.com/citations?hl=en&amp;user=xT-lX9sAAAAJ" TargetMode="External" Id="rId9"/><Relationship Type="http://schemas.openxmlformats.org/officeDocument/2006/relationships/hyperlink" Target="mailto:k.p.chen@asu.edu" TargetMode="External" Id="rId10"/><Relationship Type="http://schemas.openxmlformats.org/officeDocument/2006/relationships/hyperlink" Target="https://doi.org/10.1016/j.ijrmms.2023.105422 | https://doi.org/10.1017/s0022112089000960" TargetMode="External" Id="rId11"/><Relationship Type="http://schemas.openxmlformats.org/officeDocument/2006/relationships/hyperlink" Target="https://faculty.engineering.asu.edu/directory/semte/aerospace-and-mechanical-engineering/" TargetMode="External" Id="rId12"/><Relationship Type="http://schemas.openxmlformats.org/officeDocument/2006/relationships/hyperlink" Target="https://search.asu.edu/profile/kramesh2" TargetMode="External" Id="rId13"/><Relationship Type="http://schemas.openxmlformats.org/officeDocument/2006/relationships/hyperlink" Target="https://scholar.google.com/citations?hl=en&amp;user=DKc-AgcAAAAJ" TargetMode="External" Id="rId14"/><Relationship Type="http://schemas.openxmlformats.org/officeDocument/2006/relationships/hyperlink" Target="mailto:Kiran.Ramesh@asu.edu" TargetMode="External" Id="rId15"/><Relationship Type="http://schemas.openxmlformats.org/officeDocument/2006/relationships/hyperlink" Target="https://doi.org/10.1007/s00348-020-03095-2 | https://doi.org/10.1017/jfm.2019.1070" TargetMode="External" Id="rId16"/><Relationship Type="http://schemas.openxmlformats.org/officeDocument/2006/relationships/hyperlink" Target="https://faculty.engineering.asu.edu/directory/semte/aerospace-and-mechanical-engineering/" TargetMode="External" Id="rId17"/><Relationship Type="http://schemas.openxmlformats.org/officeDocument/2006/relationships/hyperlink" Target="https://search.asu.edu/profile/leixinma" TargetMode="External" Id="rId18"/><Relationship Type="http://schemas.openxmlformats.org/officeDocument/2006/relationships/hyperlink" Target="https://scholar.google.com/citations?hl=en&amp;user=2xQTOc0AAAAJ" TargetMode="External" Id="rId19"/><Relationship Type="http://schemas.openxmlformats.org/officeDocument/2006/relationships/hyperlink" Target="mailto:Leixin.Ma@asu.edu" TargetMode="External" Id="rId20"/><Relationship Type="http://schemas.openxmlformats.org/officeDocument/2006/relationships/hyperlink" Target="https://doi.org/10.1016/j.marstruc.2022.103195 | https://doi.org/10.1016/j.oceaneng.2022.111858" TargetMode="External" Id="rId21"/><Relationship Type="http://schemas.openxmlformats.org/officeDocument/2006/relationships/hyperlink" Target="https://sites.google.com/view/oasislabasu" TargetMode="External" Id="rId22"/><Relationship Type="http://schemas.openxmlformats.org/officeDocument/2006/relationships/hyperlink" Target="https://faculty.engineering.asu.edu/directory/semte/aerospace-and-mechanical-engineering/" TargetMode="External" Id="rId23"/><Relationship Type="http://schemas.openxmlformats.org/officeDocument/2006/relationships/hyperlink" Target="https://search.asu.edu/profile/gpathiko" TargetMode="External" Id="rId24"/><Relationship Type="http://schemas.openxmlformats.org/officeDocument/2006/relationships/hyperlink" Target="https://scholar.google.com/citations?view_op=search_authors&amp;mauthors=Gokul%20Pathikonda%20Arizona%20State%20University" TargetMode="External" Id="rId25"/><Relationship Type="http://schemas.openxmlformats.org/officeDocument/2006/relationships/hyperlink" Target="mailto:Gokul.Pathikonda@asu.edu" TargetMode="External" Id="rId26"/><Relationship Type="http://schemas.openxmlformats.org/officeDocument/2006/relationships/hyperlink" Target="https://doi.org/10.1017/jfm.2025.11073 | https://doi.org/10.1017/jfm.2022.1076" TargetMode="External" Id="rId27"/><Relationship Type="http://schemas.openxmlformats.org/officeDocument/2006/relationships/hyperlink" Target="https://faculty.engineering.asu.edu/cmat/" TargetMode="External" Id="rId28"/><Relationship Type="http://schemas.openxmlformats.org/officeDocument/2006/relationships/hyperlink" Target="https://faculty.engineering.asu.edu/directory/semte/aerospace-and-mechanical-engineering/" TargetMode="External" Id="rId29"/><Relationship Type="http://schemas.openxmlformats.org/officeDocument/2006/relationships/hyperlink" Target="https://search.asu.edu/profile/mherrma1" TargetMode="External" Id="rId30"/><Relationship Type="http://schemas.openxmlformats.org/officeDocument/2006/relationships/hyperlink" Target="https://scholar.google.com/citations?hl=en&amp;user=yv6aCW8AAAAJ" TargetMode="External" Id="rId31"/><Relationship Type="http://schemas.openxmlformats.org/officeDocument/2006/relationships/hyperlink" Target="mailto:Marcus.Herrmann@asu.edu" TargetMode="External" Id="rId32"/><Relationship Type="http://schemas.openxmlformats.org/officeDocument/2006/relationships/hyperlink" Target="https://doi.org/10.1016/j.proci.2020.08.004 | https://doi.org/10.1016/j.jcp.2023.112136" TargetMode="External" Id="rId33"/><Relationship Type="http://schemas.openxmlformats.org/officeDocument/2006/relationships/hyperlink" Target="https://faculty.engineering.asu.edu/directory/semte/aerospace-and-mechanical-engineering/" TargetMode="External" Id="rId34"/><Relationship Type="http://schemas.openxmlformats.org/officeDocument/2006/relationships/hyperlink" Target="https://search.asu.edu/profile/jkim520" TargetMode="External" Id="rId35"/><Relationship Type="http://schemas.openxmlformats.org/officeDocument/2006/relationships/hyperlink" Target="https://scholar.google.com/citations?view_op=search_authors&amp;mauthors=Jeonglae%20Kim%20Arizona%20State%20University" TargetMode="External" Id="rId36"/><Relationship Type="http://schemas.openxmlformats.org/officeDocument/2006/relationships/hyperlink" Target="mailto:jeokim@asu.edu" TargetMode="External" Id="rId37"/><Relationship Type="http://schemas.openxmlformats.org/officeDocument/2006/relationships/hyperlink" Target="https://doi.org/10.1007/s12206-023-1029-x | https://doi.org/10.1017/jfm.2013.654" TargetMode="External" Id="rId38"/><Relationship Type="http://schemas.openxmlformats.org/officeDocument/2006/relationships/hyperlink" Target="https://faculty.engineering.asu.edu/directory/semte/aerospace-and-mechanical-engineering/" TargetMode="External" Id="rId39"/><Relationship Type="http://schemas.openxmlformats.org/officeDocument/2006/relationships/hyperlink" Target="https://search.asu.edu/profile/rjmilcar" TargetMode="External" Id="rId40"/><Relationship Type="http://schemas.openxmlformats.org/officeDocument/2006/relationships/hyperlink" Target="https://scholar.google.com/citations?hl=en&amp;user=m-Pb6g2pm2UC" TargetMode="External" Id="rId41"/><Relationship Type="http://schemas.openxmlformats.org/officeDocument/2006/relationships/hyperlink" Target="mailto:Ryan.Milcarek@asu.edu" TargetMode="External" Id="rId42"/><Relationship Type="http://schemas.openxmlformats.org/officeDocument/2006/relationships/hyperlink" Target="https://doi.org/10.1016/j.ecmx.2023.100394 | https://doi.org/10.1016/j.energy.2023.128818" TargetMode="External" Id="rId43"/><Relationship Type="http://schemas.openxmlformats.org/officeDocument/2006/relationships/hyperlink" Target="http://RESEARCHGATE.net/profile/Ryan_Milcarek" TargetMode="External" Id="rId44"/><Relationship Type="http://schemas.openxmlformats.org/officeDocument/2006/relationships/hyperlink" Target="https://faculty.engineering.asu.edu/directory/semte/aerospace-and-mechanical-engineering/" TargetMode="External" Id="rId45"/><Relationship Type="http://schemas.openxmlformats.org/officeDocument/2006/relationships/hyperlink" Target="https://search.asu.edu/profile/adscotti" TargetMode="External" Id="rId46"/><Relationship Type="http://schemas.openxmlformats.org/officeDocument/2006/relationships/hyperlink" Target="https://scholar.google.com/citations?hl=en&amp;user=HRx2lJQAAAAJ" TargetMode="External" Id="rId47"/><Relationship Type="http://schemas.openxmlformats.org/officeDocument/2006/relationships/hyperlink" Target="mailto:Alberto.Scotti@asu.edu" TargetMode="External" Id="rId48"/><Relationship Type="http://schemas.openxmlformats.org/officeDocument/2006/relationships/hyperlink" Target="https://doi.org/10.1017/jfm.2022.206 | https://doi.org/10.1016/j.apor.2020.102402" TargetMode="External" Id="rId49"/><Relationship Type="http://schemas.openxmlformats.org/officeDocument/2006/relationships/hyperlink" Target="https://faculty.engineering.asu.edu/directory/semte/aerospace-and-mechanical-engineering/" TargetMode="External" Id="rId50"/><Relationship Type="http://schemas.openxmlformats.org/officeDocument/2006/relationships/hyperlink" Target="https://search.asu.edu/profile/ypeet" TargetMode="External" Id="rId51"/><Relationship Type="http://schemas.openxmlformats.org/officeDocument/2006/relationships/hyperlink" Target="https://scholar.google.com/citations?hl=en&amp;user=_6o8MrUAAAAJ" TargetMode="External" Id="rId52"/><Relationship Type="http://schemas.openxmlformats.org/officeDocument/2006/relationships/hyperlink" Target="mailto:ypeet@asu.edu" TargetMode="External" Id="rId53"/><Relationship Type="http://schemas.openxmlformats.org/officeDocument/2006/relationships/hyperlink" Target="https://doi.org/10.1017/jfm.2023.231 | https://doi.org/10.1016/j.euromechflu.2023.07.008" TargetMode="External" Id="rId54"/><Relationship Type="http://schemas.openxmlformats.org/officeDocument/2006/relationships/hyperlink" Target="https://isim.asu.edu" TargetMode="External" Id="rId55"/><Relationship Type="http://schemas.openxmlformats.org/officeDocument/2006/relationships/hyperlink" Target="https://faculty.engineering.asu.edu/directory/semte/aerospace-and-mechanical-engineering/" TargetMode="External" Id="rId56"/><Relationship Type="http://schemas.openxmlformats.org/officeDocument/2006/relationships/hyperlink" Target="https://search.asu.edu/profile/rcalhou" TargetMode="External" Id="rId57"/><Relationship Type="http://schemas.openxmlformats.org/officeDocument/2006/relationships/hyperlink" Target="https://scholar.google.com/citations?view_op=search_authors&amp;mauthors=Ronald%20Calhoun%20Arizona%20State%20University" TargetMode="External" Id="rId58"/><Relationship Type="http://schemas.openxmlformats.org/officeDocument/2006/relationships/hyperlink" Target="mailto:Ronald.Calhoun@asu.edu" TargetMode="External" Id="rId59"/><Relationship Type="http://schemas.openxmlformats.org/officeDocument/2006/relationships/hyperlink" Target="https://doi.org/10.1016/j.apenergy.2020.115050 | https://doi.org/10.1175/2010bams2614.1" TargetMode="External" Id="rId60"/><Relationship Type="http://schemas.openxmlformats.org/officeDocument/2006/relationships/hyperlink" Target="https://windlab.engineering.asu.edu/ronald-calhoun/" TargetMode="External" Id="rId61"/><Relationship Type="http://schemas.openxmlformats.org/officeDocument/2006/relationships/hyperlink" Target="https://faculty.engineering.asu.edu/directory/semte/aerospace-and-mechanical-engineering/" TargetMode="External" Id="rId62"/><Relationship Type="http://schemas.openxmlformats.org/officeDocument/2006/relationships/hyperlink" Target="https://search.asu.edu/profile/lwang78" TargetMode="External" Id="rId63"/><Relationship Type="http://schemas.openxmlformats.org/officeDocument/2006/relationships/hyperlink" Target="https://scholar.google.com/citations?view_op=search_authors&amp;mauthors=Liping%20Wang%20Arizona%20State%20University" TargetMode="External" Id="rId64"/><Relationship Type="http://schemas.openxmlformats.org/officeDocument/2006/relationships/hyperlink" Target="mailto:Liping.Wang@asu.edu" TargetMode="External" Id="rId65"/><Relationship Type="http://schemas.openxmlformats.org/officeDocument/2006/relationships/hyperlink" Target="http://faculty.engineering.asu.edu/lpwang" TargetMode="External" Id="rId66"/><Relationship Type="http://schemas.openxmlformats.org/officeDocument/2006/relationships/hyperlink" Target="https://faculty.engineering.asu.edu/directory/semte/aerospace-and-mechanical-engineering/" TargetMode="External" Id="rId67"/><Relationship Type="http://schemas.openxmlformats.org/officeDocument/2006/relationships/hyperlink" Target="https://search.asu.edu/profile/rywang" TargetMode="External" Id="rId68"/><Relationship Type="http://schemas.openxmlformats.org/officeDocument/2006/relationships/hyperlink" Target="https://scholar.google.com/citations?hl=en&amp;user=LaUdx9gAAAAJ" TargetMode="External" Id="rId69"/><Relationship Type="http://schemas.openxmlformats.org/officeDocument/2006/relationships/hyperlink" Target="mailto:rywang@asu.edu" TargetMode="External" Id="rId70"/><Relationship Type="http://schemas.openxmlformats.org/officeDocument/2006/relationships/hyperlink" Target="http://wang.faculty.asu.edu/" TargetMode="External" Id="rId71"/><Relationship Type="http://schemas.openxmlformats.org/officeDocument/2006/relationships/hyperlink" Target="https://faculty.engineering.asu.edu/directory/semte/aerospace-and-mechanical-engineering/" TargetMode="External" Id="rId72"/><Relationship Type="http://schemas.openxmlformats.org/officeDocument/2006/relationships/hyperlink" Target="https://search.asu.edu/profile/attwl" TargetMode="External" Id="rId73"/><Relationship Type="http://schemas.openxmlformats.org/officeDocument/2006/relationships/hyperlink" Target="https://scholar.google.com/citations?view_op=search_authors&amp;mauthors=T.-W.%20Lee%20Arizona%20State%20University" TargetMode="External" Id="rId74"/><Relationship Type="http://schemas.openxmlformats.org/officeDocument/2006/relationships/hyperlink" Target="mailto:ATTWL@asu.edu" TargetMode="External" Id="rId75"/><Relationship Type="http://schemas.openxmlformats.org/officeDocument/2006/relationships/hyperlink" Target="https://faculty.engineering.asu.edu/directory/semte/aerospace-and-mechanical-engineering/" TargetMode="External" Id="rId76"/><Relationship Type="http://schemas.openxmlformats.org/officeDocument/2006/relationships/hyperlink" Target="https://search.asu.edu/profile/tyang123" TargetMode="External" Id="rId77"/><Relationship Type="http://schemas.openxmlformats.org/officeDocument/2006/relationships/hyperlink" Target="https://scholar.google.com/citations?hl=en&amp;user=OmBV67MAAAAJ" TargetMode="External" Id="rId78"/><Relationship Type="http://schemas.openxmlformats.org/officeDocument/2006/relationships/hyperlink" Target="mailto:Tianyu.Yang@asu.edu" TargetMode="External" Id="rId79"/><Relationship Type="http://schemas.openxmlformats.org/officeDocument/2006/relationships/hyperlink" Target="https://faculty.engineering.asu.edu/directory/semte/aerospace-and-mechanical-engineering/" TargetMode="External" Id="rId80"/><Relationship Type="http://schemas.openxmlformats.org/officeDocument/2006/relationships/hyperlink" Target="https://search.asu.edu/profile/bkwon2" TargetMode="External" Id="rId81"/><Relationship Type="http://schemas.openxmlformats.org/officeDocument/2006/relationships/hyperlink" Target="https://scholar.google.com/citations?hl=en&amp;user=fs2d97sAAAAJ" TargetMode="External" Id="rId82"/><Relationship Type="http://schemas.openxmlformats.org/officeDocument/2006/relationships/hyperlink" Target="mailto:kwon@asu.edu" TargetMode="External" Id="rId83"/><Relationship Type="http://schemas.openxmlformats.org/officeDocument/2006/relationships/hyperlink" Target="http://sites.google.com/view/3denergy" TargetMode="External" Id="rId84"/><Relationship Type="http://schemas.openxmlformats.org/officeDocument/2006/relationships/hyperlink" Target="https://faculty.engineering.asu.edu/directory/semte/aerospace-and-mechanical-engineering/" TargetMode="External" Id="rId85"/><Relationship Type="http://schemas.openxmlformats.org/officeDocument/2006/relationships/hyperlink" Target="https://search.asu.edu/profile/pphelan" TargetMode="External" Id="rId86"/><Relationship Type="http://schemas.openxmlformats.org/officeDocument/2006/relationships/hyperlink" Target="https://scholar.google.com/citations?view_op=search_authors&amp;mauthors=Patrick%20Phelan%20Arizona%20State%20University" TargetMode="External" Id="rId87"/><Relationship Type="http://schemas.openxmlformats.org/officeDocument/2006/relationships/hyperlink" Target="mailto:phelan@asu.edu" TargetMode="External" Id="rId88"/><Relationship Type="http://schemas.openxmlformats.org/officeDocument/2006/relationships/hyperlink" Target="https://faculty.engineering.asu.edu/directory/semte/aerospace-and-mechanical-engineering/" TargetMode="External" Id="rId89"/><Relationship Type="http://schemas.openxmlformats.org/officeDocument/2006/relationships/hyperlink" Target="https://search.asu.edu/profile/krykacze" TargetMode="External" Id="rId90"/><Relationship Type="http://schemas.openxmlformats.org/officeDocument/2006/relationships/hyperlink" Target="https://scholar.google.com/citations?hl=en&amp;user=SWeAf4UAAAAJ" TargetMode="External" Id="rId91"/><Relationship Type="http://schemas.openxmlformats.org/officeDocument/2006/relationships/hyperlink" Target="mailto:konradr@asu.edu" TargetMode="External" Id="rId92"/><Relationship Type="http://schemas.openxmlformats.org/officeDocument/2006/relationships/hyperlink" Target="http://faculty.engineering.asu.edu/konrad/" TargetMode="External" Id="rId93"/><Relationship Type="http://schemas.openxmlformats.org/officeDocument/2006/relationships/hyperlink" Target="https://faculty.engineering.asu.edu/directory/semte/aerospace-and-mechanical-engineering/" TargetMode="External" Id="rId94"/></Relationships>
</file>

<file path=xl/worksheets/_rels/sheet3.xml.rels><Relationships xmlns="http://schemas.openxmlformats.org/package/2006/relationships"><Relationship Type="http://schemas.openxmlformats.org/officeDocument/2006/relationships/hyperlink" Target="https://search.asu.edu/profile/mkasbaou" TargetMode="External" Id="rId1"/><Relationship Type="http://schemas.openxmlformats.org/officeDocument/2006/relationships/hyperlink" Target="https://scholar.google.com/citations?view_op=search_authors&amp;mauthors=Mohamed%20Houssem%20Kasbaoui%20Arizona%20State%20University" TargetMode="External" Id="rId2"/><Relationship Type="http://schemas.openxmlformats.org/officeDocument/2006/relationships/hyperlink" Target="mailto:houssem.kasbaoui@asu.edu" TargetMode="External" Id="rId3"/><Relationship Type="http://schemas.openxmlformats.org/officeDocument/2006/relationships/hyperlink" Target="https://doi.org/10.1017/jfm.2022.50 | https://doi.org/10.1017/jfm.2020.784" TargetMode="External" Id="rId4"/><Relationship Type="http://schemas.openxmlformats.org/officeDocument/2006/relationships/hyperlink" Target="https://kasbaoui.bitbucket.io" TargetMode="External" Id="rId5"/><Relationship Type="http://schemas.openxmlformats.org/officeDocument/2006/relationships/hyperlink" Target="https://bitbucket.org/krgasu/leap/downloads/leap-v0.8.2.tar.gz" TargetMode="External" Id="rId6"/><Relationship Type="http://schemas.openxmlformats.org/officeDocument/2006/relationships/hyperlink" Target="https://faculty.engineering.asu.edu/directory/semte/aerospace-and-mechanical-engineering/" TargetMode="External" Id="rId7"/><Relationship Type="http://schemas.openxmlformats.org/officeDocument/2006/relationships/hyperlink" Target="https://search.asu.edu/profile/asuchen" TargetMode="External" Id="rId8"/><Relationship Type="http://schemas.openxmlformats.org/officeDocument/2006/relationships/hyperlink" Target="https://scholar.google.com/citations?hl=en&amp;user=xT-lX9sAAAAJ" TargetMode="External" Id="rId9"/><Relationship Type="http://schemas.openxmlformats.org/officeDocument/2006/relationships/hyperlink" Target="mailto:k.p.chen@asu.edu" TargetMode="External" Id="rId10"/><Relationship Type="http://schemas.openxmlformats.org/officeDocument/2006/relationships/hyperlink" Target="https://doi.org/10.1016/j.ijrmms.2023.105422 | https://doi.org/10.1017/s0022112089000960" TargetMode="External" Id="rId11"/><Relationship Type="http://schemas.openxmlformats.org/officeDocument/2006/relationships/hyperlink" Target="https://faculty.engineering.asu.edu/directory/semte/aerospace-and-mechanical-engineering/" TargetMode="External" Id="rId12"/><Relationship Type="http://schemas.openxmlformats.org/officeDocument/2006/relationships/hyperlink" Target="https://search.asu.edu/profile/kramesh2" TargetMode="External" Id="rId13"/><Relationship Type="http://schemas.openxmlformats.org/officeDocument/2006/relationships/hyperlink" Target="https://scholar.google.com/citations?hl=en&amp;user=DKc-AgcAAAAJ" TargetMode="External" Id="rId14"/><Relationship Type="http://schemas.openxmlformats.org/officeDocument/2006/relationships/hyperlink" Target="mailto:Kiran.Ramesh@asu.edu" TargetMode="External" Id="rId15"/><Relationship Type="http://schemas.openxmlformats.org/officeDocument/2006/relationships/hyperlink" Target="https://doi.org/10.1007/s00348-020-03095-2 | https://doi.org/10.1017/jfm.2019.1070" TargetMode="External" Id="rId16"/><Relationship Type="http://schemas.openxmlformats.org/officeDocument/2006/relationships/hyperlink" Target="https://faculty.engineering.asu.edu/directory/semte/aerospace-and-mechanical-engineering/" TargetMode="External" Id="rId17"/><Relationship Type="http://schemas.openxmlformats.org/officeDocument/2006/relationships/hyperlink" Target="https://search.asu.edu/profile/leixinma" TargetMode="External" Id="rId18"/><Relationship Type="http://schemas.openxmlformats.org/officeDocument/2006/relationships/hyperlink" Target="https://scholar.google.com/citations?hl=en&amp;user=2xQTOc0AAAAJ" TargetMode="External" Id="rId19"/><Relationship Type="http://schemas.openxmlformats.org/officeDocument/2006/relationships/hyperlink" Target="mailto:Leixin.Ma@asu.edu" TargetMode="External" Id="rId20"/><Relationship Type="http://schemas.openxmlformats.org/officeDocument/2006/relationships/hyperlink" Target="https://doi.org/10.1016/j.marstruc.2022.103195 | https://doi.org/10.1016/j.oceaneng.2022.111858" TargetMode="External" Id="rId21"/><Relationship Type="http://schemas.openxmlformats.org/officeDocument/2006/relationships/hyperlink" Target="https://sites.google.com/view/oasislabasu" TargetMode="External" Id="rId22"/><Relationship Type="http://schemas.openxmlformats.org/officeDocument/2006/relationships/hyperlink" Target="https://faculty.engineering.asu.edu/directory/semte/aerospace-and-mechanical-engineering/" TargetMode="External" Id="rId23"/><Relationship Type="http://schemas.openxmlformats.org/officeDocument/2006/relationships/hyperlink" Target="https://search.asu.edu/profile/gpathiko" TargetMode="External" Id="rId24"/><Relationship Type="http://schemas.openxmlformats.org/officeDocument/2006/relationships/hyperlink" Target="https://scholar.google.com/citations?view_op=search_authors&amp;mauthors=Gokul%20Pathikonda%20Arizona%20State%20University" TargetMode="External" Id="rId25"/><Relationship Type="http://schemas.openxmlformats.org/officeDocument/2006/relationships/hyperlink" Target="mailto:Gokul.Pathikonda@asu.edu" TargetMode="External" Id="rId26"/><Relationship Type="http://schemas.openxmlformats.org/officeDocument/2006/relationships/hyperlink" Target="https://doi.org/10.1017/jfm.2025.11073 | https://doi.org/10.1017/jfm.2022.1076" TargetMode="External" Id="rId27"/><Relationship Type="http://schemas.openxmlformats.org/officeDocument/2006/relationships/hyperlink" Target="https://faculty.engineering.asu.edu/cmat/" TargetMode="External" Id="rId28"/><Relationship Type="http://schemas.openxmlformats.org/officeDocument/2006/relationships/hyperlink" Target="https://faculty.engineering.asu.edu/directory/semte/aerospace-and-mechanical-engineering/" TargetMode="External" Id="rId29"/><Relationship Type="http://schemas.openxmlformats.org/officeDocument/2006/relationships/hyperlink" Target="https://search.asu.edu/profile/mherrma1" TargetMode="External" Id="rId30"/><Relationship Type="http://schemas.openxmlformats.org/officeDocument/2006/relationships/hyperlink" Target="https://scholar.google.com/citations?hl=en&amp;user=yv6aCW8AAAAJ" TargetMode="External" Id="rId31"/><Relationship Type="http://schemas.openxmlformats.org/officeDocument/2006/relationships/hyperlink" Target="mailto:Marcus.Herrmann@asu.edu" TargetMode="External" Id="rId32"/><Relationship Type="http://schemas.openxmlformats.org/officeDocument/2006/relationships/hyperlink" Target="https://doi.org/10.1016/j.proci.2020.08.004 | https://doi.org/10.1016/j.jcp.2023.112136" TargetMode="External" Id="rId33"/><Relationship Type="http://schemas.openxmlformats.org/officeDocument/2006/relationships/hyperlink" Target="https://faculty.engineering.asu.edu/directory/semte/aerospace-and-mechanical-engineering/" TargetMode="External" Id="rId34"/><Relationship Type="http://schemas.openxmlformats.org/officeDocument/2006/relationships/hyperlink" Target="https://search.asu.edu/profile/jkim520" TargetMode="External" Id="rId35"/><Relationship Type="http://schemas.openxmlformats.org/officeDocument/2006/relationships/hyperlink" Target="https://scholar.google.com/citations?view_op=search_authors&amp;mauthors=Jeonglae%20Kim%20Arizona%20State%20University" TargetMode="External" Id="rId36"/><Relationship Type="http://schemas.openxmlformats.org/officeDocument/2006/relationships/hyperlink" Target="mailto:jeokim@asu.edu" TargetMode="External" Id="rId37"/><Relationship Type="http://schemas.openxmlformats.org/officeDocument/2006/relationships/hyperlink" Target="https://doi.org/10.1007/s12206-023-1029-x | https://doi.org/10.1017/jfm.2013.654" TargetMode="External" Id="rId38"/><Relationship Type="http://schemas.openxmlformats.org/officeDocument/2006/relationships/hyperlink" Target="https://faculty.engineering.asu.edu/directory/semte/aerospace-and-mechanical-engineering/" TargetMode="External" Id="rId39"/><Relationship Type="http://schemas.openxmlformats.org/officeDocument/2006/relationships/hyperlink" Target="https://search.asu.edu/profile/rjmilcar" TargetMode="External" Id="rId40"/><Relationship Type="http://schemas.openxmlformats.org/officeDocument/2006/relationships/hyperlink" Target="https://scholar.google.com/citations?hl=en&amp;user=m-Pb6g2pm2UC" TargetMode="External" Id="rId41"/><Relationship Type="http://schemas.openxmlformats.org/officeDocument/2006/relationships/hyperlink" Target="mailto:Ryan.Milcarek@asu.edu" TargetMode="External" Id="rId42"/><Relationship Type="http://schemas.openxmlformats.org/officeDocument/2006/relationships/hyperlink" Target="https://doi.org/10.1016/j.ecmx.2023.100394 | https://doi.org/10.1016/j.energy.2023.128818" TargetMode="External" Id="rId43"/><Relationship Type="http://schemas.openxmlformats.org/officeDocument/2006/relationships/hyperlink" Target="http://RESEARCHGATE.net/profile/Ryan_Milcarek" TargetMode="External" Id="rId44"/><Relationship Type="http://schemas.openxmlformats.org/officeDocument/2006/relationships/hyperlink" Target="https://faculty.engineering.asu.edu/directory/semte/aerospace-and-mechanical-engineering/" TargetMode="External" Id="rId45"/><Relationship Type="http://schemas.openxmlformats.org/officeDocument/2006/relationships/hyperlink" Target="https://search.asu.edu/profile/adscotti" TargetMode="External" Id="rId46"/><Relationship Type="http://schemas.openxmlformats.org/officeDocument/2006/relationships/hyperlink" Target="https://scholar.google.com/citations?hl=en&amp;user=HRx2lJQAAAAJ" TargetMode="External" Id="rId47"/><Relationship Type="http://schemas.openxmlformats.org/officeDocument/2006/relationships/hyperlink" Target="mailto:Alberto.Scotti@asu.edu" TargetMode="External" Id="rId48"/><Relationship Type="http://schemas.openxmlformats.org/officeDocument/2006/relationships/hyperlink" Target="https://doi.org/10.1017/jfm.2022.206 | https://doi.org/10.1016/j.apor.2020.102402" TargetMode="External" Id="rId49"/><Relationship Type="http://schemas.openxmlformats.org/officeDocument/2006/relationships/hyperlink" Target="https://faculty.engineering.asu.edu/directory/semte/aerospace-and-mechanical-engineering/" TargetMode="External" Id="rId50"/><Relationship Type="http://schemas.openxmlformats.org/officeDocument/2006/relationships/hyperlink" Target="https://search.asu.edu/profile/ypeet" TargetMode="External" Id="rId51"/><Relationship Type="http://schemas.openxmlformats.org/officeDocument/2006/relationships/hyperlink" Target="https://scholar.google.com/citations?hl=en&amp;user=_6o8MrUAAAAJ" TargetMode="External" Id="rId52"/><Relationship Type="http://schemas.openxmlformats.org/officeDocument/2006/relationships/hyperlink" Target="mailto:ypeet@asu.edu" TargetMode="External" Id="rId53"/><Relationship Type="http://schemas.openxmlformats.org/officeDocument/2006/relationships/hyperlink" Target="https://doi.org/10.1017/jfm.2023.231 | https://doi.org/10.1016/j.euromechflu.2023.07.008" TargetMode="External" Id="rId54"/><Relationship Type="http://schemas.openxmlformats.org/officeDocument/2006/relationships/hyperlink" Target="https://isim.asu.edu" TargetMode="External" Id="rId55"/><Relationship Type="http://schemas.openxmlformats.org/officeDocument/2006/relationships/hyperlink" Target="https://faculty.engineering.asu.edu/directory/semte/aerospace-and-mechanical-engineering/" TargetMode="External" Id="rId56"/><Relationship Type="http://schemas.openxmlformats.org/officeDocument/2006/relationships/hyperlink" Target="https://search.asu.edu/profile/rcalhou" TargetMode="External" Id="rId57"/><Relationship Type="http://schemas.openxmlformats.org/officeDocument/2006/relationships/hyperlink" Target="https://scholar.google.com/citations?view_op=search_authors&amp;mauthors=Ronald%20Calhoun%20Arizona%20State%20University" TargetMode="External" Id="rId58"/><Relationship Type="http://schemas.openxmlformats.org/officeDocument/2006/relationships/hyperlink" Target="mailto:Ronald.Calhoun@asu.edu" TargetMode="External" Id="rId59"/><Relationship Type="http://schemas.openxmlformats.org/officeDocument/2006/relationships/hyperlink" Target="https://doi.org/10.1016/j.apenergy.2020.115050 | https://doi.org/10.1175/2010bams2614.1" TargetMode="External" Id="rId60"/><Relationship Type="http://schemas.openxmlformats.org/officeDocument/2006/relationships/hyperlink" Target="https://windlab.engineering.asu.edu/ronald-calhoun/" TargetMode="External" Id="rId61"/><Relationship Type="http://schemas.openxmlformats.org/officeDocument/2006/relationships/hyperlink" Target="https://faculty.engineering.asu.edu/directory/semte/aerospace-and-mechanical-engineering/" TargetMode="External" Id="rId62"/><Relationship Type="http://schemas.openxmlformats.org/officeDocument/2006/relationships/hyperlink" Target="https://search.asu.edu/profile/lwang78" TargetMode="External" Id="rId63"/><Relationship Type="http://schemas.openxmlformats.org/officeDocument/2006/relationships/hyperlink" Target="https://scholar.google.com/citations?view_op=search_authors&amp;mauthors=Liping%20Wang%20Arizona%20State%20University" TargetMode="External" Id="rId64"/><Relationship Type="http://schemas.openxmlformats.org/officeDocument/2006/relationships/hyperlink" Target="mailto:Liping.Wang@asu.edu" TargetMode="External" Id="rId65"/><Relationship Type="http://schemas.openxmlformats.org/officeDocument/2006/relationships/hyperlink" Target="http://faculty.engineering.asu.edu/lpwang" TargetMode="External" Id="rId66"/><Relationship Type="http://schemas.openxmlformats.org/officeDocument/2006/relationships/hyperlink" Target="https://faculty.engineering.asu.edu/directory/semte/aerospace-and-mechanical-engineering/" TargetMode="External" Id="rId67"/><Relationship Type="http://schemas.openxmlformats.org/officeDocument/2006/relationships/hyperlink" Target="https://search.asu.edu/profile/rywang" TargetMode="External" Id="rId68"/><Relationship Type="http://schemas.openxmlformats.org/officeDocument/2006/relationships/hyperlink" Target="https://scholar.google.com/citations?hl=en&amp;user=LaUdx9gAAAAJ" TargetMode="External" Id="rId69"/><Relationship Type="http://schemas.openxmlformats.org/officeDocument/2006/relationships/hyperlink" Target="mailto:rywang@asu.edu" TargetMode="External" Id="rId70"/><Relationship Type="http://schemas.openxmlformats.org/officeDocument/2006/relationships/hyperlink" Target="http://wang.faculty.asu.edu/" TargetMode="External" Id="rId71"/><Relationship Type="http://schemas.openxmlformats.org/officeDocument/2006/relationships/hyperlink" Target="https://faculty.engineering.asu.edu/directory/semte/aerospace-and-mechanical-engineering/" TargetMode="External" Id="rId72"/><Relationship Type="http://schemas.openxmlformats.org/officeDocument/2006/relationships/hyperlink" Target="https://search.asu.edu/profile/attwl" TargetMode="External" Id="rId73"/><Relationship Type="http://schemas.openxmlformats.org/officeDocument/2006/relationships/hyperlink" Target="https://scholar.google.com/citations?view_op=search_authors&amp;mauthors=T.-W.%20Lee%20Arizona%20State%20University" TargetMode="External" Id="rId74"/><Relationship Type="http://schemas.openxmlformats.org/officeDocument/2006/relationships/hyperlink" Target="mailto:ATTWL@asu.edu" TargetMode="External" Id="rId75"/><Relationship Type="http://schemas.openxmlformats.org/officeDocument/2006/relationships/hyperlink" Target="https://faculty.engineering.asu.edu/directory/semte/aerospace-and-mechanical-engineering/" TargetMode="External" Id="rId76"/><Relationship Type="http://schemas.openxmlformats.org/officeDocument/2006/relationships/hyperlink" Target="https://search.asu.edu/profile/tyang123" TargetMode="External" Id="rId77"/><Relationship Type="http://schemas.openxmlformats.org/officeDocument/2006/relationships/hyperlink" Target="https://scholar.google.com/citations?hl=en&amp;user=OmBV67MAAAAJ" TargetMode="External" Id="rId78"/><Relationship Type="http://schemas.openxmlformats.org/officeDocument/2006/relationships/hyperlink" Target="mailto:Tianyu.Yang@asu.edu" TargetMode="External" Id="rId79"/><Relationship Type="http://schemas.openxmlformats.org/officeDocument/2006/relationships/hyperlink" Target="https://faculty.engineering.asu.edu/directory/semte/aerospace-and-mechanical-engineering/" TargetMode="External" Id="rId80"/><Relationship Type="http://schemas.openxmlformats.org/officeDocument/2006/relationships/hyperlink" Target="https://search.asu.edu/profile/bkwon2" TargetMode="External" Id="rId81"/><Relationship Type="http://schemas.openxmlformats.org/officeDocument/2006/relationships/hyperlink" Target="https://scholar.google.com/citations?hl=en&amp;user=fs2d97sAAAAJ" TargetMode="External" Id="rId82"/><Relationship Type="http://schemas.openxmlformats.org/officeDocument/2006/relationships/hyperlink" Target="mailto:kwon@asu.edu" TargetMode="External" Id="rId83"/><Relationship Type="http://schemas.openxmlformats.org/officeDocument/2006/relationships/hyperlink" Target="http://sites.google.com/view/3denergy" TargetMode="External" Id="rId84"/><Relationship Type="http://schemas.openxmlformats.org/officeDocument/2006/relationships/hyperlink" Target="https://faculty.engineering.asu.edu/directory/semte/aerospace-and-mechanical-engineering/" TargetMode="External" Id="rId85"/><Relationship Type="http://schemas.openxmlformats.org/officeDocument/2006/relationships/hyperlink" Target="https://search.asu.edu/profile/pphelan" TargetMode="External" Id="rId86"/><Relationship Type="http://schemas.openxmlformats.org/officeDocument/2006/relationships/hyperlink" Target="https://scholar.google.com/citations?view_op=search_authors&amp;mauthors=Patrick%20Phelan%20Arizona%20State%20University" TargetMode="External" Id="rId87"/><Relationship Type="http://schemas.openxmlformats.org/officeDocument/2006/relationships/hyperlink" Target="mailto:phelan@asu.edu" TargetMode="External" Id="rId88"/><Relationship Type="http://schemas.openxmlformats.org/officeDocument/2006/relationships/hyperlink" Target="https://faculty.engineering.asu.edu/directory/semte/aerospace-and-mechanical-engineering/" TargetMode="External" Id="rId89"/><Relationship Type="http://schemas.openxmlformats.org/officeDocument/2006/relationships/hyperlink" Target="https://search.asu.edu/profile/krykacze" TargetMode="External" Id="rId90"/><Relationship Type="http://schemas.openxmlformats.org/officeDocument/2006/relationships/hyperlink" Target="https://scholar.google.com/citations?hl=en&amp;user=SWeAf4UAAAAJ" TargetMode="External" Id="rId91"/><Relationship Type="http://schemas.openxmlformats.org/officeDocument/2006/relationships/hyperlink" Target="mailto:konradr@asu.edu" TargetMode="External" Id="rId92"/><Relationship Type="http://schemas.openxmlformats.org/officeDocument/2006/relationships/hyperlink" Target="http://faculty.engineering.asu.edu/konrad/" TargetMode="External" Id="rId93"/><Relationship Type="http://schemas.openxmlformats.org/officeDocument/2006/relationships/hyperlink" Target="https://faculty.engineering.asu.edu/directory/semte/aerospace-and-mechanical-engineering/" TargetMode="External" Id="rId94"/></Relationships>
</file>

<file path=xl/worksheets/sheet1.xml><?xml version="1.0" encoding="utf-8"?>
<worksheet xmlns="http://schemas.openxmlformats.org/spreadsheetml/2006/main">
  <sheetPr>
    <outlinePr summaryBelow="1" summaryRight="1"/>
    <pageSetUpPr/>
  </sheetPr>
  <dimension ref="A1:AN12"/>
  <sheetViews>
    <sheetView showGridLines="1" workbookViewId="0">
      <selection activeCell="A1" sqref="A1"/>
    </sheetView>
  </sheetViews>
  <sheetFormatPr baseColWidth="8" defaultRowHeight="15"/>
  <cols>
    <col width="28" customWidth="1" min="1" max="1"/>
    <col width="28" customWidth="1" min="2" max="2"/>
    <col width="49" customWidth="1" min="3" max="3"/>
    <col width="32" customWidth="1" min="4" max="4"/>
    <col width="23" customWidth="1" min="5" max="5"/>
    <col width="38" customWidth="1" min="6" max="6"/>
    <col width="16" customWidth="1" min="7" max="7"/>
    <col width="49" customWidth="1" min="8" max="8"/>
    <col width="17" customWidth="1" min="9" max="9"/>
    <col width="45" customWidth="1" min="10" max="10"/>
    <col width="17" customWidth="1" min="11" max="11"/>
    <col width="65" customWidth="1" min="12" max="12"/>
    <col width="65" customWidth="1" min="13" max="13"/>
    <col width="49" customWidth="1" min="14" max="14"/>
    <col width="65" customWidth="1" min="15" max="15"/>
    <col width="65" customWidth="1" min="16" max="16"/>
    <col width="65" customWidth="1" min="17" max="17"/>
    <col width="65" customWidth="1" min="18" max="18"/>
    <col width="65" customWidth="1" min="19" max="19"/>
    <col width="65" customWidth="1" min="20" max="20"/>
    <col width="65" customWidth="1" min="21" max="21"/>
    <col width="65" customWidth="1" min="22" max="22"/>
    <col width="65" customWidth="1" min="23" max="23"/>
    <col width="65" customWidth="1" min="24" max="24"/>
    <col width="65" customWidth="1" min="25" max="25"/>
    <col width="65" customWidth="1" min="26" max="26"/>
    <col width="65" customWidth="1" min="27" max="27"/>
    <col width="65" customWidth="1" min="28" max="28"/>
    <col width="65" customWidth="1" min="29" max="29"/>
    <col width="65" customWidth="1" min="30" max="30"/>
    <col width="49" customWidth="1" min="31" max="31"/>
    <col width="65" customWidth="1" min="32" max="32"/>
    <col width="33" customWidth="1" min="33" max="33"/>
    <col width="30" customWidth="1" min="34" max="34"/>
    <col width="20" customWidth="1" min="35" max="35"/>
    <col width="49" customWidth="1" min="36" max="36"/>
    <col width="56" customWidth="1" min="37" max="37"/>
    <col width="65" customWidth="1" min="38" max="38"/>
    <col width="18" customWidth="1" min="39" max="39"/>
    <col width="49" customWidth="1" min="40" max="40"/>
  </cols>
  <sheetData>
    <row r="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Flagship Paper Hook</t>
        </is>
      </c>
      <c r="N1" s="1" t="inlineStr">
        <is>
          <t>Flagship Paper DOI</t>
        </is>
      </c>
      <c r="O1" s="1" t="inlineStr">
        <is>
          <t>Tech Stack</t>
        </is>
      </c>
      <c r="P1" s="1" t="inlineStr">
        <is>
          <t>Physical Finding</t>
        </is>
      </c>
      <c r="Q1" s="1" t="inlineStr">
        <is>
          <t>Research Hook</t>
        </is>
      </c>
      <c r="R1" s="1" t="inlineStr">
        <is>
          <t>Latest Paper / Publication</t>
        </is>
      </c>
      <c r="S1" s="1" t="inlineStr">
        <is>
          <t>Recent Papers (2024-2026)</t>
        </is>
      </c>
      <c r="T1" s="1" t="inlineStr">
        <is>
          <t>Top Cited Papers</t>
        </is>
      </c>
      <c r="U1" s="1" t="inlineStr">
        <is>
          <t>Courses Taught</t>
        </is>
      </c>
      <c r="V1" s="1" t="inlineStr">
        <is>
          <t>Recent Awards / Honors</t>
        </is>
      </c>
      <c r="W1" s="1" t="inlineStr">
        <is>
          <t>Cold Email / Application Instructions</t>
        </is>
      </c>
      <c r="X1" s="1" t="inlineStr">
        <is>
          <t>OpenAlex Research Topics</t>
        </is>
      </c>
      <c r="Y1" s="1" t="inlineStr">
        <is>
          <t>Google Scholar Tags</t>
        </is>
      </c>
      <c r="Z1" s="1" t="inlineStr">
        <is>
          <t>Research Interests</t>
        </is>
      </c>
      <c r="AA1" s="1" t="inlineStr">
        <is>
          <t>Expertise Areas</t>
        </is>
      </c>
      <c r="AB1" s="1" t="inlineStr">
        <is>
          <t>Research / Bio Summary</t>
        </is>
      </c>
      <c r="AC1" s="1" t="inlineStr">
        <is>
          <t>Education / Degrees</t>
        </is>
      </c>
      <c r="AD1" s="1" t="inlineStr">
        <is>
          <t>Lab / Research Group Name</t>
        </is>
      </c>
      <c r="AE1" s="1" t="inlineStr">
        <is>
          <t>Lab / Personal Website</t>
        </is>
      </c>
      <c r="AF1" s="1" t="inlineStr">
        <is>
          <t>Actively Hiring / Openings</t>
        </is>
      </c>
      <c r="AG1" s="1" t="inlineStr">
        <is>
          <t>Target Skills / Prerequisites</t>
        </is>
      </c>
      <c r="AH1" s="1" t="inlineStr">
        <is>
          <t>Lab Facilities &amp; Equipment</t>
        </is>
      </c>
      <c r="AI1" s="1" t="inlineStr">
        <is>
          <t>Funding Sponsors</t>
        </is>
      </c>
      <c r="AJ1" s="1" t="inlineStr">
        <is>
          <t>Software / Code Repo</t>
        </is>
      </c>
      <c r="AK1" s="1" t="inlineStr">
        <is>
          <t>Latest Project / Highlight</t>
        </is>
      </c>
      <c r="AL1" s="1" t="inlineStr">
        <is>
          <t>Office Location</t>
        </is>
      </c>
      <c r="AM1" s="1" t="inlineStr">
        <is>
          <t>Is Field Match</t>
        </is>
      </c>
      <c r="AN1" s="1" t="inlineStr">
        <is>
          <t>Directory URL</t>
        </is>
      </c>
    </row>
    <row r="2">
      <c r="A2" s="2" t="inlineStr">
        <is>
          <t>Mohamed Houssem Kasbaoui</t>
        </is>
      </c>
      <c r="B2" s="2" t="inlineStr">
        <is>
          <t>Arizona State University</t>
        </is>
      </c>
      <c r="C2" s="3">
        <f>HYPERLINK("https://search.asu.edu/profile/mkasbaou", "https://search.asu.edu/profile/mkasbaou")</f>
        <v/>
      </c>
      <c r="D2" s="3">
        <f>HYPERLINK("https://scholar.google.com/citations?view_op=search_authors&amp;mauthors=Mohamed%20Houssem%20Kasbaoui%20Arizona%20State%20University", "Google Scholar Search")</f>
        <v/>
      </c>
      <c r="E2" s="2" t="inlineStr">
        <is>
          <t>Associate Professor</t>
        </is>
      </c>
      <c r="F2" s="2" t="inlineStr">
        <is>
          <t>Aerospace &amp; Mechanical Engineering</t>
        </is>
      </c>
      <c r="G2" s="2" t="inlineStr"/>
      <c r="H2" s="3">
        <f>HYPERLINK("mailto:houssem.kasbaoui@asu.edu", "houssem.kasbaoui@asu.edu")</f>
        <v/>
      </c>
      <c r="I2" s="2" t="n">
        <v>1</v>
      </c>
      <c r="J2" s="2" t="inlineStr">
        <is>
          <t>🔵 Tier 1: Core Aero / Fluids / Propulsion</t>
        </is>
      </c>
      <c r="K2" s="2" t="n">
        <v>8</v>
      </c>
      <c r="L2" s="2" t="inlineStr">
        <is>
          <t>aerospace, cfd, computational fluid dynamics, dns, fluid dynamics, fluid-structure interaction, multiphase flow, turbulent</t>
        </is>
      </c>
      <c r="M2" s="2" t="inlineStr">
        <is>
          <t>1. Accelerated decay of a Lamb–Oseen vortex tube laden with inertial particles in Eulerian–Lagrangian simulations (Journal of Fluid Mechanics, 2022) [DOI: https://doi.org/10.1017/jfm.2022.50] | 2. Reynolds number scaling of burning rates in spherical turbulent premixed flames (Journal of Fluid Mechanics, 2020) [DOI: https://doi.org/10.1017/jfm.2020.784]</t>
        </is>
      </c>
      <c r="N2" s="3">
        <f>HYPERLINK("https://doi.org/10.1017/jfm.2022.50 | https://doi.org/10.1017/jfm.2020.784", "https://doi.org/10.1017/jfm.2022.50 | https://doi.org/10.1017/jfm.2020.784")</f>
        <v/>
      </c>
      <c r="O2" s="2" t="inlineStr">
        <is>
          <t>Eulerian–Lagrangian Point-Particle DNS, Immersed Boundary Method, Spectral Collocation, Anisotropic Particle Clustering Solvers</t>
        </is>
      </c>
      <c r="P2" s="2" t="inlineStr">
        <is>
          <t>performing point-particle Eulerian–Lagrangian DNS of a Lamb–Oseen vortex tube laden with inertial particles, demonstrating that preferential particulate expulsion accelerates peak vorticity decay by over 35% compared to clean vortex tubes.</t>
        </is>
      </c>
      <c r="Q2" s="2" t="inlineStr">
        <is>
          <t>Eulerian–Lagrangian point-particle direct numerical simulations for turbulent particulate shear layers, vortex tubes, and oscillatory boundary layers over sediment beds.</t>
        </is>
      </c>
      <c r="R2" s="2" t="inlineStr">
        <is>
          <t>Refereed Journal Papers M. H. Kasbaoui and M. Herrmann, A high-fidelity methodology for particle-resolved direct numerical simu...</t>
        </is>
      </c>
      <c r="S2" s="2" t="inlineStr">
        <is>
          <t>"Modelling the wall slip in large eddy simulations with immersed boundaries" [Journal of Fluid Mechanics] (2026) [DOI: https://doi.org/10.1017/jfm.2026.11788] | "Dynamics of an oscillatory boundary layer over a sediment bed in Euler–Lagrange simulations" [Journal of Fluid Mechanics] (2025) [DOI: https://doi.org/10.1017/jfm.2025.10809] | "Modeling the wall-slip in large eddy simulations with immersed boundaries" [arXiv (Cornell University)] (2025) [DOI: https://doi.org/10.48550/arxiv.2510.27029] | "A high-fidelity methodology for particle-resolved direct numerical simulations" [International Journal of Multiphase Flow] (2025) [DOI: https://doi.org/10.1016/j.ijmultiphaseflow.2025.105175] | "Characterization of the forcing and sub-filter scale terms in the volume-filtering immersed boundary method" [Journal of Computational Physics] (2025) [DOI: https://doi.org/10.1016/j.jcp.2025.113765]</t>
        </is>
      </c>
      <c r="T2" s="2" t="inlineStr">
        <is>
          <t>"Clustering in Euler–Euler and Euler–Lagrange simulations of unbounded homogeneous particle-laden shear" [Journal of Fluid Mechanics] (2018, 40 cites) [DOI: https://doi.org/10.1017/jfm.2018.796] | "Accelerated decay of a Lamb–Oseen vortex tube laden with inertial particles in Eulerian–Lagrangian simulations" [Journal of Fluid Mechanics] (2022, 22 cites) [DOI: https://doi.org/10.1017/jfm.2022.50] | "Reynolds number scaling of burning rates in spherical turbulent premixed flames" [Journal of Fluid Mechanics] (2020, 20 cites) [DOI: https://doi.org/10.1017/jfm.2020.784]</t>
        </is>
      </c>
      <c r="U2" s="2" t="inlineStr">
        <is>
          <t>MAE 242: Intro to Fluid Mechanics | MAE 574: Multiphase Flow | MAE 501: Linear Algebra in Engineering</t>
        </is>
      </c>
      <c r="V2" s="2" t="inlineStr"/>
      <c r="W2" s="2" t="inlineStr"/>
      <c r="X2" s="2" t="inlineStr">
        <is>
          <t>Particle Dynamics in Fluid Flows (22) | Fluid Dynamics and Turbulent Flows (19) | Granular flow and fluidized beds (14)</t>
        </is>
      </c>
      <c r="Y2" s="2" t="inlineStr">
        <is>
          <t>Particle Dynamics in Fluid Flows (22) | Fluid Dynamics and Turbulent Flows (19) | Granular flow and fluidized beds (14)</t>
        </is>
      </c>
      <c r="Z2" s="2" t="inlineStr"/>
      <c r="AA2" s="2" t="inlineStr"/>
      <c r="AB2" s="2" t="inlineStr">
        <is>
          <t>Kasbaoui's research interests include computational fluid dynamics, numerical methods, and massively parallel simulations of multiphase and particle-laden flows for environmental and aerospace applications.</t>
        </is>
      </c>
      <c r="AC2" s="2" t="inlineStr">
        <is>
          <t>Ph.D.  Aerospace Engineering, Cornell University, 2017 | M.Sc.  Aerospace Engineering, Cornell University, 2015 | M.Sc.  Theoretical Physics, Université Paris-Sud, 2014 | Diplôme d'Ingénieur , Ecole Centrale Paris, 2013 | B.Sc.  Theoretical Physics, Université Paris-Sud, 2011</t>
        </is>
      </c>
      <c r="AD2" s="2" t="inlineStr">
        <is>
          <t>Multiphase Flow and Fluid-Structure Interaction Group</t>
        </is>
      </c>
      <c r="AE2" s="3">
        <f>HYPERLINK("https://kasbaoui.bitbucket.io", "https://kasbaoui.bitbucket.io")</f>
        <v/>
      </c>
      <c r="AF2" s="2" t="inlineStr"/>
      <c r="AG2" s="2" t="inlineStr">
        <is>
          <t>CFD</t>
        </is>
      </c>
      <c r="AH2" s="2" t="inlineStr"/>
      <c r="AI2" s="2" t="inlineStr">
        <is>
          <t>AFOSR</t>
        </is>
      </c>
      <c r="AJ2" s="3">
        <f>HYPERLINK("https://bitbucket.org/krgasu/leap/downloads/leap-v0.8.2.tar.gz", "https://bitbucket.org/krgasu/leap/downloads/leap-v0.8.2.tar.gz, https://bitbucket.org/krgasu/leap/src/master")</f>
        <v/>
      </c>
      <c r="AK2" s="2" t="inlineStr">
        <is>
          <t>School for Engineering of Matter, Transport &amp; Energy</t>
        </is>
      </c>
      <c r="AL2" s="2" t="inlineStr">
        <is>
          <t>Campus: Tempe</t>
        </is>
      </c>
      <c r="AM2" s="2" t="b">
        <v>1</v>
      </c>
      <c r="AN2" s="3">
        <f>HYPERLINK("https://faculty.engineering.asu.edu/directory/semte/aerospace-and-mechanical-engineering/", "https://faculty.engineering.asu.edu/directory/semte/aerospace-and-mechanical-engineering/")</f>
        <v/>
      </c>
    </row>
    <row r="3">
      <c r="A3" s="2" t="inlineStr">
        <is>
          <t>Kangping Chen</t>
        </is>
      </c>
      <c r="B3" s="2" t="inlineStr">
        <is>
          <t>Arizona State University</t>
        </is>
      </c>
      <c r="C3" s="3">
        <f>HYPERLINK("https://search.asu.edu/profile/asuchen", "https://search.asu.edu/profile/asuchen")</f>
        <v/>
      </c>
      <c r="D3" s="3">
        <f>HYPERLINK("https://scholar.google.com/citations?hl=en&amp;user=xT-lX9sAAAAJ", "Scholar (xT-lX9sAAAAJ)")</f>
        <v/>
      </c>
      <c r="E3" s="2" t="inlineStr">
        <is>
          <t>Associate Professor</t>
        </is>
      </c>
      <c r="F3" s="2" t="inlineStr">
        <is>
          <t>Aerospace &amp; Mechanical Engineering</t>
        </is>
      </c>
      <c r="G3" s="2" t="inlineStr">
        <is>
          <t>xT-lX9sAAAAJ</t>
        </is>
      </c>
      <c r="H3" s="3">
        <f>HYPERLINK("mailto:k.p.chen@asu.edu", "k.p.chen@asu.edu")</f>
        <v/>
      </c>
      <c r="I3" s="2" t="n">
        <v>1</v>
      </c>
      <c r="J3" s="2" t="inlineStr">
        <is>
          <t>🔵 Tier 1: Core Aero / Fluids / Propulsion</t>
        </is>
      </c>
      <c r="K3" s="2" t="n">
        <v>6</v>
      </c>
      <c r="L3" s="2" t="inlineStr">
        <is>
          <t>aerospace, computational fluid dynamics, fluid dynamics, fluid mechanics, guidance, multiphase flow</t>
        </is>
      </c>
      <c r="M3" s="2" t="inlineStr">
        <is>
          <t>1. Thermo-poroelastodynamic response of a borehole in a saturated porous medium subjected to a non-hydrostatic stress field (International Journal of Rock Mechanics and Mining Sciences, 2023) [DOI: https://doi.org/10.1016/j.ijrmms.2023.105422] | 2. Lubricated pipelining: stability of core-annular flow (Journal of Fluid Mechanics, 1989) [DOI: https://doi.org/10.1017/s0022112089000960]</t>
        </is>
      </c>
      <c r="N3" s="3">
        <f>HYPERLINK("https://doi.org/10.1016/j.ijrmms.2023.105422 | https://doi.org/10.1017/s0022112089000960", "https://doi.org/10.1016/j.ijrmms.2023.105422 | https://doi.org/10.1017/s0022112089000960")</f>
        <v/>
      </c>
      <c r="O3" s="2" t="inlineStr">
        <is>
          <t>Thermo-Poroelastic Finite Element Modeling, Linear Hydrodynamic Stability Analysis, Spectral Collocation</t>
        </is>
      </c>
      <c r="P3" s="2" t="inlineStr">
        <is>
          <t>conducting coupled thermo-poroelastic analysis of pressurized boreholes, demonstrating that non-hydrostatic shear stresses induce asymmetric pore-pressure localization that increases wall tensile failure risk by 35%.</t>
        </is>
      </c>
      <c r="Q3" s="2" t="inlineStr">
        <is>
          <t>Thermo-poroelastodynamic modeling and hydrodynamic interfacial stability analysis for deep borehole flows and self-diffusion in porous media.</t>
        </is>
      </c>
      <c r="R3" s="2" t="inlineStr"/>
      <c r="S3" s="2" t="inlineStr">
        <is>
          <t>"Heterogeneous Feature Knowledge Distillation based on Enhanced Feature Projector Correlation" [Neural Networks] (2025) [DOI: https://doi.org/10.1016/j.neunet.2025.108409] | "Deep learning and multi-omics reveal programmed cell death-associated diagnostic signatures and prognostic biomarkers in gastric cancer" [Frontiers in Immunology] (2025) [DOI: https://doi.org/10.3389/fimmu.2025.1690200] | "Research on flexible job shop scheduling based on deep reinforcement learning with transformer-graph neural network" [Journal of Control and Decision] (2025) [DOI: https://doi.org/10.1080/23307706.2025.2557020] | "Astra: Toward General-Purpose Mobile Robots via Hierarchical Multimodal Learning" [arXiv (Cornell University)] (2025) [DOI: https://doi.org/10.48550/arxiv.2506.06205] | "Optimizing the flexible job shop scheduling problem via deep reinforcement learning with mean multichannel graph attention" [Applied Soft Computing] (2025) [DOI: https://doi.org/10.1016/j.asoc.2025.113128]</t>
        </is>
      </c>
      <c r="T3" s="2" t="inlineStr">
        <is>
          <t>"Lubricated pipelining: stability of core-annular flow" [Journal of Fluid Mechanics] (1989, 202 cites) [DOI: https://doi.org/10.1017/s0022112089000960] | "Lubricated pipelining: stability of core—annular flow. Part 5. Experiments and comparison with theory" [Journal of Fluid Mechanics] (1992, 163 cites) [DOI: https://doi.org/10.1017/s0022112092000041] | "Pool-boiling enhancement by novel metallic nanoporous surface" [Experimental Thermal and Fluid Science] (2012, 112 cites) [DOI: https://doi.org/10.1016/j.expthermflusci.2012.06.008]</t>
        </is>
      </c>
      <c r="U3" s="2" t="inlineStr">
        <is>
          <t>MAE 242: Intro to Fluid Mechanics | MAE 384: Adv Math Methods for Engineers | MAE 501: Linear Algebra in Engineering</t>
        </is>
      </c>
      <c r="V3" s="2" t="inlineStr"/>
      <c r="W3" s="2" t="inlineStr"/>
      <c r="X3" s="2" t="inlineStr">
        <is>
          <t>Fluid Dynamics and Thin Films (12) | Rheology and Fluid Dynamics Studies (11) | Hydraulic Fracturing and Reservoir Analysis (7)</t>
        </is>
      </c>
      <c r="Y3" s="2" t="inlineStr">
        <is>
          <t>Fluid Dynamics and Thin Films (12) | Rheology and Fluid Dynamics Studies (11) | Hydraulic Fracturing and Reservoir Analysis (7)</t>
        </is>
      </c>
      <c r="Z3" s="2" t="inlineStr"/>
      <c r="AA3" s="2" t="inlineStr"/>
      <c r="AB3" s="2" t="inlineStr">
        <is>
          <t>Chen’s research interests include multiphase flows, drag reduction, airplane de-icing, interfacial instabilities and flow in porous media.</t>
        </is>
      </c>
      <c r="AC3" s="2" t="inlineStr">
        <is>
          <t>Ph.D. Fluid Mechanics, University of Minnesota 1990 | B.S. Mechanics, Peking University, China 1982</t>
        </is>
      </c>
      <c r="AD3" s="2" t="inlineStr"/>
      <c r="AE3" s="2" t="inlineStr"/>
      <c r="AF3" s="2" t="inlineStr"/>
      <c r="AG3" s="2" t="inlineStr"/>
      <c r="AH3" s="2" t="inlineStr"/>
      <c r="AI3" s="2" t="inlineStr"/>
      <c r="AJ3" s="2" t="inlineStr"/>
      <c r="AK3" s="2" t="inlineStr"/>
      <c r="AL3" s="2" t="inlineStr">
        <is>
          <t>ENGRC 361 (TEMPE, AZ 85287-6106)</t>
        </is>
      </c>
      <c r="AM3" s="2" t="b">
        <v>1</v>
      </c>
      <c r="AN3" s="3">
        <f>HYPERLINK("https://faculty.engineering.asu.edu/directory/semte/aerospace-and-mechanical-engineering/", "https://faculty.engineering.asu.edu/directory/semte/aerospace-and-mechanical-engineering/")</f>
        <v/>
      </c>
    </row>
    <row r="4">
      <c r="A4" s="2" t="inlineStr">
        <is>
          <t>Kiran Ramesh</t>
        </is>
      </c>
      <c r="B4" s="2" t="inlineStr">
        <is>
          <t>Arizona State University</t>
        </is>
      </c>
      <c r="C4" s="3">
        <f>HYPERLINK("https://search.asu.edu/profile/kramesh2", "https://search.asu.edu/profile/kramesh2")</f>
        <v/>
      </c>
      <c r="D4" s="3">
        <f>HYPERLINK("https://scholar.google.com/citations?hl=en&amp;user=DKc-AgcAAAAJ", "Scholar (DKc-AgcAAAAJ)")</f>
        <v/>
      </c>
      <c r="E4" s="2" t="inlineStr">
        <is>
          <t>Associate Professor</t>
        </is>
      </c>
      <c r="F4" s="2" t="inlineStr">
        <is>
          <t>Aerospace &amp; Mechanical Engineering</t>
        </is>
      </c>
      <c r="G4" s="2" t="inlineStr">
        <is>
          <t>DKc-AgcAAAAJ</t>
        </is>
      </c>
      <c r="H4" s="3">
        <f>HYPERLINK("mailto:Kiran.Ramesh@asu.edu", "Kiran.Ramesh@asu.edu")</f>
        <v/>
      </c>
      <c r="I4" s="2" t="n">
        <v>1</v>
      </c>
      <c r="J4" s="2" t="inlineStr">
        <is>
          <t>🔵 Tier 1: Core Aero / Fluids / Propulsion</t>
        </is>
      </c>
      <c r="K4" s="2" t="n">
        <v>6</v>
      </c>
      <c r="L4" s="2" t="inlineStr">
        <is>
          <t>aerodynamics, aerospace, flow control, fluid dynamics, turbulence, vortex dynamics</t>
        </is>
      </c>
      <c r="M4" s="2" t="inlineStr">
        <is>
          <t>1. Unsteady lift on a high-amplitude pitching aerofoil (Experiments in Fluids, 2020) [DOI: https://doi.org/10.1007/s00348-020-03095-2] | 2. On the leading-edge suction and stagnation-point location in unsteady flows past thin aerofoils (Journal of Fluid Mechanics, 2020) [DOI: https://doi.org/10.1017/jfm.2019.1070]</t>
        </is>
      </c>
      <c r="N4" s="3">
        <f>HYPERLINK("https://doi.org/10.1007/s00348-020-03095-2 | https://doi.org/10.1017/jfm.2019.1070", "https://doi.org/10.1007/s00348-020-03095-2 | https://doi.org/10.1017/jfm.2019.1070")</f>
        <v/>
      </c>
      <c r="O4" s="2" t="inlineStr">
        <is>
          <t>Unsteady Discrete-Vortex Method (DVM), Unsteady Thin-Airfoil Theory, Vortex Particle Methods, Wind Tunnel Dynamic Pitching Rig</t>
        </is>
      </c>
      <c r="P4" s="2" t="inlineStr">
        <is>
          <t>applying closed-form unsteady thin-airfoil theory to high-amplitude pitching wings, demonstrating that leading-edge vortex initiation corresponds precisely to a critical suction threshold LESP independent of pitch rate.</t>
        </is>
      </c>
      <c r="Q4" s="2" t="inlineStr">
        <is>
          <t>Unsteady discrete-vortex methods and closed-form thin-airfoil theory for dynamic stall, leading-edge suction parameter (LESP) criteria, and high-amplitude pitching wings.</t>
        </is>
      </c>
      <c r="R4" s="2" t="inlineStr"/>
      <c r="S4" s="2" t="inlineStr">
        <is>
          <t>"Closed-form unsteady thin-airfoil theory for high-amplitude problems" [Aerospace Science and Technology] (2026) [DOI: https://doi.org/10.1016/j.ast.2026.112983] | "Closed-form unsteady thin-airfoil theory for high-amplitude problems" [SSRN Electronic Journal] (2026) [DOI: https://doi.org/10.2139/ssrn.6438821] | "Design Optimization of a Pico Hydroelectric Turbine Using Computational Fluid Dynamics" (2025) [DOI: https://doi.org/10.1109/icmic66299.2025.11257765] | "Effect of rounded trailing edges on unsteady airfoil loading at low reynolds numbers" [Theoretical and Computational Fluid Dynamics] (2025) [DOI: https://doi.org/10.1007/s00162-025-00747-z] | "RideSecure : LPC2148 Powered Smart Helmet" [Preprints.org] (2025) [DOI: https://doi.org/10.20944/preprints202505.1483.v1]</t>
        </is>
      </c>
      <c r="T4" s="2" t="inlineStr">
        <is>
          <t>"Discrete-vortex method with novel shedding criterion for unsteady aerofoil flows with intermittent leading-edge vortex shedding" [Journal of Fluid Mechanics] (2014, 276 cites) [DOI: https://doi.org/10.1017/jfm.2014.297] | "A Survey of Design Techniques for Conversational Agents" [Communications in computer and information science] (2017, 166 cites) [DOI: https://doi.org/10.1007/978-981-10-6544-6_31] | "An unsteady airfoil theory applied to pitching motions validated against experiment and computation" [Theoretical and Computational Fluid Dynamics] (2013, 122 cites) [DOI: https://doi.org/10.1007/s00162-012-0292-8]</t>
        </is>
      </c>
      <c r="U4" s="2" t="inlineStr">
        <is>
          <t>MAE 242: Intro to Fluid Mechanics | MAE 593: Applied Project | MAE 564: Advanced Aerodynamics</t>
        </is>
      </c>
      <c r="V4" s="2" t="inlineStr"/>
      <c r="W4" s="2" t="inlineStr"/>
      <c r="X4" s="2" t="inlineStr">
        <is>
          <t>Fluid Dynamics and Turbulent Flows (36) | Fluid Dynamics and Vibration Analysis (26) | Biomimetic flight and propulsion mechanisms (24)</t>
        </is>
      </c>
      <c r="Y4" s="2" t="inlineStr">
        <is>
          <t>Fluid Dynamics and Turbulent Flows (36) | Fluid Dynamics and Vibration Analysis (26) | Biomimetic flight and propulsion mechanisms (24)</t>
        </is>
      </c>
      <c r="Z4" s="2" t="inlineStr">
        <is>
          <t>Unsteady aerodynamics, vortex dynamics, flow control, turbulence, separated flows</t>
        </is>
      </c>
      <c r="AA4" s="2" t="inlineStr"/>
      <c r="AB4" s="2" t="inlineStr">
        <is>
          <t>Ramesh's expertise is in unsteady fluid dynamics, vortex dynamics, turbulence and flow control.</t>
        </is>
      </c>
      <c r="AC4" s="2" t="inlineStr">
        <is>
          <t>PhD North Carolina State University</t>
        </is>
      </c>
      <c r="AD4" s="2" t="inlineStr"/>
      <c r="AE4" s="2" t="inlineStr"/>
      <c r="AF4" s="2" t="inlineStr"/>
      <c r="AG4" s="2" t="inlineStr"/>
      <c r="AH4" s="2" t="inlineStr"/>
      <c r="AI4" s="2" t="inlineStr"/>
      <c r="AJ4" s="2" t="inlineStr"/>
      <c r="AK4" s="2" t="inlineStr"/>
      <c r="AL4" s="2" t="inlineStr">
        <is>
          <t>Engineering research centre Room 383 551 E Tyler mall (Tempe, AZ 85281)</t>
        </is>
      </c>
      <c r="AM4" s="2" t="b">
        <v>1</v>
      </c>
      <c r="AN4" s="3">
        <f>HYPERLINK("https://faculty.engineering.asu.edu/directory/semte/aerospace-and-mechanical-engineering/", "https://faculty.engineering.asu.edu/directory/semte/aerospace-and-mechanical-engineering/")</f>
        <v/>
      </c>
    </row>
    <row r="5">
      <c r="A5" s="2" t="inlineStr">
        <is>
          <t>Leixin Ma</t>
        </is>
      </c>
      <c r="B5" s="2" t="inlineStr">
        <is>
          <t>Arizona State University</t>
        </is>
      </c>
      <c r="C5" s="3">
        <f>HYPERLINK("https://search.asu.edu/profile/leixinma", "https://search.asu.edu/profile/leixinma")</f>
        <v/>
      </c>
      <c r="D5" s="3">
        <f>HYPERLINK("https://scholar.google.com/citations?hl=en&amp;user=2xQTOc0AAAAJ", "Scholar (2xQTOc0AAAAJ)")</f>
        <v/>
      </c>
      <c r="E5" s="2" t="inlineStr">
        <is>
          <t>Assistant Professor</t>
        </is>
      </c>
      <c r="F5" s="2" t="inlineStr">
        <is>
          <t>Aerospace &amp; Mechanical Engineering</t>
        </is>
      </c>
      <c r="G5" s="2" t="inlineStr">
        <is>
          <t>2xQTOc0AAAAJ</t>
        </is>
      </c>
      <c r="H5" s="3">
        <f>HYPERLINK("mailto:Leixin.Ma@asu.edu", "Leixin.Ma@asu.edu")</f>
        <v/>
      </c>
      <c r="I5" s="2" t="n">
        <v>1</v>
      </c>
      <c r="J5" s="2" t="inlineStr">
        <is>
          <t>🔵 Tier 1: Core Aero / Fluids / Propulsion</t>
        </is>
      </c>
      <c r="K5" s="2" t="n">
        <v>6</v>
      </c>
      <c r="L5" s="2" t="inlineStr">
        <is>
          <t>aerodynamics, aerospace, fluid-structure interaction, fluids, materials, robot</t>
        </is>
      </c>
      <c r="M5" s="2" t="inlineStr">
        <is>
          <t>1. Understanding the higher harmonics of vortex-induced vibration response using a trend-constrained, machine learning approach (Marine Structures, 2022) [DOI: https://doi.org/10.1016/j.marstruc.2022.103195] | 2. Numerical study of vortex-induced vibrations of a circular cylinder at different incidence angles (Ocean Engineering, 2022) [DOI: https://doi.org/10.1016/j.oceaneng.2022.111858]</t>
        </is>
      </c>
      <c r="N5" s="3">
        <f>HYPERLINK("https://doi.org/10.1016/j.marstruc.2022.103195 | https://doi.org/10.1016/j.oceaneng.2022.111858", "https://doi.org/10.1016/j.marstruc.2022.103195 | https://doi.org/10.1016/j.oceaneng.2022.111858")</f>
        <v/>
      </c>
      <c r="O5" s="2" t="inlineStr">
        <is>
          <t>Physics-Informed Graph Neural Networks (GNN), Towing Tank Experimental Rig, Unsteady RANS/LES, Wavelet Modal Analysis</t>
        </is>
      </c>
      <c r="P5" s="2" t="inlineStr">
        <is>
          <t>applying trend-constrained machine learning to flexible cylinder VIV experiments, demonstrating that 3rd and 5th harmonic cross-flow lift forces arise from nonlinear wake-body phase shifts, contributing over 25% of cyclic structural fatigue damage.</t>
        </is>
      </c>
      <c r="Q5" s="2" t="inlineStr">
        <is>
          <t>High-harmonic vortex-induced vibration (VIV) modeling, biomimetic wake sensing, and physics-informed graph neural networks for flexible ocean and aerospace structures.</t>
        </is>
      </c>
      <c r="R5" s="2" t="inlineStr">
        <is>
          <t>Search this site Embedded Files Skip to main content Skip to navigation OASIS group at ASU Home Research People Publications Ne...</t>
        </is>
      </c>
      <c r="S5" s="2" t="inlineStr">
        <is>
          <t>"HGTO: A Unified Graph-Based Physics-Informed Formulation for Structural Topology Optimization" [arXiv (Cornell University)] (2026) [DOI: https://doi.org/10.48550/arxiv.2609.15001] | "HGTO: A Unified Graph-Based Physics-Informed Formulation for Structural Topology Optimization" [arXiv (Cornell University)] (2026) [DOI: https://arxiv.org/abs/2609.15001] | "Graph neural network-based aquaculture net modeling and inference — A frequency domain approach" [Ocean Engineering] (2026) [DOI: https://doi.org/10.1016/j.oceaneng.2026.127799] | "Decoding propulsive wakes using biomimetic seal whiskers" [Bioinspiration &amp; Biomimetics] (2026) [DOI: https://doi.org/10.1088/1748-3190/ae9a20] | "Passive fish-like body dynamics in bluff-body wakes" [Physics of Fluids] (2026) [DOI: https://doi.org/10.1063/5.0344906]</t>
        </is>
      </c>
      <c r="T5" s="2" t="inlineStr">
        <is>
          <t>"An investigation into the hydrodynamics of a flexible riser undergoing vortex-induced vibration" [Journal of Fluids and Structures] (2016, 178 cites) [DOI: https://doi.org/10.1016/j.jfluidstructs.2016.03.006] | "Theoretical and numerical analysis of bending behavior of unbonded flexible risers" [Marine Structures] (2015, 42 cites) [DOI: https://doi.org/10.1016/j.marstruc.2015.10.001] | "Experimental investigation of the response performance of VIV on a flexible riser with helical strakes" [Ships and Offshore Structures] (2014, 39 cites) [DOI: https://doi.org/10.1080/17445302.2014.962788]</t>
        </is>
      </c>
      <c r="U5" s="2" t="inlineStr">
        <is>
          <t>MAE 499: Individualized Instruction | MAE 202: Mech.Particles/Rigid Bodies II | MAE 318: System Dynamics and Control I</t>
        </is>
      </c>
      <c r="V5" s="2" t="inlineStr"/>
      <c r="W5" s="2" t="inlineStr">
        <is>
          <t>Undergraduate students : Highly-motivated undergraduate students are encouraged to get in touch. The students are encouraged to apply Fulton Undergraduate Research Initiative (FURI) ( Proposals are due the 3rd Wednesday of every March and October ) , Summer Research Initiative (SURI) etc. No prior research experiences are expected. Email to: leixinma@ asu .edu . | Visiting scholars from different backgrounds are welcome to contact Prof. Ma for projects with mutual interests. Email to: leixinma@asu.edu</t>
        </is>
      </c>
      <c r="X5" s="2" t="inlineStr">
        <is>
          <t>Fluid Dynamics and Vibration Analysis (12) | Vibration and Dynamic Analysis (9) | Wind and Air Flow Studies (7)</t>
        </is>
      </c>
      <c r="Y5" s="2" t="inlineStr">
        <is>
          <t>Fluid Dynamics and Vibration Analysis (12) | Vibration and Dynamic Analysis (9) | Wind and Air Flow Studies (7)</t>
        </is>
      </c>
      <c r="Z5" s="2" t="inlineStr">
        <is>
          <t>Aerodynamics, Dynamical Systems, Machine Learning, Mechanics of Composite Materials</t>
        </is>
      </c>
      <c r="AA5" s="2" t="inlineStr">
        <is>
          <t>Aerodynamics, Dynamical Systems, Machine Learning, Mechanics of Composite Materials</t>
        </is>
      </c>
      <c r="AB5" s="2" t="inlineStr">
        <is>
          <t>Leixin Ma's career goal is a data-driven and physically consistent approach to modeling and designing programmable smart structures and robots, especially under complex fluid flow conditions.</t>
        </is>
      </c>
      <c r="AC5" s="2" t="inlineStr">
        <is>
          <t>Ph.D. in Mechanical Engineering, Massachusetts Institute of Technology, 2021 S.M. in Mechanical Engineering, Massachusetts Institute of Technology, 2017 B.S.E. in Naval Architecture and Ocean Engineering, Shanghai Jiao Tong University, 2015</t>
        </is>
      </c>
      <c r="AD5" s="2" t="inlineStr">
        <is>
          <t>Optimization, Autonomy, and Soft Intelligence Systems (OASIS) Lab</t>
        </is>
      </c>
      <c r="AE5" s="3">
        <f>HYPERLINK("https://sites.google.com/view/oasislabasu", "https://sites.google.com/view/oasislabasu")</f>
        <v/>
      </c>
      <c r="AF5" s="2" t="inlineStr">
        <is>
          <t>More Home Research People Publications News Openings Facility Teaching Resources | Update: We are currently hiring multiple fully-funded graduate students, undergraduate students and visiting scholars! The first year graduate students will be selected as the prestigious Ira A. Fulton fellowship from the ASU School of Engineering.</t>
        </is>
      </c>
      <c r="AG5" s="2" t="inlineStr"/>
      <c r="AH5" s="2" t="inlineStr">
        <is>
          <t>Towing Tank, FDM</t>
        </is>
      </c>
      <c r="AI5" s="2" t="inlineStr"/>
      <c r="AJ5" s="2" t="inlineStr"/>
      <c r="AK5" s="2" t="inlineStr">
        <is>
          <t>Ocean and Soft Intelligent Structure Interaction Lab</t>
        </is>
      </c>
      <c r="AL5" s="2" t="inlineStr">
        <is>
          <t>ERC 485 (Tempe, AZ 85287)</t>
        </is>
      </c>
      <c r="AM5" s="2" t="b">
        <v>1</v>
      </c>
      <c r="AN5" s="3">
        <f>HYPERLINK("https://faculty.engineering.asu.edu/directory/semte/aerospace-and-mechanical-engineering/", "https://faculty.engineering.asu.edu/directory/semte/aerospace-and-mechanical-engineering/")</f>
        <v/>
      </c>
    </row>
    <row r="6">
      <c r="A6" s="2" t="inlineStr">
        <is>
          <t>Gokul Pathikonda</t>
        </is>
      </c>
      <c r="B6" s="2" t="inlineStr">
        <is>
          <t>Arizona State University</t>
        </is>
      </c>
      <c r="C6" s="3">
        <f>HYPERLINK("https://search.asu.edu/profile/gpathiko", "https://search.asu.edu/profile/gpathiko")</f>
        <v/>
      </c>
      <c r="D6" s="3">
        <f>HYPERLINK("https://scholar.google.com/citations?view_op=search_authors&amp;mauthors=Gokul%20Pathikonda%20Arizona%20State%20University", "Google Scholar Search")</f>
        <v/>
      </c>
      <c r="E6" s="2" t="inlineStr">
        <is>
          <t>Assistant Professor</t>
        </is>
      </c>
      <c r="F6" s="2" t="inlineStr">
        <is>
          <t>Aerospace &amp; Mechanical Engineering</t>
        </is>
      </c>
      <c r="G6" s="2" t="inlineStr"/>
      <c r="H6" s="3">
        <f>HYPERLINK("mailto:Gokul.Pathikonda@asu.edu", "Gokul.Pathikonda@asu.edu")</f>
        <v/>
      </c>
      <c r="I6" s="2" t="n">
        <v>1</v>
      </c>
      <c r="J6" s="2" t="inlineStr">
        <is>
          <t>🔵 Tier 1: Core Aero / Fluids / Propulsion</t>
        </is>
      </c>
      <c r="K6" s="2" t="n">
        <v>5</v>
      </c>
      <c r="L6" s="2" t="inlineStr">
        <is>
          <t>aerodynamics, aerospace, reacting flow, turbulence, turbulent</t>
        </is>
      </c>
      <c r="M6" s="2" t="inlineStr">
        <is>
          <t>1. Bleeding flow characteristics downstream of isotropic porous square cylinders (Journal of Fluid Mechanics, 2026) [DOI: https://doi.org/10.1017/jfm.2025.11073] | 2. Coaxial jets with disparate viscosity: mixing and laminarization characteristics (Journal of Fluid Mechanics, 2023) [DOI: https://doi.org/10.1017/jfm.2022.1076]</t>
        </is>
      </c>
      <c r="N6" s="3">
        <f>HYPERLINK("https://doi.org/10.1017/jfm.2025.11073 | https://doi.org/10.1017/jfm.2022.1076", "https://doi.org/10.1017/jfm.2025.11073 | https://doi.org/10.1017/jfm.2022.1076")</f>
        <v/>
      </c>
      <c r="O6" s="2" t="inlineStr">
        <is>
          <t>Planar/Stereoscopic PIV, Acetone PLIF, High-Resolution 3D Printing of Scalable Lattices, Open-Loop Wind Tunnel Testing</t>
        </is>
      </c>
      <c r="P6" s="2" t="inlineStr">
        <is>
          <t>deploying high-resolution particle image velocimetry downstream of 3D-printed isotropic porous square cylinders (2.4e-5 &lt; Da &lt; 2.9e-3), demonstrating that trailing-edge bleeding jets divide the wake into three distinct structural zones, extending the recirculation length by over 40%.</t>
        </is>
      </c>
      <c r="Q6" s="2" t="inlineStr">
        <is>
          <t>High-resolution planar PIV, PLIF, and custom anemometry diagnostics for investigating bleeding wakes downstream of porous square cylinders and passive scalar transport in turbulent boundary layers.</t>
        </is>
      </c>
      <c r="R6" s="2" t="inlineStr">
        <is>
          <t>There is an open post-doctoral opening starting Fall 2025 in experimental turbulence research . All students interested in join...</t>
        </is>
      </c>
      <c r="S6" s="2" t="inlineStr">
        <is>
          <t>"Bleeding flow characteristics downstream of isotropic porous square cylinders" [Journal of Fluid Mechanics] (2026) [DOI: https://doi.org/10.1017/jfm.2025.11073] | "Coherent organisation of passive scalar from a point source in a turbulent boundary layer" [Journal of Fluid Mechanics] (2025) [DOI: https://doi.org/10.1017/jfm.2025.10926] | "Turbulent/non-turbulent interface in Rayleigh–Taylor flows" [Journal of Turbulence] (2025) [DOI: https://doi.org/10.1080/14685248.2025.2489451] | "Advanced human heat exposure sensing using two cylinder anemometer and radiometer: introducing CARla" [International Journal of Biometeorology] (2025) [DOI: https://doi.org/10.1007/s00484-025-02860-4] | "Characterization of Convecting-Rotating Cylinder (CRC) to Investigate Vortex-Boundary Layer Interactions" (2025) [DOI: https://doi.org/10.2514/6.2025-2761]</t>
        </is>
      </c>
      <c r="T6" s="2" t="inlineStr">
        <is>
          <t>"Cross-stream stereoscopic particle image velocimetry of a modified turbulent boundary layer over directional surface pattern" [Journal of Fluid Mechanics] (2017, 120 cites) [DOI: https://doi.org/10.1017/jfm.2016.879] | "The transition to turbulence in shock-driven mixing: effects of Mach number and initial conditions" [Journal of Fluid Mechanics] (2019, 77 cites) [DOI: https://doi.org/10.1017/jfm.2019.330] | "Numerical analyses of high temperature dense, granular flows coupled to high temperature flow property measurements for solar thermal energy storage" [Solar Energy] (2020, 25 cites) [DOI: https://doi.org/10.1016/j.solener.2020.10.085]</t>
        </is>
      </c>
      <c r="U6" s="2" t="inlineStr">
        <is>
          <t>MAE 575: Turbulence | MAE 593: Applied Project | MAE 499: Individualized Instruction</t>
        </is>
      </c>
      <c r="V6" s="2" t="inlineStr"/>
      <c r="W6" s="2" t="inlineStr"/>
      <c r="X6" s="2" t="inlineStr">
        <is>
          <t>Fluid Dynamics and Turbulent Flows (40) | Particle Dynamics in Fluid Flows (23) | Laser-Plasma Interactions and Diagnostics (12)</t>
        </is>
      </c>
      <c r="Y6" s="2" t="inlineStr">
        <is>
          <t>Fluid Dynamics and Turbulent Flows (40) | Particle Dynamics in Fluid Flows (23) | Laser-Plasma Interactions and Diagnostics (12)</t>
        </is>
      </c>
      <c r="Z6" s="2" t="inlineStr">
        <is>
          <t>Aerodynamics, Aerospace Engineering, Mechanical Engineering</t>
        </is>
      </c>
      <c r="AA6" s="2" t="inlineStr">
        <is>
          <t>Aerodynamics, Aerospace Engineering, Mechanical Engineering</t>
        </is>
      </c>
      <c r="AB6" s="2" t="inlineStr">
        <is>
          <t>Dr. Pathikonda studies turbulent fluid flows to understand natural and engineering phenomena using lab experiments. His expertise is in complex (reacting) mixing, high Re-flows, laser-based &amp; spectroscopic techniques, etc.</t>
        </is>
      </c>
      <c r="AC6" s="2" t="inlineStr">
        <is>
          <t>Ph. D. Theoretical and Applied Mechanics, University of Illinois, Urbana Champaign, 2017 | MS Aerospace Engineering, University of Illinois, Urbana Champaign, 2013 | B. Tech. Mechanical Engineering, National Institute of Technology, Warangal, 2009</t>
        </is>
      </c>
      <c r="AD6" s="2" t="inlineStr"/>
      <c r="AE6" s="3">
        <f>HYPERLINK("https://faculty.engineering.asu.edu/cmat/", "https://faculty.engineering.asu.edu/cmat/")</f>
        <v/>
      </c>
      <c r="AF6" s="2" t="inlineStr"/>
      <c r="AG6" s="2" t="inlineStr"/>
      <c r="AH6" s="2" t="inlineStr"/>
      <c r="AI6" s="2" t="inlineStr"/>
      <c r="AJ6" s="2" t="inlineStr"/>
      <c r="AK6" s="2" t="inlineStr">
        <is>
          <t>Want to be part of CMAT Lab?</t>
        </is>
      </c>
      <c r="AL6" s="2" t="inlineStr">
        <is>
          <t>551 E Tyler Mall ERC 479 (Tempe, AZ 85281)</t>
        </is>
      </c>
      <c r="AM6" s="2" t="b">
        <v>1</v>
      </c>
      <c r="AN6" s="3">
        <f>HYPERLINK("https://faculty.engineering.asu.edu/directory/semte/aerospace-and-mechanical-engineering/", "https://faculty.engineering.asu.edu/directory/semte/aerospace-and-mechanical-engineering/")</f>
        <v/>
      </c>
    </row>
    <row r="7">
      <c r="A7" s="2" t="inlineStr">
        <is>
          <t>Marcus Herrmann</t>
        </is>
      </c>
      <c r="B7" s="2" t="inlineStr">
        <is>
          <t>Arizona State University</t>
        </is>
      </c>
      <c r="C7" s="3">
        <f>HYPERLINK("https://search.asu.edu/profile/mherrma1", "https://search.asu.edu/profile/mherrma1")</f>
        <v/>
      </c>
      <c r="D7" s="3">
        <f>HYPERLINK("https://scholar.google.com/citations?hl=en&amp;user=yv6aCW8AAAAJ", "Scholar (yv6aCW8AAAAJ)")</f>
        <v/>
      </c>
      <c r="E7" s="2" t="inlineStr">
        <is>
          <t>Professor</t>
        </is>
      </c>
      <c r="F7" s="2" t="inlineStr">
        <is>
          <t>Aerospace &amp; Mechanical Engineering</t>
        </is>
      </c>
      <c r="G7" s="2" t="inlineStr">
        <is>
          <t>yv6aCW8AAAAJ</t>
        </is>
      </c>
      <c r="H7" s="3">
        <f>HYPERLINK("mailto:Marcus.Herrmann@asu.edu", "Marcus.Herrmann@asu.edu")</f>
        <v/>
      </c>
      <c r="I7" s="2" t="n">
        <v>1</v>
      </c>
      <c r="J7" s="2" t="inlineStr">
        <is>
          <t>🔵 Tier 1: Core Aero / Fluids / Propulsion</t>
        </is>
      </c>
      <c r="K7" s="2" t="n">
        <v>5</v>
      </c>
      <c r="L7" s="2" t="inlineStr">
        <is>
          <t>aerospace, fluid mechanics, multiphase flow, turbulence, turbulent</t>
        </is>
      </c>
      <c r="M7" s="2" t="inlineStr">
        <is>
          <t>1. DNS and LES of primary atomization of turbulent liquid jet injection into a gaseous crossflow environment (Proceedings of the Combustion Institute, 2020) [DOI: https://doi.org/10.1016/j.proci.2020.08.004] | 2. The volume-filtering immersed boundary method (Journal of Computational Physics, 2023) [DOI: https://doi.org/10.1016/j.jcp.2023.112136]</t>
        </is>
      </c>
      <c r="N7" s="3">
        <f>HYPERLINK("https://doi.org/10.1016/j.proci.2020.08.004 | https://doi.org/10.1016/j.jcp.2023.112136", "https://doi.org/10.1016/j.proci.2020.08.004 | https://doi.org/10.1016/j.jcp.2023.112136")</f>
        <v/>
      </c>
      <c r="O7" s="2" t="inlineStr">
        <is>
          <t>Volume-Filtering Immersed Boundary Method (VF-IBM), Refined Level Set Grid (RLSG), OpenFOAM (isoAdvector VOF), Particle-Resolved DNS (PR-DNS)</t>
        </is>
      </c>
      <c r="P7" s="2" t="inlineStr">
        <is>
          <t>coupling volume-filtering immersed boundary methods with direct numerical simulations across liquid jet in crossflow geometries (q=6.6, Re=14,000, We=2178), demonstrating that trailing-edge ligament shedding frequency locks onto a 15.8 kHz dominant out-of-phase wave mode.</t>
        </is>
      </c>
      <c r="Q7" s="2" t="inlineStr">
        <is>
          <t>Direct numerical simulations and volume-filtering immersed boundary formulations for resolving particle-laden and primary atomizing flows in complex injector nozzles.</t>
        </is>
      </c>
      <c r="R7" s="2" t="inlineStr"/>
      <c r="S7" s="2" t="inlineStr">
        <is>
          <t>"A high-fidelity methodology for particle-resolved direct numerical simulations" [International Journal of Multiphase Flow] (2025) [DOI: https://doi.org/10.1016/j.ijmultiphaseflow.2025.105175] | "BPS2025 - Liquid nano-sheet sample delivery for femtosecond solution X-ray scattering" [Biophysical Journal] (2025) [DOI: https://doi.org/10.1016/j.bpj.2024.11.838] | "Characterization of the forcing and sub-filter scale terms in the volume-filtering immersed boundary method" [Journal of Computational Physics] (2025) [DOI: https://doi.org/10.1016/j.jcp.2025.113765] | "Synchronized droplet nozzle for in-vacuum X-ray scattering experiments" [Lab on a Chip] (2025) [DOI: https://doi.org/10.1039/d5lc00063g] | "A High-Fidelity Methodology for Particle-Resolved Direct Numerical Simulations" [arXiv (Cornell University)] (2024) [DOI: https://doi.org/10.48550/arxiv.2404.19030]</t>
        </is>
      </c>
      <c r="T7" s="2" t="inlineStr">
        <is>
          <t>"Modeling Primary Atomization" [Annual Review of Fluid Mechanics] (2008, 440 cites) [DOI: https://doi.org/10.1146/annurev.fluid.40.111406.102200] | "A balanced force refined level set grid method for two-phase flows on unstructured flow solver grids" [Journal of Computational Physics] (2007, 316 cites) [DOI: https://doi.org/10.1016/j.jcp.2007.11.002] | "A parallel Eulerian interface tracking/Lagrangian point particle multi-scale coupling procedure" [Journal of Computational Physics] (2009, 235 cites) [DOI: https://doi.org/10.1016/j.jcp.2009.10.009]</t>
        </is>
      </c>
      <c r="U7" s="2" t="inlineStr">
        <is>
          <t>MAE 384: Adv Math Methods for Engineers | MAE 484: Internship | MAE 561: Computational Fluid Dynamics</t>
        </is>
      </c>
      <c r="V7" s="2" t="inlineStr"/>
      <c r="W7" s="2" t="inlineStr"/>
      <c r="X7" s="2" t="inlineStr">
        <is>
          <t>Fluid Dynamics and Heat Transfer (66) | Fluid Dynamics and Turbulent Flows (27) | Particle Dynamics in Fluid Flows (27)</t>
        </is>
      </c>
      <c r="Y7" s="2" t="inlineStr">
        <is>
          <t>Fluid Dynamics and Heat Transfer (66) | Fluid Dynamics and Turbulent Flows (27) | Particle Dynamics in Fluid Flows (27)</t>
        </is>
      </c>
      <c r="Z7" s="2" t="inlineStr"/>
      <c r="AA7" s="2" t="inlineStr"/>
      <c r="AB7" s="2" t="inlineStr">
        <is>
          <t>Herrmann's research interests include fluid mechanics, modeling and numerical simulation of multiphase flows with a focus on turbulent atomization processes, and numerical methods for discontinuous interfaces.</t>
        </is>
      </c>
      <c r="AC7" s="2" t="inlineStr">
        <is>
          <t>PhD in Mechanical Engineering, University of Technology (RWTH) Aachen, Germany 2001 | Diploma. Mechanical and Aerospace Engineering, University of Technology (RWTH) Aachen, Germany 1995</t>
        </is>
      </c>
      <c r="AD7" s="2" t="inlineStr">
        <is>
          <t>Computational Multiphase Physics Laboratory</t>
        </is>
      </c>
      <c r="AE7" s="2" t="inlineStr"/>
      <c r="AF7" s="2" t="inlineStr"/>
      <c r="AG7" s="2" t="inlineStr"/>
      <c r="AH7" s="2" t="inlineStr"/>
      <c r="AI7" s="2" t="inlineStr"/>
      <c r="AJ7" s="2" t="inlineStr"/>
      <c r="AK7" s="2" t="inlineStr"/>
      <c r="AL7" s="2" t="inlineStr">
        <is>
          <t>ENGRC 311 (TEMPE, AZ 85287-6106)</t>
        </is>
      </c>
      <c r="AM7" s="2" t="b">
        <v>1</v>
      </c>
      <c r="AN7" s="3">
        <f>HYPERLINK("https://faculty.engineering.asu.edu/directory/semte/aerospace-and-mechanical-engineering/", "https://faculty.engineering.asu.edu/directory/semte/aerospace-and-mechanical-engineering/")</f>
        <v/>
      </c>
    </row>
    <row r="8">
      <c r="A8" s="2" t="inlineStr">
        <is>
          <t>Jeonglae Kim</t>
        </is>
      </c>
      <c r="B8" s="2" t="inlineStr">
        <is>
          <t>Arizona State University</t>
        </is>
      </c>
      <c r="C8" s="3">
        <f>HYPERLINK("https://search.asu.edu/profile/jkim520", "https://search.asu.edu/profile/jkim520")</f>
        <v/>
      </c>
      <c r="D8" s="3">
        <f>HYPERLINK("https://scholar.google.com/citations?view_op=search_authors&amp;mauthors=Jeonglae%20Kim%20Arizona%20State%20University", "Google Scholar Search")</f>
        <v/>
      </c>
      <c r="E8" s="2" t="inlineStr">
        <is>
          <t>Assistant Professor</t>
        </is>
      </c>
      <c r="F8" s="2" t="inlineStr">
        <is>
          <t>Aerospace &amp; Mechanical Engineering</t>
        </is>
      </c>
      <c r="G8" s="2" t="inlineStr"/>
      <c r="H8" s="3">
        <f>HYPERLINK("mailto:jeokim@asu.edu", "jeokim@asu.edu")</f>
        <v/>
      </c>
      <c r="I8" s="2" t="n">
        <v>1</v>
      </c>
      <c r="J8" s="2" t="inlineStr">
        <is>
          <t>🔵 Tier 1: Core Aero / Fluids / Propulsion</t>
        </is>
      </c>
      <c r="K8" s="2" t="n">
        <v>4</v>
      </c>
      <c r="L8" s="2" t="inlineStr">
        <is>
          <t>aerospace, flow control, turbulence, turbulent</t>
        </is>
      </c>
      <c r="M8" s="2" t="inlineStr">
        <is>
          <t>1. Parametric study of a projectile launched by a compressed air cannon (Journal of Mechanical Science and Technology, 2023) [DOI: https://doi.org/10.1007/s12206-023-1029-x] | 2. Adjoint-based control of loud events in a turbulent jet (Journal of Fluid Mechanics, 2014) [DOI: https://doi.org/10.1017/jfm.2013.654]</t>
        </is>
      </c>
      <c r="N8" s="3">
        <f>HYPERLINK("https://doi.org/10.1007/s12206-023-1029-x | https://doi.org/10.1017/jfm.2013.654", "https://doi.org/10.1007/s12206-023-1029-x | https://doi.org/10.1017/jfm.2013.654")</f>
        <v/>
      </c>
      <c r="O8" s="2" t="inlineStr">
        <is>
          <t>Adjoint Optimization, High-Order Overset Finite Difference Solvers, Large Eddy Simulation (LES), Gas Dynamic Projectile Modeling</t>
        </is>
      </c>
      <c r="P8" s="2" t="inlineStr">
        <is>
          <t>applying adjoint-based optimization to large-eddy simulations of a Mach 1.3 turbulent jet, demonstrating that only three conjugate-gradient iterations achieve a 3.5 dB sound pressure level reduction by suppressing axisymmetric wavepackets.</t>
        </is>
      </c>
      <c r="Q8" s="2" t="inlineStr">
        <is>
          <t>High-order overset-mesh algorithms and adjoint sensitivity optimization for aeroacoustic noise control and projectile gas dynamics.</t>
        </is>
      </c>
      <c r="R8" s="2" t="inlineStr"/>
      <c r="S8" s="2" t="inlineStr"/>
      <c r="T8" s="2" t="inlineStr">
        <is>
          <t>"Adjoint-based control of loud events in a turbulent jet" [Journal of Fluid Mechanics] (2014, 46 cites) [DOI: https://doi.org/10.1017/jfm.2013.654] | "LES Investigation of a Mach 1.3 Jet With and Without Plasma Actuators" [47th AIAA Aerospace Sciences Meeting including The New Horizons Forum and Aerospace Exposition] (2009, 38 cites) [DOI: https://doi.org/10.2514/6.2009-290] | "A High-Order, Overset-Mesh Algorithm for Adjoint-Based Optimization for Aeroacoustics Control" (2010, 21 cites) [DOI: https://doi.org/10.2514/6.2010-3818]</t>
        </is>
      </c>
      <c r="U8" s="2" t="inlineStr">
        <is>
          <t>MAE 242: Intro to Fluid Mechanics | MAE 593: Applied Project | MAE 598: Special Topics</t>
        </is>
      </c>
      <c r="V8" s="2" t="inlineStr"/>
      <c r="W8" s="2" t="inlineStr"/>
      <c r="X8" s="2" t="inlineStr">
        <is>
          <t>Aerodynamics and Acoustics in Jet Flows (10) | Fluid Dynamics and Turbulent Flows (8) | Computational Fluid Dynamics and Aerodynamics (3)</t>
        </is>
      </c>
      <c r="Y8" s="2" t="inlineStr">
        <is>
          <t>Aerodynamics and Acoustics in Jet Flows (10) | Fluid Dynamics and Turbulent Flows (8) | Computational Fluid Dynamics and Aerodynamics (3)</t>
        </is>
      </c>
      <c r="Z8" s="2" t="inlineStr"/>
      <c r="AA8" s="2" t="inlineStr"/>
      <c r="AB8" s="2" t="inlineStr">
        <is>
          <t>Kim's research interests include large-eddy simulation of high-speed turbulent flows with multi-physics, aeroacoustics, flow control and optimization.</t>
        </is>
      </c>
      <c r="AC8" s="2" t="inlineStr">
        <is>
          <t>Ph.D. Theoretical and Applied Mechanics, University of Illinois at Urbana-Champaign | M.S. Mechanical and Aerospace Engineering, Seoul National University, South Korea | B.S. Mechanical and Aerospace Engineering, Seoul National University, South Korea</t>
        </is>
      </c>
      <c r="AD8" s="2" t="inlineStr"/>
      <c r="AE8" s="2" t="inlineStr"/>
      <c r="AF8" s="2" t="inlineStr"/>
      <c r="AG8" s="2" t="inlineStr"/>
      <c r="AH8" s="2" t="inlineStr"/>
      <c r="AI8" s="2" t="inlineStr"/>
      <c r="AJ8" s="2" t="inlineStr"/>
      <c r="AK8" s="2" t="inlineStr"/>
      <c r="AL8" s="2" t="inlineStr">
        <is>
          <t>Campus: Tempe</t>
        </is>
      </c>
      <c r="AM8" s="2" t="b">
        <v>1</v>
      </c>
      <c r="AN8" s="3">
        <f>HYPERLINK("https://faculty.engineering.asu.edu/directory/semte/aerospace-and-mechanical-engineering/", "https://faculty.engineering.asu.edu/directory/semte/aerospace-and-mechanical-engineering/")</f>
        <v/>
      </c>
    </row>
    <row r="9">
      <c r="A9" s="2" t="inlineStr">
        <is>
          <t>Ryan Milcarek</t>
        </is>
      </c>
      <c r="B9" s="2" t="inlineStr">
        <is>
          <t>Arizona State University</t>
        </is>
      </c>
      <c r="C9" s="3">
        <f>HYPERLINK("https://search.asu.edu/profile/rjmilcar", "https://search.asu.edu/profile/rjmilcar")</f>
        <v/>
      </c>
      <c r="D9" s="3">
        <f>HYPERLINK("https://scholar.google.com/citations?hl=en&amp;user=m-Pb6g2pm2UC", "Scholar (m-Pb6g2pm2UC)")</f>
        <v/>
      </c>
      <c r="E9" s="2" t="inlineStr">
        <is>
          <t>Associate Professor</t>
        </is>
      </c>
      <c r="F9" s="2" t="inlineStr">
        <is>
          <t>Aerospace &amp; Mechanical Engineering</t>
        </is>
      </c>
      <c r="G9" s="2" t="inlineStr">
        <is>
          <t>m-Pb6g2pm2UC</t>
        </is>
      </c>
      <c r="H9" s="3">
        <f>HYPERLINK("mailto:Ryan.Milcarek@asu.edu", "Ryan.Milcarek@asu.edu")</f>
        <v/>
      </c>
      <c r="I9" s="2" t="n">
        <v>1</v>
      </c>
      <c r="J9" s="2" t="inlineStr">
        <is>
          <t>🔵 Tier 1: Core Aero / Fluids / Propulsion</t>
        </is>
      </c>
      <c r="K9" s="2" t="n">
        <v>4</v>
      </c>
      <c r="L9" s="2" t="inlineStr">
        <is>
          <t>aerospace, combustion, energy systems, materials</t>
        </is>
      </c>
      <c r="M9" s="2" t="inlineStr">
        <is>
          <t>1. Thermodynamic and emission analysis of a hydrogen/methane fueled gas turbine (Energy Conversion and Management: X, 2023) [DOI: https://doi.org/10.1016/j.ecmx.2023.100394] | 2. Thermodynamic analysis of a gas turbine utilizing ternary CH4/H2/NH3 fuel blends (Energy, 2023) [DOI: https://doi.org/10.1016/j.energy.2023.128818]</t>
        </is>
      </c>
      <c r="N9" s="3">
        <f>HYPERLINK("https://doi.org/10.1016/j.ecmx.2023.100394 | https://doi.org/10.1016/j.energy.2023.128818", "https://doi.org/10.1016/j.ecmx.2023.100394 | https://doi.org/10.1016/j.energy.2023.128818")</f>
        <v/>
      </c>
      <c r="O9" s="2" t="inlineStr">
        <is>
          <t>Cantera Chemical Kinetics, Gas Turbine Thermodynamic Cycle Models, Gas Chromatography, Flame-Assisted Fuel Cell Test Rigs</t>
        </is>
      </c>
      <c r="P9" s="2" t="inlineStr">
        <is>
          <t>coupling detailed chemical kinetics with thermodynamic cycle models across ternary CH4/H2/NH3 fuel mixtures, demonstrating that staged rich-quench-lean combustor architectures achieve complete carbon emission reduction while keeping NOx levels below 15 ppm.</t>
        </is>
      </c>
      <c r="Q9" s="2" t="inlineStr">
        <is>
          <t>Thermodynamic equilibrium modeling and chemical kinetics for hydrogen/methane/ammonia gas turbine combustor retrofits and flame-assisted micro-reactors.</t>
        </is>
      </c>
      <c r="R9" s="2" t="inlineStr">
        <is>
          <t>Operational Patterns in Commercial and Industrial Buildings Through Visualization of 15-Minute Interval Electrical Demand Data,</t>
        </is>
      </c>
      <c r="S9" s="2" t="inlineStr">
        <is>
          <t>"Multi-year assessment of energy storage capacity for a carbon-neutral grid in Arizona and the impact of wind energy integration" [Renewable Energy] (2026) [DOI: https://doi.org/10.1016/j.renene.2026.126276] | "Analysis of gas turbines with diffusion, premixed and rich-quench-lean combustor designs utilizing ternary CH4/H2/NH3 fuel blends" [Energy Conversion and Management] (2026) [DOI: https://doi.org/10.1016/j.enconman.2026.121736] | "Micro-scale thermal partial oxidation reformer and integrated solid oxide fuel cell operating with jet fuel" [Journal of Power Sources] (2026) [DOI: https://doi.org/10.1016/j.jpowsour.2026.240198] | "Solid oxide fuel cell power generation from thermal partial oxidation of methanol reformate" [Energy Conversion and Management] (2026) [DOI: https://doi.org/10.1016/j.enconman.2026.121281] | "Multi-objective optimal energy storage dispatch control strategies for cost and CO2 emissions savings in 933 commercial and industrial facilities leveraging utility demand response programs" [Journal of Energy Storage] (2025) [DOI: https://doi.org/10.1016/j.est.2025.119499]</t>
        </is>
      </c>
      <c r="T9" s="2" t="inlineStr">
        <is>
          <t>"A review of energy storage technologies for demand-side management in industrial facilities" [Journal of Cleaner Production] (2021, 100 cites) [DOI: https://doi.org/10.1016/j.jclepro.2021.127322] | "Techno-Economic Assessment of CHP Systems in Wastewater Treatment Plants" [Environments] (2020, 78 cites) [DOI: https://doi.org/10.3390/environments7100074] | "Thermodynamic and emission analysis of a hydrogen/methane fueled gas turbine" [Energy Conversion and Management X] (2023, 50 cites) [DOI: https://doi.org/10.1016/j.ecmx.2023.100394]</t>
        </is>
      </c>
      <c r="U9" s="2" t="inlineStr">
        <is>
          <t>MAE 593: Applied Project | MAE 436: Combustion | MAE 536: Combustion</t>
        </is>
      </c>
      <c r="V9" s="2" t="inlineStr">
        <is>
          <t>Outstanding Faculty Mentor, Fulton Schools of Engineering, For the Fulton Forge Student Research programs, 2026 | 1st Place, Student Paper Competition, 2025 ASME IMECE Power Symposium, 2025</t>
        </is>
      </c>
      <c r="W9" s="2" t="inlineStr"/>
      <c r="X9" s="2" t="inlineStr">
        <is>
          <t>Advancements in Solid Oxide Fuel Cells (54) | Fuel Cells and Related Materials (31) | Catalytic Processes in Materials Science (30)</t>
        </is>
      </c>
      <c r="Y9" s="2" t="inlineStr">
        <is>
          <t>Advancements in Solid Oxide Fuel Cells (54) | Fuel Cells and Related Materials (31) | Catalytic Processes in Materials Science (30)</t>
        </is>
      </c>
      <c r="Z9" s="2" t="inlineStr">
        <is>
          <t>Energy management and efficiency, energy transition, energy storage, solid oxide fuel cells, partial oxidation, cogeneration, combustion, and synthesis of hydrogen</t>
        </is>
      </c>
      <c r="AA9" s="2" t="inlineStr">
        <is>
          <t>Ceramics, Electrochemistry, Energy, Energy and Sustainability, Energy Conservation, Energy Economics, Energy Efficiency Technologies, Thin Film Materials</t>
        </is>
      </c>
      <c r="AB9" s="2" t="inlineStr">
        <is>
          <t>Milcarek's current research focuses on energy management and efficiency, energy system modeling, energy transition, energy storage, solid oxide fuel cells fabrication and testing, partial oxidation and synthesis of hydrogen.</t>
        </is>
      </c>
      <c r="AC9" s="2" t="inlineStr">
        <is>
          <t>Ph.D. Mechanical and Aerospace Engineering, College of Engineering and Computer Science, Syracuse University 2018 | M.S. Mechanical and Aerospace Engineering, College of Engineering and Computer Science, Syracuse University 2017 | M.S. Energy Systems Engineering, College of Engineering and Computer Science, Syracuse University 2017 | Certificate of Advanced Study (CAS) Sustainable Enterprise, Martin J. Whitman School of Management, Syracuse University 2017 | Certificate in University Teaching (CUT). Graduate School, Future Professorate Program, Syracuse University 2017 | B.S. Mechanical Engineering; minor: Mathematics (Summa Cum Laude), L.C. Smith College of Engineering and Computer Science, Syracuse University 2014</t>
        </is>
      </c>
      <c r="AD9" s="2" t="inlineStr"/>
      <c r="AE9" s="3">
        <f>HYPERLINK("http://RESEARCHGATE.net/profile/Ryan_Milcarek", "http://RESEARCHGATE.net/profile/Ryan_Milcarek")</f>
        <v/>
      </c>
      <c r="AF9" s="2" t="inlineStr"/>
      <c r="AG9" s="2" t="inlineStr"/>
      <c r="AH9" s="2" t="inlineStr"/>
      <c r="AI9" s="2" t="inlineStr"/>
      <c r="AJ9" s="2" t="inlineStr"/>
      <c r="AK9" s="2" t="inlineStr"/>
      <c r="AL9" s="2" t="inlineStr">
        <is>
          <t>ENGRC 465 (Tempe, AZ 85287)</t>
        </is>
      </c>
      <c r="AM9" s="2" t="b">
        <v>1</v>
      </c>
      <c r="AN9" s="3">
        <f>HYPERLINK("https://faculty.engineering.asu.edu/directory/semte/aerospace-and-mechanical-engineering/", "https://faculty.engineering.asu.edu/directory/semte/aerospace-and-mechanical-engineering/")</f>
        <v/>
      </c>
    </row>
    <row r="10">
      <c r="A10" s="2" t="inlineStr">
        <is>
          <t>Alberto Scotti</t>
        </is>
      </c>
      <c r="B10" s="2" t="inlineStr">
        <is>
          <t>Arizona State University</t>
        </is>
      </c>
      <c r="C10" s="3">
        <f>HYPERLINK("https://search.asu.edu/profile/adscotti", "https://search.asu.edu/profile/adscotti")</f>
        <v/>
      </c>
      <c r="D10" s="3">
        <f>HYPERLINK("https://scholar.google.com/citations?hl=en&amp;user=HRx2lJQAAAAJ", "Scholar (HRx2lJQAAAAJ)")</f>
        <v/>
      </c>
      <c r="E10" s="2" t="inlineStr">
        <is>
          <t>Professor</t>
        </is>
      </c>
      <c r="F10" s="2" t="inlineStr">
        <is>
          <t>Aerospace &amp; Mechanical Engineering</t>
        </is>
      </c>
      <c r="G10" s="2" t="inlineStr">
        <is>
          <t>HRx2lJQAAAAJ</t>
        </is>
      </c>
      <c r="H10" s="3">
        <f>HYPERLINK("mailto:Alberto.Scotti@asu.edu", "Alberto.Scotti@asu.edu")</f>
        <v/>
      </c>
      <c r="I10" s="2" t="n">
        <v>1</v>
      </c>
      <c r="J10" s="2" t="inlineStr">
        <is>
          <t>🔵 Tier 1: Core Aero / Fluids / Propulsion</t>
        </is>
      </c>
      <c r="K10" s="2" t="n">
        <v>3</v>
      </c>
      <c r="L10" s="2" t="inlineStr">
        <is>
          <t>fluid mechanics, fluids, turbulent</t>
        </is>
      </c>
      <c r="M10" s="2" t="inlineStr">
        <is>
          <t>1. Non-homogeneous analysis of rogue wave probability evolution over a shoal (Journal of Fluid Mechanics, 2022) [DOI: https://doi.org/10.1017/jfm.2022.206] | 2. On the physical constraints for the exceeding probability of deep water rogue waves (Applied Ocean Research, 2021) [DOI: https://doi.org/10.1016/j.apor.2020.102402]</t>
        </is>
      </c>
      <c r="N10" s="3">
        <f>HYPERLINK("https://doi.org/10.1017/jfm.2022.206 | https://doi.org/10.1016/j.apor.2020.102402", "https://doi.org/10.1017/jfm.2022.206 | https://doi.org/10.1016/j.apor.2020.102402")</f>
        <v/>
      </c>
      <c r="O10" s="2" t="inlineStr">
        <is>
          <t>Large-Eddy Simulation (LES), Background Oriented Schlieren (BOS), Conductivity Probe Spectrometry, Anisotropic Subgrid Closures</t>
        </is>
      </c>
      <c r="P10" s="2" t="inlineStr">
        <is>
          <t>formulating non-homogeneous wave probability evolution across shoaling bathymetry, demonstrating that localized topographic focusing increases extreme wave crest occurrence by over 60% relative to Gaussian linear theory.</t>
        </is>
      </c>
      <c r="Q10" s="2" t="inlineStr">
        <is>
          <t>Large-eddy simulation closures, Lagrangian flow geometry, and laboratory stratification experiments for non-homogeneous wave probability evolution and turbulent mixing.</t>
        </is>
      </c>
      <c r="R10" s="2" t="inlineStr"/>
      <c r="S10" s="2" t="inlineStr">
        <is>
          <t>"A Versatile Laboratory Approach to Reproduce and Analyze Internal Ocean Wave Dynamics" [arXiv (Cornell University)] (2026) [DOI: https://doi.org/10.48550/arxiv.2603.13512] | "A Versatile Laboratory Approach to Reproduce and Analyze Internal Ocean Wave Dynamics" [arXiv (Cornell University)] (2026) [DOI: http://arxiv.org/abs/2603.13512] | "Lagrangian geometry of flows" [Physical Review Fluids] (2026) [DOI: https://doi.org/10.1103/q2fw-vgrr] | "COMPARATIVE ANALYSIS OF ALTERNATIVE LAYOUTS FOR THE NEW DEEPWATER BREAKWATER OF GENOA PORT" [Coastal Engineering Proceedings] (2025) [DOI: https://doi.org/10.9753/icce.v38.papers.40] | "Flow structure of radiatively driven convection in inertial and rotating frames under steady and periodic radiative forcing" [Carolina Digital Repository (University of North Carolina at Chapel Hill)] (2024) [DOI: https://doi.org/10.17615/a5rn-hf68]</t>
        </is>
      </c>
      <c r="T10" s="2" t="inlineStr">
        <is>
          <t>"The formation and fate of internal waves in the South China Sea" [Nature] (2015, 739 cites) [DOI: https://doi.org/10.1038/nature14399] | "Generalized Smagorinsky model for anisotropic grids" [Physics of Fluids A Fluid Dynamics] (1993, 282 cites) [DOI: https://doi.org/10.1063/1.858537] | "Numerical simulation of pulsating turbulent channel flow" [Physics of Fluids] (2001, 211 cites) [DOI: https://doi.org/10.1063/1.1359766]</t>
        </is>
      </c>
      <c r="U10" s="2" t="inlineStr">
        <is>
          <t>MAE 501: Linear Algebra in Engineering | MAE 215: Intro to Programming in MATLAB | MAE 202: Mech.Particles/Rigid Bodies II</t>
        </is>
      </c>
      <c r="V10" s="2" t="inlineStr"/>
      <c r="W10" s="2" t="inlineStr"/>
      <c r="X10" s="2" t="inlineStr">
        <is>
          <t>Oceanographic and Atmospheric Processes (64) | Fluid Dynamics and Turbulent Flows (53) | Meteorological Phenomena and Simulations (34)</t>
        </is>
      </c>
      <c r="Y10" s="2" t="inlineStr">
        <is>
          <t>Oceanographic and Atmospheric Processes (64) | Fluid Dynamics and Turbulent Flows (53) | Meteorological Phenomena and Simulations (34)</t>
        </is>
      </c>
      <c r="Z10" s="2" t="inlineStr">
        <is>
          <t>Modeling and Simulation, Oceanography, Earth Systems and Climate Science, Modeling, Modeling, Simulation and Cyberinfrastructure, Applied Mathematics</t>
        </is>
      </c>
      <c r="AA10" s="2" t="inlineStr">
        <is>
          <t>Modeling and Simulation, Oceanography, Earth Systems and Climate Science, Modeling, Modeling, Simulation and Cyberinfrastructure, Applied Mathematics</t>
        </is>
      </c>
      <c r="AB10" s="2" t="inlineStr">
        <is>
          <t>Scotti's main focus is theoretical, experimental and computational aspects of environmental fluid mechanics.</t>
        </is>
      </c>
      <c r="AC10" s="2" t="inlineStr">
        <is>
          <t>PhD Johns Hopkins University</t>
        </is>
      </c>
      <c r="AD10" s="2" t="inlineStr"/>
      <c r="AE10" s="2" t="inlineStr"/>
      <c r="AF10" s="2" t="inlineStr"/>
      <c r="AG10" s="2" t="inlineStr"/>
      <c r="AH10" s="2" t="inlineStr"/>
      <c r="AI10" s="2" t="inlineStr"/>
      <c r="AJ10" s="2" t="inlineStr"/>
      <c r="AK10" s="2" t="inlineStr"/>
      <c r="AL10" s="2" t="inlineStr">
        <is>
          <t>Campus: Tempe</t>
        </is>
      </c>
      <c r="AM10" s="2" t="b">
        <v>1</v>
      </c>
      <c r="AN10" s="3">
        <f>HYPERLINK("https://faculty.engineering.asu.edu/directory/semte/aerospace-and-mechanical-engineering/", "https://faculty.engineering.asu.edu/directory/semte/aerospace-and-mechanical-engineering/")</f>
        <v/>
      </c>
    </row>
    <row r="11">
      <c r="A11" s="2" t="inlineStr">
        <is>
          <t>Yulia Peet</t>
        </is>
      </c>
      <c r="B11" s="2" t="inlineStr">
        <is>
          <t>Arizona State University</t>
        </is>
      </c>
      <c r="C11" s="3">
        <f>HYPERLINK("https://search.asu.edu/profile/ypeet", "https://search.asu.edu/profile/ypeet")</f>
        <v/>
      </c>
      <c r="D11" s="3">
        <f>HYPERLINK("https://scholar.google.com/citations?hl=en&amp;user=_6o8MrUAAAAJ", "Scholar (_6o8MrUAAAAJ)")</f>
        <v/>
      </c>
      <c r="E11" s="2" t="inlineStr">
        <is>
          <t>Professor</t>
        </is>
      </c>
      <c r="F11" s="2" t="inlineStr">
        <is>
          <t>Aerospace &amp; Mechanical Engineering</t>
        </is>
      </c>
      <c r="G11" s="2" t="inlineStr">
        <is>
          <t>_6o8MrUAAAAJ</t>
        </is>
      </c>
      <c r="H11" s="3">
        <f>HYPERLINK("mailto:ypeet@asu.edu", "ypeet@asu.edu")</f>
        <v/>
      </c>
      <c r="I11" s="2" t="n">
        <v>1</v>
      </c>
      <c r="J11" s="2" t="inlineStr">
        <is>
          <t>🔵 Tier 1: Core Aero / Fluids / Propulsion</t>
        </is>
      </c>
      <c r="K11" s="2" t="n">
        <v>3</v>
      </c>
      <c r="L11" s="2" t="inlineStr">
        <is>
          <t>aerospace, fluid mechanics, turbulence</t>
        </is>
      </c>
      <c r="M11" s="2" t="inlineStr">
        <is>
          <t>1. Coherent motions in a turbulent wake of an axisymmetric bluff body (Journal of Fluid Mechanics, 2023) [DOI: https://doi.org/10.1017/jfm.2023.231] | 2. Cost vs Accuracy: DNS of turbulent flow over a sphere using structured immersed-boundary, unstructured finite-volume, and spectral-element methods (European Journal of Mechanics - B/Fluids, 2023) [DOI: https://doi.org/10.1016/j.euromechflu.2023.07.008]</t>
        </is>
      </c>
      <c r="N11" s="3">
        <f>HYPERLINK("https://doi.org/10.1017/jfm.2023.231 | https://doi.org/10.1016/j.euromechflu.2023.07.008", "https://doi.org/10.1017/jfm.2023.231 | https://doi.org/10.1016/j.euromechflu.2023.07.008")</f>
        <v/>
      </c>
      <c r="O11" s="2" t="inlineStr">
        <is>
          <t>Discontinuous Galerkin Spectral Element Method (DGSEM), Nek5000, Resolvent Analysis (Chebyshev Methods), Wall-Modeled LES (WMLES)</t>
        </is>
      </c>
      <c r="P11" s="2" t="inlineStr">
        <is>
          <t>conducting DNS of an axisymmetric bluff-body wake at Re=5000 via high-order spectral elements, demonstrating that helical m=±1 vortex shedding modes govern wake entrainment and sustain coherent low-frequency flapping.</t>
        </is>
      </c>
      <c r="Q11" s="2" t="inlineStr">
        <is>
          <t>High-order discontinuous Galerkin spectral element methods (DGSEM) and DNS for resolving turbulent bluff-body wakes, wind farm coherence, and wall-modeled LES drag reduction.</t>
        </is>
      </c>
      <c r="R11" s="2" t="inlineStr"/>
      <c r="S11" s="2" t="inlineStr">
        <is>
          <t>"Correction: Using Streamwise and Spanwise Shear Stress Components in Wall-Sensing Drag Reduction Control of Turbulent Channel Flow" (2026) [DOI: https://doi.org/10.2514/6.2026-4483.c1] | "Using Streamwise and Spanwise Shear Stress Components in Wall-Sensing Drag Reduction Control of Turbulent Channel Flow" (2026) [DOI: https://doi.org/10.2514/6.2026-4483] | "Inflectional Instability of Linearized Incompressible Euler Equations via Linear Partial Inequality Tests" (2025) [DOI: https://doi.org/10.1109/cdc57313.2025.11312828] | "Differentiation-based and integration-based Chebyshev methods for resolvent analysis of channel flow" [Journal of Computational and Applied Mathematics] (2025) [DOI: https://doi.org/10.1016/j.cam.2025.116987] | "Discontinuous Galerkin spectral element method with hybrid sub-element order reduction for shock-capturing with Navier–Stokes equations" [Computers &amp; Fluids] (2025) [DOI: https://doi.org/10.1016/j.compfluid.2025.106650]</t>
        </is>
      </c>
      <c r="T11" s="2" t="inlineStr">
        <is>
          <t>"Theoretical prediction of turbulent skin friction on geometrically complex surfaces" [Physics of Fluids] (2009, 78 cites) [DOI: https://doi.org/10.1063/1.3241993] | "Turbulent Drag Reduction Using Sinusoidal Riblets With Triangular Cross-Section" [38th Fluid Dynamics Conference and Exhibit] (2008, 56 cites) [DOI: https://doi.org/10.2514/6.2008-3745] | "Pressure loss reduction in hydrogen pipelines by surface restructuring" [International Journal of Hydrogen Energy] (2009, 46 cites) [DOI: https://doi.org/10.1016/j.ijhydene.2009.08.035]</t>
        </is>
      </c>
      <c r="U11" s="2" t="inlineStr">
        <is>
          <t>MAE 215: Intro to Programming in MATLAB | MAE 591: Seminar | MAE 593: Applied Project</t>
        </is>
      </c>
      <c r="V11" s="2" t="inlineStr"/>
      <c r="W11" s="2" t="inlineStr"/>
      <c r="X11" s="2" t="inlineStr">
        <is>
          <t>Fluid Dynamics and Turbulent Flows (58) | Fluid Dynamics and Vibration Analysis (27) | Wind and Air Flow Studies (26)</t>
        </is>
      </c>
      <c r="Y11" s="2" t="inlineStr">
        <is>
          <t>Fluid Dynamics and Turbulent Flows (58) | Fluid Dynamics and Vibration Analysis (27) | Wind and Air Flow Studies (26)</t>
        </is>
      </c>
      <c r="Z11" s="2" t="inlineStr"/>
      <c r="AA11" s="2" t="inlineStr"/>
      <c r="AB11" s="2" t="inlineStr">
        <is>
          <t>Yulia Peet is an associate professor of aerospace and mechanical engineering in the School for Engineering of Matter, Transport and Energy with the Ira A. Fulton Schools of Engineering at Arizona State University. Her Ph.D. degree is in Aeronautics and Astronautics from Stanford (2006), M.S. and B.S. degrees are from Moscow Institute of Physics and Technology (1999 and 1997). Her previous appoi...</t>
        </is>
      </c>
      <c r="AC11" s="2" t="inlineStr">
        <is>
          <t>Ph.D. Aeronautics and Astronautics, Stanford University 2006 | M.S. Management, State University Higher School of Economics, Moscow, Russia 2000 | M.S. Aeromechanics and Flight Engineering, Moscow Institute of Physics and Technology, Russia 1999 | B.S. Applied Mathematics and Physics, Moscow Institute of Physics and Technology, Russia 1997</t>
        </is>
      </c>
      <c r="AD11" s="2" t="inlineStr">
        <is>
          <t>Interdisciplinary Simulation and Modeling (ISiM) Lab</t>
        </is>
      </c>
      <c r="AE11" s="3">
        <f>HYPERLINK("https://isim.asu.edu", "https://isim.asu.edu")</f>
        <v/>
      </c>
      <c r="AF11" s="2" t="inlineStr"/>
      <c r="AG11" s="2" t="inlineStr"/>
      <c r="AH11" s="2" t="inlineStr"/>
      <c r="AI11" s="2" t="inlineStr"/>
      <c r="AJ11" s="2" t="inlineStr"/>
      <c r="AK11" s="2" t="inlineStr"/>
      <c r="AL11" s="2" t="inlineStr">
        <is>
          <t>ENGRC 379 (Tempe, AZ 85287-6106)</t>
        </is>
      </c>
      <c r="AM11" s="2" t="b">
        <v>1</v>
      </c>
      <c r="AN11" s="3">
        <f>HYPERLINK("https://faculty.engineering.asu.edu/directory/semte/aerospace-and-mechanical-engineering/", "https://faculty.engineering.asu.edu/directory/semte/aerospace-and-mechanical-engineering/")</f>
        <v/>
      </c>
    </row>
    <row r="12">
      <c r="A12" s="2" t="inlineStr">
        <is>
          <t>Ronald Calhoun</t>
        </is>
      </c>
      <c r="B12" s="2" t="inlineStr">
        <is>
          <t>Arizona State University</t>
        </is>
      </c>
      <c r="C12" s="3">
        <f>HYPERLINK("https://search.asu.edu/profile/rcalhou", "https://search.asu.edu/profile/rcalhou")</f>
        <v/>
      </c>
      <c r="D12" s="3">
        <f>HYPERLINK("https://scholar.google.com/citations?view_op=search_authors&amp;mauthors=Ronald%20Calhoun%20Arizona%20State%20University", "Google Scholar Search")</f>
        <v/>
      </c>
      <c r="E12" s="2" t="inlineStr">
        <is>
          <t>Associate Professor</t>
        </is>
      </c>
      <c r="F12" s="2" t="inlineStr">
        <is>
          <t>Aerospace &amp; Mechanical Engineering</t>
        </is>
      </c>
      <c r="G12" s="2" t="inlineStr"/>
      <c r="H12" s="3">
        <f>HYPERLINK("mailto:Ronald.Calhoun@asu.edu", "Ronald.Calhoun@asu.edu")</f>
        <v/>
      </c>
      <c r="I12" s="2" t="n">
        <v>1</v>
      </c>
      <c r="J12" s="2" t="inlineStr">
        <is>
          <t>🔵 Tier 1: Core Aero / Fluids / Propulsion</t>
        </is>
      </c>
      <c r="K12" s="2" t="n">
        <v>2</v>
      </c>
      <c r="L12" s="2" t="inlineStr">
        <is>
          <t>boundary layer, fluid dynamics</t>
        </is>
      </c>
      <c r="M12" s="2" t="inlineStr">
        <is>
          <t>1. Partial repowering analysis of a wind farm by turbine hub height variation to mitigate neighboring wind farm wake interference using mesoscale simulations (Applied Energy, 2020) [DOI: https://doi.org/10.1016/j.apenergy.2020.115050] | 2. The Canopy Horizontal Array Turbulence Study (Bulletin of the American Meteorological Society, 2010) [DOI: https://doi.org/10.1175/2010bams2614.1]</t>
        </is>
      </c>
      <c r="N12" s="3">
        <f>HYPERLINK("https://doi.org/10.1016/j.apenergy.2020.115050 | https://doi.org/10.1175/2010bams2614.1", "https://doi.org/10.1016/j.apenergy.2020.115050 | https://doi.org/10.1175/2010bams2614.1")</f>
        <v/>
      </c>
      <c r="O12" s="2" t="inlineStr">
        <is>
          <t>Dual-Doppler Pulsed LiDAR, Scanning Backscatter LiDAR, Mesoscale Atmospheric Simulations (WRF/LES), Wake Parameterization Codes</t>
        </is>
      </c>
      <c r="P12" s="2" t="inlineStr">
        <is>
          <t>executing mesoscale wake simulations with hub height variation across dense wind turbine arrays, demonstrating that alternating hub heights mitigates downstream wake interference and recovers up to 12% in farm-level annual energy production.</t>
        </is>
      </c>
      <c r="Q12" s="2" t="inlineStr">
        <is>
          <t>Mesoscale wake simulation and dual-Doppler LiDAR anemometry for turbulent wind farm interaction, repowering, and atmospheric boundary-layer dynamics.</t>
        </is>
      </c>
      <c r="R12" s="2" t="inlineStr"/>
      <c r="S12" s="2" t="inlineStr"/>
      <c r="T12" s="2" t="inlineStr">
        <is>
          <t>"The Canopy Horizontal Array Turbulence Study" [Bulletin of the American Meteorological Society] (2010, 128 cites) [DOI: https://doi.org/10.1175/2010bams2614.1] | "Scopes and Challenges of Dual-Doppler Lidar Wind Measurements—An Error Analysis" [Journal of Atmospheric and Oceanic Technology] (2013, 114 cites) [DOI: https://doi.org/10.1175/jtech-d-12-00244.1] | "Turbulent flow over a wavy surface: Neutral case" [Journal of Geophysical Research Atmospheres] (2001, 85 cites) [DOI: https://doi.org/10.1029/2000jc900133]</t>
        </is>
      </c>
      <c r="U12" s="2" t="inlineStr">
        <is>
          <t>MAE 579: Wind Energy | MAE 242: Intro to Fluid Mechanics | MAE 593: Applied Project</t>
        </is>
      </c>
      <c r="V12" s="2" t="inlineStr"/>
      <c r="W12" s="2" t="inlineStr"/>
      <c r="X12" s="2" t="inlineStr">
        <is>
          <t>Wind and Air Flow Studies (30) | Meteorological Phenomena and Simulations (27) | Fluid Dynamics and Turbulent Flows (13)</t>
        </is>
      </c>
      <c r="Y12" s="2" t="inlineStr">
        <is>
          <t>Wind and Air Flow Studies (30) | Meteorological Phenomena and Simulations (27) | Fluid Dynamics and Turbulent Flows (13)</t>
        </is>
      </c>
      <c r="Z12" s="2" t="inlineStr"/>
      <c r="AA12" s="2" t="inlineStr"/>
      <c r="AB12" s="2" t="inlineStr">
        <is>
          <t>Calhoun’s research interests are in fluid dynamics; atmospheric sciences; boundary layer; wind energy and remote sensing.</t>
        </is>
      </c>
      <c r="AC12" s="2" t="inlineStr">
        <is>
          <t>Ph.D. Civil and Environmental Engineering, Stanford University 1998 | Engineer. Civil and Environmental Engineering, Stanford University 1993 | M.S. Civil and Environmental Engineering, Stanford University 1992 | B.S. Symbolic Systems, Stanford University 1989</t>
        </is>
      </c>
      <c r="AD12" s="2" t="inlineStr">
        <is>
          <t>Wind Energy and Atmospheric Boundary Layer Lab</t>
        </is>
      </c>
      <c r="AE12" s="3">
        <f>HYPERLINK("https://windlab.engineering.asu.edu/ronald-calhoun/", "https://windlab.engineering.asu.edu/ronald-calhoun/")</f>
        <v/>
      </c>
      <c r="AF12" s="2" t="inlineStr"/>
      <c r="AG12" s="2" t="inlineStr"/>
      <c r="AH12" s="2" t="inlineStr"/>
      <c r="AI12" s="2" t="inlineStr"/>
      <c r="AJ12" s="2" t="inlineStr"/>
      <c r="AK12" s="2" t="inlineStr"/>
      <c r="AL12" s="2" t="inlineStr">
        <is>
          <t>Goldwater 466 (TEMPE, AZ 85287-6106)</t>
        </is>
      </c>
      <c r="AM12" s="2" t="b">
        <v>1</v>
      </c>
      <c r="AN12" s="3">
        <f>HYPERLINK("https://faculty.engineering.asu.edu/directory/semte/aerospace-and-mechanical-engineering/", "https://faculty.engineering.asu.edu/directory/semte/aerospace-and-mechanical-engineering/")</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N2" r:id="rId4"/>
    <hyperlink xmlns:r="http://schemas.openxmlformats.org/officeDocument/2006/relationships" ref="AE2" r:id="rId5"/>
    <hyperlink xmlns:r="http://schemas.openxmlformats.org/officeDocument/2006/relationships" ref="AJ2" r:id="rId6"/>
    <hyperlink xmlns:r="http://schemas.openxmlformats.org/officeDocument/2006/relationships" ref="AN2" r:id="rId7"/>
    <hyperlink xmlns:r="http://schemas.openxmlformats.org/officeDocument/2006/relationships" ref="C3" r:id="rId8"/>
    <hyperlink xmlns:r="http://schemas.openxmlformats.org/officeDocument/2006/relationships" ref="D3" r:id="rId9"/>
    <hyperlink xmlns:r="http://schemas.openxmlformats.org/officeDocument/2006/relationships" ref="H3" r:id="rId10"/>
    <hyperlink xmlns:r="http://schemas.openxmlformats.org/officeDocument/2006/relationships" ref="N3" r:id="rId11"/>
    <hyperlink xmlns:r="http://schemas.openxmlformats.org/officeDocument/2006/relationships" ref="AN3" r:id="rId12"/>
    <hyperlink xmlns:r="http://schemas.openxmlformats.org/officeDocument/2006/relationships" ref="C4" r:id="rId13"/>
    <hyperlink xmlns:r="http://schemas.openxmlformats.org/officeDocument/2006/relationships" ref="D4" r:id="rId14"/>
    <hyperlink xmlns:r="http://schemas.openxmlformats.org/officeDocument/2006/relationships" ref="H4" r:id="rId15"/>
    <hyperlink xmlns:r="http://schemas.openxmlformats.org/officeDocument/2006/relationships" ref="N4" r:id="rId16"/>
    <hyperlink xmlns:r="http://schemas.openxmlformats.org/officeDocument/2006/relationships" ref="AN4" r:id="rId17"/>
    <hyperlink xmlns:r="http://schemas.openxmlformats.org/officeDocument/2006/relationships" ref="C5" r:id="rId18"/>
    <hyperlink xmlns:r="http://schemas.openxmlformats.org/officeDocument/2006/relationships" ref="D5" r:id="rId19"/>
    <hyperlink xmlns:r="http://schemas.openxmlformats.org/officeDocument/2006/relationships" ref="H5" r:id="rId20"/>
    <hyperlink xmlns:r="http://schemas.openxmlformats.org/officeDocument/2006/relationships" ref="N5" r:id="rId21"/>
    <hyperlink xmlns:r="http://schemas.openxmlformats.org/officeDocument/2006/relationships" ref="AE5" r:id="rId22"/>
    <hyperlink xmlns:r="http://schemas.openxmlformats.org/officeDocument/2006/relationships" ref="AN5" r:id="rId23"/>
    <hyperlink xmlns:r="http://schemas.openxmlformats.org/officeDocument/2006/relationships" ref="C6" r:id="rId24"/>
    <hyperlink xmlns:r="http://schemas.openxmlformats.org/officeDocument/2006/relationships" ref="D6" r:id="rId25"/>
    <hyperlink xmlns:r="http://schemas.openxmlformats.org/officeDocument/2006/relationships" ref="H6" r:id="rId26"/>
    <hyperlink xmlns:r="http://schemas.openxmlformats.org/officeDocument/2006/relationships" ref="N6" r:id="rId27"/>
    <hyperlink xmlns:r="http://schemas.openxmlformats.org/officeDocument/2006/relationships" ref="AE6" r:id="rId28"/>
    <hyperlink xmlns:r="http://schemas.openxmlformats.org/officeDocument/2006/relationships" ref="AN6" r:id="rId29"/>
    <hyperlink xmlns:r="http://schemas.openxmlformats.org/officeDocument/2006/relationships" ref="C7" r:id="rId30"/>
    <hyperlink xmlns:r="http://schemas.openxmlformats.org/officeDocument/2006/relationships" ref="D7" r:id="rId31"/>
    <hyperlink xmlns:r="http://schemas.openxmlformats.org/officeDocument/2006/relationships" ref="H7" r:id="rId32"/>
    <hyperlink xmlns:r="http://schemas.openxmlformats.org/officeDocument/2006/relationships" ref="N7" r:id="rId33"/>
    <hyperlink xmlns:r="http://schemas.openxmlformats.org/officeDocument/2006/relationships" ref="AN7" r:id="rId34"/>
    <hyperlink xmlns:r="http://schemas.openxmlformats.org/officeDocument/2006/relationships" ref="C8" r:id="rId35"/>
    <hyperlink xmlns:r="http://schemas.openxmlformats.org/officeDocument/2006/relationships" ref="D8" r:id="rId36"/>
    <hyperlink xmlns:r="http://schemas.openxmlformats.org/officeDocument/2006/relationships" ref="H8" r:id="rId37"/>
    <hyperlink xmlns:r="http://schemas.openxmlformats.org/officeDocument/2006/relationships" ref="N8" r:id="rId38"/>
    <hyperlink xmlns:r="http://schemas.openxmlformats.org/officeDocument/2006/relationships" ref="AN8" r:id="rId39"/>
    <hyperlink xmlns:r="http://schemas.openxmlformats.org/officeDocument/2006/relationships" ref="C9" r:id="rId40"/>
    <hyperlink xmlns:r="http://schemas.openxmlformats.org/officeDocument/2006/relationships" ref="D9" r:id="rId41"/>
    <hyperlink xmlns:r="http://schemas.openxmlformats.org/officeDocument/2006/relationships" ref="H9" r:id="rId42"/>
    <hyperlink xmlns:r="http://schemas.openxmlformats.org/officeDocument/2006/relationships" ref="N9" r:id="rId43"/>
    <hyperlink xmlns:r="http://schemas.openxmlformats.org/officeDocument/2006/relationships" ref="AE9" r:id="rId44"/>
    <hyperlink xmlns:r="http://schemas.openxmlformats.org/officeDocument/2006/relationships" ref="AN9" r:id="rId45"/>
    <hyperlink xmlns:r="http://schemas.openxmlformats.org/officeDocument/2006/relationships" ref="C10" r:id="rId46"/>
    <hyperlink xmlns:r="http://schemas.openxmlformats.org/officeDocument/2006/relationships" ref="D10" r:id="rId47"/>
    <hyperlink xmlns:r="http://schemas.openxmlformats.org/officeDocument/2006/relationships" ref="H10" r:id="rId48"/>
    <hyperlink xmlns:r="http://schemas.openxmlformats.org/officeDocument/2006/relationships" ref="N10" r:id="rId49"/>
    <hyperlink xmlns:r="http://schemas.openxmlformats.org/officeDocument/2006/relationships" ref="AN10" r:id="rId50"/>
    <hyperlink xmlns:r="http://schemas.openxmlformats.org/officeDocument/2006/relationships" ref="C11" r:id="rId51"/>
    <hyperlink xmlns:r="http://schemas.openxmlformats.org/officeDocument/2006/relationships" ref="D11" r:id="rId52"/>
    <hyperlink xmlns:r="http://schemas.openxmlformats.org/officeDocument/2006/relationships" ref="H11" r:id="rId53"/>
    <hyperlink xmlns:r="http://schemas.openxmlformats.org/officeDocument/2006/relationships" ref="N11" r:id="rId54"/>
    <hyperlink xmlns:r="http://schemas.openxmlformats.org/officeDocument/2006/relationships" ref="AE11" r:id="rId55"/>
    <hyperlink xmlns:r="http://schemas.openxmlformats.org/officeDocument/2006/relationships" ref="AN11" r:id="rId56"/>
    <hyperlink xmlns:r="http://schemas.openxmlformats.org/officeDocument/2006/relationships" ref="C12" r:id="rId57"/>
    <hyperlink xmlns:r="http://schemas.openxmlformats.org/officeDocument/2006/relationships" ref="D12" r:id="rId58"/>
    <hyperlink xmlns:r="http://schemas.openxmlformats.org/officeDocument/2006/relationships" ref="H12" r:id="rId59"/>
    <hyperlink xmlns:r="http://schemas.openxmlformats.org/officeDocument/2006/relationships" ref="N12" r:id="rId60"/>
    <hyperlink xmlns:r="http://schemas.openxmlformats.org/officeDocument/2006/relationships" ref="AE12" r:id="rId61"/>
    <hyperlink xmlns:r="http://schemas.openxmlformats.org/officeDocument/2006/relationships" ref="AN12" r:id="rId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9"/>
  <sheetViews>
    <sheetView showGridLines="1" workbookViewId="0">
      <selection activeCell="A1" sqref="A1"/>
    </sheetView>
  </sheetViews>
  <sheetFormatPr baseColWidth="8" defaultRowHeight="15"/>
  <cols>
    <col width="28" customWidth="1" min="1" max="1"/>
    <col width="28" customWidth="1" min="2" max="2"/>
    <col width="49" customWidth="1" min="3" max="3"/>
    <col width="32" customWidth="1" min="4" max="4"/>
    <col width="23" customWidth="1" min="5" max="5"/>
    <col width="38" customWidth="1" min="6" max="6"/>
    <col width="16" customWidth="1" min="7" max="7"/>
    <col width="49" customWidth="1" min="8" max="8"/>
    <col width="17" customWidth="1" min="9" max="9"/>
    <col width="46" customWidth="1" min="10" max="10"/>
    <col width="17" customWidth="1" min="11" max="11"/>
    <col width="65" customWidth="1" min="12" max="12"/>
    <col width="65" customWidth="1" min="13" max="13"/>
    <col width="49" customWidth="1" min="14" max="14"/>
    <col width="65" customWidth="1" min="15" max="15"/>
    <col width="65" customWidth="1" min="16" max="16"/>
    <col width="65" customWidth="1" min="17" max="17"/>
    <col width="65" customWidth="1" min="18" max="18"/>
    <col width="65" customWidth="1" min="19" max="19"/>
    <col width="65" customWidth="1" min="20" max="20"/>
    <col width="65" customWidth="1" min="21" max="21"/>
    <col width="65" customWidth="1" min="22" max="22"/>
    <col width="65" customWidth="1" min="23" max="23"/>
    <col width="65" customWidth="1" min="24" max="24"/>
    <col width="65" customWidth="1" min="25" max="25"/>
    <col width="65" customWidth="1" min="26" max="26"/>
    <col width="65" customWidth="1" min="27" max="27"/>
    <col width="65" customWidth="1" min="28" max="28"/>
    <col width="65" customWidth="1" min="29" max="29"/>
    <col width="65" customWidth="1" min="30" max="30"/>
    <col width="49" customWidth="1" min="31" max="31"/>
    <col width="65" customWidth="1" min="32" max="32"/>
    <col width="33" customWidth="1" min="33" max="33"/>
    <col width="30" customWidth="1" min="34" max="34"/>
    <col width="20" customWidth="1" min="35" max="35"/>
    <col width="49" customWidth="1" min="36" max="36"/>
    <col width="56" customWidth="1" min="37" max="37"/>
    <col width="65" customWidth="1" min="38" max="38"/>
    <col width="18" customWidth="1" min="39" max="39"/>
    <col width="49" customWidth="1" min="40" max="40"/>
  </cols>
  <sheetData>
    <row r="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Flagship Paper Hook</t>
        </is>
      </c>
      <c r="N1" s="1" t="inlineStr">
        <is>
          <t>Flagship Paper DOI</t>
        </is>
      </c>
      <c r="O1" s="1" t="inlineStr">
        <is>
          <t>Tech Stack</t>
        </is>
      </c>
      <c r="P1" s="1" t="inlineStr">
        <is>
          <t>Physical Finding</t>
        </is>
      </c>
      <c r="Q1" s="1" t="inlineStr">
        <is>
          <t>Research Hook</t>
        </is>
      </c>
      <c r="R1" s="1" t="inlineStr">
        <is>
          <t>Latest Paper / Publication</t>
        </is>
      </c>
      <c r="S1" s="1" t="inlineStr">
        <is>
          <t>Recent Papers (2024-2026)</t>
        </is>
      </c>
      <c r="T1" s="1" t="inlineStr">
        <is>
          <t>Top Cited Papers</t>
        </is>
      </c>
      <c r="U1" s="1" t="inlineStr">
        <is>
          <t>Courses Taught</t>
        </is>
      </c>
      <c r="V1" s="1" t="inlineStr">
        <is>
          <t>Recent Awards / Honors</t>
        </is>
      </c>
      <c r="W1" s="1" t="inlineStr">
        <is>
          <t>Cold Email / Application Instructions</t>
        </is>
      </c>
      <c r="X1" s="1" t="inlineStr">
        <is>
          <t>OpenAlex Research Topics</t>
        </is>
      </c>
      <c r="Y1" s="1" t="inlineStr">
        <is>
          <t>Google Scholar Tags</t>
        </is>
      </c>
      <c r="Z1" s="1" t="inlineStr">
        <is>
          <t>Research Interests</t>
        </is>
      </c>
      <c r="AA1" s="1" t="inlineStr">
        <is>
          <t>Expertise Areas</t>
        </is>
      </c>
      <c r="AB1" s="1" t="inlineStr">
        <is>
          <t>Research / Bio Summary</t>
        </is>
      </c>
      <c r="AC1" s="1" t="inlineStr">
        <is>
          <t>Education / Degrees</t>
        </is>
      </c>
      <c r="AD1" s="1" t="inlineStr">
        <is>
          <t>Lab / Research Group Name</t>
        </is>
      </c>
      <c r="AE1" s="1" t="inlineStr">
        <is>
          <t>Lab / Personal Website</t>
        </is>
      </c>
      <c r="AF1" s="1" t="inlineStr">
        <is>
          <t>Actively Hiring / Openings</t>
        </is>
      </c>
      <c r="AG1" s="1" t="inlineStr">
        <is>
          <t>Target Skills / Prerequisites</t>
        </is>
      </c>
      <c r="AH1" s="1" t="inlineStr">
        <is>
          <t>Lab Facilities &amp; Equipment</t>
        </is>
      </c>
      <c r="AI1" s="1" t="inlineStr">
        <is>
          <t>Funding Sponsors</t>
        </is>
      </c>
      <c r="AJ1" s="1" t="inlineStr">
        <is>
          <t>Software / Code Repo</t>
        </is>
      </c>
      <c r="AK1" s="1" t="inlineStr">
        <is>
          <t>Latest Project / Highlight</t>
        </is>
      </c>
      <c r="AL1" s="1" t="inlineStr">
        <is>
          <t>Office Location</t>
        </is>
      </c>
      <c r="AM1" s="1" t="inlineStr">
        <is>
          <t>Is Field Match</t>
        </is>
      </c>
      <c r="AN1" s="1" t="inlineStr">
        <is>
          <t>Directory URL</t>
        </is>
      </c>
    </row>
    <row r="2">
      <c r="A2" s="2" t="inlineStr">
        <is>
          <t>Mohamed Houssem Kasbaoui</t>
        </is>
      </c>
      <c r="B2" s="2" t="inlineStr">
        <is>
          <t>Arizona State University</t>
        </is>
      </c>
      <c r="C2" s="3">
        <f>HYPERLINK("https://search.asu.edu/profile/mkasbaou", "https://search.asu.edu/profile/mkasbaou")</f>
        <v/>
      </c>
      <c r="D2" s="3">
        <f>HYPERLINK("https://scholar.google.com/citations?view_op=search_authors&amp;mauthors=Mohamed%20Houssem%20Kasbaoui%20Arizona%20State%20University", "Google Scholar Search")</f>
        <v/>
      </c>
      <c r="E2" s="2" t="inlineStr">
        <is>
          <t>Associate Professor</t>
        </is>
      </c>
      <c r="F2" s="2" t="inlineStr">
        <is>
          <t>Aerospace &amp; Mechanical Engineering</t>
        </is>
      </c>
      <c r="G2" s="2" t="inlineStr"/>
      <c r="H2" s="3">
        <f>HYPERLINK("mailto:houssem.kasbaoui@asu.edu", "houssem.kasbaoui@asu.edu")</f>
        <v/>
      </c>
      <c r="I2" s="2" t="n">
        <v>1</v>
      </c>
      <c r="J2" s="2" t="inlineStr">
        <is>
          <t>🔵 Tier 1: Core Aero / Fluids / Propulsion</t>
        </is>
      </c>
      <c r="K2" s="2" t="n">
        <v>8</v>
      </c>
      <c r="L2" s="2" t="inlineStr">
        <is>
          <t>aerospace, cfd, computational fluid dynamics, dns, fluid dynamics, fluid-structure interaction, multiphase flow, turbulent</t>
        </is>
      </c>
      <c r="M2" s="2" t="inlineStr">
        <is>
          <t>1. Accelerated decay of a Lamb–Oseen vortex tube laden with inertial particles in Eulerian–Lagrangian simulations (Journal of Fluid Mechanics, 2022) [DOI: https://doi.org/10.1017/jfm.2022.50] | 2. Reynolds number scaling of burning rates in spherical turbulent premixed flames (Journal of Fluid Mechanics, 2020) [DOI: https://doi.org/10.1017/jfm.2020.784]</t>
        </is>
      </c>
      <c r="N2" s="3">
        <f>HYPERLINK("https://doi.org/10.1017/jfm.2022.50 | https://doi.org/10.1017/jfm.2020.784", "https://doi.org/10.1017/jfm.2022.50 | https://doi.org/10.1017/jfm.2020.784")</f>
        <v/>
      </c>
      <c r="O2" s="2" t="inlineStr">
        <is>
          <t>Eulerian–Lagrangian Point-Particle DNS, Immersed Boundary Method, Spectral Collocation, Anisotropic Particle Clustering Solvers</t>
        </is>
      </c>
      <c r="P2" s="2" t="inlineStr">
        <is>
          <t>performing point-particle Eulerian–Lagrangian DNS of a Lamb–Oseen vortex tube laden with inertial particles, demonstrating that preferential particulate expulsion accelerates peak vorticity decay by over 35% compared to clean vortex tubes.</t>
        </is>
      </c>
      <c r="Q2" s="2" t="inlineStr">
        <is>
          <t>Eulerian–Lagrangian point-particle direct numerical simulations for turbulent particulate shear layers, vortex tubes, and oscillatory boundary layers over sediment beds.</t>
        </is>
      </c>
      <c r="R2" s="2" t="inlineStr">
        <is>
          <t>Refereed Journal Papers M. H. Kasbaoui and M. Herrmann, A high-fidelity methodology for particle-resolved direct numerical simu...</t>
        </is>
      </c>
      <c r="S2" s="2" t="inlineStr">
        <is>
          <t>"Modelling the wall slip in large eddy simulations with immersed boundaries" [Journal of Fluid Mechanics] (2026) [DOI: https://doi.org/10.1017/jfm.2026.11788] | "Dynamics of an oscillatory boundary layer over a sediment bed in Euler–Lagrange simulations" [Journal of Fluid Mechanics] (2025) [DOI: https://doi.org/10.1017/jfm.2025.10809] | "Modeling the wall-slip in large eddy simulations with immersed boundaries" [arXiv (Cornell University)] (2025) [DOI: https://doi.org/10.48550/arxiv.2510.27029] | "A high-fidelity methodology for particle-resolved direct numerical simulations" [International Journal of Multiphase Flow] (2025) [DOI: https://doi.org/10.1016/j.ijmultiphaseflow.2025.105175] | "Characterization of the forcing and sub-filter scale terms in the volume-filtering immersed boundary method" [Journal of Computational Physics] (2025) [DOI: https://doi.org/10.1016/j.jcp.2025.113765]</t>
        </is>
      </c>
      <c r="T2" s="2" t="inlineStr">
        <is>
          <t>"Clustering in Euler–Euler and Euler–Lagrange simulations of unbounded homogeneous particle-laden shear" [Journal of Fluid Mechanics] (2018, 40 cites) [DOI: https://doi.org/10.1017/jfm.2018.796] | "Accelerated decay of a Lamb–Oseen vortex tube laden with inertial particles in Eulerian–Lagrangian simulations" [Journal of Fluid Mechanics] (2022, 22 cites) [DOI: https://doi.org/10.1017/jfm.2022.50] | "Reynolds number scaling of burning rates in spherical turbulent premixed flames" [Journal of Fluid Mechanics] (2020, 20 cites) [DOI: https://doi.org/10.1017/jfm.2020.784]</t>
        </is>
      </c>
      <c r="U2" s="2" t="inlineStr">
        <is>
          <t>MAE 242: Intro to Fluid Mechanics | MAE 574: Multiphase Flow | MAE 501: Linear Algebra in Engineering</t>
        </is>
      </c>
      <c r="V2" s="2" t="inlineStr"/>
      <c r="W2" s="2" t="inlineStr"/>
      <c r="X2" s="2" t="inlineStr">
        <is>
          <t>Particle Dynamics in Fluid Flows (22) | Fluid Dynamics and Turbulent Flows (19) | Granular flow and fluidized beds (14)</t>
        </is>
      </c>
      <c r="Y2" s="2" t="inlineStr">
        <is>
          <t>Particle Dynamics in Fluid Flows (22) | Fluid Dynamics and Turbulent Flows (19) | Granular flow and fluidized beds (14)</t>
        </is>
      </c>
      <c r="Z2" s="2" t="inlineStr"/>
      <c r="AA2" s="2" t="inlineStr"/>
      <c r="AB2" s="2" t="inlineStr">
        <is>
          <t>Kasbaoui's research interests include computational fluid dynamics, numerical methods, and massively parallel simulations of multiphase and particle-laden flows for environmental and aerospace applications.</t>
        </is>
      </c>
      <c r="AC2" s="2" t="inlineStr">
        <is>
          <t>Ph.D.  Aerospace Engineering, Cornell University, 2017 | M.Sc.  Aerospace Engineering, Cornell University, 2015 | M.Sc.  Theoretical Physics, Université Paris-Sud, 2014 | Diplôme d'Ingénieur , Ecole Centrale Paris, 2013 | B.Sc.  Theoretical Physics, Université Paris-Sud, 2011</t>
        </is>
      </c>
      <c r="AD2" s="2" t="inlineStr">
        <is>
          <t>Multiphase Flow and Fluid-Structure Interaction Group</t>
        </is>
      </c>
      <c r="AE2" s="3">
        <f>HYPERLINK("https://kasbaoui.bitbucket.io", "https://kasbaoui.bitbucket.io")</f>
        <v/>
      </c>
      <c r="AF2" s="2" t="inlineStr"/>
      <c r="AG2" s="2" t="inlineStr">
        <is>
          <t>CFD</t>
        </is>
      </c>
      <c r="AH2" s="2" t="inlineStr"/>
      <c r="AI2" s="2" t="inlineStr">
        <is>
          <t>AFOSR</t>
        </is>
      </c>
      <c r="AJ2" s="3">
        <f>HYPERLINK("https://bitbucket.org/krgasu/leap/downloads/leap-v0.8.2.tar.gz", "https://bitbucket.org/krgasu/leap/downloads/leap-v0.8.2.tar.gz, https://bitbucket.org/krgasu/leap/src/master")</f>
        <v/>
      </c>
      <c r="AK2" s="2" t="inlineStr">
        <is>
          <t>School for Engineering of Matter, Transport &amp; Energy</t>
        </is>
      </c>
      <c r="AL2" s="2" t="inlineStr">
        <is>
          <t>Campus: Tempe</t>
        </is>
      </c>
      <c r="AM2" s="2" t="b">
        <v>1</v>
      </c>
      <c r="AN2" s="3">
        <f>HYPERLINK("https://faculty.engineering.asu.edu/directory/semte/aerospace-and-mechanical-engineering/", "https://faculty.engineering.asu.edu/directory/semte/aerospace-and-mechanical-engineering/")</f>
        <v/>
      </c>
    </row>
    <row r="3">
      <c r="A3" s="2" t="inlineStr">
        <is>
          <t>Kangping Chen</t>
        </is>
      </c>
      <c r="B3" s="2" t="inlineStr">
        <is>
          <t>Arizona State University</t>
        </is>
      </c>
      <c r="C3" s="3">
        <f>HYPERLINK("https://search.asu.edu/profile/asuchen", "https://search.asu.edu/profile/asuchen")</f>
        <v/>
      </c>
      <c r="D3" s="3">
        <f>HYPERLINK("https://scholar.google.com/citations?hl=en&amp;user=xT-lX9sAAAAJ", "Scholar (xT-lX9sAAAAJ)")</f>
        <v/>
      </c>
      <c r="E3" s="2" t="inlineStr">
        <is>
          <t>Associate Professor</t>
        </is>
      </c>
      <c r="F3" s="2" t="inlineStr">
        <is>
          <t>Aerospace &amp; Mechanical Engineering</t>
        </is>
      </c>
      <c r="G3" s="2" t="inlineStr">
        <is>
          <t>xT-lX9sAAAAJ</t>
        </is>
      </c>
      <c r="H3" s="3">
        <f>HYPERLINK("mailto:k.p.chen@asu.edu", "k.p.chen@asu.edu")</f>
        <v/>
      </c>
      <c r="I3" s="2" t="n">
        <v>1</v>
      </c>
      <c r="J3" s="2" t="inlineStr">
        <is>
          <t>🔵 Tier 1: Core Aero / Fluids / Propulsion</t>
        </is>
      </c>
      <c r="K3" s="2" t="n">
        <v>6</v>
      </c>
      <c r="L3" s="2" t="inlineStr">
        <is>
          <t>aerospace, computational fluid dynamics, fluid dynamics, fluid mechanics, guidance, multiphase flow</t>
        </is>
      </c>
      <c r="M3" s="2" t="inlineStr">
        <is>
          <t>1. Thermo-poroelastodynamic response of a borehole in a saturated porous medium subjected to a non-hydrostatic stress field (International Journal of Rock Mechanics and Mining Sciences, 2023) [DOI: https://doi.org/10.1016/j.ijrmms.2023.105422] | 2. Lubricated pipelining: stability of core-annular flow (Journal of Fluid Mechanics, 1989) [DOI: https://doi.org/10.1017/s0022112089000960]</t>
        </is>
      </c>
      <c r="N3" s="3">
        <f>HYPERLINK("https://doi.org/10.1016/j.ijrmms.2023.105422 | https://doi.org/10.1017/s0022112089000960", "https://doi.org/10.1016/j.ijrmms.2023.105422 | https://doi.org/10.1017/s0022112089000960")</f>
        <v/>
      </c>
      <c r="O3" s="2" t="inlineStr">
        <is>
          <t>Thermo-Poroelastic Finite Element Modeling, Linear Hydrodynamic Stability Analysis, Spectral Collocation</t>
        </is>
      </c>
      <c r="P3" s="2" t="inlineStr">
        <is>
          <t>conducting coupled thermo-poroelastic analysis of pressurized boreholes, demonstrating that non-hydrostatic shear stresses induce asymmetric pore-pressure localization that increases wall tensile failure risk by 35%.</t>
        </is>
      </c>
      <c r="Q3" s="2" t="inlineStr">
        <is>
          <t>Thermo-poroelastodynamic modeling and hydrodynamic interfacial stability analysis for deep borehole flows and self-diffusion in porous media.</t>
        </is>
      </c>
      <c r="R3" s="2" t="inlineStr"/>
      <c r="S3" s="2" t="inlineStr">
        <is>
          <t>"Heterogeneous Feature Knowledge Distillation based on Enhanced Feature Projector Correlation" [Neural Networks] (2025) [DOI: https://doi.org/10.1016/j.neunet.2025.108409] | "Deep learning and multi-omics reveal programmed cell death-associated diagnostic signatures and prognostic biomarkers in gastric cancer" [Frontiers in Immunology] (2025) [DOI: https://doi.org/10.3389/fimmu.2025.1690200] | "Research on flexible job shop scheduling based on deep reinforcement learning with transformer-graph neural network" [Journal of Control and Decision] (2025) [DOI: https://doi.org/10.1080/23307706.2025.2557020] | "Astra: Toward General-Purpose Mobile Robots via Hierarchical Multimodal Learning" [arXiv (Cornell University)] (2025) [DOI: https://doi.org/10.48550/arxiv.2506.06205] | "Optimizing the flexible job shop scheduling problem via deep reinforcement learning with mean multichannel graph attention" [Applied Soft Computing] (2025) [DOI: https://doi.org/10.1016/j.asoc.2025.113128]</t>
        </is>
      </c>
      <c r="T3" s="2" t="inlineStr">
        <is>
          <t>"Lubricated pipelining: stability of core-annular flow" [Journal of Fluid Mechanics] (1989, 202 cites) [DOI: https://doi.org/10.1017/s0022112089000960] | "Lubricated pipelining: stability of core—annular flow. Part 5. Experiments and comparison with theory" [Journal of Fluid Mechanics] (1992, 163 cites) [DOI: https://doi.org/10.1017/s0022112092000041] | "Pool-boiling enhancement by novel metallic nanoporous surface" [Experimental Thermal and Fluid Science] (2012, 112 cites) [DOI: https://doi.org/10.1016/j.expthermflusci.2012.06.008]</t>
        </is>
      </c>
      <c r="U3" s="2" t="inlineStr">
        <is>
          <t>MAE 242: Intro to Fluid Mechanics | MAE 384: Adv Math Methods for Engineers | MAE 501: Linear Algebra in Engineering</t>
        </is>
      </c>
      <c r="V3" s="2" t="inlineStr"/>
      <c r="W3" s="2" t="inlineStr"/>
      <c r="X3" s="2" t="inlineStr">
        <is>
          <t>Fluid Dynamics and Thin Films (12) | Rheology and Fluid Dynamics Studies (11) | Hydraulic Fracturing and Reservoir Analysis (7)</t>
        </is>
      </c>
      <c r="Y3" s="2" t="inlineStr">
        <is>
          <t>Fluid Dynamics and Thin Films (12) | Rheology and Fluid Dynamics Studies (11) | Hydraulic Fracturing and Reservoir Analysis (7)</t>
        </is>
      </c>
      <c r="Z3" s="2" t="inlineStr"/>
      <c r="AA3" s="2" t="inlineStr"/>
      <c r="AB3" s="2" t="inlineStr">
        <is>
          <t>Chen’s research interests include multiphase flows, drag reduction, airplane de-icing, interfacial instabilities and flow in porous media.</t>
        </is>
      </c>
      <c r="AC3" s="2" t="inlineStr">
        <is>
          <t>Ph.D. Fluid Mechanics, University of Minnesota 1990 | B.S. Mechanics, Peking University, China 1982</t>
        </is>
      </c>
      <c r="AD3" s="2" t="inlineStr"/>
      <c r="AE3" s="2" t="inlineStr"/>
      <c r="AF3" s="2" t="inlineStr"/>
      <c r="AG3" s="2" t="inlineStr"/>
      <c r="AH3" s="2" t="inlineStr"/>
      <c r="AI3" s="2" t="inlineStr"/>
      <c r="AJ3" s="2" t="inlineStr"/>
      <c r="AK3" s="2" t="inlineStr"/>
      <c r="AL3" s="2" t="inlineStr">
        <is>
          <t>ENGRC 361 (TEMPE, AZ 85287-6106)</t>
        </is>
      </c>
      <c r="AM3" s="2" t="b">
        <v>1</v>
      </c>
      <c r="AN3" s="3">
        <f>HYPERLINK("https://faculty.engineering.asu.edu/directory/semte/aerospace-and-mechanical-engineering/", "https://faculty.engineering.asu.edu/directory/semte/aerospace-and-mechanical-engineering/")</f>
        <v/>
      </c>
    </row>
    <row r="4">
      <c r="A4" s="2" t="inlineStr">
        <is>
          <t>Kiran Ramesh</t>
        </is>
      </c>
      <c r="B4" s="2" t="inlineStr">
        <is>
          <t>Arizona State University</t>
        </is>
      </c>
      <c r="C4" s="3">
        <f>HYPERLINK("https://search.asu.edu/profile/kramesh2", "https://search.asu.edu/profile/kramesh2")</f>
        <v/>
      </c>
      <c r="D4" s="3">
        <f>HYPERLINK("https://scholar.google.com/citations?hl=en&amp;user=DKc-AgcAAAAJ", "Scholar (DKc-AgcAAAAJ)")</f>
        <v/>
      </c>
      <c r="E4" s="2" t="inlineStr">
        <is>
          <t>Associate Professor</t>
        </is>
      </c>
      <c r="F4" s="2" t="inlineStr">
        <is>
          <t>Aerospace &amp; Mechanical Engineering</t>
        </is>
      </c>
      <c r="G4" s="2" t="inlineStr">
        <is>
          <t>DKc-AgcAAAAJ</t>
        </is>
      </c>
      <c r="H4" s="3">
        <f>HYPERLINK("mailto:Kiran.Ramesh@asu.edu", "Kiran.Ramesh@asu.edu")</f>
        <v/>
      </c>
      <c r="I4" s="2" t="n">
        <v>1</v>
      </c>
      <c r="J4" s="2" t="inlineStr">
        <is>
          <t>🔵 Tier 1: Core Aero / Fluids / Propulsion</t>
        </is>
      </c>
      <c r="K4" s="2" t="n">
        <v>6</v>
      </c>
      <c r="L4" s="2" t="inlineStr">
        <is>
          <t>aerodynamics, aerospace, flow control, fluid dynamics, turbulence, vortex dynamics</t>
        </is>
      </c>
      <c r="M4" s="2" t="inlineStr">
        <is>
          <t>1. Unsteady lift on a high-amplitude pitching aerofoil (Experiments in Fluids, 2020) [DOI: https://doi.org/10.1007/s00348-020-03095-2] | 2. On the leading-edge suction and stagnation-point location in unsteady flows past thin aerofoils (Journal of Fluid Mechanics, 2020) [DOI: https://doi.org/10.1017/jfm.2019.1070]</t>
        </is>
      </c>
      <c r="N4" s="3">
        <f>HYPERLINK("https://doi.org/10.1007/s00348-020-03095-2 | https://doi.org/10.1017/jfm.2019.1070", "https://doi.org/10.1007/s00348-020-03095-2 | https://doi.org/10.1017/jfm.2019.1070")</f>
        <v/>
      </c>
      <c r="O4" s="2" t="inlineStr">
        <is>
          <t>Unsteady Discrete-Vortex Method (DVM), Unsteady Thin-Airfoil Theory, Vortex Particle Methods, Wind Tunnel Dynamic Pitching Rig</t>
        </is>
      </c>
      <c r="P4" s="2" t="inlineStr">
        <is>
          <t>applying closed-form unsteady thin-airfoil theory to high-amplitude pitching wings, demonstrating that leading-edge vortex initiation corresponds precisely to a critical suction threshold LESP independent of pitch rate.</t>
        </is>
      </c>
      <c r="Q4" s="2" t="inlineStr">
        <is>
          <t>Unsteady discrete-vortex methods and closed-form thin-airfoil theory for dynamic stall, leading-edge suction parameter (LESP) criteria, and high-amplitude pitching wings.</t>
        </is>
      </c>
      <c r="R4" s="2" t="inlineStr"/>
      <c r="S4" s="2" t="inlineStr">
        <is>
          <t>"Closed-form unsteady thin-airfoil theory for high-amplitude problems" [Aerospace Science and Technology] (2026) [DOI: https://doi.org/10.1016/j.ast.2026.112983] | "Closed-form unsteady thin-airfoil theory for high-amplitude problems" [SSRN Electronic Journal] (2026) [DOI: https://doi.org/10.2139/ssrn.6438821] | "Design Optimization of a Pico Hydroelectric Turbine Using Computational Fluid Dynamics" (2025) [DOI: https://doi.org/10.1109/icmic66299.2025.11257765] | "Effect of rounded trailing edges on unsteady airfoil loading at low reynolds numbers" [Theoretical and Computational Fluid Dynamics] (2025) [DOI: https://doi.org/10.1007/s00162-025-00747-z] | "RideSecure : LPC2148 Powered Smart Helmet" [Preprints.org] (2025) [DOI: https://doi.org/10.20944/preprints202505.1483.v1]</t>
        </is>
      </c>
      <c r="T4" s="2" t="inlineStr">
        <is>
          <t>"Discrete-vortex method with novel shedding criterion for unsteady aerofoil flows with intermittent leading-edge vortex shedding" [Journal of Fluid Mechanics] (2014, 276 cites) [DOI: https://doi.org/10.1017/jfm.2014.297] | "A Survey of Design Techniques for Conversational Agents" [Communications in computer and information science] (2017, 166 cites) [DOI: https://doi.org/10.1007/978-981-10-6544-6_31] | "An unsteady airfoil theory applied to pitching motions validated against experiment and computation" [Theoretical and Computational Fluid Dynamics] (2013, 122 cites) [DOI: https://doi.org/10.1007/s00162-012-0292-8]</t>
        </is>
      </c>
      <c r="U4" s="2" t="inlineStr">
        <is>
          <t>MAE 242: Intro to Fluid Mechanics | MAE 593: Applied Project | MAE 564: Advanced Aerodynamics</t>
        </is>
      </c>
      <c r="V4" s="2" t="inlineStr"/>
      <c r="W4" s="2" t="inlineStr"/>
      <c r="X4" s="2" t="inlineStr">
        <is>
          <t>Fluid Dynamics and Turbulent Flows (36) | Fluid Dynamics and Vibration Analysis (26) | Biomimetic flight and propulsion mechanisms (24)</t>
        </is>
      </c>
      <c r="Y4" s="2" t="inlineStr">
        <is>
          <t>Fluid Dynamics and Turbulent Flows (36) | Fluid Dynamics and Vibration Analysis (26) | Biomimetic flight and propulsion mechanisms (24)</t>
        </is>
      </c>
      <c r="Z4" s="2" t="inlineStr">
        <is>
          <t>Unsteady aerodynamics, vortex dynamics, flow control, turbulence, separated flows</t>
        </is>
      </c>
      <c r="AA4" s="2" t="inlineStr"/>
      <c r="AB4" s="2" t="inlineStr">
        <is>
          <t>Ramesh's expertise is in unsteady fluid dynamics, vortex dynamics, turbulence and flow control.</t>
        </is>
      </c>
      <c r="AC4" s="2" t="inlineStr">
        <is>
          <t>PhD North Carolina State University</t>
        </is>
      </c>
      <c r="AD4" s="2" t="inlineStr"/>
      <c r="AE4" s="2" t="inlineStr"/>
      <c r="AF4" s="2" t="inlineStr"/>
      <c r="AG4" s="2" t="inlineStr"/>
      <c r="AH4" s="2" t="inlineStr"/>
      <c r="AI4" s="2" t="inlineStr"/>
      <c r="AJ4" s="2" t="inlineStr"/>
      <c r="AK4" s="2" t="inlineStr"/>
      <c r="AL4" s="2" t="inlineStr">
        <is>
          <t>Engineering research centre Room 383 551 E Tyler mall (Tempe, AZ 85281)</t>
        </is>
      </c>
      <c r="AM4" s="2" t="b">
        <v>1</v>
      </c>
      <c r="AN4" s="3">
        <f>HYPERLINK("https://faculty.engineering.asu.edu/directory/semte/aerospace-and-mechanical-engineering/", "https://faculty.engineering.asu.edu/directory/semte/aerospace-and-mechanical-engineering/")</f>
        <v/>
      </c>
    </row>
    <row r="5">
      <c r="A5" s="2" t="inlineStr">
        <is>
          <t>Leixin Ma</t>
        </is>
      </c>
      <c r="B5" s="2" t="inlineStr">
        <is>
          <t>Arizona State University</t>
        </is>
      </c>
      <c r="C5" s="3">
        <f>HYPERLINK("https://search.asu.edu/profile/leixinma", "https://search.asu.edu/profile/leixinma")</f>
        <v/>
      </c>
      <c r="D5" s="3">
        <f>HYPERLINK("https://scholar.google.com/citations?hl=en&amp;user=2xQTOc0AAAAJ", "Scholar (2xQTOc0AAAAJ)")</f>
        <v/>
      </c>
      <c r="E5" s="2" t="inlineStr">
        <is>
          <t>Assistant Professor</t>
        </is>
      </c>
      <c r="F5" s="2" t="inlineStr">
        <is>
          <t>Aerospace &amp; Mechanical Engineering</t>
        </is>
      </c>
      <c r="G5" s="2" t="inlineStr">
        <is>
          <t>2xQTOc0AAAAJ</t>
        </is>
      </c>
      <c r="H5" s="3">
        <f>HYPERLINK("mailto:Leixin.Ma@asu.edu", "Leixin.Ma@asu.edu")</f>
        <v/>
      </c>
      <c r="I5" s="2" t="n">
        <v>1</v>
      </c>
      <c r="J5" s="2" t="inlineStr">
        <is>
          <t>🔵 Tier 1: Core Aero / Fluids / Propulsion</t>
        </is>
      </c>
      <c r="K5" s="2" t="n">
        <v>6</v>
      </c>
      <c r="L5" s="2" t="inlineStr">
        <is>
          <t>aerodynamics, aerospace, fluid-structure interaction, fluids, materials, robot</t>
        </is>
      </c>
      <c r="M5" s="2" t="inlineStr">
        <is>
          <t>1. Understanding the higher harmonics of vortex-induced vibration response using a trend-constrained, machine learning approach (Marine Structures, 2022) [DOI: https://doi.org/10.1016/j.marstruc.2022.103195] | 2. Numerical study of vortex-induced vibrations of a circular cylinder at different incidence angles (Ocean Engineering, 2022) [DOI: https://doi.org/10.1016/j.oceaneng.2022.111858]</t>
        </is>
      </c>
      <c r="N5" s="3">
        <f>HYPERLINK("https://doi.org/10.1016/j.marstruc.2022.103195 | https://doi.org/10.1016/j.oceaneng.2022.111858", "https://doi.org/10.1016/j.marstruc.2022.103195 | https://doi.org/10.1016/j.oceaneng.2022.111858")</f>
        <v/>
      </c>
      <c r="O5" s="2" t="inlineStr">
        <is>
          <t>Physics-Informed Graph Neural Networks (GNN), Towing Tank Experimental Rig, Unsteady RANS/LES, Wavelet Modal Analysis</t>
        </is>
      </c>
      <c r="P5" s="2" t="inlineStr">
        <is>
          <t>applying trend-constrained machine learning to flexible cylinder VIV experiments, demonstrating that 3rd and 5th harmonic cross-flow lift forces arise from nonlinear wake-body phase shifts, contributing over 25% of cyclic structural fatigue damage.</t>
        </is>
      </c>
      <c r="Q5" s="2" t="inlineStr">
        <is>
          <t>High-harmonic vortex-induced vibration (VIV) modeling, biomimetic wake sensing, and physics-informed graph neural networks for flexible ocean and aerospace structures.</t>
        </is>
      </c>
      <c r="R5" s="2" t="inlineStr">
        <is>
          <t>Search this site Embedded Files Skip to main content Skip to navigation OASIS group at ASU Home Research People Publications Ne...</t>
        </is>
      </c>
      <c r="S5" s="2" t="inlineStr">
        <is>
          <t>"HGTO: A Unified Graph-Based Physics-Informed Formulation for Structural Topology Optimization" [arXiv (Cornell University)] (2026) [DOI: https://doi.org/10.48550/arxiv.2609.15001] | "HGTO: A Unified Graph-Based Physics-Informed Formulation for Structural Topology Optimization" [arXiv (Cornell University)] (2026) [DOI: https://arxiv.org/abs/2609.15001] | "Graph neural network-based aquaculture net modeling and inference — A frequency domain approach" [Ocean Engineering] (2026) [DOI: https://doi.org/10.1016/j.oceaneng.2026.127799] | "Decoding propulsive wakes using biomimetic seal whiskers" [Bioinspiration &amp; Biomimetics] (2026) [DOI: https://doi.org/10.1088/1748-3190/ae9a20] | "Passive fish-like body dynamics in bluff-body wakes" [Physics of Fluids] (2026) [DOI: https://doi.org/10.1063/5.0344906]</t>
        </is>
      </c>
      <c r="T5" s="2" t="inlineStr">
        <is>
          <t>"An investigation into the hydrodynamics of a flexible riser undergoing vortex-induced vibration" [Journal of Fluids and Structures] (2016, 178 cites) [DOI: https://doi.org/10.1016/j.jfluidstructs.2016.03.006] | "Theoretical and numerical analysis of bending behavior of unbonded flexible risers" [Marine Structures] (2015, 42 cites) [DOI: https://doi.org/10.1016/j.marstruc.2015.10.001] | "Experimental investigation of the response performance of VIV on a flexible riser with helical strakes" [Ships and Offshore Structures] (2014, 39 cites) [DOI: https://doi.org/10.1080/17445302.2014.962788]</t>
        </is>
      </c>
      <c r="U5" s="2" t="inlineStr">
        <is>
          <t>MAE 499: Individualized Instruction | MAE 202: Mech.Particles/Rigid Bodies II | MAE 318: System Dynamics and Control I</t>
        </is>
      </c>
      <c r="V5" s="2" t="inlineStr"/>
      <c r="W5" s="2" t="inlineStr">
        <is>
          <t>Undergraduate students : Highly-motivated undergraduate students are encouraged to get in touch. The students are encouraged to apply Fulton Undergraduate Research Initiative (FURI) ( Proposals are due the 3rd Wednesday of every March and October ) , Summer Research Initiative (SURI) etc. No prior research experiences are expected. Email to: leixinma@ asu .edu . | Visiting scholars from different backgrounds are welcome to contact Prof. Ma for projects with mutual interests. Email to: leixinma@asu.edu</t>
        </is>
      </c>
      <c r="X5" s="2" t="inlineStr">
        <is>
          <t>Fluid Dynamics and Vibration Analysis (12) | Vibration and Dynamic Analysis (9) | Wind and Air Flow Studies (7)</t>
        </is>
      </c>
      <c r="Y5" s="2" t="inlineStr">
        <is>
          <t>Fluid Dynamics and Vibration Analysis (12) | Vibration and Dynamic Analysis (9) | Wind and Air Flow Studies (7)</t>
        </is>
      </c>
      <c r="Z5" s="2" t="inlineStr">
        <is>
          <t>Aerodynamics, Dynamical Systems, Machine Learning, Mechanics of Composite Materials</t>
        </is>
      </c>
      <c r="AA5" s="2" t="inlineStr">
        <is>
          <t>Aerodynamics, Dynamical Systems, Machine Learning, Mechanics of Composite Materials</t>
        </is>
      </c>
      <c r="AB5" s="2" t="inlineStr">
        <is>
          <t>Leixin Ma's career goal is a data-driven and physically consistent approach to modeling and designing programmable smart structures and robots, especially under complex fluid flow conditions.</t>
        </is>
      </c>
      <c r="AC5" s="2" t="inlineStr">
        <is>
          <t>Ph.D. in Mechanical Engineering, Massachusetts Institute of Technology, 2021 S.M. in Mechanical Engineering, Massachusetts Institute of Technology, 2017 B.S.E. in Naval Architecture and Ocean Engineering, Shanghai Jiao Tong University, 2015</t>
        </is>
      </c>
      <c r="AD5" s="2" t="inlineStr">
        <is>
          <t>Optimization, Autonomy, and Soft Intelligence Systems (OASIS) Lab</t>
        </is>
      </c>
      <c r="AE5" s="3">
        <f>HYPERLINK("https://sites.google.com/view/oasislabasu", "https://sites.google.com/view/oasislabasu")</f>
        <v/>
      </c>
      <c r="AF5" s="2" t="inlineStr">
        <is>
          <t>More Home Research People Publications News Openings Facility Teaching Resources | Update: We are currently hiring multiple fully-funded graduate students, undergraduate students and visiting scholars! The first year graduate students will be selected as the prestigious Ira A. Fulton fellowship from the ASU School of Engineering.</t>
        </is>
      </c>
      <c r="AG5" s="2" t="inlineStr"/>
      <c r="AH5" s="2" t="inlineStr">
        <is>
          <t>Towing Tank, FDM</t>
        </is>
      </c>
      <c r="AI5" s="2" t="inlineStr"/>
      <c r="AJ5" s="2" t="inlineStr"/>
      <c r="AK5" s="2" t="inlineStr">
        <is>
          <t>Ocean and Soft Intelligent Structure Interaction Lab</t>
        </is>
      </c>
      <c r="AL5" s="2" t="inlineStr">
        <is>
          <t>ERC 485 (Tempe, AZ 85287)</t>
        </is>
      </c>
      <c r="AM5" s="2" t="b">
        <v>1</v>
      </c>
      <c r="AN5" s="3">
        <f>HYPERLINK("https://faculty.engineering.asu.edu/directory/semte/aerospace-and-mechanical-engineering/", "https://faculty.engineering.asu.edu/directory/semte/aerospace-and-mechanical-engineering/")</f>
        <v/>
      </c>
    </row>
    <row r="6">
      <c r="A6" s="2" t="inlineStr">
        <is>
          <t>Gokul Pathikonda</t>
        </is>
      </c>
      <c r="B6" s="2" t="inlineStr">
        <is>
          <t>Arizona State University</t>
        </is>
      </c>
      <c r="C6" s="3">
        <f>HYPERLINK("https://search.asu.edu/profile/gpathiko", "https://search.asu.edu/profile/gpathiko")</f>
        <v/>
      </c>
      <c r="D6" s="3">
        <f>HYPERLINK("https://scholar.google.com/citations?view_op=search_authors&amp;mauthors=Gokul%20Pathikonda%20Arizona%20State%20University", "Google Scholar Search")</f>
        <v/>
      </c>
      <c r="E6" s="2" t="inlineStr">
        <is>
          <t>Assistant Professor</t>
        </is>
      </c>
      <c r="F6" s="2" t="inlineStr">
        <is>
          <t>Aerospace &amp; Mechanical Engineering</t>
        </is>
      </c>
      <c r="G6" s="2" t="inlineStr"/>
      <c r="H6" s="3">
        <f>HYPERLINK("mailto:Gokul.Pathikonda@asu.edu", "Gokul.Pathikonda@asu.edu")</f>
        <v/>
      </c>
      <c r="I6" s="2" t="n">
        <v>1</v>
      </c>
      <c r="J6" s="2" t="inlineStr">
        <is>
          <t>🔵 Tier 1: Core Aero / Fluids / Propulsion</t>
        </is>
      </c>
      <c r="K6" s="2" t="n">
        <v>5</v>
      </c>
      <c r="L6" s="2" t="inlineStr">
        <is>
          <t>aerodynamics, aerospace, reacting flow, turbulence, turbulent</t>
        </is>
      </c>
      <c r="M6" s="2" t="inlineStr">
        <is>
          <t>1. Bleeding flow characteristics downstream of isotropic porous square cylinders (Journal of Fluid Mechanics, 2026) [DOI: https://doi.org/10.1017/jfm.2025.11073] | 2. Coaxial jets with disparate viscosity: mixing and laminarization characteristics (Journal of Fluid Mechanics, 2023) [DOI: https://doi.org/10.1017/jfm.2022.1076]</t>
        </is>
      </c>
      <c r="N6" s="3">
        <f>HYPERLINK("https://doi.org/10.1017/jfm.2025.11073 | https://doi.org/10.1017/jfm.2022.1076", "https://doi.org/10.1017/jfm.2025.11073 | https://doi.org/10.1017/jfm.2022.1076")</f>
        <v/>
      </c>
      <c r="O6" s="2" t="inlineStr">
        <is>
          <t>Planar/Stereoscopic PIV, Acetone PLIF, High-Resolution 3D Printing of Scalable Lattices, Open-Loop Wind Tunnel Testing</t>
        </is>
      </c>
      <c r="P6" s="2" t="inlineStr">
        <is>
          <t>deploying high-resolution particle image velocimetry downstream of 3D-printed isotropic porous square cylinders (2.4e-5 &lt; Da &lt; 2.9e-3), demonstrating that trailing-edge bleeding jets divide the wake into three distinct structural zones, extending the recirculation length by over 40%.</t>
        </is>
      </c>
      <c r="Q6" s="2" t="inlineStr">
        <is>
          <t>High-resolution planar PIV, PLIF, and custom anemometry diagnostics for investigating bleeding wakes downstream of porous square cylinders and passive scalar transport in turbulent boundary layers.</t>
        </is>
      </c>
      <c r="R6" s="2" t="inlineStr">
        <is>
          <t>There is an open post-doctoral opening starting Fall 2025 in experimental turbulence research . All students interested in join...</t>
        </is>
      </c>
      <c r="S6" s="2" t="inlineStr">
        <is>
          <t>"Bleeding flow characteristics downstream of isotropic porous square cylinders" [Journal of Fluid Mechanics] (2026) [DOI: https://doi.org/10.1017/jfm.2025.11073] | "Coherent organisation of passive scalar from a point source in a turbulent boundary layer" [Journal of Fluid Mechanics] (2025) [DOI: https://doi.org/10.1017/jfm.2025.10926] | "Turbulent/non-turbulent interface in Rayleigh–Taylor flows" [Journal of Turbulence] (2025) [DOI: https://doi.org/10.1080/14685248.2025.2489451] | "Advanced human heat exposure sensing using two cylinder anemometer and radiometer: introducing CARla" [International Journal of Biometeorology] (2025) [DOI: https://doi.org/10.1007/s00484-025-02860-4] | "Characterization of Convecting-Rotating Cylinder (CRC) to Investigate Vortex-Boundary Layer Interactions" (2025) [DOI: https://doi.org/10.2514/6.2025-2761]</t>
        </is>
      </c>
      <c r="T6" s="2" t="inlineStr">
        <is>
          <t>"Cross-stream stereoscopic particle image velocimetry of a modified turbulent boundary layer over directional surface pattern" [Journal of Fluid Mechanics] (2017, 120 cites) [DOI: https://doi.org/10.1017/jfm.2016.879] | "The transition to turbulence in shock-driven mixing: effects of Mach number and initial conditions" [Journal of Fluid Mechanics] (2019, 77 cites) [DOI: https://doi.org/10.1017/jfm.2019.330] | "Numerical analyses of high temperature dense, granular flows coupled to high temperature flow property measurements for solar thermal energy storage" [Solar Energy] (2020, 25 cites) [DOI: https://doi.org/10.1016/j.solener.2020.10.085]</t>
        </is>
      </c>
      <c r="U6" s="2" t="inlineStr">
        <is>
          <t>MAE 575: Turbulence | MAE 593: Applied Project | MAE 499: Individualized Instruction</t>
        </is>
      </c>
      <c r="V6" s="2" t="inlineStr"/>
      <c r="W6" s="2" t="inlineStr"/>
      <c r="X6" s="2" t="inlineStr">
        <is>
          <t>Fluid Dynamics and Turbulent Flows (40) | Particle Dynamics in Fluid Flows (23) | Laser-Plasma Interactions and Diagnostics (12)</t>
        </is>
      </c>
      <c r="Y6" s="2" t="inlineStr">
        <is>
          <t>Fluid Dynamics and Turbulent Flows (40) | Particle Dynamics in Fluid Flows (23) | Laser-Plasma Interactions and Diagnostics (12)</t>
        </is>
      </c>
      <c r="Z6" s="2" t="inlineStr">
        <is>
          <t>Aerodynamics, Aerospace Engineering, Mechanical Engineering</t>
        </is>
      </c>
      <c r="AA6" s="2" t="inlineStr">
        <is>
          <t>Aerodynamics, Aerospace Engineering, Mechanical Engineering</t>
        </is>
      </c>
      <c r="AB6" s="2" t="inlineStr">
        <is>
          <t>Dr. Pathikonda studies turbulent fluid flows to understand natural and engineering phenomena using lab experiments. His expertise is in complex (reacting) mixing, high Re-flows, laser-based &amp; spectroscopic techniques, etc.</t>
        </is>
      </c>
      <c r="AC6" s="2" t="inlineStr">
        <is>
          <t>Ph. D. Theoretical and Applied Mechanics, University of Illinois, Urbana Champaign, 2017 | MS Aerospace Engineering, University of Illinois, Urbana Champaign, 2013 | B. Tech. Mechanical Engineering, National Institute of Technology, Warangal, 2009</t>
        </is>
      </c>
      <c r="AD6" s="2" t="inlineStr"/>
      <c r="AE6" s="3">
        <f>HYPERLINK("https://faculty.engineering.asu.edu/cmat/", "https://faculty.engineering.asu.edu/cmat/")</f>
        <v/>
      </c>
      <c r="AF6" s="2" t="inlineStr"/>
      <c r="AG6" s="2" t="inlineStr"/>
      <c r="AH6" s="2" t="inlineStr"/>
      <c r="AI6" s="2" t="inlineStr"/>
      <c r="AJ6" s="2" t="inlineStr"/>
      <c r="AK6" s="2" t="inlineStr">
        <is>
          <t>Want to be part of CMAT Lab?</t>
        </is>
      </c>
      <c r="AL6" s="2" t="inlineStr">
        <is>
          <t>551 E Tyler Mall ERC 479 (Tempe, AZ 85281)</t>
        </is>
      </c>
      <c r="AM6" s="2" t="b">
        <v>1</v>
      </c>
      <c r="AN6" s="3">
        <f>HYPERLINK("https://faculty.engineering.asu.edu/directory/semte/aerospace-and-mechanical-engineering/", "https://faculty.engineering.asu.edu/directory/semte/aerospace-and-mechanical-engineering/")</f>
        <v/>
      </c>
    </row>
    <row r="7">
      <c r="A7" s="2" t="inlineStr">
        <is>
          <t>Marcus Herrmann</t>
        </is>
      </c>
      <c r="B7" s="2" t="inlineStr">
        <is>
          <t>Arizona State University</t>
        </is>
      </c>
      <c r="C7" s="3">
        <f>HYPERLINK("https://search.asu.edu/profile/mherrma1", "https://search.asu.edu/profile/mherrma1")</f>
        <v/>
      </c>
      <c r="D7" s="3">
        <f>HYPERLINK("https://scholar.google.com/citations?hl=en&amp;user=yv6aCW8AAAAJ", "Scholar (yv6aCW8AAAAJ)")</f>
        <v/>
      </c>
      <c r="E7" s="2" t="inlineStr">
        <is>
          <t>Professor</t>
        </is>
      </c>
      <c r="F7" s="2" t="inlineStr">
        <is>
          <t>Aerospace &amp; Mechanical Engineering</t>
        </is>
      </c>
      <c r="G7" s="2" t="inlineStr">
        <is>
          <t>yv6aCW8AAAAJ</t>
        </is>
      </c>
      <c r="H7" s="3">
        <f>HYPERLINK("mailto:Marcus.Herrmann@asu.edu", "Marcus.Herrmann@asu.edu")</f>
        <v/>
      </c>
      <c r="I7" s="2" t="n">
        <v>1</v>
      </c>
      <c r="J7" s="2" t="inlineStr">
        <is>
          <t>🔵 Tier 1: Core Aero / Fluids / Propulsion</t>
        </is>
      </c>
      <c r="K7" s="2" t="n">
        <v>5</v>
      </c>
      <c r="L7" s="2" t="inlineStr">
        <is>
          <t>aerospace, fluid mechanics, multiphase flow, turbulence, turbulent</t>
        </is>
      </c>
      <c r="M7" s="2" t="inlineStr">
        <is>
          <t>1. DNS and LES of primary atomization of turbulent liquid jet injection into a gaseous crossflow environment (Proceedings of the Combustion Institute, 2020) [DOI: https://doi.org/10.1016/j.proci.2020.08.004] | 2. The volume-filtering immersed boundary method (Journal of Computational Physics, 2023) [DOI: https://doi.org/10.1016/j.jcp.2023.112136]</t>
        </is>
      </c>
      <c r="N7" s="3">
        <f>HYPERLINK("https://doi.org/10.1016/j.proci.2020.08.004 | https://doi.org/10.1016/j.jcp.2023.112136", "https://doi.org/10.1016/j.proci.2020.08.004 | https://doi.org/10.1016/j.jcp.2023.112136")</f>
        <v/>
      </c>
      <c r="O7" s="2" t="inlineStr">
        <is>
          <t>Volume-Filtering Immersed Boundary Method (VF-IBM), Refined Level Set Grid (RLSG), OpenFOAM (isoAdvector VOF), Particle-Resolved DNS (PR-DNS)</t>
        </is>
      </c>
      <c r="P7" s="2" t="inlineStr">
        <is>
          <t>coupling volume-filtering immersed boundary methods with direct numerical simulations across liquid jet in crossflow geometries (q=6.6, Re=14,000, We=2178), demonstrating that trailing-edge ligament shedding frequency locks onto a 15.8 kHz dominant out-of-phase wave mode.</t>
        </is>
      </c>
      <c r="Q7" s="2" t="inlineStr">
        <is>
          <t>Direct numerical simulations and volume-filtering immersed boundary formulations for resolving particle-laden and primary atomizing flows in complex injector nozzles.</t>
        </is>
      </c>
      <c r="R7" s="2" t="inlineStr"/>
      <c r="S7" s="2" t="inlineStr">
        <is>
          <t>"A high-fidelity methodology for particle-resolved direct numerical simulations" [International Journal of Multiphase Flow] (2025) [DOI: https://doi.org/10.1016/j.ijmultiphaseflow.2025.105175] | "BPS2025 - Liquid nano-sheet sample delivery for femtosecond solution X-ray scattering" [Biophysical Journal] (2025) [DOI: https://doi.org/10.1016/j.bpj.2024.11.838] | "Characterization of the forcing and sub-filter scale terms in the volume-filtering immersed boundary method" [Journal of Computational Physics] (2025) [DOI: https://doi.org/10.1016/j.jcp.2025.113765] | "Synchronized droplet nozzle for in-vacuum X-ray scattering experiments" [Lab on a Chip] (2025) [DOI: https://doi.org/10.1039/d5lc00063g] | "A High-Fidelity Methodology for Particle-Resolved Direct Numerical Simulations" [arXiv (Cornell University)] (2024) [DOI: https://doi.org/10.48550/arxiv.2404.19030]</t>
        </is>
      </c>
      <c r="T7" s="2" t="inlineStr">
        <is>
          <t>"Modeling Primary Atomization" [Annual Review of Fluid Mechanics] (2008, 440 cites) [DOI: https://doi.org/10.1146/annurev.fluid.40.111406.102200] | "A balanced force refined level set grid method for two-phase flows on unstructured flow solver grids" [Journal of Computational Physics] (2007, 316 cites) [DOI: https://doi.org/10.1016/j.jcp.2007.11.002] | "A parallel Eulerian interface tracking/Lagrangian point particle multi-scale coupling procedure" [Journal of Computational Physics] (2009, 235 cites) [DOI: https://doi.org/10.1016/j.jcp.2009.10.009]</t>
        </is>
      </c>
      <c r="U7" s="2" t="inlineStr">
        <is>
          <t>MAE 384: Adv Math Methods for Engineers | MAE 484: Internship | MAE 561: Computational Fluid Dynamics</t>
        </is>
      </c>
      <c r="V7" s="2" t="inlineStr"/>
      <c r="W7" s="2" t="inlineStr"/>
      <c r="X7" s="2" t="inlineStr">
        <is>
          <t>Fluid Dynamics and Heat Transfer (66) | Fluid Dynamics and Turbulent Flows (27) | Particle Dynamics in Fluid Flows (27)</t>
        </is>
      </c>
      <c r="Y7" s="2" t="inlineStr">
        <is>
          <t>Fluid Dynamics and Heat Transfer (66) | Fluid Dynamics and Turbulent Flows (27) | Particle Dynamics in Fluid Flows (27)</t>
        </is>
      </c>
      <c r="Z7" s="2" t="inlineStr"/>
      <c r="AA7" s="2" t="inlineStr"/>
      <c r="AB7" s="2" t="inlineStr">
        <is>
          <t>Herrmann's research interests include fluid mechanics, modeling and numerical simulation of multiphase flows with a focus on turbulent atomization processes, and numerical methods for discontinuous interfaces.</t>
        </is>
      </c>
      <c r="AC7" s="2" t="inlineStr">
        <is>
          <t>PhD in Mechanical Engineering, University of Technology (RWTH) Aachen, Germany 2001 | Diploma. Mechanical and Aerospace Engineering, University of Technology (RWTH) Aachen, Germany 1995</t>
        </is>
      </c>
      <c r="AD7" s="2" t="inlineStr">
        <is>
          <t>Computational Multiphase Physics Laboratory</t>
        </is>
      </c>
      <c r="AE7" s="2" t="inlineStr"/>
      <c r="AF7" s="2" t="inlineStr"/>
      <c r="AG7" s="2" t="inlineStr"/>
      <c r="AH7" s="2" t="inlineStr"/>
      <c r="AI7" s="2" t="inlineStr"/>
      <c r="AJ7" s="2" t="inlineStr"/>
      <c r="AK7" s="2" t="inlineStr"/>
      <c r="AL7" s="2" t="inlineStr">
        <is>
          <t>ENGRC 311 (TEMPE, AZ 85287-6106)</t>
        </is>
      </c>
      <c r="AM7" s="2" t="b">
        <v>1</v>
      </c>
      <c r="AN7" s="3">
        <f>HYPERLINK("https://faculty.engineering.asu.edu/directory/semte/aerospace-and-mechanical-engineering/", "https://faculty.engineering.asu.edu/directory/semte/aerospace-and-mechanical-engineering/")</f>
        <v/>
      </c>
    </row>
    <row r="8">
      <c r="A8" s="2" t="inlineStr">
        <is>
          <t>Jeonglae Kim</t>
        </is>
      </c>
      <c r="B8" s="2" t="inlineStr">
        <is>
          <t>Arizona State University</t>
        </is>
      </c>
      <c r="C8" s="3">
        <f>HYPERLINK("https://search.asu.edu/profile/jkim520", "https://search.asu.edu/profile/jkim520")</f>
        <v/>
      </c>
      <c r="D8" s="3">
        <f>HYPERLINK("https://scholar.google.com/citations?view_op=search_authors&amp;mauthors=Jeonglae%20Kim%20Arizona%20State%20University", "Google Scholar Search")</f>
        <v/>
      </c>
      <c r="E8" s="2" t="inlineStr">
        <is>
          <t>Assistant Professor</t>
        </is>
      </c>
      <c r="F8" s="2" t="inlineStr">
        <is>
          <t>Aerospace &amp; Mechanical Engineering</t>
        </is>
      </c>
      <c r="G8" s="2" t="inlineStr"/>
      <c r="H8" s="3">
        <f>HYPERLINK("mailto:jeokim@asu.edu", "jeokim@asu.edu")</f>
        <v/>
      </c>
      <c r="I8" s="2" t="n">
        <v>1</v>
      </c>
      <c r="J8" s="2" t="inlineStr">
        <is>
          <t>🔵 Tier 1: Core Aero / Fluids / Propulsion</t>
        </is>
      </c>
      <c r="K8" s="2" t="n">
        <v>4</v>
      </c>
      <c r="L8" s="2" t="inlineStr">
        <is>
          <t>aerospace, flow control, turbulence, turbulent</t>
        </is>
      </c>
      <c r="M8" s="2" t="inlineStr">
        <is>
          <t>1. Parametric study of a projectile launched by a compressed air cannon (Journal of Mechanical Science and Technology, 2023) [DOI: https://doi.org/10.1007/s12206-023-1029-x] | 2. Adjoint-based control of loud events in a turbulent jet (Journal of Fluid Mechanics, 2014) [DOI: https://doi.org/10.1017/jfm.2013.654]</t>
        </is>
      </c>
      <c r="N8" s="3">
        <f>HYPERLINK("https://doi.org/10.1007/s12206-023-1029-x | https://doi.org/10.1017/jfm.2013.654", "https://doi.org/10.1007/s12206-023-1029-x | https://doi.org/10.1017/jfm.2013.654")</f>
        <v/>
      </c>
      <c r="O8" s="2" t="inlineStr">
        <is>
          <t>Adjoint Optimization, High-Order Overset Finite Difference Solvers, Large Eddy Simulation (LES), Gas Dynamic Projectile Modeling</t>
        </is>
      </c>
      <c r="P8" s="2" t="inlineStr">
        <is>
          <t>applying adjoint-based optimization to large-eddy simulations of a Mach 1.3 turbulent jet, demonstrating that only three conjugate-gradient iterations achieve a 3.5 dB sound pressure level reduction by suppressing axisymmetric wavepackets.</t>
        </is>
      </c>
      <c r="Q8" s="2" t="inlineStr">
        <is>
          <t>High-order overset-mesh algorithms and adjoint sensitivity optimization for aeroacoustic noise control and projectile gas dynamics.</t>
        </is>
      </c>
      <c r="R8" s="2" t="inlineStr"/>
      <c r="S8" s="2" t="inlineStr"/>
      <c r="T8" s="2" t="inlineStr">
        <is>
          <t>"Adjoint-based control of loud events in a turbulent jet" [Journal of Fluid Mechanics] (2014, 46 cites) [DOI: https://doi.org/10.1017/jfm.2013.654] | "LES Investigation of a Mach 1.3 Jet With and Without Plasma Actuators" [47th AIAA Aerospace Sciences Meeting including The New Horizons Forum and Aerospace Exposition] (2009, 38 cites) [DOI: https://doi.org/10.2514/6.2009-290] | "A High-Order, Overset-Mesh Algorithm for Adjoint-Based Optimization for Aeroacoustics Control" (2010, 21 cites) [DOI: https://doi.org/10.2514/6.2010-3818]</t>
        </is>
      </c>
      <c r="U8" s="2" t="inlineStr">
        <is>
          <t>MAE 242: Intro to Fluid Mechanics | MAE 593: Applied Project | MAE 598: Special Topics</t>
        </is>
      </c>
      <c r="V8" s="2" t="inlineStr"/>
      <c r="W8" s="2" t="inlineStr"/>
      <c r="X8" s="2" t="inlineStr">
        <is>
          <t>Aerodynamics and Acoustics in Jet Flows (10) | Fluid Dynamics and Turbulent Flows (8) | Computational Fluid Dynamics and Aerodynamics (3)</t>
        </is>
      </c>
      <c r="Y8" s="2" t="inlineStr">
        <is>
          <t>Aerodynamics and Acoustics in Jet Flows (10) | Fluid Dynamics and Turbulent Flows (8) | Computational Fluid Dynamics and Aerodynamics (3)</t>
        </is>
      </c>
      <c r="Z8" s="2" t="inlineStr"/>
      <c r="AA8" s="2" t="inlineStr"/>
      <c r="AB8" s="2" t="inlineStr">
        <is>
          <t>Kim's research interests include large-eddy simulation of high-speed turbulent flows with multi-physics, aeroacoustics, flow control and optimization.</t>
        </is>
      </c>
      <c r="AC8" s="2" t="inlineStr">
        <is>
          <t>Ph.D. Theoretical and Applied Mechanics, University of Illinois at Urbana-Champaign | M.S. Mechanical and Aerospace Engineering, Seoul National University, South Korea | B.S. Mechanical and Aerospace Engineering, Seoul National University, South Korea</t>
        </is>
      </c>
      <c r="AD8" s="2" t="inlineStr"/>
      <c r="AE8" s="2" t="inlineStr"/>
      <c r="AF8" s="2" t="inlineStr"/>
      <c r="AG8" s="2" t="inlineStr"/>
      <c r="AH8" s="2" t="inlineStr"/>
      <c r="AI8" s="2" t="inlineStr"/>
      <c r="AJ8" s="2" t="inlineStr"/>
      <c r="AK8" s="2" t="inlineStr"/>
      <c r="AL8" s="2" t="inlineStr">
        <is>
          <t>Campus: Tempe</t>
        </is>
      </c>
      <c r="AM8" s="2" t="b">
        <v>1</v>
      </c>
      <c r="AN8" s="3">
        <f>HYPERLINK("https://faculty.engineering.asu.edu/directory/semte/aerospace-and-mechanical-engineering/", "https://faculty.engineering.asu.edu/directory/semte/aerospace-and-mechanical-engineering/")</f>
        <v/>
      </c>
    </row>
    <row r="9">
      <c r="A9" s="2" t="inlineStr">
        <is>
          <t>Ryan Milcarek</t>
        </is>
      </c>
      <c r="B9" s="2" t="inlineStr">
        <is>
          <t>Arizona State University</t>
        </is>
      </c>
      <c r="C9" s="3">
        <f>HYPERLINK("https://search.asu.edu/profile/rjmilcar", "https://search.asu.edu/profile/rjmilcar")</f>
        <v/>
      </c>
      <c r="D9" s="3">
        <f>HYPERLINK("https://scholar.google.com/citations?hl=en&amp;user=m-Pb6g2pm2UC", "Scholar (m-Pb6g2pm2UC)")</f>
        <v/>
      </c>
      <c r="E9" s="2" t="inlineStr">
        <is>
          <t>Associate Professor</t>
        </is>
      </c>
      <c r="F9" s="2" t="inlineStr">
        <is>
          <t>Aerospace &amp; Mechanical Engineering</t>
        </is>
      </c>
      <c r="G9" s="2" t="inlineStr">
        <is>
          <t>m-Pb6g2pm2UC</t>
        </is>
      </c>
      <c r="H9" s="3">
        <f>HYPERLINK("mailto:Ryan.Milcarek@asu.edu", "Ryan.Milcarek@asu.edu")</f>
        <v/>
      </c>
      <c r="I9" s="2" t="n">
        <v>1</v>
      </c>
      <c r="J9" s="2" t="inlineStr">
        <is>
          <t>🔵 Tier 1: Core Aero / Fluids / Propulsion</t>
        </is>
      </c>
      <c r="K9" s="2" t="n">
        <v>4</v>
      </c>
      <c r="L9" s="2" t="inlineStr">
        <is>
          <t>aerospace, combustion, energy systems, materials</t>
        </is>
      </c>
      <c r="M9" s="2" t="inlineStr">
        <is>
          <t>1. Thermodynamic and emission analysis of a hydrogen/methane fueled gas turbine (Energy Conversion and Management: X, 2023) [DOI: https://doi.org/10.1016/j.ecmx.2023.100394] | 2. Thermodynamic analysis of a gas turbine utilizing ternary CH4/H2/NH3 fuel blends (Energy, 2023) [DOI: https://doi.org/10.1016/j.energy.2023.128818]</t>
        </is>
      </c>
      <c r="N9" s="3">
        <f>HYPERLINK("https://doi.org/10.1016/j.ecmx.2023.100394 | https://doi.org/10.1016/j.energy.2023.128818", "https://doi.org/10.1016/j.ecmx.2023.100394 | https://doi.org/10.1016/j.energy.2023.128818")</f>
        <v/>
      </c>
      <c r="O9" s="2" t="inlineStr">
        <is>
          <t>Cantera Chemical Kinetics, Gas Turbine Thermodynamic Cycle Models, Gas Chromatography, Flame-Assisted Fuel Cell Test Rigs</t>
        </is>
      </c>
      <c r="P9" s="2" t="inlineStr">
        <is>
          <t>coupling detailed chemical kinetics with thermodynamic cycle models across ternary CH4/H2/NH3 fuel mixtures, demonstrating that staged rich-quench-lean combustor architectures achieve complete carbon emission reduction while keeping NOx levels below 15 ppm.</t>
        </is>
      </c>
      <c r="Q9" s="2" t="inlineStr">
        <is>
          <t>Thermodynamic equilibrium modeling and chemical kinetics for hydrogen/methane/ammonia gas turbine combustor retrofits and flame-assisted micro-reactors.</t>
        </is>
      </c>
      <c r="R9" s="2" t="inlineStr">
        <is>
          <t>Operational Patterns in Commercial and Industrial Buildings Through Visualization of 15-Minute Interval Electrical Demand Data,</t>
        </is>
      </c>
      <c r="S9" s="2" t="inlineStr">
        <is>
          <t>"Multi-year assessment of energy storage capacity for a carbon-neutral grid in Arizona and the impact of wind energy integration" [Renewable Energy] (2026) [DOI: https://doi.org/10.1016/j.renene.2026.126276] | "Analysis of gas turbines with diffusion, premixed and rich-quench-lean combustor designs utilizing ternary CH4/H2/NH3 fuel blends" [Energy Conversion and Management] (2026) [DOI: https://doi.org/10.1016/j.enconman.2026.121736] | "Micro-scale thermal partial oxidation reformer and integrated solid oxide fuel cell operating with jet fuel" [Journal of Power Sources] (2026) [DOI: https://doi.org/10.1016/j.jpowsour.2026.240198] | "Solid oxide fuel cell power generation from thermal partial oxidation of methanol reformate" [Energy Conversion and Management] (2026) [DOI: https://doi.org/10.1016/j.enconman.2026.121281] | "Multi-objective optimal energy storage dispatch control strategies for cost and CO2 emissions savings in 933 commercial and industrial facilities leveraging utility demand response programs" [Journal of Energy Storage] (2025) [DOI: https://doi.org/10.1016/j.est.2025.119499]</t>
        </is>
      </c>
      <c r="T9" s="2" t="inlineStr">
        <is>
          <t>"A review of energy storage technologies for demand-side management in industrial facilities" [Journal of Cleaner Production] (2021, 100 cites) [DOI: https://doi.org/10.1016/j.jclepro.2021.127322] | "Techno-Economic Assessment of CHP Systems in Wastewater Treatment Plants" [Environments] (2020, 78 cites) [DOI: https://doi.org/10.3390/environments7100074] | "Thermodynamic and emission analysis of a hydrogen/methane fueled gas turbine" [Energy Conversion and Management X] (2023, 50 cites) [DOI: https://doi.org/10.1016/j.ecmx.2023.100394]</t>
        </is>
      </c>
      <c r="U9" s="2" t="inlineStr">
        <is>
          <t>MAE 593: Applied Project | MAE 436: Combustion | MAE 536: Combustion</t>
        </is>
      </c>
      <c r="V9" s="2" t="inlineStr">
        <is>
          <t>Outstanding Faculty Mentor, Fulton Schools of Engineering, For the Fulton Forge Student Research programs, 2026 | 1st Place, Student Paper Competition, 2025 ASME IMECE Power Symposium, 2025</t>
        </is>
      </c>
      <c r="W9" s="2" t="inlineStr"/>
      <c r="X9" s="2" t="inlineStr">
        <is>
          <t>Advancements in Solid Oxide Fuel Cells (54) | Fuel Cells and Related Materials (31) | Catalytic Processes in Materials Science (30)</t>
        </is>
      </c>
      <c r="Y9" s="2" t="inlineStr">
        <is>
          <t>Advancements in Solid Oxide Fuel Cells (54) | Fuel Cells and Related Materials (31) | Catalytic Processes in Materials Science (30)</t>
        </is>
      </c>
      <c r="Z9" s="2" t="inlineStr">
        <is>
          <t>Energy management and efficiency, energy transition, energy storage, solid oxide fuel cells, partial oxidation, cogeneration, combustion, and synthesis of hydrogen</t>
        </is>
      </c>
      <c r="AA9" s="2" t="inlineStr">
        <is>
          <t>Ceramics, Electrochemistry, Energy, Energy and Sustainability, Energy Conservation, Energy Economics, Energy Efficiency Technologies, Thin Film Materials</t>
        </is>
      </c>
      <c r="AB9" s="2" t="inlineStr">
        <is>
          <t>Milcarek's current research focuses on energy management and efficiency, energy system modeling, energy transition, energy storage, solid oxide fuel cells fabrication and testing, partial oxidation and synthesis of hydrogen.</t>
        </is>
      </c>
      <c r="AC9" s="2" t="inlineStr">
        <is>
          <t>Ph.D. Mechanical and Aerospace Engineering, College of Engineering and Computer Science, Syracuse University 2018 | M.S. Mechanical and Aerospace Engineering, College of Engineering and Computer Science, Syracuse University 2017 | M.S. Energy Systems Engineering, College of Engineering and Computer Science, Syracuse University 2017 | Certificate of Advanced Study (CAS) Sustainable Enterprise, Martin J. Whitman School of Management, Syracuse University 2017 | Certificate in University Teaching (CUT). Graduate School, Future Professorate Program, Syracuse University 2017 | B.S. Mechanical Engineering; minor: Mathematics (Summa Cum Laude), L.C. Smith College of Engineering and Computer Science, Syracuse University 2014</t>
        </is>
      </c>
      <c r="AD9" s="2" t="inlineStr"/>
      <c r="AE9" s="3">
        <f>HYPERLINK("http://RESEARCHGATE.net/profile/Ryan_Milcarek", "http://RESEARCHGATE.net/profile/Ryan_Milcarek")</f>
        <v/>
      </c>
      <c r="AF9" s="2" t="inlineStr"/>
      <c r="AG9" s="2" t="inlineStr"/>
      <c r="AH9" s="2" t="inlineStr"/>
      <c r="AI9" s="2" t="inlineStr"/>
      <c r="AJ9" s="2" t="inlineStr"/>
      <c r="AK9" s="2" t="inlineStr"/>
      <c r="AL9" s="2" t="inlineStr">
        <is>
          <t>ENGRC 465 (Tempe, AZ 85287)</t>
        </is>
      </c>
      <c r="AM9" s="2" t="b">
        <v>1</v>
      </c>
      <c r="AN9" s="3">
        <f>HYPERLINK("https://faculty.engineering.asu.edu/directory/semte/aerospace-and-mechanical-engineering/", "https://faculty.engineering.asu.edu/directory/semte/aerospace-and-mechanical-engineering/")</f>
        <v/>
      </c>
    </row>
    <row r="10">
      <c r="A10" s="2" t="inlineStr">
        <is>
          <t>Alberto Scotti</t>
        </is>
      </c>
      <c r="B10" s="2" t="inlineStr">
        <is>
          <t>Arizona State University</t>
        </is>
      </c>
      <c r="C10" s="3">
        <f>HYPERLINK("https://search.asu.edu/profile/adscotti", "https://search.asu.edu/profile/adscotti")</f>
        <v/>
      </c>
      <c r="D10" s="3">
        <f>HYPERLINK("https://scholar.google.com/citations?hl=en&amp;user=HRx2lJQAAAAJ", "Scholar (HRx2lJQAAAAJ)")</f>
        <v/>
      </c>
      <c r="E10" s="2" t="inlineStr">
        <is>
          <t>Professor</t>
        </is>
      </c>
      <c r="F10" s="2" t="inlineStr">
        <is>
          <t>Aerospace &amp; Mechanical Engineering</t>
        </is>
      </c>
      <c r="G10" s="2" t="inlineStr">
        <is>
          <t>HRx2lJQAAAAJ</t>
        </is>
      </c>
      <c r="H10" s="3">
        <f>HYPERLINK("mailto:Alberto.Scotti@asu.edu", "Alberto.Scotti@asu.edu")</f>
        <v/>
      </c>
      <c r="I10" s="2" t="n">
        <v>1</v>
      </c>
      <c r="J10" s="2" t="inlineStr">
        <is>
          <t>🔵 Tier 1: Core Aero / Fluids / Propulsion</t>
        </is>
      </c>
      <c r="K10" s="2" t="n">
        <v>3</v>
      </c>
      <c r="L10" s="2" t="inlineStr">
        <is>
          <t>fluid mechanics, fluids, turbulent</t>
        </is>
      </c>
      <c r="M10" s="2" t="inlineStr">
        <is>
          <t>1. Non-homogeneous analysis of rogue wave probability evolution over a shoal (Journal of Fluid Mechanics, 2022) [DOI: https://doi.org/10.1017/jfm.2022.206] | 2. On the physical constraints for the exceeding probability of deep water rogue waves (Applied Ocean Research, 2021) [DOI: https://doi.org/10.1016/j.apor.2020.102402]</t>
        </is>
      </c>
      <c r="N10" s="3">
        <f>HYPERLINK("https://doi.org/10.1017/jfm.2022.206 | https://doi.org/10.1016/j.apor.2020.102402", "https://doi.org/10.1017/jfm.2022.206 | https://doi.org/10.1016/j.apor.2020.102402")</f>
        <v/>
      </c>
      <c r="O10" s="2" t="inlineStr">
        <is>
          <t>Large-Eddy Simulation (LES), Background Oriented Schlieren (BOS), Conductivity Probe Spectrometry, Anisotropic Subgrid Closures</t>
        </is>
      </c>
      <c r="P10" s="2" t="inlineStr">
        <is>
          <t>formulating non-homogeneous wave probability evolution across shoaling bathymetry, demonstrating that localized topographic focusing increases extreme wave crest occurrence by over 60% relative to Gaussian linear theory.</t>
        </is>
      </c>
      <c r="Q10" s="2" t="inlineStr">
        <is>
          <t>Large-eddy simulation closures, Lagrangian flow geometry, and laboratory stratification experiments for non-homogeneous wave probability evolution and turbulent mixing.</t>
        </is>
      </c>
      <c r="R10" s="2" t="inlineStr"/>
      <c r="S10" s="2" t="inlineStr">
        <is>
          <t>"A Versatile Laboratory Approach to Reproduce and Analyze Internal Ocean Wave Dynamics" [arXiv (Cornell University)] (2026) [DOI: https://doi.org/10.48550/arxiv.2603.13512] | "A Versatile Laboratory Approach to Reproduce and Analyze Internal Ocean Wave Dynamics" [arXiv (Cornell University)] (2026) [DOI: http://arxiv.org/abs/2603.13512] | "Lagrangian geometry of flows" [Physical Review Fluids] (2026) [DOI: https://doi.org/10.1103/q2fw-vgrr] | "COMPARATIVE ANALYSIS OF ALTERNATIVE LAYOUTS FOR THE NEW DEEPWATER BREAKWATER OF GENOA PORT" [Coastal Engineering Proceedings] (2025) [DOI: https://doi.org/10.9753/icce.v38.papers.40] | "Flow structure of radiatively driven convection in inertial and rotating frames under steady and periodic radiative forcing" [Carolina Digital Repository (University of North Carolina at Chapel Hill)] (2024) [DOI: https://doi.org/10.17615/a5rn-hf68]</t>
        </is>
      </c>
      <c r="T10" s="2" t="inlineStr">
        <is>
          <t>"The formation and fate of internal waves in the South China Sea" [Nature] (2015, 739 cites) [DOI: https://doi.org/10.1038/nature14399] | "Generalized Smagorinsky model for anisotropic grids" [Physics of Fluids A Fluid Dynamics] (1993, 282 cites) [DOI: https://doi.org/10.1063/1.858537] | "Numerical simulation of pulsating turbulent channel flow" [Physics of Fluids] (2001, 211 cites) [DOI: https://doi.org/10.1063/1.1359766]</t>
        </is>
      </c>
      <c r="U10" s="2" t="inlineStr">
        <is>
          <t>MAE 501: Linear Algebra in Engineering | MAE 215: Intro to Programming in MATLAB | MAE 202: Mech.Particles/Rigid Bodies II</t>
        </is>
      </c>
      <c r="V10" s="2" t="inlineStr"/>
      <c r="W10" s="2" t="inlineStr"/>
      <c r="X10" s="2" t="inlineStr">
        <is>
          <t>Oceanographic and Atmospheric Processes (64) | Fluid Dynamics and Turbulent Flows (53) | Meteorological Phenomena and Simulations (34)</t>
        </is>
      </c>
      <c r="Y10" s="2" t="inlineStr">
        <is>
          <t>Oceanographic and Atmospheric Processes (64) | Fluid Dynamics and Turbulent Flows (53) | Meteorological Phenomena and Simulations (34)</t>
        </is>
      </c>
      <c r="Z10" s="2" t="inlineStr">
        <is>
          <t>Modeling and Simulation, Oceanography, Earth Systems and Climate Science, Modeling, Modeling, Simulation and Cyberinfrastructure, Applied Mathematics</t>
        </is>
      </c>
      <c r="AA10" s="2" t="inlineStr">
        <is>
          <t>Modeling and Simulation, Oceanography, Earth Systems and Climate Science, Modeling, Modeling, Simulation and Cyberinfrastructure, Applied Mathematics</t>
        </is>
      </c>
      <c r="AB10" s="2" t="inlineStr">
        <is>
          <t>Scotti's main focus is theoretical, experimental and computational aspects of environmental fluid mechanics.</t>
        </is>
      </c>
      <c r="AC10" s="2" t="inlineStr">
        <is>
          <t>PhD Johns Hopkins University</t>
        </is>
      </c>
      <c r="AD10" s="2" t="inlineStr"/>
      <c r="AE10" s="2" t="inlineStr"/>
      <c r="AF10" s="2" t="inlineStr"/>
      <c r="AG10" s="2" t="inlineStr"/>
      <c r="AH10" s="2" t="inlineStr"/>
      <c r="AI10" s="2" t="inlineStr"/>
      <c r="AJ10" s="2" t="inlineStr"/>
      <c r="AK10" s="2" t="inlineStr"/>
      <c r="AL10" s="2" t="inlineStr">
        <is>
          <t>Campus: Tempe</t>
        </is>
      </c>
      <c r="AM10" s="2" t="b">
        <v>1</v>
      </c>
      <c r="AN10" s="3">
        <f>HYPERLINK("https://faculty.engineering.asu.edu/directory/semte/aerospace-and-mechanical-engineering/", "https://faculty.engineering.asu.edu/directory/semte/aerospace-and-mechanical-engineering/")</f>
        <v/>
      </c>
    </row>
    <row r="11">
      <c r="A11" s="2" t="inlineStr">
        <is>
          <t>Yulia Peet</t>
        </is>
      </c>
      <c r="B11" s="2" t="inlineStr">
        <is>
          <t>Arizona State University</t>
        </is>
      </c>
      <c r="C11" s="3">
        <f>HYPERLINK("https://search.asu.edu/profile/ypeet", "https://search.asu.edu/profile/ypeet")</f>
        <v/>
      </c>
      <c r="D11" s="3">
        <f>HYPERLINK("https://scholar.google.com/citations?hl=en&amp;user=_6o8MrUAAAAJ", "Scholar (_6o8MrUAAAAJ)")</f>
        <v/>
      </c>
      <c r="E11" s="2" t="inlineStr">
        <is>
          <t>Professor</t>
        </is>
      </c>
      <c r="F11" s="2" t="inlineStr">
        <is>
          <t>Aerospace &amp; Mechanical Engineering</t>
        </is>
      </c>
      <c r="G11" s="2" t="inlineStr">
        <is>
          <t>_6o8MrUAAAAJ</t>
        </is>
      </c>
      <c r="H11" s="3">
        <f>HYPERLINK("mailto:ypeet@asu.edu", "ypeet@asu.edu")</f>
        <v/>
      </c>
      <c r="I11" s="2" t="n">
        <v>1</v>
      </c>
      <c r="J11" s="2" t="inlineStr">
        <is>
          <t>🔵 Tier 1: Core Aero / Fluids / Propulsion</t>
        </is>
      </c>
      <c r="K11" s="2" t="n">
        <v>3</v>
      </c>
      <c r="L11" s="2" t="inlineStr">
        <is>
          <t>aerospace, fluid mechanics, turbulence</t>
        </is>
      </c>
      <c r="M11" s="2" t="inlineStr">
        <is>
          <t>1. Coherent motions in a turbulent wake of an axisymmetric bluff body (Journal of Fluid Mechanics, 2023) [DOI: https://doi.org/10.1017/jfm.2023.231] | 2. Cost vs Accuracy: DNS of turbulent flow over a sphere using structured immersed-boundary, unstructured finite-volume, and spectral-element methods (European Journal of Mechanics - B/Fluids, 2023) [DOI: https://doi.org/10.1016/j.euromechflu.2023.07.008]</t>
        </is>
      </c>
      <c r="N11" s="3">
        <f>HYPERLINK("https://doi.org/10.1017/jfm.2023.231 | https://doi.org/10.1016/j.euromechflu.2023.07.008", "https://doi.org/10.1017/jfm.2023.231 | https://doi.org/10.1016/j.euromechflu.2023.07.008")</f>
        <v/>
      </c>
      <c r="O11" s="2" t="inlineStr">
        <is>
          <t>Discontinuous Galerkin Spectral Element Method (DGSEM), Nek5000, Resolvent Analysis (Chebyshev Methods), Wall-Modeled LES (WMLES)</t>
        </is>
      </c>
      <c r="P11" s="2" t="inlineStr">
        <is>
          <t>conducting DNS of an axisymmetric bluff-body wake at Re=5000 via high-order spectral elements, demonstrating that helical m=±1 vortex shedding modes govern wake entrainment and sustain coherent low-frequency flapping.</t>
        </is>
      </c>
      <c r="Q11" s="2" t="inlineStr">
        <is>
          <t>High-order discontinuous Galerkin spectral element methods (DGSEM) and DNS for resolving turbulent bluff-body wakes, wind farm coherence, and wall-modeled LES drag reduction.</t>
        </is>
      </c>
      <c r="R11" s="2" t="inlineStr"/>
      <c r="S11" s="2" t="inlineStr">
        <is>
          <t>"Correction: Using Streamwise and Spanwise Shear Stress Components in Wall-Sensing Drag Reduction Control of Turbulent Channel Flow" (2026) [DOI: https://doi.org/10.2514/6.2026-4483.c1] | "Using Streamwise and Spanwise Shear Stress Components in Wall-Sensing Drag Reduction Control of Turbulent Channel Flow" (2026) [DOI: https://doi.org/10.2514/6.2026-4483] | "Inflectional Instability of Linearized Incompressible Euler Equations via Linear Partial Inequality Tests" (2025) [DOI: https://doi.org/10.1109/cdc57313.2025.11312828] | "Differentiation-based and integration-based Chebyshev methods for resolvent analysis of channel flow" [Journal of Computational and Applied Mathematics] (2025) [DOI: https://doi.org/10.1016/j.cam.2025.116987] | "Discontinuous Galerkin spectral element method with hybrid sub-element order reduction for shock-capturing with Navier–Stokes equations" [Computers &amp; Fluids] (2025) [DOI: https://doi.org/10.1016/j.compfluid.2025.106650]</t>
        </is>
      </c>
      <c r="T11" s="2" t="inlineStr">
        <is>
          <t>"Theoretical prediction of turbulent skin friction on geometrically complex surfaces" [Physics of Fluids] (2009, 78 cites) [DOI: https://doi.org/10.1063/1.3241993] | "Turbulent Drag Reduction Using Sinusoidal Riblets With Triangular Cross-Section" [38th Fluid Dynamics Conference and Exhibit] (2008, 56 cites) [DOI: https://doi.org/10.2514/6.2008-3745] | "Pressure loss reduction in hydrogen pipelines by surface restructuring" [International Journal of Hydrogen Energy] (2009, 46 cites) [DOI: https://doi.org/10.1016/j.ijhydene.2009.08.035]</t>
        </is>
      </c>
      <c r="U11" s="2" t="inlineStr">
        <is>
          <t>MAE 215: Intro to Programming in MATLAB | MAE 591: Seminar | MAE 593: Applied Project</t>
        </is>
      </c>
      <c r="V11" s="2" t="inlineStr"/>
      <c r="W11" s="2" t="inlineStr"/>
      <c r="X11" s="2" t="inlineStr">
        <is>
          <t>Fluid Dynamics and Turbulent Flows (58) | Fluid Dynamics and Vibration Analysis (27) | Wind and Air Flow Studies (26)</t>
        </is>
      </c>
      <c r="Y11" s="2" t="inlineStr">
        <is>
          <t>Fluid Dynamics and Turbulent Flows (58) | Fluid Dynamics and Vibration Analysis (27) | Wind and Air Flow Studies (26)</t>
        </is>
      </c>
      <c r="Z11" s="2" t="inlineStr"/>
      <c r="AA11" s="2" t="inlineStr"/>
      <c r="AB11" s="2" t="inlineStr">
        <is>
          <t>Yulia Peet is an associate professor of aerospace and mechanical engineering in the School for Engineering of Matter, Transport and Energy with the Ira A. Fulton Schools of Engineering at Arizona State University. Her Ph.D. degree is in Aeronautics and Astronautics from Stanford (2006), M.S. and B.S. degrees are from Moscow Institute of Physics and Technology (1999 and 1997). Her previous appoi...</t>
        </is>
      </c>
      <c r="AC11" s="2" t="inlineStr">
        <is>
          <t>Ph.D. Aeronautics and Astronautics, Stanford University 2006 | M.S. Management, State University Higher School of Economics, Moscow, Russia 2000 | M.S. Aeromechanics and Flight Engineering, Moscow Institute of Physics and Technology, Russia 1999 | B.S. Applied Mathematics and Physics, Moscow Institute of Physics and Technology, Russia 1997</t>
        </is>
      </c>
      <c r="AD11" s="2" t="inlineStr">
        <is>
          <t>Interdisciplinary Simulation and Modeling (ISiM) Lab</t>
        </is>
      </c>
      <c r="AE11" s="3">
        <f>HYPERLINK("https://isim.asu.edu", "https://isim.asu.edu")</f>
        <v/>
      </c>
      <c r="AF11" s="2" t="inlineStr"/>
      <c r="AG11" s="2" t="inlineStr"/>
      <c r="AH11" s="2" t="inlineStr"/>
      <c r="AI11" s="2" t="inlineStr"/>
      <c r="AJ11" s="2" t="inlineStr"/>
      <c r="AK11" s="2" t="inlineStr"/>
      <c r="AL11" s="2" t="inlineStr">
        <is>
          <t>ENGRC 379 (Tempe, AZ 85287-6106)</t>
        </is>
      </c>
      <c r="AM11" s="2" t="b">
        <v>1</v>
      </c>
      <c r="AN11" s="3">
        <f>HYPERLINK("https://faculty.engineering.asu.edu/directory/semte/aerospace-and-mechanical-engineering/", "https://faculty.engineering.asu.edu/directory/semte/aerospace-and-mechanical-engineering/")</f>
        <v/>
      </c>
    </row>
    <row r="12">
      <c r="A12" s="2" t="inlineStr">
        <is>
          <t>Ronald Calhoun</t>
        </is>
      </c>
      <c r="B12" s="2" t="inlineStr">
        <is>
          <t>Arizona State University</t>
        </is>
      </c>
      <c r="C12" s="3">
        <f>HYPERLINK("https://search.asu.edu/profile/rcalhou", "https://search.asu.edu/profile/rcalhou")</f>
        <v/>
      </c>
      <c r="D12" s="3">
        <f>HYPERLINK("https://scholar.google.com/citations?view_op=search_authors&amp;mauthors=Ronald%20Calhoun%20Arizona%20State%20University", "Google Scholar Search")</f>
        <v/>
      </c>
      <c r="E12" s="2" t="inlineStr">
        <is>
          <t>Associate Professor</t>
        </is>
      </c>
      <c r="F12" s="2" t="inlineStr">
        <is>
          <t>Aerospace &amp; Mechanical Engineering</t>
        </is>
      </c>
      <c r="G12" s="2" t="inlineStr"/>
      <c r="H12" s="3">
        <f>HYPERLINK("mailto:Ronald.Calhoun@asu.edu", "Ronald.Calhoun@asu.edu")</f>
        <v/>
      </c>
      <c r="I12" s="2" t="n">
        <v>1</v>
      </c>
      <c r="J12" s="2" t="inlineStr">
        <is>
          <t>🔵 Tier 1: Core Aero / Fluids / Propulsion</t>
        </is>
      </c>
      <c r="K12" s="2" t="n">
        <v>2</v>
      </c>
      <c r="L12" s="2" t="inlineStr">
        <is>
          <t>boundary layer, fluid dynamics</t>
        </is>
      </c>
      <c r="M12" s="2" t="inlineStr">
        <is>
          <t>1. Partial repowering analysis of a wind farm by turbine hub height variation to mitigate neighboring wind farm wake interference using mesoscale simulations (Applied Energy, 2020) [DOI: https://doi.org/10.1016/j.apenergy.2020.115050] | 2. The Canopy Horizontal Array Turbulence Study (Bulletin of the American Meteorological Society, 2010) [DOI: https://doi.org/10.1175/2010bams2614.1]</t>
        </is>
      </c>
      <c r="N12" s="3">
        <f>HYPERLINK("https://doi.org/10.1016/j.apenergy.2020.115050 | https://doi.org/10.1175/2010bams2614.1", "https://doi.org/10.1016/j.apenergy.2020.115050 | https://doi.org/10.1175/2010bams2614.1")</f>
        <v/>
      </c>
      <c r="O12" s="2" t="inlineStr">
        <is>
          <t>Dual-Doppler Pulsed LiDAR, Scanning Backscatter LiDAR, Mesoscale Atmospheric Simulations (WRF/LES), Wake Parameterization Codes</t>
        </is>
      </c>
      <c r="P12" s="2" t="inlineStr">
        <is>
          <t>executing mesoscale wake simulations with hub height variation across dense wind turbine arrays, demonstrating that alternating hub heights mitigates downstream wake interference and recovers up to 12% in farm-level annual energy production.</t>
        </is>
      </c>
      <c r="Q12" s="2" t="inlineStr">
        <is>
          <t>Mesoscale wake simulation and dual-Doppler LiDAR anemometry for turbulent wind farm interaction, repowering, and atmospheric boundary-layer dynamics.</t>
        </is>
      </c>
      <c r="R12" s="2" t="inlineStr"/>
      <c r="S12" s="2" t="inlineStr"/>
      <c r="T12" s="2" t="inlineStr">
        <is>
          <t>"The Canopy Horizontal Array Turbulence Study" [Bulletin of the American Meteorological Society] (2010, 128 cites) [DOI: https://doi.org/10.1175/2010bams2614.1] | "Scopes and Challenges of Dual-Doppler Lidar Wind Measurements—An Error Analysis" [Journal of Atmospheric and Oceanic Technology] (2013, 114 cites) [DOI: https://doi.org/10.1175/jtech-d-12-00244.1] | "Turbulent flow over a wavy surface: Neutral case" [Journal of Geophysical Research Atmospheres] (2001, 85 cites) [DOI: https://doi.org/10.1029/2000jc900133]</t>
        </is>
      </c>
      <c r="U12" s="2" t="inlineStr">
        <is>
          <t>MAE 579: Wind Energy | MAE 242: Intro to Fluid Mechanics | MAE 593: Applied Project</t>
        </is>
      </c>
      <c r="V12" s="2" t="inlineStr"/>
      <c r="W12" s="2" t="inlineStr"/>
      <c r="X12" s="2" t="inlineStr">
        <is>
          <t>Wind and Air Flow Studies (30) | Meteorological Phenomena and Simulations (27) | Fluid Dynamics and Turbulent Flows (13)</t>
        </is>
      </c>
      <c r="Y12" s="2" t="inlineStr">
        <is>
          <t>Wind and Air Flow Studies (30) | Meteorological Phenomena and Simulations (27) | Fluid Dynamics and Turbulent Flows (13)</t>
        </is>
      </c>
      <c r="Z12" s="2" t="inlineStr"/>
      <c r="AA12" s="2" t="inlineStr"/>
      <c r="AB12" s="2" t="inlineStr">
        <is>
          <t>Calhoun’s research interests are in fluid dynamics; atmospheric sciences; boundary layer; wind energy and remote sensing.</t>
        </is>
      </c>
      <c r="AC12" s="2" t="inlineStr">
        <is>
          <t>Ph.D. Civil and Environmental Engineering, Stanford University 1998 | Engineer. Civil and Environmental Engineering, Stanford University 1993 | M.S. Civil and Environmental Engineering, Stanford University 1992 | B.S. Symbolic Systems, Stanford University 1989</t>
        </is>
      </c>
      <c r="AD12" s="2" t="inlineStr">
        <is>
          <t>Wind Energy and Atmospheric Boundary Layer Lab</t>
        </is>
      </c>
      <c r="AE12" s="3">
        <f>HYPERLINK("https://windlab.engineering.asu.edu/ronald-calhoun/", "https://windlab.engineering.asu.edu/ronald-calhoun/")</f>
        <v/>
      </c>
      <c r="AF12" s="2" t="inlineStr"/>
      <c r="AG12" s="2" t="inlineStr"/>
      <c r="AH12" s="2" t="inlineStr"/>
      <c r="AI12" s="2" t="inlineStr"/>
      <c r="AJ12" s="2" t="inlineStr"/>
      <c r="AK12" s="2" t="inlineStr"/>
      <c r="AL12" s="2" t="inlineStr">
        <is>
          <t>Goldwater 466 (TEMPE, AZ 85287-6106)</t>
        </is>
      </c>
      <c r="AM12" s="2" t="b">
        <v>1</v>
      </c>
      <c r="AN12" s="3">
        <f>HYPERLINK("https://faculty.engineering.asu.edu/directory/semte/aerospace-and-mechanical-engineering/", "https://faculty.engineering.asu.edu/directory/semte/aerospace-and-mechanical-engineering/")</f>
        <v/>
      </c>
    </row>
    <row r="13">
      <c r="A13" s="2" t="inlineStr">
        <is>
          <t>Liping Wang</t>
        </is>
      </c>
      <c r="B13" s="2" t="inlineStr">
        <is>
          <t>Arizona State University</t>
        </is>
      </c>
      <c r="C13" s="3">
        <f>HYPERLINK("https://search.asu.edu/profile/lwang78", "https://search.asu.edu/profile/lwang78")</f>
        <v/>
      </c>
      <c r="D13" s="3">
        <f>HYPERLINK("https://scholar.google.com/citations?view_op=search_authors&amp;mauthors=Liping%20Wang%20Arizona%20State%20University", "Google Scholar Search")</f>
        <v/>
      </c>
      <c r="E13" s="2" t="inlineStr">
        <is>
          <t>Associate Professor</t>
        </is>
      </c>
      <c r="F13" s="2" t="inlineStr">
        <is>
          <t>Aerospace &amp; Mechanical Engineering</t>
        </is>
      </c>
      <c r="G13" s="2" t="inlineStr"/>
      <c r="H13" s="3">
        <f>HYPERLINK("mailto:Liping.Wang@asu.edu", "Liping.Wang@asu.edu")</f>
        <v/>
      </c>
      <c r="I13" s="2" t="n">
        <v>2</v>
      </c>
      <c r="J13" s="2" t="inlineStr">
        <is>
          <t>🟡 Tier 2: Thermal / Heat Transfer / Energy</t>
        </is>
      </c>
      <c r="K13" s="2" t="n">
        <v>7</v>
      </c>
      <c r="L13" s="2" t="inlineStr">
        <is>
          <t>aerospace, guidance, heat transfer, materials, metamaterials, radiation, thermal</t>
        </is>
      </c>
      <c r="M13" s="2" t="inlineStr"/>
      <c r="N13" s="2" t="inlineStr"/>
      <c r="O13" s="2" t="inlineStr"/>
      <c r="P13" s="2" t="inlineStr"/>
      <c r="Q13" s="2" t="inlineStr"/>
      <c r="R13" s="2" t="inlineStr">
        <is>
          <t>One PhD position available for Fall 2024 on AFM based near-field thermal measurement! ($32k/year stipend + tuition + benefit)</t>
        </is>
      </c>
      <c r="S13" s="2" t="inlineStr"/>
      <c r="T13" s="2" t="inlineStr"/>
      <c r="U13" s="2" t="inlineStr">
        <is>
          <t>MAE 584: Internship | MAE 593: Applied Project | MAE 241: Intro to Thermodynamics</t>
        </is>
      </c>
      <c r="V13" s="2" t="inlineStr">
        <is>
          <t>2017         AFOSR Young Investigator (YIP) Award,  ASU | 2016         JQSRT/Elsevier Viskanta Young Scientist Award,  ASU</t>
        </is>
      </c>
      <c r="W13" s="2" t="inlineStr">
        <is>
          <t>Please send your CV to Prof. Wang ( [email protected] ). We will try to get back to you ASAP with possible available positions. Please also send a 2-page statement on describing your previous research experience as well as how your research interests match Prof. Wang’s group’s research themes. | Please send Prof. Wang ( [email protected] ) with your resumes for applications and for more details on the projects.</t>
        </is>
      </c>
      <c r="X13" s="2" t="inlineStr"/>
      <c r="Y13" s="2" t="inlineStr"/>
      <c r="Z13" s="2" t="inlineStr">
        <is>
          <t>Nanoscale heat transfer, metamaterials, plasmonics, and nanophotonics with an emphasis on solar thermal energy harvesting using plasmonic-enhanced light trapping for photovolatics, as well as near-field enhancement and spectral control of radiation for thermophotovoltaic energy conversion. Other research interests involve electronic cooling, MEMS, and bio-sensing.</t>
        </is>
      </c>
      <c r="AA13" s="2" t="inlineStr"/>
      <c r="AB13" s="2" t="inlineStr">
        <is>
          <t>Wang research interests include selective control of thermal emission/absorption using meta-materials for energy harvesting and near-field radiation heat transfer enhancement between meta-materials for thermophotovoltaics.</t>
        </is>
      </c>
      <c r="AC13" s="2" t="inlineStr">
        <is>
          <t>Ph.D. Mechanical Engineering, Georgia Institute of Technology 2011 | M.S. Refrigeration and Cryogenic Engineering, Shanghai Institute of Technical Physics, Chinese  Academy of Sciences 2007 | B.E. Thermal Science and Energy Engineering, University of Science and Technology of China 2004</t>
        </is>
      </c>
      <c r="AD13" s="2" t="inlineStr">
        <is>
          <t>Nanoscale Thermal Radiation Lab</t>
        </is>
      </c>
      <c r="AE13" s="3">
        <f>HYPERLINK("http://faculty.engineering.asu.edu/lpwang", "http://faculty.engineering.asu.edu/lpwang")</f>
        <v/>
      </c>
      <c r="AF13" s="2" t="inlineStr">
        <is>
          <t>Multiple UG/MS research positions available for Fall 2024 (volunteer) and Spring/Summer 2025 (possible FURI / MORE support)</t>
        </is>
      </c>
      <c r="AG13" s="2" t="inlineStr"/>
      <c r="AH13" s="2" t="inlineStr">
        <is>
          <t>AFM</t>
        </is>
      </c>
      <c r="AI13" s="2" t="inlineStr">
        <is>
          <t>NASA, NSF</t>
        </is>
      </c>
      <c r="AJ13" s="2" t="inlineStr"/>
      <c r="AK13" s="2" t="inlineStr">
        <is>
          <t>News&amp;Awards</t>
        </is>
      </c>
      <c r="AL13" s="2" t="inlineStr">
        <is>
          <t>ENGRC 327 (Tempe, AZ 85287-6106)</t>
        </is>
      </c>
      <c r="AM13" s="2" t="b">
        <v>1</v>
      </c>
      <c r="AN13" s="3">
        <f>HYPERLINK("https://faculty.engineering.asu.edu/directory/semte/aerospace-and-mechanical-engineering/", "https://faculty.engineering.asu.edu/directory/semte/aerospace-and-mechanical-engineering/")</f>
        <v/>
      </c>
    </row>
    <row r="14">
      <c r="A14" s="2" t="inlineStr">
        <is>
          <t>Robert Wang</t>
        </is>
      </c>
      <c r="B14" s="2" t="inlineStr">
        <is>
          <t>Arizona State University</t>
        </is>
      </c>
      <c r="C14" s="3">
        <f>HYPERLINK("https://search.asu.edu/profile/rywang", "https://search.asu.edu/profile/rywang")</f>
        <v/>
      </c>
      <c r="D14" s="3">
        <f>HYPERLINK("https://scholar.google.com/citations?hl=en&amp;user=LaUdx9gAAAAJ", "Scholar (LaUdx9gAAAAJ)")</f>
        <v/>
      </c>
      <c r="E14" s="2" t="inlineStr">
        <is>
          <t>Associate Professor</t>
        </is>
      </c>
      <c r="F14" s="2" t="inlineStr">
        <is>
          <t>Aerospace &amp; Mechanical Engineering</t>
        </is>
      </c>
      <c r="G14" s="2" t="inlineStr">
        <is>
          <t>LaUdx9gAAAAJ</t>
        </is>
      </c>
      <c r="H14" s="3">
        <f>HYPERLINK("mailto:rywang@asu.edu", "rywang@asu.edu")</f>
        <v/>
      </c>
      <c r="I14" s="2" t="n">
        <v>2</v>
      </c>
      <c r="J14" s="2" t="inlineStr">
        <is>
          <t>🟡 Tier 2: Thermal / Heat Transfer / Energy</t>
        </is>
      </c>
      <c r="K14" s="2" t="n">
        <v>4</v>
      </c>
      <c r="L14" s="2" t="inlineStr">
        <is>
          <t>composites, heat transfer, materials, thermal</t>
        </is>
      </c>
      <c r="M14" s="2" t="inlineStr"/>
      <c r="N14" s="2" t="inlineStr"/>
      <c r="O14" s="2" t="inlineStr"/>
      <c r="P14" s="2" t="inlineStr"/>
      <c r="Q14" s="2" t="inlineStr"/>
      <c r="R14" s="2" t="inlineStr"/>
      <c r="S14" s="2" t="inlineStr"/>
      <c r="T14" s="2" t="inlineStr"/>
      <c r="U14" s="2" t="inlineStr">
        <is>
          <t>MAE 241: Intro to Thermodynamics | MAE 593: Applied Project | MAE 588: Nanoscale Heat Transfer</t>
        </is>
      </c>
      <c r="V14" s="2" t="inlineStr"/>
      <c r="W14" s="2" t="inlineStr"/>
      <c r="X14" s="2" t="inlineStr"/>
      <c r="Y14" s="2" t="inlineStr"/>
      <c r="Z14" s="2" t="inlineStr">
        <is>
          <t>My research group is an interdisciplinary nanoengineering team that focuses on manipulating material properties for thermal energy applications. Some of our focus areas are thermoelectric power generation, thermal storage media, heat transfer, and phonon optics. To achieve our objectives, we custom-design materials using colloidal nanoparticles, chemical precursors, and nanocomposites.</t>
        </is>
      </c>
      <c r="AA14" s="2" t="inlineStr">
        <is>
          <t>Mechanical Engineering, Energy, Renewable Energy, Energy and Sustainability, Clean Energy, Energy Efficiency Technologies, Materials Science and Engineering, Chemical Engineering, Nanoengineering, Nanoscience, Nanotechnology, Solid State Physics, Thin Film Materials, Semiconductors, Chemistry, Physics</t>
        </is>
      </c>
      <c r="AB14" s="2" t="inlineStr">
        <is>
          <t>Wang's research interests include thermal energy conversion, storage, and transport in nanostructured materials; thermoelectric power generation; thermal storage media; heat transfer, and phonon optics</t>
        </is>
      </c>
      <c r="AC14" s="2" t="inlineStr">
        <is>
          <t>Ph.D. Mechanical Engineering, University of California-Berkeley 2008 | M.S. Mechanical Engineering, University of California-Berkeley 2005 | B.S. Mechanical Engineering, University of California-Los Angeles 2003</t>
        </is>
      </c>
      <c r="AD14" s="2" t="inlineStr"/>
      <c r="AE14" s="3">
        <f>HYPERLINK("http://wang.faculty.asu.edu/", "http://wang.faculty.asu.edu/")</f>
        <v/>
      </c>
      <c r="AF14" s="2" t="inlineStr"/>
      <c r="AG14" s="2" t="inlineStr"/>
      <c r="AH14" s="2" t="inlineStr"/>
      <c r="AI14" s="2" t="inlineStr"/>
      <c r="AJ14" s="2" t="inlineStr"/>
      <c r="AK14" s="2" t="inlineStr"/>
      <c r="AL14" s="2" t="inlineStr">
        <is>
          <t>ENGRC 307 (Tempe, AZ 85287-6106)</t>
        </is>
      </c>
      <c r="AM14" s="2" t="b">
        <v>1</v>
      </c>
      <c r="AN14" s="3">
        <f>HYPERLINK("https://faculty.engineering.asu.edu/directory/semte/aerospace-and-mechanical-engineering/", "https://faculty.engineering.asu.edu/directory/semte/aerospace-and-mechanical-engineering/")</f>
        <v/>
      </c>
    </row>
    <row r="15">
      <c r="A15" s="2" t="inlineStr">
        <is>
          <t>T.-W. Lee</t>
        </is>
      </c>
      <c r="B15" s="2" t="inlineStr">
        <is>
          <t>Arizona State University</t>
        </is>
      </c>
      <c r="C15" s="3">
        <f>HYPERLINK("https://search.asu.edu/profile/attwl", "https://search.asu.edu/profile/attwl")</f>
        <v/>
      </c>
      <c r="D15" s="3">
        <f>HYPERLINK("https://scholar.google.com/citations?view_op=search_authors&amp;mauthors=T.-W.%20Lee%20Arizona%20State%20University", "Google Scholar Search")</f>
        <v/>
      </c>
      <c r="E15" s="2" t="inlineStr">
        <is>
          <t>Associate Professor</t>
        </is>
      </c>
      <c r="F15" s="2" t="inlineStr">
        <is>
          <t>Aerospace &amp; Mechanical Engineering</t>
        </is>
      </c>
      <c r="G15" s="2" t="inlineStr"/>
      <c r="H15" s="3">
        <f>HYPERLINK("mailto:ATTWL@asu.edu", "ATTWL@asu.edu")</f>
        <v/>
      </c>
      <c r="I15" s="2" t="n">
        <v>2</v>
      </c>
      <c r="J15" s="2" t="inlineStr">
        <is>
          <t>🟡 Tier 2: Thermal / Heat Transfer / Energy</t>
        </is>
      </c>
      <c r="K15" s="2" t="n">
        <v>4</v>
      </c>
      <c r="L15" s="2" t="inlineStr">
        <is>
          <t>aerospace, energy systems, propulsion, thermal</t>
        </is>
      </c>
      <c r="M15" s="2" t="inlineStr"/>
      <c r="N15" s="2" t="inlineStr"/>
      <c r="O15" s="2" t="inlineStr"/>
      <c r="P15" s="2" t="inlineStr"/>
      <c r="Q15" s="2" t="inlineStr"/>
      <c r="R15" s="2" t="inlineStr">
        <is>
          <t>N Hegde, Taewoo Lee. Laser-induced breakdown spectroscopy for in situ diagnostics of combustion parameters including tem</t>
        </is>
      </c>
      <c r="S15" s="2" t="inlineStr"/>
      <c r="T15" s="2" t="inlineStr"/>
      <c r="U15" s="2" t="inlineStr">
        <is>
          <t>MAE 565: Rocket Propulsion | MAE 593: Applied Project | MAE 570: Intermediate Thermodynamics</t>
        </is>
      </c>
      <c r="V15" s="2" t="inlineStr"/>
      <c r="W15" s="2" t="inlineStr"/>
      <c r="X15" s="2" t="inlineStr"/>
      <c r="Y15" s="2" t="inlineStr"/>
      <c r="Z15" s="2" t="inlineStr"/>
      <c r="AA15" s="2" t="inlineStr"/>
      <c r="AB15" s="2" t="inlineStr">
        <is>
          <t>Lee's areas of expertise include energy system analysis, thermal and fluid process characterization, and fuel property measurements for energy systems.</t>
        </is>
      </c>
      <c r="AC15" s="2" t="inlineStr">
        <is>
          <t>Ph.D. Aerospace Engineering, University of Michigan-Ann Arbor | M.S.E. Aerospace Engineering, University of Michigan-Ann Arbor | B.S. Aeronautical and Astronautical Engineering, The Ohio State University-Columbus</t>
        </is>
      </c>
      <c r="AD15" s="2" t="inlineStr"/>
      <c r="AE15" s="2" t="inlineStr"/>
      <c r="AF15" s="2" t="inlineStr"/>
      <c r="AG15" s="2" t="inlineStr"/>
      <c r="AH15" s="2" t="inlineStr"/>
      <c r="AI15" s="2" t="inlineStr"/>
      <c r="AJ15" s="2" t="inlineStr"/>
      <c r="AK15" s="2" t="inlineStr"/>
      <c r="AL15" s="2" t="inlineStr">
        <is>
          <t>ENGRC 377 (TEMPE, AZ 85287-6106)</t>
        </is>
      </c>
      <c r="AM15" s="2" t="b">
        <v>1</v>
      </c>
      <c r="AN15" s="3">
        <f>HYPERLINK("https://faculty.engineering.asu.edu/directory/semte/aerospace-and-mechanical-engineering/", "https://faculty.engineering.asu.edu/directory/semte/aerospace-and-mechanical-engineering/")</f>
        <v/>
      </c>
    </row>
    <row r="16">
      <c r="A16" s="2" t="inlineStr">
        <is>
          <t>Tianyu Yang</t>
        </is>
      </c>
      <c r="B16" s="2" t="inlineStr">
        <is>
          <t>Arizona State University</t>
        </is>
      </c>
      <c r="C16" s="3">
        <f>HYPERLINK("https://search.asu.edu/profile/tyang123", "https://search.asu.edu/profile/tyang123")</f>
        <v/>
      </c>
      <c r="D16" s="3">
        <f>HYPERLINK("https://scholar.google.com/citations?hl=en&amp;user=OmBV67MAAAAJ", "Scholar (OmBV67MAAAAJ)")</f>
        <v/>
      </c>
      <c r="E16" s="2" t="inlineStr">
        <is>
          <t>Assistant Professor</t>
        </is>
      </c>
      <c r="F16" s="2" t="inlineStr">
        <is>
          <t>Aerospace &amp; Mechanical Engineering</t>
        </is>
      </c>
      <c r="G16" s="2" t="inlineStr">
        <is>
          <t>OmBV67MAAAAJ</t>
        </is>
      </c>
      <c r="H16" s="3">
        <f>HYPERLINK("mailto:Tianyu.Yang@asu.edu", "Tianyu.Yang@asu.edu")</f>
        <v/>
      </c>
      <c r="I16" s="2" t="n">
        <v>2</v>
      </c>
      <c r="J16" s="2" t="inlineStr">
        <is>
          <t>🟡 Tier 2: Thermal / Heat Transfer / Energy</t>
        </is>
      </c>
      <c r="K16" s="2" t="n">
        <v>4</v>
      </c>
      <c r="L16" s="2" t="inlineStr">
        <is>
          <t>autonomous, heat transfer, materials, thermal</t>
        </is>
      </c>
      <c r="M16" s="2" t="inlineStr"/>
      <c r="N16" s="2" t="inlineStr"/>
      <c r="O16" s="2" t="inlineStr"/>
      <c r="P16" s="2" t="inlineStr"/>
      <c r="Q16" s="2" t="inlineStr"/>
      <c r="R16" s="2" t="inlineStr"/>
      <c r="S16" s="2" t="inlineStr"/>
      <c r="T16" s="2" t="inlineStr"/>
      <c r="U16" s="2" t="inlineStr">
        <is>
          <t>MAE 241: Intro to Thermodynamics</t>
        </is>
      </c>
      <c r="V16" s="2" t="inlineStr"/>
      <c r="W16" s="2" t="inlineStr"/>
      <c r="X16" s="2" t="inlineStr"/>
      <c r="Y16" s="2" t="inlineStr"/>
      <c r="Z16" s="2" t="inlineStr"/>
      <c r="AA16" s="2" t="inlineStr"/>
      <c r="AB16" s="2" t="inlineStr">
        <is>
          <t>Yang studies heat transfer, thermal management of electronics, and biomedical devices. She has published multiple research papers in major scientific journals.</t>
        </is>
      </c>
      <c r="AC16" s="2" t="inlineStr">
        <is>
          <t>PhD. University of Illinois at Urbana Champaign, 2016-2021 | BS. Tsinghua University, China 2012-2016</t>
        </is>
      </c>
      <c r="AD16" s="2" t="inlineStr"/>
      <c r="AE16" s="2" t="inlineStr"/>
      <c r="AF16" s="2" t="inlineStr"/>
      <c r="AG16" s="2" t="inlineStr"/>
      <c r="AH16" s="2" t="inlineStr"/>
      <c r="AI16" s="2" t="inlineStr"/>
      <c r="AJ16" s="2" t="inlineStr"/>
      <c r="AK16" s="2" t="inlineStr"/>
      <c r="AL16" s="2" t="inlineStr">
        <is>
          <t>Campus: Tempe</t>
        </is>
      </c>
      <c r="AM16" s="2" t="b">
        <v>1</v>
      </c>
      <c r="AN16" s="3">
        <f>HYPERLINK("https://faculty.engineering.asu.edu/directory/semte/aerospace-and-mechanical-engineering/", "https://faculty.engineering.asu.edu/directory/semte/aerospace-and-mechanical-engineering/")</f>
        <v/>
      </c>
    </row>
    <row r="17">
      <c r="A17" s="2" t="inlineStr">
        <is>
          <t>Beomjin Kwon</t>
        </is>
      </c>
      <c r="B17" s="2" t="inlineStr">
        <is>
          <t>Arizona State University</t>
        </is>
      </c>
      <c r="C17" s="3">
        <f>HYPERLINK("https://search.asu.edu/profile/bkwon2", "https://search.asu.edu/profile/bkwon2")</f>
        <v/>
      </c>
      <c r="D17" s="3">
        <f>HYPERLINK("https://scholar.google.com/citations?hl=en&amp;user=fs2d97sAAAAJ", "Scholar (fs2d97sAAAAJ)")</f>
        <v/>
      </c>
      <c r="E17" s="2" t="inlineStr">
        <is>
          <t>Associate Professor</t>
        </is>
      </c>
      <c r="F17" s="2" t="inlineStr">
        <is>
          <t>Aerospace &amp; Mechanical Engineering</t>
        </is>
      </c>
      <c r="G17" s="2" t="inlineStr">
        <is>
          <t>fs2d97sAAAAJ</t>
        </is>
      </c>
      <c r="H17" s="3">
        <f>HYPERLINK("mailto:kwon@asu.edu", "kwon@asu.edu")</f>
        <v/>
      </c>
      <c r="I17" s="2" t="n">
        <v>2</v>
      </c>
      <c r="J17" s="2" t="inlineStr">
        <is>
          <t>🟡 Tier 2: Thermal / Heat Transfer / Energy</t>
        </is>
      </c>
      <c r="K17" s="2" t="n">
        <v>3</v>
      </c>
      <c r="L17" s="2" t="inlineStr">
        <is>
          <t>aerospace, energy systems, heat transfer</t>
        </is>
      </c>
      <c r="M17" s="2" t="inlineStr"/>
      <c r="N17" s="2" t="inlineStr"/>
      <c r="O17" s="2" t="inlineStr"/>
      <c r="P17" s="2" t="inlineStr"/>
      <c r="Q17" s="2" t="inlineStr"/>
      <c r="R17" s="2" t="inlineStr">
        <is>
          <t>Journal Papers 62. N. Ohashi, J. Deng, L.K. Hwang, P.K. Kang, and B. Kwon, “Physics-Informed Machine Learning for Reconstructin...</t>
        </is>
      </c>
      <c r="S17" s="2" t="inlineStr"/>
      <c r="T17" s="2" t="inlineStr"/>
      <c r="U17" s="2" t="inlineStr">
        <is>
          <t>MAE 593: Applied Project | MAE 241: Intro to Thermodynamics | MAE 598: Special Topics</t>
        </is>
      </c>
      <c r="V17" s="2" t="inlineStr"/>
      <c r="W17" s="2" t="inlineStr"/>
      <c r="X17" s="2" t="inlineStr"/>
      <c r="Y17" s="2" t="inlineStr"/>
      <c r="Z17" s="2" t="inlineStr">
        <is>
          <t>Transport phenomena in heat transfer systems Additive manufacturing Data-driven modeling and design</t>
        </is>
      </c>
      <c r="AA17" s="2" t="inlineStr"/>
      <c r="AB17" s="2" t="inlineStr">
        <is>
          <t>Kwon aims to improve the energy conversion and transport systems through the fundamental insights into transport physics, and by exploiting additive manufacturing and data-driven approaches.</t>
        </is>
      </c>
      <c r="AC17" s="2" t="inlineStr">
        <is>
          <t>Ph.D. Mechanical Engineering, University of Illinois at Urbana-Champaign 2013 | M.S. Mechanical Engineering, University of Illinois at Urbana-Champaign 2009 | B.S. Mechanical and Aerospace Engineering, Seoul National University 2008</t>
        </is>
      </c>
      <c r="AD17" s="2" t="inlineStr">
        <is>
          <t>3D Energy Lab</t>
        </is>
      </c>
      <c r="AE17" s="3">
        <f>HYPERLINK("http://sites.google.com/view/3denergy", "http://sites.google.com/view/3denergy")</f>
        <v/>
      </c>
      <c r="AF17" s="2" t="inlineStr"/>
      <c r="AG17" s="2" t="inlineStr"/>
      <c r="AH17" s="2" t="inlineStr">
        <is>
          <t>3D Printer</t>
        </is>
      </c>
      <c r="AI17" s="2" t="inlineStr">
        <is>
          <t>NSF</t>
        </is>
      </c>
      <c r="AJ17" s="2" t="inlineStr"/>
      <c r="AK17" s="2" t="inlineStr">
        <is>
          <t>3D Energy Device Laboratory</t>
        </is>
      </c>
      <c r="AL17" s="2" t="inlineStr">
        <is>
          <t>551 E Tyler Mall ERC 363 (Tempe, AZ 85281)</t>
        </is>
      </c>
      <c r="AM17" s="2" t="b">
        <v>1</v>
      </c>
      <c r="AN17" s="3">
        <f>HYPERLINK("https://faculty.engineering.asu.edu/directory/semte/aerospace-and-mechanical-engineering/", "https://faculty.engineering.asu.edu/directory/semte/aerospace-and-mechanical-engineering/")</f>
        <v/>
      </c>
    </row>
    <row r="18">
      <c r="A18" s="2" t="inlineStr">
        <is>
          <t>Patrick Phelan</t>
        </is>
      </c>
      <c r="B18" s="2" t="inlineStr">
        <is>
          <t>Arizona State University</t>
        </is>
      </c>
      <c r="C18" s="3">
        <f>HYPERLINK("https://search.asu.edu/profile/pphelan", "https://search.asu.edu/profile/pphelan")</f>
        <v/>
      </c>
      <c r="D18" s="3">
        <f>HYPERLINK("https://scholar.google.com/citations?view_op=search_authors&amp;mauthors=Patrick%20Phelan%20Arizona%20State%20University", "Google Scholar Search")</f>
        <v/>
      </c>
      <c r="E18" s="2" t="inlineStr">
        <is>
          <t>Professor</t>
        </is>
      </c>
      <c r="F18" s="2" t="inlineStr">
        <is>
          <t>Aerospace &amp; Mechanical Engineering</t>
        </is>
      </c>
      <c r="G18" s="2" t="inlineStr"/>
      <c r="H18" s="3">
        <f>HYPERLINK("mailto:phelan@asu.edu", "phelan@asu.edu")</f>
        <v/>
      </c>
      <c r="I18" s="2" t="n">
        <v>2</v>
      </c>
      <c r="J18" s="2" t="inlineStr">
        <is>
          <t>🟡 Tier 2: Thermal / Heat Transfer / Energy</t>
        </is>
      </c>
      <c r="K18" s="2" t="n">
        <v>3</v>
      </c>
      <c r="L18" s="2" t="inlineStr">
        <is>
          <t>aerospace, energy systems, thermal</t>
        </is>
      </c>
      <c r="M18" s="2" t="inlineStr"/>
      <c r="N18" s="2" t="inlineStr"/>
      <c r="O18" s="2" t="inlineStr"/>
      <c r="P18" s="2" t="inlineStr"/>
      <c r="Q18" s="2" t="inlineStr"/>
      <c r="R18" s="2" t="inlineStr">
        <is>
          <t>Please see my publications at Google Scholar .</t>
        </is>
      </c>
      <c r="S18" s="2" t="inlineStr"/>
      <c r="T18" s="2" t="inlineStr"/>
      <c r="U18" s="2" t="inlineStr">
        <is>
          <t>MAE 593: Applied Project | MAE 494: Special Topics | MAE 598: Special Topics</t>
        </is>
      </c>
      <c r="V18" s="2" t="inlineStr"/>
      <c r="W18" s="2" t="inlineStr"/>
      <c r="X18" s="2" t="inlineStr"/>
      <c r="Y18" s="2" t="inlineStr"/>
      <c r="Z18" s="2" t="inlineStr">
        <is>
          <t>Thermal engineering, sustainable energy systems, energy management, sustainable cooling systems.</t>
        </is>
      </c>
      <c r="AA18" s="2" t="inlineStr">
        <is>
          <t>Building Technology, Solar Energy Systems, Energy Efficiency Technologies, Mechanical Engineering</t>
        </is>
      </c>
      <c r="AB18" s="2" t="inlineStr">
        <is>
          <t>Phelan researches and teaches in the area of sustainable energy, thermal transport and thermal management.</t>
        </is>
      </c>
      <c r="AC18" s="2" t="inlineStr">
        <is>
          <t>Postdoctoral Fellow, Tokyo Institute of Technology, Japan 1990-1992 | Ph.D. Mechanical Engineering, University of California, Berkeley 1990 | M.S. Mechanical Engineering, Massachusetts Institute of Technology 1987 | B. S. Mechanical Engineering, Tulane University, New Orleans, LA 1985</t>
        </is>
      </c>
      <c r="AD18" s="2" t="inlineStr"/>
      <c r="AE18" s="2" t="inlineStr"/>
      <c r="AF18" s="2" t="inlineStr"/>
      <c r="AG18" s="2" t="inlineStr"/>
      <c r="AH18" s="2" t="inlineStr"/>
      <c r="AI18" s="2" t="inlineStr"/>
      <c r="AJ18" s="2" t="inlineStr"/>
      <c r="AK18" s="2" t="inlineStr"/>
      <c r="AL18" s="2" t="inlineStr">
        <is>
          <t>ENGRC 463 (TEMPE, AZ 85287-6106)</t>
        </is>
      </c>
      <c r="AM18" s="2" t="b">
        <v>1</v>
      </c>
      <c r="AN18" s="3">
        <f>HYPERLINK("https://faculty.engineering.asu.edu/directory/semte/aerospace-and-mechanical-engineering/", "https://faculty.engineering.asu.edu/directory/semte/aerospace-and-mechanical-engineering/")</f>
        <v/>
      </c>
    </row>
    <row r="19">
      <c r="A19" s="2" t="inlineStr">
        <is>
          <t>Konrad Rykaczewski</t>
        </is>
      </c>
      <c r="B19" s="2" t="inlineStr">
        <is>
          <t>Arizona State University</t>
        </is>
      </c>
      <c r="C19" s="3">
        <f>HYPERLINK("https://search.asu.edu/profile/krykacze", "https://search.asu.edu/profile/krykacze")</f>
        <v/>
      </c>
      <c r="D19" s="3">
        <f>HYPERLINK("https://scholar.google.com/citations?hl=en&amp;user=SWeAf4UAAAAJ", "Scholar (SWeAf4UAAAAJ)")</f>
        <v/>
      </c>
      <c r="E19" s="2" t="inlineStr">
        <is>
          <t>Associate Professor</t>
        </is>
      </c>
      <c r="F19" s="2" t="inlineStr">
        <is>
          <t>Aerospace &amp; Mechanical Engineering</t>
        </is>
      </c>
      <c r="G19" s="2" t="inlineStr">
        <is>
          <t>SWeAf4UAAAAJ</t>
        </is>
      </c>
      <c r="H19" s="3">
        <f>HYPERLINK("mailto:konradr@asu.edu", "konradr@asu.edu")</f>
        <v/>
      </c>
      <c r="I19" s="2" t="n">
        <v>2</v>
      </c>
      <c r="J19" s="2" t="inlineStr">
        <is>
          <t>🟡 Tier 2: Thermal / Heat Transfer / Energy</t>
        </is>
      </c>
      <c r="K19" s="2" t="n">
        <v>2</v>
      </c>
      <c r="L19" s="2" t="inlineStr">
        <is>
          <t>materials, thermal</t>
        </is>
      </c>
      <c r="M19" s="2" t="inlineStr"/>
      <c r="N19" s="2" t="inlineStr"/>
      <c r="O19" s="2" t="inlineStr"/>
      <c r="P19" s="2" t="inlineStr"/>
      <c r="Q19" s="2" t="inlineStr"/>
      <c r="R19" s="2" t="inlineStr"/>
      <c r="S19" s="2" t="inlineStr"/>
      <c r="T19" s="2" t="inlineStr"/>
      <c r="U19" s="2" t="inlineStr">
        <is>
          <t>MAE 593: Applied Project | MAE 499: Individualized Instruction | MAE 586: Advanced Heat Transfer</t>
        </is>
      </c>
      <c r="V19" s="2" t="inlineStr"/>
      <c r="W19" s="2" t="inlineStr"/>
      <c r="X19" s="2" t="inlineStr"/>
      <c r="Y19" s="2" t="inlineStr"/>
      <c r="Z19" s="2" t="inlineStr"/>
      <c r="AA19" s="2" t="inlineStr"/>
      <c r="AB19" s="2" t="inlineStr">
        <is>
          <t>Rykaczewski's research focuses on development of soft thermal materials and system as well as studying human thermal exposure in extreme heat.</t>
        </is>
      </c>
      <c r="AC19" s="2" t="inlineStr">
        <is>
          <t>Ph.D. Mechanical Engineering, Georgia Institute of Technology 2009 | M.S. Mechanical Engineering, Georgia Institute of Technology 2007 | B.S. Mechanical Engineering, Georgia Institute of Technology 2005</t>
        </is>
      </c>
      <c r="AD19" s="2" t="inlineStr">
        <is>
          <t>Nano-Bio-Thermal Engineering Laboratory</t>
        </is>
      </c>
      <c r="AE19" s="3">
        <f>HYPERLINK("http://faculty.engineering.asu.edu/konrad/", "http://faculty.engineering.asu.edu/konrad/")</f>
        <v/>
      </c>
      <c r="AF19" s="2" t="inlineStr"/>
      <c r="AG19" s="2" t="inlineStr"/>
      <c r="AH19" s="2" t="inlineStr"/>
      <c r="AI19" s="2" t="inlineStr"/>
      <c r="AJ19" s="2" t="inlineStr"/>
      <c r="AK19" s="2" t="inlineStr">
        <is>
          <t>Rykaczewski Lab</t>
        </is>
      </c>
      <c r="AL19" s="2" t="inlineStr">
        <is>
          <t>ENGRC 309 (Tempe, AZ 85287)</t>
        </is>
      </c>
      <c r="AM19" s="2" t="b">
        <v>1</v>
      </c>
      <c r="AN19" s="3">
        <f>HYPERLINK("https://faculty.engineering.asu.edu/directory/semte/aerospace-and-mechanical-engineering/", "https://faculty.engineering.asu.edu/directory/semte/aerospace-and-mechanical-engineering/")</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N2" r:id="rId4"/>
    <hyperlink xmlns:r="http://schemas.openxmlformats.org/officeDocument/2006/relationships" ref="AE2" r:id="rId5"/>
    <hyperlink xmlns:r="http://schemas.openxmlformats.org/officeDocument/2006/relationships" ref="AJ2" r:id="rId6"/>
    <hyperlink xmlns:r="http://schemas.openxmlformats.org/officeDocument/2006/relationships" ref="AN2" r:id="rId7"/>
    <hyperlink xmlns:r="http://schemas.openxmlformats.org/officeDocument/2006/relationships" ref="C3" r:id="rId8"/>
    <hyperlink xmlns:r="http://schemas.openxmlformats.org/officeDocument/2006/relationships" ref="D3" r:id="rId9"/>
    <hyperlink xmlns:r="http://schemas.openxmlformats.org/officeDocument/2006/relationships" ref="H3" r:id="rId10"/>
    <hyperlink xmlns:r="http://schemas.openxmlformats.org/officeDocument/2006/relationships" ref="N3" r:id="rId11"/>
    <hyperlink xmlns:r="http://schemas.openxmlformats.org/officeDocument/2006/relationships" ref="AN3" r:id="rId12"/>
    <hyperlink xmlns:r="http://schemas.openxmlformats.org/officeDocument/2006/relationships" ref="C4" r:id="rId13"/>
    <hyperlink xmlns:r="http://schemas.openxmlformats.org/officeDocument/2006/relationships" ref="D4" r:id="rId14"/>
    <hyperlink xmlns:r="http://schemas.openxmlformats.org/officeDocument/2006/relationships" ref="H4" r:id="rId15"/>
    <hyperlink xmlns:r="http://schemas.openxmlformats.org/officeDocument/2006/relationships" ref="N4" r:id="rId16"/>
    <hyperlink xmlns:r="http://schemas.openxmlformats.org/officeDocument/2006/relationships" ref="AN4" r:id="rId17"/>
    <hyperlink xmlns:r="http://schemas.openxmlformats.org/officeDocument/2006/relationships" ref="C5" r:id="rId18"/>
    <hyperlink xmlns:r="http://schemas.openxmlformats.org/officeDocument/2006/relationships" ref="D5" r:id="rId19"/>
    <hyperlink xmlns:r="http://schemas.openxmlformats.org/officeDocument/2006/relationships" ref="H5" r:id="rId20"/>
    <hyperlink xmlns:r="http://schemas.openxmlformats.org/officeDocument/2006/relationships" ref="N5" r:id="rId21"/>
    <hyperlink xmlns:r="http://schemas.openxmlformats.org/officeDocument/2006/relationships" ref="AE5" r:id="rId22"/>
    <hyperlink xmlns:r="http://schemas.openxmlformats.org/officeDocument/2006/relationships" ref="AN5" r:id="rId23"/>
    <hyperlink xmlns:r="http://schemas.openxmlformats.org/officeDocument/2006/relationships" ref="C6" r:id="rId24"/>
    <hyperlink xmlns:r="http://schemas.openxmlformats.org/officeDocument/2006/relationships" ref="D6" r:id="rId25"/>
    <hyperlink xmlns:r="http://schemas.openxmlformats.org/officeDocument/2006/relationships" ref="H6" r:id="rId26"/>
    <hyperlink xmlns:r="http://schemas.openxmlformats.org/officeDocument/2006/relationships" ref="N6" r:id="rId27"/>
    <hyperlink xmlns:r="http://schemas.openxmlformats.org/officeDocument/2006/relationships" ref="AE6" r:id="rId28"/>
    <hyperlink xmlns:r="http://schemas.openxmlformats.org/officeDocument/2006/relationships" ref="AN6" r:id="rId29"/>
    <hyperlink xmlns:r="http://schemas.openxmlformats.org/officeDocument/2006/relationships" ref="C7" r:id="rId30"/>
    <hyperlink xmlns:r="http://schemas.openxmlformats.org/officeDocument/2006/relationships" ref="D7" r:id="rId31"/>
    <hyperlink xmlns:r="http://schemas.openxmlformats.org/officeDocument/2006/relationships" ref="H7" r:id="rId32"/>
    <hyperlink xmlns:r="http://schemas.openxmlformats.org/officeDocument/2006/relationships" ref="N7" r:id="rId33"/>
    <hyperlink xmlns:r="http://schemas.openxmlformats.org/officeDocument/2006/relationships" ref="AN7" r:id="rId34"/>
    <hyperlink xmlns:r="http://schemas.openxmlformats.org/officeDocument/2006/relationships" ref="C8" r:id="rId35"/>
    <hyperlink xmlns:r="http://schemas.openxmlformats.org/officeDocument/2006/relationships" ref="D8" r:id="rId36"/>
    <hyperlink xmlns:r="http://schemas.openxmlformats.org/officeDocument/2006/relationships" ref="H8" r:id="rId37"/>
    <hyperlink xmlns:r="http://schemas.openxmlformats.org/officeDocument/2006/relationships" ref="N8" r:id="rId38"/>
    <hyperlink xmlns:r="http://schemas.openxmlformats.org/officeDocument/2006/relationships" ref="AN8" r:id="rId39"/>
    <hyperlink xmlns:r="http://schemas.openxmlformats.org/officeDocument/2006/relationships" ref="C9" r:id="rId40"/>
    <hyperlink xmlns:r="http://schemas.openxmlformats.org/officeDocument/2006/relationships" ref="D9" r:id="rId41"/>
    <hyperlink xmlns:r="http://schemas.openxmlformats.org/officeDocument/2006/relationships" ref="H9" r:id="rId42"/>
    <hyperlink xmlns:r="http://schemas.openxmlformats.org/officeDocument/2006/relationships" ref="N9" r:id="rId43"/>
    <hyperlink xmlns:r="http://schemas.openxmlformats.org/officeDocument/2006/relationships" ref="AE9" r:id="rId44"/>
    <hyperlink xmlns:r="http://schemas.openxmlformats.org/officeDocument/2006/relationships" ref="AN9" r:id="rId45"/>
    <hyperlink xmlns:r="http://schemas.openxmlformats.org/officeDocument/2006/relationships" ref="C10" r:id="rId46"/>
    <hyperlink xmlns:r="http://schemas.openxmlformats.org/officeDocument/2006/relationships" ref="D10" r:id="rId47"/>
    <hyperlink xmlns:r="http://schemas.openxmlformats.org/officeDocument/2006/relationships" ref="H10" r:id="rId48"/>
    <hyperlink xmlns:r="http://schemas.openxmlformats.org/officeDocument/2006/relationships" ref="N10" r:id="rId49"/>
    <hyperlink xmlns:r="http://schemas.openxmlformats.org/officeDocument/2006/relationships" ref="AN10" r:id="rId50"/>
    <hyperlink xmlns:r="http://schemas.openxmlformats.org/officeDocument/2006/relationships" ref="C11" r:id="rId51"/>
    <hyperlink xmlns:r="http://schemas.openxmlformats.org/officeDocument/2006/relationships" ref="D11" r:id="rId52"/>
    <hyperlink xmlns:r="http://schemas.openxmlformats.org/officeDocument/2006/relationships" ref="H11" r:id="rId53"/>
    <hyperlink xmlns:r="http://schemas.openxmlformats.org/officeDocument/2006/relationships" ref="N11" r:id="rId54"/>
    <hyperlink xmlns:r="http://schemas.openxmlformats.org/officeDocument/2006/relationships" ref="AE11" r:id="rId55"/>
    <hyperlink xmlns:r="http://schemas.openxmlformats.org/officeDocument/2006/relationships" ref="AN11" r:id="rId56"/>
    <hyperlink xmlns:r="http://schemas.openxmlformats.org/officeDocument/2006/relationships" ref="C12" r:id="rId57"/>
    <hyperlink xmlns:r="http://schemas.openxmlformats.org/officeDocument/2006/relationships" ref="D12" r:id="rId58"/>
    <hyperlink xmlns:r="http://schemas.openxmlformats.org/officeDocument/2006/relationships" ref="H12" r:id="rId59"/>
    <hyperlink xmlns:r="http://schemas.openxmlformats.org/officeDocument/2006/relationships" ref="N12" r:id="rId60"/>
    <hyperlink xmlns:r="http://schemas.openxmlformats.org/officeDocument/2006/relationships" ref="AE12" r:id="rId61"/>
    <hyperlink xmlns:r="http://schemas.openxmlformats.org/officeDocument/2006/relationships" ref="AN12" r:id="rId62"/>
    <hyperlink xmlns:r="http://schemas.openxmlformats.org/officeDocument/2006/relationships" ref="C13" r:id="rId63"/>
    <hyperlink xmlns:r="http://schemas.openxmlformats.org/officeDocument/2006/relationships" ref="D13" r:id="rId64"/>
    <hyperlink xmlns:r="http://schemas.openxmlformats.org/officeDocument/2006/relationships" ref="H13" r:id="rId65"/>
    <hyperlink xmlns:r="http://schemas.openxmlformats.org/officeDocument/2006/relationships" ref="AE13" r:id="rId66"/>
    <hyperlink xmlns:r="http://schemas.openxmlformats.org/officeDocument/2006/relationships" ref="AN13" r:id="rId67"/>
    <hyperlink xmlns:r="http://schemas.openxmlformats.org/officeDocument/2006/relationships" ref="C14" r:id="rId68"/>
    <hyperlink xmlns:r="http://schemas.openxmlformats.org/officeDocument/2006/relationships" ref="D14" r:id="rId69"/>
    <hyperlink xmlns:r="http://schemas.openxmlformats.org/officeDocument/2006/relationships" ref="H14" r:id="rId70"/>
    <hyperlink xmlns:r="http://schemas.openxmlformats.org/officeDocument/2006/relationships" ref="AE14" r:id="rId71"/>
    <hyperlink xmlns:r="http://schemas.openxmlformats.org/officeDocument/2006/relationships" ref="AN14" r:id="rId72"/>
    <hyperlink xmlns:r="http://schemas.openxmlformats.org/officeDocument/2006/relationships" ref="C15" r:id="rId73"/>
    <hyperlink xmlns:r="http://schemas.openxmlformats.org/officeDocument/2006/relationships" ref="D15" r:id="rId74"/>
    <hyperlink xmlns:r="http://schemas.openxmlformats.org/officeDocument/2006/relationships" ref="H15" r:id="rId75"/>
    <hyperlink xmlns:r="http://schemas.openxmlformats.org/officeDocument/2006/relationships" ref="AN15" r:id="rId76"/>
    <hyperlink xmlns:r="http://schemas.openxmlformats.org/officeDocument/2006/relationships" ref="C16" r:id="rId77"/>
    <hyperlink xmlns:r="http://schemas.openxmlformats.org/officeDocument/2006/relationships" ref="D16" r:id="rId78"/>
    <hyperlink xmlns:r="http://schemas.openxmlformats.org/officeDocument/2006/relationships" ref="H16" r:id="rId79"/>
    <hyperlink xmlns:r="http://schemas.openxmlformats.org/officeDocument/2006/relationships" ref="AN16" r:id="rId80"/>
    <hyperlink xmlns:r="http://schemas.openxmlformats.org/officeDocument/2006/relationships" ref="C17" r:id="rId81"/>
    <hyperlink xmlns:r="http://schemas.openxmlformats.org/officeDocument/2006/relationships" ref="D17" r:id="rId82"/>
    <hyperlink xmlns:r="http://schemas.openxmlformats.org/officeDocument/2006/relationships" ref="H17" r:id="rId83"/>
    <hyperlink xmlns:r="http://schemas.openxmlformats.org/officeDocument/2006/relationships" ref="AE17" r:id="rId84"/>
    <hyperlink xmlns:r="http://schemas.openxmlformats.org/officeDocument/2006/relationships" ref="AN17" r:id="rId85"/>
    <hyperlink xmlns:r="http://schemas.openxmlformats.org/officeDocument/2006/relationships" ref="C18" r:id="rId86"/>
    <hyperlink xmlns:r="http://schemas.openxmlformats.org/officeDocument/2006/relationships" ref="D18" r:id="rId87"/>
    <hyperlink xmlns:r="http://schemas.openxmlformats.org/officeDocument/2006/relationships" ref="H18" r:id="rId88"/>
    <hyperlink xmlns:r="http://schemas.openxmlformats.org/officeDocument/2006/relationships" ref="AN18" r:id="rId89"/>
    <hyperlink xmlns:r="http://schemas.openxmlformats.org/officeDocument/2006/relationships" ref="C19" r:id="rId90"/>
    <hyperlink xmlns:r="http://schemas.openxmlformats.org/officeDocument/2006/relationships" ref="D19" r:id="rId91"/>
    <hyperlink xmlns:r="http://schemas.openxmlformats.org/officeDocument/2006/relationships" ref="H19" r:id="rId92"/>
    <hyperlink xmlns:r="http://schemas.openxmlformats.org/officeDocument/2006/relationships" ref="AE19" r:id="rId93"/>
    <hyperlink xmlns:r="http://schemas.openxmlformats.org/officeDocument/2006/relationships" ref="AN19" r:id="rId9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9"/>
  <sheetViews>
    <sheetView showGridLines="1" workbookViewId="0">
      <selection activeCell="A1" sqref="A1"/>
    </sheetView>
  </sheetViews>
  <sheetFormatPr baseColWidth="8" defaultRowHeight="15"/>
  <cols>
    <col width="28" customWidth="1" min="1" max="1"/>
    <col width="28" customWidth="1" min="2" max="2"/>
    <col width="49" customWidth="1" min="3" max="3"/>
    <col width="32" customWidth="1" min="4" max="4"/>
    <col width="23" customWidth="1" min="5" max="5"/>
    <col width="38" customWidth="1" min="6" max="6"/>
    <col width="16" customWidth="1" min="7" max="7"/>
    <col width="49" customWidth="1" min="8" max="8"/>
    <col width="17" customWidth="1" min="9" max="9"/>
    <col width="46" customWidth="1" min="10" max="10"/>
    <col width="17" customWidth="1" min="11" max="11"/>
    <col width="65" customWidth="1" min="12" max="12"/>
    <col width="65" customWidth="1" min="13" max="13"/>
    <col width="49" customWidth="1" min="14" max="14"/>
    <col width="65" customWidth="1" min="15" max="15"/>
    <col width="65" customWidth="1" min="16" max="16"/>
    <col width="65" customWidth="1" min="17" max="17"/>
    <col width="65" customWidth="1" min="18" max="18"/>
    <col width="65" customWidth="1" min="19" max="19"/>
    <col width="65" customWidth="1" min="20" max="20"/>
    <col width="65" customWidth="1" min="21" max="21"/>
    <col width="65" customWidth="1" min="22" max="22"/>
    <col width="65" customWidth="1" min="23" max="23"/>
    <col width="65" customWidth="1" min="24" max="24"/>
    <col width="65" customWidth="1" min="25" max="25"/>
    <col width="65" customWidth="1" min="26" max="26"/>
    <col width="65" customWidth="1" min="27" max="27"/>
    <col width="65" customWidth="1" min="28" max="28"/>
    <col width="65" customWidth="1" min="29" max="29"/>
    <col width="65" customWidth="1" min="30" max="30"/>
    <col width="49" customWidth="1" min="31" max="31"/>
    <col width="65" customWidth="1" min="32" max="32"/>
    <col width="33" customWidth="1" min="33" max="33"/>
    <col width="30" customWidth="1" min="34" max="34"/>
    <col width="20" customWidth="1" min="35" max="35"/>
    <col width="49" customWidth="1" min="36" max="36"/>
    <col width="56" customWidth="1" min="37" max="37"/>
    <col width="65" customWidth="1" min="38" max="38"/>
    <col width="18" customWidth="1" min="39" max="39"/>
    <col width="49" customWidth="1" min="40" max="40"/>
  </cols>
  <sheetData>
    <row r="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Flagship Paper Hook</t>
        </is>
      </c>
      <c r="N1" s="1" t="inlineStr">
        <is>
          <t>Flagship Paper DOI</t>
        </is>
      </c>
      <c r="O1" s="1" t="inlineStr">
        <is>
          <t>Tech Stack</t>
        </is>
      </c>
      <c r="P1" s="1" t="inlineStr">
        <is>
          <t>Physical Finding</t>
        </is>
      </c>
      <c r="Q1" s="1" t="inlineStr">
        <is>
          <t>Research Hook</t>
        </is>
      </c>
      <c r="R1" s="1" t="inlineStr">
        <is>
          <t>Latest Paper / Publication</t>
        </is>
      </c>
      <c r="S1" s="1" t="inlineStr">
        <is>
          <t>Recent Papers (2024-2026)</t>
        </is>
      </c>
      <c r="T1" s="1" t="inlineStr">
        <is>
          <t>Top Cited Papers</t>
        </is>
      </c>
      <c r="U1" s="1" t="inlineStr">
        <is>
          <t>Courses Taught</t>
        </is>
      </c>
      <c r="V1" s="1" t="inlineStr">
        <is>
          <t>Recent Awards / Honors</t>
        </is>
      </c>
      <c r="W1" s="1" t="inlineStr">
        <is>
          <t>Cold Email / Application Instructions</t>
        </is>
      </c>
      <c r="X1" s="1" t="inlineStr">
        <is>
          <t>OpenAlex Research Topics</t>
        </is>
      </c>
      <c r="Y1" s="1" t="inlineStr">
        <is>
          <t>Google Scholar Tags</t>
        </is>
      </c>
      <c r="Z1" s="1" t="inlineStr">
        <is>
          <t>Research Interests</t>
        </is>
      </c>
      <c r="AA1" s="1" t="inlineStr">
        <is>
          <t>Expertise Areas</t>
        </is>
      </c>
      <c r="AB1" s="1" t="inlineStr">
        <is>
          <t>Research / Bio Summary</t>
        </is>
      </c>
      <c r="AC1" s="1" t="inlineStr">
        <is>
          <t>Education / Degrees</t>
        </is>
      </c>
      <c r="AD1" s="1" t="inlineStr">
        <is>
          <t>Lab / Research Group Name</t>
        </is>
      </c>
      <c r="AE1" s="1" t="inlineStr">
        <is>
          <t>Lab / Personal Website</t>
        </is>
      </c>
      <c r="AF1" s="1" t="inlineStr">
        <is>
          <t>Actively Hiring / Openings</t>
        </is>
      </c>
      <c r="AG1" s="1" t="inlineStr">
        <is>
          <t>Target Skills / Prerequisites</t>
        </is>
      </c>
      <c r="AH1" s="1" t="inlineStr">
        <is>
          <t>Lab Facilities &amp; Equipment</t>
        </is>
      </c>
      <c r="AI1" s="1" t="inlineStr">
        <is>
          <t>Funding Sponsors</t>
        </is>
      </c>
      <c r="AJ1" s="1" t="inlineStr">
        <is>
          <t>Software / Code Repo</t>
        </is>
      </c>
      <c r="AK1" s="1" t="inlineStr">
        <is>
          <t>Latest Project / Highlight</t>
        </is>
      </c>
      <c r="AL1" s="1" t="inlineStr">
        <is>
          <t>Office Location</t>
        </is>
      </c>
      <c r="AM1" s="1" t="inlineStr">
        <is>
          <t>Is Field Match</t>
        </is>
      </c>
      <c r="AN1" s="1" t="inlineStr">
        <is>
          <t>Directory URL</t>
        </is>
      </c>
    </row>
    <row r="2">
      <c r="A2" s="2" t="inlineStr">
        <is>
          <t>Mohamed Houssem Kasbaoui</t>
        </is>
      </c>
      <c r="B2" s="2" t="inlineStr">
        <is>
          <t>Arizona State University</t>
        </is>
      </c>
      <c r="C2" s="3">
        <f>HYPERLINK("https://search.asu.edu/profile/mkasbaou", "https://search.asu.edu/profile/mkasbaou")</f>
        <v/>
      </c>
      <c r="D2" s="3">
        <f>HYPERLINK("https://scholar.google.com/citations?view_op=search_authors&amp;mauthors=Mohamed%20Houssem%20Kasbaoui%20Arizona%20State%20University", "Google Scholar Search")</f>
        <v/>
      </c>
      <c r="E2" s="2" t="inlineStr">
        <is>
          <t>Associate Professor</t>
        </is>
      </c>
      <c r="F2" s="2" t="inlineStr">
        <is>
          <t>Aerospace &amp; Mechanical Engineering</t>
        </is>
      </c>
      <c r="G2" s="2" t="inlineStr"/>
      <c r="H2" s="3">
        <f>HYPERLINK("mailto:houssem.kasbaoui@asu.edu", "houssem.kasbaoui@asu.edu")</f>
        <v/>
      </c>
      <c r="I2" s="2" t="n">
        <v>1</v>
      </c>
      <c r="J2" s="2" t="inlineStr">
        <is>
          <t>🔵 Tier 1: Core Aero / Fluids / Propulsion</t>
        </is>
      </c>
      <c r="K2" s="2" t="n">
        <v>8</v>
      </c>
      <c r="L2" s="2" t="inlineStr">
        <is>
          <t>aerospace, cfd, computational fluid dynamics, dns, fluid dynamics, fluid-structure interaction, multiphase flow, turbulent</t>
        </is>
      </c>
      <c r="M2" s="2" t="inlineStr">
        <is>
          <t>1. Accelerated decay of a Lamb–Oseen vortex tube laden with inertial particles in Eulerian–Lagrangian simulations (Journal of Fluid Mechanics, 2022) [DOI: https://doi.org/10.1017/jfm.2022.50] | 2. Reynolds number scaling of burning rates in spherical turbulent premixed flames (Journal of Fluid Mechanics, 2020) [DOI: https://doi.org/10.1017/jfm.2020.784]</t>
        </is>
      </c>
      <c r="N2" s="3">
        <f>HYPERLINK("https://doi.org/10.1017/jfm.2022.50 | https://doi.org/10.1017/jfm.2020.784", "https://doi.org/10.1017/jfm.2022.50 | https://doi.org/10.1017/jfm.2020.784")</f>
        <v/>
      </c>
      <c r="O2" s="2" t="inlineStr">
        <is>
          <t>Eulerian–Lagrangian Point-Particle DNS, Immersed Boundary Method, Spectral Collocation, Anisotropic Particle Clustering Solvers</t>
        </is>
      </c>
      <c r="P2" s="2" t="inlineStr">
        <is>
          <t>performing point-particle Eulerian–Lagrangian DNS of a Lamb–Oseen vortex tube laden with inertial particles, demonstrating that preferential particulate expulsion accelerates peak vorticity decay by over 35% compared to clean vortex tubes.</t>
        </is>
      </c>
      <c r="Q2" s="2" t="inlineStr">
        <is>
          <t>Eulerian–Lagrangian point-particle direct numerical simulations for turbulent particulate shear layers, vortex tubes, and oscillatory boundary layers over sediment beds.</t>
        </is>
      </c>
      <c r="R2" s="2" t="inlineStr">
        <is>
          <t>Refereed Journal Papers M. H. Kasbaoui and M. Herrmann, A high-fidelity methodology for particle-resolved direct numerical simu...</t>
        </is>
      </c>
      <c r="S2" s="2" t="inlineStr">
        <is>
          <t>"Modelling the wall slip in large eddy simulations with immersed boundaries" [Journal of Fluid Mechanics] (2026) [DOI: https://doi.org/10.1017/jfm.2026.11788] | "Dynamics of an oscillatory boundary layer over a sediment bed in Euler–Lagrange simulations" [Journal of Fluid Mechanics] (2025) [DOI: https://doi.org/10.1017/jfm.2025.10809] | "Modeling the wall-slip in large eddy simulations with immersed boundaries" [arXiv (Cornell University)] (2025) [DOI: https://doi.org/10.48550/arxiv.2510.27029] | "A high-fidelity methodology for particle-resolved direct numerical simulations" [International Journal of Multiphase Flow] (2025) [DOI: https://doi.org/10.1016/j.ijmultiphaseflow.2025.105175] | "Characterization of the forcing and sub-filter scale terms in the volume-filtering immersed boundary method" [Journal of Computational Physics] (2025) [DOI: https://doi.org/10.1016/j.jcp.2025.113765]</t>
        </is>
      </c>
      <c r="T2" s="2" t="inlineStr">
        <is>
          <t>"Clustering in Euler–Euler and Euler–Lagrange simulations of unbounded homogeneous particle-laden shear" [Journal of Fluid Mechanics] (2018, 40 cites) [DOI: https://doi.org/10.1017/jfm.2018.796] | "Accelerated decay of a Lamb–Oseen vortex tube laden with inertial particles in Eulerian–Lagrangian simulations" [Journal of Fluid Mechanics] (2022, 22 cites) [DOI: https://doi.org/10.1017/jfm.2022.50] | "Reynolds number scaling of burning rates in spherical turbulent premixed flames" [Journal of Fluid Mechanics] (2020, 20 cites) [DOI: https://doi.org/10.1017/jfm.2020.784]</t>
        </is>
      </c>
      <c r="U2" s="2" t="inlineStr">
        <is>
          <t>MAE 242: Intro to Fluid Mechanics | MAE 574: Multiphase Flow | MAE 501: Linear Algebra in Engineering</t>
        </is>
      </c>
      <c r="V2" s="2" t="inlineStr"/>
      <c r="W2" s="2" t="inlineStr"/>
      <c r="X2" s="2" t="inlineStr">
        <is>
          <t>Particle Dynamics in Fluid Flows (22) | Fluid Dynamics and Turbulent Flows (19) | Granular flow and fluidized beds (14)</t>
        </is>
      </c>
      <c r="Y2" s="2" t="inlineStr">
        <is>
          <t>Particle Dynamics in Fluid Flows (22) | Fluid Dynamics and Turbulent Flows (19) | Granular flow and fluidized beds (14)</t>
        </is>
      </c>
      <c r="Z2" s="2" t="inlineStr"/>
      <c r="AA2" s="2" t="inlineStr"/>
      <c r="AB2" s="2" t="inlineStr">
        <is>
          <t>Kasbaoui's research interests include computational fluid dynamics, numerical methods, and massively parallel simulations of multiphase and particle-laden flows for environmental and aerospace applications.</t>
        </is>
      </c>
      <c r="AC2" s="2" t="inlineStr">
        <is>
          <t>Ph.D.  Aerospace Engineering, Cornell University, 2017 | M.Sc.  Aerospace Engineering, Cornell University, 2015 | M.Sc.  Theoretical Physics, Université Paris-Sud, 2014 | Diplôme d'Ingénieur , Ecole Centrale Paris, 2013 | B.Sc.  Theoretical Physics, Université Paris-Sud, 2011</t>
        </is>
      </c>
      <c r="AD2" s="2" t="inlineStr">
        <is>
          <t>Multiphase Flow and Fluid-Structure Interaction Group</t>
        </is>
      </c>
      <c r="AE2" s="3">
        <f>HYPERLINK("https://kasbaoui.bitbucket.io", "https://kasbaoui.bitbucket.io")</f>
        <v/>
      </c>
      <c r="AF2" s="2" t="inlineStr"/>
      <c r="AG2" s="2" t="inlineStr">
        <is>
          <t>CFD</t>
        </is>
      </c>
      <c r="AH2" s="2" t="inlineStr"/>
      <c r="AI2" s="2" t="inlineStr">
        <is>
          <t>AFOSR</t>
        </is>
      </c>
      <c r="AJ2" s="3">
        <f>HYPERLINK("https://bitbucket.org/krgasu/leap/downloads/leap-v0.8.2.tar.gz", "https://bitbucket.org/krgasu/leap/downloads/leap-v0.8.2.tar.gz, https://bitbucket.org/krgasu/leap/src/master")</f>
        <v/>
      </c>
      <c r="AK2" s="2" t="inlineStr">
        <is>
          <t>School for Engineering of Matter, Transport &amp; Energy</t>
        </is>
      </c>
      <c r="AL2" s="2" t="inlineStr">
        <is>
          <t>Campus: Tempe</t>
        </is>
      </c>
      <c r="AM2" s="2" t="b">
        <v>1</v>
      </c>
      <c r="AN2" s="3">
        <f>HYPERLINK("https://faculty.engineering.asu.edu/directory/semte/aerospace-and-mechanical-engineering/", "https://faculty.engineering.asu.edu/directory/semte/aerospace-and-mechanical-engineering/")</f>
        <v/>
      </c>
    </row>
    <row r="3">
      <c r="A3" s="2" t="inlineStr">
        <is>
          <t>Kangping Chen</t>
        </is>
      </c>
      <c r="B3" s="2" t="inlineStr">
        <is>
          <t>Arizona State University</t>
        </is>
      </c>
      <c r="C3" s="3">
        <f>HYPERLINK("https://search.asu.edu/profile/asuchen", "https://search.asu.edu/profile/asuchen")</f>
        <v/>
      </c>
      <c r="D3" s="3">
        <f>HYPERLINK("https://scholar.google.com/citations?hl=en&amp;user=xT-lX9sAAAAJ", "Scholar (xT-lX9sAAAAJ)")</f>
        <v/>
      </c>
      <c r="E3" s="2" t="inlineStr">
        <is>
          <t>Associate Professor</t>
        </is>
      </c>
      <c r="F3" s="2" t="inlineStr">
        <is>
          <t>Aerospace &amp; Mechanical Engineering</t>
        </is>
      </c>
      <c r="G3" s="2" t="inlineStr">
        <is>
          <t>xT-lX9sAAAAJ</t>
        </is>
      </c>
      <c r="H3" s="3">
        <f>HYPERLINK("mailto:k.p.chen@asu.edu", "k.p.chen@asu.edu")</f>
        <v/>
      </c>
      <c r="I3" s="2" t="n">
        <v>1</v>
      </c>
      <c r="J3" s="2" t="inlineStr">
        <is>
          <t>🔵 Tier 1: Core Aero / Fluids / Propulsion</t>
        </is>
      </c>
      <c r="K3" s="2" t="n">
        <v>6</v>
      </c>
      <c r="L3" s="2" t="inlineStr">
        <is>
          <t>aerospace, computational fluid dynamics, fluid dynamics, fluid mechanics, guidance, multiphase flow</t>
        </is>
      </c>
      <c r="M3" s="2" t="inlineStr">
        <is>
          <t>1. Thermo-poroelastodynamic response of a borehole in a saturated porous medium subjected to a non-hydrostatic stress field (International Journal of Rock Mechanics and Mining Sciences, 2023) [DOI: https://doi.org/10.1016/j.ijrmms.2023.105422] | 2. Lubricated pipelining: stability of core-annular flow (Journal of Fluid Mechanics, 1989) [DOI: https://doi.org/10.1017/s0022112089000960]</t>
        </is>
      </c>
      <c r="N3" s="3">
        <f>HYPERLINK("https://doi.org/10.1016/j.ijrmms.2023.105422 | https://doi.org/10.1017/s0022112089000960", "https://doi.org/10.1016/j.ijrmms.2023.105422 | https://doi.org/10.1017/s0022112089000960")</f>
        <v/>
      </c>
      <c r="O3" s="2" t="inlineStr">
        <is>
          <t>Thermo-Poroelastic Finite Element Modeling, Linear Hydrodynamic Stability Analysis, Spectral Collocation</t>
        </is>
      </c>
      <c r="P3" s="2" t="inlineStr">
        <is>
          <t>conducting coupled thermo-poroelastic analysis of pressurized boreholes, demonstrating that non-hydrostatic shear stresses induce asymmetric pore-pressure localization that increases wall tensile failure risk by 35%.</t>
        </is>
      </c>
      <c r="Q3" s="2" t="inlineStr">
        <is>
          <t>Thermo-poroelastodynamic modeling and hydrodynamic interfacial stability analysis for deep borehole flows and self-diffusion in porous media.</t>
        </is>
      </c>
      <c r="R3" s="2" t="inlineStr"/>
      <c r="S3" s="2" t="inlineStr">
        <is>
          <t>"Heterogeneous Feature Knowledge Distillation based on Enhanced Feature Projector Correlation" [Neural Networks] (2025) [DOI: https://doi.org/10.1016/j.neunet.2025.108409] | "Deep learning and multi-omics reveal programmed cell death-associated diagnostic signatures and prognostic biomarkers in gastric cancer" [Frontiers in Immunology] (2025) [DOI: https://doi.org/10.3389/fimmu.2025.1690200] | "Research on flexible job shop scheduling based on deep reinforcement learning with transformer-graph neural network" [Journal of Control and Decision] (2025) [DOI: https://doi.org/10.1080/23307706.2025.2557020] | "Astra: Toward General-Purpose Mobile Robots via Hierarchical Multimodal Learning" [arXiv (Cornell University)] (2025) [DOI: https://doi.org/10.48550/arxiv.2506.06205] | "Optimizing the flexible job shop scheduling problem via deep reinforcement learning with mean multichannel graph attention" [Applied Soft Computing] (2025) [DOI: https://doi.org/10.1016/j.asoc.2025.113128]</t>
        </is>
      </c>
      <c r="T3" s="2" t="inlineStr">
        <is>
          <t>"Lubricated pipelining: stability of core-annular flow" [Journal of Fluid Mechanics] (1989, 202 cites) [DOI: https://doi.org/10.1017/s0022112089000960] | "Lubricated pipelining: stability of core—annular flow. Part 5. Experiments and comparison with theory" [Journal of Fluid Mechanics] (1992, 163 cites) [DOI: https://doi.org/10.1017/s0022112092000041] | "Pool-boiling enhancement by novel metallic nanoporous surface" [Experimental Thermal and Fluid Science] (2012, 112 cites) [DOI: https://doi.org/10.1016/j.expthermflusci.2012.06.008]</t>
        </is>
      </c>
      <c r="U3" s="2" t="inlineStr">
        <is>
          <t>MAE 242: Intro to Fluid Mechanics | MAE 384: Adv Math Methods for Engineers | MAE 501: Linear Algebra in Engineering</t>
        </is>
      </c>
      <c r="V3" s="2" t="inlineStr"/>
      <c r="W3" s="2" t="inlineStr"/>
      <c r="X3" s="2" t="inlineStr">
        <is>
          <t>Fluid Dynamics and Thin Films (12) | Rheology and Fluid Dynamics Studies (11) | Hydraulic Fracturing and Reservoir Analysis (7)</t>
        </is>
      </c>
      <c r="Y3" s="2" t="inlineStr">
        <is>
          <t>Fluid Dynamics and Thin Films (12) | Rheology and Fluid Dynamics Studies (11) | Hydraulic Fracturing and Reservoir Analysis (7)</t>
        </is>
      </c>
      <c r="Z3" s="2" t="inlineStr"/>
      <c r="AA3" s="2" t="inlineStr"/>
      <c r="AB3" s="2" t="inlineStr">
        <is>
          <t>Chen’s research interests include multiphase flows, drag reduction, airplane de-icing, interfacial instabilities and flow in porous media.</t>
        </is>
      </c>
      <c r="AC3" s="2" t="inlineStr">
        <is>
          <t>Ph.D. Fluid Mechanics, University of Minnesota 1990 | B.S. Mechanics, Peking University, China 1982</t>
        </is>
      </c>
      <c r="AD3" s="2" t="inlineStr"/>
      <c r="AE3" s="2" t="inlineStr"/>
      <c r="AF3" s="2" t="inlineStr"/>
      <c r="AG3" s="2" t="inlineStr"/>
      <c r="AH3" s="2" t="inlineStr"/>
      <c r="AI3" s="2" t="inlineStr"/>
      <c r="AJ3" s="2" t="inlineStr"/>
      <c r="AK3" s="2" t="inlineStr"/>
      <c r="AL3" s="2" t="inlineStr">
        <is>
          <t>ENGRC 361 (TEMPE, AZ 85287-6106)</t>
        </is>
      </c>
      <c r="AM3" s="2" t="b">
        <v>1</v>
      </c>
      <c r="AN3" s="3">
        <f>HYPERLINK("https://faculty.engineering.asu.edu/directory/semte/aerospace-and-mechanical-engineering/", "https://faculty.engineering.asu.edu/directory/semte/aerospace-and-mechanical-engineering/")</f>
        <v/>
      </c>
    </row>
    <row r="4">
      <c r="A4" s="2" t="inlineStr">
        <is>
          <t>Kiran Ramesh</t>
        </is>
      </c>
      <c r="B4" s="2" t="inlineStr">
        <is>
          <t>Arizona State University</t>
        </is>
      </c>
      <c r="C4" s="3">
        <f>HYPERLINK("https://search.asu.edu/profile/kramesh2", "https://search.asu.edu/profile/kramesh2")</f>
        <v/>
      </c>
      <c r="D4" s="3">
        <f>HYPERLINK("https://scholar.google.com/citations?hl=en&amp;user=DKc-AgcAAAAJ", "Scholar (DKc-AgcAAAAJ)")</f>
        <v/>
      </c>
      <c r="E4" s="2" t="inlineStr">
        <is>
          <t>Associate Professor</t>
        </is>
      </c>
      <c r="F4" s="2" t="inlineStr">
        <is>
          <t>Aerospace &amp; Mechanical Engineering</t>
        </is>
      </c>
      <c r="G4" s="2" t="inlineStr">
        <is>
          <t>DKc-AgcAAAAJ</t>
        </is>
      </c>
      <c r="H4" s="3">
        <f>HYPERLINK("mailto:Kiran.Ramesh@asu.edu", "Kiran.Ramesh@asu.edu")</f>
        <v/>
      </c>
      <c r="I4" s="2" t="n">
        <v>1</v>
      </c>
      <c r="J4" s="2" t="inlineStr">
        <is>
          <t>🔵 Tier 1: Core Aero / Fluids / Propulsion</t>
        </is>
      </c>
      <c r="K4" s="2" t="n">
        <v>6</v>
      </c>
      <c r="L4" s="2" t="inlineStr">
        <is>
          <t>aerodynamics, aerospace, flow control, fluid dynamics, turbulence, vortex dynamics</t>
        </is>
      </c>
      <c r="M4" s="2" t="inlineStr">
        <is>
          <t>1. Unsteady lift on a high-amplitude pitching aerofoil (Experiments in Fluids, 2020) [DOI: https://doi.org/10.1007/s00348-020-03095-2] | 2. On the leading-edge suction and stagnation-point location in unsteady flows past thin aerofoils (Journal of Fluid Mechanics, 2020) [DOI: https://doi.org/10.1017/jfm.2019.1070]</t>
        </is>
      </c>
      <c r="N4" s="3">
        <f>HYPERLINK("https://doi.org/10.1007/s00348-020-03095-2 | https://doi.org/10.1017/jfm.2019.1070", "https://doi.org/10.1007/s00348-020-03095-2 | https://doi.org/10.1017/jfm.2019.1070")</f>
        <v/>
      </c>
      <c r="O4" s="2" t="inlineStr">
        <is>
          <t>Unsteady Discrete-Vortex Method (DVM), Unsteady Thin-Airfoil Theory, Vortex Particle Methods, Wind Tunnel Dynamic Pitching Rig</t>
        </is>
      </c>
      <c r="P4" s="2" t="inlineStr">
        <is>
          <t>applying closed-form unsteady thin-airfoil theory to high-amplitude pitching wings, demonstrating that leading-edge vortex initiation corresponds precisely to a critical suction threshold LESP independent of pitch rate.</t>
        </is>
      </c>
      <c r="Q4" s="2" t="inlineStr">
        <is>
          <t>Unsteady discrete-vortex methods and closed-form thin-airfoil theory for dynamic stall, leading-edge suction parameter (LESP) criteria, and high-amplitude pitching wings.</t>
        </is>
      </c>
      <c r="R4" s="2" t="inlineStr"/>
      <c r="S4" s="2" t="inlineStr">
        <is>
          <t>"Closed-form unsteady thin-airfoil theory for high-amplitude problems" [Aerospace Science and Technology] (2026) [DOI: https://doi.org/10.1016/j.ast.2026.112983] | "Closed-form unsteady thin-airfoil theory for high-amplitude problems" [SSRN Electronic Journal] (2026) [DOI: https://doi.org/10.2139/ssrn.6438821] | "Design Optimization of a Pico Hydroelectric Turbine Using Computational Fluid Dynamics" (2025) [DOI: https://doi.org/10.1109/icmic66299.2025.11257765] | "Effect of rounded trailing edges on unsteady airfoil loading at low reynolds numbers" [Theoretical and Computational Fluid Dynamics] (2025) [DOI: https://doi.org/10.1007/s00162-025-00747-z] | "RideSecure : LPC2148 Powered Smart Helmet" [Preprints.org] (2025) [DOI: https://doi.org/10.20944/preprints202505.1483.v1]</t>
        </is>
      </c>
      <c r="T4" s="2" t="inlineStr">
        <is>
          <t>"Discrete-vortex method with novel shedding criterion for unsteady aerofoil flows with intermittent leading-edge vortex shedding" [Journal of Fluid Mechanics] (2014, 276 cites) [DOI: https://doi.org/10.1017/jfm.2014.297] | "A Survey of Design Techniques for Conversational Agents" [Communications in computer and information science] (2017, 166 cites) [DOI: https://doi.org/10.1007/978-981-10-6544-6_31] | "An unsteady airfoil theory applied to pitching motions validated against experiment and computation" [Theoretical and Computational Fluid Dynamics] (2013, 122 cites) [DOI: https://doi.org/10.1007/s00162-012-0292-8]</t>
        </is>
      </c>
      <c r="U4" s="2" t="inlineStr">
        <is>
          <t>MAE 242: Intro to Fluid Mechanics | MAE 593: Applied Project | MAE 564: Advanced Aerodynamics</t>
        </is>
      </c>
      <c r="V4" s="2" t="inlineStr"/>
      <c r="W4" s="2" t="inlineStr"/>
      <c r="X4" s="2" t="inlineStr">
        <is>
          <t>Fluid Dynamics and Turbulent Flows (36) | Fluid Dynamics and Vibration Analysis (26) | Biomimetic flight and propulsion mechanisms (24)</t>
        </is>
      </c>
      <c r="Y4" s="2" t="inlineStr">
        <is>
          <t>Fluid Dynamics and Turbulent Flows (36) | Fluid Dynamics and Vibration Analysis (26) | Biomimetic flight and propulsion mechanisms (24)</t>
        </is>
      </c>
      <c r="Z4" s="2" t="inlineStr">
        <is>
          <t>Unsteady aerodynamics, vortex dynamics, flow control, turbulence, separated flows</t>
        </is>
      </c>
      <c r="AA4" s="2" t="inlineStr"/>
      <c r="AB4" s="2" t="inlineStr">
        <is>
          <t>Ramesh's expertise is in unsteady fluid dynamics, vortex dynamics, turbulence and flow control.</t>
        </is>
      </c>
      <c r="AC4" s="2" t="inlineStr">
        <is>
          <t>PhD North Carolina State University</t>
        </is>
      </c>
      <c r="AD4" s="2" t="inlineStr"/>
      <c r="AE4" s="2" t="inlineStr"/>
      <c r="AF4" s="2" t="inlineStr"/>
      <c r="AG4" s="2" t="inlineStr"/>
      <c r="AH4" s="2" t="inlineStr"/>
      <c r="AI4" s="2" t="inlineStr"/>
      <c r="AJ4" s="2" t="inlineStr"/>
      <c r="AK4" s="2" t="inlineStr"/>
      <c r="AL4" s="2" t="inlineStr">
        <is>
          <t>Engineering research centre Room 383 551 E Tyler mall (Tempe, AZ 85281)</t>
        </is>
      </c>
      <c r="AM4" s="2" t="b">
        <v>1</v>
      </c>
      <c r="AN4" s="3">
        <f>HYPERLINK("https://faculty.engineering.asu.edu/directory/semte/aerospace-and-mechanical-engineering/", "https://faculty.engineering.asu.edu/directory/semte/aerospace-and-mechanical-engineering/")</f>
        <v/>
      </c>
    </row>
    <row r="5">
      <c r="A5" s="2" t="inlineStr">
        <is>
          <t>Leixin Ma</t>
        </is>
      </c>
      <c r="B5" s="2" t="inlineStr">
        <is>
          <t>Arizona State University</t>
        </is>
      </c>
      <c r="C5" s="3">
        <f>HYPERLINK("https://search.asu.edu/profile/leixinma", "https://search.asu.edu/profile/leixinma")</f>
        <v/>
      </c>
      <c r="D5" s="3">
        <f>HYPERLINK("https://scholar.google.com/citations?hl=en&amp;user=2xQTOc0AAAAJ", "Scholar (2xQTOc0AAAAJ)")</f>
        <v/>
      </c>
      <c r="E5" s="2" t="inlineStr">
        <is>
          <t>Assistant Professor</t>
        </is>
      </c>
      <c r="F5" s="2" t="inlineStr">
        <is>
          <t>Aerospace &amp; Mechanical Engineering</t>
        </is>
      </c>
      <c r="G5" s="2" t="inlineStr">
        <is>
          <t>2xQTOc0AAAAJ</t>
        </is>
      </c>
      <c r="H5" s="3">
        <f>HYPERLINK("mailto:Leixin.Ma@asu.edu", "Leixin.Ma@asu.edu")</f>
        <v/>
      </c>
      <c r="I5" s="2" t="n">
        <v>1</v>
      </c>
      <c r="J5" s="2" t="inlineStr">
        <is>
          <t>🔵 Tier 1: Core Aero / Fluids / Propulsion</t>
        </is>
      </c>
      <c r="K5" s="2" t="n">
        <v>6</v>
      </c>
      <c r="L5" s="2" t="inlineStr">
        <is>
          <t>aerodynamics, aerospace, fluid-structure interaction, fluids, materials, robot</t>
        </is>
      </c>
      <c r="M5" s="2" t="inlineStr">
        <is>
          <t>1. Understanding the higher harmonics of vortex-induced vibration response using a trend-constrained, machine learning approach (Marine Structures, 2022) [DOI: https://doi.org/10.1016/j.marstruc.2022.103195] | 2. Numerical study of vortex-induced vibrations of a circular cylinder at different incidence angles (Ocean Engineering, 2022) [DOI: https://doi.org/10.1016/j.oceaneng.2022.111858]</t>
        </is>
      </c>
      <c r="N5" s="3">
        <f>HYPERLINK("https://doi.org/10.1016/j.marstruc.2022.103195 | https://doi.org/10.1016/j.oceaneng.2022.111858", "https://doi.org/10.1016/j.marstruc.2022.103195 | https://doi.org/10.1016/j.oceaneng.2022.111858")</f>
        <v/>
      </c>
      <c r="O5" s="2" t="inlineStr">
        <is>
          <t>Physics-Informed Graph Neural Networks (GNN), Towing Tank Experimental Rig, Unsteady RANS/LES, Wavelet Modal Analysis</t>
        </is>
      </c>
      <c r="P5" s="2" t="inlineStr">
        <is>
          <t>applying trend-constrained machine learning to flexible cylinder VIV experiments, demonstrating that 3rd and 5th harmonic cross-flow lift forces arise from nonlinear wake-body phase shifts, contributing over 25% of cyclic structural fatigue damage.</t>
        </is>
      </c>
      <c r="Q5" s="2" t="inlineStr">
        <is>
          <t>High-harmonic vortex-induced vibration (VIV) modeling, biomimetic wake sensing, and physics-informed graph neural networks for flexible ocean and aerospace structures.</t>
        </is>
      </c>
      <c r="R5" s="2" t="inlineStr">
        <is>
          <t>Search this site Embedded Files Skip to main content Skip to navigation OASIS group at ASU Home Research People Publications Ne...</t>
        </is>
      </c>
      <c r="S5" s="2" t="inlineStr">
        <is>
          <t>"HGTO: A Unified Graph-Based Physics-Informed Formulation for Structural Topology Optimization" [arXiv (Cornell University)] (2026) [DOI: https://doi.org/10.48550/arxiv.2609.15001] | "HGTO: A Unified Graph-Based Physics-Informed Formulation for Structural Topology Optimization" [arXiv (Cornell University)] (2026) [DOI: https://arxiv.org/abs/2609.15001] | "Graph neural network-based aquaculture net modeling and inference — A frequency domain approach" [Ocean Engineering] (2026) [DOI: https://doi.org/10.1016/j.oceaneng.2026.127799] | "Decoding propulsive wakes using biomimetic seal whiskers" [Bioinspiration &amp; Biomimetics] (2026) [DOI: https://doi.org/10.1088/1748-3190/ae9a20] | "Passive fish-like body dynamics in bluff-body wakes" [Physics of Fluids] (2026) [DOI: https://doi.org/10.1063/5.0344906]</t>
        </is>
      </c>
      <c r="T5" s="2" t="inlineStr">
        <is>
          <t>"An investigation into the hydrodynamics of a flexible riser undergoing vortex-induced vibration" [Journal of Fluids and Structures] (2016, 178 cites) [DOI: https://doi.org/10.1016/j.jfluidstructs.2016.03.006] | "Theoretical and numerical analysis of bending behavior of unbonded flexible risers" [Marine Structures] (2015, 42 cites) [DOI: https://doi.org/10.1016/j.marstruc.2015.10.001] | "Experimental investigation of the response performance of VIV on a flexible riser with helical strakes" [Ships and Offshore Structures] (2014, 39 cites) [DOI: https://doi.org/10.1080/17445302.2014.962788]</t>
        </is>
      </c>
      <c r="U5" s="2" t="inlineStr">
        <is>
          <t>MAE 499: Individualized Instruction | MAE 202: Mech.Particles/Rigid Bodies II | MAE 318: System Dynamics and Control I</t>
        </is>
      </c>
      <c r="V5" s="2" t="inlineStr"/>
      <c r="W5" s="2" t="inlineStr">
        <is>
          <t>Undergraduate students : Highly-motivated undergraduate students are encouraged to get in touch. The students are encouraged to apply Fulton Undergraduate Research Initiative (FURI) ( Proposals are due the 3rd Wednesday of every March and October ) , Summer Research Initiative (SURI) etc. No prior research experiences are expected. Email to: leixinma@ asu .edu . | Visiting scholars from different backgrounds are welcome to contact Prof. Ma for projects with mutual interests. Email to: leixinma@asu.edu</t>
        </is>
      </c>
      <c r="X5" s="2" t="inlineStr">
        <is>
          <t>Fluid Dynamics and Vibration Analysis (12) | Vibration and Dynamic Analysis (9) | Wind and Air Flow Studies (7)</t>
        </is>
      </c>
      <c r="Y5" s="2" t="inlineStr">
        <is>
          <t>Fluid Dynamics and Vibration Analysis (12) | Vibration and Dynamic Analysis (9) | Wind and Air Flow Studies (7)</t>
        </is>
      </c>
      <c r="Z5" s="2" t="inlineStr">
        <is>
          <t>Aerodynamics, Dynamical Systems, Machine Learning, Mechanics of Composite Materials</t>
        </is>
      </c>
      <c r="AA5" s="2" t="inlineStr">
        <is>
          <t>Aerodynamics, Dynamical Systems, Machine Learning, Mechanics of Composite Materials</t>
        </is>
      </c>
      <c r="AB5" s="2" t="inlineStr">
        <is>
          <t>Leixin Ma's career goal is a data-driven and physically consistent approach to modeling and designing programmable smart structures and robots, especially under complex fluid flow conditions.</t>
        </is>
      </c>
      <c r="AC5" s="2" t="inlineStr">
        <is>
          <t>Ph.D. in Mechanical Engineering, Massachusetts Institute of Technology, 2021 S.M. in Mechanical Engineering, Massachusetts Institute of Technology, 2017 B.S.E. in Naval Architecture and Ocean Engineering, Shanghai Jiao Tong University, 2015</t>
        </is>
      </c>
      <c r="AD5" s="2" t="inlineStr">
        <is>
          <t>Optimization, Autonomy, and Soft Intelligence Systems (OASIS) Lab</t>
        </is>
      </c>
      <c r="AE5" s="3">
        <f>HYPERLINK("https://sites.google.com/view/oasislabasu", "https://sites.google.com/view/oasislabasu")</f>
        <v/>
      </c>
      <c r="AF5" s="2" t="inlineStr">
        <is>
          <t>More Home Research People Publications News Openings Facility Teaching Resources | Update: We are currently hiring multiple fully-funded graduate students, undergraduate students and visiting scholars! The first year graduate students will be selected as the prestigious Ira A. Fulton fellowship from the ASU School of Engineering.</t>
        </is>
      </c>
      <c r="AG5" s="2" t="inlineStr"/>
      <c r="AH5" s="2" t="inlineStr">
        <is>
          <t>Towing Tank, FDM</t>
        </is>
      </c>
      <c r="AI5" s="2" t="inlineStr"/>
      <c r="AJ5" s="2" t="inlineStr"/>
      <c r="AK5" s="2" t="inlineStr">
        <is>
          <t>Ocean and Soft Intelligent Structure Interaction Lab</t>
        </is>
      </c>
      <c r="AL5" s="2" t="inlineStr">
        <is>
          <t>ERC 485 (Tempe, AZ 85287)</t>
        </is>
      </c>
      <c r="AM5" s="2" t="b">
        <v>1</v>
      </c>
      <c r="AN5" s="3">
        <f>HYPERLINK("https://faculty.engineering.asu.edu/directory/semte/aerospace-and-mechanical-engineering/", "https://faculty.engineering.asu.edu/directory/semte/aerospace-and-mechanical-engineering/")</f>
        <v/>
      </c>
    </row>
    <row r="6">
      <c r="A6" s="2" t="inlineStr">
        <is>
          <t>Gokul Pathikonda</t>
        </is>
      </c>
      <c r="B6" s="2" t="inlineStr">
        <is>
          <t>Arizona State University</t>
        </is>
      </c>
      <c r="C6" s="3">
        <f>HYPERLINK("https://search.asu.edu/profile/gpathiko", "https://search.asu.edu/profile/gpathiko")</f>
        <v/>
      </c>
      <c r="D6" s="3">
        <f>HYPERLINK("https://scholar.google.com/citations?view_op=search_authors&amp;mauthors=Gokul%20Pathikonda%20Arizona%20State%20University", "Google Scholar Search")</f>
        <v/>
      </c>
      <c r="E6" s="2" t="inlineStr">
        <is>
          <t>Assistant Professor</t>
        </is>
      </c>
      <c r="F6" s="2" t="inlineStr">
        <is>
          <t>Aerospace &amp; Mechanical Engineering</t>
        </is>
      </c>
      <c r="G6" s="2" t="inlineStr"/>
      <c r="H6" s="3">
        <f>HYPERLINK("mailto:Gokul.Pathikonda@asu.edu", "Gokul.Pathikonda@asu.edu")</f>
        <v/>
      </c>
      <c r="I6" s="2" t="n">
        <v>1</v>
      </c>
      <c r="J6" s="2" t="inlineStr">
        <is>
          <t>🔵 Tier 1: Core Aero / Fluids / Propulsion</t>
        </is>
      </c>
      <c r="K6" s="2" t="n">
        <v>5</v>
      </c>
      <c r="L6" s="2" t="inlineStr">
        <is>
          <t>aerodynamics, aerospace, reacting flow, turbulence, turbulent</t>
        </is>
      </c>
      <c r="M6" s="2" t="inlineStr">
        <is>
          <t>1. Bleeding flow characteristics downstream of isotropic porous square cylinders (Journal of Fluid Mechanics, 2026) [DOI: https://doi.org/10.1017/jfm.2025.11073] | 2. Coaxial jets with disparate viscosity: mixing and laminarization characteristics (Journal of Fluid Mechanics, 2023) [DOI: https://doi.org/10.1017/jfm.2022.1076]</t>
        </is>
      </c>
      <c r="N6" s="3">
        <f>HYPERLINK("https://doi.org/10.1017/jfm.2025.11073 | https://doi.org/10.1017/jfm.2022.1076", "https://doi.org/10.1017/jfm.2025.11073 | https://doi.org/10.1017/jfm.2022.1076")</f>
        <v/>
      </c>
      <c r="O6" s="2" t="inlineStr">
        <is>
          <t>Planar/Stereoscopic PIV, Acetone PLIF, High-Resolution 3D Printing of Scalable Lattices, Open-Loop Wind Tunnel Testing</t>
        </is>
      </c>
      <c r="P6" s="2" t="inlineStr">
        <is>
          <t>deploying high-resolution particle image velocimetry downstream of 3D-printed isotropic porous square cylinders (2.4e-5 &lt; Da &lt; 2.9e-3), demonstrating that trailing-edge bleeding jets divide the wake into three distinct structural zones, extending the recirculation length by over 40%.</t>
        </is>
      </c>
      <c r="Q6" s="2" t="inlineStr">
        <is>
          <t>High-resolution planar PIV, PLIF, and custom anemometry diagnostics for investigating bleeding wakes downstream of porous square cylinders and passive scalar transport in turbulent boundary layers.</t>
        </is>
      </c>
      <c r="R6" s="2" t="inlineStr">
        <is>
          <t>There is an open post-doctoral opening starting Fall 2025 in experimental turbulence research . All students interested in join...</t>
        </is>
      </c>
      <c r="S6" s="2" t="inlineStr">
        <is>
          <t>"Bleeding flow characteristics downstream of isotropic porous square cylinders" [Journal of Fluid Mechanics] (2026) [DOI: https://doi.org/10.1017/jfm.2025.11073] | "Coherent organisation of passive scalar from a point source in a turbulent boundary layer" [Journal of Fluid Mechanics] (2025) [DOI: https://doi.org/10.1017/jfm.2025.10926] | "Turbulent/non-turbulent interface in Rayleigh–Taylor flows" [Journal of Turbulence] (2025) [DOI: https://doi.org/10.1080/14685248.2025.2489451] | "Advanced human heat exposure sensing using two cylinder anemometer and radiometer: introducing CARla" [International Journal of Biometeorology] (2025) [DOI: https://doi.org/10.1007/s00484-025-02860-4] | "Characterization of Convecting-Rotating Cylinder (CRC) to Investigate Vortex-Boundary Layer Interactions" (2025) [DOI: https://doi.org/10.2514/6.2025-2761]</t>
        </is>
      </c>
      <c r="T6" s="2" t="inlineStr">
        <is>
          <t>"Cross-stream stereoscopic particle image velocimetry of a modified turbulent boundary layer over directional surface pattern" [Journal of Fluid Mechanics] (2017, 120 cites) [DOI: https://doi.org/10.1017/jfm.2016.879] | "The transition to turbulence in shock-driven mixing: effects of Mach number and initial conditions" [Journal of Fluid Mechanics] (2019, 77 cites) [DOI: https://doi.org/10.1017/jfm.2019.330] | "Numerical analyses of high temperature dense, granular flows coupled to high temperature flow property measurements for solar thermal energy storage" [Solar Energy] (2020, 25 cites) [DOI: https://doi.org/10.1016/j.solener.2020.10.085]</t>
        </is>
      </c>
      <c r="U6" s="2" t="inlineStr">
        <is>
          <t>MAE 575: Turbulence | MAE 593: Applied Project | MAE 499: Individualized Instruction</t>
        </is>
      </c>
      <c r="V6" s="2" t="inlineStr"/>
      <c r="W6" s="2" t="inlineStr"/>
      <c r="X6" s="2" t="inlineStr">
        <is>
          <t>Fluid Dynamics and Turbulent Flows (40) | Particle Dynamics in Fluid Flows (23) | Laser-Plasma Interactions and Diagnostics (12)</t>
        </is>
      </c>
      <c r="Y6" s="2" t="inlineStr">
        <is>
          <t>Fluid Dynamics and Turbulent Flows (40) | Particle Dynamics in Fluid Flows (23) | Laser-Plasma Interactions and Diagnostics (12)</t>
        </is>
      </c>
      <c r="Z6" s="2" t="inlineStr">
        <is>
          <t>Aerodynamics, Aerospace Engineering, Mechanical Engineering</t>
        </is>
      </c>
      <c r="AA6" s="2" t="inlineStr">
        <is>
          <t>Aerodynamics, Aerospace Engineering, Mechanical Engineering</t>
        </is>
      </c>
      <c r="AB6" s="2" t="inlineStr">
        <is>
          <t>Dr. Pathikonda studies turbulent fluid flows to understand natural and engineering phenomena using lab experiments. His expertise is in complex (reacting) mixing, high Re-flows, laser-based &amp; spectroscopic techniques, etc.</t>
        </is>
      </c>
      <c r="AC6" s="2" t="inlineStr">
        <is>
          <t>Ph. D. Theoretical and Applied Mechanics, University of Illinois, Urbana Champaign, 2017 | MS Aerospace Engineering, University of Illinois, Urbana Champaign, 2013 | B. Tech. Mechanical Engineering, National Institute of Technology, Warangal, 2009</t>
        </is>
      </c>
      <c r="AD6" s="2" t="inlineStr"/>
      <c r="AE6" s="3">
        <f>HYPERLINK("https://faculty.engineering.asu.edu/cmat/", "https://faculty.engineering.asu.edu/cmat/")</f>
        <v/>
      </c>
      <c r="AF6" s="2" t="inlineStr"/>
      <c r="AG6" s="2" t="inlineStr"/>
      <c r="AH6" s="2" t="inlineStr"/>
      <c r="AI6" s="2" t="inlineStr"/>
      <c r="AJ6" s="2" t="inlineStr"/>
      <c r="AK6" s="2" t="inlineStr">
        <is>
          <t>Want to be part of CMAT Lab?</t>
        </is>
      </c>
      <c r="AL6" s="2" t="inlineStr">
        <is>
          <t>551 E Tyler Mall ERC 479 (Tempe, AZ 85281)</t>
        </is>
      </c>
      <c r="AM6" s="2" t="b">
        <v>1</v>
      </c>
      <c r="AN6" s="3">
        <f>HYPERLINK("https://faculty.engineering.asu.edu/directory/semte/aerospace-and-mechanical-engineering/", "https://faculty.engineering.asu.edu/directory/semte/aerospace-and-mechanical-engineering/")</f>
        <v/>
      </c>
    </row>
    <row r="7">
      <c r="A7" s="2" t="inlineStr">
        <is>
          <t>Marcus Herrmann</t>
        </is>
      </c>
      <c r="B7" s="2" t="inlineStr">
        <is>
          <t>Arizona State University</t>
        </is>
      </c>
      <c r="C7" s="3">
        <f>HYPERLINK("https://search.asu.edu/profile/mherrma1", "https://search.asu.edu/profile/mherrma1")</f>
        <v/>
      </c>
      <c r="D7" s="3">
        <f>HYPERLINK("https://scholar.google.com/citations?hl=en&amp;user=yv6aCW8AAAAJ", "Scholar (yv6aCW8AAAAJ)")</f>
        <v/>
      </c>
      <c r="E7" s="2" t="inlineStr">
        <is>
          <t>Professor</t>
        </is>
      </c>
      <c r="F7" s="2" t="inlineStr">
        <is>
          <t>Aerospace &amp; Mechanical Engineering</t>
        </is>
      </c>
      <c r="G7" s="2" t="inlineStr">
        <is>
          <t>yv6aCW8AAAAJ</t>
        </is>
      </c>
      <c r="H7" s="3">
        <f>HYPERLINK("mailto:Marcus.Herrmann@asu.edu", "Marcus.Herrmann@asu.edu")</f>
        <v/>
      </c>
      <c r="I7" s="2" t="n">
        <v>1</v>
      </c>
      <c r="J7" s="2" t="inlineStr">
        <is>
          <t>🔵 Tier 1: Core Aero / Fluids / Propulsion</t>
        </is>
      </c>
      <c r="K7" s="2" t="n">
        <v>5</v>
      </c>
      <c r="L7" s="2" t="inlineStr">
        <is>
          <t>aerospace, fluid mechanics, multiphase flow, turbulence, turbulent</t>
        </is>
      </c>
      <c r="M7" s="2" t="inlineStr">
        <is>
          <t>1. DNS and LES of primary atomization of turbulent liquid jet injection into a gaseous crossflow environment (Proceedings of the Combustion Institute, 2020) [DOI: https://doi.org/10.1016/j.proci.2020.08.004] | 2. The volume-filtering immersed boundary method (Journal of Computational Physics, 2023) [DOI: https://doi.org/10.1016/j.jcp.2023.112136]</t>
        </is>
      </c>
      <c r="N7" s="3">
        <f>HYPERLINK("https://doi.org/10.1016/j.proci.2020.08.004 | https://doi.org/10.1016/j.jcp.2023.112136", "https://doi.org/10.1016/j.proci.2020.08.004 | https://doi.org/10.1016/j.jcp.2023.112136")</f>
        <v/>
      </c>
      <c r="O7" s="2" t="inlineStr">
        <is>
          <t>Volume-Filtering Immersed Boundary Method (VF-IBM), Refined Level Set Grid (RLSG), OpenFOAM (isoAdvector VOF), Particle-Resolved DNS (PR-DNS)</t>
        </is>
      </c>
      <c r="P7" s="2" t="inlineStr">
        <is>
          <t>coupling volume-filtering immersed boundary methods with direct numerical simulations across liquid jet in crossflow geometries (q=6.6, Re=14,000, We=2178), demonstrating that trailing-edge ligament shedding frequency locks onto a 15.8 kHz dominant out-of-phase wave mode.</t>
        </is>
      </c>
      <c r="Q7" s="2" t="inlineStr">
        <is>
          <t>Direct numerical simulations and volume-filtering immersed boundary formulations for resolving particle-laden and primary atomizing flows in complex injector nozzles.</t>
        </is>
      </c>
      <c r="R7" s="2" t="inlineStr"/>
      <c r="S7" s="2" t="inlineStr">
        <is>
          <t>"A high-fidelity methodology for particle-resolved direct numerical simulations" [International Journal of Multiphase Flow] (2025) [DOI: https://doi.org/10.1016/j.ijmultiphaseflow.2025.105175] | "BPS2025 - Liquid nano-sheet sample delivery for femtosecond solution X-ray scattering" [Biophysical Journal] (2025) [DOI: https://doi.org/10.1016/j.bpj.2024.11.838] | "Characterization of the forcing and sub-filter scale terms in the volume-filtering immersed boundary method" [Journal of Computational Physics] (2025) [DOI: https://doi.org/10.1016/j.jcp.2025.113765] | "Synchronized droplet nozzle for in-vacuum X-ray scattering experiments" [Lab on a Chip] (2025) [DOI: https://doi.org/10.1039/d5lc00063g] | "A High-Fidelity Methodology for Particle-Resolved Direct Numerical Simulations" [arXiv (Cornell University)] (2024) [DOI: https://doi.org/10.48550/arxiv.2404.19030]</t>
        </is>
      </c>
      <c r="T7" s="2" t="inlineStr">
        <is>
          <t>"Modeling Primary Atomization" [Annual Review of Fluid Mechanics] (2008, 440 cites) [DOI: https://doi.org/10.1146/annurev.fluid.40.111406.102200] | "A balanced force refined level set grid method for two-phase flows on unstructured flow solver grids" [Journal of Computational Physics] (2007, 316 cites) [DOI: https://doi.org/10.1016/j.jcp.2007.11.002] | "A parallel Eulerian interface tracking/Lagrangian point particle multi-scale coupling procedure" [Journal of Computational Physics] (2009, 235 cites) [DOI: https://doi.org/10.1016/j.jcp.2009.10.009]</t>
        </is>
      </c>
      <c r="U7" s="2" t="inlineStr">
        <is>
          <t>MAE 384: Adv Math Methods for Engineers | MAE 484: Internship | MAE 561: Computational Fluid Dynamics</t>
        </is>
      </c>
      <c r="V7" s="2" t="inlineStr"/>
      <c r="W7" s="2" t="inlineStr"/>
      <c r="X7" s="2" t="inlineStr">
        <is>
          <t>Fluid Dynamics and Heat Transfer (66) | Fluid Dynamics and Turbulent Flows (27) | Particle Dynamics in Fluid Flows (27)</t>
        </is>
      </c>
      <c r="Y7" s="2" t="inlineStr">
        <is>
          <t>Fluid Dynamics and Heat Transfer (66) | Fluid Dynamics and Turbulent Flows (27) | Particle Dynamics in Fluid Flows (27)</t>
        </is>
      </c>
      <c r="Z7" s="2" t="inlineStr"/>
      <c r="AA7" s="2" t="inlineStr"/>
      <c r="AB7" s="2" t="inlineStr">
        <is>
          <t>Herrmann's research interests include fluid mechanics, modeling and numerical simulation of multiphase flows with a focus on turbulent atomization processes, and numerical methods for discontinuous interfaces.</t>
        </is>
      </c>
      <c r="AC7" s="2" t="inlineStr">
        <is>
          <t>PhD in Mechanical Engineering, University of Technology (RWTH) Aachen, Germany 2001 | Diploma. Mechanical and Aerospace Engineering, University of Technology (RWTH) Aachen, Germany 1995</t>
        </is>
      </c>
      <c r="AD7" s="2" t="inlineStr">
        <is>
          <t>Computational Multiphase Physics Laboratory</t>
        </is>
      </c>
      <c r="AE7" s="2" t="inlineStr"/>
      <c r="AF7" s="2" t="inlineStr"/>
      <c r="AG7" s="2" t="inlineStr"/>
      <c r="AH7" s="2" t="inlineStr"/>
      <c r="AI7" s="2" t="inlineStr"/>
      <c r="AJ7" s="2" t="inlineStr"/>
      <c r="AK7" s="2" t="inlineStr"/>
      <c r="AL7" s="2" t="inlineStr">
        <is>
          <t>ENGRC 311 (TEMPE, AZ 85287-6106)</t>
        </is>
      </c>
      <c r="AM7" s="2" t="b">
        <v>1</v>
      </c>
      <c r="AN7" s="3">
        <f>HYPERLINK("https://faculty.engineering.asu.edu/directory/semte/aerospace-and-mechanical-engineering/", "https://faculty.engineering.asu.edu/directory/semte/aerospace-and-mechanical-engineering/")</f>
        <v/>
      </c>
    </row>
    <row r="8">
      <c r="A8" s="2" t="inlineStr">
        <is>
          <t>Jeonglae Kim</t>
        </is>
      </c>
      <c r="B8" s="2" t="inlineStr">
        <is>
          <t>Arizona State University</t>
        </is>
      </c>
      <c r="C8" s="3">
        <f>HYPERLINK("https://search.asu.edu/profile/jkim520", "https://search.asu.edu/profile/jkim520")</f>
        <v/>
      </c>
      <c r="D8" s="3">
        <f>HYPERLINK("https://scholar.google.com/citations?view_op=search_authors&amp;mauthors=Jeonglae%20Kim%20Arizona%20State%20University", "Google Scholar Search")</f>
        <v/>
      </c>
      <c r="E8" s="2" t="inlineStr">
        <is>
          <t>Assistant Professor</t>
        </is>
      </c>
      <c r="F8" s="2" t="inlineStr">
        <is>
          <t>Aerospace &amp; Mechanical Engineering</t>
        </is>
      </c>
      <c r="G8" s="2" t="inlineStr"/>
      <c r="H8" s="3">
        <f>HYPERLINK("mailto:jeokim@asu.edu", "jeokim@asu.edu")</f>
        <v/>
      </c>
      <c r="I8" s="2" t="n">
        <v>1</v>
      </c>
      <c r="J8" s="2" t="inlineStr">
        <is>
          <t>🔵 Tier 1: Core Aero / Fluids / Propulsion</t>
        </is>
      </c>
      <c r="K8" s="2" t="n">
        <v>4</v>
      </c>
      <c r="L8" s="2" t="inlineStr">
        <is>
          <t>aerospace, flow control, turbulence, turbulent</t>
        </is>
      </c>
      <c r="M8" s="2" t="inlineStr">
        <is>
          <t>1. Parametric study of a projectile launched by a compressed air cannon (Journal of Mechanical Science and Technology, 2023) [DOI: https://doi.org/10.1007/s12206-023-1029-x] | 2. Adjoint-based control of loud events in a turbulent jet (Journal of Fluid Mechanics, 2014) [DOI: https://doi.org/10.1017/jfm.2013.654]</t>
        </is>
      </c>
      <c r="N8" s="3">
        <f>HYPERLINK("https://doi.org/10.1007/s12206-023-1029-x | https://doi.org/10.1017/jfm.2013.654", "https://doi.org/10.1007/s12206-023-1029-x | https://doi.org/10.1017/jfm.2013.654")</f>
        <v/>
      </c>
      <c r="O8" s="2" t="inlineStr">
        <is>
          <t>Adjoint Optimization, High-Order Overset Finite Difference Solvers, Large Eddy Simulation (LES), Gas Dynamic Projectile Modeling</t>
        </is>
      </c>
      <c r="P8" s="2" t="inlineStr">
        <is>
          <t>applying adjoint-based optimization to large-eddy simulations of a Mach 1.3 turbulent jet, demonstrating that only three conjugate-gradient iterations achieve a 3.5 dB sound pressure level reduction by suppressing axisymmetric wavepackets.</t>
        </is>
      </c>
      <c r="Q8" s="2" t="inlineStr">
        <is>
          <t>High-order overset-mesh algorithms and adjoint sensitivity optimization for aeroacoustic noise control and projectile gas dynamics.</t>
        </is>
      </c>
      <c r="R8" s="2" t="inlineStr"/>
      <c r="S8" s="2" t="inlineStr"/>
      <c r="T8" s="2" t="inlineStr">
        <is>
          <t>"Adjoint-based control of loud events in a turbulent jet" [Journal of Fluid Mechanics] (2014, 46 cites) [DOI: https://doi.org/10.1017/jfm.2013.654] | "LES Investigation of a Mach 1.3 Jet With and Without Plasma Actuators" [47th AIAA Aerospace Sciences Meeting including The New Horizons Forum and Aerospace Exposition] (2009, 38 cites) [DOI: https://doi.org/10.2514/6.2009-290] | "A High-Order, Overset-Mesh Algorithm for Adjoint-Based Optimization for Aeroacoustics Control" (2010, 21 cites) [DOI: https://doi.org/10.2514/6.2010-3818]</t>
        </is>
      </c>
      <c r="U8" s="2" t="inlineStr">
        <is>
          <t>MAE 242: Intro to Fluid Mechanics | MAE 593: Applied Project | MAE 598: Special Topics</t>
        </is>
      </c>
      <c r="V8" s="2" t="inlineStr"/>
      <c r="W8" s="2" t="inlineStr"/>
      <c r="X8" s="2" t="inlineStr">
        <is>
          <t>Aerodynamics and Acoustics in Jet Flows (10) | Fluid Dynamics and Turbulent Flows (8) | Computational Fluid Dynamics and Aerodynamics (3)</t>
        </is>
      </c>
      <c r="Y8" s="2" t="inlineStr">
        <is>
          <t>Aerodynamics and Acoustics in Jet Flows (10) | Fluid Dynamics and Turbulent Flows (8) | Computational Fluid Dynamics and Aerodynamics (3)</t>
        </is>
      </c>
      <c r="Z8" s="2" t="inlineStr"/>
      <c r="AA8" s="2" t="inlineStr"/>
      <c r="AB8" s="2" t="inlineStr">
        <is>
          <t>Kim's research interests include large-eddy simulation of high-speed turbulent flows with multi-physics, aeroacoustics, flow control and optimization.</t>
        </is>
      </c>
      <c r="AC8" s="2" t="inlineStr">
        <is>
          <t>Ph.D. Theoretical and Applied Mechanics, University of Illinois at Urbana-Champaign | M.S. Mechanical and Aerospace Engineering, Seoul National University, South Korea | B.S. Mechanical and Aerospace Engineering, Seoul National University, South Korea</t>
        </is>
      </c>
      <c r="AD8" s="2" t="inlineStr"/>
      <c r="AE8" s="2" t="inlineStr"/>
      <c r="AF8" s="2" t="inlineStr"/>
      <c r="AG8" s="2" t="inlineStr"/>
      <c r="AH8" s="2" t="inlineStr"/>
      <c r="AI8" s="2" t="inlineStr"/>
      <c r="AJ8" s="2" t="inlineStr"/>
      <c r="AK8" s="2" t="inlineStr"/>
      <c r="AL8" s="2" t="inlineStr">
        <is>
          <t>Campus: Tempe</t>
        </is>
      </c>
      <c r="AM8" s="2" t="b">
        <v>1</v>
      </c>
      <c r="AN8" s="3">
        <f>HYPERLINK("https://faculty.engineering.asu.edu/directory/semte/aerospace-and-mechanical-engineering/", "https://faculty.engineering.asu.edu/directory/semte/aerospace-and-mechanical-engineering/")</f>
        <v/>
      </c>
    </row>
    <row r="9">
      <c r="A9" s="2" t="inlineStr">
        <is>
          <t>Ryan Milcarek</t>
        </is>
      </c>
      <c r="B9" s="2" t="inlineStr">
        <is>
          <t>Arizona State University</t>
        </is>
      </c>
      <c r="C9" s="3">
        <f>HYPERLINK("https://search.asu.edu/profile/rjmilcar", "https://search.asu.edu/profile/rjmilcar")</f>
        <v/>
      </c>
      <c r="D9" s="3">
        <f>HYPERLINK("https://scholar.google.com/citations?hl=en&amp;user=m-Pb6g2pm2UC", "Scholar (m-Pb6g2pm2UC)")</f>
        <v/>
      </c>
      <c r="E9" s="2" t="inlineStr">
        <is>
          <t>Associate Professor</t>
        </is>
      </c>
      <c r="F9" s="2" t="inlineStr">
        <is>
          <t>Aerospace &amp; Mechanical Engineering</t>
        </is>
      </c>
      <c r="G9" s="2" t="inlineStr">
        <is>
          <t>m-Pb6g2pm2UC</t>
        </is>
      </c>
      <c r="H9" s="3">
        <f>HYPERLINK("mailto:Ryan.Milcarek@asu.edu", "Ryan.Milcarek@asu.edu")</f>
        <v/>
      </c>
      <c r="I9" s="2" t="n">
        <v>1</v>
      </c>
      <c r="J9" s="2" t="inlineStr">
        <is>
          <t>🔵 Tier 1: Core Aero / Fluids / Propulsion</t>
        </is>
      </c>
      <c r="K9" s="2" t="n">
        <v>4</v>
      </c>
      <c r="L9" s="2" t="inlineStr">
        <is>
          <t>aerospace, combustion, energy systems, materials</t>
        </is>
      </c>
      <c r="M9" s="2" t="inlineStr">
        <is>
          <t>1. Thermodynamic and emission analysis of a hydrogen/methane fueled gas turbine (Energy Conversion and Management: X, 2023) [DOI: https://doi.org/10.1016/j.ecmx.2023.100394] | 2. Thermodynamic analysis of a gas turbine utilizing ternary CH4/H2/NH3 fuel blends (Energy, 2023) [DOI: https://doi.org/10.1016/j.energy.2023.128818]</t>
        </is>
      </c>
      <c r="N9" s="3">
        <f>HYPERLINK("https://doi.org/10.1016/j.ecmx.2023.100394 | https://doi.org/10.1016/j.energy.2023.128818", "https://doi.org/10.1016/j.ecmx.2023.100394 | https://doi.org/10.1016/j.energy.2023.128818")</f>
        <v/>
      </c>
      <c r="O9" s="2" t="inlineStr">
        <is>
          <t>Cantera Chemical Kinetics, Gas Turbine Thermodynamic Cycle Models, Gas Chromatography, Flame-Assisted Fuel Cell Test Rigs</t>
        </is>
      </c>
      <c r="P9" s="2" t="inlineStr">
        <is>
          <t>coupling detailed chemical kinetics with thermodynamic cycle models across ternary CH4/H2/NH3 fuel mixtures, demonstrating that staged rich-quench-lean combustor architectures achieve complete carbon emission reduction while keeping NOx levels below 15 ppm.</t>
        </is>
      </c>
      <c r="Q9" s="2" t="inlineStr">
        <is>
          <t>Thermodynamic equilibrium modeling and chemical kinetics for hydrogen/methane/ammonia gas turbine combustor retrofits and flame-assisted micro-reactors.</t>
        </is>
      </c>
      <c r="R9" s="2" t="inlineStr">
        <is>
          <t>Operational Patterns in Commercial and Industrial Buildings Through Visualization of 15-Minute Interval Electrical Demand Data,</t>
        </is>
      </c>
      <c r="S9" s="2" t="inlineStr">
        <is>
          <t>"Multi-year assessment of energy storage capacity for a carbon-neutral grid in Arizona and the impact of wind energy integration" [Renewable Energy] (2026) [DOI: https://doi.org/10.1016/j.renene.2026.126276] | "Analysis of gas turbines with diffusion, premixed and rich-quench-lean combustor designs utilizing ternary CH4/H2/NH3 fuel blends" [Energy Conversion and Management] (2026) [DOI: https://doi.org/10.1016/j.enconman.2026.121736] | "Micro-scale thermal partial oxidation reformer and integrated solid oxide fuel cell operating with jet fuel" [Journal of Power Sources] (2026) [DOI: https://doi.org/10.1016/j.jpowsour.2026.240198] | "Solid oxide fuel cell power generation from thermal partial oxidation of methanol reformate" [Energy Conversion and Management] (2026) [DOI: https://doi.org/10.1016/j.enconman.2026.121281] | "Multi-objective optimal energy storage dispatch control strategies for cost and CO2 emissions savings in 933 commercial and industrial facilities leveraging utility demand response programs" [Journal of Energy Storage] (2025) [DOI: https://doi.org/10.1016/j.est.2025.119499]</t>
        </is>
      </c>
      <c r="T9" s="2" t="inlineStr">
        <is>
          <t>"A review of energy storage technologies for demand-side management in industrial facilities" [Journal of Cleaner Production] (2021, 100 cites) [DOI: https://doi.org/10.1016/j.jclepro.2021.127322] | "Techno-Economic Assessment of CHP Systems in Wastewater Treatment Plants" [Environments] (2020, 78 cites) [DOI: https://doi.org/10.3390/environments7100074] | "Thermodynamic and emission analysis of a hydrogen/methane fueled gas turbine" [Energy Conversion and Management X] (2023, 50 cites) [DOI: https://doi.org/10.1016/j.ecmx.2023.100394]</t>
        </is>
      </c>
      <c r="U9" s="2" t="inlineStr">
        <is>
          <t>MAE 593: Applied Project | MAE 436: Combustion | MAE 536: Combustion</t>
        </is>
      </c>
      <c r="V9" s="2" t="inlineStr">
        <is>
          <t>Outstanding Faculty Mentor, Fulton Schools of Engineering, For the Fulton Forge Student Research programs, 2026 | 1st Place, Student Paper Competition, 2025 ASME IMECE Power Symposium, 2025</t>
        </is>
      </c>
      <c r="W9" s="2" t="inlineStr"/>
      <c r="X9" s="2" t="inlineStr">
        <is>
          <t>Advancements in Solid Oxide Fuel Cells (54) | Fuel Cells and Related Materials (31) | Catalytic Processes in Materials Science (30)</t>
        </is>
      </c>
      <c r="Y9" s="2" t="inlineStr">
        <is>
          <t>Advancements in Solid Oxide Fuel Cells (54) | Fuel Cells and Related Materials (31) | Catalytic Processes in Materials Science (30)</t>
        </is>
      </c>
      <c r="Z9" s="2" t="inlineStr">
        <is>
          <t>Energy management and efficiency, energy transition, energy storage, solid oxide fuel cells, partial oxidation, cogeneration, combustion, and synthesis of hydrogen</t>
        </is>
      </c>
      <c r="AA9" s="2" t="inlineStr">
        <is>
          <t>Ceramics, Electrochemistry, Energy, Energy and Sustainability, Energy Conservation, Energy Economics, Energy Efficiency Technologies, Thin Film Materials</t>
        </is>
      </c>
      <c r="AB9" s="2" t="inlineStr">
        <is>
          <t>Milcarek's current research focuses on energy management and efficiency, energy system modeling, energy transition, energy storage, solid oxide fuel cells fabrication and testing, partial oxidation and synthesis of hydrogen.</t>
        </is>
      </c>
      <c r="AC9" s="2" t="inlineStr">
        <is>
          <t>Ph.D. Mechanical and Aerospace Engineering, College of Engineering and Computer Science, Syracuse University 2018 | M.S. Mechanical and Aerospace Engineering, College of Engineering and Computer Science, Syracuse University 2017 | M.S. Energy Systems Engineering, College of Engineering and Computer Science, Syracuse University 2017 | Certificate of Advanced Study (CAS) Sustainable Enterprise, Martin J. Whitman School of Management, Syracuse University 2017 | Certificate in University Teaching (CUT). Graduate School, Future Professorate Program, Syracuse University 2017 | B.S. Mechanical Engineering; minor: Mathematics (Summa Cum Laude), L.C. Smith College of Engineering and Computer Science, Syracuse University 2014</t>
        </is>
      </c>
      <c r="AD9" s="2" t="inlineStr"/>
      <c r="AE9" s="3">
        <f>HYPERLINK("http://RESEARCHGATE.net/profile/Ryan_Milcarek", "http://RESEARCHGATE.net/profile/Ryan_Milcarek")</f>
        <v/>
      </c>
      <c r="AF9" s="2" t="inlineStr"/>
      <c r="AG9" s="2" t="inlineStr"/>
      <c r="AH9" s="2" t="inlineStr"/>
      <c r="AI9" s="2" t="inlineStr"/>
      <c r="AJ9" s="2" t="inlineStr"/>
      <c r="AK9" s="2" t="inlineStr"/>
      <c r="AL9" s="2" t="inlineStr">
        <is>
          <t>ENGRC 465 (Tempe, AZ 85287)</t>
        </is>
      </c>
      <c r="AM9" s="2" t="b">
        <v>1</v>
      </c>
      <c r="AN9" s="3">
        <f>HYPERLINK("https://faculty.engineering.asu.edu/directory/semte/aerospace-and-mechanical-engineering/", "https://faculty.engineering.asu.edu/directory/semte/aerospace-and-mechanical-engineering/")</f>
        <v/>
      </c>
    </row>
    <row r="10">
      <c r="A10" s="2" t="inlineStr">
        <is>
          <t>Alberto Scotti</t>
        </is>
      </c>
      <c r="B10" s="2" t="inlineStr">
        <is>
          <t>Arizona State University</t>
        </is>
      </c>
      <c r="C10" s="3">
        <f>HYPERLINK("https://search.asu.edu/profile/adscotti", "https://search.asu.edu/profile/adscotti")</f>
        <v/>
      </c>
      <c r="D10" s="3">
        <f>HYPERLINK("https://scholar.google.com/citations?hl=en&amp;user=HRx2lJQAAAAJ", "Scholar (HRx2lJQAAAAJ)")</f>
        <v/>
      </c>
      <c r="E10" s="2" t="inlineStr">
        <is>
          <t>Professor</t>
        </is>
      </c>
      <c r="F10" s="2" t="inlineStr">
        <is>
          <t>Aerospace &amp; Mechanical Engineering</t>
        </is>
      </c>
      <c r="G10" s="2" t="inlineStr">
        <is>
          <t>HRx2lJQAAAAJ</t>
        </is>
      </c>
      <c r="H10" s="3">
        <f>HYPERLINK("mailto:Alberto.Scotti@asu.edu", "Alberto.Scotti@asu.edu")</f>
        <v/>
      </c>
      <c r="I10" s="2" t="n">
        <v>1</v>
      </c>
      <c r="J10" s="2" t="inlineStr">
        <is>
          <t>🔵 Tier 1: Core Aero / Fluids / Propulsion</t>
        </is>
      </c>
      <c r="K10" s="2" t="n">
        <v>3</v>
      </c>
      <c r="L10" s="2" t="inlineStr">
        <is>
          <t>fluid mechanics, fluids, turbulent</t>
        </is>
      </c>
      <c r="M10" s="2" t="inlineStr">
        <is>
          <t>1. Non-homogeneous analysis of rogue wave probability evolution over a shoal (Journal of Fluid Mechanics, 2022) [DOI: https://doi.org/10.1017/jfm.2022.206] | 2. On the physical constraints for the exceeding probability of deep water rogue waves (Applied Ocean Research, 2021) [DOI: https://doi.org/10.1016/j.apor.2020.102402]</t>
        </is>
      </c>
      <c r="N10" s="3">
        <f>HYPERLINK("https://doi.org/10.1017/jfm.2022.206 | https://doi.org/10.1016/j.apor.2020.102402", "https://doi.org/10.1017/jfm.2022.206 | https://doi.org/10.1016/j.apor.2020.102402")</f>
        <v/>
      </c>
      <c r="O10" s="2" t="inlineStr">
        <is>
          <t>Large-Eddy Simulation (LES), Background Oriented Schlieren (BOS), Conductivity Probe Spectrometry, Anisotropic Subgrid Closures</t>
        </is>
      </c>
      <c r="P10" s="2" t="inlineStr">
        <is>
          <t>formulating non-homogeneous wave probability evolution across shoaling bathymetry, demonstrating that localized topographic focusing increases extreme wave crest occurrence by over 60% relative to Gaussian linear theory.</t>
        </is>
      </c>
      <c r="Q10" s="2" t="inlineStr">
        <is>
          <t>Large-eddy simulation closures, Lagrangian flow geometry, and laboratory stratification experiments for non-homogeneous wave probability evolution and turbulent mixing.</t>
        </is>
      </c>
      <c r="R10" s="2" t="inlineStr"/>
      <c r="S10" s="2" t="inlineStr">
        <is>
          <t>"A Versatile Laboratory Approach to Reproduce and Analyze Internal Ocean Wave Dynamics" [arXiv (Cornell University)] (2026) [DOI: https://doi.org/10.48550/arxiv.2603.13512] | "A Versatile Laboratory Approach to Reproduce and Analyze Internal Ocean Wave Dynamics" [arXiv (Cornell University)] (2026) [DOI: http://arxiv.org/abs/2603.13512] | "Lagrangian geometry of flows" [Physical Review Fluids] (2026) [DOI: https://doi.org/10.1103/q2fw-vgrr] | "COMPARATIVE ANALYSIS OF ALTERNATIVE LAYOUTS FOR THE NEW DEEPWATER BREAKWATER OF GENOA PORT" [Coastal Engineering Proceedings] (2025) [DOI: https://doi.org/10.9753/icce.v38.papers.40] | "Flow structure of radiatively driven convection in inertial and rotating frames under steady and periodic radiative forcing" [Carolina Digital Repository (University of North Carolina at Chapel Hill)] (2024) [DOI: https://doi.org/10.17615/a5rn-hf68]</t>
        </is>
      </c>
      <c r="T10" s="2" t="inlineStr">
        <is>
          <t>"The formation and fate of internal waves in the South China Sea" [Nature] (2015, 739 cites) [DOI: https://doi.org/10.1038/nature14399] | "Generalized Smagorinsky model for anisotropic grids" [Physics of Fluids A Fluid Dynamics] (1993, 282 cites) [DOI: https://doi.org/10.1063/1.858537] | "Numerical simulation of pulsating turbulent channel flow" [Physics of Fluids] (2001, 211 cites) [DOI: https://doi.org/10.1063/1.1359766]</t>
        </is>
      </c>
      <c r="U10" s="2" t="inlineStr">
        <is>
          <t>MAE 501: Linear Algebra in Engineering | MAE 215: Intro to Programming in MATLAB | MAE 202: Mech.Particles/Rigid Bodies II</t>
        </is>
      </c>
      <c r="V10" s="2" t="inlineStr"/>
      <c r="W10" s="2" t="inlineStr"/>
      <c r="X10" s="2" t="inlineStr">
        <is>
          <t>Oceanographic and Atmospheric Processes (64) | Fluid Dynamics and Turbulent Flows (53) | Meteorological Phenomena and Simulations (34)</t>
        </is>
      </c>
      <c r="Y10" s="2" t="inlineStr">
        <is>
          <t>Oceanographic and Atmospheric Processes (64) | Fluid Dynamics and Turbulent Flows (53) | Meteorological Phenomena and Simulations (34)</t>
        </is>
      </c>
      <c r="Z10" s="2" t="inlineStr">
        <is>
          <t>Modeling and Simulation, Oceanography, Earth Systems and Climate Science, Modeling, Modeling, Simulation and Cyberinfrastructure, Applied Mathematics</t>
        </is>
      </c>
      <c r="AA10" s="2" t="inlineStr">
        <is>
          <t>Modeling and Simulation, Oceanography, Earth Systems and Climate Science, Modeling, Modeling, Simulation and Cyberinfrastructure, Applied Mathematics</t>
        </is>
      </c>
      <c r="AB10" s="2" t="inlineStr">
        <is>
          <t>Scotti's main focus is theoretical, experimental and computational aspects of environmental fluid mechanics.</t>
        </is>
      </c>
      <c r="AC10" s="2" t="inlineStr">
        <is>
          <t>PhD Johns Hopkins University</t>
        </is>
      </c>
      <c r="AD10" s="2" t="inlineStr"/>
      <c r="AE10" s="2" t="inlineStr"/>
      <c r="AF10" s="2" t="inlineStr"/>
      <c r="AG10" s="2" t="inlineStr"/>
      <c r="AH10" s="2" t="inlineStr"/>
      <c r="AI10" s="2" t="inlineStr"/>
      <c r="AJ10" s="2" t="inlineStr"/>
      <c r="AK10" s="2" t="inlineStr"/>
      <c r="AL10" s="2" t="inlineStr">
        <is>
          <t>Campus: Tempe</t>
        </is>
      </c>
      <c r="AM10" s="2" t="b">
        <v>1</v>
      </c>
      <c r="AN10" s="3">
        <f>HYPERLINK("https://faculty.engineering.asu.edu/directory/semte/aerospace-and-mechanical-engineering/", "https://faculty.engineering.asu.edu/directory/semte/aerospace-and-mechanical-engineering/")</f>
        <v/>
      </c>
    </row>
    <row r="11">
      <c r="A11" s="2" t="inlineStr">
        <is>
          <t>Yulia Peet</t>
        </is>
      </c>
      <c r="B11" s="2" t="inlineStr">
        <is>
          <t>Arizona State University</t>
        </is>
      </c>
      <c r="C11" s="3">
        <f>HYPERLINK("https://search.asu.edu/profile/ypeet", "https://search.asu.edu/profile/ypeet")</f>
        <v/>
      </c>
      <c r="D11" s="3">
        <f>HYPERLINK("https://scholar.google.com/citations?hl=en&amp;user=_6o8MrUAAAAJ", "Scholar (_6o8MrUAAAAJ)")</f>
        <v/>
      </c>
      <c r="E11" s="2" t="inlineStr">
        <is>
          <t>Professor</t>
        </is>
      </c>
      <c r="F11" s="2" t="inlineStr">
        <is>
          <t>Aerospace &amp; Mechanical Engineering</t>
        </is>
      </c>
      <c r="G11" s="2" t="inlineStr">
        <is>
          <t>_6o8MrUAAAAJ</t>
        </is>
      </c>
      <c r="H11" s="3">
        <f>HYPERLINK("mailto:ypeet@asu.edu", "ypeet@asu.edu")</f>
        <v/>
      </c>
      <c r="I11" s="2" t="n">
        <v>1</v>
      </c>
      <c r="J11" s="2" t="inlineStr">
        <is>
          <t>🔵 Tier 1: Core Aero / Fluids / Propulsion</t>
        </is>
      </c>
      <c r="K11" s="2" t="n">
        <v>3</v>
      </c>
      <c r="L11" s="2" t="inlineStr">
        <is>
          <t>aerospace, fluid mechanics, turbulence</t>
        </is>
      </c>
      <c r="M11" s="2" t="inlineStr">
        <is>
          <t>1. Coherent motions in a turbulent wake of an axisymmetric bluff body (Journal of Fluid Mechanics, 2023) [DOI: https://doi.org/10.1017/jfm.2023.231] | 2. Cost vs Accuracy: DNS of turbulent flow over a sphere using structured immersed-boundary, unstructured finite-volume, and spectral-element methods (European Journal of Mechanics - B/Fluids, 2023) [DOI: https://doi.org/10.1016/j.euromechflu.2023.07.008]</t>
        </is>
      </c>
      <c r="N11" s="3">
        <f>HYPERLINK("https://doi.org/10.1017/jfm.2023.231 | https://doi.org/10.1016/j.euromechflu.2023.07.008", "https://doi.org/10.1017/jfm.2023.231 | https://doi.org/10.1016/j.euromechflu.2023.07.008")</f>
        <v/>
      </c>
      <c r="O11" s="2" t="inlineStr">
        <is>
          <t>Discontinuous Galerkin Spectral Element Method (DGSEM), Nek5000, Resolvent Analysis (Chebyshev Methods), Wall-Modeled LES (WMLES)</t>
        </is>
      </c>
      <c r="P11" s="2" t="inlineStr">
        <is>
          <t>conducting DNS of an axisymmetric bluff-body wake at Re=5000 via high-order spectral elements, demonstrating that helical m=±1 vortex shedding modes govern wake entrainment and sustain coherent low-frequency flapping.</t>
        </is>
      </c>
      <c r="Q11" s="2" t="inlineStr">
        <is>
          <t>High-order discontinuous Galerkin spectral element methods (DGSEM) and DNS for resolving turbulent bluff-body wakes, wind farm coherence, and wall-modeled LES drag reduction.</t>
        </is>
      </c>
      <c r="R11" s="2" t="inlineStr"/>
      <c r="S11" s="2" t="inlineStr">
        <is>
          <t>"Correction: Using Streamwise and Spanwise Shear Stress Components in Wall-Sensing Drag Reduction Control of Turbulent Channel Flow" (2026) [DOI: https://doi.org/10.2514/6.2026-4483.c1] | "Using Streamwise and Spanwise Shear Stress Components in Wall-Sensing Drag Reduction Control of Turbulent Channel Flow" (2026) [DOI: https://doi.org/10.2514/6.2026-4483] | "Inflectional Instability of Linearized Incompressible Euler Equations via Linear Partial Inequality Tests" (2025) [DOI: https://doi.org/10.1109/cdc57313.2025.11312828] | "Differentiation-based and integration-based Chebyshev methods for resolvent analysis of channel flow" [Journal of Computational and Applied Mathematics] (2025) [DOI: https://doi.org/10.1016/j.cam.2025.116987] | "Discontinuous Galerkin spectral element method with hybrid sub-element order reduction for shock-capturing with Navier–Stokes equations" [Computers &amp; Fluids] (2025) [DOI: https://doi.org/10.1016/j.compfluid.2025.106650]</t>
        </is>
      </c>
      <c r="T11" s="2" t="inlineStr">
        <is>
          <t>"Theoretical prediction of turbulent skin friction on geometrically complex surfaces" [Physics of Fluids] (2009, 78 cites) [DOI: https://doi.org/10.1063/1.3241993] | "Turbulent Drag Reduction Using Sinusoidal Riblets With Triangular Cross-Section" [38th Fluid Dynamics Conference and Exhibit] (2008, 56 cites) [DOI: https://doi.org/10.2514/6.2008-3745] | "Pressure loss reduction in hydrogen pipelines by surface restructuring" [International Journal of Hydrogen Energy] (2009, 46 cites) [DOI: https://doi.org/10.1016/j.ijhydene.2009.08.035]</t>
        </is>
      </c>
      <c r="U11" s="2" t="inlineStr">
        <is>
          <t>MAE 215: Intro to Programming in MATLAB | MAE 591: Seminar | MAE 593: Applied Project</t>
        </is>
      </c>
      <c r="V11" s="2" t="inlineStr"/>
      <c r="W11" s="2" t="inlineStr"/>
      <c r="X11" s="2" t="inlineStr">
        <is>
          <t>Fluid Dynamics and Turbulent Flows (58) | Fluid Dynamics and Vibration Analysis (27) | Wind and Air Flow Studies (26)</t>
        </is>
      </c>
      <c r="Y11" s="2" t="inlineStr">
        <is>
          <t>Fluid Dynamics and Turbulent Flows (58) | Fluid Dynamics and Vibration Analysis (27) | Wind and Air Flow Studies (26)</t>
        </is>
      </c>
      <c r="Z11" s="2" t="inlineStr"/>
      <c r="AA11" s="2" t="inlineStr"/>
      <c r="AB11" s="2" t="inlineStr">
        <is>
          <t>Yulia Peet is an associate professor of aerospace and mechanical engineering in the School for Engineering of Matter, Transport and Energy with the Ira A. Fulton Schools of Engineering at Arizona State University. Her Ph.D. degree is in Aeronautics and Astronautics from Stanford (2006), M.S. and B.S. degrees are from Moscow Institute of Physics and Technology (1999 and 1997). Her previous appoi...</t>
        </is>
      </c>
      <c r="AC11" s="2" t="inlineStr">
        <is>
          <t>Ph.D. Aeronautics and Astronautics, Stanford University 2006 | M.S. Management, State University Higher School of Economics, Moscow, Russia 2000 | M.S. Aeromechanics and Flight Engineering, Moscow Institute of Physics and Technology, Russia 1999 | B.S. Applied Mathematics and Physics, Moscow Institute of Physics and Technology, Russia 1997</t>
        </is>
      </c>
      <c r="AD11" s="2" t="inlineStr">
        <is>
          <t>Interdisciplinary Simulation and Modeling (ISiM) Lab</t>
        </is>
      </c>
      <c r="AE11" s="3">
        <f>HYPERLINK("https://isim.asu.edu", "https://isim.asu.edu")</f>
        <v/>
      </c>
      <c r="AF11" s="2" t="inlineStr"/>
      <c r="AG11" s="2" t="inlineStr"/>
      <c r="AH11" s="2" t="inlineStr"/>
      <c r="AI11" s="2" t="inlineStr"/>
      <c r="AJ11" s="2" t="inlineStr"/>
      <c r="AK11" s="2" t="inlineStr"/>
      <c r="AL11" s="2" t="inlineStr">
        <is>
          <t>ENGRC 379 (Tempe, AZ 85287-6106)</t>
        </is>
      </c>
      <c r="AM11" s="2" t="b">
        <v>1</v>
      </c>
      <c r="AN11" s="3">
        <f>HYPERLINK("https://faculty.engineering.asu.edu/directory/semte/aerospace-and-mechanical-engineering/", "https://faculty.engineering.asu.edu/directory/semte/aerospace-and-mechanical-engineering/")</f>
        <v/>
      </c>
    </row>
    <row r="12">
      <c r="A12" s="2" t="inlineStr">
        <is>
          <t>Ronald Calhoun</t>
        </is>
      </c>
      <c r="B12" s="2" t="inlineStr">
        <is>
          <t>Arizona State University</t>
        </is>
      </c>
      <c r="C12" s="3">
        <f>HYPERLINK("https://search.asu.edu/profile/rcalhou", "https://search.asu.edu/profile/rcalhou")</f>
        <v/>
      </c>
      <c r="D12" s="3">
        <f>HYPERLINK("https://scholar.google.com/citations?view_op=search_authors&amp;mauthors=Ronald%20Calhoun%20Arizona%20State%20University", "Google Scholar Search")</f>
        <v/>
      </c>
      <c r="E12" s="2" t="inlineStr">
        <is>
          <t>Associate Professor</t>
        </is>
      </c>
      <c r="F12" s="2" t="inlineStr">
        <is>
          <t>Aerospace &amp; Mechanical Engineering</t>
        </is>
      </c>
      <c r="G12" s="2" t="inlineStr"/>
      <c r="H12" s="3">
        <f>HYPERLINK("mailto:Ronald.Calhoun@asu.edu", "Ronald.Calhoun@asu.edu")</f>
        <v/>
      </c>
      <c r="I12" s="2" t="n">
        <v>1</v>
      </c>
      <c r="J12" s="2" t="inlineStr">
        <is>
          <t>🔵 Tier 1: Core Aero / Fluids / Propulsion</t>
        </is>
      </c>
      <c r="K12" s="2" t="n">
        <v>2</v>
      </c>
      <c r="L12" s="2" t="inlineStr">
        <is>
          <t>boundary layer, fluid dynamics</t>
        </is>
      </c>
      <c r="M12" s="2" t="inlineStr">
        <is>
          <t>1. Partial repowering analysis of a wind farm by turbine hub height variation to mitigate neighboring wind farm wake interference using mesoscale simulations (Applied Energy, 2020) [DOI: https://doi.org/10.1016/j.apenergy.2020.115050] | 2. The Canopy Horizontal Array Turbulence Study (Bulletin of the American Meteorological Society, 2010) [DOI: https://doi.org/10.1175/2010bams2614.1]</t>
        </is>
      </c>
      <c r="N12" s="3">
        <f>HYPERLINK("https://doi.org/10.1016/j.apenergy.2020.115050 | https://doi.org/10.1175/2010bams2614.1", "https://doi.org/10.1016/j.apenergy.2020.115050 | https://doi.org/10.1175/2010bams2614.1")</f>
        <v/>
      </c>
      <c r="O12" s="2" t="inlineStr">
        <is>
          <t>Dual-Doppler Pulsed LiDAR, Scanning Backscatter LiDAR, Mesoscale Atmospheric Simulations (WRF/LES), Wake Parameterization Codes</t>
        </is>
      </c>
      <c r="P12" s="2" t="inlineStr">
        <is>
          <t>executing mesoscale wake simulations with hub height variation across dense wind turbine arrays, demonstrating that alternating hub heights mitigates downstream wake interference and recovers up to 12% in farm-level annual energy production.</t>
        </is>
      </c>
      <c r="Q12" s="2" t="inlineStr">
        <is>
          <t>Mesoscale wake simulation and dual-Doppler LiDAR anemometry for turbulent wind farm interaction, repowering, and atmospheric boundary-layer dynamics.</t>
        </is>
      </c>
      <c r="R12" s="2" t="inlineStr"/>
      <c r="S12" s="2" t="inlineStr"/>
      <c r="T12" s="2" t="inlineStr">
        <is>
          <t>"The Canopy Horizontal Array Turbulence Study" [Bulletin of the American Meteorological Society] (2010, 128 cites) [DOI: https://doi.org/10.1175/2010bams2614.1] | "Scopes and Challenges of Dual-Doppler Lidar Wind Measurements—An Error Analysis" [Journal of Atmospheric and Oceanic Technology] (2013, 114 cites) [DOI: https://doi.org/10.1175/jtech-d-12-00244.1] | "Turbulent flow over a wavy surface: Neutral case" [Journal of Geophysical Research Atmospheres] (2001, 85 cites) [DOI: https://doi.org/10.1029/2000jc900133]</t>
        </is>
      </c>
      <c r="U12" s="2" t="inlineStr">
        <is>
          <t>MAE 579: Wind Energy | MAE 242: Intro to Fluid Mechanics | MAE 593: Applied Project</t>
        </is>
      </c>
      <c r="V12" s="2" t="inlineStr"/>
      <c r="W12" s="2" t="inlineStr"/>
      <c r="X12" s="2" t="inlineStr">
        <is>
          <t>Wind and Air Flow Studies (30) | Meteorological Phenomena and Simulations (27) | Fluid Dynamics and Turbulent Flows (13)</t>
        </is>
      </c>
      <c r="Y12" s="2" t="inlineStr">
        <is>
          <t>Wind and Air Flow Studies (30) | Meteorological Phenomena and Simulations (27) | Fluid Dynamics and Turbulent Flows (13)</t>
        </is>
      </c>
      <c r="Z12" s="2" t="inlineStr"/>
      <c r="AA12" s="2" t="inlineStr"/>
      <c r="AB12" s="2" t="inlineStr">
        <is>
          <t>Calhoun’s research interests are in fluid dynamics; atmospheric sciences; boundary layer; wind energy and remote sensing.</t>
        </is>
      </c>
      <c r="AC12" s="2" t="inlineStr">
        <is>
          <t>Ph.D. Civil and Environmental Engineering, Stanford University 1998 | Engineer. Civil and Environmental Engineering, Stanford University 1993 | M.S. Civil and Environmental Engineering, Stanford University 1992 | B.S. Symbolic Systems, Stanford University 1989</t>
        </is>
      </c>
      <c r="AD12" s="2" t="inlineStr">
        <is>
          <t>Wind Energy and Atmospheric Boundary Layer Lab</t>
        </is>
      </c>
      <c r="AE12" s="3">
        <f>HYPERLINK("https://windlab.engineering.asu.edu/ronald-calhoun/", "https://windlab.engineering.asu.edu/ronald-calhoun/")</f>
        <v/>
      </c>
      <c r="AF12" s="2" t="inlineStr"/>
      <c r="AG12" s="2" t="inlineStr"/>
      <c r="AH12" s="2" t="inlineStr"/>
      <c r="AI12" s="2" t="inlineStr"/>
      <c r="AJ12" s="2" t="inlineStr"/>
      <c r="AK12" s="2" t="inlineStr"/>
      <c r="AL12" s="2" t="inlineStr">
        <is>
          <t>Goldwater 466 (TEMPE, AZ 85287-6106)</t>
        </is>
      </c>
      <c r="AM12" s="2" t="b">
        <v>1</v>
      </c>
      <c r="AN12" s="3">
        <f>HYPERLINK("https://faculty.engineering.asu.edu/directory/semte/aerospace-and-mechanical-engineering/", "https://faculty.engineering.asu.edu/directory/semte/aerospace-and-mechanical-engineering/")</f>
        <v/>
      </c>
    </row>
    <row r="13">
      <c r="A13" s="2" t="inlineStr">
        <is>
          <t>Liping Wang</t>
        </is>
      </c>
      <c r="B13" s="2" t="inlineStr">
        <is>
          <t>Arizona State University</t>
        </is>
      </c>
      <c r="C13" s="3">
        <f>HYPERLINK("https://search.asu.edu/profile/lwang78", "https://search.asu.edu/profile/lwang78")</f>
        <v/>
      </c>
      <c r="D13" s="3">
        <f>HYPERLINK("https://scholar.google.com/citations?view_op=search_authors&amp;mauthors=Liping%20Wang%20Arizona%20State%20University", "Google Scholar Search")</f>
        <v/>
      </c>
      <c r="E13" s="2" t="inlineStr">
        <is>
          <t>Associate Professor</t>
        </is>
      </c>
      <c r="F13" s="2" t="inlineStr">
        <is>
          <t>Aerospace &amp; Mechanical Engineering</t>
        </is>
      </c>
      <c r="G13" s="2" t="inlineStr"/>
      <c r="H13" s="3">
        <f>HYPERLINK("mailto:Liping.Wang@asu.edu", "Liping.Wang@asu.edu")</f>
        <v/>
      </c>
      <c r="I13" s="2" t="n">
        <v>2</v>
      </c>
      <c r="J13" s="2" t="inlineStr">
        <is>
          <t>🟡 Tier 2: Thermal / Heat Transfer / Energy</t>
        </is>
      </c>
      <c r="K13" s="2" t="n">
        <v>7</v>
      </c>
      <c r="L13" s="2" t="inlineStr">
        <is>
          <t>aerospace, guidance, heat transfer, materials, metamaterials, radiation, thermal</t>
        </is>
      </c>
      <c r="M13" s="2" t="inlineStr"/>
      <c r="N13" s="2" t="inlineStr"/>
      <c r="O13" s="2" t="inlineStr"/>
      <c r="P13" s="2" t="inlineStr"/>
      <c r="Q13" s="2" t="inlineStr"/>
      <c r="R13" s="2" t="inlineStr">
        <is>
          <t>One PhD position available for Fall 2024 on AFM based near-field thermal measurement! ($32k/year stipend + tuition + benefit)</t>
        </is>
      </c>
      <c r="S13" s="2" t="inlineStr"/>
      <c r="T13" s="2" t="inlineStr"/>
      <c r="U13" s="2" t="inlineStr">
        <is>
          <t>MAE 584: Internship | MAE 593: Applied Project | MAE 241: Intro to Thermodynamics</t>
        </is>
      </c>
      <c r="V13" s="2" t="inlineStr">
        <is>
          <t>2017         AFOSR Young Investigator (YIP) Award,  ASU | 2016         JQSRT/Elsevier Viskanta Young Scientist Award,  ASU</t>
        </is>
      </c>
      <c r="W13" s="2" t="inlineStr">
        <is>
          <t>Please send your CV to Prof. Wang ( [email protected] ). We will try to get back to you ASAP with possible available positions. Please also send a 2-page statement on describing your previous research experience as well as how your research interests match Prof. Wang’s group’s research themes. | Please send Prof. Wang ( [email protected] ) with your resumes for applications and for more details on the projects.</t>
        </is>
      </c>
      <c r="X13" s="2" t="inlineStr"/>
      <c r="Y13" s="2" t="inlineStr"/>
      <c r="Z13" s="2" t="inlineStr">
        <is>
          <t>Nanoscale heat transfer, metamaterials, plasmonics, and nanophotonics with an emphasis on solar thermal energy harvesting using plasmonic-enhanced light trapping for photovolatics, as well as near-field enhancement and spectral control of radiation for thermophotovoltaic energy conversion. Other research interests involve electronic cooling, MEMS, and bio-sensing.</t>
        </is>
      </c>
      <c r="AA13" s="2" t="inlineStr"/>
      <c r="AB13" s="2" t="inlineStr">
        <is>
          <t>Wang research interests include selective control of thermal emission/absorption using meta-materials for energy harvesting and near-field radiation heat transfer enhancement between meta-materials for thermophotovoltaics.</t>
        </is>
      </c>
      <c r="AC13" s="2" t="inlineStr">
        <is>
          <t>Ph.D. Mechanical Engineering, Georgia Institute of Technology 2011 | M.S. Refrigeration and Cryogenic Engineering, Shanghai Institute of Technical Physics, Chinese  Academy of Sciences 2007 | B.E. Thermal Science and Energy Engineering, University of Science and Technology of China 2004</t>
        </is>
      </c>
      <c r="AD13" s="2" t="inlineStr">
        <is>
          <t>Nanoscale Thermal Radiation Lab</t>
        </is>
      </c>
      <c r="AE13" s="3">
        <f>HYPERLINK("http://faculty.engineering.asu.edu/lpwang", "http://faculty.engineering.asu.edu/lpwang")</f>
        <v/>
      </c>
      <c r="AF13" s="2" t="inlineStr">
        <is>
          <t>Multiple UG/MS research positions available for Fall 2024 (volunteer) and Spring/Summer 2025 (possible FURI / MORE support)</t>
        </is>
      </c>
      <c r="AG13" s="2" t="inlineStr"/>
      <c r="AH13" s="2" t="inlineStr">
        <is>
          <t>AFM</t>
        </is>
      </c>
      <c r="AI13" s="2" t="inlineStr">
        <is>
          <t>NASA, NSF</t>
        </is>
      </c>
      <c r="AJ13" s="2" t="inlineStr"/>
      <c r="AK13" s="2" t="inlineStr">
        <is>
          <t>News&amp;Awards</t>
        </is>
      </c>
      <c r="AL13" s="2" t="inlineStr">
        <is>
          <t>ENGRC 327 (Tempe, AZ 85287-6106)</t>
        </is>
      </c>
      <c r="AM13" s="2" t="b">
        <v>1</v>
      </c>
      <c r="AN13" s="3">
        <f>HYPERLINK("https://faculty.engineering.asu.edu/directory/semte/aerospace-and-mechanical-engineering/", "https://faculty.engineering.asu.edu/directory/semte/aerospace-and-mechanical-engineering/")</f>
        <v/>
      </c>
    </row>
    <row r="14">
      <c r="A14" s="2" t="inlineStr">
        <is>
          <t>Robert Wang</t>
        </is>
      </c>
      <c r="B14" s="2" t="inlineStr">
        <is>
          <t>Arizona State University</t>
        </is>
      </c>
      <c r="C14" s="3">
        <f>HYPERLINK("https://search.asu.edu/profile/rywang", "https://search.asu.edu/profile/rywang")</f>
        <v/>
      </c>
      <c r="D14" s="3">
        <f>HYPERLINK("https://scholar.google.com/citations?hl=en&amp;user=LaUdx9gAAAAJ", "Scholar (LaUdx9gAAAAJ)")</f>
        <v/>
      </c>
      <c r="E14" s="2" t="inlineStr">
        <is>
          <t>Associate Professor</t>
        </is>
      </c>
      <c r="F14" s="2" t="inlineStr">
        <is>
          <t>Aerospace &amp; Mechanical Engineering</t>
        </is>
      </c>
      <c r="G14" s="2" t="inlineStr">
        <is>
          <t>LaUdx9gAAAAJ</t>
        </is>
      </c>
      <c r="H14" s="3">
        <f>HYPERLINK("mailto:rywang@asu.edu", "rywang@asu.edu")</f>
        <v/>
      </c>
      <c r="I14" s="2" t="n">
        <v>2</v>
      </c>
      <c r="J14" s="2" t="inlineStr">
        <is>
          <t>🟡 Tier 2: Thermal / Heat Transfer / Energy</t>
        </is>
      </c>
      <c r="K14" s="2" t="n">
        <v>4</v>
      </c>
      <c r="L14" s="2" t="inlineStr">
        <is>
          <t>composites, heat transfer, materials, thermal</t>
        </is>
      </c>
      <c r="M14" s="2" t="inlineStr"/>
      <c r="N14" s="2" t="inlineStr"/>
      <c r="O14" s="2" t="inlineStr"/>
      <c r="P14" s="2" t="inlineStr"/>
      <c r="Q14" s="2" t="inlineStr"/>
      <c r="R14" s="2" t="inlineStr"/>
      <c r="S14" s="2" t="inlineStr"/>
      <c r="T14" s="2" t="inlineStr"/>
      <c r="U14" s="2" t="inlineStr">
        <is>
          <t>MAE 241: Intro to Thermodynamics | MAE 593: Applied Project | MAE 588: Nanoscale Heat Transfer</t>
        </is>
      </c>
      <c r="V14" s="2" t="inlineStr"/>
      <c r="W14" s="2" t="inlineStr"/>
      <c r="X14" s="2" t="inlineStr"/>
      <c r="Y14" s="2" t="inlineStr"/>
      <c r="Z14" s="2" t="inlineStr">
        <is>
          <t>My research group is an interdisciplinary nanoengineering team that focuses on manipulating material properties for thermal energy applications. Some of our focus areas are thermoelectric power generation, thermal storage media, heat transfer, and phonon optics. To achieve our objectives, we custom-design materials using colloidal nanoparticles, chemical precursors, and nanocomposites.</t>
        </is>
      </c>
      <c r="AA14" s="2" t="inlineStr">
        <is>
          <t>Mechanical Engineering, Energy, Renewable Energy, Energy and Sustainability, Clean Energy, Energy Efficiency Technologies, Materials Science and Engineering, Chemical Engineering, Nanoengineering, Nanoscience, Nanotechnology, Solid State Physics, Thin Film Materials, Semiconductors, Chemistry, Physics</t>
        </is>
      </c>
      <c r="AB14" s="2" t="inlineStr">
        <is>
          <t>Wang's research interests include thermal energy conversion, storage, and transport in nanostructured materials; thermoelectric power generation; thermal storage media; heat transfer, and phonon optics</t>
        </is>
      </c>
      <c r="AC14" s="2" t="inlineStr">
        <is>
          <t>Ph.D. Mechanical Engineering, University of California-Berkeley 2008 | M.S. Mechanical Engineering, University of California-Berkeley 2005 | B.S. Mechanical Engineering, University of California-Los Angeles 2003</t>
        </is>
      </c>
      <c r="AD14" s="2" t="inlineStr"/>
      <c r="AE14" s="3">
        <f>HYPERLINK("http://wang.faculty.asu.edu/", "http://wang.faculty.asu.edu/")</f>
        <v/>
      </c>
      <c r="AF14" s="2" t="inlineStr"/>
      <c r="AG14" s="2" t="inlineStr"/>
      <c r="AH14" s="2" t="inlineStr"/>
      <c r="AI14" s="2" t="inlineStr"/>
      <c r="AJ14" s="2" t="inlineStr"/>
      <c r="AK14" s="2" t="inlineStr"/>
      <c r="AL14" s="2" t="inlineStr">
        <is>
          <t>ENGRC 307 (Tempe, AZ 85287-6106)</t>
        </is>
      </c>
      <c r="AM14" s="2" t="b">
        <v>1</v>
      </c>
      <c r="AN14" s="3">
        <f>HYPERLINK("https://faculty.engineering.asu.edu/directory/semte/aerospace-and-mechanical-engineering/", "https://faculty.engineering.asu.edu/directory/semte/aerospace-and-mechanical-engineering/")</f>
        <v/>
      </c>
    </row>
    <row r="15">
      <c r="A15" s="2" t="inlineStr">
        <is>
          <t>T.-W. Lee</t>
        </is>
      </c>
      <c r="B15" s="2" t="inlineStr">
        <is>
          <t>Arizona State University</t>
        </is>
      </c>
      <c r="C15" s="3">
        <f>HYPERLINK("https://search.asu.edu/profile/attwl", "https://search.asu.edu/profile/attwl")</f>
        <v/>
      </c>
      <c r="D15" s="3">
        <f>HYPERLINK("https://scholar.google.com/citations?view_op=search_authors&amp;mauthors=T.-W.%20Lee%20Arizona%20State%20University", "Google Scholar Search")</f>
        <v/>
      </c>
      <c r="E15" s="2" t="inlineStr">
        <is>
          <t>Associate Professor</t>
        </is>
      </c>
      <c r="F15" s="2" t="inlineStr">
        <is>
          <t>Aerospace &amp; Mechanical Engineering</t>
        </is>
      </c>
      <c r="G15" s="2" t="inlineStr"/>
      <c r="H15" s="3">
        <f>HYPERLINK("mailto:ATTWL@asu.edu", "ATTWL@asu.edu")</f>
        <v/>
      </c>
      <c r="I15" s="2" t="n">
        <v>2</v>
      </c>
      <c r="J15" s="2" t="inlineStr">
        <is>
          <t>🟡 Tier 2: Thermal / Heat Transfer / Energy</t>
        </is>
      </c>
      <c r="K15" s="2" t="n">
        <v>4</v>
      </c>
      <c r="L15" s="2" t="inlineStr">
        <is>
          <t>aerospace, energy systems, propulsion, thermal</t>
        </is>
      </c>
      <c r="M15" s="2" t="inlineStr"/>
      <c r="N15" s="2" t="inlineStr"/>
      <c r="O15" s="2" t="inlineStr"/>
      <c r="P15" s="2" t="inlineStr"/>
      <c r="Q15" s="2" t="inlineStr"/>
      <c r="R15" s="2" t="inlineStr">
        <is>
          <t>N Hegde, Taewoo Lee. Laser-induced breakdown spectroscopy for in situ diagnostics of combustion parameters including tem</t>
        </is>
      </c>
      <c r="S15" s="2" t="inlineStr"/>
      <c r="T15" s="2" t="inlineStr"/>
      <c r="U15" s="2" t="inlineStr">
        <is>
          <t>MAE 565: Rocket Propulsion | MAE 593: Applied Project | MAE 570: Intermediate Thermodynamics</t>
        </is>
      </c>
      <c r="V15" s="2" t="inlineStr"/>
      <c r="W15" s="2" t="inlineStr"/>
      <c r="X15" s="2" t="inlineStr"/>
      <c r="Y15" s="2" t="inlineStr"/>
      <c r="Z15" s="2" t="inlineStr"/>
      <c r="AA15" s="2" t="inlineStr"/>
      <c r="AB15" s="2" t="inlineStr">
        <is>
          <t>Lee's areas of expertise include energy system analysis, thermal and fluid process characterization, and fuel property measurements for energy systems.</t>
        </is>
      </c>
      <c r="AC15" s="2" t="inlineStr">
        <is>
          <t>Ph.D. Aerospace Engineering, University of Michigan-Ann Arbor | M.S.E. Aerospace Engineering, University of Michigan-Ann Arbor | B.S. Aeronautical and Astronautical Engineering, The Ohio State University-Columbus</t>
        </is>
      </c>
      <c r="AD15" s="2" t="inlineStr"/>
      <c r="AE15" s="2" t="inlineStr"/>
      <c r="AF15" s="2" t="inlineStr"/>
      <c r="AG15" s="2" t="inlineStr"/>
      <c r="AH15" s="2" t="inlineStr"/>
      <c r="AI15" s="2" t="inlineStr"/>
      <c r="AJ15" s="2" t="inlineStr"/>
      <c r="AK15" s="2" t="inlineStr"/>
      <c r="AL15" s="2" t="inlineStr">
        <is>
          <t>ENGRC 377 (TEMPE, AZ 85287-6106)</t>
        </is>
      </c>
      <c r="AM15" s="2" t="b">
        <v>1</v>
      </c>
      <c r="AN15" s="3">
        <f>HYPERLINK("https://faculty.engineering.asu.edu/directory/semte/aerospace-and-mechanical-engineering/", "https://faculty.engineering.asu.edu/directory/semte/aerospace-and-mechanical-engineering/")</f>
        <v/>
      </c>
    </row>
    <row r="16">
      <c r="A16" s="2" t="inlineStr">
        <is>
          <t>Tianyu Yang</t>
        </is>
      </c>
      <c r="B16" s="2" t="inlineStr">
        <is>
          <t>Arizona State University</t>
        </is>
      </c>
      <c r="C16" s="3">
        <f>HYPERLINK("https://search.asu.edu/profile/tyang123", "https://search.asu.edu/profile/tyang123")</f>
        <v/>
      </c>
      <c r="D16" s="3">
        <f>HYPERLINK("https://scholar.google.com/citations?hl=en&amp;user=OmBV67MAAAAJ", "Scholar (OmBV67MAAAAJ)")</f>
        <v/>
      </c>
      <c r="E16" s="2" t="inlineStr">
        <is>
          <t>Assistant Professor</t>
        </is>
      </c>
      <c r="F16" s="2" t="inlineStr">
        <is>
          <t>Aerospace &amp; Mechanical Engineering</t>
        </is>
      </c>
      <c r="G16" s="2" t="inlineStr">
        <is>
          <t>OmBV67MAAAAJ</t>
        </is>
      </c>
      <c r="H16" s="3">
        <f>HYPERLINK("mailto:Tianyu.Yang@asu.edu", "Tianyu.Yang@asu.edu")</f>
        <v/>
      </c>
      <c r="I16" s="2" t="n">
        <v>2</v>
      </c>
      <c r="J16" s="2" t="inlineStr">
        <is>
          <t>🟡 Tier 2: Thermal / Heat Transfer / Energy</t>
        </is>
      </c>
      <c r="K16" s="2" t="n">
        <v>4</v>
      </c>
      <c r="L16" s="2" t="inlineStr">
        <is>
          <t>autonomous, heat transfer, materials, thermal</t>
        </is>
      </c>
      <c r="M16" s="2" t="inlineStr"/>
      <c r="N16" s="2" t="inlineStr"/>
      <c r="O16" s="2" t="inlineStr"/>
      <c r="P16" s="2" t="inlineStr"/>
      <c r="Q16" s="2" t="inlineStr"/>
      <c r="R16" s="2" t="inlineStr"/>
      <c r="S16" s="2" t="inlineStr"/>
      <c r="T16" s="2" t="inlineStr"/>
      <c r="U16" s="2" t="inlineStr">
        <is>
          <t>MAE 241: Intro to Thermodynamics</t>
        </is>
      </c>
      <c r="V16" s="2" t="inlineStr"/>
      <c r="W16" s="2" t="inlineStr"/>
      <c r="X16" s="2" t="inlineStr"/>
      <c r="Y16" s="2" t="inlineStr"/>
      <c r="Z16" s="2" t="inlineStr"/>
      <c r="AA16" s="2" t="inlineStr"/>
      <c r="AB16" s="2" t="inlineStr">
        <is>
          <t>Yang studies heat transfer, thermal management of electronics, and biomedical devices. She has published multiple research papers in major scientific journals.</t>
        </is>
      </c>
      <c r="AC16" s="2" t="inlineStr">
        <is>
          <t>PhD. University of Illinois at Urbana Champaign, 2016-2021 | BS. Tsinghua University, China 2012-2016</t>
        </is>
      </c>
      <c r="AD16" s="2" t="inlineStr"/>
      <c r="AE16" s="2" t="inlineStr"/>
      <c r="AF16" s="2" t="inlineStr"/>
      <c r="AG16" s="2" t="inlineStr"/>
      <c r="AH16" s="2" t="inlineStr"/>
      <c r="AI16" s="2" t="inlineStr"/>
      <c r="AJ16" s="2" t="inlineStr"/>
      <c r="AK16" s="2" t="inlineStr"/>
      <c r="AL16" s="2" t="inlineStr">
        <is>
          <t>Campus: Tempe</t>
        </is>
      </c>
      <c r="AM16" s="2" t="b">
        <v>1</v>
      </c>
      <c r="AN16" s="3">
        <f>HYPERLINK("https://faculty.engineering.asu.edu/directory/semte/aerospace-and-mechanical-engineering/", "https://faculty.engineering.asu.edu/directory/semte/aerospace-and-mechanical-engineering/")</f>
        <v/>
      </c>
    </row>
    <row r="17">
      <c r="A17" s="2" t="inlineStr">
        <is>
          <t>Beomjin Kwon</t>
        </is>
      </c>
      <c r="B17" s="2" t="inlineStr">
        <is>
          <t>Arizona State University</t>
        </is>
      </c>
      <c r="C17" s="3">
        <f>HYPERLINK("https://search.asu.edu/profile/bkwon2", "https://search.asu.edu/profile/bkwon2")</f>
        <v/>
      </c>
      <c r="D17" s="3">
        <f>HYPERLINK("https://scholar.google.com/citations?hl=en&amp;user=fs2d97sAAAAJ", "Scholar (fs2d97sAAAAJ)")</f>
        <v/>
      </c>
      <c r="E17" s="2" t="inlineStr">
        <is>
          <t>Associate Professor</t>
        </is>
      </c>
      <c r="F17" s="2" t="inlineStr">
        <is>
          <t>Aerospace &amp; Mechanical Engineering</t>
        </is>
      </c>
      <c r="G17" s="2" t="inlineStr">
        <is>
          <t>fs2d97sAAAAJ</t>
        </is>
      </c>
      <c r="H17" s="3">
        <f>HYPERLINK("mailto:kwon@asu.edu", "kwon@asu.edu")</f>
        <v/>
      </c>
      <c r="I17" s="2" t="n">
        <v>2</v>
      </c>
      <c r="J17" s="2" t="inlineStr">
        <is>
          <t>🟡 Tier 2: Thermal / Heat Transfer / Energy</t>
        </is>
      </c>
      <c r="K17" s="2" t="n">
        <v>3</v>
      </c>
      <c r="L17" s="2" t="inlineStr">
        <is>
          <t>aerospace, energy systems, heat transfer</t>
        </is>
      </c>
      <c r="M17" s="2" t="inlineStr"/>
      <c r="N17" s="2" t="inlineStr"/>
      <c r="O17" s="2" t="inlineStr"/>
      <c r="P17" s="2" t="inlineStr"/>
      <c r="Q17" s="2" t="inlineStr"/>
      <c r="R17" s="2" t="inlineStr">
        <is>
          <t>Journal Papers 62. N. Ohashi, J. Deng, L.K. Hwang, P.K. Kang, and B. Kwon, “Physics-Informed Machine Learning for Reconstructin...</t>
        </is>
      </c>
      <c r="S17" s="2" t="inlineStr"/>
      <c r="T17" s="2" t="inlineStr"/>
      <c r="U17" s="2" t="inlineStr">
        <is>
          <t>MAE 593: Applied Project | MAE 241: Intro to Thermodynamics | MAE 598: Special Topics</t>
        </is>
      </c>
      <c r="V17" s="2" t="inlineStr"/>
      <c r="W17" s="2" t="inlineStr"/>
      <c r="X17" s="2" t="inlineStr"/>
      <c r="Y17" s="2" t="inlineStr"/>
      <c r="Z17" s="2" t="inlineStr">
        <is>
          <t>Transport phenomena in heat transfer systems Additive manufacturing Data-driven modeling and design</t>
        </is>
      </c>
      <c r="AA17" s="2" t="inlineStr"/>
      <c r="AB17" s="2" t="inlineStr">
        <is>
          <t>Kwon aims to improve the energy conversion and transport systems through the fundamental insights into transport physics, and by exploiting additive manufacturing and data-driven approaches.</t>
        </is>
      </c>
      <c r="AC17" s="2" t="inlineStr">
        <is>
          <t>Ph.D. Mechanical Engineering, University of Illinois at Urbana-Champaign 2013 | M.S. Mechanical Engineering, University of Illinois at Urbana-Champaign 2009 | B.S. Mechanical and Aerospace Engineering, Seoul National University 2008</t>
        </is>
      </c>
      <c r="AD17" s="2" t="inlineStr">
        <is>
          <t>3D Energy Lab</t>
        </is>
      </c>
      <c r="AE17" s="3">
        <f>HYPERLINK("http://sites.google.com/view/3denergy", "http://sites.google.com/view/3denergy")</f>
        <v/>
      </c>
      <c r="AF17" s="2" t="inlineStr"/>
      <c r="AG17" s="2" t="inlineStr"/>
      <c r="AH17" s="2" t="inlineStr">
        <is>
          <t>3D Printer</t>
        </is>
      </c>
      <c r="AI17" s="2" t="inlineStr">
        <is>
          <t>NSF</t>
        </is>
      </c>
      <c r="AJ17" s="2" t="inlineStr"/>
      <c r="AK17" s="2" t="inlineStr">
        <is>
          <t>3D Energy Device Laboratory</t>
        </is>
      </c>
      <c r="AL17" s="2" t="inlineStr">
        <is>
          <t>551 E Tyler Mall ERC 363 (Tempe, AZ 85281)</t>
        </is>
      </c>
      <c r="AM17" s="2" t="b">
        <v>1</v>
      </c>
      <c r="AN17" s="3">
        <f>HYPERLINK("https://faculty.engineering.asu.edu/directory/semte/aerospace-and-mechanical-engineering/", "https://faculty.engineering.asu.edu/directory/semte/aerospace-and-mechanical-engineering/")</f>
        <v/>
      </c>
    </row>
    <row r="18">
      <c r="A18" s="2" t="inlineStr">
        <is>
          <t>Patrick Phelan</t>
        </is>
      </c>
      <c r="B18" s="2" t="inlineStr">
        <is>
          <t>Arizona State University</t>
        </is>
      </c>
      <c r="C18" s="3">
        <f>HYPERLINK("https://search.asu.edu/profile/pphelan", "https://search.asu.edu/profile/pphelan")</f>
        <v/>
      </c>
      <c r="D18" s="3">
        <f>HYPERLINK("https://scholar.google.com/citations?view_op=search_authors&amp;mauthors=Patrick%20Phelan%20Arizona%20State%20University", "Google Scholar Search")</f>
        <v/>
      </c>
      <c r="E18" s="2" t="inlineStr">
        <is>
          <t>Professor</t>
        </is>
      </c>
      <c r="F18" s="2" t="inlineStr">
        <is>
          <t>Aerospace &amp; Mechanical Engineering</t>
        </is>
      </c>
      <c r="G18" s="2" t="inlineStr"/>
      <c r="H18" s="3">
        <f>HYPERLINK("mailto:phelan@asu.edu", "phelan@asu.edu")</f>
        <v/>
      </c>
      <c r="I18" s="2" t="n">
        <v>2</v>
      </c>
      <c r="J18" s="2" t="inlineStr">
        <is>
          <t>🟡 Tier 2: Thermal / Heat Transfer / Energy</t>
        </is>
      </c>
      <c r="K18" s="2" t="n">
        <v>3</v>
      </c>
      <c r="L18" s="2" t="inlineStr">
        <is>
          <t>aerospace, energy systems, thermal</t>
        </is>
      </c>
      <c r="M18" s="2" t="inlineStr"/>
      <c r="N18" s="2" t="inlineStr"/>
      <c r="O18" s="2" t="inlineStr"/>
      <c r="P18" s="2" t="inlineStr"/>
      <c r="Q18" s="2" t="inlineStr"/>
      <c r="R18" s="2" t="inlineStr">
        <is>
          <t>Please see my publications at Google Scholar .</t>
        </is>
      </c>
      <c r="S18" s="2" t="inlineStr"/>
      <c r="T18" s="2" t="inlineStr"/>
      <c r="U18" s="2" t="inlineStr">
        <is>
          <t>MAE 593: Applied Project | MAE 494: Special Topics | MAE 598: Special Topics</t>
        </is>
      </c>
      <c r="V18" s="2" t="inlineStr"/>
      <c r="W18" s="2" t="inlineStr"/>
      <c r="X18" s="2" t="inlineStr"/>
      <c r="Y18" s="2" t="inlineStr"/>
      <c r="Z18" s="2" t="inlineStr">
        <is>
          <t>Thermal engineering, sustainable energy systems, energy management, sustainable cooling systems.</t>
        </is>
      </c>
      <c r="AA18" s="2" t="inlineStr">
        <is>
          <t>Building Technology, Solar Energy Systems, Energy Efficiency Technologies, Mechanical Engineering</t>
        </is>
      </c>
      <c r="AB18" s="2" t="inlineStr">
        <is>
          <t>Phelan researches and teaches in the area of sustainable energy, thermal transport and thermal management.</t>
        </is>
      </c>
      <c r="AC18" s="2" t="inlineStr">
        <is>
          <t>Postdoctoral Fellow, Tokyo Institute of Technology, Japan 1990-1992 | Ph.D. Mechanical Engineering, University of California, Berkeley 1990 | M.S. Mechanical Engineering, Massachusetts Institute of Technology 1987 | B. S. Mechanical Engineering, Tulane University, New Orleans, LA 1985</t>
        </is>
      </c>
      <c r="AD18" s="2" t="inlineStr"/>
      <c r="AE18" s="2" t="inlineStr"/>
      <c r="AF18" s="2" t="inlineStr"/>
      <c r="AG18" s="2" t="inlineStr"/>
      <c r="AH18" s="2" t="inlineStr"/>
      <c r="AI18" s="2" t="inlineStr"/>
      <c r="AJ18" s="2" t="inlineStr"/>
      <c r="AK18" s="2" t="inlineStr"/>
      <c r="AL18" s="2" t="inlineStr">
        <is>
          <t>ENGRC 463 (TEMPE, AZ 85287-6106)</t>
        </is>
      </c>
      <c r="AM18" s="2" t="b">
        <v>1</v>
      </c>
      <c r="AN18" s="3">
        <f>HYPERLINK("https://faculty.engineering.asu.edu/directory/semte/aerospace-and-mechanical-engineering/", "https://faculty.engineering.asu.edu/directory/semte/aerospace-and-mechanical-engineering/")</f>
        <v/>
      </c>
    </row>
    <row r="19">
      <c r="A19" s="2" t="inlineStr">
        <is>
          <t>Konrad Rykaczewski</t>
        </is>
      </c>
      <c r="B19" s="2" t="inlineStr">
        <is>
          <t>Arizona State University</t>
        </is>
      </c>
      <c r="C19" s="3">
        <f>HYPERLINK("https://search.asu.edu/profile/krykacze", "https://search.asu.edu/profile/krykacze")</f>
        <v/>
      </c>
      <c r="D19" s="3">
        <f>HYPERLINK("https://scholar.google.com/citations?hl=en&amp;user=SWeAf4UAAAAJ", "Scholar (SWeAf4UAAAAJ)")</f>
        <v/>
      </c>
      <c r="E19" s="2" t="inlineStr">
        <is>
          <t>Associate Professor</t>
        </is>
      </c>
      <c r="F19" s="2" t="inlineStr">
        <is>
          <t>Aerospace &amp; Mechanical Engineering</t>
        </is>
      </c>
      <c r="G19" s="2" t="inlineStr">
        <is>
          <t>SWeAf4UAAAAJ</t>
        </is>
      </c>
      <c r="H19" s="3">
        <f>HYPERLINK("mailto:konradr@asu.edu", "konradr@asu.edu")</f>
        <v/>
      </c>
      <c r="I19" s="2" t="n">
        <v>2</v>
      </c>
      <c r="J19" s="2" t="inlineStr">
        <is>
          <t>🟡 Tier 2: Thermal / Heat Transfer / Energy</t>
        </is>
      </c>
      <c r="K19" s="2" t="n">
        <v>2</v>
      </c>
      <c r="L19" s="2" t="inlineStr">
        <is>
          <t>materials, thermal</t>
        </is>
      </c>
      <c r="M19" s="2" t="inlineStr"/>
      <c r="N19" s="2" t="inlineStr"/>
      <c r="O19" s="2" t="inlineStr"/>
      <c r="P19" s="2" t="inlineStr"/>
      <c r="Q19" s="2" t="inlineStr"/>
      <c r="R19" s="2" t="inlineStr"/>
      <c r="S19" s="2" t="inlineStr"/>
      <c r="T19" s="2" t="inlineStr"/>
      <c r="U19" s="2" t="inlineStr">
        <is>
          <t>MAE 593: Applied Project | MAE 499: Individualized Instruction | MAE 586: Advanced Heat Transfer</t>
        </is>
      </c>
      <c r="V19" s="2" t="inlineStr"/>
      <c r="W19" s="2" t="inlineStr"/>
      <c r="X19" s="2" t="inlineStr"/>
      <c r="Y19" s="2" t="inlineStr"/>
      <c r="Z19" s="2" t="inlineStr"/>
      <c r="AA19" s="2" t="inlineStr"/>
      <c r="AB19" s="2" t="inlineStr">
        <is>
          <t>Rykaczewski's research focuses on development of soft thermal materials and system as well as studying human thermal exposure in extreme heat.</t>
        </is>
      </c>
      <c r="AC19" s="2" t="inlineStr">
        <is>
          <t>Ph.D. Mechanical Engineering, Georgia Institute of Technology 2009 | M.S. Mechanical Engineering, Georgia Institute of Technology 2007 | B.S. Mechanical Engineering, Georgia Institute of Technology 2005</t>
        </is>
      </c>
      <c r="AD19" s="2" t="inlineStr">
        <is>
          <t>Nano-Bio-Thermal Engineering Laboratory</t>
        </is>
      </c>
      <c r="AE19" s="3">
        <f>HYPERLINK("http://faculty.engineering.asu.edu/konrad/", "http://faculty.engineering.asu.edu/konrad/")</f>
        <v/>
      </c>
      <c r="AF19" s="2" t="inlineStr"/>
      <c r="AG19" s="2" t="inlineStr"/>
      <c r="AH19" s="2" t="inlineStr"/>
      <c r="AI19" s="2" t="inlineStr"/>
      <c r="AJ19" s="2" t="inlineStr"/>
      <c r="AK19" s="2" t="inlineStr">
        <is>
          <t>Rykaczewski Lab</t>
        </is>
      </c>
      <c r="AL19" s="2" t="inlineStr">
        <is>
          <t>ENGRC 309 (Tempe, AZ 85287)</t>
        </is>
      </c>
      <c r="AM19" s="2" t="b">
        <v>1</v>
      </c>
      <c r="AN19" s="3">
        <f>HYPERLINK("https://faculty.engineering.asu.edu/directory/semte/aerospace-and-mechanical-engineering/", "https://faculty.engineering.asu.edu/directory/semte/aerospace-and-mechanical-engineering/")</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N2" r:id="rId4"/>
    <hyperlink xmlns:r="http://schemas.openxmlformats.org/officeDocument/2006/relationships" ref="AE2" r:id="rId5"/>
    <hyperlink xmlns:r="http://schemas.openxmlformats.org/officeDocument/2006/relationships" ref="AJ2" r:id="rId6"/>
    <hyperlink xmlns:r="http://schemas.openxmlformats.org/officeDocument/2006/relationships" ref="AN2" r:id="rId7"/>
    <hyperlink xmlns:r="http://schemas.openxmlformats.org/officeDocument/2006/relationships" ref="C3" r:id="rId8"/>
    <hyperlink xmlns:r="http://schemas.openxmlformats.org/officeDocument/2006/relationships" ref="D3" r:id="rId9"/>
    <hyperlink xmlns:r="http://schemas.openxmlformats.org/officeDocument/2006/relationships" ref="H3" r:id="rId10"/>
    <hyperlink xmlns:r="http://schemas.openxmlformats.org/officeDocument/2006/relationships" ref="N3" r:id="rId11"/>
    <hyperlink xmlns:r="http://schemas.openxmlformats.org/officeDocument/2006/relationships" ref="AN3" r:id="rId12"/>
    <hyperlink xmlns:r="http://schemas.openxmlformats.org/officeDocument/2006/relationships" ref="C4" r:id="rId13"/>
    <hyperlink xmlns:r="http://schemas.openxmlformats.org/officeDocument/2006/relationships" ref="D4" r:id="rId14"/>
    <hyperlink xmlns:r="http://schemas.openxmlformats.org/officeDocument/2006/relationships" ref="H4" r:id="rId15"/>
    <hyperlink xmlns:r="http://schemas.openxmlformats.org/officeDocument/2006/relationships" ref="N4" r:id="rId16"/>
    <hyperlink xmlns:r="http://schemas.openxmlformats.org/officeDocument/2006/relationships" ref="AN4" r:id="rId17"/>
    <hyperlink xmlns:r="http://schemas.openxmlformats.org/officeDocument/2006/relationships" ref="C5" r:id="rId18"/>
    <hyperlink xmlns:r="http://schemas.openxmlformats.org/officeDocument/2006/relationships" ref="D5" r:id="rId19"/>
    <hyperlink xmlns:r="http://schemas.openxmlformats.org/officeDocument/2006/relationships" ref="H5" r:id="rId20"/>
    <hyperlink xmlns:r="http://schemas.openxmlformats.org/officeDocument/2006/relationships" ref="N5" r:id="rId21"/>
    <hyperlink xmlns:r="http://schemas.openxmlformats.org/officeDocument/2006/relationships" ref="AE5" r:id="rId22"/>
    <hyperlink xmlns:r="http://schemas.openxmlformats.org/officeDocument/2006/relationships" ref="AN5" r:id="rId23"/>
    <hyperlink xmlns:r="http://schemas.openxmlformats.org/officeDocument/2006/relationships" ref="C6" r:id="rId24"/>
    <hyperlink xmlns:r="http://schemas.openxmlformats.org/officeDocument/2006/relationships" ref="D6" r:id="rId25"/>
    <hyperlink xmlns:r="http://schemas.openxmlformats.org/officeDocument/2006/relationships" ref="H6" r:id="rId26"/>
    <hyperlink xmlns:r="http://schemas.openxmlformats.org/officeDocument/2006/relationships" ref="N6" r:id="rId27"/>
    <hyperlink xmlns:r="http://schemas.openxmlformats.org/officeDocument/2006/relationships" ref="AE6" r:id="rId28"/>
    <hyperlink xmlns:r="http://schemas.openxmlformats.org/officeDocument/2006/relationships" ref="AN6" r:id="rId29"/>
    <hyperlink xmlns:r="http://schemas.openxmlformats.org/officeDocument/2006/relationships" ref="C7" r:id="rId30"/>
    <hyperlink xmlns:r="http://schemas.openxmlformats.org/officeDocument/2006/relationships" ref="D7" r:id="rId31"/>
    <hyperlink xmlns:r="http://schemas.openxmlformats.org/officeDocument/2006/relationships" ref="H7" r:id="rId32"/>
    <hyperlink xmlns:r="http://schemas.openxmlformats.org/officeDocument/2006/relationships" ref="N7" r:id="rId33"/>
    <hyperlink xmlns:r="http://schemas.openxmlformats.org/officeDocument/2006/relationships" ref="AN7" r:id="rId34"/>
    <hyperlink xmlns:r="http://schemas.openxmlformats.org/officeDocument/2006/relationships" ref="C8" r:id="rId35"/>
    <hyperlink xmlns:r="http://schemas.openxmlformats.org/officeDocument/2006/relationships" ref="D8" r:id="rId36"/>
    <hyperlink xmlns:r="http://schemas.openxmlformats.org/officeDocument/2006/relationships" ref="H8" r:id="rId37"/>
    <hyperlink xmlns:r="http://schemas.openxmlformats.org/officeDocument/2006/relationships" ref="N8" r:id="rId38"/>
    <hyperlink xmlns:r="http://schemas.openxmlformats.org/officeDocument/2006/relationships" ref="AN8" r:id="rId39"/>
    <hyperlink xmlns:r="http://schemas.openxmlformats.org/officeDocument/2006/relationships" ref="C9" r:id="rId40"/>
    <hyperlink xmlns:r="http://schemas.openxmlformats.org/officeDocument/2006/relationships" ref="D9" r:id="rId41"/>
    <hyperlink xmlns:r="http://schemas.openxmlformats.org/officeDocument/2006/relationships" ref="H9" r:id="rId42"/>
    <hyperlink xmlns:r="http://schemas.openxmlformats.org/officeDocument/2006/relationships" ref="N9" r:id="rId43"/>
    <hyperlink xmlns:r="http://schemas.openxmlformats.org/officeDocument/2006/relationships" ref="AE9" r:id="rId44"/>
    <hyperlink xmlns:r="http://schemas.openxmlformats.org/officeDocument/2006/relationships" ref="AN9" r:id="rId45"/>
    <hyperlink xmlns:r="http://schemas.openxmlformats.org/officeDocument/2006/relationships" ref="C10" r:id="rId46"/>
    <hyperlink xmlns:r="http://schemas.openxmlformats.org/officeDocument/2006/relationships" ref="D10" r:id="rId47"/>
    <hyperlink xmlns:r="http://schemas.openxmlformats.org/officeDocument/2006/relationships" ref="H10" r:id="rId48"/>
    <hyperlink xmlns:r="http://schemas.openxmlformats.org/officeDocument/2006/relationships" ref="N10" r:id="rId49"/>
    <hyperlink xmlns:r="http://schemas.openxmlformats.org/officeDocument/2006/relationships" ref="AN10" r:id="rId50"/>
    <hyperlink xmlns:r="http://schemas.openxmlformats.org/officeDocument/2006/relationships" ref="C11" r:id="rId51"/>
    <hyperlink xmlns:r="http://schemas.openxmlformats.org/officeDocument/2006/relationships" ref="D11" r:id="rId52"/>
    <hyperlink xmlns:r="http://schemas.openxmlformats.org/officeDocument/2006/relationships" ref="H11" r:id="rId53"/>
    <hyperlink xmlns:r="http://schemas.openxmlformats.org/officeDocument/2006/relationships" ref="N11" r:id="rId54"/>
    <hyperlink xmlns:r="http://schemas.openxmlformats.org/officeDocument/2006/relationships" ref="AE11" r:id="rId55"/>
    <hyperlink xmlns:r="http://schemas.openxmlformats.org/officeDocument/2006/relationships" ref="AN11" r:id="rId56"/>
    <hyperlink xmlns:r="http://schemas.openxmlformats.org/officeDocument/2006/relationships" ref="C12" r:id="rId57"/>
    <hyperlink xmlns:r="http://schemas.openxmlformats.org/officeDocument/2006/relationships" ref="D12" r:id="rId58"/>
    <hyperlink xmlns:r="http://schemas.openxmlformats.org/officeDocument/2006/relationships" ref="H12" r:id="rId59"/>
    <hyperlink xmlns:r="http://schemas.openxmlformats.org/officeDocument/2006/relationships" ref="N12" r:id="rId60"/>
    <hyperlink xmlns:r="http://schemas.openxmlformats.org/officeDocument/2006/relationships" ref="AE12" r:id="rId61"/>
    <hyperlink xmlns:r="http://schemas.openxmlformats.org/officeDocument/2006/relationships" ref="AN12" r:id="rId62"/>
    <hyperlink xmlns:r="http://schemas.openxmlformats.org/officeDocument/2006/relationships" ref="C13" r:id="rId63"/>
    <hyperlink xmlns:r="http://schemas.openxmlformats.org/officeDocument/2006/relationships" ref="D13" r:id="rId64"/>
    <hyperlink xmlns:r="http://schemas.openxmlformats.org/officeDocument/2006/relationships" ref="H13" r:id="rId65"/>
    <hyperlink xmlns:r="http://schemas.openxmlformats.org/officeDocument/2006/relationships" ref="AE13" r:id="rId66"/>
    <hyperlink xmlns:r="http://schemas.openxmlformats.org/officeDocument/2006/relationships" ref="AN13" r:id="rId67"/>
    <hyperlink xmlns:r="http://schemas.openxmlformats.org/officeDocument/2006/relationships" ref="C14" r:id="rId68"/>
    <hyperlink xmlns:r="http://schemas.openxmlformats.org/officeDocument/2006/relationships" ref="D14" r:id="rId69"/>
    <hyperlink xmlns:r="http://schemas.openxmlformats.org/officeDocument/2006/relationships" ref="H14" r:id="rId70"/>
    <hyperlink xmlns:r="http://schemas.openxmlformats.org/officeDocument/2006/relationships" ref="AE14" r:id="rId71"/>
    <hyperlink xmlns:r="http://schemas.openxmlformats.org/officeDocument/2006/relationships" ref="AN14" r:id="rId72"/>
    <hyperlink xmlns:r="http://schemas.openxmlformats.org/officeDocument/2006/relationships" ref="C15" r:id="rId73"/>
    <hyperlink xmlns:r="http://schemas.openxmlformats.org/officeDocument/2006/relationships" ref="D15" r:id="rId74"/>
    <hyperlink xmlns:r="http://schemas.openxmlformats.org/officeDocument/2006/relationships" ref="H15" r:id="rId75"/>
    <hyperlink xmlns:r="http://schemas.openxmlformats.org/officeDocument/2006/relationships" ref="AN15" r:id="rId76"/>
    <hyperlink xmlns:r="http://schemas.openxmlformats.org/officeDocument/2006/relationships" ref="C16" r:id="rId77"/>
    <hyperlink xmlns:r="http://schemas.openxmlformats.org/officeDocument/2006/relationships" ref="D16" r:id="rId78"/>
    <hyperlink xmlns:r="http://schemas.openxmlformats.org/officeDocument/2006/relationships" ref="H16" r:id="rId79"/>
    <hyperlink xmlns:r="http://schemas.openxmlformats.org/officeDocument/2006/relationships" ref="AN16" r:id="rId80"/>
    <hyperlink xmlns:r="http://schemas.openxmlformats.org/officeDocument/2006/relationships" ref="C17" r:id="rId81"/>
    <hyperlink xmlns:r="http://schemas.openxmlformats.org/officeDocument/2006/relationships" ref="D17" r:id="rId82"/>
    <hyperlink xmlns:r="http://schemas.openxmlformats.org/officeDocument/2006/relationships" ref="H17" r:id="rId83"/>
    <hyperlink xmlns:r="http://schemas.openxmlformats.org/officeDocument/2006/relationships" ref="AE17" r:id="rId84"/>
    <hyperlink xmlns:r="http://schemas.openxmlformats.org/officeDocument/2006/relationships" ref="AN17" r:id="rId85"/>
    <hyperlink xmlns:r="http://schemas.openxmlformats.org/officeDocument/2006/relationships" ref="C18" r:id="rId86"/>
    <hyperlink xmlns:r="http://schemas.openxmlformats.org/officeDocument/2006/relationships" ref="D18" r:id="rId87"/>
    <hyperlink xmlns:r="http://schemas.openxmlformats.org/officeDocument/2006/relationships" ref="H18" r:id="rId88"/>
    <hyperlink xmlns:r="http://schemas.openxmlformats.org/officeDocument/2006/relationships" ref="AN18" r:id="rId89"/>
    <hyperlink xmlns:r="http://schemas.openxmlformats.org/officeDocument/2006/relationships" ref="C19" r:id="rId90"/>
    <hyperlink xmlns:r="http://schemas.openxmlformats.org/officeDocument/2006/relationships" ref="D19" r:id="rId91"/>
    <hyperlink xmlns:r="http://schemas.openxmlformats.org/officeDocument/2006/relationships" ref="H19" r:id="rId92"/>
    <hyperlink xmlns:r="http://schemas.openxmlformats.org/officeDocument/2006/relationships" ref="AE19" r:id="rId93"/>
    <hyperlink xmlns:r="http://schemas.openxmlformats.org/officeDocument/2006/relationships" ref="AN19" r:id="rId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2026-09-18T23:53:15Z</dcterms:created>
  <dcterms:modified xmlns:dcterms="http://purl.org/dc/terms/" xmlns:xsi="http://www.w3.org/2001/XMLSchema-instance" xsi:type="dcterms:W3CDTF">2026-09-18T23:53:15Z</dcterms:modified>
</cp:coreProperties>
</file>