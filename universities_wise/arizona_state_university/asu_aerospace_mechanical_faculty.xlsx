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B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20" customWidth="1" min="23" max="23"/>
    <col width="49" customWidth="1" min="24" max="24"/>
    <col width="56" customWidth="1" min="25" max="25"/>
    <col width="54" customWidth="1" min="26" max="26"/>
    <col width="18" customWidth="1" min="27" max="27"/>
    <col width="49" customWidth="1" min="28" max="2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Funding Sponsors</t>
        </is>
      </c>
      <c r="X1" s="1" t="inlineStr">
        <is>
          <t>Software / Code Repo</t>
        </is>
      </c>
      <c r="Y1" s="1" t="inlineStr">
        <is>
          <t>Latest Project / Highlight</t>
        </is>
      </c>
      <c r="Z1" s="1" t="inlineStr">
        <is>
          <t>Office Location</t>
        </is>
      </c>
      <c r="AA1" s="1" t="inlineStr">
        <is>
          <t>Is Field Match</t>
        </is>
      </c>
      <c r="AB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is>
          <t>AFOSR</t>
        </is>
      </c>
      <c r="X2" s="3">
        <f>HYPERLINK("https://bitbucket.org/krgasu/leap/downloads/leap-v0.8.2.tar.gz", "https://bitbucket.org/krgasu/leap/downloads/leap-v0.8.2.tar.gz, https://bitbucket.org/krgasu/leap/src/master")</f>
        <v/>
      </c>
      <c r="Y2" s="2" t="inlineStr">
        <is>
          <t>School for Engineering of Matter, Transport &amp; Energy</t>
        </is>
      </c>
      <c r="Z2" s="2" t="inlineStr"/>
      <c r="AA2" s="2" t="b">
        <v>1</v>
      </c>
      <c r="AB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MAE 584: Internship | MAE 593: Applied Project | MAE 241: Intro to Thermodynamics</t>
        </is>
      </c>
      <c r="M3" s="2" t="inlineStr">
        <is>
          <t>2017         AFOSR Young Investigator (YIP) Award,  ASU | 2016         JQSRT/Elsevier Viskanta Young Scientist Award,  ASU</t>
        </is>
      </c>
      <c r="N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NASA, NSF</t>
        </is>
      </c>
      <c r="X3" s="2" t="inlineStr"/>
      <c r="Y3" s="2" t="inlineStr">
        <is>
          <t>News&amp;Awards</t>
        </is>
      </c>
      <c r="Z3" s="2" t="inlineStr">
        <is>
          <t>ENGRC 327 (Tempe, AZ 85287-6106)</t>
        </is>
      </c>
      <c r="AA3" s="2" t="b">
        <v>1</v>
      </c>
      <c r="AB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is>
          <t>If you're interested in joining our group, please email Prof. Oswald with your CV, research interests, and any supporting materials such as publications or code samples.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c r="V4" s="2" t="inlineStr"/>
      <c r="W4" s="2" t="inlineStr"/>
      <c r="X4" s="2" t="inlineStr"/>
      <c r="Y4" s="2" t="inlineStr">
        <is>
          <t>Multiscale polymer analysis</t>
        </is>
      </c>
      <c r="Z4" s="2" t="inlineStr">
        <is>
          <t>ENGRC 353 (Tempe, AZ 85287-6106)</t>
        </is>
      </c>
      <c r="AA4" s="2" t="b">
        <v>1</v>
      </c>
      <c r="AB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MAE 547: Modeling and Control of Robots | MAE 593: Applied Project | MAE 499: Individualized Instruction</t>
        </is>
      </c>
      <c r="M5" s="2" t="inlineStr"/>
      <c r="N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V5" s="2" t="inlineStr"/>
      <c r="W5" s="2" t="inlineStr"/>
      <c r="X5" s="2" t="inlineStr"/>
      <c r="Y5" s="2" t="inlineStr">
        <is>
          <t>Mission and Core Values</t>
        </is>
      </c>
      <c r="Z5" s="2" t="inlineStr">
        <is>
          <t>Campus: Tempe</t>
        </is>
      </c>
      <c r="AA5" s="2" t="b">
        <v>1</v>
      </c>
      <c r="AB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is>
          <t>ENGRC 361 (TEMPE, AZ 85287-6106)</t>
        </is>
      </c>
      <c r="AA6" s="2" t="b">
        <v>1</v>
      </c>
      <c r="AB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b">
        <v>1</v>
      </c>
      <c r="AB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is>
          <t>551 E Tyler Mall ERC 475 (Tempe, AZ 85281)</t>
        </is>
      </c>
      <c r="AA8" s="2" t="b">
        <v>1</v>
      </c>
      <c r="AB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MAE 499: Individualized Instruction | MAE 202: Mech.Particles/Rigid Bodies II | MAE 318: System Dynamics and Control I</t>
        </is>
      </c>
      <c r="M9" s="2" t="inlineStr"/>
      <c r="N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V9" s="2" t="inlineStr"/>
      <c r="W9" s="2" t="inlineStr"/>
      <c r="X9" s="2" t="inlineStr"/>
      <c r="Y9" s="2" t="inlineStr">
        <is>
          <t>Ocean and Soft Intelligent Structure Interaction Lab</t>
        </is>
      </c>
      <c r="Z9" s="2" t="inlineStr">
        <is>
          <t>ERC 485 (Tempe, AZ 85287)</t>
        </is>
      </c>
      <c r="AA9" s="2" t="b">
        <v>1</v>
      </c>
      <c r="AB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is>
          <t>Want to be part of CMAT Lab?</t>
        </is>
      </c>
      <c r="Z10" s="2" t="inlineStr">
        <is>
          <t>551 E Tyler Mall ERC 479 (Tempe, AZ 85281)</t>
        </is>
      </c>
      <c r="AA10" s="2" t="b">
        <v>1</v>
      </c>
      <c r="AB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is>
          <t>ENGRC 311 (TEMPE, AZ 85287-6106)</t>
        </is>
      </c>
      <c r="AA11" s="2" t="b">
        <v>1</v>
      </c>
      <c r="AB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MAE 318: System Dynamics and Control I | MAE 598: Special Topics | MAE 593: Applied Project</t>
        </is>
      </c>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is>
          <t>ENGRC 375 (Tempe, AZ 85287-6106)</t>
        </is>
      </c>
      <c r="AA12" s="2" t="b">
        <v>1</v>
      </c>
      <c r="AB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c r="V13" s="2" t="inlineStr"/>
      <c r="W13" s="2" t="inlineStr"/>
      <c r="X13" s="2" t="inlineStr"/>
      <c r="Y13" s="2" t="inlineStr"/>
      <c r="Z13" s="2" t="inlineStr">
        <is>
          <t>Campus: Tempe</t>
        </is>
      </c>
      <c r="AA13" s="2" t="b">
        <v>1</v>
      </c>
      <c r="AB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is>
          <t>MAE 242: Intro to Fluid Mechanics | MAE 593: Applied Project | MAE 598: Special Topics</t>
        </is>
      </c>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is>
          <t>Campus: Tempe</t>
        </is>
      </c>
      <c r="AA14" s="2" t="b">
        <v>1</v>
      </c>
      <c r="AB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MAE 593: Applied Project | MAE 318: System Dynamics and Control I | MAE 509: LMI Methods</t>
        </is>
      </c>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is>
          <t>ENGRC 253 (Tempe, AZ 85287-6106)</t>
        </is>
      </c>
      <c r="AA15" s="2" t="b">
        <v>1</v>
      </c>
      <c r="AB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MAE 241: Intro to Thermodynamics | MAE 593: Applied Project | MAE 588: Nanoscale Heat Transfer</t>
        </is>
      </c>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is>
          <t>ENGRC 307 (Tempe, AZ 85287-6106)</t>
        </is>
      </c>
      <c r="AA16" s="2" t="b">
        <v>1</v>
      </c>
      <c r="AB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is>
          <t>ENGRC 465 (Tempe, AZ 85287)</t>
        </is>
      </c>
      <c r="AA17" s="2" t="b">
        <v>1</v>
      </c>
      <c r="AB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is>
          <t>ENGRC 377 (TEMPE, AZ 85287-6106)</t>
        </is>
      </c>
      <c r="AA18" s="2" t="b">
        <v>1</v>
      </c>
      <c r="AB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HYPERLINK("https://scholar.google.com/citations?view_op=search_authors&amp;mauthors=Tianyu%20Yang%20Arizona%20State%20University", "Google Scholar Search")</f>
        <v/>
      </c>
      <c r="E19" s="2" t="inlineStr">
        <is>
          <t>Assistant Professor</t>
        </is>
      </c>
      <c r="F19" s="2" t="inlineStr">
        <is>
          <t>Aerospace &amp; Mechanical Engineering</t>
        </is>
      </c>
      <c r="G19" s="2" t="inlineStr"/>
      <c r="H19" s="3">
        <f>HYPERLINK("mailto:Tianyu.Yang@asu.edu", "Tianyu.Yang@asu.edu")</f>
        <v/>
      </c>
      <c r="I19" s="2" t="n">
        <v>4</v>
      </c>
      <c r="J19" s="2" t="inlineStr">
        <is>
          <t>autonomous, heat transfer, materials, thermal</t>
        </is>
      </c>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c r="AA19" s="2" t="b">
        <v>1</v>
      </c>
      <c r="AB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c r="AA20" s="2" t="b">
        <v>1</v>
      </c>
      <c r="AB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is>
          <t>Campus: Tempe</t>
        </is>
      </c>
      <c r="AA21" s="2" t="b">
        <v>1</v>
      </c>
      <c r="AB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c r="V22" s="2" t="inlineStr"/>
      <c r="W22" s="2" t="inlineStr">
        <is>
          <t>NSF</t>
        </is>
      </c>
      <c r="X22" s="2" t="inlineStr"/>
      <c r="Y22" s="2" t="inlineStr">
        <is>
          <t>3D Energy Device Laboratory</t>
        </is>
      </c>
      <c r="Z22" s="2" t="inlineStr">
        <is>
          <t>551 E Tyler Mall ERC 363 (Tempe, AZ 85281)</t>
        </is>
      </c>
      <c r="AA22" s="2" t="b">
        <v>1</v>
      </c>
      <c r="AB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MAE 417: System Dynamics and Control II | MAE 598: Special Topics | MAE 547: Modeling and Control of Robots</t>
        </is>
      </c>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is>
          <t>Campus: Tempe</t>
        </is>
      </c>
      <c r="AA23" s="2" t="b">
        <v>1</v>
      </c>
      <c r="AB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is>
          <t>Campus: Tempe</t>
        </is>
      </c>
      <c r="AA24" s="2" t="b">
        <v>1</v>
      </c>
      <c r="AB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MAE 598: Special Topics | MAE 494: Special Topics | MAE 201: Mech. Particles/Rigid Bodies I</t>
        </is>
      </c>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is>
          <t>ISTB4, ROOM 379 781 S Terrace Rd (Tempe, AZ 85287)</t>
        </is>
      </c>
      <c r="AA25" s="2" t="b">
        <v>1</v>
      </c>
      <c r="AB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is>
          <t>ENGRC 463 (TEMPE, AZ 85287-6106)</t>
        </is>
      </c>
      <c r="AA26" s="2" t="b">
        <v>1</v>
      </c>
      <c r="AB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MAE 215: Intro to Programming in MATLAB | MAE 591: Seminar | MAE 593: Applied Project</t>
        </is>
      </c>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is>
          <t>ENGRC 379 (Tempe, AZ 85287-6106)</t>
        </is>
      </c>
      <c r="AA27" s="2" t="b">
        <v>1</v>
      </c>
      <c r="AB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MAE 551: Appl Machine Learn Mech Engr | MAE 451: Appl Machine Learn Mech Engr | MAE 202: Mech.Particles/Rigid Bodies II</t>
        </is>
      </c>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is>
          <t>Campus: Tempe</t>
        </is>
      </c>
      <c r="AA28" s="2" t="b">
        <v>1</v>
      </c>
      <c r="AB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c r="V29" s="2" t="inlineStr"/>
      <c r="W29" s="2" t="inlineStr"/>
      <c r="X29" s="2" t="inlineStr"/>
      <c r="Y29" s="2" t="inlineStr">
        <is>
          <t>Log in to www_public</t>
        </is>
      </c>
      <c r="Z29" s="2" t="inlineStr"/>
      <c r="AA29" s="2" t="b">
        <v>1</v>
      </c>
      <c r="AB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is>
          <t>Nanostructured Materials</t>
        </is>
      </c>
      <c r="Z30" s="2" t="inlineStr">
        <is>
          <t>ENGRC 355 (Tempe, AZ 85287-6106)</t>
        </is>
      </c>
      <c r="AA30" s="2" t="b">
        <v>1</v>
      </c>
      <c r="AB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c r="Z31" s="2" t="inlineStr">
        <is>
          <t>ENGRC 309 (Tempe, AZ 85287)</t>
        </is>
      </c>
      <c r="AA31" s="2" t="b">
        <v>1</v>
      </c>
      <c r="AB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is>
          <t>Campus: Tempe</t>
        </is>
      </c>
      <c r="AA32" s="2" t="b">
        <v>1</v>
      </c>
      <c r="AB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is>
          <t>Campus: Tempe</t>
        </is>
      </c>
      <c r="AA33" s="2" t="b">
        <v>1</v>
      </c>
      <c r="AB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is>
          <t>Goldwater 466 (TEMPE, AZ 85287-6106)</t>
        </is>
      </c>
      <c r="AA34" s="2" t="b">
        <v>1</v>
      </c>
      <c r="AB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MAE 301: Applied Experimental Statistic | MAE 593: Applied Project | MAE 547: Modeling and Control of Robots</t>
        </is>
      </c>
      <c r="M35" s="2" t="inlineStr"/>
      <c r="N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V35" s="2" t="inlineStr"/>
      <c r="W35" s="2" t="inlineStr">
        <is>
          <t>NSF</t>
        </is>
      </c>
      <c r="X35" s="3">
        <f>HYPERLINK("https://github.com/asu-iris", "https://github.com/asu-iris")</f>
        <v/>
      </c>
      <c r="Y35" s="2" t="inlineStr">
        <is>
          <t>Recent Updates</t>
        </is>
      </c>
      <c r="Z35" s="2" t="inlineStr">
        <is>
          <t>Campus: Tempe</t>
        </is>
      </c>
      <c r="AA35" s="2" t="b">
        <v>1</v>
      </c>
      <c r="AB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is>
          <t>ENGRC 409 (Tempe, AZ 85287-6106)</t>
        </is>
      </c>
      <c r="AA36" s="2" t="b">
        <v>1</v>
      </c>
      <c r="AB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MAE 301: Applied Experimental Statistic | MAE 593: Applied Project | MAE 494: Special Topics</t>
        </is>
      </c>
      <c r="M37" s="2" t="inlineStr">
        <is>
          <t>2026 The J. Orin Edson Entrepreneurship &amp; Innovation Seed Funding Award ASU 2025 1st place Skysong Startup Competition C</t>
        </is>
      </c>
      <c r="N37" s="2" t="inlineStr">
        <is>
          <t>If you are interested in joining us, please send the full CV (with GPA; working and research experiences; publications) to Prof. Li (email: xiangjia.li AT asu.edu).</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is>
          <t>The labMI is looking for creative, motivated and energetic Ph.D., Master and Undergraduate students from diverse science and engineering field!</t>
        </is>
      </c>
      <c r="V37" s="2" t="inlineStr"/>
      <c r="W37" s="2" t="inlineStr">
        <is>
          <t>NSF</t>
        </is>
      </c>
      <c r="X37" s="2" t="inlineStr"/>
      <c r="Y37" s="2" t="inlineStr">
        <is>
          <t>Manufacturing</t>
        </is>
      </c>
      <c r="Z37" s="2" t="inlineStr">
        <is>
          <t>ERC457 551 E Tyler Mall (Tempe, AZ 85281)</t>
        </is>
      </c>
      <c r="AA37" s="2" t="b">
        <v>1</v>
      </c>
      <c r="AB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c r="AA38" s="2" t="b">
        <v>1</v>
      </c>
      <c r="AB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is>
          <t>Campus: Tempe</t>
        </is>
      </c>
      <c r="AA39" s="2" t="b">
        <v>1</v>
      </c>
      <c r="AB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MAE 510: Dynamics and Vibrations | MAE 591: Seminar | MAE 394: Special Topics</t>
        </is>
      </c>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is>
          <t>ENGRC 411 (TEMPE, AZ 85287-6106)</t>
        </is>
      </c>
      <c r="AA40" s="2" t="b">
        <v>1</v>
      </c>
      <c r="AB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MAE 213: Mechanics of Materials | MAE 593: Applied Project | MAE 520: Stress Analysis</t>
        </is>
      </c>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is>
          <t>ENGRC 352 (TEMPE, AZ 85287-6106)</t>
        </is>
      </c>
      <c r="AA41" s="2" t="b">
        <v>1</v>
      </c>
      <c r="AB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Actively recruiting / Openings mentioned on lab site</t>
        </is>
      </c>
      <c r="V42" s="2" t="inlineStr"/>
      <c r="W42" s="2" t="inlineStr">
        <is>
          <t>NSF, ONR</t>
        </is>
      </c>
      <c r="X42" s="2" t="inlineStr"/>
      <c r="Y42" s="2" t="inlineStr">
        <is>
          <t>Highlighted as a cover in Small</t>
        </is>
      </c>
      <c r="Z42" s="2" t="inlineStr">
        <is>
          <t>Campus: Tempe</t>
        </is>
      </c>
      <c r="AA42" s="2" t="b">
        <v>1</v>
      </c>
      <c r="AB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MAE 494: Special Topics | MAE 598: Special Topics | MAE 301: Applied Experimental Statistic</t>
        </is>
      </c>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is>
          <t>GWC 464 (Tempe, AZ 85287-6106)</t>
        </is>
      </c>
      <c r="AA43" s="2" t="b">
        <v>1</v>
      </c>
      <c r="AB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X2" r:id="rId5"/>
    <hyperlink xmlns:r="http://schemas.openxmlformats.org/officeDocument/2006/relationships" ref="AB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B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B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B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B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B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B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B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B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B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B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B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B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B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B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B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B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B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B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B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B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B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B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B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B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B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B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B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B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B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B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B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B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X35" r:id="rId160"/>
    <hyperlink xmlns:r="http://schemas.openxmlformats.org/officeDocument/2006/relationships" ref="AB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B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B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B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B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B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B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B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B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49" customWidth="1" min="20" max="20"/>
    <col width="65" customWidth="1" min="21" max="21"/>
    <col width="53" customWidth="1" min="22" max="22"/>
    <col width="20" customWidth="1" min="23" max="23"/>
    <col width="49" customWidth="1" min="24" max="24"/>
    <col width="56" customWidth="1" min="25" max="25"/>
    <col width="54" customWidth="1" min="26" max="26"/>
    <col width="18" customWidth="1" min="27" max="27"/>
    <col width="49" customWidth="1" min="28" max="2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Courses Taught</t>
        </is>
      </c>
      <c r="M1" s="1" t="inlineStr">
        <is>
          <t>Recent Awards / Honors</t>
        </is>
      </c>
      <c r="N1" s="1" t="inlineStr">
        <is>
          <t>Cold Email / Application Instructions</t>
        </is>
      </c>
      <c r="O1" s="1" t="inlineStr">
        <is>
          <t>Research Interests</t>
        </is>
      </c>
      <c r="P1" s="1" t="inlineStr">
        <is>
          <t>Expertise Areas</t>
        </is>
      </c>
      <c r="Q1" s="1" t="inlineStr">
        <is>
          <t>Research / Bio Summary</t>
        </is>
      </c>
      <c r="R1" s="1" t="inlineStr">
        <is>
          <t>Education / Degrees</t>
        </is>
      </c>
      <c r="S1" s="1" t="inlineStr">
        <is>
          <t>Lab / Research Group Name</t>
        </is>
      </c>
      <c r="T1" s="1" t="inlineStr">
        <is>
          <t>Lab / Personal Website</t>
        </is>
      </c>
      <c r="U1" s="1" t="inlineStr">
        <is>
          <t>Actively Hiring / Openings</t>
        </is>
      </c>
      <c r="V1" s="1" t="inlineStr">
        <is>
          <t>Target Skills / Prerequisites</t>
        </is>
      </c>
      <c r="W1" s="1" t="inlineStr">
        <is>
          <t>Funding Sponsors</t>
        </is>
      </c>
      <c r="X1" s="1" t="inlineStr">
        <is>
          <t>Software / Code Repo</t>
        </is>
      </c>
      <c r="Y1" s="1" t="inlineStr">
        <is>
          <t>Latest Project / Highlight</t>
        </is>
      </c>
      <c r="Z1" s="1" t="inlineStr">
        <is>
          <t>Office Location</t>
        </is>
      </c>
      <c r="AA1" s="1" t="inlineStr">
        <is>
          <t>Is Field Match</t>
        </is>
      </c>
      <c r="AB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c r="M2" s="2" t="inlineStr"/>
      <c r="N2" s="2" t="inlineStr"/>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2" t="inlineStr">
        <is>
          <t>Multiphase Flow and Fluid-Structure Interaction Group</t>
        </is>
      </c>
      <c r="T2" s="3">
        <f>HYPERLINK("https://kasbaoui.bitbucket.io", "https://kasbaoui.bitbucket.io")</f>
        <v/>
      </c>
      <c r="U2" s="2" t="inlineStr"/>
      <c r="V2" s="2" t="inlineStr">
        <is>
          <t>CFD</t>
        </is>
      </c>
      <c r="W2" s="2" t="inlineStr">
        <is>
          <t>AFOSR</t>
        </is>
      </c>
      <c r="X2" s="3">
        <f>HYPERLINK("https://bitbucket.org/krgasu/leap/downloads/leap-v0.8.2.tar.gz", "https://bitbucket.org/krgasu/leap/downloads/leap-v0.8.2.tar.gz, https://bitbucket.org/krgasu/leap/src/master")</f>
        <v/>
      </c>
      <c r="Y2" s="2" t="inlineStr">
        <is>
          <t>School for Engineering of Matter, Transport &amp; Energy</t>
        </is>
      </c>
      <c r="Z2" s="2" t="inlineStr"/>
      <c r="AA2" s="2" t="b">
        <v>1</v>
      </c>
      <c r="AB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MAE 584: Internship | MAE 593: Applied Project | MAE 241: Intro to Thermodynamics</t>
        </is>
      </c>
      <c r="M3" s="2" t="inlineStr">
        <is>
          <t>2017         AFOSR Young Investigator (YIP) Award,  ASU | 2016         JQSRT/Elsevier Viskanta Young Scientist Award,  ASU</t>
        </is>
      </c>
      <c r="N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2" t="inlineStr">
        <is>
          <t>Nanoscale Thermal Radiation Lab</t>
        </is>
      </c>
      <c r="T3" s="3">
        <f>HYPERLINK("http://faculty.engineering.asu.edu/lpwang", "http://faculty.engineering.asu.edu/lpwang")</f>
        <v/>
      </c>
      <c r="U3" s="2" t="inlineStr">
        <is>
          <t>Multiple UG/MS research positions available for Fall 2024 (volunteer) and Spring/Summer 2025 (possible FURI / MORE support)</t>
        </is>
      </c>
      <c r="V3" s="2" t="inlineStr"/>
      <c r="W3" s="2" t="inlineStr">
        <is>
          <t>NASA, NSF</t>
        </is>
      </c>
      <c r="X3" s="2" t="inlineStr"/>
      <c r="Y3" s="2" t="inlineStr">
        <is>
          <t>News&amp;Awards</t>
        </is>
      </c>
      <c r="Z3" s="2" t="inlineStr">
        <is>
          <t>ENGRC 327 (Tempe, AZ 85287-6106)</t>
        </is>
      </c>
      <c r="AA3" s="2" t="b">
        <v>1</v>
      </c>
      <c r="AB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MAE 404: Finite Elements in Engineering | MAE 503: Finite Elements in Engineering | MAE 593: Applied Project</t>
        </is>
      </c>
      <c r="M4" s="2" t="inlineStr"/>
      <c r="N4" s="2" t="inlineStr">
        <is>
          <t>If you're interested in joining our group, please email Prof. Oswald with your CV, research interests, and any supporting materials such as publications or code samples.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2" t="inlineStr">
        <is>
          <t>Computational Mechanics Lab</t>
        </is>
      </c>
      <c r="T4" s="3">
        <f>HYPERLINK("http://sparky.fulton.asu.edu/oswald/", "http://sparky.fulton.asu.edu/oswald/")</f>
        <v/>
      </c>
      <c r="U4" s="2" t="inlineStr"/>
      <c r="V4" s="2" t="inlineStr"/>
      <c r="W4" s="2" t="inlineStr"/>
      <c r="X4" s="2" t="inlineStr"/>
      <c r="Y4" s="2" t="inlineStr">
        <is>
          <t>Multiscale polymer analysis</t>
        </is>
      </c>
      <c r="Z4" s="2" t="inlineStr">
        <is>
          <t>ENGRC 353 (Tempe, AZ 85287-6106)</t>
        </is>
      </c>
      <c r="AA4" s="2" t="b">
        <v>1</v>
      </c>
      <c r="AB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MAE 547: Modeling and Control of Robots | MAE 593: Applied Project | MAE 499: Individualized Instruction</t>
        </is>
      </c>
      <c r="M5" s="2" t="inlineStr"/>
      <c r="N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2" t="inlineStr">
        <is>
          <t>Sun Robotics Lab</t>
        </is>
      </c>
      <c r="T5" s="3">
        <f>HYPERLINK("https://sunroboticslab.github.io", "https://sunroboticslab.github.io")</f>
        <v/>
      </c>
      <c r="U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V5" s="2" t="inlineStr"/>
      <c r="W5" s="2" t="inlineStr"/>
      <c r="X5" s="2" t="inlineStr"/>
      <c r="Y5" s="2" t="inlineStr">
        <is>
          <t>Mission and Core Values</t>
        </is>
      </c>
      <c r="Z5" s="2" t="inlineStr">
        <is>
          <t>Campus: Tempe</t>
        </is>
      </c>
      <c r="AA5" s="2" t="b">
        <v>1</v>
      </c>
      <c r="AB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MAE 242: Intro to Fluid Mechanics | MAE 384: Adv Math Methods for Engineers | MAE 501: Linear Algebra in Engineering</t>
        </is>
      </c>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2" t="inlineStr"/>
      <c r="T6" s="2" t="inlineStr"/>
      <c r="U6" s="2" t="inlineStr"/>
      <c r="V6" s="2" t="inlineStr"/>
      <c r="W6" s="2" t="inlineStr"/>
      <c r="X6" s="2" t="inlineStr"/>
      <c r="Y6" s="2" t="inlineStr"/>
      <c r="Z6" s="2" t="inlineStr">
        <is>
          <t>ENGRC 361 (TEMPE, AZ 85287-6106)</t>
        </is>
      </c>
      <c r="AA6" s="2" t="b">
        <v>1</v>
      </c>
      <c r="AB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2" t="inlineStr"/>
      <c r="T7" s="2" t="inlineStr"/>
      <c r="U7" s="2" t="inlineStr"/>
      <c r="V7" s="2" t="inlineStr"/>
      <c r="W7" s="2" t="inlineStr"/>
      <c r="X7" s="2" t="inlineStr"/>
      <c r="Y7" s="2" t="inlineStr"/>
      <c r="Z7" s="2" t="inlineStr"/>
      <c r="AA7" s="2" t="b">
        <v>1</v>
      </c>
      <c r="AB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MAE 417: System Dynamics and Control II | MAE 593: Applied Project | MAE 598: Special Topics</t>
        </is>
      </c>
      <c r="M8" s="2" t="inlineStr"/>
      <c r="N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2" t="inlineStr">
        <is>
          <t>Safe and Autonomous Robotics (STAR) Lab</t>
        </is>
      </c>
      <c r="T8" s="3">
        <f>HYPERLINK("https://sites.google.com/asu.edu/kunalgarg/", "https://sites.google.com/asu.edu/kunalgarg/")</f>
        <v/>
      </c>
      <c r="U8" s="2" t="inlineStr">
        <is>
          <t>Actively seeking graduate students (see lab link/instructions)</t>
        </is>
      </c>
      <c r="V8" s="2" t="inlineStr">
        <is>
          <t>Python, PyTorch, ROS, ROS2, C/C++, Linear Algebra</t>
        </is>
      </c>
      <c r="W8" s="2" t="inlineStr"/>
      <c r="X8" s="2" t="inlineStr"/>
      <c r="Y8" s="2" t="inlineStr"/>
      <c r="Z8" s="2" t="inlineStr">
        <is>
          <t>551 E Tyler Mall ERC 475 (Tempe, AZ 85281)</t>
        </is>
      </c>
      <c r="AA8" s="2" t="b">
        <v>1</v>
      </c>
      <c r="AB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MAE 499: Individualized Instruction | MAE 202: Mech.Particles/Rigid Bodies II | MAE 318: System Dynamics and Control I</t>
        </is>
      </c>
      <c r="M9" s="2" t="inlineStr"/>
      <c r="N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2" t="inlineStr">
        <is>
          <t>Optimization, Autonomy, and Soft Intelligence Systems (OASIS) Lab</t>
        </is>
      </c>
      <c r="T9" s="3">
        <f>HYPERLINK("https://sites.google.com/view/oasislabasu", "https://sites.google.com/view/oasislabasu")</f>
        <v/>
      </c>
      <c r="U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V9" s="2" t="inlineStr"/>
      <c r="W9" s="2" t="inlineStr"/>
      <c r="X9" s="2" t="inlineStr"/>
      <c r="Y9" s="2" t="inlineStr">
        <is>
          <t>Ocean and Soft Intelligent Structure Interaction Lab</t>
        </is>
      </c>
      <c r="Z9" s="2" t="inlineStr">
        <is>
          <t>ERC 485 (Tempe, AZ 85287)</t>
        </is>
      </c>
      <c r="AA9" s="2" t="b">
        <v>1</v>
      </c>
      <c r="AB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MAE 575: Turbulence | MAE 593: Applied Project | MAE 499: Individualized Instruction</t>
        </is>
      </c>
      <c r="M10" s="2" t="inlineStr"/>
      <c r="N10" s="2" t="inlineStr"/>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2" t="inlineStr"/>
      <c r="T10" s="3">
        <f>HYPERLINK("https://faculty.engineering.asu.edu/cmat/", "https://faculty.engineering.asu.edu/cmat/")</f>
        <v/>
      </c>
      <c r="U10" s="2" t="inlineStr"/>
      <c r="V10" s="2" t="inlineStr"/>
      <c r="W10" s="2" t="inlineStr"/>
      <c r="X10" s="2" t="inlineStr"/>
      <c r="Y10" s="2" t="inlineStr">
        <is>
          <t>Want to be part of CMAT Lab?</t>
        </is>
      </c>
      <c r="Z10" s="2" t="inlineStr">
        <is>
          <t>551 E Tyler Mall ERC 479 (Tempe, AZ 85281)</t>
        </is>
      </c>
      <c r="AA10" s="2" t="b">
        <v>1</v>
      </c>
      <c r="AB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MAE 384: Adv Math Methods for Engineers | MAE 484: Internship | MAE 561: Computational Fluid Dynamics</t>
        </is>
      </c>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2" t="inlineStr">
        <is>
          <t>Computational Multiphase Physics Laboratory</t>
        </is>
      </c>
      <c r="T11" s="2" t="inlineStr"/>
      <c r="U11" s="2" t="inlineStr"/>
      <c r="V11" s="2" t="inlineStr"/>
      <c r="W11" s="2" t="inlineStr"/>
      <c r="X11" s="2" t="inlineStr"/>
      <c r="Y11" s="2" t="inlineStr"/>
      <c r="Z11" s="2" t="inlineStr">
        <is>
          <t>ENGRC 311 (TEMPE, AZ 85287-6106)</t>
        </is>
      </c>
      <c r="AA11" s="2" t="b">
        <v>1</v>
      </c>
      <c r="AB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MAE 318: System Dynamics and Control I | MAE 598: Special Topics | MAE 593: Applied Project</t>
        </is>
      </c>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2" t="inlineStr">
        <is>
          <t>Autonomous Collective Systems (ACS) Laboratory</t>
        </is>
      </c>
      <c r="T12" s="3">
        <f>HYPERLINK("http://faculty.engineering.asu.edu/acs/", "http://faculty.engineering.asu.edu/acs/")</f>
        <v/>
      </c>
      <c r="U12" s="2" t="inlineStr"/>
      <c r="V12" s="2" t="inlineStr"/>
      <c r="W12" s="2" t="inlineStr"/>
      <c r="X12" s="2" t="inlineStr"/>
      <c r="Y12" s="2" t="inlineStr"/>
      <c r="Z12" s="2" t="inlineStr">
        <is>
          <t>ENGRC 375 (Tempe, AZ 85287-6106)</t>
        </is>
      </c>
      <c r="AA12" s="2" t="b">
        <v>1</v>
      </c>
      <c r="AB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MAE 506: Adv Sys Model, Dynamic, Contrl | MAE 318: System Dynamics and Control I | MAE 593: Applied Project</t>
        </is>
      </c>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2" t="inlineStr"/>
      <c r="T13" s="3">
        <f>HYPERLINK("https://sites.google.com/site/zhexudavid00710/research?authuser=0", "https://sites.google.com/site/zhexudavid00710/research?authuser=0")</f>
        <v/>
      </c>
      <c r="U13" s="2" t="inlineStr"/>
      <c r="V13" s="2" t="inlineStr"/>
      <c r="W13" s="2" t="inlineStr"/>
      <c r="X13" s="2" t="inlineStr"/>
      <c r="Y13" s="2" t="inlineStr"/>
      <c r="Z13" s="2" t="inlineStr">
        <is>
          <t>Campus: Tempe</t>
        </is>
      </c>
      <c r="AA13" s="2" t="b">
        <v>1</v>
      </c>
      <c r="AB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is>
          <t>MAE 242: Intro to Fluid Mechanics | MAE 593: Applied Project | MAE 598: Special Topics</t>
        </is>
      </c>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2" t="inlineStr"/>
      <c r="T14" s="2" t="inlineStr"/>
      <c r="U14" s="2" t="inlineStr"/>
      <c r="V14" s="2" t="inlineStr"/>
      <c r="W14" s="2" t="inlineStr"/>
      <c r="X14" s="2" t="inlineStr"/>
      <c r="Y14" s="2" t="inlineStr"/>
      <c r="Z14" s="2" t="inlineStr">
        <is>
          <t>Campus: Tempe</t>
        </is>
      </c>
      <c r="AA14" s="2" t="b">
        <v>1</v>
      </c>
      <c r="AB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MAE 593: Applied Project | MAE 318: System Dynamics and Control I | MAE 509: LMI Methods</t>
        </is>
      </c>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2" t="inlineStr">
        <is>
          <t>Cybernetic Systems and Controls Laboratory (CSCL)</t>
        </is>
      </c>
      <c r="T15" s="3">
        <f>HYPERLINK("http://control.asu.edu/", "http://control.asu.edu/")</f>
        <v/>
      </c>
      <c r="U15" s="2" t="inlineStr"/>
      <c r="V15" s="2" t="inlineStr"/>
      <c r="W15" s="2" t="inlineStr"/>
      <c r="X15" s="2" t="inlineStr"/>
      <c r="Y15" s="2" t="inlineStr"/>
      <c r="Z15" s="2" t="inlineStr">
        <is>
          <t>ENGRC 253 (Tempe, AZ 85287-6106)</t>
        </is>
      </c>
      <c r="AA15" s="2" t="b">
        <v>1</v>
      </c>
      <c r="AB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MAE 241: Intro to Thermodynamics | MAE 593: Applied Project | MAE 588: Nanoscale Heat Transfer</t>
        </is>
      </c>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2" t="inlineStr"/>
      <c r="T16" s="3">
        <f>HYPERLINK("http://wang.faculty.asu.edu/", "http://wang.faculty.asu.edu/")</f>
        <v/>
      </c>
      <c r="U16" s="2" t="inlineStr"/>
      <c r="V16" s="2" t="inlineStr"/>
      <c r="W16" s="2" t="inlineStr"/>
      <c r="X16" s="2" t="inlineStr"/>
      <c r="Y16" s="2" t="inlineStr"/>
      <c r="Z16" s="2" t="inlineStr">
        <is>
          <t>ENGRC 307 (Tempe, AZ 85287-6106)</t>
        </is>
      </c>
      <c r="AA16" s="2" t="b">
        <v>1</v>
      </c>
      <c r="AB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MAE 593: Applied Project | MAE 436: Combustion | MAE 536: Combustion</t>
        </is>
      </c>
      <c r="M17" s="2" t="inlineStr">
        <is>
          <t>Outstanding Faculty Mentor, Fulton Schools of Engineering, For the Fulton Forge Student Research programs, 2026 | 1st Place, Student Paper Competition, 2025 ASME IMECE Power Symposium, 2025</t>
        </is>
      </c>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2" t="inlineStr"/>
      <c r="T17" s="3">
        <f>HYPERLINK("http://RESEARCHGATE.net/profile/Ryan_Milcarek", "http://RESEARCHGATE.net/profile/Ryan_Milcarek")</f>
        <v/>
      </c>
      <c r="U17" s="2" t="inlineStr"/>
      <c r="V17" s="2" t="inlineStr"/>
      <c r="W17" s="2" t="inlineStr"/>
      <c r="X17" s="2" t="inlineStr"/>
      <c r="Y17" s="2" t="inlineStr"/>
      <c r="Z17" s="2" t="inlineStr">
        <is>
          <t>ENGRC 465 (Tempe, AZ 85287)</t>
        </is>
      </c>
      <c r="AA17" s="2" t="b">
        <v>1</v>
      </c>
      <c r="AB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MAE 565: Rocket Propulsion | MAE 593: Applied Project | MAE 570: Intermediate Thermodynamics</t>
        </is>
      </c>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2" t="inlineStr"/>
      <c r="T18" s="2" t="inlineStr"/>
      <c r="U18" s="2" t="inlineStr"/>
      <c r="V18" s="2" t="inlineStr"/>
      <c r="W18" s="2" t="inlineStr"/>
      <c r="X18" s="2" t="inlineStr"/>
      <c r="Y18" s="2" t="inlineStr"/>
      <c r="Z18" s="2" t="inlineStr">
        <is>
          <t>ENGRC 377 (TEMPE, AZ 85287-6106)</t>
        </is>
      </c>
      <c r="AA18" s="2" t="b">
        <v>1</v>
      </c>
      <c r="AB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HYPERLINK("https://scholar.google.com/citations?view_op=search_authors&amp;mauthors=Tianyu%20Yang%20Arizona%20State%20University", "Google Scholar Search")</f>
        <v/>
      </c>
      <c r="E19" s="2" t="inlineStr">
        <is>
          <t>Assistant Professor</t>
        </is>
      </c>
      <c r="F19" s="2" t="inlineStr">
        <is>
          <t>Aerospace &amp; Mechanical Engineering</t>
        </is>
      </c>
      <c r="G19" s="2" t="inlineStr"/>
      <c r="H19" s="3">
        <f>HYPERLINK("mailto:Tianyu.Yang@asu.edu", "Tianyu.Yang@asu.edu")</f>
        <v/>
      </c>
      <c r="I19" s="2" t="n">
        <v>4</v>
      </c>
      <c r="J19" s="2" t="inlineStr">
        <is>
          <t>autonomous, heat transfer, materials, thermal</t>
        </is>
      </c>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2" t="inlineStr"/>
      <c r="T19" s="2" t="inlineStr"/>
      <c r="U19" s="2" t="inlineStr"/>
      <c r="V19" s="2" t="inlineStr"/>
      <c r="W19" s="2" t="inlineStr"/>
      <c r="X19" s="2" t="inlineStr"/>
      <c r="Y19" s="2" t="inlineStr"/>
      <c r="Z19" s="2" t="inlineStr"/>
      <c r="AA19" s="2" t="b">
        <v>1</v>
      </c>
      <c r="AB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2" t="inlineStr">
        <is>
          <t>Adaptive Intelligent Materials &amp; Systems (AIMS) Center</t>
        </is>
      </c>
      <c r="T20" s="2" t="inlineStr"/>
      <c r="U20" s="2" t="inlineStr"/>
      <c r="V20" s="2" t="inlineStr"/>
      <c r="W20" s="2" t="inlineStr"/>
      <c r="X20" s="2" t="inlineStr"/>
      <c r="Y20" s="2" t="inlineStr"/>
      <c r="Z20" s="2" t="inlineStr"/>
      <c r="AA20" s="2" t="b">
        <v>1</v>
      </c>
      <c r="AB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MAE 501: Linear Algebra in Engineering | MAE 215: Intro to Programming in MATLAB | MAE 202: Mech.Particles/Rigid Bodies II</t>
        </is>
      </c>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2" t="inlineStr"/>
      <c r="T21" s="2" t="inlineStr"/>
      <c r="U21" s="2" t="inlineStr"/>
      <c r="V21" s="2" t="inlineStr"/>
      <c r="W21" s="2" t="inlineStr"/>
      <c r="X21" s="2" t="inlineStr"/>
      <c r="Y21" s="2" t="inlineStr"/>
      <c r="Z21" s="2" t="inlineStr">
        <is>
          <t>Campus: Tempe</t>
        </is>
      </c>
      <c r="AA21" s="2" t="b">
        <v>1</v>
      </c>
      <c r="AB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MAE 593: Applied Project | MAE 241: Intro to Thermodynamics | MAE 598: Special Topics</t>
        </is>
      </c>
      <c r="M22" s="2" t="inlineStr"/>
      <c r="N22" s="2" t="inlineStr"/>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2" t="inlineStr">
        <is>
          <t>3D Energy Lab</t>
        </is>
      </c>
      <c r="T22" s="3">
        <f>HYPERLINK("http://sites.google.com/view/3denergy", "http://sites.google.com/view/3denergy")</f>
        <v/>
      </c>
      <c r="U22" s="2" t="inlineStr"/>
      <c r="V22" s="2" t="inlineStr"/>
      <c r="W22" s="2" t="inlineStr">
        <is>
          <t>NSF</t>
        </is>
      </c>
      <c r="X22" s="2" t="inlineStr"/>
      <c r="Y22" s="2" t="inlineStr">
        <is>
          <t>3D Energy Device Laboratory</t>
        </is>
      </c>
      <c r="Z22" s="2" t="inlineStr">
        <is>
          <t>551 E Tyler Mall ERC 363 (Tempe, AZ 85281)</t>
        </is>
      </c>
      <c r="AA22" s="2" t="b">
        <v>1</v>
      </c>
      <c r="AB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MAE 417: System Dynamics and Control II | MAE 598: Special Topics | MAE 547: Modeling and Control of Robots</t>
        </is>
      </c>
      <c r="M23" s="2" t="inlineStr">
        <is>
          <t>KEEN Professorship, The Kern Family Foundation, 2017. | Peebles Award for Graduate Student Research in Adhesion Science, Adhesion Society, 2015.</t>
        </is>
      </c>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2" t="inlineStr">
        <is>
          <t>Bio-Inspired Robotics, Technology, and Healthcare Laboratory (BIRTH Lab)</t>
        </is>
      </c>
      <c r="T23" s="3">
        <f>HYPERLINK("http://birth.asu.edu", "http://birth.asu.edu")</f>
        <v/>
      </c>
      <c r="U23" s="2" t="inlineStr"/>
      <c r="V23" s="2" t="inlineStr"/>
      <c r="W23" s="2" t="inlineStr"/>
      <c r="X23" s="2" t="inlineStr"/>
      <c r="Y23" s="2" t="inlineStr"/>
      <c r="Z23" s="2" t="inlineStr">
        <is>
          <t>Campus: Tempe</t>
        </is>
      </c>
      <c r="AA23" s="2" t="b">
        <v>1</v>
      </c>
      <c r="AB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MAE 598: Special Topics | MAE 417: System Dynamics and Control II | MAE 593: Applied Project</t>
        </is>
      </c>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2" t="inlineStr"/>
      <c r="T24" s="3">
        <f>HYPERLINK("https://faculty.engineering.asu.edu/hlee", "https://faculty.engineering.asu.edu/hlee")</f>
        <v/>
      </c>
      <c r="U24" s="2" t="inlineStr"/>
      <c r="V24" s="2" t="inlineStr"/>
      <c r="W24" s="2" t="inlineStr"/>
      <c r="X24" s="2" t="inlineStr"/>
      <c r="Y24" s="2" t="inlineStr"/>
      <c r="Z24" s="2" t="inlineStr">
        <is>
          <t>Campus: Tempe</t>
        </is>
      </c>
      <c r="AA24" s="2" t="b">
        <v>1</v>
      </c>
      <c r="AB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MAE 598: Special Topics | MAE 494: Special Topics | MAE 201: Mech. Particles/Rigid Bodies I</t>
        </is>
      </c>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2" t="inlineStr">
        <is>
          <t>Manufacturing and Advanced Materials Characterization (MAGIC) Lab</t>
        </is>
      </c>
      <c r="T25" s="3">
        <f>HYPERLINK("https://magic.asu.edu/", "https://magic.asu.edu/")</f>
        <v/>
      </c>
      <c r="U25" s="2" t="inlineStr"/>
      <c r="V25" s="2" t="inlineStr"/>
      <c r="W25" s="2" t="inlineStr"/>
      <c r="X25" s="2" t="inlineStr"/>
      <c r="Y25" s="2" t="inlineStr"/>
      <c r="Z25" s="2" t="inlineStr">
        <is>
          <t>ISTB4, ROOM 379 781 S Terrace Rd (Tempe, AZ 85287)</t>
        </is>
      </c>
      <c r="AA25" s="2" t="b">
        <v>1</v>
      </c>
      <c r="AB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MAE 593: Applied Project | MAE 494: Special Topics | MAE 598: Special Topics</t>
        </is>
      </c>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2" t="inlineStr"/>
      <c r="T26" s="2" t="inlineStr"/>
      <c r="U26" s="2" t="inlineStr"/>
      <c r="V26" s="2" t="inlineStr"/>
      <c r="W26" s="2" t="inlineStr"/>
      <c r="X26" s="2" t="inlineStr"/>
      <c r="Y26" s="2" t="inlineStr"/>
      <c r="Z26" s="2" t="inlineStr">
        <is>
          <t>ENGRC 463 (TEMPE, AZ 85287-6106)</t>
        </is>
      </c>
      <c r="AA26" s="2" t="b">
        <v>1</v>
      </c>
      <c r="AB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MAE 215: Intro to Programming in MATLAB | MAE 591: Seminar | MAE 593: Applied Project</t>
        </is>
      </c>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2" t="inlineStr">
        <is>
          <t>Interdisciplinary Simulation and Modeling (ISiM) Lab</t>
        </is>
      </c>
      <c r="T27" s="3">
        <f>HYPERLINK("https://isim.asu.edu", "https://isim.asu.edu")</f>
        <v/>
      </c>
      <c r="U27" s="2" t="inlineStr"/>
      <c r="V27" s="2" t="inlineStr"/>
      <c r="W27" s="2" t="inlineStr"/>
      <c r="X27" s="2" t="inlineStr"/>
      <c r="Y27" s="2" t="inlineStr"/>
      <c r="Z27" s="2" t="inlineStr">
        <is>
          <t>ENGRC 379 (Tempe, AZ 85287-6106)</t>
        </is>
      </c>
      <c r="AA27" s="2" t="b">
        <v>1</v>
      </c>
      <c r="AB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MAE 551: Appl Machine Learn Mech Engr | MAE 451: Appl Machine Learn Mech Engr | MAE 202: Mech.Particles/Rigid Bodies II</t>
        </is>
      </c>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2" t="inlineStr">
        <is>
          <t>Computational Materials Science and Design Lab</t>
        </is>
      </c>
      <c r="T28" s="2" t="inlineStr"/>
      <c r="U28" s="2" t="inlineStr"/>
      <c r="V28" s="2" t="inlineStr"/>
      <c r="W28" s="2" t="inlineStr"/>
      <c r="X28" s="2" t="inlineStr"/>
      <c r="Y28" s="2" t="inlineStr"/>
      <c r="Z28" s="2" t="inlineStr">
        <is>
          <t>Campus: Tempe</t>
        </is>
      </c>
      <c r="AA28" s="2" t="b">
        <v>1</v>
      </c>
      <c r="AB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c r="M29" s="2" t="inlineStr"/>
      <c r="N29" s="2" t="inlineStr"/>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2" t="inlineStr"/>
      <c r="T29" s="3">
        <f>HYPERLINK("http://www.public.asu.edu/~hhuang38", "http://www.public.asu.edu/~hhuang38")</f>
        <v/>
      </c>
      <c r="U29" s="2" t="inlineStr"/>
      <c r="V29" s="2" t="inlineStr"/>
      <c r="W29" s="2" t="inlineStr"/>
      <c r="X29" s="2" t="inlineStr"/>
      <c r="Y29" s="2" t="inlineStr">
        <is>
          <t>Log in to www_public</t>
        </is>
      </c>
      <c r="Z29" s="2" t="inlineStr"/>
      <c r="AA29" s="2" t="b">
        <v>1</v>
      </c>
      <c r="AB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MAE 593: Applied Project | MAE 519: Mechanics of Micro/Nano System | MAE 213: Mechanics of Materials</t>
        </is>
      </c>
      <c r="M30" s="2" t="inlineStr">
        <is>
          <t>2017 Best poster award at the TMS Annual Meeting. 2015 NSF CAREER award. 2010 Keynote presentation, U.S. National Congre</t>
        </is>
      </c>
      <c r="N30" s="2" t="inlineStr"/>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2" t="inlineStr">
        <is>
          <t>Nanomechanics Laboratory</t>
        </is>
      </c>
      <c r="T30" s="3">
        <f>HYPERLINK("http://faculty.engineering.asu.edu/jagan/", "http://faculty.engineering.asu.edu/jagan/")</f>
        <v/>
      </c>
      <c r="U30" s="2" t="inlineStr"/>
      <c r="V30" s="2" t="inlineStr"/>
      <c r="W30" s="2" t="inlineStr"/>
      <c r="X30" s="2" t="inlineStr"/>
      <c r="Y30" s="2" t="inlineStr">
        <is>
          <t>Nanostructured Materials</t>
        </is>
      </c>
      <c r="Z30" s="2" t="inlineStr">
        <is>
          <t>ENGRC 355 (Tempe, AZ 85287-6106)</t>
        </is>
      </c>
      <c r="AA30" s="2" t="b">
        <v>1</v>
      </c>
      <c r="AB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MAE 593: Applied Project | MAE 499: Individualized Instruction | MAE 586: Advanced Heat Transfer</t>
        </is>
      </c>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2" t="inlineStr">
        <is>
          <t>Nano-Bio-Thermal Engineering Laboratory</t>
        </is>
      </c>
      <c r="T31" s="3">
        <f>HYPERLINK("http://faculty.engineering.asu.edu/konrad/", "http://faculty.engineering.asu.edu/konrad/")</f>
        <v/>
      </c>
      <c r="U31" s="2" t="inlineStr"/>
      <c r="V31" s="2" t="inlineStr"/>
      <c r="W31" s="2" t="inlineStr"/>
      <c r="X31" s="2" t="inlineStr"/>
      <c r="Y31" s="2" t="inlineStr"/>
      <c r="Z31" s="2" t="inlineStr">
        <is>
          <t>ENGRC 309 (Tempe, AZ 85287)</t>
        </is>
      </c>
      <c r="AA31" s="2" t="b">
        <v>1</v>
      </c>
      <c r="AB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MAE 213: Mechanics of Materials | MAE 598: Special Topics</t>
        </is>
      </c>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2" t="inlineStr"/>
      <c r="T32" s="2" t="inlineStr"/>
      <c r="U32" s="2" t="inlineStr"/>
      <c r="V32" s="2" t="inlineStr"/>
      <c r="W32" s="2" t="inlineStr"/>
      <c r="X32" s="2" t="inlineStr"/>
      <c r="Y32" s="2" t="inlineStr"/>
      <c r="Z32" s="2" t="inlineStr">
        <is>
          <t>Campus: Tempe</t>
        </is>
      </c>
      <c r="AA32" s="2" t="b">
        <v>1</v>
      </c>
      <c r="AB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MAE 593: Applied Project | MAE 545: Modern Manufacturing Methods | MAE 499: Individualized Instruction</t>
        </is>
      </c>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2" t="inlineStr"/>
      <c r="T33" s="3">
        <f>HYPERLINK("https://mmmplab.engineering.asu.edu/", "https://mmmplab.engineering.asu.edu/")</f>
        <v/>
      </c>
      <c r="U33" s="2" t="inlineStr"/>
      <c r="V33" s="2" t="inlineStr"/>
      <c r="W33" s="2" t="inlineStr"/>
      <c r="X33" s="2" t="inlineStr"/>
      <c r="Y33" s="2" t="inlineStr"/>
      <c r="Z33" s="2" t="inlineStr">
        <is>
          <t>Campus: Tempe</t>
        </is>
      </c>
      <c r="AA33" s="2" t="b">
        <v>1</v>
      </c>
      <c r="AB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is>
          <t>MAE 579: Wind Energy | MAE 242: Intro to Fluid Mechanics | MAE 593: Applied Project</t>
        </is>
      </c>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2" t="inlineStr">
        <is>
          <t>Wind Energy and Atmospheric Boundary Layer Lab</t>
        </is>
      </c>
      <c r="T34" s="3">
        <f>HYPERLINK("https://windlab.engineering.asu.edu/ronald-calhoun/", "https://windlab.engineering.asu.edu/ronald-calhoun/")</f>
        <v/>
      </c>
      <c r="U34" s="2" t="inlineStr"/>
      <c r="V34" s="2" t="inlineStr"/>
      <c r="W34" s="2" t="inlineStr"/>
      <c r="X34" s="2" t="inlineStr"/>
      <c r="Y34" s="2" t="inlineStr"/>
      <c r="Z34" s="2" t="inlineStr">
        <is>
          <t>Goldwater 466 (TEMPE, AZ 85287-6106)</t>
        </is>
      </c>
      <c r="AA34" s="2" t="b">
        <v>1</v>
      </c>
      <c r="AB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MAE 301: Applied Experimental Statistic | MAE 593: Applied Project | MAE 547: Modeling and Control of Robots</t>
        </is>
      </c>
      <c r="M35" s="2" t="inlineStr"/>
      <c r="N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2" t="inlineStr">
        <is>
          <t>Intelligent Robotics and Interactive Systems Lab (IRIS Lab)</t>
        </is>
      </c>
      <c r="T35" s="3">
        <f>HYPERLINK("https://irislab.tech/", "https://irislab.tech/")</f>
        <v/>
      </c>
      <c r="U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V35" s="2" t="inlineStr"/>
      <c r="W35" s="2" t="inlineStr">
        <is>
          <t>NSF</t>
        </is>
      </c>
      <c r="X35" s="3">
        <f>HYPERLINK("https://github.com/asu-iris", "https://github.com/asu-iris")</f>
        <v/>
      </c>
      <c r="Y35" s="2" t="inlineStr">
        <is>
          <t>Recent Updates</t>
        </is>
      </c>
      <c r="Z35" s="2" t="inlineStr">
        <is>
          <t>Campus: Tempe</t>
        </is>
      </c>
      <c r="AA35" s="2" t="b">
        <v>1</v>
      </c>
      <c r="AB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MAE 548: Prob Methods for Eng Des/Analy | MAE 593: Applied Project | MAE 584: Internship</t>
        </is>
      </c>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2" t="inlineStr">
        <is>
          <t>Prognostics and Health Management (PHM) Lab</t>
        </is>
      </c>
      <c r="T36" s="2" t="inlineStr"/>
      <c r="U36" s="2" t="inlineStr"/>
      <c r="V36" s="2" t="inlineStr"/>
      <c r="W36" s="2" t="inlineStr"/>
      <c r="X36" s="2" t="inlineStr"/>
      <c r="Y36" s="2" t="inlineStr"/>
      <c r="Z36" s="2" t="inlineStr">
        <is>
          <t>ENGRC 409 (Tempe, AZ 85287-6106)</t>
        </is>
      </c>
      <c r="AA36" s="2" t="b">
        <v>1</v>
      </c>
      <c r="AB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MAE 301: Applied Experimental Statistic | MAE 593: Applied Project | MAE 494: Special Topics</t>
        </is>
      </c>
      <c r="M37" s="2" t="inlineStr">
        <is>
          <t>2026 The J. Orin Edson Entrepreneurship &amp; Innovation Seed Funding Award ASU 2025 1st place Skysong Startup Competition C</t>
        </is>
      </c>
      <c r="N37" s="2" t="inlineStr">
        <is>
          <t>If you are interested in joining us, please send the full CV (with GPA; working and research experiences; publications) to Prof. Li (email: xiangjia.li AT asu.edu).</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2" t="inlineStr">
        <is>
          <t>Advanced Manufacturing and Bio-inspired Design Lab</t>
        </is>
      </c>
      <c r="T37" s="3">
        <f>HYPERLINK("https://www.cindyxjli.com/", "https://www.cindyxjli.com/")</f>
        <v/>
      </c>
      <c r="U37" s="2" t="inlineStr">
        <is>
          <t>The labMI is looking for creative, motivated and energetic Ph.D., Master and Undergraduate students from diverse science and engineering field!</t>
        </is>
      </c>
      <c r="V37" s="2" t="inlineStr"/>
      <c r="W37" s="2" t="inlineStr">
        <is>
          <t>NSF</t>
        </is>
      </c>
      <c r="X37" s="2" t="inlineStr"/>
      <c r="Y37" s="2" t="inlineStr">
        <is>
          <t>Manufacturing</t>
        </is>
      </c>
      <c r="Z37" s="2" t="inlineStr">
        <is>
          <t>ERC457 551 E Tyler Mall (Tempe, AZ 85281)</t>
        </is>
      </c>
      <c r="AA37" s="2" t="b">
        <v>1</v>
      </c>
      <c r="AB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2" t="inlineStr"/>
      <c r="T38" s="2" t="inlineStr"/>
      <c r="U38" s="2" t="inlineStr"/>
      <c r="V38" s="2" t="inlineStr"/>
      <c r="W38" s="2" t="inlineStr"/>
      <c r="X38" s="2" t="inlineStr"/>
      <c r="Y38" s="2" t="inlineStr"/>
      <c r="Z38" s="2" t="inlineStr"/>
      <c r="AA38" s="2" t="b">
        <v>1</v>
      </c>
      <c r="AB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MAE 520: Stress Analysis | MAE 499: Individualized Instruction | MAE 598: Special Topics</t>
        </is>
      </c>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2" t="inlineStr"/>
      <c r="T39" s="2" t="inlineStr"/>
      <c r="U39" s="2" t="inlineStr"/>
      <c r="V39" s="2" t="inlineStr"/>
      <c r="W39" s="2" t="inlineStr"/>
      <c r="X39" s="2" t="inlineStr"/>
      <c r="Y39" s="2" t="inlineStr"/>
      <c r="Z39" s="2" t="inlineStr">
        <is>
          <t>Campus: Tempe</t>
        </is>
      </c>
      <c r="AA39" s="2" t="b">
        <v>1</v>
      </c>
      <c r="AB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MAE 510: Dynamics and Vibrations | MAE 591: Seminar | MAE 394: Special Topics</t>
        </is>
      </c>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2" t="inlineStr"/>
      <c r="T40" s="2" t="inlineStr"/>
      <c r="U40" s="2" t="inlineStr"/>
      <c r="V40" s="2" t="inlineStr"/>
      <c r="W40" s="2" t="inlineStr"/>
      <c r="X40" s="2" t="inlineStr"/>
      <c r="Y40" s="2" t="inlineStr"/>
      <c r="Z40" s="2" t="inlineStr">
        <is>
          <t>ENGRC 411 (TEMPE, AZ 85287-6106)</t>
        </is>
      </c>
      <c r="AA40" s="2" t="b">
        <v>1</v>
      </c>
      <c r="AB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MAE 213: Mechanics of Materials | MAE 593: Applied Project | MAE 520: Stress Analysis</t>
        </is>
      </c>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2" t="inlineStr"/>
      <c r="T41" s="3">
        <f>HYPERLINK("https://faculty.engineering.asu.edu/pperalta/", "https://faculty.engineering.asu.edu/pperalta/")</f>
        <v/>
      </c>
      <c r="U41" s="2" t="inlineStr"/>
      <c r="V41" s="2" t="inlineStr"/>
      <c r="W41" s="2" t="inlineStr"/>
      <c r="X41" s="2" t="inlineStr"/>
      <c r="Y41" s="2" t="inlineStr"/>
      <c r="Z41" s="2" t="inlineStr">
        <is>
          <t>ENGRC 352 (TEMPE, AZ 85287-6106)</t>
        </is>
      </c>
      <c r="AA41" s="2" t="b">
        <v>1</v>
      </c>
      <c r="AB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MAE 598: Special Topics | MAE 494: Special Topics | MAE 202: Mech.Particles/Rigid Bodies II</t>
        </is>
      </c>
      <c r="M42" s="2" t="inlineStr">
        <is>
          <t>NSF Career Award through the Advanced Manufacturing (AM) program, 2024. | U.S. Air Force Research Lab Summer Faculty (AFRL) Fellowship , 2021.</t>
        </is>
      </c>
      <c r="N42" s="2" t="inlineStr"/>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2" t="inlineStr"/>
      <c r="T42" s="3">
        <f>HYPERLINK("https://wonmokang3.wixsite.com/website", "https://wonmokang3.wixsite.com/website")</f>
        <v/>
      </c>
      <c r="U42" s="2" t="inlineStr">
        <is>
          <t>Actively recruiting / Openings mentioned on lab site</t>
        </is>
      </c>
      <c r="V42" s="2" t="inlineStr"/>
      <c r="W42" s="2" t="inlineStr">
        <is>
          <t>NSF, ONR</t>
        </is>
      </c>
      <c r="X42" s="2" t="inlineStr"/>
      <c r="Y42" s="2" t="inlineStr">
        <is>
          <t>Highlighted as a cover in Small</t>
        </is>
      </c>
      <c r="Z42" s="2" t="inlineStr">
        <is>
          <t>Campus: Tempe</t>
        </is>
      </c>
      <c r="AA42" s="2" t="b">
        <v>1</v>
      </c>
      <c r="AB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MAE 494: Special Topics | MAE 598: Special Topics | MAE 301: Applied Experimental Statistic</t>
        </is>
      </c>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2" t="inlineStr"/>
      <c r="T43" s="2" t="inlineStr"/>
      <c r="U43" s="2" t="inlineStr"/>
      <c r="V43" s="2" t="inlineStr"/>
      <c r="W43" s="2" t="inlineStr"/>
      <c r="X43" s="2" t="inlineStr"/>
      <c r="Y43" s="2" t="inlineStr"/>
      <c r="Z43" s="2" t="inlineStr">
        <is>
          <t>GWC 464 (Tempe, AZ 85287-6106)</t>
        </is>
      </c>
      <c r="AA43" s="2" t="b">
        <v>1</v>
      </c>
      <c r="AB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is>
          <t>MAE 242: Intro to Fluid Mechanics | MAE 301: Applied Experimental Statistic | MAE 241: Intro to Thermodynamics</t>
        </is>
      </c>
      <c r="M44" s="2" t="inlineStr"/>
      <c r="N44" s="2" t="inlineStr"/>
      <c r="O44" s="2" t="inlineStr"/>
      <c r="P44" s="2" t="inlineStr"/>
      <c r="Q44" s="2" t="inlineStr"/>
      <c r="R44" s="2" t="inlineStr"/>
      <c r="S44" s="2" t="inlineStr"/>
      <c r="T44" s="2" t="inlineStr"/>
      <c r="U44" s="2" t="inlineStr"/>
      <c r="V44" s="2" t="inlineStr"/>
      <c r="W44" s="2" t="inlineStr"/>
      <c r="X44" s="2" t="inlineStr"/>
      <c r="Y44" s="2" t="inlineStr"/>
      <c r="Z44" s="2" t="inlineStr">
        <is>
          <t>Campus: Tempe</t>
        </is>
      </c>
      <c r="AA44" s="2" t="b">
        <v>0</v>
      </c>
      <c r="AB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c r="M45" s="2" t="inlineStr"/>
      <c r="N45" s="2" t="inlineStr"/>
      <c r="O45" s="2" t="inlineStr"/>
      <c r="P45" s="2" t="inlineStr"/>
      <c r="Q45" s="2" t="inlineStr"/>
      <c r="R45" s="2" t="inlineStr">
        <is>
          <t>Ph.D. in Mechanical Engineering 2022 - University of Utah B.S./M.S.in Mechanical Engineering 2018 - University of Utah</t>
        </is>
      </c>
      <c r="S45" s="2" t="inlineStr"/>
      <c r="T45" s="2" t="inlineStr"/>
      <c r="U45" s="2" t="inlineStr"/>
      <c r="V45" s="2" t="inlineStr"/>
      <c r="W45" s="2" t="inlineStr"/>
      <c r="X45" s="2" t="inlineStr"/>
      <c r="Y45" s="2" t="inlineStr"/>
      <c r="Z45" s="2" t="inlineStr"/>
      <c r="AA45" s="2" t="b">
        <v>0</v>
      </c>
      <c r="AB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is>
          <t>MAE 318: System Dynamics and Control I | MAE 417: System Dynamics and Control II | MAE 215: Intro to Programming in MATLAB</t>
        </is>
      </c>
      <c r="M46" s="2" t="inlineStr"/>
      <c r="N46" s="2" t="inlineStr"/>
      <c r="O46" s="2" t="inlineStr"/>
      <c r="P46" s="2" t="inlineStr"/>
      <c r="Q46" s="2" t="inlineStr"/>
      <c r="R46" s="2" t="inlineStr"/>
      <c r="S46" s="2" t="inlineStr"/>
      <c r="T46" s="2" t="inlineStr"/>
      <c r="U46" s="2" t="inlineStr"/>
      <c r="V46" s="2" t="inlineStr"/>
      <c r="W46" s="2" t="inlineStr"/>
      <c r="X46" s="2" t="inlineStr"/>
      <c r="Y46" s="2" t="inlineStr"/>
      <c r="Z46" s="2" t="inlineStr">
        <is>
          <t>Campus: Tempe</t>
        </is>
      </c>
      <c r="AA46" s="2" t="b">
        <v>0</v>
      </c>
      <c r="AB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c r="M47" s="2" t="inlineStr"/>
      <c r="N47" s="2" t="inlineStr"/>
      <c r="O47" s="2" t="inlineStr"/>
      <c r="P47" s="2" t="inlineStr"/>
      <c r="Q47" s="2" t="inlineStr"/>
      <c r="R47" s="2" t="inlineStr"/>
      <c r="S47" s="2" t="inlineStr"/>
      <c r="T47" s="2" t="inlineStr"/>
      <c r="U47" s="2" t="inlineStr"/>
      <c r="V47" s="2" t="inlineStr"/>
      <c r="W47" s="2" t="inlineStr"/>
      <c r="X47" s="2" t="inlineStr"/>
      <c r="Y47" s="2" t="inlineStr"/>
      <c r="Z47" s="2" t="inlineStr"/>
      <c r="AA47" s="2" t="b">
        <v>0</v>
      </c>
      <c r="AB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is>
          <t>MAE 201: Mech. Particles/Rigid Bodies I | MAE 214: Computer-Aided Engineering I | MAE 202: Mech.Particles/Rigid Bodies II</t>
        </is>
      </c>
      <c r="M48" s="2" t="inlineStr"/>
      <c r="N48" s="2" t="inlineStr"/>
      <c r="O48" s="2" t="inlineStr"/>
      <c r="P48" s="2" t="inlineStr"/>
      <c r="Q48" s="2" t="inlineStr"/>
      <c r="R48" s="2" t="inlineStr"/>
      <c r="S48" s="2" t="inlineStr"/>
      <c r="T48" s="2" t="inlineStr"/>
      <c r="U48" s="2" t="inlineStr"/>
      <c r="V48" s="2" t="inlineStr"/>
      <c r="W48" s="2" t="inlineStr"/>
      <c r="X48" s="2" t="inlineStr"/>
      <c r="Y48" s="2" t="inlineStr"/>
      <c r="Z48" s="2" t="inlineStr">
        <is>
          <t>Campus: Tempe</t>
        </is>
      </c>
      <c r="AA48" s="2" t="b">
        <v>0</v>
      </c>
      <c r="AB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is>
          <t>MAE 570: Intermediate Thermodynamics | MAE 400: Engineering Profession | MAE 494: Special Topics</t>
        </is>
      </c>
      <c r="M49" s="2" t="inlineStr"/>
      <c r="N49" s="2" t="inlineStr"/>
      <c r="O49" s="2" t="inlineStr"/>
      <c r="P49" s="2" t="inlineStr"/>
      <c r="Q49" s="2" t="inlineStr"/>
      <c r="R49" s="2" t="inlineStr"/>
      <c r="S49" s="2" t="inlineStr"/>
      <c r="T49" s="2" t="inlineStr"/>
      <c r="U49" s="2" t="inlineStr"/>
      <c r="V49" s="2" t="inlineStr"/>
      <c r="W49" s="2" t="inlineStr"/>
      <c r="X49" s="2" t="inlineStr"/>
      <c r="Y49" s="2" t="inlineStr"/>
      <c r="Z49" s="2" t="inlineStr">
        <is>
          <t>Campus: Tempe</t>
        </is>
      </c>
      <c r="AA49" s="2" t="b">
        <v>0</v>
      </c>
      <c r="AB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T2" r:id="rId4"/>
    <hyperlink xmlns:r="http://schemas.openxmlformats.org/officeDocument/2006/relationships" ref="X2" r:id="rId5"/>
    <hyperlink xmlns:r="http://schemas.openxmlformats.org/officeDocument/2006/relationships" ref="AB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T3" r:id="rId10"/>
    <hyperlink xmlns:r="http://schemas.openxmlformats.org/officeDocument/2006/relationships" ref="AB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T4" r:id="rId15"/>
    <hyperlink xmlns:r="http://schemas.openxmlformats.org/officeDocument/2006/relationships" ref="AB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T5" r:id="rId20"/>
    <hyperlink xmlns:r="http://schemas.openxmlformats.org/officeDocument/2006/relationships" ref="AB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B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B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T8" r:id="rId33"/>
    <hyperlink xmlns:r="http://schemas.openxmlformats.org/officeDocument/2006/relationships" ref="AB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T9" r:id="rId38"/>
    <hyperlink xmlns:r="http://schemas.openxmlformats.org/officeDocument/2006/relationships" ref="AB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T10" r:id="rId43"/>
    <hyperlink xmlns:r="http://schemas.openxmlformats.org/officeDocument/2006/relationships" ref="AB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B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T12" r:id="rId52"/>
    <hyperlink xmlns:r="http://schemas.openxmlformats.org/officeDocument/2006/relationships" ref="AB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T13" r:id="rId57"/>
    <hyperlink xmlns:r="http://schemas.openxmlformats.org/officeDocument/2006/relationships" ref="AB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B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T15" r:id="rId66"/>
    <hyperlink xmlns:r="http://schemas.openxmlformats.org/officeDocument/2006/relationships" ref="AB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T16" r:id="rId71"/>
    <hyperlink xmlns:r="http://schemas.openxmlformats.org/officeDocument/2006/relationships" ref="AB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T17" r:id="rId76"/>
    <hyperlink xmlns:r="http://schemas.openxmlformats.org/officeDocument/2006/relationships" ref="AB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B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B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B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B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T22" r:id="rId97"/>
    <hyperlink xmlns:r="http://schemas.openxmlformats.org/officeDocument/2006/relationships" ref="AB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T23" r:id="rId102"/>
    <hyperlink xmlns:r="http://schemas.openxmlformats.org/officeDocument/2006/relationships" ref="AB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T24" r:id="rId107"/>
    <hyperlink xmlns:r="http://schemas.openxmlformats.org/officeDocument/2006/relationships" ref="AB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T25" r:id="rId112"/>
    <hyperlink xmlns:r="http://schemas.openxmlformats.org/officeDocument/2006/relationships" ref="AB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B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T27" r:id="rId121"/>
    <hyperlink xmlns:r="http://schemas.openxmlformats.org/officeDocument/2006/relationships" ref="AB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B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T29" r:id="rId130"/>
    <hyperlink xmlns:r="http://schemas.openxmlformats.org/officeDocument/2006/relationships" ref="AB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T30" r:id="rId135"/>
    <hyperlink xmlns:r="http://schemas.openxmlformats.org/officeDocument/2006/relationships" ref="AB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T31" r:id="rId140"/>
    <hyperlink xmlns:r="http://schemas.openxmlformats.org/officeDocument/2006/relationships" ref="AB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B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T33" r:id="rId149"/>
    <hyperlink xmlns:r="http://schemas.openxmlformats.org/officeDocument/2006/relationships" ref="AB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T34" r:id="rId154"/>
    <hyperlink xmlns:r="http://schemas.openxmlformats.org/officeDocument/2006/relationships" ref="AB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T35" r:id="rId159"/>
    <hyperlink xmlns:r="http://schemas.openxmlformats.org/officeDocument/2006/relationships" ref="X35" r:id="rId160"/>
    <hyperlink xmlns:r="http://schemas.openxmlformats.org/officeDocument/2006/relationships" ref="AB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B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T37" r:id="rId169"/>
    <hyperlink xmlns:r="http://schemas.openxmlformats.org/officeDocument/2006/relationships" ref="AB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B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B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B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T41" r:id="rId186"/>
    <hyperlink xmlns:r="http://schemas.openxmlformats.org/officeDocument/2006/relationships" ref="AB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T42" r:id="rId191"/>
    <hyperlink xmlns:r="http://schemas.openxmlformats.org/officeDocument/2006/relationships" ref="AB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B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B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B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B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B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B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B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2026-09-18T13:30:15Z</dcterms:created>
  <dcterms:modified xmlns:dcterms="http://purl.org/dc/terms/" xmlns:xsi="http://www.w3.org/2001/XMLSchema-instance" xsi:type="dcterms:W3CDTF">2026-09-18T13:30:16Z</dcterms:modified>
</cp:coreProperties>
</file>